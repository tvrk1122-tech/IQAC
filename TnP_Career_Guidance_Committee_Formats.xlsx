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PC-00 Composition" sheetId="2" state="visible" r:id="rId2"/>
    <sheet xmlns:r="http://schemas.openxmlformats.org/officeDocument/2006/relationships" name="TPC-NA Notice &amp; Agenda" sheetId="3" state="visible" r:id="rId3"/>
    <sheet xmlns:r="http://schemas.openxmlformats.org/officeDocument/2006/relationships" name="TPC-AT Attendance" sheetId="4" state="visible" r:id="rId4"/>
    <sheet xmlns:r="http://schemas.openxmlformats.org/officeDocument/2006/relationships" name="TPC-MM Minutes" sheetId="5" state="visible" r:id="rId5"/>
    <sheet xmlns:r="http://schemas.openxmlformats.org/officeDocument/2006/relationships" name="TPC-ATR Action Report" sheetId="6" state="visible" r:id="rId6"/>
    <sheet xmlns:r="http://schemas.openxmlformats.org/officeDocument/2006/relationships" name="TPC-04 Company Database" sheetId="7" state="visible" r:id="rId7"/>
    <sheet xmlns:r="http://schemas.openxmlformats.org/officeDocument/2006/relationships" name="TPC-05 Company Registration" sheetId="8" state="visible" r:id="rId8"/>
    <sheet xmlns:r="http://schemas.openxmlformats.org/officeDocument/2006/relationships" name="TPC-08 Student Registration" sheetId="9" state="visible" r:id="rId9"/>
    <sheet xmlns:r="http://schemas.openxmlformats.org/officeDocument/2006/relationships" name="TPC-13 Campus Drive Register" sheetId="10" state="visible" r:id="rId10"/>
    <sheet xmlns:r="http://schemas.openxmlformats.org/officeDocument/2006/relationships" name="TPC-17 Placement Tracking" sheetId="11" state="visible" r:id="rId11"/>
    <sheet xmlns:r="http://schemas.openxmlformats.org/officeDocument/2006/relationships" name="TPC-18 Placement Stats" sheetId="12" state="visible" r:id="rId12"/>
    <sheet xmlns:r="http://schemas.openxmlformats.org/officeDocument/2006/relationships" name="TPC-22-25 Training Registers" sheetId="13" state="visible" r:id="rId13"/>
    <sheet xmlns:r="http://schemas.openxmlformats.org/officeDocument/2006/relationships" name="TPC-28 Career Guidance" sheetId="14" state="visible" r:id="rId14"/>
    <sheet xmlns:r="http://schemas.openxmlformats.org/officeDocument/2006/relationships" name="TPC-34 Employer Feedback" sheetId="15" state="visible" r:id="rId15"/>
    <sheet xmlns:r="http://schemas.openxmlformats.org/officeDocument/2006/relationships" name="TPC-35 Student Survey" sheetId="16" state="visible" r:id="rId16"/>
    <sheet xmlns:r="http://schemas.openxmlformats.org/officeDocument/2006/relationships" name="TPC-36 KPI Dashboard" sheetId="17" state="visible" r:id="rId17"/>
    <sheet xmlns:r="http://schemas.openxmlformats.org/officeDocument/2006/relationships" name="TPC-37 Annual Repor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80F25"/>
      <sz val="10"/>
    </font>
    <font>
      <name val="Arial"/>
      <b val="1"/>
      <color rgb="00052E16"/>
      <sz val="10"/>
    </font>
    <font>
      <name val="Arial"/>
      <b val="1"/>
      <color rgb="003F2000"/>
      <sz val="10"/>
    </font>
  </fonts>
  <fills count="20">
    <fill>
      <patternFill/>
    </fill>
    <fill>
      <patternFill patternType="gray125"/>
    </fill>
    <fill>
      <patternFill patternType="solid">
        <fgColor rgb="00080F25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66534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C2410C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9" fillId="9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PLACEMENT, TRAINING &amp; CAREER GUIDANCE COMMITTEE
Data Collection Formats — Master Workbook</t>
        </is>
      </c>
    </row>
    <row r="3" ht="28" customHeight="1">
      <c r="B3" s="2" t="inlineStr">
        <is>
          <t>Institution: _________________________  T&amp;P Officer: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TPC-00</t>
        </is>
      </c>
      <c r="C6" s="6" t="inlineStr">
        <is>
          <t>Committee Composition &amp; Members Register</t>
        </is>
      </c>
      <c r="D6" s="6" t="inlineStr">
        <is>
          <t>Record members, T&amp;P staff, company reps &amp; student leads</t>
        </is>
      </c>
      <c r="E6" s="7" t="inlineStr">
        <is>
          <t>Annual</t>
        </is>
      </c>
    </row>
    <row r="7" ht="20" customHeight="1">
      <c r="B7" s="8" t="inlineStr">
        <is>
          <t>TPC-NA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TPC-AT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TPC-MM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TPC-ATR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TPC-01</t>
        </is>
      </c>
      <c r="C12" s="6" t="inlineStr">
        <is>
          <t>T&amp;P Policy &amp; Operational Guidelines</t>
        </is>
      </c>
      <c r="D12" s="6" t="inlineStr">
        <is>
          <t>Document T&amp;P policy, eligibility rules &amp; company norms</t>
        </is>
      </c>
      <c r="E12" s="7" t="inlineStr">
        <is>
          <t>Annual</t>
        </is>
      </c>
    </row>
    <row r="13" ht="20" customHeight="1">
      <c r="B13" s="8" t="inlineStr">
        <is>
          <t>TPC-02</t>
        </is>
      </c>
      <c r="C13" s="9" t="inlineStr">
        <is>
          <t>Annual Training &amp; Placement Action Plan</t>
        </is>
      </c>
      <c r="D13" s="9" t="inlineStr">
        <is>
          <t>Plan all T&amp;P activities, targets &amp; events for the year</t>
        </is>
      </c>
      <c r="E13" s="10" t="inlineStr">
        <is>
          <t>Annual (Pre-Year)</t>
        </is>
      </c>
    </row>
    <row r="14" ht="20" customHeight="1">
      <c r="B14" s="5" t="inlineStr">
        <is>
          <t>TPC-03</t>
        </is>
      </c>
      <c r="C14" s="6" t="inlineStr">
        <is>
          <t>T&amp;P Budget &amp; Resource Plan</t>
        </is>
      </c>
      <c r="D14" s="6" t="inlineStr">
        <is>
          <t>Plan training, events &amp; outreach budget</t>
        </is>
      </c>
      <c r="E14" s="7" t="inlineStr">
        <is>
          <t>Annual</t>
        </is>
      </c>
    </row>
    <row r="15" ht="20" customHeight="1">
      <c r="B15" s="4" t="inlineStr">
        <is>
          <t>── COMPANY &amp; EMPLOYER DATABASE ──</t>
        </is>
      </c>
    </row>
    <row r="16" ht="20" customHeight="1">
      <c r="B16" s="5" t="inlineStr">
        <is>
          <t>TPC-04</t>
        </is>
      </c>
      <c r="C16" s="6" t="inlineStr">
        <is>
          <t>Company / Employer Database Register</t>
        </is>
      </c>
      <c r="D16" s="6" t="inlineStr">
        <is>
          <t>Maintain comprehensive database of all recruiters</t>
        </is>
      </c>
      <c r="E16" s="7" t="inlineStr">
        <is>
          <t>Annual / Continuous</t>
        </is>
      </c>
    </row>
    <row r="17" ht="20" customHeight="1">
      <c r="B17" s="8" t="inlineStr">
        <is>
          <t>TPC-05</t>
        </is>
      </c>
      <c r="C17" s="9" t="inlineStr">
        <is>
          <t>Company Registration &amp; Pre-Placement Form</t>
        </is>
      </c>
      <c r="D17" s="9" t="inlineStr">
        <is>
          <t>Formal company registration &amp; job offer details</t>
        </is>
      </c>
      <c r="E17" s="10" t="inlineStr">
        <is>
          <t>Per Company</t>
        </is>
      </c>
    </row>
    <row r="18" ht="20" customHeight="1">
      <c r="B18" s="5" t="inlineStr">
        <is>
          <t>TPC-06</t>
        </is>
      </c>
      <c r="C18" s="6" t="inlineStr">
        <is>
          <t>Job Description (JD) Register</t>
        </is>
      </c>
      <c r="D18" s="6" t="inlineStr">
        <is>
          <t>Archive all job descriptions sent by companies</t>
        </is>
      </c>
      <c r="E18" s="7" t="inlineStr">
        <is>
          <t>Per Drive</t>
        </is>
      </c>
    </row>
    <row r="19" ht="20" customHeight="1">
      <c r="B19" s="8" t="inlineStr">
        <is>
          <t>TPC-07</t>
        </is>
      </c>
      <c r="C19" s="9" t="inlineStr">
        <is>
          <t>MoU / Agreement with Industry Register</t>
        </is>
      </c>
      <c r="D19" s="9" t="inlineStr">
        <is>
          <t>Track formal agreements with recruiting companies</t>
        </is>
      </c>
      <c r="E19" s="10" t="inlineStr">
        <is>
          <t>Annual / Continuous</t>
        </is>
      </c>
    </row>
    <row r="20" ht="20" customHeight="1">
      <c r="B20" s="4" t="inlineStr">
        <is>
          <t>── STUDENT PLACEMENT REGISTRATION ──</t>
        </is>
      </c>
    </row>
    <row r="21" ht="20" customHeight="1">
      <c r="B21" s="8" t="inlineStr">
        <is>
          <t>TPC-08</t>
        </is>
      </c>
      <c r="C21" s="9" t="inlineStr">
        <is>
          <t>Student Placement Registration Form</t>
        </is>
      </c>
      <c r="D21" s="9" t="inlineStr">
        <is>
          <t>Register students for placement with profile and consent</t>
        </is>
      </c>
      <c r="E21" s="10" t="inlineStr">
        <is>
          <t>Annual (Pre-Placement)</t>
        </is>
      </c>
    </row>
    <row r="22" ht="20" customHeight="1">
      <c r="B22" s="5" t="inlineStr">
        <is>
          <t>TPC-09</t>
        </is>
      </c>
      <c r="C22" s="6" t="inlineStr">
        <is>
          <t>Student Placement Eligibility Register</t>
        </is>
      </c>
      <c r="D22" s="6" t="inlineStr">
        <is>
          <t>Verify and confirm student eligibility for each company</t>
        </is>
      </c>
      <c r="E22" s="7" t="inlineStr">
        <is>
          <t>Per Drive</t>
        </is>
      </c>
    </row>
    <row r="23" ht="20" customHeight="1">
      <c r="B23" s="8" t="inlineStr">
        <is>
          <t>TPC-10</t>
        </is>
      </c>
      <c r="C23" s="9" t="inlineStr">
        <is>
          <t>Student Resume / CV Repository</t>
        </is>
      </c>
      <c r="D23" s="9" t="inlineStr">
        <is>
          <t>Collect and maintain student resumes by department</t>
        </is>
      </c>
      <c r="E23" s="10" t="inlineStr">
        <is>
          <t>Annual</t>
        </is>
      </c>
    </row>
    <row r="24" ht="20" customHeight="1">
      <c r="B24" s="5" t="inlineStr">
        <is>
          <t>TPC-11</t>
        </is>
      </c>
      <c r="C24" s="6" t="inlineStr">
        <is>
          <t>Student Aptitude Test &amp; Mock Interview Reg.</t>
        </is>
      </c>
      <c r="D24" s="6" t="inlineStr">
        <is>
          <t>Track student performance in assessment rounds</t>
        </is>
      </c>
      <c r="E24" s="7" t="inlineStr">
        <is>
          <t>Continuous</t>
        </is>
      </c>
    </row>
    <row r="25" ht="20" customHeight="1">
      <c r="B25" s="4" t="inlineStr">
        <is>
          <t>── CAMPUS RECRUITMENT DRIVES ──</t>
        </is>
      </c>
    </row>
    <row r="26" ht="20" customHeight="1">
      <c r="B26" s="5" t="inlineStr">
        <is>
          <t>TPC-12</t>
        </is>
      </c>
      <c r="C26" s="6" t="inlineStr">
        <is>
          <t>Pre-Placement Talk (PPT) Register</t>
        </is>
      </c>
      <c r="D26" s="6" t="inlineStr">
        <is>
          <t>Document company presentations and student participation</t>
        </is>
      </c>
      <c r="E26" s="7" t="inlineStr">
        <is>
          <t>Per Drive</t>
        </is>
      </c>
    </row>
    <row r="27" ht="20" customHeight="1">
      <c r="B27" s="8" t="inlineStr">
        <is>
          <t>TPC-13</t>
        </is>
      </c>
      <c r="C27" s="9" t="inlineStr">
        <is>
          <t>Campus Recruitment Drive Register</t>
        </is>
      </c>
      <c r="D27" s="9" t="inlineStr">
        <is>
          <t>Manage full recruitment drives — rounds, results, offers</t>
        </is>
      </c>
      <c r="E27" s="10" t="inlineStr">
        <is>
          <t>Per Drive</t>
        </is>
      </c>
    </row>
    <row r="28" ht="20" customHeight="1">
      <c r="B28" s="5" t="inlineStr">
        <is>
          <t>TPC-14</t>
        </is>
      </c>
      <c r="C28" s="6" t="inlineStr">
        <is>
          <t>Aptitude / Online Test Administration Reg.</t>
        </is>
      </c>
      <c r="D28" s="6" t="inlineStr">
        <is>
          <t>Manage online and offline assessment tests</t>
        </is>
      </c>
      <c r="E28" s="7" t="inlineStr">
        <is>
          <t>Per Drive</t>
        </is>
      </c>
    </row>
    <row r="29" ht="20" customHeight="1">
      <c r="B29" s="8" t="inlineStr">
        <is>
          <t>TPC-15</t>
        </is>
      </c>
      <c r="C29" s="9" t="inlineStr">
        <is>
          <t>Group Discussion &amp; Interview Register</t>
        </is>
      </c>
      <c r="D29" s="9" t="inlineStr">
        <is>
          <t>Track GD, technical and HR interview rounds</t>
        </is>
      </c>
      <c r="E29" s="10" t="inlineStr">
        <is>
          <t>Per Drive</t>
        </is>
      </c>
    </row>
    <row r="30" ht="20" customHeight="1">
      <c r="B30" s="5" t="inlineStr">
        <is>
          <t>TPC-16</t>
        </is>
      </c>
      <c r="C30" s="6" t="inlineStr">
        <is>
          <t>Offer Letter Verification &amp; Tracking Register</t>
        </is>
      </c>
      <c r="D30" s="6" t="inlineStr">
        <is>
          <t>Verify and archive all offer letters received by students</t>
        </is>
      </c>
      <c r="E30" s="7" t="inlineStr">
        <is>
          <t>Per Drive</t>
        </is>
      </c>
    </row>
    <row r="31" ht="20" customHeight="1">
      <c r="B31" s="4" t="inlineStr">
        <is>
          <t>── PLACEMENT OUTCOMES &amp; STATISTICS ──</t>
        </is>
      </c>
    </row>
    <row r="32" ht="20" customHeight="1">
      <c r="B32" s="5" t="inlineStr">
        <is>
          <t>TPC-17</t>
        </is>
      </c>
      <c r="C32" s="6" t="inlineStr">
        <is>
          <t>Student Placement Tracking Register</t>
        </is>
      </c>
      <c r="D32" s="6" t="inlineStr">
        <is>
          <t>Track individual student placement status and CTC</t>
        </is>
      </c>
      <c r="E32" s="7" t="inlineStr">
        <is>
          <t>Continuous</t>
        </is>
      </c>
    </row>
    <row r="33" ht="20" customHeight="1">
      <c r="B33" s="8" t="inlineStr">
        <is>
          <t>TPC-18</t>
        </is>
      </c>
      <c r="C33" s="9" t="inlineStr">
        <is>
          <t>Placement Statistics Dashboard</t>
        </is>
      </c>
      <c r="D33" s="9" t="inlineStr">
        <is>
          <t>Compile placement data for reporting and accreditation</t>
        </is>
      </c>
      <c r="E33" s="10" t="inlineStr">
        <is>
          <t>Semester / Annual</t>
        </is>
      </c>
    </row>
    <row r="34" ht="20" customHeight="1">
      <c r="B34" s="5" t="inlineStr">
        <is>
          <t>TPC-19</t>
        </is>
      </c>
      <c r="C34" s="6" t="inlineStr">
        <is>
          <t>Un-Placed / Non-Participating Student Reg.</t>
        </is>
      </c>
      <c r="D34" s="6" t="inlineStr">
        <is>
          <t>Track students not placed — reasons and support given</t>
        </is>
      </c>
      <c r="E34" s="7" t="inlineStr">
        <is>
          <t>Annual</t>
        </is>
      </c>
    </row>
    <row r="35" ht="20" customHeight="1">
      <c r="B35" s="8" t="inlineStr">
        <is>
          <t>TPC-20</t>
        </is>
      </c>
      <c r="C35" s="9" t="inlineStr">
        <is>
          <t>Pre-Placement Offer (PPO) Register</t>
        </is>
      </c>
      <c r="D35" s="9" t="inlineStr">
        <is>
          <t>Track PPOs from internship companies</t>
        </is>
      </c>
      <c r="E35" s="10" t="inlineStr">
        <is>
          <t>Continuous</t>
        </is>
      </c>
    </row>
    <row r="36" ht="20" customHeight="1">
      <c r="B36" s="5" t="inlineStr">
        <is>
          <t>TPC-21</t>
        </is>
      </c>
      <c r="C36" s="6" t="inlineStr">
        <is>
          <t>Higher Studies / GATE / Entrepreneurship Reg.</t>
        </is>
      </c>
      <c r="D36" s="6" t="inlineStr">
        <is>
          <t>Track students opting for higher studies or startups</t>
        </is>
      </c>
      <c r="E36" s="7" t="inlineStr">
        <is>
          <t>Annual</t>
        </is>
      </c>
    </row>
    <row r="37" ht="20" customHeight="1">
      <c r="B37" s="4" t="inlineStr">
        <is>
          <t>── TRAINING PROGRAMMES ──</t>
        </is>
      </c>
    </row>
    <row r="38" ht="20" customHeight="1">
      <c r="B38" s="5" t="inlineStr">
        <is>
          <t>TPC-22</t>
        </is>
      </c>
      <c r="C38" s="6" t="inlineStr">
        <is>
          <t>Aptitude &amp; Reasoning Training Register</t>
        </is>
      </c>
      <c r="D38" s="6" t="inlineStr">
        <is>
          <t>Track aptitude, quant, verbal &amp; reasoning training</t>
        </is>
      </c>
      <c r="E38" s="7" t="inlineStr">
        <is>
          <t>Continuous</t>
        </is>
      </c>
    </row>
    <row r="39" ht="20" customHeight="1">
      <c r="B39" s="8" t="inlineStr">
        <is>
          <t>TPC-23</t>
        </is>
      </c>
      <c r="C39" s="9" t="inlineStr">
        <is>
          <t>Communication &amp; Soft Skills Training Register</t>
        </is>
      </c>
      <c r="D39" s="9" t="inlineStr">
        <is>
          <t>Log communication, presentation &amp; personality development</t>
        </is>
      </c>
      <c r="E39" s="10" t="inlineStr">
        <is>
          <t>Continuous</t>
        </is>
      </c>
    </row>
    <row r="40" ht="20" customHeight="1">
      <c r="B40" s="5" t="inlineStr">
        <is>
          <t>TPC-24</t>
        </is>
      </c>
      <c r="C40" s="6" t="inlineStr">
        <is>
          <t>Technical Skills Training Register</t>
        </is>
      </c>
      <c r="D40" s="6" t="inlineStr">
        <is>
          <t>Track domain, coding, tools &amp; certification training</t>
        </is>
      </c>
      <c r="E40" s="7" t="inlineStr">
        <is>
          <t>Continuous</t>
        </is>
      </c>
    </row>
    <row r="41" ht="20" customHeight="1">
      <c r="B41" s="8" t="inlineStr">
        <is>
          <t>TPC-25</t>
        </is>
      </c>
      <c r="C41" s="9" t="inlineStr">
        <is>
          <t>Mock Interview &amp; GD Programme Register</t>
        </is>
      </c>
      <c r="D41" s="9" t="inlineStr">
        <is>
          <t>Document mock interview, GD and resume writing sessions</t>
        </is>
      </c>
      <c r="E41" s="10" t="inlineStr">
        <is>
          <t>Continuous</t>
        </is>
      </c>
    </row>
    <row r="42" ht="20" customHeight="1">
      <c r="B42" s="5" t="inlineStr">
        <is>
          <t>TPC-26</t>
        </is>
      </c>
      <c r="C42" s="6" t="inlineStr">
        <is>
          <t>Industry Certification &amp; Online Course Reg.</t>
        </is>
      </c>
      <c r="D42" s="6" t="inlineStr">
        <is>
          <t>Track students enrolling in industry certifications</t>
        </is>
      </c>
      <c r="E42" s="7" t="inlineStr">
        <is>
          <t>Continuous</t>
        </is>
      </c>
    </row>
    <row r="43" ht="20" customHeight="1">
      <c r="B43" s="8" t="inlineStr">
        <is>
          <t>TPC-27</t>
        </is>
      </c>
      <c r="C43" s="9" t="inlineStr">
        <is>
          <t>T&amp;P Training Vendor / Agency Register</t>
        </is>
      </c>
      <c r="D43" s="9" t="inlineStr">
        <is>
          <t>Manage external training agency empanelment</t>
        </is>
      </c>
      <c r="E43" s="10" t="inlineStr">
        <is>
          <t>Annual</t>
        </is>
      </c>
    </row>
    <row r="44" ht="20" customHeight="1">
      <c r="B44" s="4" t="inlineStr">
        <is>
          <t>── CAREER GUIDANCE &amp; COUNSELLING ──</t>
        </is>
      </c>
    </row>
    <row r="45" ht="20" customHeight="1">
      <c r="B45" s="8" t="inlineStr">
        <is>
          <t>TPC-28</t>
        </is>
      </c>
      <c r="C45" s="9" t="inlineStr">
        <is>
          <t>Career Guidance Counselling Register</t>
        </is>
      </c>
      <c r="D45" s="9" t="inlineStr">
        <is>
          <t>One-on-one career counselling sessions for students</t>
        </is>
      </c>
      <c r="E45" s="10" t="inlineStr">
        <is>
          <t>Continuous</t>
        </is>
      </c>
    </row>
    <row r="46" ht="20" customHeight="1">
      <c r="B46" s="5" t="inlineStr">
        <is>
          <t>TPC-29</t>
        </is>
      </c>
      <c r="C46" s="6" t="inlineStr">
        <is>
          <t>Career Awareness Event Register</t>
        </is>
      </c>
      <c r="D46" s="6" t="inlineStr">
        <is>
          <t>Guest talks, industry panels &amp; career fairs</t>
        </is>
      </c>
      <c r="E46" s="7" t="inlineStr">
        <is>
          <t>Continuous</t>
        </is>
      </c>
    </row>
    <row r="47" ht="20" customHeight="1">
      <c r="B47" s="8" t="inlineStr">
        <is>
          <t>TPC-30</t>
        </is>
      </c>
      <c r="C47" s="9" t="inlineStr">
        <is>
          <t>Competitive Exam Guidance Register</t>
        </is>
      </c>
      <c r="D47" s="9" t="inlineStr">
        <is>
          <t>Track GATE, CAT, UPSC, Bank PO guidance activities</t>
        </is>
      </c>
      <c r="E47" s="10" t="inlineStr">
        <is>
          <t>Annual</t>
        </is>
      </c>
    </row>
    <row r="48" ht="20" customHeight="1">
      <c r="B48" s="5" t="inlineStr">
        <is>
          <t>TPC-31</t>
        </is>
      </c>
      <c r="C48" s="6" t="inlineStr">
        <is>
          <t>Entrepreneurship &amp; Startup Career Register</t>
        </is>
      </c>
      <c r="D48" s="6" t="inlineStr">
        <is>
          <t>Track students choosing startup / self-employment path</t>
        </is>
      </c>
      <c r="E48" s="7" t="inlineStr">
        <is>
          <t>Annual</t>
        </is>
      </c>
    </row>
    <row r="49" ht="20" customHeight="1">
      <c r="B49" s="4" t="inlineStr">
        <is>
          <t>── ALUMNI &amp; INDUSTRY CONNECT ──</t>
        </is>
      </c>
    </row>
    <row r="50" ht="20" customHeight="1">
      <c r="B50" s="5" t="inlineStr">
        <is>
          <t>TPC-32</t>
        </is>
      </c>
      <c r="C50" s="6" t="inlineStr">
        <is>
          <t>Alumni Placement Connect Register</t>
        </is>
      </c>
      <c r="D50" s="6" t="inlineStr">
        <is>
          <t>Track alumni referrals, mentoring &amp; job referrals</t>
        </is>
      </c>
      <c r="E50" s="7" t="inlineStr">
        <is>
          <t>Annual</t>
        </is>
      </c>
    </row>
    <row r="51" ht="20" customHeight="1">
      <c r="B51" s="8" t="inlineStr">
        <is>
          <t>TPC-33</t>
        </is>
      </c>
      <c r="C51" s="9" t="inlineStr">
        <is>
          <t>Industry Expert &amp; Mentor Connect Register</t>
        </is>
      </c>
      <c r="D51" s="9" t="inlineStr">
        <is>
          <t>Manage industry expert sessions for career readiness</t>
        </is>
      </c>
      <c r="E51" s="10" t="inlineStr">
        <is>
          <t>Continuous</t>
        </is>
      </c>
    </row>
    <row r="52" ht="20" customHeight="1">
      <c r="B52" s="4" t="inlineStr">
        <is>
          <t>── FEEDBACK &amp; QUALITY ──</t>
        </is>
      </c>
    </row>
    <row r="53" ht="20" customHeight="1">
      <c r="B53" s="8" t="inlineStr">
        <is>
          <t>TPC-34</t>
        </is>
      </c>
      <c r="C53" s="9" t="inlineStr">
        <is>
          <t>Employer Feedback Survey Register</t>
        </is>
      </c>
      <c r="D53" s="9" t="inlineStr">
        <is>
          <t>Conduct &amp; analyse employer satisfaction on graduates</t>
        </is>
      </c>
      <c r="E53" s="10" t="inlineStr">
        <is>
          <t>Annual</t>
        </is>
      </c>
    </row>
    <row r="54" ht="20" customHeight="1">
      <c r="B54" s="5" t="inlineStr">
        <is>
          <t>TPC-35</t>
        </is>
      </c>
      <c r="C54" s="6" t="inlineStr">
        <is>
          <t>Student T&amp;P Satisfaction Survey</t>
        </is>
      </c>
      <c r="D54" s="6" t="inlineStr">
        <is>
          <t>Annual survey on training and placement services</t>
        </is>
      </c>
      <c r="E54" s="7" t="inlineStr">
        <is>
          <t>Annual</t>
        </is>
      </c>
    </row>
    <row r="55" ht="20" customHeight="1">
      <c r="B55" s="4" t="inlineStr">
        <is>
          <t>── MONITORING &amp; REPORTING ──</t>
        </is>
      </c>
    </row>
    <row r="56" ht="20" customHeight="1">
      <c r="B56" s="5" t="inlineStr">
        <is>
          <t>TPC-36</t>
        </is>
      </c>
      <c r="C56" s="6" t="inlineStr">
        <is>
          <t>T&amp;P KPI Dashboard</t>
        </is>
      </c>
      <c r="D56" s="6" t="inlineStr">
        <is>
          <t>Track all placement, training &amp; career guidance KPIs</t>
        </is>
      </c>
      <c r="E56" s="7" t="inlineStr">
        <is>
          <t>Monthly / Quarterly</t>
        </is>
      </c>
    </row>
    <row r="57" ht="20" customHeight="1">
      <c r="B57" s="8" t="inlineStr">
        <is>
          <t>TPC-37</t>
        </is>
      </c>
      <c r="C57" s="9" t="inlineStr">
        <is>
          <t>T&amp;P Annual Report Compilation Form</t>
        </is>
      </c>
      <c r="D57" s="9" t="inlineStr">
        <is>
          <t>Year-end report for management, NAAC, NIRF</t>
        </is>
      </c>
      <c r="E57" s="10" t="inlineStr">
        <is>
          <t>Annual</t>
        </is>
      </c>
    </row>
    <row r="58" ht="21" customHeight="1"/>
    <row r="59" ht="21" customHeight="1"/>
    <row r="60" ht="21" customHeight="1"/>
    <row r="61" ht="21" customHeight="1"/>
    <row r="118">
      <c r="B118" s="11" t="inlineStr">
        <is>
          <t>• T&amp;P = Training &amp; Placement — responsible for student placement, career readiness training and career guidance.</t>
        </is>
      </c>
    </row>
    <row r="119">
      <c r="B119" s="11" t="inlineStr">
        <is>
          <t>• Placement data feeds into: NAAC AQAR Criterion V.2 (Student Progression), NIRF (Graduation Outcomes), NBA SAR Criterion 5.</t>
        </is>
      </c>
    </row>
    <row r="120">
      <c r="B120" s="11" t="inlineStr">
        <is>
          <t>• Only confirmed joining students count as 'placed' for NIRF — offers that were declined must be separately tracked.</t>
        </is>
      </c>
    </row>
    <row r="121">
      <c r="B121" s="11" t="inlineStr">
        <is>
          <t>• All offer letters must be verified (company, role, CTC, joining date) before uploading to NIRF / NAAC data.</t>
        </is>
      </c>
    </row>
    <row r="122">
      <c r="B122" s="11" t="inlineStr">
        <is>
          <t>• Student placement eligibility criteria (CGPA, backlog policy) must be published and consistently applied.</t>
        </is>
      </c>
    </row>
    <row r="123">
      <c r="B123" s="11" t="inlineStr">
        <is>
          <t>• Employer feedback is a mandatory NAAC Criterion V survey — conduct annually, archive responses.</t>
        </is>
      </c>
    </row>
    <row r="124">
      <c r="B124" s="11" t="inlineStr">
        <is>
          <t>• Training data (vendors, sessions, attendees) is evidence for NAAC Criterion VI.3 (Faculty / Staff Development).</t>
        </is>
      </c>
    </row>
    <row r="125">
      <c r="B125" s="11" t="inlineStr">
        <is>
          <t>• T&amp;P data to be reconciled with Finance (for CTC verification) and IQAC (for AQAR submission) by July 31.</t>
        </is>
      </c>
    </row>
  </sheetData>
  <mergeCells count="21">
    <mergeCell ref="B118:E118"/>
    <mergeCell ref="B49:E49"/>
    <mergeCell ref="B15:E15"/>
    <mergeCell ref="B55:E55"/>
    <mergeCell ref="B124:E124"/>
    <mergeCell ref="B5:E5"/>
    <mergeCell ref="B20:E20"/>
    <mergeCell ref="B123:E123"/>
    <mergeCell ref="B25:E25"/>
    <mergeCell ref="B3:E3"/>
    <mergeCell ref="B125:E125"/>
    <mergeCell ref="B121:E121"/>
    <mergeCell ref="B31:E31"/>
    <mergeCell ref="B122:E122"/>
    <mergeCell ref="B52:E52"/>
    <mergeCell ref="B11:E11"/>
    <mergeCell ref="B120:E120"/>
    <mergeCell ref="B2:E2"/>
    <mergeCell ref="B119:E119"/>
    <mergeCell ref="B44:E44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TPC-00: PLACEMENT, TRAINING &amp; CAREER GUIDANCE COMMITTEE — COMPOSITION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TPC</t>
        </is>
      </c>
      <c r="F4" s="13" t="inlineStr">
        <is>
          <t>Domain /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T&amp;P Strategy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Training &amp; Placement Officer</t>
        </is>
      </c>
      <c r="E6" s="8" t="inlineStr">
        <is>
          <t>T&amp;P Officer</t>
        </is>
      </c>
      <c r="F6" s="10" t="inlineStr">
        <is>
          <t>Overall T&amp;P Operations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Asst. T&amp;P Officer / Placement Coordinator</t>
        </is>
      </c>
      <c r="E7" s="14" t="inlineStr">
        <is>
          <t>Deputy T&amp;P Officer</t>
        </is>
      </c>
      <c r="F7" s="16" t="inlineStr">
        <is>
          <t>Drive Management &amp; Coordination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/ Training In-charge</t>
        </is>
      </c>
      <c r="E8" s="8" t="inlineStr">
        <is>
          <t>Training Coordinator</t>
        </is>
      </c>
      <c r="F8" s="10" t="inlineStr">
        <is>
          <t>Aptitude &amp; Soft Skills Training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/ External Trainer</t>
        </is>
      </c>
      <c r="E9" s="14" t="inlineStr">
        <is>
          <t>Technical Skills Trainer</t>
        </is>
      </c>
      <c r="F9" s="16" t="inlineStr">
        <is>
          <t>Technical Training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/ Counsellor</t>
        </is>
      </c>
      <c r="E10" s="8" t="inlineStr">
        <is>
          <t>Career Guidance Counsellor</t>
        </is>
      </c>
      <c r="F10" s="10" t="inlineStr">
        <is>
          <t>Career Counselling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(CSE Dept.)</t>
        </is>
      </c>
      <c r="E11" s="14" t="inlineStr">
        <is>
          <t>Faculty Rep – CSE</t>
        </is>
      </c>
      <c r="F11" s="16" t="inlineStr">
        <is>
          <t>CSE Placement Coordination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Senior Faculty (ECE Dept.)</t>
        </is>
      </c>
      <c r="E12" s="8" t="inlineStr">
        <is>
          <t>Faculty Rep – ECE</t>
        </is>
      </c>
      <c r="F12" s="10" t="inlineStr">
        <is>
          <t>ECE Placement Coordination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Senior Faculty (Mech. Dept.)</t>
        </is>
      </c>
      <c r="E13" s="14" t="inlineStr">
        <is>
          <t>Faculty Rep – Mech.</t>
        </is>
      </c>
      <c r="F13" s="16" t="inlineStr">
        <is>
          <t>Core Engineering Placement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Senior Faculty (MBA Dept.)</t>
        </is>
      </c>
      <c r="E14" s="8" t="inlineStr">
        <is>
          <t>Faculty Rep – MBA</t>
        </is>
      </c>
      <c r="F14" s="10" t="inlineStr">
        <is>
          <t>Management Placement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Council — Placement Rep (Male)</t>
        </is>
      </c>
      <c r="E15" s="14" t="inlineStr">
        <is>
          <t>Student Placement Head</t>
        </is>
      </c>
      <c r="F15" s="16" t="inlineStr">
        <is>
          <t>Student Communication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Council — Placement Rep (Female)</t>
        </is>
      </c>
      <c r="E16" s="8" t="inlineStr">
        <is>
          <t>Student Placement Head</t>
        </is>
      </c>
      <c r="F16" s="10" t="inlineStr">
        <is>
          <t>Student Drive Coordination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HR Head / Talent Acquisition Leader</t>
        </is>
      </c>
      <c r="E17" s="14" t="inlineStr">
        <is>
          <t>Industry Expert – 1</t>
        </is>
      </c>
      <c r="F17" s="16" t="inlineStr">
        <is>
          <t>Industry Recruitment Insights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Senior Alumnus in Industry</t>
        </is>
      </c>
      <c r="E18" s="8" t="inlineStr">
        <is>
          <t>Industry Expert – 2</t>
        </is>
      </c>
      <c r="F18" s="10" t="inlineStr">
        <is>
          <t>Alumni Industry Connect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IQAC In-charge</t>
        </is>
      </c>
      <c r="E19" s="14" t="inlineStr">
        <is>
          <t>IQAC Coordinator (Ex-off.)</t>
        </is>
      </c>
      <c r="F19" s="16" t="inlineStr">
        <is>
          <t>Quality &amp; Accreditation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Finance Officer</t>
        </is>
      </c>
      <c r="E20" s="8" t="inlineStr">
        <is>
          <t>Finance Officer (Ex-off.)</t>
        </is>
      </c>
      <c r="F20" s="10" t="inlineStr">
        <is>
          <t>T&amp;P Budget Management</t>
        </is>
      </c>
      <c r="G20" s="9" t="inlineStr"/>
      <c r="H20" s="10" t="inlineStr"/>
      <c r="I20" s="10" t="inlineStr"/>
    </row>
    <row r="21" ht="22" customHeight="1"/>
    <row r="22" ht="20" customHeight="1">
      <c r="B22" s="17" t="inlineStr">
        <is>
          <t>TPC meets at least monthly during placement season (Oct–Mar) and quarterly during off-season. Student placement heads are selected annually by student council.</t>
        </is>
      </c>
    </row>
    <row r="23" ht="22" customHeight="1"/>
    <row r="24" ht="22" customHeight="1"/>
    <row r="25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TPC: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TPC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Company pipeline — new registrations and JDs received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Campus drives — upcoming schedule and preparation status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Aptitude / technical training — progress and attendance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Soft skills &amp; communication training — update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Mock interviews &amp; GD sessions — schedule and feedback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Placement statistics — offers, joins, CTC tracking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Un-placed student support — strategy update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Pre-Placement Offers (PPO) — status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Higher studies / GATE / competitive exam — update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Career guidance counselling — cases and referrals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Employer feedback — collection status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Industry expert / mentor sessions — schedule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Alumni connect — referrals and mentoring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NAAC / NIRF placement data — compilation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T&amp;P budget review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1" t="inlineStr">
        <is>
          <t>DISPATCH RECORD</t>
        </is>
      </c>
    </row>
    <row r="33" ht="24" customHeight="1">
      <c r="B33" s="22" t="inlineStr">
        <is>
          <t>Sl.</t>
        </is>
      </c>
      <c r="C33" s="22" t="inlineStr">
        <is>
          <t>Member Name &amp; Role</t>
        </is>
      </c>
      <c r="D33" s="22" t="inlineStr">
        <is>
          <t>Mode</t>
        </is>
      </c>
      <c r="E33" s="22" t="inlineStr">
        <is>
          <t>Date &amp; Acknowledgement</t>
        </is>
      </c>
    </row>
    <row r="34" ht="22" customHeight="1">
      <c r="B34" s="23" t="n"/>
      <c r="C34" s="23" t="n"/>
      <c r="D34" s="23" t="n"/>
      <c r="E34" s="23" t="n"/>
    </row>
    <row r="35" ht="22" customHeight="1">
      <c r="B35" s="10" t="n"/>
      <c r="C35" s="10" t="n"/>
      <c r="D35" s="10" t="n"/>
      <c r="E35" s="10" t="n"/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TPC: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/>
    <row r="24" ht="24" customHeight="1">
      <c r="B24" s="21" t="inlineStr">
        <is>
          <t>QUORUM VERIFICATION</t>
        </is>
      </c>
    </row>
    <row r="25" ht="22" customHeight="1">
      <c r="B25" s="24" t="inlineStr">
        <is>
          <t>Total TPC Members</t>
        </is>
      </c>
      <c r="G25" s="25" t="inlineStr"/>
    </row>
    <row r="26" ht="22" customHeight="1">
      <c r="B26" s="26" t="inlineStr">
        <is>
          <t>Present (Physical)</t>
        </is>
      </c>
      <c r="G26" s="25">
        <f>COUNTIF(F5:F22,"P")</f>
        <v/>
      </c>
    </row>
    <row r="27" ht="22" customHeight="1">
      <c r="B27" s="24" t="inlineStr">
        <is>
          <t>Present (VC)</t>
        </is>
      </c>
      <c r="G27" s="25" t="inlineStr"/>
    </row>
    <row r="28" ht="22" customHeight="1">
      <c r="B28" s="26" t="inlineStr">
        <is>
          <t>Total Effective</t>
        </is>
      </c>
      <c r="G28" s="25">
        <f>IFERROR(C26+C27,"")</f>
        <v/>
      </c>
    </row>
    <row r="29" ht="22" customHeight="1">
      <c r="B29" s="24" t="inlineStr">
        <is>
          <t>Quorum Required (50%)</t>
        </is>
      </c>
      <c r="G29" s="25" t="inlineStr"/>
    </row>
    <row r="30">
      <c r="B30" s="26" t="inlineStr">
        <is>
          <t>Quorum Achieved?</t>
        </is>
      </c>
      <c r="G30" s="27">
        <f>IFERROR(IF(C28&gt;=C29,"YES — Meeting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TPC: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TPC/RES/001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TPC/RES/002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TPC/RES/003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TPC/RES/004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TPC/RES/005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TPC/RES/006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TPC/RES/007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TPC/RES/008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TPC/RES/009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TPC/RES/010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TPC/RES/011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TPC/RES/012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TPC/RES/013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TPC/RES/014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T&amp;P Officer: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TPC: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TPC/RES/001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TPC/RES/002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TPC/RES/003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TPC/RES/004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TPC/RES/005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TPC/RES/006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TPC/RES/007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TPC/RES/008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TPC/RES/009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TPC/RES/010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TPC/RES/011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TPC/RES/012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TPC/RES/013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TPC/RES/014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2" t="inlineStr">
        <is>
          <t>TPC/RES/015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37">
        <f>COUNTA(B5:B19)</f>
        <v/>
      </c>
    </row>
    <row r="23" ht="26" customHeight="1">
      <c r="B23" s="26" t="inlineStr">
        <is>
          <t>Implemented</t>
        </is>
      </c>
      <c r="F23" s="38">
        <f>COUNTIF(H5:H19,"Implemented")</f>
        <v/>
      </c>
    </row>
    <row r="24" ht="26" customHeight="1">
      <c r="B24" s="36" t="inlineStr">
        <is>
          <t>In Progress</t>
        </is>
      </c>
      <c r="F24" s="37">
        <f>COUNTIF(H5:H19,"In Progress")</f>
        <v/>
      </c>
    </row>
    <row r="25" ht="26" customHeight="1">
      <c r="B25" s="26" t="inlineStr">
        <is>
          <t>Pending</t>
        </is>
      </c>
      <c r="F25" s="38">
        <f>COUNTIF(H5:H19,"Pending")</f>
        <v/>
      </c>
    </row>
    <row r="26" ht="26" customHeight="1">
      <c r="B26" s="36" t="inlineStr">
        <is>
          <t>Deferred</t>
        </is>
      </c>
      <c r="F26" s="37">
        <f>COUNTIF(H5:H19,"Deferred")</f>
        <v/>
      </c>
    </row>
    <row r="27" ht="26" customHeight="1">
      <c r="B27" s="26" t="inlineStr">
        <is>
          <t>Implementation Rate (%)</t>
        </is>
      </c>
      <c r="F27" s="38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TPC-04: COMPANY / EMPLOYER DATABASE REGISTER</t>
        </is>
      </c>
    </row>
    <row r="3" ht="25" customHeight="1">
      <c r="B3" s="2" t="inlineStr">
        <is>
          <t>A.Y.: _______  T&amp;P Officer: ___________________  Last Updated: _______</t>
        </is>
      </c>
    </row>
    <row r="4" ht="25" customHeight="1">
      <c r="B4" s="13" t="inlineStr">
        <is>
          <t>Company
Ref.</t>
        </is>
      </c>
      <c r="C4" s="13" t="inlineStr">
        <is>
          <t>Company / Organisation Name</t>
        </is>
      </c>
      <c r="D4" s="13" t="inlineStr">
        <is>
          <t>Industry
Sector</t>
        </is>
      </c>
      <c r="E4" s="13" t="inlineStr">
        <is>
          <t>Type</t>
        </is>
      </c>
      <c r="F4" s="13" t="inlineStr">
        <is>
          <t>City /
HQ</t>
        </is>
      </c>
      <c r="G4" s="13" t="inlineStr">
        <is>
          <t>HR Contact
Name</t>
        </is>
      </c>
      <c r="H4" s="13" t="inlineStr">
        <is>
          <t>HR Email
/ Phone</t>
        </is>
      </c>
      <c r="I4" s="13" t="inlineStr">
        <is>
          <t>Last Visit
Year</t>
        </is>
      </c>
      <c r="J4" s="13" t="inlineStr">
        <is>
          <t>Students
Hired (Last A.Y.)</t>
        </is>
      </c>
      <c r="K4" s="13" t="inlineStr">
        <is>
          <t>Engagement
Level</t>
        </is>
      </c>
    </row>
    <row r="5" ht="22" customHeight="1">
      <c r="B5" s="14" t="inlineStr">
        <is>
          <t>CO/001</t>
        </is>
      </c>
      <c r="C5" s="15" t="inlineStr"/>
      <c r="D5" s="16" t="inlineStr">
        <is>
          <t>IT / Software</t>
        </is>
      </c>
      <c r="E5" s="16" t="inlineStr">
        <is>
          <t>MNC</t>
        </is>
      </c>
      <c r="F5" s="16" t="inlineStr"/>
      <c r="G5" s="15" t="inlineStr"/>
      <c r="H5" s="15" t="inlineStr"/>
      <c r="I5" s="16" t="inlineStr"/>
      <c r="J5" s="16" t="inlineStr"/>
      <c r="K5" s="16" t="inlineStr">
        <is>
          <t>Core Recruiter — Annual</t>
        </is>
      </c>
    </row>
    <row r="6" ht="22" customHeight="1">
      <c r="B6" s="8" t="inlineStr">
        <is>
          <t>CO/002</t>
        </is>
      </c>
      <c r="C6" s="9" t="inlineStr"/>
      <c r="D6" s="10" t="inlineStr">
        <is>
          <t>IT Services / BPO</t>
        </is>
      </c>
      <c r="E6" s="10" t="inlineStr">
        <is>
          <t>Large Indian Corp</t>
        </is>
      </c>
      <c r="F6" s="10" t="inlineStr"/>
      <c r="G6" s="9" t="inlineStr"/>
      <c r="H6" s="9" t="inlineStr"/>
      <c r="I6" s="10" t="inlineStr"/>
      <c r="J6" s="10" t="inlineStr"/>
      <c r="K6" s="10" t="inlineStr">
        <is>
          <t>Active — Visits most years</t>
        </is>
      </c>
    </row>
    <row r="7" ht="22" customHeight="1">
      <c r="B7" s="14" t="inlineStr">
        <is>
          <t>CO/003</t>
        </is>
      </c>
      <c r="C7" s="15" t="inlineStr"/>
      <c r="D7" s="16" t="inlineStr">
        <is>
          <t>Core Engineering</t>
        </is>
      </c>
      <c r="E7" s="16" t="inlineStr">
        <is>
          <t>Mid-Size Company</t>
        </is>
      </c>
      <c r="F7" s="16" t="inlineStr"/>
      <c r="G7" s="15" t="inlineStr"/>
      <c r="H7" s="15" t="inlineStr"/>
      <c r="I7" s="16" t="inlineStr"/>
      <c r="J7" s="16" t="inlineStr"/>
      <c r="K7" s="16" t="inlineStr">
        <is>
          <t>Occasional</t>
        </is>
      </c>
    </row>
    <row r="8" ht="22" customHeight="1">
      <c r="B8" s="8" t="inlineStr">
        <is>
          <t>CO/004</t>
        </is>
      </c>
      <c r="C8" s="9" t="inlineStr"/>
      <c r="D8" s="10" t="inlineStr">
        <is>
          <t>Manufacturing</t>
        </is>
      </c>
      <c r="E8" s="10" t="inlineStr">
        <is>
          <t>MSME / SME</t>
        </is>
      </c>
      <c r="F8" s="10" t="inlineStr"/>
      <c r="G8" s="9" t="inlineStr"/>
      <c r="H8" s="9" t="inlineStr"/>
      <c r="I8" s="10" t="inlineStr"/>
      <c r="J8" s="10" t="inlineStr"/>
      <c r="K8" s="10" t="inlineStr">
        <is>
          <t>Invited — Yet to Visit</t>
        </is>
      </c>
    </row>
    <row r="9" ht="22" customHeight="1">
      <c r="B9" s="14" t="inlineStr">
        <is>
          <t>CO/005</t>
        </is>
      </c>
      <c r="C9" s="15" t="inlineStr"/>
      <c r="D9" s="16" t="inlineStr">
        <is>
          <t>FMCG / Retail</t>
        </is>
      </c>
      <c r="E9" s="16" t="inlineStr">
        <is>
          <t>PSU</t>
        </is>
      </c>
      <c r="F9" s="16" t="inlineStr"/>
      <c r="G9" s="15" t="inlineStr"/>
      <c r="H9" s="15" t="inlineStr"/>
      <c r="I9" s="16" t="inlineStr"/>
      <c r="J9" s="16" t="inlineStr"/>
      <c r="K9" s="16" t="inlineStr">
        <is>
          <t>Alumni-Referred Company</t>
        </is>
      </c>
    </row>
    <row r="10" ht="22" customHeight="1">
      <c r="B10" s="8" t="inlineStr">
        <is>
          <t>CO/006</t>
        </is>
      </c>
      <c r="C10" s="9" t="inlineStr"/>
      <c r="D10" s="10" t="inlineStr">
        <is>
          <t>Banking / Finance</t>
        </is>
      </c>
      <c r="E10" s="10" t="inlineStr">
        <is>
          <t>Startup</t>
        </is>
      </c>
      <c r="F10" s="10" t="inlineStr"/>
      <c r="G10" s="9" t="inlineStr"/>
      <c r="H10" s="9" t="inlineStr"/>
      <c r="I10" s="10" t="inlineStr"/>
      <c r="J10" s="10" t="inlineStr"/>
      <c r="K10" s="10" t="inlineStr">
        <is>
          <t>New — First Time</t>
        </is>
      </c>
    </row>
    <row r="11" ht="22" customHeight="1">
      <c r="B11" s="14" t="inlineStr">
        <is>
          <t>CO/007</t>
        </is>
      </c>
      <c r="C11" s="15" t="inlineStr"/>
      <c r="D11" s="16" t="inlineStr">
        <is>
          <t>Pharma / Healthcare</t>
        </is>
      </c>
      <c r="E11" s="16" t="inlineStr">
        <is>
          <t>Govt. / Defence</t>
        </is>
      </c>
      <c r="F11" s="16" t="inlineStr"/>
      <c r="G11" s="15" t="inlineStr"/>
      <c r="H11" s="15" t="inlineStr"/>
      <c r="I11" s="16" t="inlineStr"/>
      <c r="J11" s="16" t="inlineStr"/>
      <c r="K11" s="16" t="inlineStr">
        <is>
          <t>Core Recruiter — Annual</t>
        </is>
      </c>
    </row>
    <row r="12" ht="22" customHeight="1">
      <c r="B12" s="8" t="inlineStr">
        <is>
          <t>CO/008</t>
        </is>
      </c>
      <c r="C12" s="9" t="inlineStr"/>
      <c r="D12" s="10" t="inlineStr">
        <is>
          <t>Consulting</t>
        </is>
      </c>
      <c r="E12" s="10" t="inlineStr">
        <is>
          <t>MNC</t>
        </is>
      </c>
      <c r="F12" s="10" t="inlineStr"/>
      <c r="G12" s="9" t="inlineStr"/>
      <c r="H12" s="9" t="inlineStr"/>
      <c r="I12" s="10" t="inlineStr"/>
      <c r="J12" s="10" t="inlineStr"/>
      <c r="K12" s="10" t="inlineStr">
        <is>
          <t>Active — Visits most years</t>
        </is>
      </c>
    </row>
    <row r="13" ht="22" customHeight="1">
      <c r="B13" s="14" t="inlineStr">
        <is>
          <t>CO/009</t>
        </is>
      </c>
      <c r="C13" s="15" t="inlineStr"/>
      <c r="D13" s="16" t="inlineStr">
        <is>
          <t>E-Commerce</t>
        </is>
      </c>
      <c r="E13" s="16" t="inlineStr">
        <is>
          <t>Large Indian Corp</t>
        </is>
      </c>
      <c r="F13" s="16" t="inlineStr"/>
      <c r="G13" s="15" t="inlineStr"/>
      <c r="H13" s="15" t="inlineStr"/>
      <c r="I13" s="16" t="inlineStr"/>
      <c r="J13" s="16" t="inlineStr"/>
      <c r="K13" s="16" t="inlineStr">
        <is>
          <t>Occasional</t>
        </is>
      </c>
    </row>
    <row r="14" ht="22" customHeight="1">
      <c r="B14" s="8" t="inlineStr">
        <is>
          <t>CO/010</t>
        </is>
      </c>
      <c r="C14" s="9" t="inlineStr"/>
      <c r="D14" s="10" t="inlineStr">
        <is>
          <t>Telecom</t>
        </is>
      </c>
      <c r="E14" s="10" t="inlineStr">
        <is>
          <t>Mid-Size Company</t>
        </is>
      </c>
      <c r="F14" s="10" t="inlineStr"/>
      <c r="G14" s="9" t="inlineStr"/>
      <c r="H14" s="9" t="inlineStr"/>
      <c r="I14" s="10" t="inlineStr"/>
      <c r="J14" s="10" t="inlineStr"/>
      <c r="K14" s="10" t="inlineStr">
        <is>
          <t>Invited — Yet to Visit</t>
        </is>
      </c>
    </row>
    <row r="15" ht="22" customHeight="1">
      <c r="B15" s="14" t="inlineStr">
        <is>
          <t>CO/011</t>
        </is>
      </c>
      <c r="C15" s="15" t="inlineStr"/>
      <c r="D15" s="16" t="inlineStr">
        <is>
          <t>Education / Ed-Tech</t>
        </is>
      </c>
      <c r="E15" s="16" t="inlineStr">
        <is>
          <t>MSME / SME</t>
        </is>
      </c>
      <c r="F15" s="16" t="inlineStr"/>
      <c r="G15" s="15" t="inlineStr"/>
      <c r="H15" s="15" t="inlineStr"/>
      <c r="I15" s="16" t="inlineStr"/>
      <c r="J15" s="16" t="inlineStr"/>
      <c r="K15" s="16" t="inlineStr">
        <is>
          <t>Alumni-Referred Company</t>
        </is>
      </c>
    </row>
    <row r="16" ht="22" customHeight="1">
      <c r="B16" s="8" t="inlineStr">
        <is>
          <t>CO/012</t>
        </is>
      </c>
      <c r="C16" s="9" t="inlineStr"/>
      <c r="D16" s="10" t="inlineStr">
        <is>
          <t>Govt. / PSU</t>
        </is>
      </c>
      <c r="E16" s="10" t="inlineStr">
        <is>
          <t>PSU</t>
        </is>
      </c>
      <c r="F16" s="10" t="inlineStr"/>
      <c r="G16" s="9" t="inlineStr"/>
      <c r="H16" s="9" t="inlineStr"/>
      <c r="I16" s="10" t="inlineStr"/>
      <c r="J16" s="10" t="inlineStr"/>
      <c r="K16" s="10" t="inlineStr">
        <is>
          <t>New — First Time</t>
        </is>
      </c>
    </row>
    <row r="17" ht="22" customHeight="1">
      <c r="B17" s="14" t="inlineStr">
        <is>
          <t>CO/013</t>
        </is>
      </c>
      <c r="C17" s="15" t="inlineStr"/>
      <c r="D17" s="16" t="inlineStr">
        <is>
          <t>Defence</t>
        </is>
      </c>
      <c r="E17" s="16" t="inlineStr">
        <is>
          <t>Startup</t>
        </is>
      </c>
      <c r="F17" s="16" t="inlineStr"/>
      <c r="G17" s="15" t="inlineStr"/>
      <c r="H17" s="15" t="inlineStr"/>
      <c r="I17" s="16" t="inlineStr"/>
      <c r="J17" s="16" t="inlineStr"/>
      <c r="K17" s="16" t="inlineStr">
        <is>
          <t>Core Recruiter — Annual</t>
        </is>
      </c>
    </row>
    <row r="18" ht="22" customHeight="1">
      <c r="B18" s="8" t="inlineStr">
        <is>
          <t>CO/014</t>
        </is>
      </c>
      <c r="C18" s="9" t="inlineStr"/>
      <c r="D18" s="10" t="inlineStr">
        <is>
          <t>Others</t>
        </is>
      </c>
      <c r="E18" s="10" t="inlineStr">
        <is>
          <t>Govt. / Defence</t>
        </is>
      </c>
      <c r="F18" s="10" t="inlineStr"/>
      <c r="G18" s="9" t="inlineStr"/>
      <c r="H18" s="9" t="inlineStr"/>
      <c r="I18" s="10" t="inlineStr"/>
      <c r="J18" s="10" t="inlineStr"/>
      <c r="K18" s="10" t="inlineStr">
        <is>
          <t>Active — Visits most years</t>
        </is>
      </c>
    </row>
    <row r="19" ht="22" customHeight="1">
      <c r="B19" s="14" t="inlineStr">
        <is>
          <t>CO/015</t>
        </is>
      </c>
      <c r="C19" s="15" t="inlineStr"/>
      <c r="D19" s="16" t="inlineStr">
        <is>
          <t>IT / Software</t>
        </is>
      </c>
      <c r="E19" s="16" t="inlineStr">
        <is>
          <t>MNC</t>
        </is>
      </c>
      <c r="F19" s="16" t="inlineStr"/>
      <c r="G19" s="15" t="inlineStr"/>
      <c r="H19" s="15" t="inlineStr"/>
      <c r="I19" s="16" t="inlineStr"/>
      <c r="J19" s="16" t="inlineStr"/>
      <c r="K19" s="16" t="inlineStr">
        <is>
          <t>Occasional</t>
        </is>
      </c>
    </row>
    <row r="20" ht="22" customHeight="1">
      <c r="B20" s="8" t="inlineStr">
        <is>
          <t>CO/016</t>
        </is>
      </c>
      <c r="C20" s="9" t="inlineStr"/>
      <c r="D20" s="10" t="inlineStr">
        <is>
          <t>IT Services / BPO</t>
        </is>
      </c>
      <c r="E20" s="10" t="inlineStr">
        <is>
          <t>Large Indian Corp</t>
        </is>
      </c>
      <c r="F20" s="10" t="inlineStr"/>
      <c r="G20" s="9" t="inlineStr"/>
      <c r="H20" s="9" t="inlineStr"/>
      <c r="I20" s="10" t="inlineStr"/>
      <c r="J20" s="10" t="inlineStr"/>
      <c r="K20" s="10" t="inlineStr">
        <is>
          <t>Invited — Yet to Visit</t>
        </is>
      </c>
    </row>
    <row r="21" ht="22" customHeight="1">
      <c r="B21" s="14" t="inlineStr">
        <is>
          <t>CO/017</t>
        </is>
      </c>
      <c r="C21" s="15" t="inlineStr"/>
      <c r="D21" s="16" t="inlineStr">
        <is>
          <t>Core Engineering</t>
        </is>
      </c>
      <c r="E21" s="16" t="inlineStr">
        <is>
          <t>Mid-Size Company</t>
        </is>
      </c>
      <c r="F21" s="16" t="inlineStr"/>
      <c r="G21" s="15" t="inlineStr"/>
      <c r="H21" s="15" t="inlineStr"/>
      <c r="I21" s="16" t="inlineStr"/>
      <c r="J21" s="16" t="inlineStr"/>
      <c r="K21" s="16" t="inlineStr">
        <is>
          <t>Alumni-Referred Company</t>
        </is>
      </c>
    </row>
    <row r="22" ht="22" customHeight="1">
      <c r="B22" s="8" t="inlineStr">
        <is>
          <t>CO/018</t>
        </is>
      </c>
      <c r="C22" s="9" t="inlineStr"/>
      <c r="D22" s="10" t="inlineStr">
        <is>
          <t>Manufacturing</t>
        </is>
      </c>
      <c r="E22" s="10" t="inlineStr">
        <is>
          <t>MSME / SME</t>
        </is>
      </c>
      <c r="F22" s="10" t="inlineStr"/>
      <c r="G22" s="9" t="inlineStr"/>
      <c r="H22" s="9" t="inlineStr"/>
      <c r="I22" s="10" t="inlineStr"/>
      <c r="J22" s="10" t="inlineStr"/>
      <c r="K22" s="10" t="inlineStr">
        <is>
          <t>New — First Time</t>
        </is>
      </c>
    </row>
    <row r="23" ht="22" customHeight="1">
      <c r="B23" s="14" t="inlineStr">
        <is>
          <t>CO/019</t>
        </is>
      </c>
      <c r="C23" s="15" t="inlineStr"/>
      <c r="D23" s="16" t="inlineStr">
        <is>
          <t>FMCG / Retail</t>
        </is>
      </c>
      <c r="E23" s="16" t="inlineStr">
        <is>
          <t>PSU</t>
        </is>
      </c>
      <c r="F23" s="16" t="inlineStr"/>
      <c r="G23" s="15" t="inlineStr"/>
      <c r="H23" s="15" t="inlineStr"/>
      <c r="I23" s="16" t="inlineStr"/>
      <c r="J23" s="16" t="inlineStr"/>
      <c r="K23" s="16" t="inlineStr">
        <is>
          <t>Core Recruiter — Annual</t>
        </is>
      </c>
    </row>
    <row r="24" ht="22" customHeight="1">
      <c r="B24" s="8" t="inlineStr">
        <is>
          <t>CO/020</t>
        </is>
      </c>
      <c r="C24" s="9" t="inlineStr"/>
      <c r="D24" s="10" t="inlineStr">
        <is>
          <t>Banking / Finance</t>
        </is>
      </c>
      <c r="E24" s="10" t="inlineStr">
        <is>
          <t>Startup</t>
        </is>
      </c>
      <c r="F24" s="10" t="inlineStr"/>
      <c r="G24" s="9" t="inlineStr"/>
      <c r="H24" s="9" t="inlineStr"/>
      <c r="I24" s="10" t="inlineStr"/>
      <c r="J24" s="10" t="inlineStr"/>
      <c r="K24" s="10" t="inlineStr">
        <is>
          <t>Active — Visits most years</t>
        </is>
      </c>
    </row>
    <row r="25" ht="22" customHeight="1">
      <c r="B25" s="14" t="inlineStr">
        <is>
          <t>CO/021</t>
        </is>
      </c>
      <c r="C25" s="15" t="inlineStr"/>
      <c r="D25" s="16" t="inlineStr">
        <is>
          <t>Pharma / Healthcare</t>
        </is>
      </c>
      <c r="E25" s="16" t="inlineStr">
        <is>
          <t>Govt. / Defence</t>
        </is>
      </c>
      <c r="F25" s="16" t="inlineStr"/>
      <c r="G25" s="15" t="inlineStr"/>
      <c r="H25" s="15" t="inlineStr"/>
      <c r="I25" s="16" t="inlineStr"/>
      <c r="J25" s="16" t="inlineStr"/>
      <c r="K25" s="16" t="inlineStr">
        <is>
          <t>Occasional</t>
        </is>
      </c>
    </row>
    <row r="26" ht="22" customHeight="1">
      <c r="B26" s="8" t="inlineStr">
        <is>
          <t>CO/022</t>
        </is>
      </c>
      <c r="C26" s="9" t="inlineStr"/>
      <c r="D26" s="10" t="inlineStr">
        <is>
          <t>Consulting</t>
        </is>
      </c>
      <c r="E26" s="10" t="inlineStr">
        <is>
          <t>MNC</t>
        </is>
      </c>
      <c r="F26" s="10" t="inlineStr"/>
      <c r="G26" s="9" t="inlineStr"/>
      <c r="H26" s="9" t="inlineStr"/>
      <c r="I26" s="10" t="inlineStr"/>
      <c r="J26" s="10" t="inlineStr"/>
      <c r="K26" s="10" t="inlineStr">
        <is>
          <t>Invited — Yet to Visit</t>
        </is>
      </c>
    </row>
    <row r="27" ht="22" customHeight="1">
      <c r="B27" s="14" t="inlineStr">
        <is>
          <t>CO/023</t>
        </is>
      </c>
      <c r="C27" s="15" t="inlineStr"/>
      <c r="D27" s="16" t="inlineStr">
        <is>
          <t>E-Commerce</t>
        </is>
      </c>
      <c r="E27" s="16" t="inlineStr">
        <is>
          <t>Large Indian Corp</t>
        </is>
      </c>
      <c r="F27" s="16" t="inlineStr"/>
      <c r="G27" s="15" t="inlineStr"/>
      <c r="H27" s="15" t="inlineStr"/>
      <c r="I27" s="16" t="inlineStr"/>
      <c r="J27" s="16" t="inlineStr"/>
      <c r="K27" s="16" t="inlineStr">
        <is>
          <t>Alumni-Referred Company</t>
        </is>
      </c>
    </row>
    <row r="28" ht="22" customHeight="1">
      <c r="B28" s="8" t="inlineStr">
        <is>
          <t>CO/024</t>
        </is>
      </c>
      <c r="C28" s="9" t="inlineStr"/>
      <c r="D28" s="10" t="inlineStr">
        <is>
          <t>Telecom</t>
        </is>
      </c>
      <c r="E28" s="10" t="inlineStr">
        <is>
          <t>Mid-Size Company</t>
        </is>
      </c>
      <c r="F28" s="10" t="inlineStr"/>
      <c r="G28" s="9" t="inlineStr"/>
      <c r="H28" s="9" t="inlineStr"/>
      <c r="I28" s="10" t="inlineStr"/>
      <c r="J28" s="10" t="inlineStr"/>
      <c r="K28" s="10" t="inlineStr">
        <is>
          <t>New — First Time</t>
        </is>
      </c>
    </row>
    <row r="29" ht="22" customHeight="1">
      <c r="B29" s="14" t="inlineStr">
        <is>
          <t>CO/025</t>
        </is>
      </c>
      <c r="C29" s="15" t="inlineStr"/>
      <c r="D29" s="16" t="inlineStr">
        <is>
          <t>Education / Ed-Tech</t>
        </is>
      </c>
      <c r="E29" s="16" t="inlineStr">
        <is>
          <t>MSME / SME</t>
        </is>
      </c>
      <c r="F29" s="16" t="inlineStr"/>
      <c r="G29" s="15" t="inlineStr"/>
      <c r="H29" s="15" t="inlineStr"/>
      <c r="I29" s="16" t="inlineStr"/>
      <c r="J29" s="16" t="inlineStr"/>
      <c r="K29" s="16" t="inlineStr">
        <is>
          <t>Core Recruiter — Annual</t>
        </is>
      </c>
    </row>
    <row r="30" ht="22" customHeight="1">
      <c r="B30" s="8" t="inlineStr">
        <is>
          <t>CO/026</t>
        </is>
      </c>
      <c r="C30" s="9" t="inlineStr"/>
      <c r="D30" s="10" t="inlineStr">
        <is>
          <t>Govt. / PSU</t>
        </is>
      </c>
      <c r="E30" s="10" t="inlineStr">
        <is>
          <t>PSU</t>
        </is>
      </c>
      <c r="F30" s="10" t="inlineStr"/>
      <c r="G30" s="9" t="inlineStr"/>
      <c r="H30" s="9" t="inlineStr"/>
      <c r="I30" s="10" t="inlineStr"/>
      <c r="J30" s="10" t="inlineStr"/>
      <c r="K30" s="10" t="inlineStr">
        <is>
          <t>Active — Visits most years</t>
        </is>
      </c>
    </row>
    <row r="31" ht="22" customHeight="1">
      <c r="B31" s="14" t="inlineStr">
        <is>
          <t>CO/027</t>
        </is>
      </c>
      <c r="C31" s="15" t="inlineStr"/>
      <c r="D31" s="16" t="inlineStr">
        <is>
          <t>Defence</t>
        </is>
      </c>
      <c r="E31" s="16" t="inlineStr">
        <is>
          <t>Startup</t>
        </is>
      </c>
      <c r="F31" s="16" t="inlineStr"/>
      <c r="G31" s="15" t="inlineStr"/>
      <c r="H31" s="15" t="inlineStr"/>
      <c r="I31" s="16" t="inlineStr"/>
      <c r="J31" s="16" t="inlineStr"/>
      <c r="K31" s="16" t="inlineStr">
        <is>
          <t>Occasional</t>
        </is>
      </c>
    </row>
    <row r="32" ht="22" customHeight="1">
      <c r="B32" s="8" t="inlineStr">
        <is>
          <t>CO/028</t>
        </is>
      </c>
      <c r="C32" s="9" t="inlineStr"/>
      <c r="D32" s="10" t="inlineStr">
        <is>
          <t>Others</t>
        </is>
      </c>
      <c r="E32" s="10" t="inlineStr">
        <is>
          <t>Govt. / Defence</t>
        </is>
      </c>
      <c r="F32" s="10" t="inlineStr"/>
      <c r="G32" s="9" t="inlineStr"/>
      <c r="H32" s="9" t="inlineStr"/>
      <c r="I32" s="10" t="inlineStr"/>
      <c r="J32" s="10" t="inlineStr"/>
      <c r="K32" s="10" t="inlineStr">
        <is>
          <t>Invited — Yet to Visit</t>
        </is>
      </c>
    </row>
    <row r="33" ht="22" customHeight="1">
      <c r="B33" s="14" t="inlineStr">
        <is>
          <t>CO/029</t>
        </is>
      </c>
      <c r="C33" s="15" t="inlineStr"/>
      <c r="D33" s="16" t="inlineStr">
        <is>
          <t>IT / Software</t>
        </is>
      </c>
      <c r="E33" s="16" t="inlineStr">
        <is>
          <t>MNC</t>
        </is>
      </c>
      <c r="F33" s="16" t="inlineStr"/>
      <c r="G33" s="15" t="inlineStr"/>
      <c r="H33" s="15" t="inlineStr"/>
      <c r="I33" s="16" t="inlineStr"/>
      <c r="J33" s="16" t="inlineStr"/>
      <c r="K33" s="16" t="inlineStr">
        <is>
          <t>Alumni-Referred Company</t>
        </is>
      </c>
    </row>
    <row r="34" ht="22" customHeight="1">
      <c r="B34" s="8" t="inlineStr">
        <is>
          <t>CO/030</t>
        </is>
      </c>
      <c r="C34" s="9" t="inlineStr"/>
      <c r="D34" s="10" t="inlineStr">
        <is>
          <t>IT Services / BPO</t>
        </is>
      </c>
      <c r="E34" s="10" t="inlineStr">
        <is>
          <t>Large Indian Corp</t>
        </is>
      </c>
      <c r="F34" s="10" t="inlineStr"/>
      <c r="G34" s="9" t="inlineStr"/>
      <c r="H34" s="9" t="inlineStr"/>
      <c r="I34" s="10" t="inlineStr"/>
      <c r="J34" s="10" t="inlineStr"/>
      <c r="K34" s="10" t="inlineStr">
        <is>
          <t>New — First Time</t>
        </is>
      </c>
    </row>
    <row r="35" ht="22" customHeight="1"/>
    <row r="36" ht="24" customHeight="1">
      <c r="B36" s="35" t="inlineStr">
        <is>
          <t>COMPANY ECOSYSTEM SUMMARY</t>
        </is>
      </c>
    </row>
    <row r="37" ht="22" customHeight="1">
      <c r="B37" s="31" t="inlineStr">
        <is>
          <t>Sector</t>
        </is>
      </c>
      <c r="C37" s="31" t="inlineStr">
        <is>
          <t>No. of
Companies</t>
        </is>
      </c>
      <c r="D37" s="31" t="inlineStr">
        <is>
          <t>Core
Recruiters</t>
        </is>
      </c>
      <c r="E37" s="31" t="inlineStr">
        <is>
          <t>Active
Companies</t>
        </is>
      </c>
      <c r="F37" s="31" t="inlineStr">
        <is>
          <t>Occasional</t>
        </is>
      </c>
      <c r="G37" s="31" t="inlineStr">
        <is>
          <t>Avg.
Hires</t>
        </is>
      </c>
      <c r="H37" s="31" t="inlineStr">
        <is>
          <t>Total Hires
(Last A.Y.)</t>
        </is>
      </c>
      <c r="I37" s="31" t="inlineStr">
        <is>
          <t>Highest
CTC (₹L)</t>
        </is>
      </c>
      <c r="J37" s="31" t="inlineStr">
        <is>
          <t>Avg.
CTC (₹L)</t>
        </is>
      </c>
      <c r="K37" s="31" t="inlineStr">
        <is>
          <t>Remarks</t>
        </is>
      </c>
    </row>
    <row r="38" ht="22" customHeight="1">
      <c r="B38" s="33" t="inlineStr">
        <is>
          <t>IT / Software</t>
        </is>
      </c>
      <c r="C38" s="34" t="inlineStr"/>
      <c r="D38" s="34" t="inlineStr"/>
      <c r="E38" s="34" t="inlineStr"/>
      <c r="F38" s="34" t="inlineStr"/>
      <c r="G38" s="34" t="inlineStr"/>
      <c r="H38" s="34" t="inlineStr"/>
      <c r="I38" s="34" t="inlineStr"/>
      <c r="J38" s="34" t="inlineStr"/>
      <c r="K38" s="33" t="inlineStr"/>
    </row>
    <row r="39" ht="22" customHeight="1">
      <c r="B39" s="9" t="inlineStr">
        <is>
          <t>IT Services / BPO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9" t="inlineStr"/>
    </row>
    <row r="40" ht="22" customHeight="1">
      <c r="B40" s="33" t="inlineStr">
        <is>
          <t>Core Engineering</t>
        </is>
      </c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  <c r="J40" s="34" t="inlineStr"/>
      <c r="K40" s="33" t="inlineStr"/>
    </row>
    <row r="41" ht="22" customHeight="1">
      <c r="B41" s="9" t="inlineStr">
        <is>
          <t>Manufacturing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9" t="inlineStr"/>
    </row>
    <row r="42">
      <c r="B42" s="33" t="inlineStr">
        <is>
          <t>FMCG / Retail</t>
        </is>
      </c>
      <c r="C42" s="34" t="inlineStr"/>
      <c r="D42" s="34" t="inlineStr"/>
      <c r="E42" s="34" t="inlineStr"/>
      <c r="F42" s="34" t="inlineStr"/>
      <c r="G42" s="34" t="inlineStr"/>
      <c r="H42" s="34" t="inlineStr"/>
      <c r="I42" s="34" t="inlineStr"/>
      <c r="J42" s="34" t="inlineStr"/>
      <c r="K42" s="33" t="inlineStr"/>
    </row>
    <row r="43">
      <c r="B43" s="9" t="inlineStr">
        <is>
          <t>Banking / Finance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9" t="inlineStr"/>
    </row>
    <row r="44">
      <c r="B44" s="33" t="inlineStr">
        <is>
          <t>Pharma / Healthcare</t>
        </is>
      </c>
      <c r="C44" s="34" t="inlineStr"/>
      <c r="D44" s="34" t="inlineStr"/>
      <c r="E44" s="34" t="inlineStr"/>
      <c r="F44" s="34" t="inlineStr"/>
      <c r="G44" s="34" t="inlineStr"/>
      <c r="H44" s="34" t="inlineStr"/>
      <c r="I44" s="34" t="inlineStr"/>
      <c r="J44" s="34" t="inlineStr"/>
      <c r="K44" s="33" t="inlineStr"/>
    </row>
    <row r="45">
      <c r="B45" s="9" t="inlineStr">
        <is>
          <t>Consulting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9" t="inlineStr"/>
    </row>
    <row r="46">
      <c r="B46" s="33" t="inlineStr">
        <is>
          <t>E-Commerce</t>
        </is>
      </c>
      <c r="C46" s="34" t="inlineStr"/>
      <c r="D46" s="34" t="inlineStr"/>
      <c r="E46" s="34" t="inlineStr"/>
      <c r="F46" s="34" t="inlineStr"/>
      <c r="G46" s="34" t="inlineStr"/>
      <c r="H46" s="34" t="inlineStr"/>
      <c r="I46" s="34" t="inlineStr"/>
      <c r="J46" s="34" t="inlineStr"/>
      <c r="K46" s="33" t="inlineStr"/>
    </row>
    <row r="47">
      <c r="B47" s="9" t="inlineStr">
        <is>
          <t>Telecom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9" t="inlineStr"/>
    </row>
    <row r="48">
      <c r="B48" s="24" t="inlineStr">
        <is>
          <t>TOTAL</t>
        </is>
      </c>
      <c r="C48" s="39" t="inlineStr"/>
      <c r="D48" s="39" t="inlineStr"/>
      <c r="E48" s="39" t="inlineStr"/>
      <c r="F48" s="39" t="inlineStr"/>
      <c r="G48" s="39" t="inlineStr"/>
      <c r="H48" s="39" t="inlineStr"/>
      <c r="I48" s="39" t="inlineStr"/>
      <c r="J48" s="39" t="inlineStr"/>
      <c r="K48" s="24" t="inlineStr"/>
    </row>
  </sheetData>
  <mergeCells count="3">
    <mergeCell ref="B3:K3"/>
    <mergeCell ref="B36:K36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TPC-05: COMPANY REGISTRATION &amp; PRE-PLACEMENT DETAILS FORM</t>
        </is>
      </c>
    </row>
    <row r="3" ht="25" customHeight="1">
      <c r="B3" s="2" t="inlineStr">
        <is>
          <t>Company Ref.: TPC/CO/______/______   Registration Date: _______   Drive Date Proposed: _______</t>
        </is>
      </c>
    </row>
    <row r="4" ht="24" customHeight="1">
      <c r="B4" s="20" t="inlineStr">
        <is>
          <t>SECTION A — COMPANY DETAILS</t>
        </is>
      </c>
    </row>
    <row r="5" ht="26" customHeight="1">
      <c r="B5" s="40" t="inlineStr">
        <is>
          <t>Company / Organisation Name:</t>
        </is>
      </c>
      <c r="C5" s="9" t="n"/>
    </row>
    <row r="6" ht="26" customHeight="1">
      <c r="B6" s="40" t="inlineStr">
        <is>
          <t>Industry Sector:</t>
        </is>
      </c>
      <c r="C6" s="9" t="n"/>
    </row>
    <row r="7" ht="26" customHeight="1">
      <c r="B7" s="40" t="inlineStr">
        <is>
          <t>Type of Organisation:</t>
        </is>
      </c>
      <c r="C7" s="41" t="inlineStr">
        <is>
          <t>[ ] MNC  [ ] Large Indian  [ ] Mid-size  [ ] MSME  [ ] Startup  [ ] PSU  [ ] Govt.</t>
        </is>
      </c>
    </row>
    <row r="8" ht="26" customHeight="1">
      <c r="B8" s="40" t="inlineStr">
        <is>
          <t>Registered Office Address:</t>
        </is>
      </c>
      <c r="C8" s="9" t="n"/>
    </row>
    <row r="9" ht="26" customHeight="1">
      <c r="B9" s="40" t="inlineStr">
        <is>
          <t>Campus / Visiting Location:</t>
        </is>
      </c>
      <c r="C9" s="9" t="n"/>
    </row>
    <row r="10" ht="26" customHeight="1">
      <c r="B10" s="40" t="inlineStr">
        <is>
          <t>Company Website:</t>
        </is>
      </c>
      <c r="C10" s="9" t="n"/>
    </row>
    <row r="11" ht="26" customHeight="1">
      <c r="B11" s="40" t="inlineStr">
        <is>
          <t>Year Established:</t>
        </is>
      </c>
      <c r="C11" s="9" t="n"/>
    </row>
    <row r="12" ht="26" customHeight="1">
      <c r="B12" s="40" t="inlineStr">
        <is>
          <t>Primary HR Contact Name:</t>
        </is>
      </c>
      <c r="C12" s="9" t="n"/>
    </row>
    <row r="13" ht="26" customHeight="1">
      <c r="B13" s="40" t="inlineStr">
        <is>
          <t>Designation:</t>
        </is>
      </c>
      <c r="C13" s="9" t="n"/>
    </row>
    <row r="14" ht="26" customHeight="1">
      <c r="B14" s="40" t="inlineStr">
        <is>
          <t>Email:</t>
        </is>
      </c>
      <c r="C14" s="9" t="n"/>
    </row>
    <row r="15" ht="26" customHeight="1">
      <c r="B15" s="40" t="inlineStr">
        <is>
          <t>Phone:</t>
        </is>
      </c>
      <c r="C15" s="9" t="n"/>
    </row>
    <row r="16" ht="26" customHeight="1">
      <c r="B16" s="40" t="inlineStr">
        <is>
          <t>Technical HR Contact (if different):</t>
        </is>
      </c>
      <c r="C16" s="9" t="n"/>
    </row>
    <row r="17" ht="26" customHeight="1">
      <c r="B17" s="40" t="inlineStr">
        <is>
          <t>Recruitment Decision Authority:</t>
        </is>
      </c>
      <c r="C17" s="9" t="n"/>
    </row>
    <row r="18" ht="28" customHeight="1"/>
    <row r="19" ht="24" customHeight="1">
      <c r="B19" s="42" t="inlineStr">
        <is>
          <t>SECTION B — JOB DETAILS</t>
        </is>
      </c>
    </row>
    <row r="20" ht="26" customHeight="1">
      <c r="B20" s="43" t="inlineStr">
        <is>
          <t>Job Title / Role:</t>
        </is>
      </c>
      <c r="C20" s="9" t="n"/>
    </row>
    <row r="21" ht="26" customHeight="1">
      <c r="B21" s="43" t="inlineStr">
        <is>
          <t>Job Location(s):</t>
        </is>
      </c>
      <c r="C21" s="9" t="n"/>
    </row>
    <row r="22" ht="26" customHeight="1">
      <c r="B22" s="43" t="inlineStr">
        <is>
          <t>Employment Type:</t>
        </is>
      </c>
      <c r="C22" s="41" t="inlineStr">
        <is>
          <t>[ ] Full-time Permanent  [ ] Contract  [ ] Trainee  [ ] Apprentice</t>
        </is>
      </c>
    </row>
    <row r="23" ht="26" customHeight="1">
      <c r="B23" s="43" t="inlineStr">
        <is>
          <t>CTC Package (₹L per annum):</t>
        </is>
      </c>
      <c r="C23" s="41" t="inlineStr">
        <is>
          <t>Fixed: _______   Variable: _______   Total: _______</t>
        </is>
      </c>
    </row>
    <row r="24" ht="26" customHeight="1">
      <c r="B24" s="43" t="inlineStr">
        <is>
          <t>Programmes Eligible:</t>
        </is>
      </c>
      <c r="C24" s="41" t="inlineStr">
        <is>
          <t>[ ] B.E./B.Tech  [ ] M.E./M.Tech  [ ] MBA  [ ] MCA  [ ] B.Sc.  [ ] Other</t>
        </is>
      </c>
    </row>
    <row r="25" ht="26" customHeight="1">
      <c r="B25" s="43" t="inlineStr">
        <is>
          <t>Branches Eligible:</t>
        </is>
      </c>
      <c r="C25" s="9" t="n"/>
    </row>
    <row r="26" ht="26" customHeight="1">
      <c r="B26" s="43" t="inlineStr">
        <is>
          <t>Minimum CGPA Required:</t>
        </is>
      </c>
      <c r="C26" s="9" t="n"/>
    </row>
    <row r="27" ht="26" customHeight="1">
      <c r="B27" s="43" t="inlineStr">
        <is>
          <t>Backlogs Policy:</t>
        </is>
      </c>
      <c r="C27" s="41" t="inlineStr">
        <is>
          <t>[ ] No active backlogs  [ ] No backlogs ever  [ ] Backlogs acceptable</t>
        </is>
      </c>
    </row>
    <row r="28" ht="26" customHeight="1">
      <c r="B28" s="43" t="inlineStr">
        <is>
          <t>Other Eligibility Conditions:</t>
        </is>
      </c>
      <c r="C28" s="9" t="n"/>
    </row>
    <row r="29" ht="26" customHeight="1">
      <c r="B29" s="43" t="inlineStr">
        <is>
          <t>Number of Positions / Openings:</t>
        </is>
      </c>
      <c r="C29" s="9" t="n"/>
    </row>
    <row r="30" ht="26" customHeight="1">
      <c r="B30" s="43" t="inlineStr">
        <is>
          <t>Bond / Service Agreement:</t>
        </is>
      </c>
      <c r="C30" s="41" t="inlineStr">
        <is>
          <t>[ ] Yes — Period: _______   [ ] No</t>
        </is>
      </c>
    </row>
    <row r="31" ht="26" customHeight="1">
      <c r="B31" s="43" t="inlineStr">
        <is>
          <t>Joining Date:</t>
        </is>
      </c>
      <c r="C31" s="41" t="inlineStr">
        <is>
          <t>[ ] Immediate  [ ] Post-results  [ ] Specific date: _______</t>
        </is>
      </c>
    </row>
    <row r="32" ht="28" customHeight="1"/>
    <row r="33" ht="24" customHeight="1">
      <c r="B33" s="21" t="inlineStr">
        <is>
          <t>SECTION C — SELECTION PROCESS</t>
        </is>
      </c>
    </row>
    <row r="34" ht="26" customHeight="1">
      <c r="B34" s="44" t="inlineStr">
        <is>
          <t>Selection Rounds:</t>
        </is>
      </c>
      <c r="C34" s="41" t="inlineStr">
        <is>
          <t>[ ] Aptitude Test  [ ] Technical Test  [ ] GD  [ ] Technical Interview  [ ] HR Interview  [ ] Others</t>
        </is>
      </c>
    </row>
    <row r="35" ht="26" customHeight="1">
      <c r="B35" s="44" t="inlineStr">
        <is>
          <t>Test Mode:</t>
        </is>
      </c>
      <c r="C35" s="41" t="inlineStr">
        <is>
          <t>[ ] Online (Company Platform)  [ ] Offline  [ ] Online (AMCAT/Cocubes/HackerEarth)</t>
        </is>
      </c>
    </row>
    <row r="36" ht="26" customHeight="1">
      <c r="B36" s="44" t="inlineStr">
        <is>
          <t>Duration of process (total):</t>
        </is>
      </c>
      <c r="C36" s="9" t="n"/>
    </row>
    <row r="37" ht="26" customHeight="1">
      <c r="B37" s="44" t="inlineStr">
        <is>
          <t>Final result communication timeline:</t>
        </is>
      </c>
      <c r="C37" s="9" t="n"/>
    </row>
    <row r="38" ht="26" customHeight="1">
      <c r="B38" s="44" t="inlineStr">
        <is>
          <t>PPT / Company Presentation Required?</t>
        </is>
      </c>
      <c r="C38" s="41" t="inlineStr">
        <is>
          <t>[ ] Yes — Duration: _______   [ ] No</t>
        </is>
      </c>
    </row>
    <row r="39" ht="26" customHeight="1">
      <c r="B39" s="44" t="inlineStr">
        <is>
          <t>Documents to be submitted by students:</t>
        </is>
      </c>
      <c r="C39" s="41" t="inlineStr">
        <is>
          <t>[ ] Resume  [ ] Mark sheets  [ ] ID proof  [ ] Photo  [ ] Others</t>
        </is>
      </c>
    </row>
    <row r="40" ht="28" customHeight="1"/>
    <row r="41" ht="28" customHeight="1">
      <c r="B41" s="30" t="inlineStr">
        <is>
          <t>Company HR Signature: ___________________    T&amp;P Officer: ___________________    Principal: ___________________    Date: ___________________</t>
        </is>
      </c>
    </row>
    <row r="42" ht="28" customHeight="1"/>
    <row r="43" ht="28" customHeight="1"/>
    <row r="44" ht="28" customHeight="1"/>
    <row r="45" ht="28" customHeight="1"/>
    <row r="46" ht="28" customHeight="1"/>
    <row r="47" ht="28" customHeight="1"/>
  </sheetData>
  <mergeCells count="37">
    <mergeCell ref="C16:E16"/>
    <mergeCell ref="C31:E31"/>
    <mergeCell ref="C22:E22"/>
    <mergeCell ref="C9:E9"/>
    <mergeCell ref="B33:E33"/>
    <mergeCell ref="C21:E21"/>
    <mergeCell ref="C12:E12"/>
    <mergeCell ref="C36:E36"/>
    <mergeCell ref="C11:E11"/>
    <mergeCell ref="B41:E41"/>
    <mergeCell ref="C27:E27"/>
    <mergeCell ref="B4:E4"/>
    <mergeCell ref="C23:E23"/>
    <mergeCell ref="C39:E39"/>
    <mergeCell ref="C8:E8"/>
    <mergeCell ref="C17:E17"/>
    <mergeCell ref="B3:E3"/>
    <mergeCell ref="C7:E7"/>
    <mergeCell ref="C38:E38"/>
    <mergeCell ref="C28:E28"/>
    <mergeCell ref="C13:E13"/>
    <mergeCell ref="C37:E37"/>
    <mergeCell ref="B2:E2"/>
    <mergeCell ref="C30:E30"/>
    <mergeCell ref="C34:E34"/>
    <mergeCell ref="C15:E15"/>
    <mergeCell ref="C6:E6"/>
    <mergeCell ref="C24:E24"/>
    <mergeCell ref="C14:E14"/>
    <mergeCell ref="C5:E5"/>
    <mergeCell ref="C26:E26"/>
    <mergeCell ref="B19:E19"/>
    <mergeCell ref="C29:E29"/>
    <mergeCell ref="C20:E20"/>
    <mergeCell ref="C35:E35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TPC-08: STUDENT PLACEMENT REGISTRATION FORM</t>
        </is>
      </c>
    </row>
    <row r="3" ht="25" customHeight="1">
      <c r="B3" s="2" t="inlineStr">
        <is>
          <t>Registration Ref.: TPC/STU/______/______   Date: _______   A.Y.: _______   T&amp;P Officer: _______</t>
        </is>
      </c>
    </row>
    <row r="4" ht="24" customHeight="1">
      <c r="B4" s="20" t="inlineStr">
        <is>
          <t>SECTION A — PERSONAL DETAILS</t>
        </is>
      </c>
    </row>
    <row r="5" ht="26" customHeight="1">
      <c r="B5" s="40" t="inlineStr">
        <is>
          <t>Full Name (as per records):</t>
        </is>
      </c>
      <c r="C5" s="9" t="n"/>
    </row>
    <row r="6" ht="26" customHeight="1">
      <c r="B6" s="40" t="inlineStr">
        <is>
          <t>Roll Number / Student ID:</t>
        </is>
      </c>
      <c r="C6" s="9" t="n"/>
    </row>
    <row r="7" ht="26" customHeight="1">
      <c r="B7" s="40" t="inlineStr">
        <is>
          <t>Programme / Branch:</t>
        </is>
      </c>
      <c r="C7" s="9" t="n"/>
    </row>
    <row r="8" ht="26" customHeight="1">
      <c r="B8" s="40" t="inlineStr">
        <is>
          <t>Year of Passing:</t>
        </is>
      </c>
      <c r="C8" s="9" t="n"/>
    </row>
    <row r="9" ht="26" customHeight="1">
      <c r="B9" s="40" t="inlineStr">
        <is>
          <t>Date of Birth:</t>
        </is>
      </c>
      <c r="C9" s="9" t="n"/>
    </row>
    <row r="10" ht="26" customHeight="1">
      <c r="B10" s="40" t="inlineStr">
        <is>
          <t>Gender:</t>
        </is>
      </c>
      <c r="C10" s="41" t="inlineStr">
        <is>
          <t>[ ] Male  [ ] Female  [ ] Other</t>
        </is>
      </c>
    </row>
    <row r="11" ht="26" customHeight="1">
      <c r="B11" s="40" t="inlineStr">
        <is>
          <t>Category:</t>
        </is>
      </c>
      <c r="C11" s="41" t="inlineStr">
        <is>
          <t>[ ] General  [ ] OBC  [ ] SC  [ ] ST  [ ] EWS</t>
        </is>
      </c>
    </row>
    <row r="12" ht="26" customHeight="1">
      <c r="B12" s="40" t="inlineStr">
        <is>
          <t>Mobile Number:</t>
        </is>
      </c>
      <c r="C12" s="9" t="n"/>
    </row>
    <row r="13" ht="26" customHeight="1">
      <c r="B13" s="40" t="inlineStr">
        <is>
          <t>Personal Email:</t>
        </is>
      </c>
      <c r="C13" s="9" t="n"/>
    </row>
    <row r="14" ht="26" customHeight="1">
      <c r="B14" s="40" t="inlineStr">
        <is>
          <t>LinkedIn Profile:</t>
        </is>
      </c>
      <c r="C14" s="9" t="n"/>
    </row>
    <row r="15" ht="26" customHeight="1">
      <c r="B15" s="40" t="inlineStr">
        <is>
          <t>Permanent Address:</t>
        </is>
      </c>
      <c r="C15" s="9" t="n"/>
    </row>
    <row r="16" ht="26" customHeight="1">
      <c r="B16" s="40" t="inlineStr">
        <is>
          <t>Parent / Guardian Name &amp; Contact:</t>
        </is>
      </c>
      <c r="C16" s="9" t="n"/>
    </row>
    <row r="17" ht="28" customHeight="1"/>
    <row r="18" ht="24" customHeight="1">
      <c r="B18" s="42" t="inlineStr">
        <is>
          <t>SECTION B — ACADEMIC PROFILE</t>
        </is>
      </c>
    </row>
    <row r="19" ht="26" customHeight="1">
      <c r="B19" s="43" t="inlineStr">
        <is>
          <t>10th % / CGPA:</t>
        </is>
      </c>
      <c r="C19" s="41" t="inlineStr">
        <is>
          <t>Board: _______   Marks: _______   Year: _______</t>
        </is>
      </c>
    </row>
    <row r="20" ht="26" customHeight="1">
      <c r="B20" s="43" t="inlineStr">
        <is>
          <t>12th % / CGPA:</t>
        </is>
      </c>
      <c r="C20" s="41" t="inlineStr">
        <is>
          <t>Board: _______   Marks: _______   Year: _______</t>
        </is>
      </c>
    </row>
    <row r="21" ht="26" customHeight="1">
      <c r="B21" s="43" t="inlineStr">
        <is>
          <t>Diploma (if applicable):</t>
        </is>
      </c>
      <c r="C21" s="41" t="inlineStr">
        <is>
          <t>% / CGPA: _______   Year: _______</t>
        </is>
      </c>
    </row>
    <row r="22" ht="26" customHeight="1">
      <c r="B22" s="43" t="inlineStr">
        <is>
          <t>Current CGPA (up to last semester):</t>
        </is>
      </c>
      <c r="C22" s="9" t="n"/>
    </row>
    <row r="23" ht="26" customHeight="1">
      <c r="B23" s="43" t="inlineStr">
        <is>
          <t>Active Backlogs (if any):</t>
        </is>
      </c>
      <c r="C23" s="9" t="n"/>
    </row>
    <row r="24" ht="26" customHeight="1">
      <c r="B24" s="43" t="inlineStr">
        <is>
          <t>Total Backlogs (cleared):</t>
        </is>
      </c>
      <c r="C24" s="9" t="n"/>
    </row>
    <row r="25" ht="26" customHeight="1">
      <c r="B25" s="43" t="inlineStr">
        <is>
          <t>Gap Year(s) — if any:</t>
        </is>
      </c>
      <c r="C25" s="41" t="inlineStr">
        <is>
          <t>Year: _______   Reason: _______</t>
        </is>
      </c>
    </row>
    <row r="26" ht="26" customHeight="1">
      <c r="B26" s="43" t="inlineStr">
        <is>
          <t>Technical Skills:</t>
        </is>
      </c>
      <c r="C26" s="9" t="n"/>
    </row>
    <row r="27" ht="26" customHeight="1">
      <c r="B27" s="43" t="inlineStr">
        <is>
          <t>Programming Languages Known:</t>
        </is>
      </c>
      <c r="C27" s="9" t="n"/>
    </row>
    <row r="28" ht="26" customHeight="1">
      <c r="B28" s="43" t="inlineStr">
        <is>
          <t>Certifications / Courses:</t>
        </is>
      </c>
      <c r="C28" s="9" t="n"/>
    </row>
    <row r="29" ht="26" customHeight="1">
      <c r="B29" s="43" t="inlineStr">
        <is>
          <t>Projects / Internships:</t>
        </is>
      </c>
      <c r="C29" s="41" t="inlineStr">
        <is>
          <t>Title: _______   Company: _______   Duration: _______</t>
        </is>
      </c>
    </row>
    <row r="30" ht="28" customHeight="1"/>
    <row r="31" ht="24" customHeight="1">
      <c r="B31" s="21" t="inlineStr">
        <is>
          <t>SECTION C — PLACEMENT PREFERENCES</t>
        </is>
      </c>
    </row>
    <row r="32" ht="26" customHeight="1">
      <c r="B32" s="44" t="inlineStr">
        <is>
          <t>Job Type Preference:</t>
        </is>
      </c>
      <c r="C32" s="41" t="inlineStr">
        <is>
          <t>[ ] Core / Domain  [ ] IT / Software  [ ] Management  [ ] Any</t>
        </is>
      </c>
    </row>
    <row r="33" ht="26" customHeight="1">
      <c r="B33" s="44" t="inlineStr">
        <is>
          <t>Location Preference:</t>
        </is>
      </c>
      <c r="C33" s="41" t="inlineStr">
        <is>
          <t>[ ] Home State  [ ] Any India  [ ] International  [ ] No preference</t>
        </is>
      </c>
    </row>
    <row r="34" ht="26" customHeight="1">
      <c r="B34" s="44" t="inlineStr">
        <is>
          <t>Expected CTC Range (₹L):</t>
        </is>
      </c>
      <c r="C34" s="41" t="inlineStr">
        <is>
          <t>[ ] &lt;4  [ ] 4–6  [ ] 6–10  [ ] &gt;10  [ ] No preference</t>
        </is>
      </c>
    </row>
    <row r="35" ht="26" customHeight="1">
      <c r="B35" s="44" t="inlineStr">
        <is>
          <t>Willing to relocate?</t>
        </is>
      </c>
      <c r="C35" s="41" t="inlineStr">
        <is>
          <t>[ ] Yes — Anywhere  [ ] Yes — Preferred cities: _______   [ ] No</t>
        </is>
      </c>
    </row>
    <row r="36" ht="26" customHeight="1">
      <c r="B36" s="44" t="inlineStr">
        <is>
          <t>Registered for Competitive Exams?</t>
        </is>
      </c>
      <c r="C36" s="41" t="inlineStr">
        <is>
          <t>[ ] GATE  [ ] CAT  [ ] UPSC  [ ] Bank PO  [ ] None</t>
        </is>
      </c>
    </row>
    <row r="37" ht="26" customHeight="1">
      <c r="B37" s="44" t="inlineStr">
        <is>
          <t>Planning Higher Studies?</t>
        </is>
      </c>
      <c r="C37" s="41" t="inlineStr">
        <is>
          <t>[ ] Yes — Target: _______   [ ] No</t>
        </is>
      </c>
    </row>
    <row r="38" ht="26" customHeight="1">
      <c r="B38" s="44" t="inlineStr">
        <is>
          <t>Startup / Self-employment interest?</t>
        </is>
      </c>
      <c r="C38" s="41" t="inlineStr">
        <is>
          <t>[ ] Yes — Area: _______   [ ] No</t>
        </is>
      </c>
    </row>
    <row r="39" ht="26" customHeight="1">
      <c r="B39" s="44" t="inlineStr">
        <is>
          <t>Bond acceptance (if required)?</t>
        </is>
      </c>
      <c r="C39" s="41" t="inlineStr">
        <is>
          <t>[ ] Yes  [ ] No  [ ] Depends on opportunity</t>
        </is>
      </c>
    </row>
    <row r="40" ht="28" customHeight="1"/>
    <row r="41" ht="28" customHeight="1">
      <c r="B41" s="45" t="inlineStr">
        <is>
          <t>I declare the information is correct. I consent to sharing my profile with recruiting companies through TPC.</t>
        </is>
      </c>
    </row>
    <row r="42" ht="28" customHeight="1">
      <c r="B42" s="30" t="inlineStr">
        <is>
          <t>Student Signature: ___________________    Date: ___________________    T&amp;P Officer: ___________________</t>
        </is>
      </c>
    </row>
    <row r="43" ht="28" customHeight="1"/>
    <row r="44" ht="28" customHeight="1"/>
    <row r="45" ht="28" customHeight="1"/>
    <row r="46" ht="28" customHeight="1"/>
    <row r="47" ht="28" customHeight="1"/>
  </sheetData>
  <mergeCells count="38">
    <mergeCell ref="C16:E16"/>
    <mergeCell ref="C22:E22"/>
    <mergeCell ref="C9:E9"/>
    <mergeCell ref="C21:E21"/>
    <mergeCell ref="C12:E12"/>
    <mergeCell ref="C36:E36"/>
    <mergeCell ref="C11:E11"/>
    <mergeCell ref="B41:E41"/>
    <mergeCell ref="C27:E27"/>
    <mergeCell ref="B4:E4"/>
    <mergeCell ref="C23:E23"/>
    <mergeCell ref="C39:E39"/>
    <mergeCell ref="C8:E8"/>
    <mergeCell ref="B3:E3"/>
    <mergeCell ref="C7:E7"/>
    <mergeCell ref="C32:E32"/>
    <mergeCell ref="C38:E38"/>
    <mergeCell ref="B31:E31"/>
    <mergeCell ref="B18:E18"/>
    <mergeCell ref="C28:E28"/>
    <mergeCell ref="C13:E13"/>
    <mergeCell ref="C19:E19"/>
    <mergeCell ref="C37:E37"/>
    <mergeCell ref="B2:E2"/>
    <mergeCell ref="C34:E34"/>
    <mergeCell ref="C15:E15"/>
    <mergeCell ref="B42:E42"/>
    <mergeCell ref="C6:E6"/>
    <mergeCell ref="C24:E24"/>
    <mergeCell ref="C33:E33"/>
    <mergeCell ref="C14:E14"/>
    <mergeCell ref="C5:E5"/>
    <mergeCell ref="C26:E26"/>
    <mergeCell ref="C29:E29"/>
    <mergeCell ref="C20:E20"/>
    <mergeCell ref="C35:E35"/>
    <mergeCell ref="C25:E25"/>
    <mergeCell ref="C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8" t="inlineStr">
        <is>
          <t>TPC-13: CAMPUS RECRUITMENT DRIVE REGISTER</t>
        </is>
      </c>
    </row>
    <row r="3" ht="25" customHeight="1">
      <c r="B3" s="2" t="inlineStr">
        <is>
          <t>A.Y.: _______  T&amp;P Officer: ___________________  NAAC Ref.: Criterion V.2 / NIRF Graduation Outcomes</t>
        </is>
      </c>
    </row>
    <row r="4" ht="25" customHeight="1">
      <c r="B4" s="13" t="inlineStr">
        <is>
          <t>Drive
Ref.</t>
        </is>
      </c>
      <c r="C4" s="13" t="inlineStr">
        <is>
          <t>Company Name</t>
        </is>
      </c>
      <c r="D4" s="13" t="inlineStr">
        <is>
          <t>Sector</t>
        </is>
      </c>
      <c r="E4" s="13" t="inlineStr">
        <is>
          <t>Drive
Date</t>
        </is>
      </c>
      <c r="F4" s="13" t="inlineStr">
        <is>
          <t>Students
Eligible</t>
        </is>
      </c>
      <c r="G4" s="13" t="inlineStr">
        <is>
          <t>Students
Registered</t>
        </is>
      </c>
      <c r="H4" s="13" t="inlineStr">
        <is>
          <t>Appeared
in Test</t>
        </is>
      </c>
      <c r="I4" s="13" t="inlineStr">
        <is>
          <t>Shortlisted
for Interview</t>
        </is>
      </c>
      <c r="J4" s="13" t="inlineStr">
        <is>
          <t>Offers
Extended</t>
        </is>
      </c>
      <c r="K4" s="13" t="inlineStr">
        <is>
          <t>CTC
(₹L PA)</t>
        </is>
      </c>
      <c r="L4" s="13" t="inlineStr">
        <is>
          <t>Drive
Outcome</t>
        </is>
      </c>
    </row>
    <row r="5" ht="22" customHeight="1">
      <c r="B5" s="14" t="inlineStr">
        <is>
          <t>CDR/2024/001</t>
        </is>
      </c>
      <c r="C5" s="15" t="inlineStr"/>
      <c r="D5" s="16" t="inlineStr">
        <is>
          <t>IT / Software</t>
        </is>
      </c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>
        <is>
          <t>Successful</t>
        </is>
      </c>
    </row>
    <row r="6" ht="22" customHeight="1">
      <c r="B6" s="8" t="inlineStr">
        <is>
          <t>CDR/2024/002</t>
        </is>
      </c>
      <c r="C6" s="9" t="inlineStr"/>
      <c r="D6" s="10" t="inlineStr">
        <is>
          <t>IT Services / BPO</t>
        </is>
      </c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>
        <is>
          <t>Partially Successful — Few Offers</t>
        </is>
      </c>
    </row>
    <row r="7" ht="22" customHeight="1">
      <c r="B7" s="14" t="inlineStr">
        <is>
          <t>CDR/2024/003</t>
        </is>
      </c>
      <c r="C7" s="15" t="inlineStr"/>
      <c r="D7" s="16" t="inlineStr">
        <is>
          <t>Core Engineering</t>
        </is>
      </c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>
        <is>
          <t>Deferred to Next Cycle</t>
        </is>
      </c>
    </row>
    <row r="8" ht="22" customHeight="1">
      <c r="B8" s="8" t="inlineStr">
        <is>
          <t>CDR/2024/004</t>
        </is>
      </c>
      <c r="C8" s="9" t="inlineStr"/>
      <c r="D8" s="10" t="inlineStr">
        <is>
          <t>Manufacturing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>
        <is>
          <t>No Offers</t>
        </is>
      </c>
    </row>
    <row r="9" ht="22" customHeight="1">
      <c r="B9" s="14" t="inlineStr">
        <is>
          <t>CDR/2024/005</t>
        </is>
      </c>
      <c r="C9" s="15" t="inlineStr"/>
      <c r="D9" s="16" t="inlineStr">
        <is>
          <t>FMCG / Retail</t>
        </is>
      </c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>
        <is>
          <t>Ongoing</t>
        </is>
      </c>
    </row>
    <row r="10" ht="22" customHeight="1">
      <c r="B10" s="8" t="inlineStr">
        <is>
          <t>CDR/2024/006</t>
        </is>
      </c>
      <c r="C10" s="9" t="inlineStr"/>
      <c r="D10" s="10" t="inlineStr">
        <is>
          <t>Banking / Finance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>
        <is>
          <t>Cancelled</t>
        </is>
      </c>
    </row>
    <row r="11" ht="22" customHeight="1">
      <c r="B11" s="14" t="inlineStr">
        <is>
          <t>CDR/2024/007</t>
        </is>
      </c>
      <c r="C11" s="15" t="inlineStr"/>
      <c r="D11" s="16" t="inlineStr">
        <is>
          <t>Pharma / Healthcare</t>
        </is>
      </c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>
        <is>
          <t>Successful</t>
        </is>
      </c>
    </row>
    <row r="12" ht="22" customHeight="1">
      <c r="B12" s="8" t="inlineStr">
        <is>
          <t>CDR/2024/008</t>
        </is>
      </c>
      <c r="C12" s="9" t="inlineStr"/>
      <c r="D12" s="10" t="inlineStr">
        <is>
          <t>Consulting</t>
        </is>
      </c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>
        <is>
          <t>Partially Successful — Few Offers</t>
        </is>
      </c>
    </row>
    <row r="13" ht="22" customHeight="1">
      <c r="B13" s="14" t="inlineStr">
        <is>
          <t>CDR/2024/009</t>
        </is>
      </c>
      <c r="C13" s="15" t="inlineStr"/>
      <c r="D13" s="16" t="inlineStr">
        <is>
          <t>E-Commerce</t>
        </is>
      </c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>
        <is>
          <t>Deferred to Next Cycle</t>
        </is>
      </c>
    </row>
    <row r="14" ht="22" customHeight="1">
      <c r="B14" s="8" t="inlineStr">
        <is>
          <t>CDR/2024/010</t>
        </is>
      </c>
      <c r="C14" s="9" t="inlineStr"/>
      <c r="D14" s="10" t="inlineStr">
        <is>
          <t>Telecom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>
        <is>
          <t>No Offers</t>
        </is>
      </c>
    </row>
    <row r="15" ht="22" customHeight="1">
      <c r="B15" s="14" t="inlineStr">
        <is>
          <t>CDR/2024/011</t>
        </is>
      </c>
      <c r="C15" s="15" t="inlineStr"/>
      <c r="D15" s="16" t="inlineStr">
        <is>
          <t>Education / Ed-Tech</t>
        </is>
      </c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Ongoing</t>
        </is>
      </c>
    </row>
    <row r="16" ht="22" customHeight="1">
      <c r="B16" s="8" t="inlineStr">
        <is>
          <t>CDR/2024/012</t>
        </is>
      </c>
      <c r="C16" s="9" t="inlineStr"/>
      <c r="D16" s="10" t="inlineStr">
        <is>
          <t>Govt. / PSU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>
        <is>
          <t>Cancelled</t>
        </is>
      </c>
    </row>
    <row r="17" ht="22" customHeight="1">
      <c r="B17" s="14" t="inlineStr">
        <is>
          <t>CDR/2024/013</t>
        </is>
      </c>
      <c r="C17" s="15" t="inlineStr"/>
      <c r="D17" s="16" t="inlineStr">
        <is>
          <t>Defence</t>
        </is>
      </c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>
        <is>
          <t>Successful</t>
        </is>
      </c>
    </row>
    <row r="18" ht="22" customHeight="1">
      <c r="B18" s="8" t="inlineStr">
        <is>
          <t>CDR/2025/014</t>
        </is>
      </c>
      <c r="C18" s="9" t="inlineStr"/>
      <c r="D18" s="10" t="inlineStr">
        <is>
          <t>Others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>
        <is>
          <t>Partially Successful — Few Offers</t>
        </is>
      </c>
    </row>
    <row r="19" ht="22" customHeight="1">
      <c r="B19" s="14" t="inlineStr">
        <is>
          <t>CDR/2025/015</t>
        </is>
      </c>
      <c r="C19" s="15" t="inlineStr"/>
      <c r="D19" s="16" t="inlineStr">
        <is>
          <t>IT / Software</t>
        </is>
      </c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>
        <is>
          <t>Deferred to Next Cycle</t>
        </is>
      </c>
    </row>
    <row r="20" ht="22" customHeight="1">
      <c r="B20" s="8" t="inlineStr">
        <is>
          <t>CDR/2025/016</t>
        </is>
      </c>
      <c r="C20" s="9" t="inlineStr"/>
      <c r="D20" s="10" t="inlineStr">
        <is>
          <t>IT Services / BPO</t>
        </is>
      </c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>
        <is>
          <t>No Offers</t>
        </is>
      </c>
    </row>
    <row r="21" ht="22" customHeight="1">
      <c r="B21" s="14" t="inlineStr">
        <is>
          <t>CDR/2025/017</t>
        </is>
      </c>
      <c r="C21" s="15" t="inlineStr"/>
      <c r="D21" s="16" t="inlineStr">
        <is>
          <t>Core Engineering</t>
        </is>
      </c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>
        <is>
          <t>Ongoing</t>
        </is>
      </c>
    </row>
    <row r="22" ht="22" customHeight="1">
      <c r="B22" s="8" t="inlineStr">
        <is>
          <t>CDR/2025/018</t>
        </is>
      </c>
      <c r="C22" s="9" t="inlineStr"/>
      <c r="D22" s="10" t="inlineStr">
        <is>
          <t>Manufacturing</t>
        </is>
      </c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>
        <is>
          <t>Cancelled</t>
        </is>
      </c>
    </row>
    <row r="23" ht="22" customHeight="1">
      <c r="B23" s="14" t="inlineStr">
        <is>
          <t>CDR/2025/019</t>
        </is>
      </c>
      <c r="C23" s="15" t="inlineStr"/>
      <c r="D23" s="16" t="inlineStr">
        <is>
          <t>FMCG / Retail</t>
        </is>
      </c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>
        <is>
          <t>Successful</t>
        </is>
      </c>
    </row>
    <row r="24" ht="22" customHeight="1">
      <c r="B24" s="8" t="inlineStr">
        <is>
          <t>CDR/2025/020</t>
        </is>
      </c>
      <c r="C24" s="9" t="inlineStr"/>
      <c r="D24" s="10" t="inlineStr">
        <is>
          <t>Banking / Finance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>
        <is>
          <t>Partially Successful — Few Offers</t>
        </is>
      </c>
    </row>
    <row r="25" ht="22" customHeight="1">
      <c r="B25" s="14" t="inlineStr">
        <is>
          <t>CDR/2025/021</t>
        </is>
      </c>
      <c r="C25" s="15" t="inlineStr"/>
      <c r="D25" s="16" t="inlineStr">
        <is>
          <t>Pharma / Healthcare</t>
        </is>
      </c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>
        <is>
          <t>Deferred to Next Cycle</t>
        </is>
      </c>
    </row>
    <row r="26" ht="22" customHeight="1">
      <c r="B26" s="8" t="inlineStr">
        <is>
          <t>CDR/2025/022</t>
        </is>
      </c>
      <c r="C26" s="9" t="inlineStr"/>
      <c r="D26" s="10" t="inlineStr">
        <is>
          <t>Consulting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>
        <is>
          <t>No Offers</t>
        </is>
      </c>
    </row>
    <row r="27" ht="22" customHeight="1">
      <c r="B27" s="14" t="inlineStr">
        <is>
          <t>CDR/2025/023</t>
        </is>
      </c>
      <c r="C27" s="15" t="inlineStr"/>
      <c r="D27" s="16" t="inlineStr">
        <is>
          <t>E-Commerce</t>
        </is>
      </c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>
        <is>
          <t>Ongoing</t>
        </is>
      </c>
    </row>
    <row r="28" ht="22" customHeight="1">
      <c r="B28" s="8" t="inlineStr">
        <is>
          <t>CDR/2025/024</t>
        </is>
      </c>
      <c r="C28" s="9" t="inlineStr"/>
      <c r="D28" s="10" t="inlineStr">
        <is>
          <t>Telecom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>
        <is>
          <t>Cancelled</t>
        </is>
      </c>
    </row>
    <row r="29" ht="22" customHeight="1">
      <c r="B29" s="14" t="inlineStr">
        <is>
          <t>CDR/2025/025</t>
        </is>
      </c>
      <c r="C29" s="15" t="inlineStr"/>
      <c r="D29" s="16" t="inlineStr">
        <is>
          <t>Education / Ed-Tech</t>
        </is>
      </c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>
        <is>
          <t>Successful</t>
        </is>
      </c>
    </row>
    <row r="30" ht="22" customHeight="1">
      <c r="B30" s="8" t="inlineStr">
        <is>
          <t>CDR/2025/026</t>
        </is>
      </c>
      <c r="C30" s="9" t="inlineStr"/>
      <c r="D30" s="10" t="inlineStr">
        <is>
          <t>Govt. / PSU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>
        <is>
          <t>Partially Successful — Few Offers</t>
        </is>
      </c>
    </row>
    <row r="31" ht="22" customHeight="1"/>
    <row r="32" ht="24" customHeight="1">
      <c r="B32" s="35" t="inlineStr">
        <is>
          <t>DRIVE SUMMARY STATISTICS</t>
        </is>
      </c>
    </row>
    <row r="33" ht="22" customHeight="1">
      <c r="B33" s="46" t="inlineStr">
        <is>
          <t>Total Drives Conducted</t>
        </is>
      </c>
      <c r="F33" s="37">
        <f>COUNTA(B5:B30)</f>
        <v/>
      </c>
    </row>
    <row r="34" ht="22" customHeight="1">
      <c r="B34" s="26" t="inlineStr">
        <is>
          <t>Total Students Registered</t>
        </is>
      </c>
      <c r="F34" s="38" t="inlineStr"/>
    </row>
    <row r="35" ht="22" customHeight="1">
      <c r="B35" s="46" t="inlineStr">
        <is>
          <t>Total Offers Extended</t>
        </is>
      </c>
      <c r="F35" s="37">
        <f>IFERROR(SUM(J5:J30),"")</f>
        <v/>
      </c>
    </row>
    <row r="36" ht="22" customHeight="1">
      <c r="B36" s="26" t="inlineStr">
        <is>
          <t>Unique Students with Offers</t>
        </is>
      </c>
      <c r="F36" s="38" t="inlineStr"/>
    </row>
    <row r="37" ht="22" customHeight="1">
      <c r="B37" s="46" t="inlineStr">
        <is>
          <t>Average Offers per Drive</t>
        </is>
      </c>
      <c r="F37" s="37">
        <f>IFERROR(ROUND(C35/C33,1),"")</f>
        <v/>
      </c>
    </row>
    <row r="38">
      <c r="B38" s="26" t="inlineStr">
        <is>
          <t>Highest CTC (₹L)</t>
        </is>
      </c>
      <c r="F38" s="38">
        <f>IFERROR(MAX(K5:K30),"")</f>
        <v/>
      </c>
    </row>
    <row r="39">
      <c r="B39" s="46" t="inlineStr">
        <is>
          <t>Average CTC (₹L)</t>
        </is>
      </c>
      <c r="F39" s="37">
        <f>IFERROR(ROUND(AVERAGE(K5:K30),2),"")</f>
        <v/>
      </c>
    </row>
    <row r="40">
      <c r="B40" s="26" t="inlineStr">
        <is>
          <t>Median CTC (₹L)</t>
        </is>
      </c>
      <c r="F40" s="38">
        <f>IFERROR(ROUND(MEDIAN(K5:K30),2),"")</f>
        <v/>
      </c>
    </row>
  </sheetData>
  <mergeCells count="19">
    <mergeCell ref="B40:E40"/>
    <mergeCell ref="B3:L3"/>
    <mergeCell ref="F37:L37"/>
    <mergeCell ref="B33:E33"/>
    <mergeCell ref="F39:L39"/>
    <mergeCell ref="B36:E36"/>
    <mergeCell ref="B35:E35"/>
    <mergeCell ref="B2:L2"/>
    <mergeCell ref="F34:L34"/>
    <mergeCell ref="F40:L40"/>
    <mergeCell ref="B39:E39"/>
    <mergeCell ref="F38:L38"/>
    <mergeCell ref="F33:L33"/>
    <mergeCell ref="F36:L36"/>
    <mergeCell ref="F35:L35"/>
    <mergeCell ref="B38:E38"/>
    <mergeCell ref="B37:E37"/>
    <mergeCell ref="B32:L32"/>
    <mergeCell ref="B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8" t="inlineStr">
        <is>
          <t>TPC-17: STUDENT INDIVIDUAL PLACEMENT TRACKING REGISTER</t>
        </is>
      </c>
    </row>
    <row r="3" ht="25" customHeight="1">
      <c r="B3" s="2" t="inlineStr">
        <is>
          <t>Batch: _______  Programme: ___________________  A.Y.: _______  T&amp;P Officer: ___________________</t>
        </is>
      </c>
    </row>
    <row r="4" ht="25" customHeight="1">
      <c r="B4" s="13" t="inlineStr">
        <is>
          <t>Student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Dept. /
Branch</t>
        </is>
      </c>
      <c r="F4" s="13" t="inlineStr">
        <is>
          <t>CGPA</t>
        </is>
      </c>
      <c r="G4" s="13" t="inlineStr">
        <is>
          <t>Company
Offered</t>
        </is>
      </c>
      <c r="H4" s="13" t="inlineStr">
        <is>
          <t>Role</t>
        </is>
      </c>
      <c r="I4" s="13" t="inlineStr">
        <is>
          <t>CTC
(₹L PA)</t>
        </is>
      </c>
      <c r="J4" s="13" t="inlineStr">
        <is>
          <t>Offer
Date</t>
        </is>
      </c>
      <c r="K4" s="13" t="inlineStr">
        <is>
          <t>Joining
Date</t>
        </is>
      </c>
      <c r="L4" s="13" t="inlineStr">
        <is>
          <t>Status</t>
        </is>
      </c>
    </row>
    <row r="5" ht="22" customHeight="1">
      <c r="B5" s="14" t="inlineStr">
        <is>
          <t>STU/0001</t>
        </is>
      </c>
      <c r="C5" s="15" t="inlineStr"/>
      <c r="D5" s="16" t="inlineStr"/>
      <c r="E5" s="16" t="inlineStr"/>
      <c r="F5" s="16" t="inlineStr"/>
      <c r="G5" s="15" t="inlineStr"/>
      <c r="H5" s="15" t="inlineStr"/>
      <c r="I5" s="16" t="inlineStr"/>
      <c r="J5" s="16" t="inlineStr"/>
      <c r="K5" s="16" t="inlineStr"/>
      <c r="L5" s="16" t="inlineStr">
        <is>
          <t>Joined — Confirmed</t>
        </is>
      </c>
    </row>
    <row r="6" ht="22" customHeight="1">
      <c r="B6" s="8" t="inlineStr">
        <is>
          <t>STU/0002</t>
        </is>
      </c>
      <c r="C6" s="9" t="inlineStr"/>
      <c r="D6" s="10" t="inlineStr"/>
      <c r="E6" s="10" t="inlineStr"/>
      <c r="F6" s="10" t="inlineStr"/>
      <c r="G6" s="9" t="inlineStr"/>
      <c r="H6" s="9" t="inlineStr"/>
      <c r="I6" s="10" t="inlineStr"/>
      <c r="J6" s="10" t="inlineStr"/>
      <c r="K6" s="10" t="inlineStr"/>
      <c r="L6" s="10" t="inlineStr">
        <is>
          <t>Offer Accepted — Yet to Join</t>
        </is>
      </c>
    </row>
    <row r="7" ht="22" customHeight="1">
      <c r="B7" s="14" t="inlineStr">
        <is>
          <t>STU/0003</t>
        </is>
      </c>
      <c r="C7" s="15" t="inlineStr"/>
      <c r="D7" s="16" t="inlineStr"/>
      <c r="E7" s="16" t="inlineStr"/>
      <c r="F7" s="16" t="inlineStr"/>
      <c r="G7" s="15" t="inlineStr"/>
      <c r="H7" s="15" t="inlineStr"/>
      <c r="I7" s="16" t="inlineStr"/>
      <c r="J7" s="16" t="inlineStr"/>
      <c r="K7" s="16" t="inlineStr"/>
      <c r="L7" s="16" t="inlineStr">
        <is>
          <t>Multiple Offers — Deciding</t>
        </is>
      </c>
    </row>
    <row r="8" ht="22" customHeight="1">
      <c r="B8" s="8" t="inlineStr">
        <is>
          <t>STU/0004</t>
        </is>
      </c>
      <c r="C8" s="9" t="inlineStr"/>
      <c r="D8" s="10" t="inlineStr"/>
      <c r="E8" s="10" t="inlineStr"/>
      <c r="F8" s="10" t="inlineStr"/>
      <c r="G8" s="9" t="inlineStr"/>
      <c r="H8" s="9" t="inlineStr"/>
      <c r="I8" s="10" t="inlineStr"/>
      <c r="J8" s="10" t="inlineStr"/>
      <c r="K8" s="10" t="inlineStr"/>
      <c r="L8" s="10" t="inlineStr">
        <is>
          <t>Higher Studies</t>
        </is>
      </c>
    </row>
    <row r="9" ht="22" customHeight="1">
      <c r="B9" s="14" t="inlineStr">
        <is>
          <t>STU/0005</t>
        </is>
      </c>
      <c r="C9" s="15" t="inlineStr"/>
      <c r="D9" s="16" t="inlineStr"/>
      <c r="E9" s="16" t="inlineStr"/>
      <c r="F9" s="16" t="inlineStr"/>
      <c r="G9" s="15" t="inlineStr"/>
      <c r="H9" s="15" t="inlineStr"/>
      <c r="I9" s="16" t="inlineStr"/>
      <c r="J9" s="16" t="inlineStr"/>
      <c r="K9" s="16" t="inlineStr"/>
      <c r="L9" s="16" t="inlineStr">
        <is>
          <t>Entrepreneur</t>
        </is>
      </c>
    </row>
    <row r="10" ht="22" customHeight="1">
      <c r="B10" s="8" t="inlineStr">
        <is>
          <t>STU/0006</t>
        </is>
      </c>
      <c r="C10" s="9" t="inlineStr"/>
      <c r="D10" s="10" t="inlineStr"/>
      <c r="E10" s="10" t="inlineStr"/>
      <c r="F10" s="10" t="inlineStr"/>
      <c r="G10" s="9" t="inlineStr"/>
      <c r="H10" s="9" t="inlineStr"/>
      <c r="I10" s="10" t="inlineStr"/>
      <c r="J10" s="10" t="inlineStr"/>
      <c r="K10" s="10" t="inlineStr"/>
      <c r="L10" s="10" t="inlineStr">
        <is>
          <t>Not Placed — Actively Seeking</t>
        </is>
      </c>
    </row>
    <row r="11" ht="22" customHeight="1">
      <c r="B11" s="14" t="inlineStr">
        <is>
          <t>STU/0007</t>
        </is>
      </c>
      <c r="C11" s="15" t="inlineStr"/>
      <c r="D11" s="16" t="inlineStr"/>
      <c r="E11" s="16" t="inlineStr"/>
      <c r="F11" s="16" t="inlineStr"/>
      <c r="G11" s="15" t="inlineStr"/>
      <c r="H11" s="15" t="inlineStr"/>
      <c r="I11" s="16" t="inlineStr"/>
      <c r="J11" s="16" t="inlineStr"/>
      <c r="K11" s="16" t="inlineStr"/>
      <c r="L11" s="16" t="inlineStr">
        <is>
          <t>Not Interested in Placement</t>
        </is>
      </c>
    </row>
    <row r="12" ht="22" customHeight="1">
      <c r="B12" s="8" t="inlineStr">
        <is>
          <t>STU/0008</t>
        </is>
      </c>
      <c r="C12" s="9" t="inlineStr"/>
      <c r="D12" s="10" t="inlineStr"/>
      <c r="E12" s="10" t="inlineStr"/>
      <c r="F12" s="10" t="inlineStr"/>
      <c r="G12" s="9" t="inlineStr"/>
      <c r="H12" s="9" t="inlineStr"/>
      <c r="I12" s="10" t="inlineStr"/>
      <c r="J12" s="10" t="inlineStr"/>
      <c r="K12" s="10" t="inlineStr"/>
      <c r="L12" s="10" t="inlineStr">
        <is>
          <t>PPO Converted</t>
        </is>
      </c>
    </row>
    <row r="13" ht="22" customHeight="1">
      <c r="B13" s="14" t="inlineStr">
        <is>
          <t>STU/0009</t>
        </is>
      </c>
      <c r="C13" s="15" t="inlineStr"/>
      <c r="D13" s="16" t="inlineStr"/>
      <c r="E13" s="16" t="inlineStr"/>
      <c r="F13" s="16" t="inlineStr"/>
      <c r="G13" s="15" t="inlineStr"/>
      <c r="H13" s="15" t="inlineStr"/>
      <c r="I13" s="16" t="inlineStr"/>
      <c r="J13" s="16" t="inlineStr"/>
      <c r="K13" s="16" t="inlineStr"/>
      <c r="L13" s="16" t="inlineStr">
        <is>
          <t>Joined — Confirmed</t>
        </is>
      </c>
    </row>
    <row r="14" ht="22" customHeight="1">
      <c r="B14" s="8" t="inlineStr">
        <is>
          <t>STU/0010</t>
        </is>
      </c>
      <c r="C14" s="9" t="inlineStr"/>
      <c r="D14" s="10" t="inlineStr"/>
      <c r="E14" s="10" t="inlineStr"/>
      <c r="F14" s="10" t="inlineStr"/>
      <c r="G14" s="9" t="inlineStr"/>
      <c r="H14" s="9" t="inlineStr"/>
      <c r="I14" s="10" t="inlineStr"/>
      <c r="J14" s="10" t="inlineStr"/>
      <c r="K14" s="10" t="inlineStr"/>
      <c r="L14" s="10" t="inlineStr">
        <is>
          <t>Offer Accepted — Yet to Join</t>
        </is>
      </c>
    </row>
    <row r="15" ht="22" customHeight="1">
      <c r="B15" s="14" t="inlineStr">
        <is>
          <t>STU/0011</t>
        </is>
      </c>
      <c r="C15" s="15" t="inlineStr"/>
      <c r="D15" s="16" t="inlineStr"/>
      <c r="E15" s="16" t="inlineStr"/>
      <c r="F15" s="16" t="inlineStr"/>
      <c r="G15" s="15" t="inlineStr"/>
      <c r="H15" s="15" t="inlineStr"/>
      <c r="I15" s="16" t="inlineStr"/>
      <c r="J15" s="16" t="inlineStr"/>
      <c r="K15" s="16" t="inlineStr"/>
      <c r="L15" s="16" t="inlineStr">
        <is>
          <t>Multiple Offers — Deciding</t>
        </is>
      </c>
    </row>
    <row r="16" ht="22" customHeight="1">
      <c r="B16" s="8" t="inlineStr">
        <is>
          <t>STU/0012</t>
        </is>
      </c>
      <c r="C16" s="9" t="inlineStr"/>
      <c r="D16" s="10" t="inlineStr"/>
      <c r="E16" s="10" t="inlineStr"/>
      <c r="F16" s="10" t="inlineStr"/>
      <c r="G16" s="9" t="inlineStr"/>
      <c r="H16" s="9" t="inlineStr"/>
      <c r="I16" s="10" t="inlineStr"/>
      <c r="J16" s="10" t="inlineStr"/>
      <c r="K16" s="10" t="inlineStr"/>
      <c r="L16" s="10" t="inlineStr">
        <is>
          <t>Higher Studies</t>
        </is>
      </c>
    </row>
    <row r="17" ht="22" customHeight="1">
      <c r="B17" s="14" t="inlineStr">
        <is>
          <t>STU/0013</t>
        </is>
      </c>
      <c r="C17" s="15" t="inlineStr"/>
      <c r="D17" s="16" t="inlineStr"/>
      <c r="E17" s="16" t="inlineStr"/>
      <c r="F17" s="16" t="inlineStr"/>
      <c r="G17" s="15" t="inlineStr"/>
      <c r="H17" s="15" t="inlineStr"/>
      <c r="I17" s="16" t="inlineStr"/>
      <c r="J17" s="16" t="inlineStr"/>
      <c r="K17" s="16" t="inlineStr"/>
      <c r="L17" s="16" t="inlineStr">
        <is>
          <t>Entrepreneur</t>
        </is>
      </c>
    </row>
    <row r="18" ht="22" customHeight="1">
      <c r="B18" s="8" t="inlineStr">
        <is>
          <t>STU/0014</t>
        </is>
      </c>
      <c r="C18" s="9" t="inlineStr"/>
      <c r="D18" s="10" t="inlineStr"/>
      <c r="E18" s="10" t="inlineStr"/>
      <c r="F18" s="10" t="inlineStr"/>
      <c r="G18" s="9" t="inlineStr"/>
      <c r="H18" s="9" t="inlineStr"/>
      <c r="I18" s="10" t="inlineStr"/>
      <c r="J18" s="10" t="inlineStr"/>
      <c r="K18" s="10" t="inlineStr"/>
      <c r="L18" s="10" t="inlineStr">
        <is>
          <t>Not Placed — Actively Seeking</t>
        </is>
      </c>
    </row>
    <row r="19" ht="22" customHeight="1">
      <c r="B19" s="14" t="inlineStr">
        <is>
          <t>STU/0015</t>
        </is>
      </c>
      <c r="C19" s="15" t="inlineStr"/>
      <c r="D19" s="16" t="inlineStr"/>
      <c r="E19" s="16" t="inlineStr"/>
      <c r="F19" s="16" t="inlineStr"/>
      <c r="G19" s="15" t="inlineStr"/>
      <c r="H19" s="15" t="inlineStr"/>
      <c r="I19" s="16" t="inlineStr"/>
      <c r="J19" s="16" t="inlineStr"/>
      <c r="K19" s="16" t="inlineStr"/>
      <c r="L19" s="16" t="inlineStr">
        <is>
          <t>Not Interested in Placement</t>
        </is>
      </c>
    </row>
    <row r="20" ht="22" customHeight="1">
      <c r="B20" s="8" t="inlineStr">
        <is>
          <t>STU/0016</t>
        </is>
      </c>
      <c r="C20" s="9" t="inlineStr"/>
      <c r="D20" s="10" t="inlineStr"/>
      <c r="E20" s="10" t="inlineStr"/>
      <c r="F20" s="10" t="inlineStr"/>
      <c r="G20" s="9" t="inlineStr"/>
      <c r="H20" s="9" t="inlineStr"/>
      <c r="I20" s="10" t="inlineStr"/>
      <c r="J20" s="10" t="inlineStr"/>
      <c r="K20" s="10" t="inlineStr"/>
      <c r="L20" s="10" t="inlineStr">
        <is>
          <t>PPO Converted</t>
        </is>
      </c>
    </row>
    <row r="21" ht="22" customHeight="1">
      <c r="B21" s="14" t="inlineStr">
        <is>
          <t>STU/0017</t>
        </is>
      </c>
      <c r="C21" s="15" t="inlineStr"/>
      <c r="D21" s="16" t="inlineStr"/>
      <c r="E21" s="16" t="inlineStr"/>
      <c r="F21" s="16" t="inlineStr"/>
      <c r="G21" s="15" t="inlineStr"/>
      <c r="H21" s="15" t="inlineStr"/>
      <c r="I21" s="16" t="inlineStr"/>
      <c r="J21" s="16" t="inlineStr"/>
      <c r="K21" s="16" t="inlineStr"/>
      <c r="L21" s="16" t="inlineStr">
        <is>
          <t>Joined — Confirmed</t>
        </is>
      </c>
    </row>
    <row r="22" ht="22" customHeight="1">
      <c r="B22" s="8" t="inlineStr">
        <is>
          <t>STU/0018</t>
        </is>
      </c>
      <c r="C22" s="9" t="inlineStr"/>
      <c r="D22" s="10" t="inlineStr"/>
      <c r="E22" s="10" t="inlineStr"/>
      <c r="F22" s="10" t="inlineStr"/>
      <c r="G22" s="9" t="inlineStr"/>
      <c r="H22" s="9" t="inlineStr"/>
      <c r="I22" s="10" t="inlineStr"/>
      <c r="J22" s="10" t="inlineStr"/>
      <c r="K22" s="10" t="inlineStr"/>
      <c r="L22" s="10" t="inlineStr">
        <is>
          <t>Offer Accepted — Yet to Join</t>
        </is>
      </c>
    </row>
    <row r="23" ht="22" customHeight="1">
      <c r="B23" s="14" t="inlineStr">
        <is>
          <t>STU/0019</t>
        </is>
      </c>
      <c r="C23" s="15" t="inlineStr"/>
      <c r="D23" s="16" t="inlineStr"/>
      <c r="E23" s="16" t="inlineStr"/>
      <c r="F23" s="16" t="inlineStr"/>
      <c r="G23" s="15" t="inlineStr"/>
      <c r="H23" s="15" t="inlineStr"/>
      <c r="I23" s="16" t="inlineStr"/>
      <c r="J23" s="16" t="inlineStr"/>
      <c r="K23" s="16" t="inlineStr"/>
      <c r="L23" s="16" t="inlineStr">
        <is>
          <t>Multiple Offers — Deciding</t>
        </is>
      </c>
    </row>
    <row r="24" ht="22" customHeight="1">
      <c r="B24" s="8" t="inlineStr">
        <is>
          <t>STU/0020</t>
        </is>
      </c>
      <c r="C24" s="9" t="inlineStr"/>
      <c r="D24" s="10" t="inlineStr"/>
      <c r="E24" s="10" t="inlineStr"/>
      <c r="F24" s="10" t="inlineStr"/>
      <c r="G24" s="9" t="inlineStr"/>
      <c r="H24" s="9" t="inlineStr"/>
      <c r="I24" s="10" t="inlineStr"/>
      <c r="J24" s="10" t="inlineStr"/>
      <c r="K24" s="10" t="inlineStr"/>
      <c r="L24" s="10" t="inlineStr">
        <is>
          <t>Higher Studies</t>
        </is>
      </c>
    </row>
    <row r="25" ht="22" customHeight="1">
      <c r="B25" s="14" t="inlineStr">
        <is>
          <t>STU/0021</t>
        </is>
      </c>
      <c r="C25" s="15" t="inlineStr"/>
      <c r="D25" s="16" t="inlineStr"/>
      <c r="E25" s="16" t="inlineStr"/>
      <c r="F25" s="16" t="inlineStr"/>
      <c r="G25" s="15" t="inlineStr"/>
      <c r="H25" s="15" t="inlineStr"/>
      <c r="I25" s="16" t="inlineStr"/>
      <c r="J25" s="16" t="inlineStr"/>
      <c r="K25" s="16" t="inlineStr"/>
      <c r="L25" s="16" t="inlineStr">
        <is>
          <t>Entrepreneur</t>
        </is>
      </c>
    </row>
    <row r="26" ht="22" customHeight="1">
      <c r="B26" s="8" t="inlineStr">
        <is>
          <t>STU/0022</t>
        </is>
      </c>
      <c r="C26" s="9" t="inlineStr"/>
      <c r="D26" s="10" t="inlineStr"/>
      <c r="E26" s="10" t="inlineStr"/>
      <c r="F26" s="10" t="inlineStr"/>
      <c r="G26" s="9" t="inlineStr"/>
      <c r="H26" s="9" t="inlineStr"/>
      <c r="I26" s="10" t="inlineStr"/>
      <c r="J26" s="10" t="inlineStr"/>
      <c r="K26" s="10" t="inlineStr"/>
      <c r="L26" s="10" t="inlineStr">
        <is>
          <t>Not Placed — Actively Seeking</t>
        </is>
      </c>
    </row>
    <row r="27" ht="22" customHeight="1">
      <c r="B27" s="14" t="inlineStr">
        <is>
          <t>STU/0023</t>
        </is>
      </c>
      <c r="C27" s="15" t="inlineStr"/>
      <c r="D27" s="16" t="inlineStr"/>
      <c r="E27" s="16" t="inlineStr"/>
      <c r="F27" s="16" t="inlineStr"/>
      <c r="G27" s="15" t="inlineStr"/>
      <c r="H27" s="15" t="inlineStr"/>
      <c r="I27" s="16" t="inlineStr"/>
      <c r="J27" s="16" t="inlineStr"/>
      <c r="K27" s="16" t="inlineStr"/>
      <c r="L27" s="16" t="inlineStr">
        <is>
          <t>Not Interested in Placement</t>
        </is>
      </c>
    </row>
    <row r="28" ht="22" customHeight="1">
      <c r="B28" s="8" t="inlineStr">
        <is>
          <t>STU/0024</t>
        </is>
      </c>
      <c r="C28" s="9" t="inlineStr"/>
      <c r="D28" s="10" t="inlineStr"/>
      <c r="E28" s="10" t="inlineStr"/>
      <c r="F28" s="10" t="inlineStr"/>
      <c r="G28" s="9" t="inlineStr"/>
      <c r="H28" s="9" t="inlineStr"/>
      <c r="I28" s="10" t="inlineStr"/>
      <c r="J28" s="10" t="inlineStr"/>
      <c r="K28" s="10" t="inlineStr"/>
      <c r="L28" s="10" t="inlineStr">
        <is>
          <t>PPO Converted</t>
        </is>
      </c>
    </row>
    <row r="29" ht="22" customHeight="1">
      <c r="B29" s="14" t="inlineStr">
        <is>
          <t>STU/0025</t>
        </is>
      </c>
      <c r="C29" s="15" t="inlineStr"/>
      <c r="D29" s="16" t="inlineStr"/>
      <c r="E29" s="16" t="inlineStr"/>
      <c r="F29" s="16" t="inlineStr"/>
      <c r="G29" s="15" t="inlineStr"/>
      <c r="H29" s="15" t="inlineStr"/>
      <c r="I29" s="16" t="inlineStr"/>
      <c r="J29" s="16" t="inlineStr"/>
      <c r="K29" s="16" t="inlineStr"/>
      <c r="L29" s="16" t="inlineStr">
        <is>
          <t>Joined — Confirmed</t>
        </is>
      </c>
    </row>
    <row r="30" ht="22" customHeight="1">
      <c r="B30" s="8" t="inlineStr">
        <is>
          <t>STU/0026</t>
        </is>
      </c>
      <c r="C30" s="9" t="inlineStr"/>
      <c r="D30" s="10" t="inlineStr"/>
      <c r="E30" s="10" t="inlineStr"/>
      <c r="F30" s="10" t="inlineStr"/>
      <c r="G30" s="9" t="inlineStr"/>
      <c r="H30" s="9" t="inlineStr"/>
      <c r="I30" s="10" t="inlineStr"/>
      <c r="J30" s="10" t="inlineStr"/>
      <c r="K30" s="10" t="inlineStr"/>
      <c r="L30" s="10" t="inlineStr">
        <is>
          <t>Offer Accepted — Yet to Join</t>
        </is>
      </c>
    </row>
    <row r="31" ht="22" customHeight="1">
      <c r="B31" s="14" t="inlineStr">
        <is>
          <t>STU/0027</t>
        </is>
      </c>
      <c r="C31" s="15" t="inlineStr"/>
      <c r="D31" s="16" t="inlineStr"/>
      <c r="E31" s="16" t="inlineStr"/>
      <c r="F31" s="16" t="inlineStr"/>
      <c r="G31" s="15" t="inlineStr"/>
      <c r="H31" s="15" t="inlineStr"/>
      <c r="I31" s="16" t="inlineStr"/>
      <c r="J31" s="16" t="inlineStr"/>
      <c r="K31" s="16" t="inlineStr"/>
      <c r="L31" s="16" t="inlineStr">
        <is>
          <t>Multiple Offers — Deciding</t>
        </is>
      </c>
    </row>
    <row r="32" ht="22" customHeight="1">
      <c r="B32" s="8" t="inlineStr">
        <is>
          <t>STU/0028</t>
        </is>
      </c>
      <c r="C32" s="9" t="inlineStr"/>
      <c r="D32" s="10" t="inlineStr"/>
      <c r="E32" s="10" t="inlineStr"/>
      <c r="F32" s="10" t="inlineStr"/>
      <c r="G32" s="9" t="inlineStr"/>
      <c r="H32" s="9" t="inlineStr"/>
      <c r="I32" s="10" t="inlineStr"/>
      <c r="J32" s="10" t="inlineStr"/>
      <c r="K32" s="10" t="inlineStr"/>
      <c r="L32" s="10" t="inlineStr">
        <is>
          <t>Higher Studies</t>
        </is>
      </c>
    </row>
    <row r="33" ht="22" customHeight="1">
      <c r="B33" s="14" t="inlineStr">
        <is>
          <t>STU/0029</t>
        </is>
      </c>
      <c r="C33" s="15" t="inlineStr"/>
      <c r="D33" s="16" t="inlineStr"/>
      <c r="E33" s="16" t="inlineStr"/>
      <c r="F33" s="16" t="inlineStr"/>
      <c r="G33" s="15" t="inlineStr"/>
      <c r="H33" s="15" t="inlineStr"/>
      <c r="I33" s="16" t="inlineStr"/>
      <c r="J33" s="16" t="inlineStr"/>
      <c r="K33" s="16" t="inlineStr"/>
      <c r="L33" s="16" t="inlineStr">
        <is>
          <t>Entrepreneur</t>
        </is>
      </c>
    </row>
    <row r="34" ht="22" customHeight="1">
      <c r="B34" s="8" t="inlineStr">
        <is>
          <t>STU/0030</t>
        </is>
      </c>
      <c r="C34" s="9" t="inlineStr"/>
      <c r="D34" s="10" t="inlineStr"/>
      <c r="E34" s="10" t="inlineStr"/>
      <c r="F34" s="10" t="inlineStr"/>
      <c r="G34" s="9" t="inlineStr"/>
      <c r="H34" s="9" t="inlineStr"/>
      <c r="I34" s="10" t="inlineStr"/>
      <c r="J34" s="10" t="inlineStr"/>
      <c r="K34" s="10" t="inlineStr"/>
      <c r="L34" s="10" t="inlineStr">
        <is>
          <t>Not Placed — Actively Seeking</t>
        </is>
      </c>
    </row>
    <row r="35" ht="22" customHeight="1">
      <c r="B35" s="14" t="inlineStr">
        <is>
          <t>STU/0031</t>
        </is>
      </c>
      <c r="C35" s="15" t="inlineStr"/>
      <c r="D35" s="16" t="inlineStr"/>
      <c r="E35" s="16" t="inlineStr"/>
      <c r="F35" s="16" t="inlineStr"/>
      <c r="G35" s="15" t="inlineStr"/>
      <c r="H35" s="15" t="inlineStr"/>
      <c r="I35" s="16" t="inlineStr"/>
      <c r="J35" s="16" t="inlineStr"/>
      <c r="K35" s="16" t="inlineStr"/>
      <c r="L35" s="16" t="inlineStr">
        <is>
          <t>Not Interested in Placement</t>
        </is>
      </c>
    </row>
    <row r="36" ht="22" customHeight="1">
      <c r="B36" s="8" t="inlineStr">
        <is>
          <t>STU/0032</t>
        </is>
      </c>
      <c r="C36" s="9" t="inlineStr"/>
      <c r="D36" s="10" t="inlineStr"/>
      <c r="E36" s="10" t="inlineStr"/>
      <c r="F36" s="10" t="inlineStr"/>
      <c r="G36" s="9" t="inlineStr"/>
      <c r="H36" s="9" t="inlineStr"/>
      <c r="I36" s="10" t="inlineStr"/>
      <c r="J36" s="10" t="inlineStr"/>
      <c r="K36" s="10" t="inlineStr"/>
      <c r="L36" s="10" t="inlineStr">
        <is>
          <t>PPO Converted</t>
        </is>
      </c>
    </row>
    <row r="37" ht="22" customHeight="1"/>
    <row r="38" ht="24" customHeight="1">
      <c r="B38" s="42" t="inlineStr">
        <is>
          <t>BATCH PLACEMENT STATISTICS</t>
        </is>
      </c>
    </row>
    <row r="39" ht="22" customHeight="1">
      <c r="B39" s="47" t="inlineStr">
        <is>
          <t>Total Batch Strength</t>
        </is>
      </c>
      <c r="F39" s="37">
        <f>COUNTA(B5:B36)</f>
        <v/>
      </c>
    </row>
    <row r="40" ht="22" customHeight="1">
      <c r="B40" s="26" t="inlineStr">
        <is>
          <t>Registered for Placement</t>
        </is>
      </c>
      <c r="F40" s="38" t="inlineStr"/>
    </row>
    <row r="41" ht="22" customHeight="1">
      <c r="B41" s="47" t="inlineStr">
        <is>
          <t>Offers Received</t>
        </is>
      </c>
      <c r="F41" s="37" t="inlineStr"/>
    </row>
    <row r="42">
      <c r="B42" s="26" t="inlineStr">
        <is>
          <t>Confirmed Joining (Placed)</t>
        </is>
      </c>
      <c r="F42" s="38">
        <f>COUNTIF(L5:L36,"Joined — Confirmed")</f>
        <v/>
      </c>
    </row>
    <row r="43">
      <c r="B43" s="47" t="inlineStr">
        <is>
          <t>Placement Rate (% of eligible)</t>
        </is>
      </c>
      <c r="F43" s="37">
        <f>IFERROR(ROUND(C42/C39*100,1),"")</f>
        <v/>
      </c>
    </row>
    <row r="44">
      <c r="B44" s="26" t="inlineStr">
        <is>
          <t>Highest CTC (₹L PA)</t>
        </is>
      </c>
      <c r="F44" s="38">
        <f>IFERROR(MAX(I5:I36),"")</f>
        <v/>
      </c>
    </row>
    <row r="45">
      <c r="B45" s="47" t="inlineStr">
        <is>
          <t>Average CTC (₹L PA)</t>
        </is>
      </c>
      <c r="F45" s="37">
        <f>IFERROR(ROUND(AVERAGE(I5:I36),2),"")</f>
        <v/>
      </c>
    </row>
    <row r="46">
      <c r="B46" s="26" t="inlineStr">
        <is>
          <t>Median CTC (₹L PA)</t>
        </is>
      </c>
      <c r="F46" s="38">
        <f>IFERROR(ROUND(MEDIAN(I5:I36),2),"")</f>
        <v/>
      </c>
    </row>
  </sheetData>
  <mergeCells count="19">
    <mergeCell ref="F46:L46"/>
    <mergeCell ref="B40:E40"/>
    <mergeCell ref="B3:L3"/>
    <mergeCell ref="F43:L43"/>
    <mergeCell ref="F39:L39"/>
    <mergeCell ref="B45:E45"/>
    <mergeCell ref="B41:E41"/>
    <mergeCell ref="F44:L44"/>
    <mergeCell ref="B2:L2"/>
    <mergeCell ref="B46:E46"/>
    <mergeCell ref="B38:L38"/>
    <mergeCell ref="F40:L40"/>
    <mergeCell ref="B43:E43"/>
    <mergeCell ref="B39:E39"/>
    <mergeCell ref="B42:E42"/>
    <mergeCell ref="F42:L42"/>
    <mergeCell ref="F45:L45"/>
    <mergeCell ref="F41:L41"/>
    <mergeCell ref="B44:E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8" t="inlineStr">
        <is>
          <t>TPC-18: PLACEMENT STATISTICS DASHBOARD — INSTITUTION-WIDE</t>
        </is>
      </c>
    </row>
    <row r="3" ht="25" customHeight="1">
      <c r="B3" s="2" t="inlineStr">
        <is>
          <t>A.Y.: _______  T&amp;P Officer: ___________________  For: NIRF / NAAC / Management</t>
        </is>
      </c>
    </row>
    <row r="4" ht="24" customHeight="1">
      <c r="B4" s="20" t="inlineStr">
        <is>
          <t>DEPARTMENT-WISE PLACEMENT SUMMARY</t>
        </is>
      </c>
    </row>
    <row r="5" ht="22" customHeight="1">
      <c r="B5" s="13" t="inlineStr">
        <is>
          <t>Dept.</t>
        </is>
      </c>
      <c r="C5" s="13" t="inlineStr">
        <is>
          <t>Total
Batch</t>
        </is>
      </c>
      <c r="D5" s="13" t="inlineStr">
        <is>
          <t>Eligible
for
Placement</t>
        </is>
      </c>
      <c r="E5" s="13" t="inlineStr">
        <is>
          <t>Registered
for
Placement</t>
        </is>
      </c>
      <c r="F5" s="13" t="inlineStr">
        <is>
          <t>Offers
Received</t>
        </is>
      </c>
      <c r="G5" s="13" t="inlineStr">
        <is>
          <t>Students
Placed</t>
        </is>
      </c>
      <c r="H5" s="13" t="inlineStr">
        <is>
          <t>Placement
%</t>
        </is>
      </c>
      <c r="I5" s="13" t="inlineStr">
        <is>
          <t>Highest
CTC (₹L)</t>
        </is>
      </c>
      <c r="J5" s="13" t="inlineStr">
        <is>
          <t>Average
CTC (₹L)</t>
        </is>
      </c>
      <c r="K5" s="13" t="inlineStr">
        <is>
          <t>Median
CTC (₹L)</t>
        </is>
      </c>
      <c r="L5" s="13" t="inlineStr">
        <is>
          <t>Top Recruiter</t>
        </is>
      </c>
    </row>
    <row r="6" ht="22" customHeight="1">
      <c r="B6" s="16" t="inlineStr">
        <is>
          <t>CSE</t>
        </is>
      </c>
      <c r="C6" s="16" t="inlineStr"/>
      <c r="D6" s="16" t="inlineStr"/>
      <c r="E6" s="16" t="inlineStr"/>
      <c r="F6" s="16" t="inlineStr"/>
      <c r="G6" s="16" t="inlineStr"/>
      <c r="H6" s="16">
        <f>IFERROR(ROUND(G6/D6*100,1),"")</f>
        <v/>
      </c>
      <c r="I6" s="16" t="inlineStr"/>
      <c r="J6" s="16" t="inlineStr"/>
      <c r="K6" s="16" t="inlineStr"/>
      <c r="L6" s="15" t="inlineStr"/>
    </row>
    <row r="7" ht="22" customHeight="1">
      <c r="B7" s="10" t="inlineStr">
        <is>
          <t>ECE</t>
        </is>
      </c>
      <c r="C7" s="10" t="inlineStr"/>
      <c r="D7" s="10" t="inlineStr"/>
      <c r="E7" s="10" t="inlineStr"/>
      <c r="F7" s="10" t="inlineStr"/>
      <c r="G7" s="10" t="inlineStr"/>
      <c r="H7" s="10">
        <f>IFERROR(ROUND(G7/D7*100,1),"")</f>
        <v/>
      </c>
      <c r="I7" s="10" t="inlineStr"/>
      <c r="J7" s="10" t="inlineStr"/>
      <c r="K7" s="10" t="inlineStr"/>
      <c r="L7" s="9" t="inlineStr"/>
    </row>
    <row r="8" ht="22" customHeight="1">
      <c r="B8" s="16" t="inlineStr">
        <is>
          <t>EEE</t>
        </is>
      </c>
      <c r="C8" s="16" t="inlineStr"/>
      <c r="D8" s="16" t="inlineStr"/>
      <c r="E8" s="16" t="inlineStr"/>
      <c r="F8" s="16" t="inlineStr"/>
      <c r="G8" s="16" t="inlineStr"/>
      <c r="H8" s="16">
        <f>IFERROR(ROUND(G8/D8*100,1),"")</f>
        <v/>
      </c>
      <c r="I8" s="16" t="inlineStr"/>
      <c r="J8" s="16" t="inlineStr"/>
      <c r="K8" s="16" t="inlineStr"/>
      <c r="L8" s="15" t="inlineStr"/>
    </row>
    <row r="9" ht="22" customHeight="1">
      <c r="B9" s="10" t="inlineStr">
        <is>
          <t>MECH</t>
        </is>
      </c>
      <c r="C9" s="10" t="inlineStr"/>
      <c r="D9" s="10" t="inlineStr"/>
      <c r="E9" s="10" t="inlineStr"/>
      <c r="F9" s="10" t="inlineStr"/>
      <c r="G9" s="10" t="inlineStr"/>
      <c r="H9" s="10">
        <f>IFERROR(ROUND(G9/D9*100,1),"")</f>
        <v/>
      </c>
      <c r="I9" s="10" t="inlineStr"/>
      <c r="J9" s="10" t="inlineStr"/>
      <c r="K9" s="10" t="inlineStr"/>
      <c r="L9" s="9" t="inlineStr"/>
    </row>
    <row r="10" ht="22" customHeight="1">
      <c r="B10" s="16" t="inlineStr">
        <is>
          <t>CIVIL</t>
        </is>
      </c>
      <c r="C10" s="16" t="inlineStr"/>
      <c r="D10" s="16" t="inlineStr"/>
      <c r="E10" s="16" t="inlineStr"/>
      <c r="F10" s="16" t="inlineStr"/>
      <c r="G10" s="16" t="inlineStr"/>
      <c r="H10" s="16">
        <f>IFERROR(ROUND(G10/D10*100,1),"")</f>
        <v/>
      </c>
      <c r="I10" s="16" t="inlineStr"/>
      <c r="J10" s="16" t="inlineStr"/>
      <c r="K10" s="16" t="inlineStr"/>
      <c r="L10" s="15" t="inlineStr"/>
    </row>
    <row r="11" ht="22" customHeight="1">
      <c r="B11" s="10" t="inlineStr">
        <is>
          <t>S&amp;H</t>
        </is>
      </c>
      <c r="C11" s="10" t="inlineStr"/>
      <c r="D11" s="10" t="inlineStr"/>
      <c r="E11" s="10" t="inlineStr"/>
      <c r="F11" s="10" t="inlineStr"/>
      <c r="G11" s="10" t="inlineStr"/>
      <c r="H11" s="10">
        <f>IFERROR(ROUND(G11/D11*100,1),"")</f>
        <v/>
      </c>
      <c r="I11" s="10" t="inlineStr"/>
      <c r="J11" s="10" t="inlineStr"/>
      <c r="K11" s="10" t="inlineStr"/>
      <c r="L11" s="9" t="inlineStr"/>
    </row>
    <row r="12" ht="22" customHeight="1">
      <c r="B12" s="16" t="inlineStr">
        <is>
          <t>MBA</t>
        </is>
      </c>
      <c r="C12" s="16" t="inlineStr"/>
      <c r="D12" s="16" t="inlineStr"/>
      <c r="E12" s="16" t="inlineStr"/>
      <c r="F12" s="16" t="inlineStr"/>
      <c r="G12" s="16" t="inlineStr"/>
      <c r="H12" s="16">
        <f>IFERROR(ROUND(G12/D12*100,1),"")</f>
        <v/>
      </c>
      <c r="I12" s="16" t="inlineStr"/>
      <c r="J12" s="16" t="inlineStr"/>
      <c r="K12" s="16" t="inlineStr"/>
      <c r="L12" s="15" t="inlineStr"/>
    </row>
    <row r="13" ht="22" customHeight="1">
      <c r="B13" s="10" t="inlineStr">
        <is>
          <t>MCA</t>
        </is>
      </c>
      <c r="C13" s="10" t="inlineStr"/>
      <c r="D13" s="10" t="inlineStr"/>
      <c r="E13" s="10" t="inlineStr"/>
      <c r="F13" s="10" t="inlineStr"/>
      <c r="G13" s="10" t="inlineStr"/>
      <c r="H13" s="10">
        <f>IFERROR(ROUND(G13/D13*100,1),"")</f>
        <v/>
      </c>
      <c r="I13" s="10" t="inlineStr"/>
      <c r="J13" s="10" t="inlineStr"/>
      <c r="K13" s="10" t="inlineStr"/>
      <c r="L13" s="9" t="inlineStr"/>
    </row>
    <row r="14" ht="22" customHeight="1">
      <c r="B14" s="39" t="inlineStr">
        <is>
          <t>INSTITUTION</t>
        </is>
      </c>
      <c r="C14" s="39" t="inlineStr"/>
      <c r="D14" s="39" t="inlineStr"/>
      <c r="E14" s="39" t="inlineStr"/>
      <c r="F14" s="39" t="inlineStr"/>
      <c r="G14" s="39" t="inlineStr"/>
      <c r="H14" s="39">
        <f>IFERROR(ROUND(G14/D14*100,1),"")</f>
        <v/>
      </c>
      <c r="I14" s="39" t="inlineStr"/>
      <c r="J14" s="39" t="inlineStr"/>
      <c r="K14" s="39" t="inlineStr"/>
      <c r="L14" s="24" t="inlineStr"/>
    </row>
    <row r="15" ht="22" customHeight="1"/>
    <row r="16" ht="24" customHeight="1">
      <c r="B16" s="42" t="inlineStr">
        <is>
          <t>SECTOR-WISE PLACEMENT DISTRIBUTION</t>
        </is>
      </c>
    </row>
    <row r="17" ht="22" customHeight="1">
      <c r="B17" s="48" t="inlineStr">
        <is>
          <t>Sector</t>
        </is>
      </c>
      <c r="C17" s="48" t="inlineStr">
        <is>
          <t>Students
Placed</t>
        </is>
      </c>
      <c r="D17" s="48" t="inlineStr">
        <is>
          <t>% of Total
Placements</t>
        </is>
      </c>
      <c r="E17" s="48" t="inlineStr">
        <is>
          <t>Highest
CTC</t>
        </is>
      </c>
      <c r="F17" s="48" t="inlineStr">
        <is>
          <t>Average
CTC</t>
        </is>
      </c>
      <c r="G17" s="48" t="inlineStr">
        <is>
          <t>No. of
Companies</t>
        </is>
      </c>
      <c r="H17" s="48" t="inlineStr">
        <is>
          <t>Growth
vs. Prev. Year</t>
        </is>
      </c>
    </row>
    <row r="18" ht="22" customHeight="1">
      <c r="B18" s="49" t="inlineStr">
        <is>
          <t>IT / Software</t>
        </is>
      </c>
      <c r="C18" s="50" t="inlineStr"/>
      <c r="D18" s="50">
        <f>IFERROR(ROUND(C18/C29*100,1),"")</f>
        <v/>
      </c>
      <c r="E18" s="50" t="inlineStr"/>
      <c r="F18" s="50" t="inlineStr"/>
      <c r="G18" s="50" t="inlineStr"/>
      <c r="H18" s="50" t="inlineStr"/>
      <c r="I18" s="51" t="n"/>
      <c r="J18" s="51" t="n"/>
      <c r="K18" s="51" t="n"/>
      <c r="L18" s="51" t="n"/>
    </row>
    <row r="19" ht="22" customHeight="1">
      <c r="B19" s="9" t="inlineStr">
        <is>
          <t>IT Services / BPO</t>
        </is>
      </c>
      <c r="C19" s="10" t="inlineStr"/>
      <c r="D19" s="10">
        <f>IFERROR(ROUND(C19/C29*100,1),"")</f>
        <v/>
      </c>
      <c r="E19" s="10" t="inlineStr"/>
      <c r="F19" s="10" t="inlineStr"/>
      <c r="G19" s="10" t="inlineStr"/>
      <c r="H19" s="10" t="inlineStr"/>
      <c r="I19" s="52" t="n"/>
      <c r="J19" s="52" t="n"/>
      <c r="K19" s="52" t="n"/>
      <c r="L19" s="52" t="n"/>
    </row>
    <row r="20" ht="22" customHeight="1">
      <c r="B20" s="49" t="inlineStr">
        <is>
          <t>Core Engineering</t>
        </is>
      </c>
      <c r="C20" s="50" t="inlineStr"/>
      <c r="D20" s="50">
        <f>IFERROR(ROUND(C20/C29*100,1),"")</f>
        <v/>
      </c>
      <c r="E20" s="50" t="inlineStr"/>
      <c r="F20" s="50" t="inlineStr"/>
      <c r="G20" s="50" t="inlineStr"/>
      <c r="H20" s="50" t="inlineStr"/>
      <c r="I20" s="51" t="n"/>
      <c r="J20" s="51" t="n"/>
      <c r="K20" s="51" t="n"/>
      <c r="L20" s="51" t="n"/>
    </row>
    <row r="21" ht="22" customHeight="1">
      <c r="B21" s="9" t="inlineStr">
        <is>
          <t>Manufacturing</t>
        </is>
      </c>
      <c r="C21" s="10" t="inlineStr"/>
      <c r="D21" s="10">
        <f>IFERROR(ROUND(C21/C29*100,1),"")</f>
        <v/>
      </c>
      <c r="E21" s="10" t="inlineStr"/>
      <c r="F21" s="10" t="inlineStr"/>
      <c r="G21" s="10" t="inlineStr"/>
      <c r="H21" s="10" t="inlineStr"/>
      <c r="I21" s="52" t="n"/>
      <c r="J21" s="52" t="n"/>
      <c r="K21" s="52" t="n"/>
      <c r="L21" s="52" t="n"/>
    </row>
    <row r="22" ht="22" customHeight="1">
      <c r="B22" s="49" t="inlineStr">
        <is>
          <t>FMCG / Retail</t>
        </is>
      </c>
      <c r="C22" s="50" t="inlineStr"/>
      <c r="D22" s="50">
        <f>IFERROR(ROUND(C22/C29*100,1),"")</f>
        <v/>
      </c>
      <c r="E22" s="50" t="inlineStr"/>
      <c r="F22" s="50" t="inlineStr"/>
      <c r="G22" s="50" t="inlineStr"/>
      <c r="H22" s="50" t="inlineStr"/>
      <c r="I22" s="51" t="n"/>
      <c r="J22" s="51" t="n"/>
      <c r="K22" s="51" t="n"/>
      <c r="L22" s="51" t="n"/>
    </row>
    <row r="23" ht="22" customHeight="1">
      <c r="B23" s="9" t="inlineStr">
        <is>
          <t>Banking / Finance</t>
        </is>
      </c>
      <c r="C23" s="10" t="inlineStr"/>
      <c r="D23" s="10">
        <f>IFERROR(ROUND(C23/C29*100,1),"")</f>
        <v/>
      </c>
      <c r="E23" s="10" t="inlineStr"/>
      <c r="F23" s="10" t="inlineStr"/>
      <c r="G23" s="10" t="inlineStr"/>
      <c r="H23" s="10" t="inlineStr"/>
      <c r="I23" s="52" t="n"/>
      <c r="J23" s="52" t="n"/>
      <c r="K23" s="52" t="n"/>
      <c r="L23" s="52" t="n"/>
    </row>
    <row r="24" ht="22" customHeight="1">
      <c r="B24" s="49" t="inlineStr">
        <is>
          <t>Pharma / Healthcare</t>
        </is>
      </c>
      <c r="C24" s="50" t="inlineStr"/>
      <c r="D24" s="50">
        <f>IFERROR(ROUND(C24/C29*100,1),"")</f>
        <v/>
      </c>
      <c r="E24" s="50" t="inlineStr"/>
      <c r="F24" s="50" t="inlineStr"/>
      <c r="G24" s="50" t="inlineStr"/>
      <c r="H24" s="50" t="inlineStr"/>
      <c r="I24" s="51" t="n"/>
      <c r="J24" s="51" t="n"/>
      <c r="K24" s="51" t="n"/>
      <c r="L24" s="51" t="n"/>
    </row>
    <row r="25" ht="22" customHeight="1">
      <c r="B25" s="9" t="inlineStr">
        <is>
          <t>Consulting</t>
        </is>
      </c>
      <c r="C25" s="10" t="inlineStr"/>
      <c r="D25" s="10">
        <f>IFERROR(ROUND(C25/C29*100,1),"")</f>
        <v/>
      </c>
      <c r="E25" s="10" t="inlineStr"/>
      <c r="F25" s="10" t="inlineStr"/>
      <c r="G25" s="10" t="inlineStr"/>
      <c r="H25" s="10" t="inlineStr"/>
      <c r="I25" s="52" t="n"/>
      <c r="J25" s="52" t="n"/>
      <c r="K25" s="52" t="n"/>
      <c r="L25" s="52" t="n"/>
    </row>
    <row r="26" ht="22" customHeight="1">
      <c r="B26" s="49" t="inlineStr">
        <is>
          <t>E-Commerce</t>
        </is>
      </c>
      <c r="C26" s="50" t="inlineStr"/>
      <c r="D26" s="50">
        <f>IFERROR(ROUND(C26/C29*100,1),"")</f>
        <v/>
      </c>
      <c r="E26" s="50" t="inlineStr"/>
      <c r="F26" s="50" t="inlineStr"/>
      <c r="G26" s="50" t="inlineStr"/>
      <c r="H26" s="50" t="inlineStr"/>
      <c r="I26" s="51" t="n"/>
      <c r="J26" s="51" t="n"/>
      <c r="K26" s="51" t="n"/>
      <c r="L26" s="51" t="n"/>
    </row>
    <row r="27" ht="22" customHeight="1">
      <c r="B27" s="9" t="inlineStr">
        <is>
          <t>Telecom</t>
        </is>
      </c>
      <c r="C27" s="10" t="inlineStr"/>
      <c r="D27" s="10">
        <f>IFERROR(ROUND(C27/C29*100,1),"")</f>
        <v/>
      </c>
      <c r="E27" s="10" t="inlineStr"/>
      <c r="F27" s="10" t="inlineStr"/>
      <c r="G27" s="10" t="inlineStr"/>
      <c r="H27" s="10" t="inlineStr"/>
      <c r="I27" s="52" t="n"/>
      <c r="J27" s="52" t="n"/>
      <c r="K27" s="52" t="n"/>
      <c r="L27" s="52" t="n"/>
    </row>
    <row r="28" ht="22" customHeight="1">
      <c r="B28" s="49" t="inlineStr">
        <is>
          <t>Others</t>
        </is>
      </c>
      <c r="C28" s="50" t="inlineStr"/>
      <c r="D28" s="50">
        <f>IFERROR(ROUND(C28/C29*100,1),"")</f>
        <v/>
      </c>
      <c r="E28" s="50" t="inlineStr"/>
      <c r="F28" s="50" t="inlineStr"/>
      <c r="G28" s="50" t="inlineStr"/>
      <c r="H28" s="50" t="inlineStr"/>
      <c r="I28" s="51" t="n"/>
      <c r="J28" s="51" t="n"/>
      <c r="K28" s="51" t="n"/>
      <c r="L28" s="51" t="n"/>
    </row>
    <row r="29" ht="22" customHeight="1">
      <c r="B29" s="24" t="inlineStr">
        <is>
          <t>TOTAL</t>
        </is>
      </c>
      <c r="C29" s="39" t="inlineStr"/>
      <c r="D29" s="39">
        <f>IFERROR(ROUND(C29/C29*100,1),"")</f>
        <v/>
      </c>
      <c r="E29" s="39" t="inlineStr"/>
      <c r="F29" s="39" t="inlineStr"/>
      <c r="G29" s="39" t="inlineStr"/>
      <c r="H29" s="39" t="inlineStr"/>
      <c r="I29" s="53" t="n"/>
      <c r="J29" s="53" t="n"/>
      <c r="K29" s="53" t="n"/>
      <c r="L29" s="53" t="n"/>
    </row>
    <row r="30" ht="22" customHeight="1"/>
    <row r="31" ht="24" customHeight="1">
      <c r="B31" s="35" t="inlineStr">
        <is>
          <t>YEAR-ON-YEAR TREND (5 YEARS)</t>
        </is>
      </c>
    </row>
    <row r="32" ht="22" customHeight="1">
      <c r="B32" s="31" t="inlineStr">
        <is>
          <t>Batch Year</t>
        </is>
      </c>
      <c r="C32" s="31" t="inlineStr">
        <is>
          <t>Total
Eligible</t>
        </is>
      </c>
      <c r="D32" s="31" t="inlineStr">
        <is>
          <t>Placed</t>
        </is>
      </c>
      <c r="E32" s="31" t="inlineStr">
        <is>
          <t>Placement
%</t>
        </is>
      </c>
      <c r="F32" s="31" t="inlineStr">
        <is>
          <t>Highest
CTC</t>
        </is>
      </c>
      <c r="G32" s="31" t="inlineStr">
        <is>
          <t>Average
CTC</t>
        </is>
      </c>
      <c r="H32" s="31" t="inlineStr">
        <is>
          <t>Median
CTC</t>
        </is>
      </c>
      <c r="I32" s="31" t="inlineStr">
        <is>
          <t>No. of
Companies</t>
        </is>
      </c>
      <c r="J32" s="31" t="inlineStr">
        <is>
          <t>Higher
Studies %</t>
        </is>
      </c>
      <c r="K32" s="31" t="inlineStr">
        <is>
          <t>Entrep.
%</t>
        </is>
      </c>
      <c r="L32" s="31" t="inlineStr">
        <is>
          <t>Remarks</t>
        </is>
      </c>
    </row>
    <row r="33" ht="22" customHeight="1">
      <c r="B33" s="32" t="inlineStr">
        <is>
          <t>2020</t>
        </is>
      </c>
      <c r="C33" s="34" t="inlineStr"/>
      <c r="D33" s="34" t="inlineStr"/>
      <c r="E33" s="34">
        <f>IFERROR(ROUND(D33/C33*100,1),"")</f>
        <v/>
      </c>
      <c r="F33" s="34" t="inlineStr"/>
      <c r="G33" s="34" t="inlineStr"/>
      <c r="H33" s="34" t="inlineStr"/>
      <c r="I33" s="34" t="inlineStr"/>
      <c r="J33" s="34" t="inlineStr"/>
      <c r="K33" s="34" t="inlineStr"/>
      <c r="L33" s="33" t="inlineStr"/>
    </row>
    <row r="34" ht="22" customHeight="1">
      <c r="B34" s="8" t="inlineStr">
        <is>
          <t>2021</t>
        </is>
      </c>
      <c r="C34" s="10" t="inlineStr"/>
      <c r="D34" s="10" t="inlineStr"/>
      <c r="E34" s="10">
        <f>IFERROR(ROUND(D34/C34*100,1),"")</f>
        <v/>
      </c>
      <c r="F34" s="10" t="inlineStr"/>
      <c r="G34" s="10" t="inlineStr"/>
      <c r="H34" s="10" t="inlineStr"/>
      <c r="I34" s="10" t="inlineStr"/>
      <c r="J34" s="10" t="inlineStr"/>
      <c r="K34" s="10" t="inlineStr"/>
      <c r="L34" s="9" t="inlineStr"/>
    </row>
    <row r="35" ht="22" customHeight="1">
      <c r="B35" s="32" t="inlineStr">
        <is>
          <t>2022</t>
        </is>
      </c>
      <c r="C35" s="34" t="inlineStr"/>
      <c r="D35" s="34" t="inlineStr"/>
      <c r="E35" s="34">
        <f>IFERROR(ROUND(D35/C35*100,1),"")</f>
        <v/>
      </c>
      <c r="F35" s="34" t="inlineStr"/>
      <c r="G35" s="34" t="inlineStr"/>
      <c r="H35" s="34" t="inlineStr"/>
      <c r="I35" s="34" t="inlineStr"/>
      <c r="J35" s="34" t="inlineStr"/>
      <c r="K35" s="34" t="inlineStr"/>
      <c r="L35" s="33" t="inlineStr"/>
    </row>
    <row r="36" ht="22" customHeight="1">
      <c r="B36" s="8" t="inlineStr">
        <is>
          <t>2023</t>
        </is>
      </c>
      <c r="C36" s="10" t="inlineStr"/>
      <c r="D36" s="10" t="inlineStr"/>
      <c r="E36" s="10">
        <f>IFERROR(ROUND(D36/C36*100,1),"")</f>
        <v/>
      </c>
      <c r="F36" s="10" t="inlineStr"/>
      <c r="G36" s="10" t="inlineStr"/>
      <c r="H36" s="10" t="inlineStr"/>
      <c r="I36" s="10" t="inlineStr"/>
      <c r="J36" s="10" t="inlineStr"/>
      <c r="K36" s="10" t="inlineStr"/>
      <c r="L36" s="9" t="inlineStr"/>
    </row>
    <row r="37" ht="22" customHeight="1">
      <c r="B37" s="32" t="inlineStr">
        <is>
          <t>2024</t>
        </is>
      </c>
      <c r="C37" s="34" t="inlineStr"/>
      <c r="D37" s="34" t="inlineStr"/>
      <c r="E37" s="34">
        <f>IFERROR(ROUND(D37/C37*100,1),"")</f>
        <v/>
      </c>
      <c r="F37" s="34" t="inlineStr"/>
      <c r="G37" s="34" t="inlineStr"/>
      <c r="H37" s="34" t="inlineStr"/>
      <c r="I37" s="34" t="inlineStr"/>
      <c r="J37" s="34" t="inlineStr"/>
      <c r="K37" s="34" t="inlineStr"/>
      <c r="L37" s="33" t="inlineStr"/>
    </row>
    <row r="38" ht="22" customHeight="1">
      <c r="B38" s="8" t="inlineStr">
        <is>
          <t>2025</t>
        </is>
      </c>
      <c r="C38" s="10" t="inlineStr"/>
      <c r="D38" s="10" t="inlineStr"/>
      <c r="E38" s="10">
        <f>IFERROR(ROUND(D38/C38*100,1),"")</f>
        <v/>
      </c>
      <c r="F38" s="10" t="inlineStr"/>
      <c r="G38" s="10" t="inlineStr"/>
      <c r="H38" s="10" t="inlineStr"/>
      <c r="I38" s="10" t="inlineStr"/>
      <c r="J38" s="10" t="inlineStr"/>
      <c r="K38" s="10" t="inlineStr"/>
      <c r="L38" s="9" t="inlineStr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5">
    <mergeCell ref="B4:L4"/>
    <mergeCell ref="B16:L16"/>
    <mergeCell ref="B3:L3"/>
    <mergeCell ref="B2:L2"/>
    <mergeCell ref="B31:L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TPC-22–25: TRAINING PROGRAMME REGISTER (Aptitude, Soft Skills, Technical, Mock)</t>
        </is>
      </c>
    </row>
    <row r="3" ht="25" customHeight="1">
      <c r="B3" s="2" t="inlineStr">
        <is>
          <t>A.Y.: _______  Training Coordinator: ___________________</t>
        </is>
      </c>
    </row>
    <row r="4" ht="25" customHeight="1">
      <c r="B4" s="13" t="inlineStr">
        <is>
          <t>Session
Ref.</t>
        </is>
      </c>
      <c r="C4" s="13" t="inlineStr">
        <is>
          <t>Training Programme Title</t>
        </is>
      </c>
      <c r="D4" s="13" t="inlineStr">
        <is>
          <t>Category</t>
        </is>
      </c>
      <c r="E4" s="13" t="inlineStr">
        <is>
          <t>Trainer /
Agency</t>
        </is>
      </c>
      <c r="F4" s="13" t="inlineStr">
        <is>
          <t>Date(s)</t>
        </is>
      </c>
      <c r="G4" s="13" t="inlineStr">
        <is>
          <t>Mode</t>
        </is>
      </c>
      <c r="H4" s="13" t="inlineStr">
        <is>
          <t>Students
Registered</t>
        </is>
      </c>
      <c r="I4" s="13" t="inlineStr">
        <is>
          <t>Students
Attended</t>
        </is>
      </c>
      <c r="J4" s="13" t="inlineStr">
        <is>
          <t>Attend.
%</t>
        </is>
      </c>
      <c r="K4" s="13" t="inlineStr">
        <is>
          <t>Feedback
Score (/5)</t>
        </is>
      </c>
    </row>
    <row r="5" ht="22" customHeight="1">
      <c r="B5" s="14" t="inlineStr">
        <is>
          <t>TRN/001</t>
        </is>
      </c>
      <c r="C5" s="15" t="inlineStr">
        <is>
          <t>Quantitative Aptitude — Level 1</t>
        </is>
      </c>
      <c r="D5" s="16" t="inlineStr">
        <is>
          <t>Aptitude</t>
        </is>
      </c>
      <c r="E5" s="15" t="inlineStr"/>
      <c r="F5" s="16" t="inlineStr"/>
      <c r="G5" s="16" t="inlineStr">
        <is>
          <t>Physical</t>
        </is>
      </c>
      <c r="H5" s="16" t="inlineStr"/>
      <c r="I5" s="16" t="inlineStr"/>
      <c r="J5" s="54">
        <f>IFERROR(ROUND(I5/H5*100,1),"")</f>
        <v/>
      </c>
      <c r="K5" s="16" t="inlineStr"/>
    </row>
    <row r="6" ht="22" customHeight="1">
      <c r="B6" s="8" t="inlineStr">
        <is>
          <t>TRN/002</t>
        </is>
      </c>
      <c r="C6" s="9" t="inlineStr">
        <is>
          <t>Quantitative Aptitude — Level 2</t>
        </is>
      </c>
      <c r="D6" s="10" t="inlineStr">
        <is>
          <t>Aptitude</t>
        </is>
      </c>
      <c r="E6" s="9" t="inlineStr"/>
      <c r="F6" s="10" t="inlineStr"/>
      <c r="G6" s="10" t="inlineStr">
        <is>
          <t>Physical</t>
        </is>
      </c>
      <c r="H6" s="10" t="inlineStr"/>
      <c r="I6" s="10" t="inlineStr"/>
      <c r="J6" s="38">
        <f>IFERROR(ROUND(I6/H6*100,1),"")</f>
        <v/>
      </c>
      <c r="K6" s="10" t="inlineStr"/>
    </row>
    <row r="7" ht="22" customHeight="1">
      <c r="B7" s="14" t="inlineStr">
        <is>
          <t>TRN/003</t>
        </is>
      </c>
      <c r="C7" s="15" t="inlineStr">
        <is>
          <t>Verbal Ability &amp; Reading Comprehension</t>
        </is>
      </c>
      <c r="D7" s="16" t="inlineStr">
        <is>
          <t>Aptitude</t>
        </is>
      </c>
      <c r="E7" s="15" t="inlineStr"/>
      <c r="F7" s="16" t="inlineStr"/>
      <c r="G7" s="16" t="inlineStr">
        <is>
          <t>Physical</t>
        </is>
      </c>
      <c r="H7" s="16" t="inlineStr"/>
      <c r="I7" s="16" t="inlineStr"/>
      <c r="J7" s="54">
        <f>IFERROR(ROUND(I7/H7*100,1),"")</f>
        <v/>
      </c>
      <c r="K7" s="16" t="inlineStr"/>
    </row>
    <row r="8" ht="22" customHeight="1">
      <c r="B8" s="8" t="inlineStr">
        <is>
          <t>TRN/004</t>
        </is>
      </c>
      <c r="C8" s="9" t="inlineStr">
        <is>
          <t>Logical Reasoning</t>
        </is>
      </c>
      <c r="D8" s="10" t="inlineStr">
        <is>
          <t>Aptitude</t>
        </is>
      </c>
      <c r="E8" s="9" t="inlineStr"/>
      <c r="F8" s="10" t="inlineStr"/>
      <c r="G8" s="10" t="inlineStr">
        <is>
          <t>Physical</t>
        </is>
      </c>
      <c r="H8" s="10" t="inlineStr"/>
      <c r="I8" s="10" t="inlineStr"/>
      <c r="J8" s="38">
        <f>IFERROR(ROUND(I8/H8*100,1),"")</f>
        <v/>
      </c>
      <c r="K8" s="10" t="inlineStr"/>
    </row>
    <row r="9" ht="22" customHeight="1">
      <c r="B9" s="14" t="inlineStr">
        <is>
          <t>TRN/005</t>
        </is>
      </c>
      <c r="C9" s="15" t="inlineStr">
        <is>
          <t>Data Interpretation &amp; Puzzles</t>
        </is>
      </c>
      <c r="D9" s="16" t="inlineStr">
        <is>
          <t>Aptitude</t>
        </is>
      </c>
      <c r="E9" s="15" t="inlineStr"/>
      <c r="F9" s="16" t="inlineStr"/>
      <c r="G9" s="16" t="inlineStr">
        <is>
          <t>Physical</t>
        </is>
      </c>
      <c r="H9" s="16" t="inlineStr"/>
      <c r="I9" s="16" t="inlineStr"/>
      <c r="J9" s="54">
        <f>IFERROR(ROUND(I9/H9*100,1),"")</f>
        <v/>
      </c>
      <c r="K9" s="16" t="inlineStr"/>
    </row>
    <row r="10" ht="22" customHeight="1">
      <c r="B10" s="8" t="inlineStr">
        <is>
          <t>TRN/006</t>
        </is>
      </c>
      <c r="C10" s="9" t="inlineStr">
        <is>
          <t>Communication Skills — Spoken English</t>
        </is>
      </c>
      <c r="D10" s="10" t="inlineStr">
        <is>
          <t>Soft Skills</t>
        </is>
      </c>
      <c r="E10" s="9" t="inlineStr"/>
      <c r="F10" s="10" t="inlineStr"/>
      <c r="G10" s="10" t="inlineStr">
        <is>
          <t>Physical</t>
        </is>
      </c>
      <c r="H10" s="10" t="inlineStr"/>
      <c r="I10" s="10" t="inlineStr"/>
      <c r="J10" s="38">
        <f>IFERROR(ROUND(I10/H10*100,1),"")</f>
        <v/>
      </c>
      <c r="K10" s="10" t="inlineStr"/>
    </row>
    <row r="11" ht="22" customHeight="1">
      <c r="B11" s="14" t="inlineStr">
        <is>
          <t>TRN/007</t>
        </is>
      </c>
      <c r="C11" s="15" t="inlineStr">
        <is>
          <t>Presentation &amp; Public Speaking</t>
        </is>
      </c>
      <c r="D11" s="16" t="inlineStr">
        <is>
          <t>Soft Skills</t>
        </is>
      </c>
      <c r="E11" s="15" t="inlineStr"/>
      <c r="F11" s="16" t="inlineStr"/>
      <c r="G11" s="16" t="inlineStr">
        <is>
          <t>Physical</t>
        </is>
      </c>
      <c r="H11" s="16" t="inlineStr"/>
      <c r="I11" s="16" t="inlineStr"/>
      <c r="J11" s="54">
        <f>IFERROR(ROUND(I11/H11*100,1),"")</f>
        <v/>
      </c>
      <c r="K11" s="16" t="inlineStr"/>
    </row>
    <row r="12" ht="22" customHeight="1">
      <c r="B12" s="8" t="inlineStr">
        <is>
          <t>TRN/008</t>
        </is>
      </c>
      <c r="C12" s="9" t="inlineStr">
        <is>
          <t>Business Etiquette &amp; Professional Conduct</t>
        </is>
      </c>
      <c r="D12" s="10" t="inlineStr">
        <is>
          <t>Soft Skills</t>
        </is>
      </c>
      <c r="E12" s="9" t="inlineStr"/>
      <c r="F12" s="10" t="inlineStr"/>
      <c r="G12" s="10" t="inlineStr">
        <is>
          <t>Physical</t>
        </is>
      </c>
      <c r="H12" s="10" t="inlineStr"/>
      <c r="I12" s="10" t="inlineStr"/>
      <c r="J12" s="38">
        <f>IFERROR(ROUND(I12/H12*100,1),"")</f>
        <v/>
      </c>
      <c r="K12" s="10" t="inlineStr"/>
    </row>
    <row r="13" ht="22" customHeight="1">
      <c r="B13" s="14" t="inlineStr">
        <is>
          <t>TRN/009</t>
        </is>
      </c>
      <c r="C13" s="15" t="inlineStr">
        <is>
          <t>Resume Writing &amp; LinkedIn Optimisation</t>
        </is>
      </c>
      <c r="D13" s="16" t="inlineStr">
        <is>
          <t>Soft Skills</t>
        </is>
      </c>
      <c r="E13" s="15" t="inlineStr"/>
      <c r="F13" s="16" t="inlineStr"/>
      <c r="G13" s="16" t="inlineStr">
        <is>
          <t>Physical</t>
        </is>
      </c>
      <c r="H13" s="16" t="inlineStr"/>
      <c r="I13" s="16" t="inlineStr"/>
      <c r="J13" s="54">
        <f>IFERROR(ROUND(I13/H13*100,1),"")</f>
        <v/>
      </c>
      <c r="K13" s="16" t="inlineStr"/>
    </row>
    <row r="14" ht="22" customHeight="1">
      <c r="B14" s="8" t="inlineStr">
        <is>
          <t>TRN/010</t>
        </is>
      </c>
      <c r="C14" s="9" t="inlineStr">
        <is>
          <t>Group Discussion Techniques</t>
        </is>
      </c>
      <c r="D14" s="10" t="inlineStr">
        <is>
          <t>Soft Skills</t>
        </is>
      </c>
      <c r="E14" s="9" t="inlineStr"/>
      <c r="F14" s="10" t="inlineStr"/>
      <c r="G14" s="10" t="inlineStr">
        <is>
          <t>Physical</t>
        </is>
      </c>
      <c r="H14" s="10" t="inlineStr"/>
      <c r="I14" s="10" t="inlineStr"/>
      <c r="J14" s="38">
        <f>IFERROR(ROUND(I14/H14*100,1),"")</f>
        <v/>
      </c>
      <c r="K14" s="10" t="inlineStr"/>
    </row>
    <row r="15" ht="22" customHeight="1">
      <c r="B15" s="14" t="inlineStr">
        <is>
          <t>TRN/011</t>
        </is>
      </c>
      <c r="C15" s="15" t="inlineStr">
        <is>
          <t>Interview Skills (Technical)</t>
        </is>
      </c>
      <c r="D15" s="16" t="inlineStr">
        <is>
          <t>Mock Interview</t>
        </is>
      </c>
      <c r="E15" s="15" t="inlineStr"/>
      <c r="F15" s="16" t="inlineStr"/>
      <c r="G15" s="16" t="inlineStr">
        <is>
          <t>Physical</t>
        </is>
      </c>
      <c r="H15" s="16" t="inlineStr"/>
      <c r="I15" s="16" t="inlineStr"/>
      <c r="J15" s="54">
        <f>IFERROR(ROUND(I15/H15*100,1),"")</f>
        <v/>
      </c>
      <c r="K15" s="16" t="inlineStr"/>
    </row>
    <row r="16" ht="22" customHeight="1">
      <c r="B16" s="8" t="inlineStr">
        <is>
          <t>TRN/012</t>
        </is>
      </c>
      <c r="C16" s="9" t="inlineStr">
        <is>
          <t>Interview Skills (HR)</t>
        </is>
      </c>
      <c r="D16" s="10" t="inlineStr">
        <is>
          <t>Mock Interview</t>
        </is>
      </c>
      <c r="E16" s="9" t="inlineStr"/>
      <c r="F16" s="10" t="inlineStr"/>
      <c r="G16" s="10" t="inlineStr">
        <is>
          <t>Physical</t>
        </is>
      </c>
      <c r="H16" s="10" t="inlineStr"/>
      <c r="I16" s="10" t="inlineStr"/>
      <c r="J16" s="38">
        <f>IFERROR(ROUND(I16/H16*100,1),"")</f>
        <v/>
      </c>
      <c r="K16" s="10" t="inlineStr"/>
    </row>
    <row r="17" ht="22" customHeight="1">
      <c r="B17" s="14" t="inlineStr">
        <is>
          <t>TRN/013</t>
        </is>
      </c>
      <c r="C17" s="15" t="inlineStr">
        <is>
          <t>Mock Group Discussion</t>
        </is>
      </c>
      <c r="D17" s="16" t="inlineStr">
        <is>
          <t>Mock Interview</t>
        </is>
      </c>
      <c r="E17" s="15" t="inlineStr"/>
      <c r="F17" s="16" t="inlineStr"/>
      <c r="G17" s="16" t="inlineStr">
        <is>
          <t>Physical</t>
        </is>
      </c>
      <c r="H17" s="16" t="inlineStr"/>
      <c r="I17" s="16" t="inlineStr"/>
      <c r="J17" s="54">
        <f>IFERROR(ROUND(I17/H17*100,1),"")</f>
        <v/>
      </c>
      <c r="K17" s="16" t="inlineStr"/>
    </row>
    <row r="18" ht="22" customHeight="1">
      <c r="B18" s="8" t="inlineStr">
        <is>
          <t>TRN/014</t>
        </is>
      </c>
      <c r="C18" s="9" t="inlineStr">
        <is>
          <t>Mock Technical Interview — CSE</t>
        </is>
      </c>
      <c r="D18" s="10" t="inlineStr">
        <is>
          <t>Mock Interview</t>
        </is>
      </c>
      <c r="E18" s="9" t="inlineStr"/>
      <c r="F18" s="10" t="inlineStr"/>
      <c r="G18" s="10" t="inlineStr">
        <is>
          <t>Physical</t>
        </is>
      </c>
      <c r="H18" s="10" t="inlineStr"/>
      <c r="I18" s="10" t="inlineStr"/>
      <c r="J18" s="38">
        <f>IFERROR(ROUND(I18/H18*100,1),"")</f>
        <v/>
      </c>
      <c r="K18" s="10" t="inlineStr"/>
    </row>
    <row r="19" ht="22" customHeight="1">
      <c r="B19" s="14" t="inlineStr">
        <is>
          <t>TRN/015</t>
        </is>
      </c>
      <c r="C19" s="15" t="inlineStr">
        <is>
          <t>Mock Technical Interview — ECE</t>
        </is>
      </c>
      <c r="D19" s="16" t="inlineStr">
        <is>
          <t>Mock Interview</t>
        </is>
      </c>
      <c r="E19" s="15" t="inlineStr"/>
      <c r="F19" s="16" t="inlineStr"/>
      <c r="G19" s="16" t="inlineStr">
        <is>
          <t>Physical</t>
        </is>
      </c>
      <c r="H19" s="16" t="inlineStr"/>
      <c r="I19" s="16" t="inlineStr"/>
      <c r="J19" s="54">
        <f>IFERROR(ROUND(I19/H19*100,1),"")</f>
        <v/>
      </c>
      <c r="K19" s="16" t="inlineStr"/>
    </row>
    <row r="20" ht="22" customHeight="1">
      <c r="B20" s="8" t="inlineStr">
        <is>
          <t>TRN/016</t>
        </is>
      </c>
      <c r="C20" s="9" t="inlineStr">
        <is>
          <t>Data Structures &amp; Algorithms</t>
        </is>
      </c>
      <c r="D20" s="10" t="inlineStr">
        <is>
          <t>Technical</t>
        </is>
      </c>
      <c r="E20" s="9" t="inlineStr"/>
      <c r="F20" s="10" t="inlineStr"/>
      <c r="G20" s="10" t="inlineStr">
        <is>
          <t>Physical</t>
        </is>
      </c>
      <c r="H20" s="10" t="inlineStr"/>
      <c r="I20" s="10" t="inlineStr"/>
      <c r="J20" s="38">
        <f>IFERROR(ROUND(I20/H20*100,1),"")</f>
        <v/>
      </c>
      <c r="K20" s="10" t="inlineStr"/>
    </row>
    <row r="21" ht="22" customHeight="1">
      <c r="B21" s="14" t="inlineStr">
        <is>
          <t>TRN/017</t>
        </is>
      </c>
      <c r="C21" s="15" t="inlineStr">
        <is>
          <t>Python / Java / C++ Programming</t>
        </is>
      </c>
      <c r="D21" s="16" t="inlineStr">
        <is>
          <t>Technical</t>
        </is>
      </c>
      <c r="E21" s="15" t="inlineStr"/>
      <c r="F21" s="16" t="inlineStr"/>
      <c r="G21" s="16" t="inlineStr">
        <is>
          <t>Physical</t>
        </is>
      </c>
      <c r="H21" s="16" t="inlineStr"/>
      <c r="I21" s="16" t="inlineStr"/>
      <c r="J21" s="54">
        <f>IFERROR(ROUND(I21/H21*100,1),"")</f>
        <v/>
      </c>
      <c r="K21" s="16" t="inlineStr"/>
    </row>
    <row r="22" ht="22" customHeight="1">
      <c r="B22" s="8" t="inlineStr">
        <is>
          <t>TRN/018</t>
        </is>
      </c>
      <c r="C22" s="9" t="inlineStr">
        <is>
          <t>SQL &amp; Database</t>
        </is>
      </c>
      <c r="D22" s="10" t="inlineStr">
        <is>
          <t>Technical</t>
        </is>
      </c>
      <c r="E22" s="9" t="inlineStr"/>
      <c r="F22" s="10" t="inlineStr"/>
      <c r="G22" s="10" t="inlineStr">
        <is>
          <t>Physical</t>
        </is>
      </c>
      <c r="H22" s="10" t="inlineStr"/>
      <c r="I22" s="10" t="inlineStr"/>
      <c r="J22" s="38">
        <f>IFERROR(ROUND(I22/H22*100,1),"")</f>
        <v/>
      </c>
      <c r="K22" s="10" t="inlineStr"/>
    </row>
    <row r="23" ht="22" customHeight="1">
      <c r="B23" s="14" t="inlineStr">
        <is>
          <t>TRN/019</t>
        </is>
      </c>
      <c r="C23" s="15" t="inlineStr">
        <is>
          <t>Core Engineering — Mech./Civil/EEE</t>
        </is>
      </c>
      <c r="D23" s="16" t="inlineStr">
        <is>
          <t>Technical</t>
        </is>
      </c>
      <c r="E23" s="15" t="inlineStr"/>
      <c r="F23" s="16" t="inlineStr"/>
      <c r="G23" s="16" t="inlineStr">
        <is>
          <t>Physical</t>
        </is>
      </c>
      <c r="H23" s="16" t="inlineStr"/>
      <c r="I23" s="16" t="inlineStr"/>
      <c r="J23" s="54">
        <f>IFERROR(ROUND(I23/H23*100,1),"")</f>
        <v/>
      </c>
      <c r="K23" s="16" t="inlineStr"/>
    </row>
    <row r="24" ht="22" customHeight="1">
      <c r="B24" s="8" t="inlineStr">
        <is>
          <t>TRN/020</t>
        </is>
      </c>
      <c r="C24" s="9" t="inlineStr">
        <is>
          <t>Cloud &amp; DevOps Basics</t>
        </is>
      </c>
      <c r="D24" s="10" t="inlineStr">
        <is>
          <t>Technical</t>
        </is>
      </c>
      <c r="E24" s="9" t="inlineStr"/>
      <c r="F24" s="10" t="inlineStr"/>
      <c r="G24" s="10" t="inlineStr">
        <is>
          <t>Physical</t>
        </is>
      </c>
      <c r="H24" s="10" t="inlineStr"/>
      <c r="I24" s="10" t="inlineStr"/>
      <c r="J24" s="38">
        <f>IFERROR(ROUND(I24/H24*100,1),"")</f>
        <v/>
      </c>
      <c r="K24" s="10" t="inlineStr"/>
    </row>
    <row r="25" ht="22" customHeight="1">
      <c r="B25" s="14" t="inlineStr">
        <is>
          <t>TRN/021</t>
        </is>
      </c>
      <c r="C25" s="15" t="inlineStr">
        <is>
          <t>AMCAT / CoCubes / HackerEarth Prep</t>
        </is>
      </c>
      <c r="D25" s="16" t="inlineStr">
        <is>
          <t>Aptitude</t>
        </is>
      </c>
      <c r="E25" s="15" t="inlineStr"/>
      <c r="F25" s="16" t="inlineStr"/>
      <c r="G25" s="16" t="inlineStr">
        <is>
          <t>Physical</t>
        </is>
      </c>
      <c r="H25" s="16" t="inlineStr"/>
      <c r="I25" s="16" t="inlineStr"/>
      <c r="J25" s="54">
        <f>IFERROR(ROUND(I25/H25*100,1),"")</f>
        <v/>
      </c>
      <c r="K25" s="16" t="inlineStr"/>
    </row>
    <row r="26" ht="22" customHeight="1">
      <c r="B26" s="8" t="inlineStr">
        <is>
          <t>TRN/022</t>
        </is>
      </c>
      <c r="C26" s="9" t="inlineStr">
        <is>
          <t>MS Excel / Office Productivity</t>
        </is>
      </c>
      <c r="D26" s="10" t="inlineStr">
        <is>
          <t>Technical</t>
        </is>
      </c>
      <c r="E26" s="9" t="inlineStr"/>
      <c r="F26" s="10" t="inlineStr"/>
      <c r="G26" s="10" t="inlineStr">
        <is>
          <t>Physical</t>
        </is>
      </c>
      <c r="H26" s="10" t="inlineStr"/>
      <c r="I26" s="10" t="inlineStr"/>
      <c r="J26" s="38">
        <f>IFERROR(ROUND(I26/H26*100,1),"")</f>
        <v/>
      </c>
      <c r="K26" s="10" t="inlineStr"/>
    </row>
    <row r="27" ht="22" customHeight="1">
      <c r="B27" s="14" t="inlineStr">
        <is>
          <t>TRN/023</t>
        </is>
      </c>
      <c r="C27" s="15" t="inlineStr">
        <is>
          <t>AI &amp; Machine Learning Awareness</t>
        </is>
      </c>
      <c r="D27" s="16" t="inlineStr">
        <is>
          <t>Technical</t>
        </is>
      </c>
      <c r="E27" s="15" t="inlineStr"/>
      <c r="F27" s="16" t="inlineStr"/>
      <c r="G27" s="16" t="inlineStr">
        <is>
          <t>Physical</t>
        </is>
      </c>
      <c r="H27" s="16" t="inlineStr"/>
      <c r="I27" s="16" t="inlineStr"/>
      <c r="J27" s="54">
        <f>IFERROR(ROUND(I27/H27*100,1),"")</f>
        <v/>
      </c>
      <c r="K27" s="16" t="inlineStr"/>
    </row>
    <row r="28" ht="22" customHeight="1">
      <c r="B28" s="8" t="inlineStr">
        <is>
          <t>TRN/024</t>
        </is>
      </c>
      <c r="C28" s="9" t="inlineStr">
        <is>
          <t>Entrepreneurship Basics</t>
        </is>
      </c>
      <c r="D28" s="10" t="inlineStr">
        <is>
          <t>Career Guidance</t>
        </is>
      </c>
      <c r="E28" s="9" t="inlineStr"/>
      <c r="F28" s="10" t="inlineStr"/>
      <c r="G28" s="10" t="inlineStr">
        <is>
          <t>Physical</t>
        </is>
      </c>
      <c r="H28" s="10" t="inlineStr"/>
      <c r="I28" s="10" t="inlineStr"/>
      <c r="J28" s="38">
        <f>IFERROR(ROUND(I28/H28*100,1),"")</f>
        <v/>
      </c>
      <c r="K28" s="10" t="inlineStr"/>
    </row>
    <row r="29" ht="22" customHeight="1"/>
    <row r="30" ht="24" customHeight="1">
      <c r="B30" s="35" t="inlineStr">
        <is>
          <t>TRAINING CATEGORY SUMMARY</t>
        </is>
      </c>
    </row>
    <row r="31" ht="22" customHeight="1">
      <c r="B31" s="31" t="inlineStr">
        <is>
          <t>Category</t>
        </is>
      </c>
      <c r="C31" s="31" t="inlineStr">
        <is>
          <t>Sessions
Held</t>
        </is>
      </c>
      <c r="D31" s="31" t="inlineStr">
        <is>
          <t>Total
Students Reached</t>
        </is>
      </c>
      <c r="E31" s="31" t="inlineStr">
        <is>
          <t>Avg.
Attendance %</t>
        </is>
      </c>
      <c r="F31" s="31" t="inlineStr">
        <is>
          <t>Avg.
Feedback (/5)</t>
        </is>
      </c>
      <c r="G31" s="31" t="inlineStr">
        <is>
          <t>Total
Hours</t>
        </is>
      </c>
      <c r="H31" s="31" t="inlineStr">
        <is>
          <t>Training
Cost (₹L)</t>
        </is>
      </c>
    </row>
    <row r="32" ht="22" customHeight="1">
      <c r="B32" s="33" t="inlineStr">
        <is>
          <t>Aptitude Training</t>
        </is>
      </c>
      <c r="C32" s="34" t="inlineStr"/>
      <c r="D32" s="34" t="inlineStr"/>
      <c r="E32" s="34" t="inlineStr"/>
      <c r="F32" s="34" t="inlineStr"/>
      <c r="G32" s="34" t="inlineStr"/>
      <c r="H32" s="34" t="inlineStr"/>
      <c r="I32" s="55" t="n"/>
      <c r="J32" s="55" t="n"/>
      <c r="K32" s="55" t="n"/>
    </row>
    <row r="33" ht="22" customHeight="1">
      <c r="B33" s="9" t="inlineStr">
        <is>
          <t>Soft Skills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52" t="n"/>
      <c r="J33" s="52" t="n"/>
      <c r="K33" s="52" t="n"/>
    </row>
    <row r="34" ht="22" customHeight="1">
      <c r="B34" s="33" t="inlineStr">
        <is>
          <t>Technical Skills</t>
        </is>
      </c>
      <c r="C34" s="34" t="inlineStr"/>
      <c r="D34" s="34" t="inlineStr"/>
      <c r="E34" s="34" t="inlineStr"/>
      <c r="F34" s="34" t="inlineStr"/>
      <c r="G34" s="34" t="inlineStr"/>
      <c r="H34" s="34" t="inlineStr"/>
      <c r="I34" s="55" t="n"/>
      <c r="J34" s="55" t="n"/>
      <c r="K34" s="55" t="n"/>
    </row>
    <row r="35" ht="22" customHeight="1">
      <c r="B35" s="9" t="inlineStr">
        <is>
          <t>Mock Interview / GD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52" t="n"/>
      <c r="J35" s="52" t="n"/>
      <c r="K35" s="52" t="n"/>
    </row>
    <row r="36" ht="22" customHeight="1">
      <c r="B36" s="33" t="inlineStr">
        <is>
          <t>Career Guidance</t>
        </is>
      </c>
      <c r="C36" s="34" t="inlineStr"/>
      <c r="D36" s="34" t="inlineStr"/>
      <c r="E36" s="34" t="inlineStr"/>
      <c r="F36" s="34" t="inlineStr"/>
      <c r="G36" s="34" t="inlineStr"/>
      <c r="H36" s="34" t="inlineStr"/>
      <c r="I36" s="55" t="n"/>
      <c r="J36" s="55" t="n"/>
      <c r="K36" s="55" t="n"/>
    </row>
    <row r="37" ht="22" customHeight="1">
      <c r="B37" s="24" t="inlineStr">
        <is>
          <t>TOTAL</t>
        </is>
      </c>
      <c r="C37" s="39" t="inlineStr"/>
      <c r="D37" s="39" t="inlineStr"/>
      <c r="E37" s="39" t="inlineStr"/>
      <c r="F37" s="39" t="inlineStr"/>
      <c r="G37" s="39" t="inlineStr"/>
      <c r="H37" s="39" t="inlineStr"/>
      <c r="I37" s="53" t="n"/>
      <c r="J37" s="53" t="n"/>
      <c r="K37" s="53" t="n"/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">
    <mergeCell ref="B30:K30"/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TPC-28: CAREER GUIDANCE &amp; COUNSELLING REGISTER</t>
        </is>
      </c>
    </row>
    <row r="3" ht="25" customHeight="1">
      <c r="B3" s="2" t="inlineStr">
        <is>
          <t>A.Y.: _______  Career Counsellor: ___________________  NAAC Ref.: Criterion V.1 / V.2</t>
        </is>
      </c>
    </row>
    <row r="4" ht="25" customHeight="1">
      <c r="B4" s="13" t="inlineStr">
        <is>
          <t>Session
Ref.</t>
        </is>
      </c>
      <c r="C4" s="13" t="inlineStr">
        <is>
          <t>Student Name</t>
        </is>
      </c>
      <c r="D4" s="13" t="inlineStr">
        <is>
          <t>Roll No. /
Programme</t>
        </is>
      </c>
      <c r="E4" s="13" t="inlineStr">
        <is>
          <t>Counselling
Area</t>
        </is>
      </c>
      <c r="F4" s="13" t="inlineStr">
        <is>
          <t>Date</t>
        </is>
      </c>
      <c r="G4" s="13" t="inlineStr">
        <is>
          <t>Duration
(Min)</t>
        </is>
      </c>
      <c r="H4" s="13" t="inlineStr">
        <is>
          <t>Counsellor</t>
        </is>
      </c>
      <c r="I4" s="13" t="inlineStr">
        <is>
          <t>Action Plan
Given</t>
        </is>
      </c>
      <c r="J4" s="13" t="inlineStr">
        <is>
          <t>Follow-up
Date</t>
        </is>
      </c>
    </row>
    <row r="5" ht="24" customHeight="1">
      <c r="B5" s="14" t="inlineStr">
        <is>
          <t>CGC/001</t>
        </is>
      </c>
      <c r="C5" s="15" t="inlineStr"/>
      <c r="D5" s="16" t="inlineStr"/>
      <c r="E5" s="16" t="inlineStr">
        <is>
          <t>Placement strategy — first attempt</t>
        </is>
      </c>
      <c r="F5" s="16" t="inlineStr"/>
      <c r="G5" s="16" t="inlineStr"/>
      <c r="H5" s="16" t="inlineStr"/>
      <c r="I5" s="16" t="inlineStr">
        <is>
          <t>Y</t>
        </is>
      </c>
      <c r="J5" s="16" t="inlineStr"/>
    </row>
    <row r="6" ht="24" customHeight="1">
      <c r="B6" s="8" t="inlineStr">
        <is>
          <t>CGC/002</t>
        </is>
      </c>
      <c r="C6" s="9" t="inlineStr"/>
      <c r="D6" s="10" t="inlineStr"/>
      <c r="E6" s="10" t="inlineStr">
        <is>
          <t>Placement strategy — post-rejection</t>
        </is>
      </c>
      <c r="F6" s="10" t="inlineStr"/>
      <c r="G6" s="10" t="inlineStr"/>
      <c r="H6" s="10" t="inlineStr"/>
      <c r="I6" s="10" t="inlineStr">
        <is>
          <t>Y</t>
        </is>
      </c>
      <c r="J6" s="10" t="inlineStr"/>
    </row>
    <row r="7" ht="24" customHeight="1">
      <c r="B7" s="14" t="inlineStr">
        <is>
          <t>CGC/003</t>
        </is>
      </c>
      <c r="C7" s="15" t="inlineStr"/>
      <c r="D7" s="16" t="inlineStr"/>
      <c r="E7" s="16" t="inlineStr">
        <is>
          <t>Higher studies (GATE/GRE/MBA)</t>
        </is>
      </c>
      <c r="F7" s="16" t="inlineStr"/>
      <c r="G7" s="16" t="inlineStr"/>
      <c r="H7" s="16" t="inlineStr"/>
      <c r="I7" s="16" t="inlineStr">
        <is>
          <t>Y</t>
        </is>
      </c>
      <c r="J7" s="16" t="inlineStr"/>
    </row>
    <row r="8" ht="24" customHeight="1">
      <c r="B8" s="8" t="inlineStr">
        <is>
          <t>CGC/004</t>
        </is>
      </c>
      <c r="C8" s="9" t="inlineStr"/>
      <c r="D8" s="10" t="inlineStr"/>
      <c r="E8" s="10" t="inlineStr">
        <is>
          <t>Career switch advice</t>
        </is>
      </c>
      <c r="F8" s="10" t="inlineStr"/>
      <c r="G8" s="10" t="inlineStr"/>
      <c r="H8" s="10" t="inlineStr"/>
      <c r="I8" s="10" t="inlineStr">
        <is>
          <t>Y</t>
        </is>
      </c>
      <c r="J8" s="10" t="inlineStr"/>
    </row>
    <row r="9" ht="24" customHeight="1">
      <c r="B9" s="14" t="inlineStr">
        <is>
          <t>CGC/005</t>
        </is>
      </c>
      <c r="C9" s="15" t="inlineStr"/>
      <c r="D9" s="16" t="inlineStr"/>
      <c r="E9" s="16" t="inlineStr">
        <is>
          <t>Resume and profile building</t>
        </is>
      </c>
      <c r="F9" s="16" t="inlineStr"/>
      <c r="G9" s="16" t="inlineStr"/>
      <c r="H9" s="16" t="inlineStr"/>
      <c r="I9" s="16" t="inlineStr">
        <is>
          <t>Y</t>
        </is>
      </c>
      <c r="J9" s="16" t="inlineStr"/>
    </row>
    <row r="10" ht="24" customHeight="1">
      <c r="B10" s="8" t="inlineStr">
        <is>
          <t>CGC/006</t>
        </is>
      </c>
      <c r="C10" s="9" t="inlineStr"/>
      <c r="D10" s="10" t="inlineStr"/>
      <c r="E10" s="10" t="inlineStr">
        <is>
          <t>Interview confidence building</t>
        </is>
      </c>
      <c r="F10" s="10" t="inlineStr"/>
      <c r="G10" s="10" t="inlineStr"/>
      <c r="H10" s="10" t="inlineStr"/>
      <c r="I10" s="10" t="inlineStr">
        <is>
          <t>Y</t>
        </is>
      </c>
      <c r="J10" s="10" t="inlineStr"/>
    </row>
    <row r="11" ht="24" customHeight="1">
      <c r="B11" s="14" t="inlineStr">
        <is>
          <t>CGC/007</t>
        </is>
      </c>
      <c r="C11" s="15" t="inlineStr"/>
      <c r="D11" s="16" t="inlineStr"/>
      <c r="E11" s="16" t="inlineStr">
        <is>
          <t>Entrepreneurship guidance</t>
        </is>
      </c>
      <c r="F11" s="16" t="inlineStr"/>
      <c r="G11" s="16" t="inlineStr"/>
      <c r="H11" s="16" t="inlineStr"/>
      <c r="I11" s="16" t="inlineStr">
        <is>
          <t>Y</t>
        </is>
      </c>
      <c r="J11" s="16" t="inlineStr"/>
    </row>
    <row r="12" ht="24" customHeight="1">
      <c r="B12" s="8" t="inlineStr">
        <is>
          <t>CGC/008</t>
        </is>
      </c>
      <c r="C12" s="9" t="inlineStr"/>
      <c r="D12" s="10" t="inlineStr"/>
      <c r="E12" s="10" t="inlineStr">
        <is>
          <t>Competitive exam planning</t>
        </is>
      </c>
      <c r="F12" s="10" t="inlineStr"/>
      <c r="G12" s="10" t="inlineStr"/>
      <c r="H12" s="10" t="inlineStr"/>
      <c r="I12" s="10" t="inlineStr">
        <is>
          <t>Y</t>
        </is>
      </c>
      <c r="J12" s="10" t="inlineStr"/>
    </row>
    <row r="13" ht="24" customHeight="1">
      <c r="B13" s="14" t="inlineStr">
        <is>
          <t>CGC/009</t>
        </is>
      </c>
      <c r="C13" s="15" t="inlineStr"/>
      <c r="D13" s="16" t="inlineStr"/>
      <c r="E13" s="16" t="inlineStr">
        <is>
          <t>Industry sector guidance</t>
        </is>
      </c>
      <c r="F13" s="16" t="inlineStr"/>
      <c r="G13" s="16" t="inlineStr"/>
      <c r="H13" s="16" t="inlineStr"/>
      <c r="I13" s="16" t="inlineStr">
        <is>
          <t>Y</t>
        </is>
      </c>
      <c r="J13" s="16" t="inlineStr"/>
    </row>
    <row r="14" ht="24" customHeight="1">
      <c r="B14" s="8" t="inlineStr">
        <is>
          <t>CGC/010</t>
        </is>
      </c>
      <c r="C14" s="9" t="inlineStr"/>
      <c r="D14" s="10" t="inlineStr"/>
      <c r="E14" s="10" t="inlineStr">
        <is>
          <t>Salary negotiation advice</t>
        </is>
      </c>
      <c r="F14" s="10" t="inlineStr"/>
      <c r="G14" s="10" t="inlineStr"/>
      <c r="H14" s="10" t="inlineStr"/>
      <c r="I14" s="10" t="inlineStr">
        <is>
          <t>Y</t>
        </is>
      </c>
      <c r="J14" s="10" t="inlineStr"/>
    </row>
    <row r="15" ht="24" customHeight="1">
      <c r="B15" s="14" t="inlineStr">
        <is>
          <t>CGC/011</t>
        </is>
      </c>
      <c r="C15" s="15" t="inlineStr"/>
      <c r="D15" s="16" t="inlineStr"/>
      <c r="E15" s="16" t="inlineStr">
        <is>
          <t>Work-life and career values</t>
        </is>
      </c>
      <c r="F15" s="16" t="inlineStr"/>
      <c r="G15" s="16" t="inlineStr"/>
      <c r="H15" s="16" t="inlineStr"/>
      <c r="I15" s="16" t="inlineStr">
        <is>
          <t>Y</t>
        </is>
      </c>
      <c r="J15" s="16" t="inlineStr"/>
    </row>
    <row r="16" ht="24" customHeight="1">
      <c r="B16" s="8" t="inlineStr">
        <is>
          <t>CGC/012</t>
        </is>
      </c>
      <c r="C16" s="9" t="inlineStr"/>
      <c r="D16" s="10" t="inlineStr"/>
      <c r="E16" s="10" t="inlineStr">
        <is>
          <t>Post-offer support</t>
        </is>
      </c>
      <c r="F16" s="10" t="inlineStr"/>
      <c r="G16" s="10" t="inlineStr"/>
      <c r="H16" s="10" t="inlineStr"/>
      <c r="I16" s="10" t="inlineStr">
        <is>
          <t>Y</t>
        </is>
      </c>
      <c r="J16" s="10" t="inlineStr"/>
    </row>
    <row r="17" ht="24" customHeight="1">
      <c r="B17" s="14" t="inlineStr">
        <is>
          <t>CGC/013</t>
        </is>
      </c>
      <c r="C17" s="15" t="inlineStr"/>
      <c r="D17" s="16" t="inlineStr"/>
      <c r="E17" s="16" t="inlineStr">
        <is>
          <t>Placement strategy — first attempt</t>
        </is>
      </c>
      <c r="F17" s="16" t="inlineStr"/>
      <c r="G17" s="16" t="inlineStr"/>
      <c r="H17" s="16" t="inlineStr"/>
      <c r="I17" s="16" t="inlineStr">
        <is>
          <t>Y</t>
        </is>
      </c>
      <c r="J17" s="16" t="inlineStr"/>
    </row>
    <row r="18" ht="24" customHeight="1">
      <c r="B18" s="8" t="inlineStr">
        <is>
          <t>CGC/014</t>
        </is>
      </c>
      <c r="C18" s="9" t="inlineStr"/>
      <c r="D18" s="10" t="inlineStr"/>
      <c r="E18" s="10" t="inlineStr">
        <is>
          <t>Placement strategy — post-rejection</t>
        </is>
      </c>
      <c r="F18" s="10" t="inlineStr"/>
      <c r="G18" s="10" t="inlineStr"/>
      <c r="H18" s="10" t="inlineStr"/>
      <c r="I18" s="10" t="inlineStr">
        <is>
          <t>Y</t>
        </is>
      </c>
      <c r="J18" s="10" t="inlineStr"/>
    </row>
    <row r="19" ht="24" customHeight="1">
      <c r="B19" s="14" t="inlineStr">
        <is>
          <t>CGC/015</t>
        </is>
      </c>
      <c r="C19" s="15" t="inlineStr"/>
      <c r="D19" s="16" t="inlineStr"/>
      <c r="E19" s="16" t="inlineStr">
        <is>
          <t>Higher studies (GATE/GRE/MBA)</t>
        </is>
      </c>
      <c r="F19" s="16" t="inlineStr"/>
      <c r="G19" s="16" t="inlineStr"/>
      <c r="H19" s="16" t="inlineStr"/>
      <c r="I19" s="16" t="inlineStr">
        <is>
          <t>Y</t>
        </is>
      </c>
      <c r="J19" s="16" t="inlineStr"/>
    </row>
    <row r="20" ht="24" customHeight="1">
      <c r="B20" s="8" t="inlineStr">
        <is>
          <t>CGC/016</t>
        </is>
      </c>
      <c r="C20" s="9" t="inlineStr"/>
      <c r="D20" s="10" t="inlineStr"/>
      <c r="E20" s="10" t="inlineStr">
        <is>
          <t>Career switch advice</t>
        </is>
      </c>
      <c r="F20" s="10" t="inlineStr"/>
      <c r="G20" s="10" t="inlineStr"/>
      <c r="H20" s="10" t="inlineStr"/>
      <c r="I20" s="10" t="inlineStr">
        <is>
          <t>Y</t>
        </is>
      </c>
      <c r="J20" s="10" t="inlineStr"/>
    </row>
    <row r="21" ht="24" customHeight="1">
      <c r="B21" s="14" t="inlineStr">
        <is>
          <t>CGC/017</t>
        </is>
      </c>
      <c r="C21" s="15" t="inlineStr"/>
      <c r="D21" s="16" t="inlineStr"/>
      <c r="E21" s="16" t="inlineStr">
        <is>
          <t>Resume and profile building</t>
        </is>
      </c>
      <c r="F21" s="16" t="inlineStr"/>
      <c r="G21" s="16" t="inlineStr"/>
      <c r="H21" s="16" t="inlineStr"/>
      <c r="I21" s="16" t="inlineStr">
        <is>
          <t>Y</t>
        </is>
      </c>
      <c r="J21" s="16" t="inlineStr"/>
    </row>
    <row r="22" ht="24" customHeight="1">
      <c r="B22" s="8" t="inlineStr">
        <is>
          <t>CGC/018</t>
        </is>
      </c>
      <c r="C22" s="9" t="inlineStr"/>
      <c r="D22" s="10" t="inlineStr"/>
      <c r="E22" s="10" t="inlineStr">
        <is>
          <t>Interview confidence building</t>
        </is>
      </c>
      <c r="F22" s="10" t="inlineStr"/>
      <c r="G22" s="10" t="inlineStr"/>
      <c r="H22" s="10" t="inlineStr"/>
      <c r="I22" s="10" t="inlineStr">
        <is>
          <t>Y</t>
        </is>
      </c>
      <c r="J22" s="10" t="inlineStr"/>
    </row>
    <row r="23" ht="24" customHeight="1">
      <c r="B23" s="14" t="inlineStr">
        <is>
          <t>CGC/019</t>
        </is>
      </c>
      <c r="C23" s="15" t="inlineStr"/>
      <c r="D23" s="16" t="inlineStr"/>
      <c r="E23" s="16" t="inlineStr">
        <is>
          <t>Entrepreneurship guidance</t>
        </is>
      </c>
      <c r="F23" s="16" t="inlineStr"/>
      <c r="G23" s="16" t="inlineStr"/>
      <c r="H23" s="16" t="inlineStr"/>
      <c r="I23" s="16" t="inlineStr">
        <is>
          <t>Y</t>
        </is>
      </c>
      <c r="J23" s="16" t="inlineStr"/>
    </row>
    <row r="24" ht="24" customHeight="1">
      <c r="B24" s="8" t="inlineStr">
        <is>
          <t>CGC/020</t>
        </is>
      </c>
      <c r="C24" s="9" t="inlineStr"/>
      <c r="D24" s="10" t="inlineStr"/>
      <c r="E24" s="10" t="inlineStr">
        <is>
          <t>Competitive exam planning</t>
        </is>
      </c>
      <c r="F24" s="10" t="inlineStr"/>
      <c r="G24" s="10" t="inlineStr"/>
      <c r="H24" s="10" t="inlineStr"/>
      <c r="I24" s="10" t="inlineStr">
        <is>
          <t>Y</t>
        </is>
      </c>
      <c r="J24" s="10" t="inlineStr"/>
    </row>
    <row r="25" ht="24" customHeight="1">
      <c r="B25" s="14" t="inlineStr">
        <is>
          <t>CGC/021</t>
        </is>
      </c>
      <c r="C25" s="15" t="inlineStr"/>
      <c r="D25" s="16" t="inlineStr"/>
      <c r="E25" s="16" t="inlineStr">
        <is>
          <t>Industry sector guidance</t>
        </is>
      </c>
      <c r="F25" s="16" t="inlineStr"/>
      <c r="G25" s="16" t="inlineStr"/>
      <c r="H25" s="16" t="inlineStr"/>
      <c r="I25" s="16" t="inlineStr">
        <is>
          <t>Y</t>
        </is>
      </c>
      <c r="J25" s="16" t="inlineStr"/>
    </row>
    <row r="26" ht="24" customHeight="1">
      <c r="B26" s="8" t="inlineStr">
        <is>
          <t>CGC/022</t>
        </is>
      </c>
      <c r="C26" s="9" t="inlineStr"/>
      <c r="D26" s="10" t="inlineStr"/>
      <c r="E26" s="10" t="inlineStr">
        <is>
          <t>Salary negotiation advice</t>
        </is>
      </c>
      <c r="F26" s="10" t="inlineStr"/>
      <c r="G26" s="10" t="inlineStr"/>
      <c r="H26" s="10" t="inlineStr"/>
      <c r="I26" s="10" t="inlineStr">
        <is>
          <t>Y</t>
        </is>
      </c>
      <c r="J26" s="10" t="inlineStr"/>
    </row>
    <row r="27" ht="24" customHeight="1"/>
    <row r="28" ht="24" customHeight="1">
      <c r="B28" s="35" t="inlineStr">
        <is>
          <t>CAREER GUIDANCE AREA SUMMARY</t>
        </is>
      </c>
    </row>
    <row r="29" ht="24" customHeight="1">
      <c r="B29" s="31" t="inlineStr">
        <is>
          <t>Area</t>
        </is>
      </c>
      <c r="C29" s="31" t="inlineStr">
        <is>
          <t>Sessions</t>
        </is>
      </c>
      <c r="D29" s="31" t="inlineStr">
        <is>
          <t>Students</t>
        </is>
      </c>
      <c r="E29" s="31" t="inlineStr">
        <is>
          <t>Most Common
Issue</t>
        </is>
      </c>
      <c r="F29" s="31" t="inlineStr">
        <is>
          <t>Resolution
Rate %</t>
        </is>
      </c>
      <c r="G29" s="31" t="inlineStr">
        <is>
          <t>Follow-up
Completed</t>
        </is>
      </c>
    </row>
    <row r="30" ht="24" customHeight="1">
      <c r="B30" s="36" t="inlineStr">
        <is>
          <t>Placement Strategy</t>
        </is>
      </c>
      <c r="C30" s="34" t="inlineStr"/>
      <c r="D30" s="34" t="inlineStr"/>
      <c r="E30" s="33" t="inlineStr"/>
      <c r="F30" s="34" t="inlineStr"/>
      <c r="G30" s="34" t="inlineStr"/>
      <c r="H30" s="55" t="n"/>
      <c r="I30" s="55" t="n"/>
      <c r="J30" s="55" t="n"/>
    </row>
    <row r="31" ht="24" customHeight="1">
      <c r="B31" s="26" t="inlineStr">
        <is>
          <t>Higher Studies</t>
        </is>
      </c>
      <c r="C31" s="10" t="inlineStr"/>
      <c r="D31" s="10" t="inlineStr"/>
      <c r="E31" s="9" t="inlineStr"/>
      <c r="F31" s="10" t="inlineStr"/>
      <c r="G31" s="10" t="inlineStr"/>
      <c r="H31" s="52" t="n"/>
      <c r="I31" s="52" t="n"/>
      <c r="J31" s="52" t="n"/>
    </row>
    <row r="32" ht="24" customHeight="1">
      <c r="B32" s="36" t="inlineStr">
        <is>
          <t>Resume &amp; Interview</t>
        </is>
      </c>
      <c r="C32" s="34" t="inlineStr"/>
      <c r="D32" s="34" t="inlineStr"/>
      <c r="E32" s="33" t="inlineStr"/>
      <c r="F32" s="34" t="inlineStr"/>
      <c r="G32" s="34" t="inlineStr"/>
      <c r="H32" s="55" t="n"/>
      <c r="I32" s="55" t="n"/>
      <c r="J32" s="55" t="n"/>
    </row>
    <row r="33" ht="24" customHeight="1">
      <c r="B33" s="26" t="inlineStr">
        <is>
          <t>Competitive Exams</t>
        </is>
      </c>
      <c r="C33" s="10" t="inlineStr"/>
      <c r="D33" s="10" t="inlineStr"/>
      <c r="E33" s="9" t="inlineStr"/>
      <c r="F33" s="10" t="inlineStr"/>
      <c r="G33" s="10" t="inlineStr"/>
      <c r="H33" s="52" t="n"/>
      <c r="I33" s="52" t="n"/>
      <c r="J33" s="52" t="n"/>
    </row>
    <row r="34" ht="24" customHeight="1">
      <c r="B34" s="36" t="inlineStr">
        <is>
          <t>Entrepreneurship</t>
        </is>
      </c>
      <c r="C34" s="34" t="inlineStr"/>
      <c r="D34" s="34" t="inlineStr"/>
      <c r="E34" s="33" t="inlineStr"/>
      <c r="F34" s="34" t="inlineStr"/>
      <c r="G34" s="34" t="inlineStr"/>
      <c r="H34" s="55" t="n"/>
      <c r="I34" s="55" t="n"/>
      <c r="J34" s="55" t="n"/>
    </row>
    <row r="35" ht="24" customHeight="1">
      <c r="B35" s="26" t="inlineStr">
        <is>
          <t>Others</t>
        </is>
      </c>
      <c r="C35" s="10" t="inlineStr"/>
      <c r="D35" s="10" t="inlineStr"/>
      <c r="E35" s="9" t="inlineStr"/>
      <c r="F35" s="10" t="inlineStr"/>
      <c r="G35" s="10" t="inlineStr"/>
      <c r="H35" s="52" t="n"/>
      <c r="I35" s="52" t="n"/>
      <c r="J35" s="52" t="n"/>
    </row>
  </sheetData>
  <mergeCells count="3">
    <mergeCell ref="B28:J28"/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TPC-34: EMPLOYER SATISFACTION SURVEY — GRADUATE EMPLOYABILITY</t>
        </is>
      </c>
    </row>
    <row r="3" ht="25" customHeight="1">
      <c r="B3" s="2" t="inlineStr">
        <is>
          <t>A.Y.: _______  Respondents: _______  Mode: Online / Offline  NAAC Ref.: Criterion V.2 / II.7</t>
        </is>
      </c>
    </row>
    <row r="4" ht="22" customHeight="1">
      <c r="B4" s="56" t="inlineStr">
        <is>
          <t>Scale: 1 = Very Dissatisfied  |  2 = Dissatisfied  |  3 = Neutral  |  4 = Satisfied  |  5 = Very Satisfied</t>
        </is>
      </c>
    </row>
    <row r="5" ht="24" customHeight="1">
      <c r="B5" s="20" t="inlineStr">
        <is>
          <t>A. TECHNICAL COMPETENCY</t>
        </is>
      </c>
    </row>
    <row r="6" ht="22" customHeight="1">
      <c r="B6" s="13" t="inlineStr">
        <is>
          <t>Q.</t>
        </is>
      </c>
      <c r="C6" s="13" t="inlineStr">
        <is>
          <t>Feedback Parameter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Neutral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E1</t>
        </is>
      </c>
      <c r="C7" s="15" t="inlineStr">
        <is>
          <t>Domain knowledge relevant to the job role</t>
        </is>
      </c>
      <c r="D7" s="16" t="inlineStr"/>
      <c r="E7" s="16" t="inlineStr"/>
      <c r="F7" s="16" t="inlineStr"/>
      <c r="G7" s="16" t="inlineStr"/>
      <c r="H7" s="16" t="inlineStr"/>
      <c r="I7" s="54">
        <f>IFERROR(ROUND((D7*5+E7*4+F7*3+G7*2+H7)/SUM(D7:H7),2),"")</f>
        <v/>
      </c>
    </row>
    <row r="8" ht="22" customHeight="1">
      <c r="B8" s="8" t="inlineStr">
        <is>
          <t>E2</t>
        </is>
      </c>
      <c r="C8" s="9" t="inlineStr">
        <is>
          <t>Problem-solving and analytical thinking</t>
        </is>
      </c>
      <c r="D8" s="10" t="inlineStr"/>
      <c r="E8" s="10" t="inlineStr"/>
      <c r="F8" s="10" t="inlineStr"/>
      <c r="G8" s="10" t="inlineStr"/>
      <c r="H8" s="10" t="inlineStr"/>
      <c r="I8" s="38">
        <f>IFERROR(ROUND((D8*5+E8*4+F8*3+G8*2+H8)/SUM(D8:H8),2),"")</f>
        <v/>
      </c>
    </row>
    <row r="9" ht="22" customHeight="1">
      <c r="B9" s="14" t="inlineStr">
        <is>
          <t>E3</t>
        </is>
      </c>
      <c r="C9" s="15" t="inlineStr">
        <is>
          <t>Proficiency with required tools / technologies</t>
        </is>
      </c>
      <c r="D9" s="16" t="inlineStr"/>
      <c r="E9" s="16" t="inlineStr"/>
      <c r="F9" s="16" t="inlineStr"/>
      <c r="G9" s="16" t="inlineStr"/>
      <c r="H9" s="16" t="inlineStr"/>
      <c r="I9" s="54">
        <f>IFERROR(ROUND((D9*5+E9*4+F9*3+G9*2+H9)/SUM(D9:H9),2),"")</f>
        <v/>
      </c>
    </row>
    <row r="10" ht="22" customHeight="1">
      <c r="B10" s="8" t="inlineStr">
        <is>
          <t>E4</t>
        </is>
      </c>
      <c r="C10" s="9" t="inlineStr">
        <is>
          <t>Ability to apply academic learning to work</t>
        </is>
      </c>
      <c r="D10" s="10" t="inlineStr"/>
      <c r="E10" s="10" t="inlineStr"/>
      <c r="F10" s="10" t="inlineStr"/>
      <c r="G10" s="10" t="inlineStr"/>
      <c r="H10" s="10" t="inlineStr"/>
      <c r="I10" s="38">
        <f>IFERROR(ROUND((D10*5+E10*4+F10*3+G10*2+H10)/SUM(D10:H10),2),"")</f>
        <v/>
      </c>
    </row>
    <row r="11" ht="22" customHeight="1">
      <c r="B11" s="14" t="inlineStr">
        <is>
          <t>E5</t>
        </is>
      </c>
      <c r="C11" s="15" t="inlineStr">
        <is>
          <t>Research and innovation orientation</t>
        </is>
      </c>
      <c r="D11" s="16" t="inlineStr"/>
      <c r="E11" s="16" t="inlineStr"/>
      <c r="F11" s="16" t="inlineStr"/>
      <c r="G11" s="16" t="inlineStr"/>
      <c r="H11" s="16" t="inlineStr"/>
      <c r="I11" s="54">
        <f>IFERROR(ROUND((D11*5+E11*4+F11*3+G11*2+H11)/SUM(D11:H11),2),"")</f>
        <v/>
      </c>
    </row>
    <row r="12" ht="22" customHeight="1"/>
    <row r="13" ht="24" customHeight="1">
      <c r="B13" s="42" t="inlineStr">
        <is>
          <t>B. PROFESSIONAL &amp; BEHAVIOURAL SKILLS</t>
        </is>
      </c>
    </row>
    <row r="14" ht="22" customHeight="1">
      <c r="B14" s="48" t="inlineStr">
        <is>
          <t>Q.</t>
        </is>
      </c>
      <c r="C14" s="48" t="inlineStr">
        <is>
          <t>Feedback Parameter</t>
        </is>
      </c>
      <c r="D14" s="48" t="inlineStr">
        <is>
          <t>Excellent
(5)</t>
        </is>
      </c>
      <c r="E14" s="48" t="inlineStr">
        <is>
          <t>Good
(4)</t>
        </is>
      </c>
      <c r="F14" s="48" t="inlineStr">
        <is>
          <t>Neutral
(3)</t>
        </is>
      </c>
      <c r="G14" s="48" t="inlineStr">
        <is>
          <t>Poor
(2)</t>
        </is>
      </c>
      <c r="H14" s="48" t="inlineStr">
        <is>
          <t>Very Poor
(1)</t>
        </is>
      </c>
      <c r="I14" s="48" t="inlineStr">
        <is>
          <t>Avg Score</t>
        </is>
      </c>
    </row>
    <row r="15" ht="22" customHeight="1">
      <c r="B15" s="57" t="inlineStr">
        <is>
          <t>E6</t>
        </is>
      </c>
      <c r="C15" s="49" t="inlineStr">
        <is>
          <t>Communication skills (verbal and written)</t>
        </is>
      </c>
      <c r="D15" s="50" t="inlineStr"/>
      <c r="E15" s="50" t="inlineStr"/>
      <c r="F15" s="50" t="inlineStr"/>
      <c r="G15" s="50" t="inlineStr"/>
      <c r="H15" s="50" t="inlineStr"/>
      <c r="I15" s="37">
        <f>IFERROR(ROUND((D15*5+E15*4+F15*3+G15*2+H15)/SUM(D15:H15),2),"")</f>
        <v/>
      </c>
    </row>
    <row r="16" ht="22" customHeight="1">
      <c r="B16" s="8" t="inlineStr">
        <is>
          <t>E7</t>
        </is>
      </c>
      <c r="C16" s="9" t="inlineStr">
        <is>
          <t>Teamwork and collaboration</t>
        </is>
      </c>
      <c r="D16" s="10" t="inlineStr"/>
      <c r="E16" s="10" t="inlineStr"/>
      <c r="F16" s="10" t="inlineStr"/>
      <c r="G16" s="10" t="inlineStr"/>
      <c r="H16" s="10" t="inlineStr"/>
      <c r="I16" s="38">
        <f>IFERROR(ROUND((D16*5+E16*4+F16*3+G16*2+H16)/SUM(D16:H16),2),"")</f>
        <v/>
      </c>
    </row>
    <row r="17" ht="22" customHeight="1">
      <c r="B17" s="57" t="inlineStr">
        <is>
          <t>E8</t>
        </is>
      </c>
      <c r="C17" s="49" t="inlineStr">
        <is>
          <t>Leadership potential and initiative</t>
        </is>
      </c>
      <c r="D17" s="50" t="inlineStr"/>
      <c r="E17" s="50" t="inlineStr"/>
      <c r="F17" s="50" t="inlineStr"/>
      <c r="G17" s="50" t="inlineStr"/>
      <c r="H17" s="50" t="inlineStr"/>
      <c r="I17" s="37">
        <f>IFERROR(ROUND((D17*5+E17*4+F17*3+G17*2+H17)/SUM(D17:H17),2),"")</f>
        <v/>
      </c>
    </row>
    <row r="18" ht="22" customHeight="1">
      <c r="B18" s="8" t="inlineStr">
        <is>
          <t>E9</t>
        </is>
      </c>
      <c r="C18" s="9" t="inlineStr">
        <is>
          <t>Work ethic, discipline and punctuality</t>
        </is>
      </c>
      <c r="D18" s="10" t="inlineStr"/>
      <c r="E18" s="10" t="inlineStr"/>
      <c r="F18" s="10" t="inlineStr"/>
      <c r="G18" s="10" t="inlineStr"/>
      <c r="H18" s="10" t="inlineStr"/>
      <c r="I18" s="38">
        <f>IFERROR(ROUND((D18*5+E18*4+F18*3+G18*2+H18)/SUM(D18:H18),2),"")</f>
        <v/>
      </c>
    </row>
    <row r="19" ht="22" customHeight="1">
      <c r="B19" s="57" t="inlineStr">
        <is>
          <t>E10</t>
        </is>
      </c>
      <c r="C19" s="49" t="inlineStr">
        <is>
          <t>Adaptability and openness to feedback</t>
        </is>
      </c>
      <c r="D19" s="50" t="inlineStr"/>
      <c r="E19" s="50" t="inlineStr"/>
      <c r="F19" s="50" t="inlineStr"/>
      <c r="G19" s="50" t="inlineStr"/>
      <c r="H19" s="50" t="inlineStr"/>
      <c r="I19" s="37">
        <f>IFERROR(ROUND((D19*5+E19*4+F19*3+G19*2+H19)/SUM(D19:H19),2),"")</f>
        <v/>
      </c>
    </row>
    <row r="20" ht="22" customHeight="1">
      <c r="B20" s="8" t="inlineStr">
        <is>
          <t>E11</t>
        </is>
      </c>
      <c r="C20" s="9" t="inlineStr">
        <is>
          <t>Professional ethics and conduct</t>
        </is>
      </c>
      <c r="D20" s="10" t="inlineStr"/>
      <c r="E20" s="10" t="inlineStr"/>
      <c r="F20" s="10" t="inlineStr"/>
      <c r="G20" s="10" t="inlineStr"/>
      <c r="H20" s="10" t="inlineStr"/>
      <c r="I20" s="38">
        <f>IFERROR(ROUND((D20*5+E20*4+F20*3+G20*2+H20)/SUM(D20:H20),2),"")</f>
        <v/>
      </c>
    </row>
    <row r="21" ht="22" customHeight="1"/>
    <row r="22" ht="24" customHeight="1">
      <c r="B22" s="35" t="inlineStr">
        <is>
          <t>C. INDUSTRY READINESS</t>
        </is>
      </c>
    </row>
    <row r="23" ht="22" customHeight="1">
      <c r="B23" s="31" t="inlineStr">
        <is>
          <t>Q.</t>
        </is>
      </c>
      <c r="C23" s="31" t="inlineStr">
        <is>
          <t>Feedback Parameter</t>
        </is>
      </c>
      <c r="D23" s="31" t="inlineStr">
        <is>
          <t>Excellent
(5)</t>
        </is>
      </c>
      <c r="E23" s="31" t="inlineStr">
        <is>
          <t>Good
(4)</t>
        </is>
      </c>
      <c r="F23" s="31" t="inlineStr">
        <is>
          <t>Neutral
(3)</t>
        </is>
      </c>
      <c r="G23" s="31" t="inlineStr">
        <is>
          <t>Poor
(2)</t>
        </is>
      </c>
      <c r="H23" s="31" t="inlineStr">
        <is>
          <t>Very Poor
(1)</t>
        </is>
      </c>
      <c r="I23" s="31" t="inlineStr">
        <is>
          <t>Avg Score</t>
        </is>
      </c>
    </row>
    <row r="24" ht="22" customHeight="1">
      <c r="B24" s="32" t="inlineStr">
        <is>
          <t>E12</t>
        </is>
      </c>
      <c r="C24" s="33" t="inlineStr">
        <is>
          <t>Overall industry readiness on joining</t>
        </is>
      </c>
      <c r="D24" s="34" t="inlineStr"/>
      <c r="E24" s="34" t="inlineStr"/>
      <c r="F24" s="34" t="inlineStr"/>
      <c r="G24" s="34" t="inlineStr"/>
      <c r="H24" s="34" t="inlineStr"/>
      <c r="I24" s="58">
        <f>IFERROR(ROUND((D24*5+E24*4+F24*3+G24*2+H24)/SUM(D24:H24),2),"")</f>
        <v/>
      </c>
    </row>
    <row r="25" ht="22" customHeight="1">
      <c r="B25" s="8" t="inlineStr">
        <is>
          <t>E13</t>
        </is>
      </c>
      <c r="C25" s="9" t="inlineStr">
        <is>
          <t>Time to become productive (ramp-up period)</t>
        </is>
      </c>
      <c r="D25" s="10" t="inlineStr"/>
      <c r="E25" s="10" t="inlineStr"/>
      <c r="F25" s="10" t="inlineStr"/>
      <c r="G25" s="10" t="inlineStr"/>
      <c r="H25" s="10" t="inlineStr"/>
      <c r="I25" s="38">
        <f>IFERROR(ROUND((D25*5+E25*4+F25*3+G25*2+H25)/SUM(D25:H25),2),"")</f>
        <v/>
      </c>
    </row>
    <row r="26" ht="22" customHeight="1">
      <c r="B26" s="32" t="inlineStr">
        <is>
          <t>E14</t>
        </is>
      </c>
      <c r="C26" s="33" t="inlineStr">
        <is>
          <t>Quality of academic training received</t>
        </is>
      </c>
      <c r="D26" s="34" t="inlineStr"/>
      <c r="E26" s="34" t="inlineStr"/>
      <c r="F26" s="34" t="inlineStr"/>
      <c r="G26" s="34" t="inlineStr"/>
      <c r="H26" s="34" t="inlineStr"/>
      <c r="I26" s="58">
        <f>IFERROR(ROUND((D26*5+E26*4+F26*3+G26*2+H26)/SUM(D26:H26),2),"")</f>
        <v/>
      </c>
    </row>
    <row r="27" ht="22" customHeight="1">
      <c r="B27" s="8" t="inlineStr">
        <is>
          <t>E15</t>
        </is>
      </c>
      <c r="C27" s="9" t="inlineStr">
        <is>
          <t>Awareness of industry practices and trends</t>
        </is>
      </c>
      <c r="D27" s="10" t="inlineStr"/>
      <c r="E27" s="10" t="inlineStr"/>
      <c r="F27" s="10" t="inlineStr"/>
      <c r="G27" s="10" t="inlineStr"/>
      <c r="H27" s="10" t="inlineStr"/>
      <c r="I27" s="38">
        <f>IFERROR(ROUND((D27*5+E27*4+F27*3+G27*2+H27)/SUM(D27:H27),2),"")</f>
        <v/>
      </c>
    </row>
    <row r="28" ht="22" customHeight="1">
      <c r="B28" s="32" t="inlineStr">
        <is>
          <t>E16</t>
        </is>
      </c>
      <c r="C28" s="33" t="inlineStr">
        <is>
          <t>Digital literacy and use of technology</t>
        </is>
      </c>
      <c r="D28" s="34" t="inlineStr"/>
      <c r="E28" s="34" t="inlineStr"/>
      <c r="F28" s="34" t="inlineStr"/>
      <c r="G28" s="34" t="inlineStr"/>
      <c r="H28" s="34" t="inlineStr"/>
      <c r="I28" s="58">
        <f>IFERROR(ROUND((D28*5+E28*4+F28*3+G28*2+H28)/SUM(D28:H28),2),"")</f>
        <v/>
      </c>
    </row>
    <row r="29" ht="22" customHeight="1"/>
    <row r="30" ht="24" customHeight="1">
      <c r="B30" s="21" t="inlineStr">
        <is>
          <t>D. T&amp;P PROCESS QUALITY</t>
        </is>
      </c>
    </row>
    <row r="31" ht="22" customHeight="1">
      <c r="B31" s="22" t="inlineStr">
        <is>
          <t>Q.</t>
        </is>
      </c>
      <c r="C31" s="22" t="inlineStr">
        <is>
          <t>Feedback Parameter</t>
        </is>
      </c>
      <c r="D31" s="22" t="inlineStr">
        <is>
          <t>Excellent
(5)</t>
        </is>
      </c>
      <c r="E31" s="22" t="inlineStr">
        <is>
          <t>Good
(4)</t>
        </is>
      </c>
      <c r="F31" s="22" t="inlineStr">
        <is>
          <t>Neutral
(3)</t>
        </is>
      </c>
      <c r="G31" s="22" t="inlineStr">
        <is>
          <t>Poor
(2)</t>
        </is>
      </c>
      <c r="H31" s="22" t="inlineStr">
        <is>
          <t>Very Poor
(1)</t>
        </is>
      </c>
      <c r="I31" s="22" t="inlineStr">
        <is>
          <t>Avg Score</t>
        </is>
      </c>
    </row>
    <row r="32" ht="22" customHeight="1">
      <c r="B32" s="39" t="inlineStr">
        <is>
          <t>E17</t>
        </is>
      </c>
      <c r="C32" s="59" t="inlineStr">
        <is>
          <t>Ease and professionalism of campus recruitment process</t>
        </is>
      </c>
      <c r="D32" s="23" t="inlineStr"/>
      <c r="E32" s="23" t="inlineStr"/>
      <c r="F32" s="23" t="inlineStr"/>
      <c r="G32" s="23" t="inlineStr"/>
      <c r="H32" s="23" t="inlineStr"/>
      <c r="I32" s="60">
        <f>IFERROR(ROUND((D32*5+E32*4+F32*3+G32*2+H32)/SUM(D32:H32),2),"")</f>
        <v/>
      </c>
    </row>
    <row r="33" ht="22" customHeight="1">
      <c r="B33" s="8" t="inlineStr">
        <is>
          <t>E18</t>
        </is>
      </c>
      <c r="C33" s="9" t="inlineStr">
        <is>
          <t>Quality of student profiles and resumes shared</t>
        </is>
      </c>
      <c r="D33" s="10" t="inlineStr"/>
      <c r="E33" s="10" t="inlineStr"/>
      <c r="F33" s="10" t="inlineStr"/>
      <c r="G33" s="10" t="inlineStr"/>
      <c r="H33" s="10" t="inlineStr"/>
      <c r="I33" s="38">
        <f>IFERROR(ROUND((D33*5+E33*4+F33*3+G33*2+H33)/SUM(D33:H33),2),"")</f>
        <v/>
      </c>
    </row>
    <row r="34" ht="22" customHeight="1">
      <c r="B34" s="39" t="inlineStr">
        <is>
          <t>E19</t>
        </is>
      </c>
      <c r="C34" s="59" t="inlineStr">
        <is>
          <t>Responsiveness of T&amp;P team during recruitment</t>
        </is>
      </c>
      <c r="D34" s="23" t="inlineStr"/>
      <c r="E34" s="23" t="inlineStr"/>
      <c r="F34" s="23" t="inlineStr"/>
      <c r="G34" s="23" t="inlineStr"/>
      <c r="H34" s="23" t="inlineStr"/>
      <c r="I34" s="60">
        <f>IFERROR(ROUND((D34*5+E34*4+F34*3+G34*2+H34)/SUM(D34:H34),2),"")</f>
        <v/>
      </c>
    </row>
    <row r="35" ht="22" customHeight="1">
      <c r="B35" s="8" t="inlineStr">
        <is>
          <t>E20</t>
        </is>
      </c>
      <c r="C35" s="9" t="inlineStr">
        <is>
          <t>Student preparation level (aptitude / interview)</t>
        </is>
      </c>
      <c r="D35" s="10" t="inlineStr"/>
      <c r="E35" s="10" t="inlineStr"/>
      <c r="F35" s="10" t="inlineStr"/>
      <c r="G35" s="10" t="inlineStr"/>
      <c r="H35" s="10" t="inlineStr"/>
      <c r="I35" s="38">
        <f>IFERROR(ROUND((D35*5+E35*4+F35*3+G35*2+H35)/SUM(D35:H35),2),"")</f>
        <v/>
      </c>
    </row>
    <row r="36" ht="22" customHeight="1">
      <c r="B36" s="39" t="inlineStr">
        <is>
          <t>E21</t>
        </is>
      </c>
      <c r="C36" s="59" t="inlineStr">
        <is>
          <t>Overall satisfaction with the institution as a recruiter</t>
        </is>
      </c>
      <c r="D36" s="23" t="inlineStr"/>
      <c r="E36" s="23" t="inlineStr"/>
      <c r="F36" s="23" t="inlineStr"/>
      <c r="G36" s="23" t="inlineStr"/>
      <c r="H36" s="23" t="inlineStr"/>
      <c r="I36" s="60">
        <f>IFERROR(ROUND((D36*5+E36*4+F36*3+G36*2+H36)/SUM(D36:H36),2),"")</f>
        <v/>
      </c>
    </row>
    <row r="37" ht="22" customHeight="1"/>
    <row r="38" ht="24" customHeight="1">
      <c r="B38" s="28" t="inlineStr">
        <is>
          <t>SUMMARY &amp; ACTION PLAN</t>
        </is>
      </c>
    </row>
    <row r="39" ht="22" customHeight="1">
      <c r="B39" s="29" t="inlineStr">
        <is>
          <t>Section</t>
        </is>
      </c>
      <c r="C39" s="29" t="inlineStr">
        <is>
          <t>Avg Score (/5)</t>
        </is>
      </c>
      <c r="D39" s="29" t="inlineStr">
        <is>
          <t>Satisfaction %</t>
        </is>
      </c>
      <c r="E39" s="29" t="inlineStr">
        <is>
          <t>Benchmark
(≥3.5)</t>
        </is>
      </c>
      <c r="F39" s="29" t="inlineStr">
        <is>
          <t>Gap</t>
        </is>
      </c>
      <c r="G39" s="29" t="inlineStr">
        <is>
          <t>Status</t>
        </is>
      </c>
      <c r="H39" s="29" t="inlineStr">
        <is>
          <t>Priority Action</t>
        </is>
      </c>
    </row>
    <row r="40" ht="22" customHeight="1">
      <c r="B40" s="46" t="inlineStr">
        <is>
          <t>TECHNICAL COMPETENCY</t>
        </is>
      </c>
      <c r="C40" s="16" t="inlineStr"/>
      <c r="D40" s="16">
        <f>IFERROR(ROUND(C40/5*100,1),"")</f>
        <v/>
      </c>
      <c r="E40" s="16" t="n">
        <v>3.5</v>
      </c>
      <c r="F40" s="16">
        <f>IFERROR(ROUND(C40-E40,2),"")</f>
        <v/>
      </c>
      <c r="G40" s="16">
        <f>IFERROR(IF(C40&gt;=3.5,"Satisfactory","Needs Attention"),"")</f>
        <v/>
      </c>
      <c r="H40" s="15" t="inlineStr"/>
      <c r="I40" s="61" t="n"/>
    </row>
    <row r="41" ht="22" customHeight="1">
      <c r="B41" s="26" t="inlineStr">
        <is>
          <t>PROFESSIONAL &amp; BEHAVIOURAL SKILLS</t>
        </is>
      </c>
      <c r="C41" s="10" t="inlineStr"/>
      <c r="D41" s="10">
        <f>IFERROR(ROUND(C41/5*100,1),"")</f>
        <v/>
      </c>
      <c r="E41" s="10" t="n">
        <v>3.5</v>
      </c>
      <c r="F41" s="10">
        <f>IFERROR(ROUND(C41-E41,2),"")</f>
        <v/>
      </c>
      <c r="G41" s="10">
        <f>IFERROR(IF(C41&gt;=3.5,"Satisfactory","Needs Attention"),"")</f>
        <v/>
      </c>
      <c r="H41" s="9" t="inlineStr"/>
      <c r="I41" s="52" t="n"/>
    </row>
    <row r="42" ht="22" customHeight="1">
      <c r="B42" s="46" t="inlineStr">
        <is>
          <t>INDUSTRY READINESS</t>
        </is>
      </c>
      <c r="C42" s="16" t="inlineStr"/>
      <c r="D42" s="16">
        <f>IFERROR(ROUND(C42/5*100,1),"")</f>
        <v/>
      </c>
      <c r="E42" s="16" t="n">
        <v>3.5</v>
      </c>
      <c r="F42" s="16">
        <f>IFERROR(ROUND(C42-E42,2),"")</f>
        <v/>
      </c>
      <c r="G42" s="16">
        <f>IFERROR(IF(C42&gt;=3.5,"Satisfactory","Needs Attention"),"")</f>
        <v/>
      </c>
      <c r="H42" s="15" t="inlineStr"/>
      <c r="I42" s="61" t="n"/>
    </row>
    <row r="43" ht="22" customHeight="1">
      <c r="B43" s="26" t="inlineStr">
        <is>
          <t>T&amp;P PROCESS QUALITY</t>
        </is>
      </c>
      <c r="C43" s="10" t="inlineStr"/>
      <c r="D43" s="10">
        <f>IFERROR(ROUND(C43/5*100,1),"")</f>
        <v/>
      </c>
      <c r="E43" s="10" t="n">
        <v>3.5</v>
      </c>
      <c r="F43" s="10">
        <f>IFERROR(ROUND(C43-E43,2),"")</f>
        <v/>
      </c>
      <c r="G43" s="10">
        <f>IFERROR(IF(C43&gt;=3.5,"Satisfactory","Needs Attention"),"")</f>
        <v/>
      </c>
      <c r="H43" s="9" t="inlineStr"/>
      <c r="I43" s="52" t="n"/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8">
    <mergeCell ref="B13:I13"/>
    <mergeCell ref="B30:I30"/>
    <mergeCell ref="B38:I38"/>
    <mergeCell ref="B2:I2"/>
    <mergeCell ref="B3:I3"/>
    <mergeCell ref="B5:I5"/>
    <mergeCell ref="B22:I22"/>
    <mergeCell ref="B4: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TPC-35: STUDENT T&amp;P SATISFACTION SURVEY — ANNUAL</t>
        </is>
      </c>
    </row>
    <row r="3" ht="25" customHeight="1">
      <c r="B3" s="2" t="inlineStr">
        <is>
          <t>A.Y.: _______  Respondents: _______  Date: _______  T&amp;P Officer: ___________________</t>
        </is>
      </c>
    </row>
    <row r="4" ht="22" customHeight="1">
      <c r="B4" s="56" t="inlineStr">
        <is>
          <t>Scale: 1 = Very Poor  |  2 = Poor  |  3 = Average  |  4 = Good  |  5 = Excellent</t>
        </is>
      </c>
    </row>
    <row r="5" ht="24" customHeight="1">
      <c r="B5" s="20" t="inlineStr">
        <is>
          <t>A. APTITUDE &amp; SOFT SKILLS TRAINING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Quality of aptitude training (quantitative, verbal, reasoning)</t>
        </is>
      </c>
      <c r="D7" s="16" t="inlineStr"/>
      <c r="E7" s="16" t="inlineStr"/>
      <c r="F7" s="16" t="inlineStr"/>
      <c r="G7" s="16" t="inlineStr"/>
      <c r="H7" s="16" t="inlineStr"/>
      <c r="I7" s="54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Relevance of soft skills training for placement</t>
        </is>
      </c>
      <c r="D8" s="10" t="inlineStr"/>
      <c r="E8" s="10" t="inlineStr"/>
      <c r="F8" s="10" t="inlineStr"/>
      <c r="G8" s="10" t="inlineStr"/>
      <c r="H8" s="10" t="inlineStr"/>
      <c r="I8" s="38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Quality of communication skills development sessions</t>
        </is>
      </c>
      <c r="D9" s="16" t="inlineStr"/>
      <c r="E9" s="16" t="inlineStr"/>
      <c r="F9" s="16" t="inlineStr"/>
      <c r="G9" s="16" t="inlineStr"/>
      <c r="H9" s="16" t="inlineStr"/>
      <c r="I9" s="54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Mock interview and GD practice quality</t>
        </is>
      </c>
      <c r="D10" s="10" t="inlineStr"/>
      <c r="E10" s="10" t="inlineStr"/>
      <c r="F10" s="10" t="inlineStr"/>
      <c r="G10" s="10" t="inlineStr"/>
      <c r="H10" s="10" t="inlineStr"/>
      <c r="I10" s="38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Frequency and scheduling of training sessions</t>
        </is>
      </c>
      <c r="D11" s="16" t="inlineStr"/>
      <c r="E11" s="16" t="inlineStr"/>
      <c r="F11" s="16" t="inlineStr"/>
      <c r="G11" s="16" t="inlineStr"/>
      <c r="H11" s="16" t="inlineStr"/>
      <c r="I11" s="54">
        <f>IFERROR(ROUND((D11*5+E11*4+F11*3+G11*2+H11)/SUM(D11:H11),2),"")</f>
        <v/>
      </c>
    </row>
    <row r="12" ht="22" customHeight="1"/>
    <row r="13" ht="24" customHeight="1">
      <c r="B13" s="62" t="inlineStr">
        <is>
          <t>B. TECHNICAL TRAINING</t>
        </is>
      </c>
    </row>
    <row r="14" ht="22" customHeight="1">
      <c r="B14" s="63" t="inlineStr">
        <is>
          <t>Q.</t>
        </is>
      </c>
      <c r="C14" s="63" t="inlineStr">
        <is>
          <t>Survey Statement</t>
        </is>
      </c>
      <c r="D14" s="63" t="inlineStr">
        <is>
          <t>Excellent
(5)</t>
        </is>
      </c>
      <c r="E14" s="63" t="inlineStr">
        <is>
          <t>Good
(4)</t>
        </is>
      </c>
      <c r="F14" s="63" t="inlineStr">
        <is>
          <t>Average
(3)</t>
        </is>
      </c>
      <c r="G14" s="63" t="inlineStr">
        <is>
          <t>Poor
(2)</t>
        </is>
      </c>
      <c r="H14" s="63" t="inlineStr">
        <is>
          <t>Very Poor
(1)</t>
        </is>
      </c>
      <c r="I14" s="63" t="inlineStr">
        <is>
          <t>Avg Score</t>
        </is>
      </c>
    </row>
    <row r="15" ht="22" customHeight="1">
      <c r="B15" s="64" t="inlineStr">
        <is>
          <t>Q6</t>
        </is>
      </c>
      <c r="C15" s="65" t="inlineStr">
        <is>
          <t>Technical training relevance to industry requirements</t>
        </is>
      </c>
      <c r="D15" s="66" t="inlineStr"/>
      <c r="E15" s="66" t="inlineStr"/>
      <c r="F15" s="66" t="inlineStr"/>
      <c r="G15" s="66" t="inlineStr"/>
      <c r="H15" s="66" t="inlineStr"/>
      <c r="I15" s="67">
        <f>IFERROR(ROUND((D15*5+E15*4+F15*3+G15*2+H15)/SUM(D15:H15),2),"")</f>
        <v/>
      </c>
    </row>
    <row r="16" ht="22" customHeight="1">
      <c r="B16" s="8" t="inlineStr">
        <is>
          <t>Q7</t>
        </is>
      </c>
      <c r="C16" s="9" t="inlineStr">
        <is>
          <t>Quality of coding / domain skills training</t>
        </is>
      </c>
      <c r="D16" s="10" t="inlineStr"/>
      <c r="E16" s="10" t="inlineStr"/>
      <c r="F16" s="10" t="inlineStr"/>
      <c r="G16" s="10" t="inlineStr"/>
      <c r="H16" s="10" t="inlineStr"/>
      <c r="I16" s="38">
        <f>IFERROR(ROUND((D16*5+E16*4+F16*3+G16*2+H16)/SUM(D16:H16),2),"")</f>
        <v/>
      </c>
    </row>
    <row r="17" ht="22" customHeight="1">
      <c r="B17" s="64" t="inlineStr">
        <is>
          <t>Q8</t>
        </is>
      </c>
      <c r="C17" s="65" t="inlineStr">
        <is>
          <t>Access to online certification / course guidance</t>
        </is>
      </c>
      <c r="D17" s="66" t="inlineStr"/>
      <c r="E17" s="66" t="inlineStr"/>
      <c r="F17" s="66" t="inlineStr"/>
      <c r="G17" s="66" t="inlineStr"/>
      <c r="H17" s="66" t="inlineStr"/>
      <c r="I17" s="67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Quality of trainer / faculty for technical sessions</t>
        </is>
      </c>
      <c r="D18" s="10" t="inlineStr"/>
      <c r="E18" s="10" t="inlineStr"/>
      <c r="F18" s="10" t="inlineStr"/>
      <c r="G18" s="10" t="inlineStr"/>
      <c r="H18" s="10" t="inlineStr"/>
      <c r="I18" s="38">
        <f>IFERROR(ROUND((D18*5+E18*4+F18*3+G18*2+H18)/SUM(D18:H18),2),"")</f>
        <v/>
      </c>
    </row>
    <row r="19" ht="22" customHeight="1">
      <c r="B19" s="64" t="inlineStr">
        <is>
          <t>Q10</t>
        </is>
      </c>
      <c r="C19" s="65" t="inlineStr">
        <is>
          <t>Improvement in technical skills after training</t>
        </is>
      </c>
      <c r="D19" s="66" t="inlineStr"/>
      <c r="E19" s="66" t="inlineStr"/>
      <c r="F19" s="66" t="inlineStr"/>
      <c r="G19" s="66" t="inlineStr"/>
      <c r="H19" s="66" t="inlineStr"/>
      <c r="I19" s="67">
        <f>IFERROR(ROUND((D19*5+E19*4+F19*3+G19*2+H19)/SUM(D19:H19),2),"")</f>
        <v/>
      </c>
    </row>
    <row r="20" ht="22" customHeight="1"/>
    <row r="21" ht="24" customHeight="1">
      <c r="B21" s="42" t="inlineStr">
        <is>
          <t>C. PLACEMENT SERVICES</t>
        </is>
      </c>
    </row>
    <row r="22" ht="22" customHeight="1">
      <c r="B22" s="48" t="inlineStr">
        <is>
          <t>Q.</t>
        </is>
      </c>
      <c r="C22" s="48" t="inlineStr">
        <is>
          <t>Survey Statement</t>
        </is>
      </c>
      <c r="D22" s="48" t="inlineStr">
        <is>
          <t>Excellent
(5)</t>
        </is>
      </c>
      <c r="E22" s="48" t="inlineStr">
        <is>
          <t>Good
(4)</t>
        </is>
      </c>
      <c r="F22" s="48" t="inlineStr">
        <is>
          <t>Average
(3)</t>
        </is>
      </c>
      <c r="G22" s="48" t="inlineStr">
        <is>
          <t>Poor
(2)</t>
        </is>
      </c>
      <c r="H22" s="48" t="inlineStr">
        <is>
          <t>Very Poor
(1)</t>
        </is>
      </c>
      <c r="I22" s="48" t="inlineStr">
        <is>
          <t>Avg Score</t>
        </is>
      </c>
    </row>
    <row r="23" ht="22" customHeight="1">
      <c r="B23" s="57" t="inlineStr">
        <is>
          <t>Q11</t>
        </is>
      </c>
      <c r="C23" s="49" t="inlineStr">
        <is>
          <t>Number and quality of companies visiting campus</t>
        </is>
      </c>
      <c r="D23" s="50" t="inlineStr"/>
      <c r="E23" s="50" t="inlineStr"/>
      <c r="F23" s="50" t="inlineStr"/>
      <c r="G23" s="50" t="inlineStr"/>
      <c r="H23" s="50" t="inlineStr"/>
      <c r="I23" s="37">
        <f>IFERROR(ROUND((D23*5+E23*4+F23*3+G23*2+H23)/SUM(D23:H23),2),"")</f>
        <v/>
      </c>
    </row>
    <row r="24" ht="22" customHeight="1">
      <c r="B24" s="8" t="inlineStr">
        <is>
          <t>Q12</t>
        </is>
      </c>
      <c r="C24" s="9" t="inlineStr">
        <is>
          <t>Transparency in placement process and eligibility criteria</t>
        </is>
      </c>
      <c r="D24" s="10" t="inlineStr"/>
      <c r="E24" s="10" t="inlineStr"/>
      <c r="F24" s="10" t="inlineStr"/>
      <c r="G24" s="10" t="inlineStr"/>
      <c r="H24" s="10" t="inlineStr"/>
      <c r="I24" s="38">
        <f>IFERROR(ROUND((D24*5+E24*4+F24*3+G24*2+H24)/SUM(D24:H24),2),"")</f>
        <v/>
      </c>
    </row>
    <row r="25" ht="22" customHeight="1">
      <c r="B25" s="57" t="inlineStr">
        <is>
          <t>Q13</t>
        </is>
      </c>
      <c r="C25" s="49" t="inlineStr">
        <is>
          <t>Support from T&amp;P team during recruitment drives</t>
        </is>
      </c>
      <c r="D25" s="50" t="inlineStr"/>
      <c r="E25" s="50" t="inlineStr"/>
      <c r="F25" s="50" t="inlineStr"/>
      <c r="G25" s="50" t="inlineStr"/>
      <c r="H25" s="50" t="inlineStr"/>
      <c r="I25" s="37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Quality of company shortlisting for your profile</t>
        </is>
      </c>
      <c r="D26" s="10" t="inlineStr"/>
      <c r="E26" s="10" t="inlineStr"/>
      <c r="F26" s="10" t="inlineStr"/>
      <c r="G26" s="10" t="inlineStr"/>
      <c r="H26" s="10" t="inlineStr"/>
      <c r="I26" s="38">
        <f>IFERROR(ROUND((D26*5+E26*4+F26*3+G26*2+H26)/SUM(D26:H26),2),"")</f>
        <v/>
      </c>
    </row>
    <row r="27" ht="22" customHeight="1">
      <c r="B27" s="57" t="inlineStr">
        <is>
          <t>Q15</t>
        </is>
      </c>
      <c r="C27" s="49" t="inlineStr">
        <is>
          <t>Fairness of the selection process</t>
        </is>
      </c>
      <c r="D27" s="50" t="inlineStr"/>
      <c r="E27" s="50" t="inlineStr"/>
      <c r="F27" s="50" t="inlineStr"/>
      <c r="G27" s="50" t="inlineStr"/>
      <c r="H27" s="50" t="inlineStr"/>
      <c r="I27" s="37">
        <f>IFERROR(ROUND((D27*5+E27*4+F27*3+G27*2+H27)/SUM(D27:H27),2),"")</f>
        <v/>
      </c>
    </row>
    <row r="28" ht="22" customHeight="1"/>
    <row r="29" ht="24" customHeight="1">
      <c r="B29" s="35" t="inlineStr">
        <is>
          <t>D. CAREER GUIDANCE</t>
        </is>
      </c>
    </row>
    <row r="30" ht="22" customHeight="1">
      <c r="B30" s="31" t="inlineStr">
        <is>
          <t>Q.</t>
        </is>
      </c>
      <c r="C30" s="31" t="inlineStr">
        <is>
          <t>Survey Statement</t>
        </is>
      </c>
      <c r="D30" s="31" t="inlineStr">
        <is>
          <t>Excellent
(5)</t>
        </is>
      </c>
      <c r="E30" s="31" t="inlineStr">
        <is>
          <t>Good
(4)</t>
        </is>
      </c>
      <c r="F30" s="31" t="inlineStr">
        <is>
          <t>Average
(3)</t>
        </is>
      </c>
      <c r="G30" s="31" t="inlineStr">
        <is>
          <t>Poor
(2)</t>
        </is>
      </c>
      <c r="H30" s="31" t="inlineStr">
        <is>
          <t>Very Poor
(1)</t>
        </is>
      </c>
      <c r="I30" s="31" t="inlineStr">
        <is>
          <t>Avg Score</t>
        </is>
      </c>
    </row>
    <row r="31" ht="22" customHeight="1">
      <c r="B31" s="32" t="inlineStr">
        <is>
          <t>Q16</t>
        </is>
      </c>
      <c r="C31" s="33" t="inlineStr">
        <is>
          <t>Quality of one-on-one career counselling</t>
        </is>
      </c>
      <c r="D31" s="34" t="inlineStr"/>
      <c r="E31" s="34" t="inlineStr"/>
      <c r="F31" s="34" t="inlineStr"/>
      <c r="G31" s="34" t="inlineStr"/>
      <c r="H31" s="34" t="inlineStr"/>
      <c r="I31" s="58">
        <f>IFERROR(ROUND((D31*5+E31*4+F31*3+G31*2+H31)/SUM(D31:H31),2),"")</f>
        <v/>
      </c>
    </row>
    <row r="32" ht="22" customHeight="1">
      <c r="B32" s="8" t="inlineStr">
        <is>
          <t>Q17</t>
        </is>
      </c>
      <c r="C32" s="9" t="inlineStr">
        <is>
          <t>Guidance provided for higher studies (GATE / MBA / GRE)</t>
        </is>
      </c>
      <c r="D32" s="10" t="inlineStr"/>
      <c r="E32" s="10" t="inlineStr"/>
      <c r="F32" s="10" t="inlineStr"/>
      <c r="G32" s="10" t="inlineStr"/>
      <c r="H32" s="10" t="inlineStr"/>
      <c r="I32" s="38">
        <f>IFERROR(ROUND((D32*5+E32*4+F32*3+G32*2+H32)/SUM(D32:H32),2),"")</f>
        <v/>
      </c>
    </row>
    <row r="33" ht="22" customHeight="1">
      <c r="B33" s="32" t="inlineStr">
        <is>
          <t>Q18</t>
        </is>
      </c>
      <c r="C33" s="33" t="inlineStr">
        <is>
          <t>Support for competitive exam preparation</t>
        </is>
      </c>
      <c r="D33" s="34" t="inlineStr"/>
      <c r="E33" s="34" t="inlineStr"/>
      <c r="F33" s="34" t="inlineStr"/>
      <c r="G33" s="34" t="inlineStr"/>
      <c r="H33" s="34" t="inlineStr"/>
      <c r="I33" s="58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Entrepreneurship guidance and support</t>
        </is>
      </c>
      <c r="D34" s="10" t="inlineStr"/>
      <c r="E34" s="10" t="inlineStr"/>
      <c r="F34" s="10" t="inlineStr"/>
      <c r="G34" s="10" t="inlineStr"/>
      <c r="H34" s="10" t="inlineStr"/>
      <c r="I34" s="38">
        <f>IFERROR(ROUND((D34*5+E34*4+F34*3+G34*2+H34)/SUM(D34:H34),2),"")</f>
        <v/>
      </c>
    </row>
    <row r="35" ht="22" customHeight="1">
      <c r="B35" s="32" t="inlineStr">
        <is>
          <t>Q20</t>
        </is>
      </c>
      <c r="C35" s="33" t="inlineStr">
        <is>
          <t>Clarity on career options after graduation</t>
        </is>
      </c>
      <c r="D35" s="34" t="inlineStr"/>
      <c r="E35" s="34" t="inlineStr"/>
      <c r="F35" s="34" t="inlineStr"/>
      <c r="G35" s="34" t="inlineStr"/>
      <c r="H35" s="34" t="inlineStr"/>
      <c r="I35" s="58">
        <f>IFERROR(ROUND((D35*5+E35*4+F35*3+G35*2+H35)/SUM(D35:H35),2),"")</f>
        <v/>
      </c>
    </row>
    <row r="36" ht="22" customHeight="1"/>
    <row r="37" ht="24" customHeight="1">
      <c r="B37" s="68" t="inlineStr">
        <is>
          <t>E. OVERALL T&amp;P EXPERIENCE</t>
        </is>
      </c>
    </row>
    <row r="38" ht="22" customHeight="1">
      <c r="B38" s="69" t="inlineStr">
        <is>
          <t>Q.</t>
        </is>
      </c>
      <c r="C38" s="69" t="inlineStr">
        <is>
          <t>Survey Statement</t>
        </is>
      </c>
      <c r="D38" s="69" t="inlineStr">
        <is>
          <t>Excellent
(5)</t>
        </is>
      </c>
      <c r="E38" s="69" t="inlineStr">
        <is>
          <t>Good
(4)</t>
        </is>
      </c>
      <c r="F38" s="69" t="inlineStr">
        <is>
          <t>Average
(3)</t>
        </is>
      </c>
      <c r="G38" s="69" t="inlineStr">
        <is>
          <t>Poor
(2)</t>
        </is>
      </c>
      <c r="H38" s="69" t="inlineStr">
        <is>
          <t>Very Poor
(1)</t>
        </is>
      </c>
      <c r="I38" s="69" t="inlineStr">
        <is>
          <t>Avg Score</t>
        </is>
      </c>
    </row>
    <row r="39" ht="22" customHeight="1">
      <c r="B39" s="70" t="inlineStr">
        <is>
          <t>Q21</t>
        </is>
      </c>
      <c r="C39" s="71" t="inlineStr">
        <is>
          <t>Overall satisfaction with T&amp;P services</t>
        </is>
      </c>
      <c r="D39" s="72" t="inlineStr"/>
      <c r="E39" s="72" t="inlineStr"/>
      <c r="F39" s="72" t="inlineStr"/>
      <c r="G39" s="72" t="inlineStr"/>
      <c r="H39" s="72" t="inlineStr"/>
      <c r="I39" s="73">
        <f>IFERROR(ROUND((D39*5+E39*4+F39*3+G39*2+H39)/SUM(D39:H39),2),"")</f>
        <v/>
      </c>
    </row>
    <row r="40" ht="22" customHeight="1">
      <c r="B40" s="8" t="inlineStr">
        <is>
          <t>Q22</t>
        </is>
      </c>
      <c r="C40" s="9" t="inlineStr">
        <is>
          <t>T&amp;P team responsiveness to queries</t>
        </is>
      </c>
      <c r="D40" s="10" t="inlineStr"/>
      <c r="E40" s="10" t="inlineStr"/>
      <c r="F40" s="10" t="inlineStr"/>
      <c r="G40" s="10" t="inlineStr"/>
      <c r="H40" s="10" t="inlineStr"/>
      <c r="I40" s="38">
        <f>IFERROR(ROUND((D40*5+E40*4+F40*3+G40*2+H40)/SUM(D40:H40),2),"")</f>
        <v/>
      </c>
    </row>
    <row r="41" ht="22" customHeight="1">
      <c r="B41" s="70" t="inlineStr">
        <is>
          <t>Q23</t>
        </is>
      </c>
      <c r="C41" s="71" t="inlineStr">
        <is>
          <t>Information sharing about companies and drives</t>
        </is>
      </c>
      <c r="D41" s="72" t="inlineStr"/>
      <c r="E41" s="72" t="inlineStr"/>
      <c r="F41" s="72" t="inlineStr"/>
      <c r="G41" s="72" t="inlineStr"/>
      <c r="H41" s="72" t="inlineStr"/>
      <c r="I41" s="73">
        <f>IFERROR(ROUND((D41*5+E41*4+F41*3+G41*2+H41)/SUM(D41:H41),2),"")</f>
        <v/>
      </c>
    </row>
    <row r="42" ht="22" customHeight="1">
      <c r="B42" s="8" t="inlineStr">
        <is>
          <t>Q24</t>
        </is>
      </c>
      <c r="C42" s="9" t="inlineStr">
        <is>
          <t>Overall career readiness after T&amp;P training</t>
        </is>
      </c>
      <c r="D42" s="10" t="inlineStr"/>
      <c r="E42" s="10" t="inlineStr"/>
      <c r="F42" s="10" t="inlineStr"/>
      <c r="G42" s="10" t="inlineStr"/>
      <c r="H42" s="10" t="inlineStr"/>
      <c r="I42" s="38">
        <f>IFERROR(ROUND((D42*5+E42*4+F42*3+G42*2+H42)/SUM(D42:H42),2),"")</f>
        <v/>
      </c>
    </row>
    <row r="43" ht="22" customHeight="1"/>
    <row r="44" ht="24" customHeight="1">
      <c r="B44" s="28" t="inlineStr">
        <is>
          <t>SURVEY SUMMARY</t>
        </is>
      </c>
    </row>
    <row r="45" ht="22" customHeight="1">
      <c r="B45" s="29" t="inlineStr">
        <is>
          <t>Section</t>
        </is>
      </c>
      <c r="C45" s="29" t="inlineStr">
        <is>
          <t>Avg Score (/5)</t>
        </is>
      </c>
      <c r="D45" s="29" t="inlineStr">
        <is>
          <t>Satisfaction %</t>
        </is>
      </c>
      <c r="E45" s="29" t="inlineStr">
        <is>
          <t>Benchmark (≥3.5)</t>
        </is>
      </c>
      <c r="F45" s="29" t="inlineStr">
        <is>
          <t>Gap</t>
        </is>
      </c>
      <c r="G45" s="29" t="inlineStr">
        <is>
          <t>Status</t>
        </is>
      </c>
      <c r="H45" s="29" t="inlineStr">
        <is>
          <t>Priority Action</t>
        </is>
      </c>
    </row>
    <row r="46" ht="22" customHeight="1">
      <c r="B46" s="46" t="inlineStr">
        <is>
          <t>APTITUDE &amp; SOFT SKILLS TRAINING</t>
        </is>
      </c>
      <c r="C46" s="16" t="inlineStr"/>
      <c r="D46" s="16">
        <f>IFERROR(ROUND(C46/5*100,1),"")</f>
        <v/>
      </c>
      <c r="E46" s="16" t="n">
        <v>3.5</v>
      </c>
      <c r="F46" s="16">
        <f>IFERROR(ROUND(C46-E46,2),"")</f>
        <v/>
      </c>
      <c r="G46" s="16">
        <f>IFERROR(IF(C46&gt;=3.5,"Satisfactory","Needs Attention"),"")</f>
        <v/>
      </c>
      <c r="H46" s="15" t="inlineStr"/>
      <c r="I46" s="61" t="n"/>
    </row>
    <row r="47" ht="22" customHeight="1">
      <c r="B47" s="26" t="inlineStr">
        <is>
          <t>TECHNICAL TRAINING</t>
        </is>
      </c>
      <c r="C47" s="10" t="inlineStr"/>
      <c r="D47" s="10">
        <f>IFERROR(ROUND(C47/5*100,1),"")</f>
        <v/>
      </c>
      <c r="E47" s="10" t="n">
        <v>3.5</v>
      </c>
      <c r="F47" s="10">
        <f>IFERROR(ROUND(C47-E47,2),"")</f>
        <v/>
      </c>
      <c r="G47" s="10">
        <f>IFERROR(IF(C47&gt;=3.5,"Satisfactory","Needs Attention"),"")</f>
        <v/>
      </c>
      <c r="H47" s="9" t="inlineStr"/>
      <c r="I47" s="52" t="n"/>
    </row>
    <row r="48" ht="22" customHeight="1">
      <c r="B48" s="46" t="inlineStr">
        <is>
          <t>PLACEMENT SERVICES</t>
        </is>
      </c>
      <c r="C48" s="16" t="inlineStr"/>
      <c r="D48" s="16">
        <f>IFERROR(ROUND(C48/5*100,1),"")</f>
        <v/>
      </c>
      <c r="E48" s="16" t="n">
        <v>3.5</v>
      </c>
      <c r="F48" s="16">
        <f>IFERROR(ROUND(C48-E48,2),"")</f>
        <v/>
      </c>
      <c r="G48" s="16">
        <f>IFERROR(IF(C48&gt;=3.5,"Satisfactory","Needs Attention"),"")</f>
        <v/>
      </c>
      <c r="H48" s="15" t="inlineStr"/>
      <c r="I48" s="61" t="n"/>
    </row>
    <row r="49" ht="22" customHeight="1">
      <c r="B49" s="26" t="inlineStr">
        <is>
          <t>CAREER GUIDANCE</t>
        </is>
      </c>
      <c r="C49" s="10" t="inlineStr"/>
      <c r="D49" s="10">
        <f>IFERROR(ROUND(C49/5*100,1),"")</f>
        <v/>
      </c>
      <c r="E49" s="10" t="n">
        <v>3.5</v>
      </c>
      <c r="F49" s="10">
        <f>IFERROR(ROUND(C49-E49,2),"")</f>
        <v/>
      </c>
      <c r="G49" s="10">
        <f>IFERROR(IF(C49&gt;=3.5,"Satisfactory","Needs Attention"),"")</f>
        <v/>
      </c>
      <c r="H49" s="9" t="inlineStr"/>
      <c r="I49" s="52" t="n"/>
    </row>
    <row r="50" ht="22" customHeight="1">
      <c r="B50" s="46" t="inlineStr">
        <is>
          <t>OVERALL T&amp;P EXPERIENCE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61" t="n"/>
    </row>
    <row r="51" ht="22" customHeight="1"/>
  </sheetData>
  <mergeCells count="9">
    <mergeCell ref="B13:I13"/>
    <mergeCell ref="B21:I21"/>
    <mergeCell ref="B44:I44"/>
    <mergeCell ref="B29:I29"/>
    <mergeCell ref="B2:I2"/>
    <mergeCell ref="B3:I3"/>
    <mergeCell ref="B5:I5"/>
    <mergeCell ref="B37:I37"/>
    <mergeCell ref="B4: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TPC-36: T&amp;P COMMITTEE KPI DASHBOARD</t>
        </is>
      </c>
    </row>
    <row r="3" ht="25" customHeight="1">
      <c r="B3" s="2" t="inlineStr">
        <is>
          <t>A.Y.: _______  Quarter: Q1/Q2/Q3/Q4  T&amp;P Officer: ___________________  Date: _______</t>
        </is>
      </c>
    </row>
    <row r="4" ht="24" customHeight="1">
      <c r="B4" s="20" t="inlineStr">
        <is>
          <t>PLACEMENT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 Target</t>
        </is>
      </c>
      <c r="F5" s="13" t="inlineStr">
        <is>
          <t>Prev. Year Actual</t>
        </is>
      </c>
      <c r="G5" s="13" t="inlineStr">
        <is>
          <t>Current Year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Overall placement rate (% of eligible students)</t>
        </is>
      </c>
      <c r="D6" s="16" t="inlineStr">
        <is>
          <t>% placed</t>
        </is>
      </c>
      <c r="E6" s="16" t="inlineStr">
        <is>
          <t>≥70%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Students placed in core / domain jobs (%)</t>
        </is>
      </c>
      <c r="D7" s="10" t="inlineStr">
        <is>
          <t>% core</t>
        </is>
      </c>
      <c r="E7" s="10" t="inlineStr">
        <is>
          <t>≥50%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Average CTC (₹L PA)</t>
        </is>
      </c>
      <c r="D8" s="16" t="inlineStr">
        <is>
          <t>₹L</t>
        </is>
      </c>
      <c r="E8" s="16" t="inlineStr">
        <is>
          <t>≥4.0 L PA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Highest CTC (₹L PA)</t>
        </is>
      </c>
      <c r="D9" s="10" t="inlineStr">
        <is>
          <t>₹L</t>
        </is>
      </c>
      <c r="E9" s="10" t="inlineStr">
        <is>
          <t>Increasing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Median CTC (₹L PA)</t>
        </is>
      </c>
      <c r="D10" s="16" t="inlineStr">
        <is>
          <t>₹L</t>
        </is>
      </c>
      <c r="E10" s="16" t="inlineStr">
        <is>
          <t>Tracking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Companies visiting campus</t>
        </is>
      </c>
      <c r="D11" s="10" t="inlineStr">
        <is>
          <t>No.</t>
        </is>
      </c>
      <c r="E11" s="10" t="inlineStr">
        <is>
          <t>≥50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Pre-Placement Offers (PPOs) received</t>
        </is>
      </c>
      <c r="D12" s="16" t="inlineStr">
        <is>
          <t>No.</t>
        </is>
      </c>
      <c r="E12" s="16" t="inlineStr">
        <is>
          <t>≥5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>
      <c r="B13" s="8" t="n">
        <v>8</v>
      </c>
      <c r="C13" s="9" t="inlineStr">
        <is>
          <t>New companies added this year</t>
        </is>
      </c>
      <c r="D13" s="10" t="inlineStr">
        <is>
          <t>No.</t>
        </is>
      </c>
      <c r="E13" s="10" t="inlineStr">
        <is>
          <t>≥10</t>
        </is>
      </c>
      <c r="F13" s="10" t="inlineStr"/>
      <c r="G13" s="10" t="inlineStr"/>
      <c r="H13" s="10" t="inlineStr">
        <is>
          <t>On Track</t>
        </is>
      </c>
      <c r="I13" s="9" t="inlineStr"/>
    </row>
    <row r="14" ht="22" customHeight="1"/>
    <row r="15" ht="24" customHeight="1">
      <c r="B15" s="62" t="inlineStr">
        <is>
          <t>TRAINING KPIs</t>
        </is>
      </c>
    </row>
    <row r="16" ht="22" customHeight="1">
      <c r="B16" s="63" t="inlineStr">
        <is>
          <t>Sl.</t>
        </is>
      </c>
      <c r="C16" s="63" t="inlineStr">
        <is>
          <t>Key Performance Indicator</t>
        </is>
      </c>
      <c r="D16" s="63" t="inlineStr">
        <is>
          <t>Unit</t>
        </is>
      </c>
      <c r="E16" s="63" t="inlineStr">
        <is>
          <t>Annual Target</t>
        </is>
      </c>
      <c r="F16" s="63" t="inlineStr">
        <is>
          <t>Prev. Year Actual</t>
        </is>
      </c>
      <c r="G16" s="63" t="inlineStr">
        <is>
          <t>Current Year Actual</t>
        </is>
      </c>
      <c r="H16" s="63" t="inlineStr">
        <is>
          <t>Status</t>
        </is>
      </c>
      <c r="I16" s="63" t="inlineStr">
        <is>
          <t>Action Required</t>
        </is>
      </c>
    </row>
    <row r="17" ht="22" customHeight="1">
      <c r="B17" s="64" t="n">
        <v>1</v>
      </c>
      <c r="C17" s="65" t="inlineStr">
        <is>
          <t>Aptitude training coverage (% of eligible students)</t>
        </is>
      </c>
      <c r="D17" s="66" t="inlineStr">
        <is>
          <t>% trained</t>
        </is>
      </c>
      <c r="E17" s="66" t="inlineStr">
        <is>
          <t>≥90%</t>
        </is>
      </c>
      <c r="F17" s="66" t="inlineStr"/>
      <c r="G17" s="66" t="inlineStr"/>
      <c r="H17" s="66" t="inlineStr">
        <is>
          <t>On Track</t>
        </is>
      </c>
      <c r="I17" s="65" t="inlineStr"/>
    </row>
    <row r="18" ht="22" customHeight="1">
      <c r="B18" s="8" t="n">
        <v>2</v>
      </c>
      <c r="C18" s="9" t="inlineStr">
        <is>
          <t>Soft skills training coverage</t>
        </is>
      </c>
      <c r="D18" s="10" t="inlineStr">
        <is>
          <t>% trained</t>
        </is>
      </c>
      <c r="E18" s="10" t="inlineStr">
        <is>
          <t>≥85%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64" t="n">
        <v>3</v>
      </c>
      <c r="C19" s="65" t="inlineStr">
        <is>
          <t>Technical skills training coverage</t>
        </is>
      </c>
      <c r="D19" s="66" t="inlineStr">
        <is>
          <t>% trained</t>
        </is>
      </c>
      <c r="E19" s="66" t="inlineStr">
        <is>
          <t>≥80%</t>
        </is>
      </c>
      <c r="F19" s="66" t="inlineStr"/>
      <c r="G19" s="66" t="inlineStr"/>
      <c r="H19" s="66" t="inlineStr">
        <is>
          <t>On Track</t>
        </is>
      </c>
      <c r="I19" s="65" t="inlineStr"/>
    </row>
    <row r="20" ht="22" customHeight="1">
      <c r="B20" s="8" t="n">
        <v>4</v>
      </c>
      <c r="C20" s="9" t="inlineStr">
        <is>
          <t>Mock interview sessions conducted</t>
        </is>
      </c>
      <c r="D20" s="10" t="inlineStr">
        <is>
          <t>No. per year</t>
        </is>
      </c>
      <c r="E20" s="10" t="inlineStr">
        <is>
          <t>≥4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64" t="n">
        <v>5</v>
      </c>
      <c r="C21" s="65" t="inlineStr">
        <is>
          <t>Average training feedback score (/5)</t>
        </is>
      </c>
      <c r="D21" s="66" t="inlineStr">
        <is>
          <t>Score</t>
        </is>
      </c>
      <c r="E21" s="66" t="inlineStr">
        <is>
          <t>≥3.5</t>
        </is>
      </c>
      <c r="F21" s="66" t="inlineStr"/>
      <c r="G21" s="66" t="inlineStr"/>
      <c r="H21" s="66" t="inlineStr">
        <is>
          <t>On Track</t>
        </is>
      </c>
      <c r="I21" s="65" t="inlineStr"/>
    </row>
    <row r="22" ht="22" customHeight="1">
      <c r="B22" s="8" t="n">
        <v>6</v>
      </c>
      <c r="C22" s="9" t="inlineStr">
        <is>
          <t>Students cleared aptitude test benchmarks (%)</t>
        </is>
      </c>
      <c r="D22" s="10" t="inlineStr">
        <is>
          <t>% qualifying</t>
        </is>
      </c>
      <c r="E22" s="10" t="inlineStr">
        <is>
          <t>≥60%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>
      <c r="B23" s="64" t="n">
        <v>7</v>
      </c>
      <c r="C23" s="65" t="inlineStr">
        <is>
          <t>Industry certifications earned by students</t>
        </is>
      </c>
      <c r="D23" s="66" t="inlineStr">
        <is>
          <t>No.</t>
        </is>
      </c>
      <c r="E23" s="66" t="inlineStr">
        <is>
          <t>≥200</t>
        </is>
      </c>
      <c r="F23" s="66" t="inlineStr"/>
      <c r="G23" s="66" t="inlineStr"/>
      <c r="H23" s="66" t="inlineStr">
        <is>
          <t>On Track</t>
        </is>
      </c>
      <c r="I23" s="65" t="inlineStr"/>
    </row>
    <row r="24" ht="22" customHeight="1"/>
    <row r="25" ht="24" customHeight="1">
      <c r="B25" s="35" t="inlineStr">
        <is>
          <t>CAREER GUIDANCE KPIs</t>
        </is>
      </c>
    </row>
    <row r="26" ht="22" customHeight="1">
      <c r="B26" s="31" t="inlineStr">
        <is>
          <t>Sl.</t>
        </is>
      </c>
      <c r="C26" s="31" t="inlineStr">
        <is>
          <t>Key Performance Indicator</t>
        </is>
      </c>
      <c r="D26" s="31" t="inlineStr">
        <is>
          <t>Unit</t>
        </is>
      </c>
      <c r="E26" s="31" t="inlineStr">
        <is>
          <t>Annual Target</t>
        </is>
      </c>
      <c r="F26" s="31" t="inlineStr">
        <is>
          <t>Prev. Year Actual</t>
        </is>
      </c>
      <c r="G26" s="31" t="inlineStr">
        <is>
          <t>Current Year Actual</t>
        </is>
      </c>
      <c r="H26" s="31" t="inlineStr">
        <is>
          <t>Status</t>
        </is>
      </c>
      <c r="I26" s="31" t="inlineStr">
        <is>
          <t>Action Required</t>
        </is>
      </c>
    </row>
    <row r="27" ht="22" customHeight="1">
      <c r="B27" s="32" t="n">
        <v>1</v>
      </c>
      <c r="C27" s="33" t="inlineStr">
        <is>
          <t>Career counselling sessions conducted</t>
        </is>
      </c>
      <c r="D27" s="34" t="inlineStr">
        <is>
          <t>No. per year</t>
        </is>
      </c>
      <c r="E27" s="34" t="inlineStr">
        <is>
          <t>≥100</t>
        </is>
      </c>
      <c r="F27" s="34" t="inlineStr"/>
      <c r="G27" s="34" t="inlineStr"/>
      <c r="H27" s="34" t="inlineStr">
        <is>
          <t>On Track</t>
        </is>
      </c>
      <c r="I27" s="33" t="inlineStr"/>
    </row>
    <row r="28" ht="22" customHeight="1">
      <c r="B28" s="8" t="n">
        <v>2</v>
      </c>
      <c r="C28" s="9" t="inlineStr">
        <is>
          <t>Students opting for higher studies</t>
        </is>
      </c>
      <c r="D28" s="10" t="inlineStr">
        <is>
          <t>No. / %</t>
        </is>
      </c>
      <c r="E28" s="10" t="inlineStr">
        <is>
          <t>Tracked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32" t="n">
        <v>3</v>
      </c>
      <c r="C29" s="33" t="inlineStr">
        <is>
          <t>Students qualifying GATE / CAT / Other exams</t>
        </is>
      </c>
      <c r="D29" s="34" t="inlineStr">
        <is>
          <t>No.</t>
        </is>
      </c>
      <c r="E29" s="34" t="inlineStr">
        <is>
          <t>≥10</t>
        </is>
      </c>
      <c r="F29" s="34" t="inlineStr"/>
      <c r="G29" s="34" t="inlineStr"/>
      <c r="H29" s="34" t="inlineStr">
        <is>
          <t>On Track</t>
        </is>
      </c>
      <c r="I29" s="33" t="inlineStr"/>
    </row>
    <row r="30" ht="22" customHeight="1">
      <c r="B30" s="8" t="n">
        <v>4</v>
      </c>
      <c r="C30" s="9" t="inlineStr">
        <is>
          <t>Students becoming entrepreneurs</t>
        </is>
      </c>
      <c r="D30" s="10" t="inlineStr">
        <is>
          <t>No.</t>
        </is>
      </c>
      <c r="E30" s="10" t="inlineStr">
        <is>
          <t>≥3</t>
        </is>
      </c>
      <c r="F30" s="10" t="inlineStr"/>
      <c r="G30" s="10" t="inlineStr"/>
      <c r="H30" s="10" t="inlineStr">
        <is>
          <t>On Track</t>
        </is>
      </c>
      <c r="I30" s="9" t="inlineStr"/>
    </row>
    <row r="31" ht="22" customHeight="1">
      <c r="B31" s="32" t="n">
        <v>5</v>
      </c>
      <c r="C31" s="33" t="inlineStr">
        <is>
          <t>Career awareness events conducted</t>
        </is>
      </c>
      <c r="D31" s="34" t="inlineStr">
        <is>
          <t>No. per year</t>
        </is>
      </c>
      <c r="E31" s="34" t="inlineStr">
        <is>
          <t>≥6</t>
        </is>
      </c>
      <c r="F31" s="34" t="inlineStr"/>
      <c r="G31" s="34" t="inlineStr"/>
      <c r="H31" s="34" t="inlineStr">
        <is>
          <t>On Track</t>
        </is>
      </c>
      <c r="I31" s="33" t="inlineStr"/>
    </row>
    <row r="32" ht="22" customHeight="1">
      <c r="B32" s="8" t="n">
        <v>6</v>
      </c>
      <c r="C32" s="9" t="inlineStr">
        <is>
          <t>Alumni mentoring sessions</t>
        </is>
      </c>
      <c r="D32" s="10" t="inlineStr">
        <is>
          <t>No. per year</t>
        </is>
      </c>
      <c r="E32" s="10" t="inlineStr">
        <is>
          <t>≥12</t>
        </is>
      </c>
      <c r="F32" s="10" t="inlineStr"/>
      <c r="G32" s="10" t="inlineStr"/>
      <c r="H32" s="10" t="inlineStr">
        <is>
          <t>On Track</t>
        </is>
      </c>
      <c r="I32" s="9" t="inlineStr"/>
    </row>
    <row r="33" ht="22" customHeight="1"/>
    <row r="34" ht="24" customHeight="1">
      <c r="B34" s="42" t="inlineStr">
        <is>
          <t>EMPLOYER &amp; QUALITY KPIs</t>
        </is>
      </c>
    </row>
    <row r="35" ht="22" customHeight="1">
      <c r="B35" s="48" t="inlineStr">
        <is>
          <t>Sl.</t>
        </is>
      </c>
      <c r="C35" s="48" t="inlineStr">
        <is>
          <t>Key Performance Indicator</t>
        </is>
      </c>
      <c r="D35" s="48" t="inlineStr">
        <is>
          <t>Unit</t>
        </is>
      </c>
      <c r="E35" s="48" t="inlineStr">
        <is>
          <t>Annual Target</t>
        </is>
      </c>
      <c r="F35" s="48" t="inlineStr">
        <is>
          <t>Prev. Year Actual</t>
        </is>
      </c>
      <c r="G35" s="48" t="inlineStr">
        <is>
          <t>Current Year Actual</t>
        </is>
      </c>
      <c r="H35" s="48" t="inlineStr">
        <is>
          <t>Status</t>
        </is>
      </c>
      <c r="I35" s="48" t="inlineStr">
        <is>
          <t>Action Required</t>
        </is>
      </c>
    </row>
    <row r="36" ht="22" customHeight="1">
      <c r="B36" s="57" t="n">
        <v>1</v>
      </c>
      <c r="C36" s="49" t="inlineStr">
        <is>
          <t>Employer satisfaction score (/5)</t>
        </is>
      </c>
      <c r="D36" s="50" t="inlineStr">
        <is>
          <t>Score</t>
        </is>
      </c>
      <c r="E36" s="50" t="inlineStr">
        <is>
          <t>≥3.5</t>
        </is>
      </c>
      <c r="F36" s="50" t="inlineStr"/>
      <c r="G36" s="50" t="inlineStr"/>
      <c r="H36" s="50" t="inlineStr">
        <is>
          <t>On Track</t>
        </is>
      </c>
      <c r="I36" s="49" t="inlineStr"/>
    </row>
    <row r="37" ht="22" customHeight="1">
      <c r="B37" s="8" t="n">
        <v>2</v>
      </c>
      <c r="C37" s="9" t="inlineStr">
        <is>
          <t>Student satisfaction with T&amp;P (/5)</t>
        </is>
      </c>
      <c r="D37" s="10" t="inlineStr">
        <is>
          <t>Score</t>
        </is>
      </c>
      <c r="E37" s="10" t="inlineStr">
        <is>
          <t>≥3.5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57" t="n">
        <v>3</v>
      </c>
      <c r="C38" s="49" t="inlineStr">
        <is>
          <t>Core recruiter retention rate (%)</t>
        </is>
      </c>
      <c r="D38" s="50" t="inlineStr">
        <is>
          <t>% year-on-year</t>
        </is>
      </c>
      <c r="E38" s="50" t="inlineStr">
        <is>
          <t>≥80%</t>
        </is>
      </c>
      <c r="F38" s="50" t="inlineStr"/>
      <c r="G38" s="50" t="inlineStr"/>
      <c r="H38" s="50" t="inlineStr">
        <is>
          <t>On Track</t>
        </is>
      </c>
      <c r="I38" s="49" t="inlineStr"/>
    </row>
    <row r="39" ht="22" customHeight="1">
      <c r="B39" s="8" t="n">
        <v>4</v>
      </c>
      <c r="C39" s="9" t="inlineStr">
        <is>
          <t>NIRF graduation outcomes data — compiled</t>
        </is>
      </c>
      <c r="D39" s="10" t="inlineStr">
        <is>
          <t>Y/N</t>
        </is>
      </c>
      <c r="E39" s="10" t="inlineStr">
        <is>
          <t>Yes annually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>
      <c r="B40" s="57" t="n">
        <v>5</v>
      </c>
      <c r="C40" s="49" t="inlineStr">
        <is>
          <t>NAAC T&amp;P data — submitted to IQAC</t>
        </is>
      </c>
      <c r="D40" s="50" t="inlineStr">
        <is>
          <t>Y/N</t>
        </is>
      </c>
      <c r="E40" s="50" t="inlineStr">
        <is>
          <t>Yes by Jul 31</t>
        </is>
      </c>
      <c r="F40" s="50" t="inlineStr"/>
      <c r="G40" s="50" t="inlineStr"/>
      <c r="H40" s="50" t="inlineStr">
        <is>
          <t>On Track</t>
        </is>
      </c>
      <c r="I40" s="49" t="inlineStr"/>
    </row>
    <row r="41" ht="22" customHeight="1">
      <c r="B41" s="8" t="n">
        <v>6</v>
      </c>
      <c r="C41" s="9" t="inlineStr">
        <is>
          <t>T&amp;P budget utilisation (%)</t>
        </is>
      </c>
      <c r="D41" s="10" t="inlineStr">
        <is>
          <t>% utilised</t>
        </is>
      </c>
      <c r="E41" s="10" t="inlineStr">
        <is>
          <t>85–100%</t>
        </is>
      </c>
      <c r="F41" s="10" t="inlineStr"/>
      <c r="G41" s="10" t="inlineStr"/>
      <c r="H41" s="10" t="inlineStr">
        <is>
          <t>On Track</t>
        </is>
      </c>
      <c r="I41" s="9" t="inlineStr"/>
    </row>
    <row r="42" ht="22" customHeight="1"/>
    <row r="43" ht="24" customHeight="1">
      <c r="B43" s="68" t="inlineStr">
        <is>
          <t>STUDENT PROGRESSION KPIs</t>
        </is>
      </c>
    </row>
    <row r="44" ht="22" customHeight="1">
      <c r="B44" s="69" t="inlineStr">
        <is>
          <t>Sl.</t>
        </is>
      </c>
      <c r="C44" s="69" t="inlineStr">
        <is>
          <t>Key Performance Indicator</t>
        </is>
      </c>
      <c r="D44" s="69" t="inlineStr">
        <is>
          <t>Unit</t>
        </is>
      </c>
      <c r="E44" s="69" t="inlineStr">
        <is>
          <t>Annual Target</t>
        </is>
      </c>
      <c r="F44" s="69" t="inlineStr">
        <is>
          <t>Prev. Year Actual</t>
        </is>
      </c>
      <c r="G44" s="69" t="inlineStr">
        <is>
          <t>Current Year Actual</t>
        </is>
      </c>
      <c r="H44" s="69" t="inlineStr">
        <is>
          <t>Status</t>
        </is>
      </c>
      <c r="I44" s="69" t="inlineStr">
        <is>
          <t>Action Required</t>
        </is>
      </c>
    </row>
    <row r="45" ht="22" customHeight="1">
      <c r="B45" s="70" t="n">
        <v>1</v>
      </c>
      <c r="C45" s="71" t="inlineStr">
        <is>
          <t>Students with multiple offers (%)</t>
        </is>
      </c>
      <c r="D45" s="72" t="inlineStr">
        <is>
          <t>% of placed</t>
        </is>
      </c>
      <c r="E45" s="72" t="inlineStr">
        <is>
          <t>≥15%</t>
        </is>
      </c>
      <c r="F45" s="72" t="inlineStr"/>
      <c r="G45" s="72" t="inlineStr"/>
      <c r="H45" s="72" t="inlineStr">
        <is>
          <t>On Track</t>
        </is>
      </c>
      <c r="I45" s="71" t="inlineStr"/>
    </row>
    <row r="46" ht="22" customHeight="1">
      <c r="B46" s="8" t="n">
        <v>2</v>
      </c>
      <c r="C46" s="9" t="inlineStr">
        <is>
          <t>Un-placed students receiving support</t>
        </is>
      </c>
      <c r="D46" s="10" t="inlineStr">
        <is>
          <t>% of un-placed</t>
        </is>
      </c>
      <c r="E46" s="10" t="inlineStr">
        <is>
          <t>100%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70" t="n">
        <v>3</v>
      </c>
      <c r="C47" s="71" t="inlineStr">
        <is>
          <t>Placement rate — female students</t>
        </is>
      </c>
      <c r="D47" s="72" t="inlineStr">
        <is>
          <t>% placed</t>
        </is>
      </c>
      <c r="E47" s="72" t="inlineStr">
        <is>
          <t>≥60%</t>
        </is>
      </c>
      <c r="F47" s="72" t="inlineStr"/>
      <c r="G47" s="72" t="inlineStr"/>
      <c r="H47" s="72" t="inlineStr">
        <is>
          <t>On Track</t>
        </is>
      </c>
      <c r="I47" s="71" t="inlineStr"/>
    </row>
    <row r="48" ht="22" customHeight="1">
      <c r="B48" s="8" t="n">
        <v>4</v>
      </c>
      <c r="C48" s="9" t="inlineStr">
        <is>
          <t>Placement rate — SC/ST/OBC students</t>
        </is>
      </c>
      <c r="D48" s="10" t="inlineStr">
        <is>
          <t>% placed</t>
        </is>
      </c>
      <c r="E48" s="10" t="inlineStr">
        <is>
          <t>≥60%</t>
        </is>
      </c>
      <c r="F48" s="10" t="inlineStr"/>
      <c r="G48" s="10" t="inlineStr"/>
      <c r="H48" s="10" t="inlineStr">
        <is>
          <t>On Track</t>
        </is>
      </c>
      <c r="I48" s="9" t="inlineStr"/>
    </row>
    <row r="49" ht="22" customHeight="1">
      <c r="B49" s="70" t="n">
        <v>5</v>
      </c>
      <c r="C49" s="71" t="inlineStr">
        <is>
          <t>Students joining top-100 companies</t>
        </is>
      </c>
      <c r="D49" s="72" t="inlineStr">
        <is>
          <t>No.</t>
        </is>
      </c>
      <c r="E49" s="72" t="inlineStr">
        <is>
          <t>≥20</t>
        </is>
      </c>
      <c r="F49" s="72" t="inlineStr"/>
      <c r="G49" s="72" t="inlineStr"/>
      <c r="H49" s="72" t="inlineStr">
        <is>
          <t>On Track</t>
        </is>
      </c>
      <c r="I49" s="71" t="inlineStr"/>
    </row>
    <row r="50" ht="22" customHeight="1">
      <c r="B50" s="8" t="n">
        <v>6</v>
      </c>
      <c r="C50" s="9" t="inlineStr">
        <is>
          <t>International placements</t>
        </is>
      </c>
      <c r="D50" s="10" t="inlineStr">
        <is>
          <t>No.</t>
        </is>
      </c>
      <c r="E50" s="10" t="inlineStr">
        <is>
          <t>≥1</t>
        </is>
      </c>
      <c r="F50" s="10" t="inlineStr"/>
      <c r="G50" s="10" t="inlineStr"/>
      <c r="H50" s="10" t="inlineStr">
        <is>
          <t>On Track</t>
        </is>
      </c>
      <c r="I50" s="9" t="inlineStr"/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7">
    <mergeCell ref="B15:I15"/>
    <mergeCell ref="B25:I25"/>
    <mergeCell ref="B2:I2"/>
    <mergeCell ref="B34:I34"/>
    <mergeCell ref="B3:I3"/>
    <mergeCell ref="B4:I4"/>
    <mergeCell ref="B43:I4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TPC-37: T&amp;P ANNUAL REPORT COMPILATION FORM</t>
        </is>
      </c>
    </row>
    <row r="3" ht="25" customHeight="1">
      <c r="B3" s="2" t="inlineStr">
        <is>
          <t>A.Y.: _______  T&amp;P Officer: ___________________  Submitted to: Management / IQAC / NAAC  Date: _______</t>
        </is>
      </c>
    </row>
    <row r="4" ht="24" customHeight="1">
      <c r="B4" s="20" t="inlineStr">
        <is>
          <t>SECTION 1 — PLACEMENT PERFORMANCE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eligible students (final year)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Students registered for placement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Students placed (confirmed joining)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Overall placement rate (%)</t>
        </is>
      </c>
      <c r="D9" s="10" t="inlineStr">
        <is>
          <t>% placed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Highest CTC (₹L PA)</t>
        </is>
      </c>
      <c r="D10" s="16" t="inlineStr">
        <is>
          <t>₹L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Average CTC (₹L PA)</t>
        </is>
      </c>
      <c r="D11" s="10" t="inlineStr">
        <is>
          <t>₹L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14" t="n">
        <v>7</v>
      </c>
      <c r="C12" s="15" t="inlineStr">
        <is>
          <t>Median CTC (₹L PA)</t>
        </is>
      </c>
      <c r="D12" s="16" t="inlineStr">
        <is>
          <t>₹L</t>
        </is>
      </c>
      <c r="E12" s="16" t="inlineStr"/>
      <c r="F12" s="16" t="inlineStr"/>
      <c r="G12" s="16">
        <f>IFERROR(ROUND((E12-F12)/F12*100,1),"")</f>
        <v/>
      </c>
      <c r="H12" s="16" t="inlineStr"/>
    </row>
    <row r="13" ht="22" customHeight="1">
      <c r="B13" s="8" t="n">
        <v>8</v>
      </c>
      <c r="C13" s="9" t="inlineStr">
        <is>
          <t>Companies visiting campus</t>
        </is>
      </c>
      <c r="D13" s="10" t="inlineStr">
        <is>
          <t>No.</t>
        </is>
      </c>
      <c r="E13" s="10" t="inlineStr"/>
      <c r="F13" s="10" t="inlineStr"/>
      <c r="G13" s="10">
        <f>IFERROR(ROUND((E13-F13)/F13*100,1),"")</f>
        <v/>
      </c>
      <c r="H13" s="10" t="inlineStr"/>
    </row>
    <row r="14" ht="22" customHeight="1"/>
    <row r="15" ht="24" customHeight="1">
      <c r="B15" s="42" t="inlineStr">
        <is>
          <t>SECTION 2 — CAMPUS DRIVES</t>
        </is>
      </c>
    </row>
    <row r="16" ht="22" customHeight="1">
      <c r="B16" s="48" t="inlineStr">
        <is>
          <t>Sl.</t>
        </is>
      </c>
      <c r="C16" s="48" t="inlineStr">
        <is>
          <t>Performance Metric</t>
        </is>
      </c>
      <c r="D16" s="48" t="inlineStr">
        <is>
          <t>Unit</t>
        </is>
      </c>
      <c r="E16" s="48" t="inlineStr">
        <is>
          <t>Current A.Y.</t>
        </is>
      </c>
      <c r="F16" s="48" t="inlineStr">
        <is>
          <t>Previous A.Y.</t>
        </is>
      </c>
      <c r="G16" s="48" t="inlineStr">
        <is>
          <t>Growth %</t>
        </is>
      </c>
      <c r="H16" s="48" t="inlineStr">
        <is>
          <t>Target Next Year</t>
        </is>
      </c>
    </row>
    <row r="17" ht="22" customHeight="1">
      <c r="B17" s="57" t="n">
        <v>1</v>
      </c>
      <c r="C17" s="49" t="inlineStr">
        <is>
          <t>Campus drives conducted</t>
        </is>
      </c>
      <c r="D17" s="50" t="inlineStr">
        <is>
          <t>No.</t>
        </is>
      </c>
      <c r="E17" s="50" t="inlineStr"/>
      <c r="F17" s="50" t="inlineStr"/>
      <c r="G17" s="50">
        <f>IFERROR(ROUND((E17-F17)/F17*100,1),"")</f>
        <v/>
      </c>
      <c r="H17" s="50" t="inlineStr"/>
    </row>
    <row r="18" ht="22" customHeight="1">
      <c r="B18" s="8" t="n">
        <v>2</v>
      </c>
      <c r="C18" s="9" t="inlineStr">
        <is>
          <t>Total offers extended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57" t="n">
        <v>3</v>
      </c>
      <c r="C19" s="49" t="inlineStr">
        <is>
          <t>PPOs converted</t>
        </is>
      </c>
      <c r="D19" s="50" t="inlineStr">
        <is>
          <t>No.</t>
        </is>
      </c>
      <c r="E19" s="50" t="inlineStr"/>
      <c r="F19" s="50" t="inlineStr"/>
      <c r="G19" s="50">
        <f>IFERROR(ROUND((E19-F19)/F19*100,1),"")</f>
        <v/>
      </c>
      <c r="H19" s="50" t="inlineStr"/>
    </row>
    <row r="20" ht="22" customHeight="1">
      <c r="B20" s="8" t="n">
        <v>4</v>
      </c>
      <c r="C20" s="9" t="inlineStr">
        <is>
          <t>New companies added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57" t="n">
        <v>5</v>
      </c>
      <c r="C21" s="49" t="inlineStr">
        <is>
          <t>Sector diversity (no. of sectors)</t>
        </is>
      </c>
      <c r="D21" s="50" t="inlineStr">
        <is>
          <t>No.</t>
        </is>
      </c>
      <c r="E21" s="50" t="inlineStr"/>
      <c r="F21" s="50" t="inlineStr"/>
      <c r="G21" s="50">
        <f>IFERROR(ROUND((E21-F21)/F21*100,1),"")</f>
        <v/>
      </c>
      <c r="H21" s="50" t="inlineStr"/>
    </row>
    <row r="22" ht="22" customHeight="1">
      <c r="B22" s="8" t="n">
        <v>6</v>
      </c>
      <c r="C22" s="9" t="inlineStr">
        <is>
          <t>International placements</t>
        </is>
      </c>
      <c r="D22" s="10" t="inlineStr">
        <is>
          <t>No.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/>
    <row r="24" ht="24" customHeight="1">
      <c r="B24" s="62" t="inlineStr">
        <is>
          <t>SECTION 3 — TRAINING</t>
        </is>
      </c>
    </row>
    <row r="25" ht="22" customHeight="1">
      <c r="B25" s="63" t="inlineStr">
        <is>
          <t>Sl.</t>
        </is>
      </c>
      <c r="C25" s="63" t="inlineStr">
        <is>
          <t>Performance Metric</t>
        </is>
      </c>
      <c r="D25" s="63" t="inlineStr">
        <is>
          <t>Unit</t>
        </is>
      </c>
      <c r="E25" s="63" t="inlineStr">
        <is>
          <t>Current A.Y.</t>
        </is>
      </c>
      <c r="F25" s="63" t="inlineStr">
        <is>
          <t>Previous A.Y.</t>
        </is>
      </c>
      <c r="G25" s="63" t="inlineStr">
        <is>
          <t>Growth %</t>
        </is>
      </c>
      <c r="H25" s="63" t="inlineStr">
        <is>
          <t>Target Next Year</t>
        </is>
      </c>
    </row>
    <row r="26" ht="22" customHeight="1">
      <c r="B26" s="64" t="n">
        <v>1</v>
      </c>
      <c r="C26" s="65" t="inlineStr">
        <is>
          <t>Training sessions conducted</t>
        </is>
      </c>
      <c r="D26" s="66" t="inlineStr">
        <is>
          <t>No.</t>
        </is>
      </c>
      <c r="E26" s="66" t="inlineStr"/>
      <c r="F26" s="66" t="inlineStr"/>
      <c r="G26" s="66">
        <f>IFERROR(ROUND((E26-F26)/F26*100,1),"")</f>
        <v/>
      </c>
      <c r="H26" s="66" t="inlineStr"/>
    </row>
    <row r="27" ht="22" customHeight="1">
      <c r="B27" s="8" t="n">
        <v>2</v>
      </c>
      <c r="C27" s="9" t="inlineStr">
        <is>
          <t>Students trained (total)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64" t="n">
        <v>3</v>
      </c>
      <c r="C28" s="65" t="inlineStr">
        <is>
          <t>Aptitude coverage (%)</t>
        </is>
      </c>
      <c r="D28" s="66" t="inlineStr">
        <is>
          <t>% of eligible</t>
        </is>
      </c>
      <c r="E28" s="66" t="inlineStr"/>
      <c r="F28" s="66" t="inlineStr"/>
      <c r="G28" s="66">
        <f>IFERROR(ROUND((E28-F28)/F28*100,1),"")</f>
        <v/>
      </c>
      <c r="H28" s="66" t="inlineStr"/>
    </row>
    <row r="29" ht="22" customHeight="1">
      <c r="B29" s="8" t="n">
        <v>4</v>
      </c>
      <c r="C29" s="9" t="inlineStr">
        <is>
          <t>Technical coverage (%)</t>
        </is>
      </c>
      <c r="D29" s="10" t="inlineStr">
        <is>
          <t>% of eligible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64" t="n">
        <v>5</v>
      </c>
      <c r="C30" s="65" t="inlineStr">
        <is>
          <t>Average training feedback (/5)</t>
        </is>
      </c>
      <c r="D30" s="66" t="inlineStr">
        <is>
          <t>Score</t>
        </is>
      </c>
      <c r="E30" s="66" t="inlineStr"/>
      <c r="F30" s="66" t="inlineStr"/>
      <c r="G30" s="66">
        <f>IFERROR(ROUND((E30-F30)/F30*100,1),"")</f>
        <v/>
      </c>
      <c r="H30" s="66" t="inlineStr"/>
    </row>
    <row r="31" ht="22" customHeight="1">
      <c r="B31" s="8" t="n">
        <v>6</v>
      </c>
      <c r="C31" s="9" t="inlineStr">
        <is>
          <t>Industry certifications earned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35" t="inlineStr">
        <is>
          <t>SECTION 4 — CAREER GUIDANCE</t>
        </is>
      </c>
    </row>
    <row r="34" ht="22" customHeight="1">
      <c r="B34" s="31" t="inlineStr">
        <is>
          <t>Sl.</t>
        </is>
      </c>
      <c r="C34" s="31" t="inlineStr">
        <is>
          <t>Performance Metric</t>
        </is>
      </c>
      <c r="D34" s="31" t="inlineStr">
        <is>
          <t>Unit</t>
        </is>
      </c>
      <c r="E34" s="31" t="inlineStr">
        <is>
          <t>Current A.Y.</t>
        </is>
      </c>
      <c r="F34" s="31" t="inlineStr">
        <is>
          <t>Previous A.Y.</t>
        </is>
      </c>
      <c r="G34" s="31" t="inlineStr">
        <is>
          <t>Growth %</t>
        </is>
      </c>
      <c r="H34" s="31" t="inlineStr">
        <is>
          <t>Target Next Year</t>
        </is>
      </c>
    </row>
    <row r="35" ht="22" customHeight="1">
      <c r="B35" s="32" t="n">
        <v>1</v>
      </c>
      <c r="C35" s="33" t="inlineStr">
        <is>
          <t>Career counselling sessions</t>
        </is>
      </c>
      <c r="D35" s="34" t="inlineStr">
        <is>
          <t>No.</t>
        </is>
      </c>
      <c r="E35" s="34" t="inlineStr"/>
      <c r="F35" s="34" t="inlineStr"/>
      <c r="G35" s="34">
        <f>IFERROR(ROUND((E35-F35)/F35*100,1),"")</f>
        <v/>
      </c>
      <c r="H35" s="34" t="inlineStr"/>
    </row>
    <row r="36" ht="22" customHeight="1">
      <c r="B36" s="8" t="n">
        <v>2</v>
      </c>
      <c r="C36" s="9" t="inlineStr">
        <is>
          <t>Higher studies students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32" t="n">
        <v>3</v>
      </c>
      <c r="C37" s="33" t="inlineStr">
        <is>
          <t>GATE / CAT / competitive exam qualifiers</t>
        </is>
      </c>
      <c r="D37" s="34" t="inlineStr">
        <is>
          <t>No.</t>
        </is>
      </c>
      <c r="E37" s="34" t="inlineStr"/>
      <c r="F37" s="34" t="inlineStr"/>
      <c r="G37" s="34">
        <f>IFERROR(ROUND((E37-F37)/F37*100,1),"")</f>
        <v/>
      </c>
      <c r="H37" s="34" t="inlineStr"/>
    </row>
    <row r="38" ht="22" customHeight="1">
      <c r="B38" s="8" t="n">
        <v>4</v>
      </c>
      <c r="C38" s="9" t="inlineStr">
        <is>
          <t>Entrepreneurs</t>
        </is>
      </c>
      <c r="D38" s="10" t="inlineStr">
        <is>
          <t>No.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32" t="n">
        <v>5</v>
      </c>
      <c r="C39" s="33" t="inlineStr">
        <is>
          <t>Career events conducted</t>
        </is>
      </c>
      <c r="D39" s="34" t="inlineStr">
        <is>
          <t>No.</t>
        </is>
      </c>
      <c r="E39" s="34" t="inlineStr"/>
      <c r="F39" s="34" t="inlineStr"/>
      <c r="G39" s="34">
        <f>IFERROR(ROUND((E39-F39)/F39*100,1),"")</f>
        <v/>
      </c>
      <c r="H39" s="34" t="inlineStr"/>
    </row>
    <row r="40" ht="22" customHeight="1">
      <c r="B40" s="8" t="n">
        <v>6</v>
      </c>
      <c r="C40" s="9" t="inlineStr">
        <is>
          <t>Alumni mentors engaged</t>
        </is>
      </c>
      <c r="D40" s="10" t="inlineStr">
        <is>
          <t>No.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/>
    <row r="42" ht="24" customHeight="1">
      <c r="B42" s="68" t="inlineStr">
        <is>
          <t>SECTION 5 — QUALITY &amp; COMPLIANCE</t>
        </is>
      </c>
    </row>
    <row r="43" ht="22" customHeight="1">
      <c r="B43" s="69" t="inlineStr">
        <is>
          <t>Sl.</t>
        </is>
      </c>
      <c r="C43" s="69" t="inlineStr">
        <is>
          <t>Performance Metric</t>
        </is>
      </c>
      <c r="D43" s="69" t="inlineStr">
        <is>
          <t>Unit</t>
        </is>
      </c>
      <c r="E43" s="69" t="inlineStr">
        <is>
          <t>Current A.Y.</t>
        </is>
      </c>
      <c r="F43" s="69" t="inlineStr">
        <is>
          <t>Previous A.Y.</t>
        </is>
      </c>
      <c r="G43" s="69" t="inlineStr">
        <is>
          <t>Growth %</t>
        </is>
      </c>
      <c r="H43" s="69" t="inlineStr">
        <is>
          <t>Target Next Year</t>
        </is>
      </c>
    </row>
    <row r="44" ht="22" customHeight="1">
      <c r="B44" s="70" t="n">
        <v>1</v>
      </c>
      <c r="C44" s="71" t="inlineStr">
        <is>
          <t>Employer satisfaction score (/5)</t>
        </is>
      </c>
      <c r="D44" s="72" t="inlineStr">
        <is>
          <t>Score</t>
        </is>
      </c>
      <c r="E44" s="72" t="inlineStr"/>
      <c r="F44" s="72" t="inlineStr"/>
      <c r="G44" s="72">
        <f>IFERROR(ROUND((E44-F44)/F44*100,1),"")</f>
        <v/>
      </c>
      <c r="H44" s="72" t="inlineStr"/>
    </row>
    <row r="45" ht="22" customHeight="1">
      <c r="B45" s="8" t="n">
        <v>2</v>
      </c>
      <c r="C45" s="9" t="inlineStr">
        <is>
          <t>Student satisfaction score (/5)</t>
        </is>
      </c>
      <c r="D45" s="10" t="inlineStr">
        <is>
          <t>Score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70" t="n">
        <v>3</v>
      </c>
      <c r="C46" s="71" t="inlineStr">
        <is>
          <t>NIRF data submitted</t>
        </is>
      </c>
      <c r="D46" s="72" t="inlineStr">
        <is>
          <t>Y/N</t>
        </is>
      </c>
      <c r="E46" s="72" t="inlineStr"/>
      <c r="F46" s="72" t="inlineStr"/>
      <c r="G46" s="72">
        <f>IFERROR(ROUND((E46-F46)/F46*100,1),"")</f>
        <v/>
      </c>
      <c r="H46" s="72" t="inlineStr"/>
    </row>
    <row r="47" ht="22" customHeight="1">
      <c r="B47" s="8" t="n">
        <v>4</v>
      </c>
      <c r="C47" s="9" t="inlineStr">
        <is>
          <t>NAAC data submitted to IQAC</t>
        </is>
      </c>
      <c r="D47" s="10" t="inlineStr">
        <is>
          <t>Y/N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70" t="n">
        <v>5</v>
      </c>
      <c r="C48" s="71" t="inlineStr">
        <is>
          <t>T&amp;P budget utilised (₹L)</t>
        </is>
      </c>
      <c r="D48" s="72" t="inlineStr">
        <is>
          <t>₹L</t>
        </is>
      </c>
      <c r="E48" s="72" t="inlineStr"/>
      <c r="F48" s="72" t="inlineStr"/>
      <c r="G48" s="72">
        <f>IFERROR(ROUND((E48-F48)/F48*100,1),"")</f>
        <v/>
      </c>
      <c r="H48" s="72" t="inlineStr"/>
    </row>
    <row r="49" ht="22" customHeight="1">
      <c r="B49" s="8" t="n">
        <v>6</v>
      </c>
      <c r="C49" s="9" t="inlineStr">
        <is>
          <t>Budget utilisation (%)</t>
        </is>
      </c>
      <c r="D49" s="10" t="inlineStr">
        <is>
          <t>% utilised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/>
    <row r="51" ht="20" customHeight="1">
      <c r="B51" s="17" t="inlineStr">
        <is>
          <t>Annual Report submitted to: Management, IQAC (AQAR Criterion V.2 — Student Progression &amp; Placements), NAAC SSR, NIRF Graduation Outcomes, NBA SAR Criterion 5, Governing Body.</t>
        </is>
      </c>
    </row>
    <row r="52" ht="22" customHeight="1">
      <c r="B52" s="30" t="inlineStr">
        <is>
          <t>T&amp;P Officer: ___________________    TPC Chairperson: ___________________    IQAC Coordinator: ___________________    Date: ___________________</t>
        </is>
      </c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52:H52"/>
    <mergeCell ref="B4:H4"/>
    <mergeCell ref="B24:H24"/>
    <mergeCell ref="B2:H2"/>
    <mergeCell ref="B15:H15"/>
    <mergeCell ref="B33:H33"/>
    <mergeCell ref="B42:H42"/>
    <mergeCell ref="B3:H3"/>
    <mergeCell ref="B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2026-04-24T03:45:55Z</dcterms:created>
  <dcterms:modified xmlns:dcterms="http://purl.org/dc/terms/" xmlns:xsi="http://www.w3.org/2001/XMLSchema-instance" xsi:type="dcterms:W3CDTF">2026-04-24T03:45:56Z</dcterms:modified>
</cp:coreProperties>
</file>