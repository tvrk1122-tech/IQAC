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DC-00 Composition" sheetId="2" state="visible" r:id="rId2"/>
    <sheet xmlns:r="http://schemas.openxmlformats.org/officeDocument/2006/relationships" name="SDC-NA Notice &amp; Agenda" sheetId="3" state="visible" r:id="rId3"/>
    <sheet xmlns:r="http://schemas.openxmlformats.org/officeDocument/2006/relationships" name="SDC-AT Attendance" sheetId="4" state="visible" r:id="rId4"/>
    <sheet xmlns:r="http://schemas.openxmlformats.org/officeDocument/2006/relationships" name="SDC-MM Minutes" sheetId="5" state="visible" r:id="rId5"/>
    <sheet xmlns:r="http://schemas.openxmlformats.org/officeDocument/2006/relationships" name="SDC-ATR Action Report" sheetId="6" state="visible" r:id="rId6"/>
    <sheet xmlns:r="http://schemas.openxmlformats.org/officeDocument/2006/relationships" name="SDC-02 Offence Classification" sheetId="7" state="visible" r:id="rId7"/>
    <sheet xmlns:r="http://schemas.openxmlformats.org/officeDocument/2006/relationships" name="SDC-04 Complaint Form" sheetId="8" state="visible" r:id="rId8"/>
    <sheet xmlns:r="http://schemas.openxmlformats.org/officeDocument/2006/relationships" name="SDC-05 Case Register" sheetId="9" state="visible" r:id="rId9"/>
    <sheet xmlns:r="http://schemas.openxmlformats.org/officeDocument/2006/relationships" name="SDC-09 Inquiry Proceedings" sheetId="10" state="visible" r:id="rId10"/>
    <sheet xmlns:r="http://schemas.openxmlformats.org/officeDocument/2006/relationships" name="SDC-10 Show-Cause Register" sheetId="11" state="visible" r:id="rId11"/>
    <sheet xmlns:r="http://schemas.openxmlformats.org/officeDocument/2006/relationships" name="SDC-13 Decision Register" sheetId="12" state="visible" r:id="rId12"/>
    <sheet xmlns:r="http://schemas.openxmlformats.org/officeDocument/2006/relationships" name="SDC-15 Suspension Register" sheetId="13" state="visible" r:id="rId13"/>
    <sheet xmlns:r="http://schemas.openxmlformats.org/officeDocument/2006/relationships" name="SDC-17 Appeal Register" sheetId="14" state="visible" r:id="rId14"/>
    <sheet xmlns:r="http://schemas.openxmlformats.org/officeDocument/2006/relationships" name="SDC-20 Rehabilitation" sheetId="15" state="visible" r:id="rId15"/>
    <sheet xmlns:r="http://schemas.openxmlformats.org/officeDocument/2006/relationships" name="SDC-22 Parent Communication" sheetId="16" state="visible" r:id="rId16"/>
    <sheet xmlns:r="http://schemas.openxmlformats.org/officeDocument/2006/relationships" name="SDC-28 Case Master Register" sheetId="17" state="visible" r:id="rId17"/>
    <sheet xmlns:r="http://schemas.openxmlformats.org/officeDocument/2006/relationships" name="SDC-30 Awareness Register" sheetId="18" state="visible" r:id="rId18"/>
    <sheet xmlns:r="http://schemas.openxmlformats.org/officeDocument/2006/relationships" name="SDC-32 KPI Dashboard" sheetId="19" state="visible" r:id="rId19"/>
    <sheet xmlns:r="http://schemas.openxmlformats.org/officeDocument/2006/relationships" name="SDC-33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293B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E293B"/>
      <sz val="10"/>
    </font>
    <font>
      <name val="Arial"/>
      <b val="1"/>
      <color rgb="007B1D1D"/>
      <sz val="9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F172A"/>
      <sz val="9"/>
    </font>
    <font>
      <name val="Arial"/>
      <b val="1"/>
      <color rgb="000A0F1E"/>
      <sz val="10"/>
    </font>
    <font>
      <name val="Arial"/>
      <b val="1"/>
      <color rgb="007B1D1D"/>
      <sz val="10"/>
    </font>
    <font>
      <name val="Arial"/>
      <b val="1"/>
      <color rgb="003F2000"/>
      <sz val="9"/>
    </font>
    <font>
      <name val="Arial"/>
      <b val="1"/>
      <color rgb="001E293B"/>
      <sz val="9"/>
    </font>
  </fonts>
  <fills count="20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FF0F0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92400E"/>
      </patternFill>
    </fill>
    <fill>
      <patternFill patternType="solid">
        <fgColor rgb="007B1D1D"/>
      </patternFill>
    </fill>
    <fill>
      <patternFill patternType="solid">
        <fgColor rgb="00FEE2E2"/>
      </patternFill>
    </fill>
    <fill>
      <patternFill patternType="solid">
        <fgColor rgb="004338C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STUDENT DISCIPLINARY COMMITTEE (SDC)
Data Collection Formats — Master Workbook</t>
        </is>
      </c>
    </row>
    <row r="3" ht="28" customHeight="1">
      <c r="B3" s="2" t="inlineStr">
        <is>
          <t>Institution: _________________________  SDC Chairperson: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SDC-00</t>
        </is>
      </c>
      <c r="C6" s="6" t="inlineStr">
        <is>
          <t>Committee Composition &amp; Members Register</t>
        </is>
      </c>
      <c r="D6" s="6" t="inlineStr">
        <is>
          <t>Record SDC members, legal advisor &amp; student welfare staff</t>
        </is>
      </c>
      <c r="E6" s="7" t="inlineStr">
        <is>
          <t>Annual</t>
        </is>
      </c>
    </row>
    <row r="7" ht="20" customHeight="1">
      <c r="B7" s="8" t="inlineStr">
        <is>
          <t>SDC-NA</t>
        </is>
      </c>
      <c r="C7" s="9" t="inlineStr">
        <is>
          <t>Meeting Notice, Agenda &amp; Dispatch Record</t>
        </is>
      </c>
      <c r="D7" s="9" t="inlineStr">
        <is>
          <t>Formal notice and agenda for SDC meetings</t>
        </is>
      </c>
      <c r="E7" s="10" t="inlineStr">
        <is>
          <t>Each Meeting</t>
        </is>
      </c>
    </row>
    <row r="8" ht="20" customHeight="1">
      <c r="B8" s="5" t="inlineStr">
        <is>
          <t>SDC-AT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SDC-MM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SDC-ATR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FRAMEWORK ──</t>
        </is>
      </c>
    </row>
    <row r="12" ht="20" customHeight="1">
      <c r="B12" s="5" t="inlineStr">
        <is>
          <t>SDC-01</t>
        </is>
      </c>
      <c r="C12" s="6" t="inlineStr">
        <is>
          <t>Student Code of Conduct &amp; Disciplinary Policy</t>
        </is>
      </c>
      <c r="D12" s="6" t="inlineStr">
        <is>
          <t>Document institutional rules, norms &amp; disciplinary norms</t>
        </is>
      </c>
      <c r="E12" s="7" t="inlineStr">
        <is>
          <t>Annual</t>
        </is>
      </c>
    </row>
    <row r="13" ht="20" customHeight="1">
      <c r="B13" s="8" t="inlineStr">
        <is>
          <t>SDC-02</t>
        </is>
      </c>
      <c r="C13" s="9" t="inlineStr">
        <is>
          <t>Disciplinary Offence Classification Register</t>
        </is>
      </c>
      <c r="D13" s="9" t="inlineStr">
        <is>
          <t>Classify offences by severity &amp; applicable penalties</t>
        </is>
      </c>
      <c r="E13" s="10" t="inlineStr">
        <is>
          <t>Annual</t>
        </is>
      </c>
    </row>
    <row r="14" ht="20" customHeight="1">
      <c r="B14" s="5" t="inlineStr">
        <is>
          <t>SDC-03</t>
        </is>
      </c>
      <c r="C14" s="6" t="inlineStr">
        <is>
          <t>SDC Powers &amp; Escalation Matrix</t>
        </is>
      </c>
      <c r="D14" s="6" t="inlineStr">
        <is>
          <t>Define SDC authority, escalation levels &amp; legal referral</t>
        </is>
      </c>
      <c r="E14" s="7" t="inlineStr">
        <is>
          <t>Annual</t>
        </is>
      </c>
    </row>
    <row r="15" ht="20" customHeight="1">
      <c r="B15" s="4" t="inlineStr">
        <is>
          <t>── COMPLAINT &amp; INCIDENT REPORTING ──</t>
        </is>
      </c>
    </row>
    <row r="16" ht="20" customHeight="1">
      <c r="B16" s="5" t="inlineStr">
        <is>
          <t>SDC-04</t>
        </is>
      </c>
      <c r="C16" s="6" t="inlineStr">
        <is>
          <t>Disciplinary Complaint / Incident Report Form</t>
        </is>
      </c>
      <c r="D16" s="6" t="inlineStr">
        <is>
          <t>Submit formal written complaints against student conduct</t>
        </is>
      </c>
      <c r="E16" s="7" t="inlineStr">
        <is>
          <t>Per Incident</t>
        </is>
      </c>
    </row>
    <row r="17" ht="20" customHeight="1">
      <c r="B17" s="8" t="inlineStr">
        <is>
          <t>SDC-05</t>
        </is>
      </c>
      <c r="C17" s="9" t="inlineStr">
        <is>
          <t>Complaint Registration &amp; Acknowledgement Reg.</t>
        </is>
      </c>
      <c r="D17" s="9" t="inlineStr">
        <is>
          <t>Register, assign &amp; acknowledge every complaint</t>
        </is>
      </c>
      <c r="E17" s="10" t="inlineStr">
        <is>
          <t>Per Complaint</t>
        </is>
      </c>
    </row>
    <row r="18" ht="20" customHeight="1">
      <c r="B18" s="5" t="inlineStr">
        <is>
          <t>SDC-06</t>
        </is>
      </c>
      <c r="C18" s="6" t="inlineStr">
        <is>
          <t>Anonymous Complaint Register</t>
        </is>
      </c>
      <c r="D18" s="6" t="inlineStr">
        <is>
          <t>Handle complaints submitted anonymously</t>
        </is>
      </c>
      <c r="E18" s="7" t="inlineStr">
        <is>
          <t>Per Complaint</t>
        </is>
      </c>
    </row>
    <row r="19" ht="20" customHeight="1">
      <c r="B19" s="8" t="inlineStr">
        <is>
          <t>SDC-07</t>
        </is>
      </c>
      <c r="C19" s="9" t="inlineStr">
        <is>
          <t>Urgent / Emergency Incident Log</t>
        </is>
      </c>
      <c r="D19" s="9" t="inlineStr">
        <is>
          <t>Immediate log for incidents requiring instant action</t>
        </is>
      </c>
      <c r="E19" s="10" t="inlineStr">
        <is>
          <t>Per Incident</t>
        </is>
      </c>
    </row>
    <row r="20" ht="20" customHeight="1">
      <c r="B20" s="4" t="inlineStr">
        <is>
          <t>── INQUIRY &amp; INVESTIGATION ──</t>
        </is>
      </c>
    </row>
    <row r="21" ht="20" customHeight="1">
      <c r="B21" s="8" t="inlineStr">
        <is>
          <t>SDC-08</t>
        </is>
      </c>
      <c r="C21" s="9" t="inlineStr">
        <is>
          <t>Inquiry Committee Constitution Register</t>
        </is>
      </c>
      <c r="D21" s="9" t="inlineStr">
        <is>
          <t>Constitute inquiry committee per complaint category</t>
        </is>
      </c>
      <c r="E21" s="10" t="inlineStr">
        <is>
          <t>Per Case</t>
        </is>
      </c>
    </row>
    <row r="22" ht="20" customHeight="1">
      <c r="B22" s="5" t="inlineStr">
        <is>
          <t>SDC-09</t>
        </is>
      </c>
      <c r="C22" s="6" t="inlineStr">
        <is>
          <t>Inquiry Proceedings Log</t>
        </is>
      </c>
      <c r="D22" s="6" t="inlineStr">
        <is>
          <t>Document hearings, evidence &amp; witness statements</t>
        </is>
      </c>
      <c r="E22" s="7" t="inlineStr">
        <is>
          <t>Per Case</t>
        </is>
      </c>
    </row>
    <row r="23" ht="20" customHeight="1">
      <c r="B23" s="8" t="inlineStr">
        <is>
          <t>SDC-10</t>
        </is>
      </c>
      <c r="C23" s="9" t="inlineStr">
        <is>
          <t>Show-Cause Notice Issue &amp; Response Register</t>
        </is>
      </c>
      <c r="D23" s="9" t="inlineStr">
        <is>
          <t>Issue &amp; track show-cause notices and student responses</t>
        </is>
      </c>
      <c r="E23" s="10" t="inlineStr">
        <is>
          <t>Per Case</t>
        </is>
      </c>
    </row>
    <row r="24" ht="20" customHeight="1">
      <c r="B24" s="5" t="inlineStr">
        <is>
          <t>SDC-11</t>
        </is>
      </c>
      <c r="C24" s="6" t="inlineStr">
        <is>
          <t>Evidence &amp; Witness Register</t>
        </is>
      </c>
      <c r="D24" s="6" t="inlineStr">
        <is>
          <t>Register all evidence pieces and witness depositions</t>
        </is>
      </c>
      <c r="E24" s="7" t="inlineStr">
        <is>
          <t>Per Case</t>
        </is>
      </c>
    </row>
    <row r="25" ht="20" customHeight="1">
      <c r="B25" s="8" t="inlineStr">
        <is>
          <t>SDC-12</t>
        </is>
      </c>
      <c r="C25" s="9" t="inlineStr">
        <is>
          <t>Student Statement Recording Form</t>
        </is>
      </c>
      <c r="D25" s="9" t="inlineStr">
        <is>
          <t>Formally record the charged student's statement</t>
        </is>
      </c>
      <c r="E25" s="10" t="inlineStr">
        <is>
          <t>Per Case</t>
        </is>
      </c>
    </row>
    <row r="26" ht="20" customHeight="1">
      <c r="B26" s="4" t="inlineStr">
        <is>
          <t>── DECISION &amp; PENALTY ──</t>
        </is>
      </c>
    </row>
    <row r="27" ht="20" customHeight="1">
      <c r="B27" s="8" t="inlineStr">
        <is>
          <t>SDC-13</t>
        </is>
      </c>
      <c r="C27" s="9" t="inlineStr">
        <is>
          <t>SDC Decision &amp; Penalty Register</t>
        </is>
      </c>
      <c r="D27" s="9" t="inlineStr">
        <is>
          <t>Document final SDC decision and penalty awarded</t>
        </is>
      </c>
      <c r="E27" s="10" t="inlineStr">
        <is>
          <t>Per Case</t>
        </is>
      </c>
    </row>
    <row r="28" ht="20" customHeight="1">
      <c r="B28" s="5" t="inlineStr">
        <is>
          <t>SDC-14</t>
        </is>
      </c>
      <c r="C28" s="6" t="inlineStr">
        <is>
          <t>Penalty Communication &amp; Execution Register</t>
        </is>
      </c>
      <c r="D28" s="6" t="inlineStr">
        <is>
          <t>Communicate and track execution of penalties</t>
        </is>
      </c>
      <c r="E28" s="7" t="inlineStr">
        <is>
          <t>Per Case</t>
        </is>
      </c>
    </row>
    <row r="29" ht="20" customHeight="1">
      <c r="B29" s="8" t="inlineStr">
        <is>
          <t>SDC-15</t>
        </is>
      </c>
      <c r="C29" s="9" t="inlineStr">
        <is>
          <t>Suspension / Rustication Order Register</t>
        </is>
      </c>
      <c r="D29" s="9" t="inlineStr">
        <is>
          <t>Issue and track suspension or rustication orders</t>
        </is>
      </c>
      <c r="E29" s="10" t="inlineStr">
        <is>
          <t>Per Case</t>
        </is>
      </c>
    </row>
    <row r="30" ht="20" customHeight="1">
      <c r="B30" s="5" t="inlineStr">
        <is>
          <t>SDC-16</t>
        </is>
      </c>
      <c r="C30" s="6" t="inlineStr">
        <is>
          <t>Fine Collection &amp; Recovery Register</t>
        </is>
      </c>
      <c r="D30" s="6" t="inlineStr">
        <is>
          <t>Track disciplinary fines levied and collected</t>
        </is>
      </c>
      <c r="E30" s="7" t="inlineStr">
        <is>
          <t>Per Case</t>
        </is>
      </c>
    </row>
    <row r="31" ht="20" customHeight="1">
      <c r="B31" s="4" t="inlineStr">
        <is>
          <t>── APPEAL &amp; REINSTATEMENT ──</t>
        </is>
      </c>
    </row>
    <row r="32" ht="20" customHeight="1">
      <c r="B32" s="5" t="inlineStr">
        <is>
          <t>SDC-17</t>
        </is>
      </c>
      <c r="C32" s="6" t="inlineStr">
        <is>
          <t>Appeal Application &amp; Register</t>
        </is>
      </c>
      <c r="D32" s="6" t="inlineStr">
        <is>
          <t>Receive and process student appeals against SDC decisions</t>
        </is>
      </c>
      <c r="E32" s="7" t="inlineStr">
        <is>
          <t>Per Appeal</t>
        </is>
      </c>
    </row>
    <row r="33" ht="20" customHeight="1">
      <c r="B33" s="8" t="inlineStr">
        <is>
          <t>SDC-18</t>
        </is>
      </c>
      <c r="C33" s="9" t="inlineStr">
        <is>
          <t>Appeal Hearing &amp; Decision Register</t>
        </is>
      </c>
      <c r="D33" s="9" t="inlineStr">
        <is>
          <t>Document appeal hearing proceedings and outcome</t>
        </is>
      </c>
      <c r="E33" s="10" t="inlineStr">
        <is>
          <t>Per Appeal</t>
        </is>
      </c>
    </row>
    <row r="34" ht="20" customHeight="1">
      <c r="B34" s="5" t="inlineStr">
        <is>
          <t>SDC-19</t>
        </is>
      </c>
      <c r="C34" s="6" t="inlineStr">
        <is>
          <t>Reinstatement / Readmission Register</t>
        </is>
      </c>
      <c r="D34" s="6" t="inlineStr">
        <is>
          <t>Track reinstatement of suspended/reinstated students</t>
        </is>
      </c>
      <c r="E34" s="7" t="inlineStr">
        <is>
          <t>Per Case</t>
        </is>
      </c>
    </row>
    <row r="35" ht="20" customHeight="1">
      <c r="B35" s="4" t="inlineStr">
        <is>
          <t>── REHABILITATION &amp; COUNSELLING ──</t>
        </is>
      </c>
    </row>
    <row r="36" ht="20" customHeight="1">
      <c r="B36" s="5" t="inlineStr">
        <is>
          <t>SDC-20</t>
        </is>
      </c>
      <c r="C36" s="6" t="inlineStr">
        <is>
          <t>Disciplinary Counselling &amp; Rehabilitation Reg.</t>
        </is>
      </c>
      <c r="D36" s="6" t="inlineStr">
        <is>
          <t>Track counselling referrals &amp; behaviour change monitoring</t>
        </is>
      </c>
      <c r="E36" s="7" t="inlineStr">
        <is>
          <t>Per Case</t>
        </is>
      </c>
    </row>
    <row r="37" ht="20" customHeight="1">
      <c r="B37" s="8" t="inlineStr">
        <is>
          <t>SDC-21</t>
        </is>
      </c>
      <c r="C37" s="9" t="inlineStr">
        <is>
          <t>Probation &amp; Good Conduct Monitoring Register</t>
        </is>
      </c>
      <c r="D37" s="9" t="inlineStr">
        <is>
          <t>Monitor students placed on disciplinary probation</t>
        </is>
      </c>
      <c r="E37" s="10" t="inlineStr">
        <is>
          <t>Per Case / Monthly</t>
        </is>
      </c>
    </row>
    <row r="38" ht="20" customHeight="1">
      <c r="B38" s="5" t="inlineStr">
        <is>
          <t>SDC-22</t>
        </is>
      </c>
      <c r="C38" s="6" t="inlineStr">
        <is>
          <t>Parental / Guardian Communication Register</t>
        </is>
      </c>
      <c r="D38" s="6" t="inlineStr">
        <is>
          <t>Document all communications with parents/guardians</t>
        </is>
      </c>
      <c r="E38" s="7" t="inlineStr">
        <is>
          <t>Per Case</t>
        </is>
      </c>
    </row>
    <row r="39" ht="20" customHeight="1">
      <c r="B39" s="4" t="inlineStr">
        <is>
          <t>── SPECIAL CATEGORIES ──</t>
        </is>
      </c>
    </row>
    <row r="40" ht="20" customHeight="1">
      <c r="B40" s="5" t="inlineStr">
        <is>
          <t>SDC-23</t>
        </is>
      </c>
      <c r="C40" s="6" t="inlineStr">
        <is>
          <t>Ragging Complaint &amp; Action Register</t>
        </is>
      </c>
      <c r="D40" s="6" t="inlineStr">
        <is>
          <t>Handle ragging complaints — linked to Anti-Ragging Cell</t>
        </is>
      </c>
      <c r="E40" s="7" t="inlineStr">
        <is>
          <t>Per Incident</t>
        </is>
      </c>
    </row>
    <row r="41" ht="20" customHeight="1">
      <c r="B41" s="8" t="inlineStr">
        <is>
          <t>SDC-24</t>
        </is>
      </c>
      <c r="C41" s="9" t="inlineStr">
        <is>
          <t>Substance Abuse / Drug Incident Register</t>
        </is>
      </c>
      <c r="D41" s="9" t="inlineStr">
        <is>
          <t>Document substance-related disciplinary cases</t>
        </is>
      </c>
      <c r="E41" s="10" t="inlineStr">
        <is>
          <t>Per Incident</t>
        </is>
      </c>
    </row>
    <row r="42" ht="20" customHeight="1">
      <c r="B42" s="5" t="inlineStr">
        <is>
          <t>SDC-25</t>
        </is>
      </c>
      <c r="C42" s="6" t="inlineStr">
        <is>
          <t>Academic Dishonesty / Malpractice Register</t>
        </is>
      </c>
      <c r="D42" s="6" t="inlineStr">
        <is>
          <t>Handle plagiarism, exam cheating &amp; academic fraud</t>
        </is>
      </c>
      <c r="E42" s="7" t="inlineStr">
        <is>
          <t>Per Incident</t>
        </is>
      </c>
    </row>
    <row r="43" ht="20" customHeight="1">
      <c r="B43" s="8" t="inlineStr">
        <is>
          <t>SDC-26</t>
        </is>
      </c>
      <c r="C43" s="9" t="inlineStr">
        <is>
          <t>Cybercrime / Social Media Misconduct Register</t>
        </is>
      </c>
      <c r="D43" s="9" t="inlineStr">
        <is>
          <t>Document digital misconduct and cyberbullying cases</t>
        </is>
      </c>
      <c r="E43" s="10" t="inlineStr">
        <is>
          <t>Per Incident</t>
        </is>
      </c>
    </row>
    <row r="44" ht="20" customHeight="1">
      <c r="B44" s="5" t="inlineStr">
        <is>
          <t>SDC-27</t>
        </is>
      </c>
      <c r="C44" s="6" t="inlineStr">
        <is>
          <t>Physical Altercation / Violence Register</t>
        </is>
      </c>
      <c r="D44" s="6" t="inlineStr">
        <is>
          <t>Handle cases involving physical aggression</t>
        </is>
      </c>
      <c r="E44" s="7" t="inlineStr">
        <is>
          <t>Per Incident</t>
        </is>
      </c>
    </row>
    <row r="45" ht="20" customHeight="1">
      <c r="B45" s="4" t="inlineStr">
        <is>
          <t>── RECORDS &amp; ARCHIVE ──</t>
        </is>
      </c>
    </row>
    <row r="46" ht="20" customHeight="1">
      <c r="B46" s="5" t="inlineStr">
        <is>
          <t>SDC-28</t>
        </is>
      </c>
      <c r="C46" s="6" t="inlineStr">
        <is>
          <t>Disciplinary Case Master Register</t>
        </is>
      </c>
      <c r="D46" s="6" t="inlineStr">
        <is>
          <t>Consolidated register of all cases — reference log</t>
        </is>
      </c>
      <c r="E46" s="7" t="inlineStr">
        <is>
          <t>Continuous</t>
        </is>
      </c>
    </row>
    <row r="47" ht="20" customHeight="1">
      <c r="B47" s="8" t="inlineStr">
        <is>
          <t>SDC-29</t>
        </is>
      </c>
      <c r="C47" s="9" t="inlineStr">
        <is>
          <t>Closed Case Archive &amp; Record Register</t>
        </is>
      </c>
      <c r="D47" s="9" t="inlineStr">
        <is>
          <t>Archive closed and resolved disciplinary cases</t>
        </is>
      </c>
      <c r="E47" s="10" t="inlineStr">
        <is>
          <t>Annual</t>
        </is>
      </c>
    </row>
    <row r="48" ht="20" customHeight="1">
      <c r="B48" s="4" t="inlineStr">
        <is>
          <t>── PREVENTION &amp; AWARENESS ──</t>
        </is>
      </c>
    </row>
    <row r="49" ht="20" customHeight="1">
      <c r="B49" s="8" t="inlineStr">
        <is>
          <t>SDC-30</t>
        </is>
      </c>
      <c r="C49" s="9" t="inlineStr">
        <is>
          <t>Disciplinary Awareness Programme Register</t>
        </is>
      </c>
      <c r="D49" s="9" t="inlineStr">
        <is>
          <t>Log awareness events — code of conduct, ethics, anti-ragging</t>
        </is>
      </c>
      <c r="E49" s="10" t="inlineStr">
        <is>
          <t>Annual</t>
        </is>
      </c>
    </row>
    <row r="50" ht="20" customHeight="1">
      <c r="B50" s="5" t="inlineStr">
        <is>
          <t>SDC-31</t>
        </is>
      </c>
      <c r="C50" s="6" t="inlineStr">
        <is>
          <t>Peer Leadership &amp; Student Ethics Programme Reg.</t>
        </is>
      </c>
      <c r="D50" s="6" t="inlineStr">
        <is>
          <t>Track peer-led integrity and ethics programmes</t>
        </is>
      </c>
      <c r="E50" s="7" t="inlineStr">
        <is>
          <t>Annual</t>
        </is>
      </c>
    </row>
    <row r="51" ht="20" customHeight="1">
      <c r="B51" s="4" t="inlineStr">
        <is>
          <t>── MONITORING &amp; REPORTING ──</t>
        </is>
      </c>
    </row>
    <row r="52" ht="20" customHeight="1">
      <c r="B52" s="5" t="inlineStr">
        <is>
          <t>SDC-32</t>
        </is>
      </c>
      <c r="C52" s="6" t="inlineStr">
        <is>
          <t>SDC KPI Dashboard</t>
        </is>
      </c>
      <c r="D52" s="6" t="inlineStr">
        <is>
          <t>Track all disciplinary KPIs — cases, resolution, probation</t>
        </is>
      </c>
      <c r="E52" s="7" t="inlineStr">
        <is>
          <t>Quarterly / Annual</t>
        </is>
      </c>
    </row>
    <row r="53" ht="20" customHeight="1">
      <c r="B53" s="8" t="inlineStr">
        <is>
          <t>SDC-33</t>
        </is>
      </c>
      <c r="C53" s="9" t="inlineStr">
        <is>
          <t>SDC Annual Report Compilation Form</t>
        </is>
      </c>
      <c r="D53" s="9" t="inlineStr">
        <is>
          <t>Year-end disciplinary report for management &amp; NAAC</t>
        </is>
      </c>
      <c r="E53" s="10" t="inlineStr">
        <is>
          <t>Annual</t>
        </is>
      </c>
    </row>
    <row r="110">
      <c r="B110" s="11" t="inlineStr">
        <is>
          <t>• SDC = Student Disciplinary Committee — the body responsible for maintaining student discipline and institutional code of conduct.</t>
        </is>
      </c>
    </row>
    <row r="111">
      <c r="B111" s="11" t="inlineStr">
        <is>
          <t>• ALL disciplinary records are STRICTLY CONFIDENTIAL — access restricted to Principal, SDC members &amp; legal counsel.</t>
        </is>
      </c>
    </row>
    <row r="112">
      <c r="B112" s="11" t="inlineStr">
        <is>
          <t>• Principles of Natural Justice must be followed: student must be heard (audi alteram partem) before any penalty.</t>
        </is>
      </c>
    </row>
    <row r="113">
      <c r="B113" s="11" t="inlineStr">
        <is>
          <t>• Show-cause notice must be issued before any penalty; student must get reasonable time (min 48 hrs) to respond.</t>
        </is>
      </c>
    </row>
    <row r="114">
      <c r="B114" s="11" t="inlineStr">
        <is>
          <t>• SDC decisions must be communicated in writing to student and parent/guardian within 7 working days.</t>
        </is>
      </c>
    </row>
    <row r="115">
      <c r="B115" s="11" t="inlineStr">
        <is>
          <t>• Appeals must be filed within 15 working days of the decision; appeal committee to decide within 30 days.</t>
        </is>
      </c>
    </row>
    <row r="116">
      <c r="B116" s="11" t="inlineStr">
        <is>
          <t>• Ragging cases are ALSO handled by Anti-Ragging Cell (ARC) — coordinate with ARC; police referral for serious cases.</t>
        </is>
      </c>
    </row>
    <row r="117">
      <c r="B117" s="11" t="inlineStr">
        <is>
          <t>• Disciplinary records must be retained for minimum 5 years after case closure. Major cases — until student's academic life + 10 years.</t>
        </is>
      </c>
    </row>
    <row r="118">
      <c r="B118" s="11" t="inlineStr">
        <is>
          <t>• SDC data feeds into: NAAC AQAR Criterion V.3 (Student Activities), anti-ragging compliance, university records.</t>
        </is>
      </c>
    </row>
  </sheetData>
  <mergeCells count="22">
    <mergeCell ref="B118:E118"/>
    <mergeCell ref="B15:E15"/>
    <mergeCell ref="B5:E5"/>
    <mergeCell ref="B20:E20"/>
    <mergeCell ref="B51:E51"/>
    <mergeCell ref="B114:E114"/>
    <mergeCell ref="B45:E45"/>
    <mergeCell ref="B26:E26"/>
    <mergeCell ref="B110:E110"/>
    <mergeCell ref="B35:E35"/>
    <mergeCell ref="B113:E113"/>
    <mergeCell ref="B3:E3"/>
    <mergeCell ref="B115:E115"/>
    <mergeCell ref="B31:E31"/>
    <mergeCell ref="B48:E48"/>
    <mergeCell ref="B39:E39"/>
    <mergeCell ref="B11:E11"/>
    <mergeCell ref="B2:E2"/>
    <mergeCell ref="B117:E117"/>
    <mergeCell ref="B111:E111"/>
    <mergeCell ref="B116:E116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SDC-00: STUDENT DISCIPLINARY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SDC</t>
        </is>
      </c>
      <c r="F4" s="13" t="inlineStr">
        <is>
          <t>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SDC Leadership &amp; Final Authority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Vice-Principal / Dean Student Affairs</t>
        </is>
      </c>
      <c r="E6" s="8" t="inlineStr">
        <is>
          <t>Vice-Chairperson</t>
        </is>
      </c>
      <c r="F6" s="10" t="inlineStr">
        <is>
          <t>Hearings &amp; Student Welfare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Registrar / Sr. Administrative Officer</t>
        </is>
      </c>
      <c r="E7" s="14" t="inlineStr">
        <is>
          <t>Member Secretary</t>
        </is>
      </c>
      <c r="F7" s="16" t="inlineStr">
        <is>
          <t>SDC Records &amp; Administration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Professor (Engineering)</t>
        </is>
      </c>
      <c r="E8" s="8" t="inlineStr">
        <is>
          <t>Faculty Member – 1</t>
        </is>
      </c>
      <c r="F8" s="10" t="inlineStr">
        <is>
          <t>Academic Integrity Cases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Professor (Management / Science)</t>
        </is>
      </c>
      <c r="E9" s="14" t="inlineStr">
        <is>
          <t>Faculty Member – 2</t>
        </is>
      </c>
      <c r="F9" s="16" t="inlineStr">
        <is>
          <t>Student Behaviour Assessment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Faculty (Humanities / Law)</t>
        </is>
      </c>
      <c r="E10" s="8" t="inlineStr">
        <is>
          <t>Faculty Member – 3</t>
        </is>
      </c>
      <c r="F10" s="10" t="inlineStr">
        <is>
          <t>Ethical &amp; Legal Perspective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Chief Warden (Boys)</t>
        </is>
      </c>
      <c r="E11" s="14" t="inlineStr">
        <is>
          <t>Hostel Warden</t>
        </is>
      </c>
      <c r="F11" s="16" t="inlineStr">
        <is>
          <t>Hostel Discipline Cases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Chief Warden (Girls Hostel)</t>
        </is>
      </c>
      <c r="E12" s="8" t="inlineStr">
        <is>
          <t>Hostel Warden (Ladies)</t>
        </is>
      </c>
      <c r="F12" s="10" t="inlineStr">
        <is>
          <t>Women Student Cases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Affairs / Student Services Officer</t>
        </is>
      </c>
      <c r="E13" s="14" t="inlineStr">
        <is>
          <t>Student Welfare Officer</t>
        </is>
      </c>
      <c r="F13" s="16" t="inlineStr">
        <is>
          <t>Student Wellbeing &amp; Rehabilitation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Professional Counsellor / Psychologist</t>
        </is>
      </c>
      <c r="E14" s="8" t="inlineStr">
        <is>
          <t>Counsellor</t>
        </is>
      </c>
      <c r="F14" s="10" t="inlineStr">
        <is>
          <t>Behavioural Assessment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Advocate / Legal Consultant</t>
        </is>
      </c>
      <c r="E15" s="14" t="inlineStr">
        <is>
          <t>Legal Advisor (External)</t>
        </is>
      </c>
      <c r="F15" s="16" t="inlineStr">
        <is>
          <t>Legal Compliance &amp; Advice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Faculty In-charge — Anti-Ragging Cell</t>
        </is>
      </c>
      <c r="E16" s="8" t="inlineStr">
        <is>
          <t>Anti-Ragging Coordinator</t>
        </is>
      </c>
      <c r="F16" s="10" t="inlineStr">
        <is>
          <t>Ragging &amp; Harassment Cases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SC/ST Cell In-charge</t>
        </is>
      </c>
      <c r="E17" s="14" t="inlineStr">
        <is>
          <t>SC/ST Cell Coordinator</t>
        </is>
      </c>
      <c r="F17" s="16" t="inlineStr">
        <is>
          <t>Reserved Category Student Cases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Compliance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Campus Security Head</t>
        </is>
      </c>
      <c r="E19" s="14" t="inlineStr">
        <is>
          <t>Security Officer</t>
        </is>
      </c>
      <c r="F19" s="16" t="inlineStr">
        <is>
          <t>Incident Documentation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SDC meets on need basis (per incident). Minimum quorum: Chairperson + 3 members. Legal advisor to be present for serious cases (rustication / police referral).</t>
        </is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SDC: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18" customHeight="1">
      <c r="B11" s="19" t="inlineStr">
        <is>
          <t>STRICTLY CONFIDENTIAL — Disciplinary records are sensitive legal documents. Access restricted to authorised SDC members and institutional leadership only.</t>
        </is>
      </c>
    </row>
    <row r="12" ht="24" customHeight="1">
      <c r="B12" s="20" t="inlineStr">
        <is>
          <t>AGENDA ITEMS</t>
        </is>
      </c>
    </row>
    <row r="13" ht="24" customHeight="1">
      <c r="B13" s="13" t="inlineStr">
        <is>
          <t>Item
No.</t>
        </is>
      </c>
      <c r="C13" s="13" t="inlineStr">
        <is>
          <t>Agenda Item</t>
        </is>
      </c>
      <c r="D13" s="13" t="inlineStr">
        <is>
          <t>Lead</t>
        </is>
      </c>
      <c r="E13" s="13" t="inlineStr">
        <is>
          <t>Duration (Min)</t>
        </is>
      </c>
    </row>
    <row r="14" ht="24" customHeight="1">
      <c r="B14" s="14" t="n">
        <v>1</v>
      </c>
      <c r="C14" s="15" t="inlineStr">
        <is>
          <t>Confirmation of minutes of previous SDC meeting</t>
        </is>
      </c>
      <c r="D14" s="16" t="inlineStr"/>
      <c r="E14" s="16" t="inlineStr"/>
    </row>
    <row r="15" ht="24" customHeight="1">
      <c r="B15" s="8" t="n">
        <v>2</v>
      </c>
      <c r="C15" s="9" t="inlineStr">
        <is>
          <t>Action Taken Report on previous SDC resolutions</t>
        </is>
      </c>
      <c r="D15" s="10" t="inlineStr"/>
      <c r="E15" s="10" t="inlineStr"/>
    </row>
    <row r="16" ht="24" customHeight="1">
      <c r="B16" s="14" t="n">
        <v>3</v>
      </c>
      <c r="C16" s="15" t="inlineStr">
        <is>
          <t>New complaints — registration and inquiry constitution</t>
        </is>
      </c>
      <c r="D16" s="16" t="inlineStr"/>
      <c r="E16" s="16" t="inlineStr"/>
    </row>
    <row r="17" ht="24" customHeight="1">
      <c r="B17" s="8" t="n">
        <v>4</v>
      </c>
      <c r="C17" s="9" t="inlineStr">
        <is>
          <t>Ongoing cases — inquiry progress and findings</t>
        </is>
      </c>
      <c r="D17" s="10" t="inlineStr"/>
      <c r="E17" s="10" t="inlineStr"/>
    </row>
    <row r="18" ht="24" customHeight="1">
      <c r="B18" s="14" t="n">
        <v>5</v>
      </c>
      <c r="C18" s="15" t="inlineStr">
        <is>
          <t>Show-cause notices — status of student responses</t>
        </is>
      </c>
      <c r="D18" s="16" t="inlineStr"/>
      <c r="E18" s="16" t="inlineStr"/>
    </row>
    <row r="19" ht="24" customHeight="1">
      <c r="B19" s="8" t="n">
        <v>6</v>
      </c>
      <c r="C19" s="9" t="inlineStr">
        <is>
          <t>SDC decisions — pending cases for final ruling</t>
        </is>
      </c>
      <c r="D19" s="10" t="inlineStr"/>
      <c r="E19" s="10" t="inlineStr"/>
    </row>
    <row r="20" ht="24" customHeight="1">
      <c r="B20" s="14" t="n">
        <v>7</v>
      </c>
      <c r="C20" s="15" t="inlineStr">
        <is>
          <t>Penalties — communication and execution status</t>
        </is>
      </c>
      <c r="D20" s="16" t="inlineStr"/>
      <c r="E20" s="16" t="inlineStr"/>
    </row>
    <row r="21" ht="24" customHeight="1">
      <c r="B21" s="8" t="n">
        <v>8</v>
      </c>
      <c r="C21" s="9" t="inlineStr">
        <is>
          <t>Suspended students — status and reinstatement review</t>
        </is>
      </c>
      <c r="D21" s="10" t="inlineStr"/>
      <c r="E21" s="10" t="inlineStr"/>
    </row>
    <row r="22" ht="24" customHeight="1">
      <c r="B22" s="14" t="n">
        <v>9</v>
      </c>
      <c r="C22" s="15" t="inlineStr">
        <is>
          <t>Probation monitoring — behaviour compliance update</t>
        </is>
      </c>
      <c r="D22" s="16" t="inlineStr"/>
      <c r="E22" s="16" t="inlineStr"/>
    </row>
    <row r="23" ht="24" customHeight="1">
      <c r="B23" s="8" t="n">
        <v>10</v>
      </c>
      <c r="C23" s="9" t="inlineStr">
        <is>
          <t>Appeals — pending appeal hearings</t>
        </is>
      </c>
      <c r="D23" s="10" t="inlineStr"/>
      <c r="E23" s="10" t="inlineStr"/>
    </row>
    <row r="24" ht="24" customHeight="1">
      <c r="B24" s="14" t="n">
        <v>11</v>
      </c>
      <c r="C24" s="15" t="inlineStr">
        <is>
          <t>Ragging cases — coordinate with Anti-Ragging Cell</t>
        </is>
      </c>
      <c r="D24" s="16" t="inlineStr"/>
      <c r="E24" s="16" t="inlineStr"/>
    </row>
    <row r="25" ht="24" customHeight="1">
      <c r="B25" s="8" t="n">
        <v>12</v>
      </c>
      <c r="C25" s="9" t="inlineStr">
        <is>
          <t>Parent communication — pending and completed</t>
        </is>
      </c>
      <c r="D25" s="10" t="inlineStr"/>
      <c r="E25" s="10" t="inlineStr"/>
    </row>
    <row r="26" ht="24" customHeight="1">
      <c r="B26" s="14" t="n">
        <v>13</v>
      </c>
      <c r="C26" s="15" t="inlineStr">
        <is>
          <t>Counselling referrals — status from counsellor</t>
        </is>
      </c>
      <c r="D26" s="16" t="inlineStr"/>
      <c r="E26" s="16" t="inlineStr"/>
    </row>
    <row r="27" ht="24" customHeight="1">
      <c r="B27" s="8" t="n">
        <v>14</v>
      </c>
      <c r="C27" s="9" t="inlineStr">
        <is>
          <t>Awareness programme — upcoming schedule</t>
        </is>
      </c>
      <c r="D27" s="10" t="inlineStr"/>
      <c r="E27" s="10" t="inlineStr"/>
    </row>
    <row r="28" ht="24" customHeight="1">
      <c r="B28" s="14" t="n">
        <v>15</v>
      </c>
      <c r="C28" s="15" t="inlineStr">
        <is>
          <t>Closed cases — archival and records compliance</t>
        </is>
      </c>
      <c r="D28" s="16" t="inlineStr"/>
      <c r="E28" s="16" t="inlineStr"/>
    </row>
    <row r="29" ht="24" customHeight="1">
      <c r="B29" s="8" t="n">
        <v>16</v>
      </c>
      <c r="C29" s="9" t="inlineStr">
        <is>
          <t>Any Other Matter with Permission of Chairperson (AOMPC)</t>
        </is>
      </c>
      <c r="D29" s="10" t="inlineStr"/>
      <c r="E29" s="10" t="inlineStr"/>
    </row>
    <row r="30" ht="24" customHeight="1"/>
    <row r="31" ht="24" customHeight="1">
      <c r="B31" s="21" t="inlineStr">
        <is>
          <t>DISPATCH RECORD</t>
        </is>
      </c>
    </row>
    <row r="32" ht="24" customHeight="1">
      <c r="B32" s="22" t="inlineStr">
        <is>
          <t>Sl.</t>
        </is>
      </c>
      <c r="C32" s="22" t="inlineStr">
        <is>
          <t>Member Name &amp; Role</t>
        </is>
      </c>
      <c r="D32" s="22" t="inlineStr">
        <is>
          <t>Mode</t>
        </is>
      </c>
      <c r="E32" s="22" t="inlineStr">
        <is>
          <t>Date &amp; Acknowledgement</t>
        </is>
      </c>
    </row>
    <row r="33" ht="22" customHeight="1">
      <c r="B33" s="23" t="n"/>
      <c r="C33" s="23" t="n"/>
      <c r="D33" s="23" t="n"/>
      <c r="E33" s="23" t="n"/>
    </row>
    <row r="34" ht="22" customHeight="1">
      <c r="B34" s="10" t="n"/>
      <c r="C34" s="10" t="n"/>
      <c r="D34" s="10" t="n"/>
      <c r="E34" s="10" t="n"/>
    </row>
    <row r="35" ht="22" customHeight="1">
      <c r="B35" s="23" t="n"/>
      <c r="C35" s="23" t="n"/>
      <c r="D35" s="23" t="n"/>
      <c r="E35" s="23" t="n"/>
    </row>
    <row r="36" ht="22" customHeight="1">
      <c r="B36" s="10" t="n"/>
      <c r="C36" s="10" t="n"/>
      <c r="D36" s="10" t="n"/>
      <c r="E36" s="10" t="n"/>
    </row>
  </sheetData>
  <mergeCells count="12">
    <mergeCell ref="B31:E31"/>
    <mergeCell ref="C5:E5"/>
    <mergeCell ref="B12:E12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SDC: ATTENDANCE &amp; QUORUM REGISTER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Meeting No.: _______  Case Ref.: _______  Date: _______  Total Members: _______  Quorum (50%): _______</t>
        </is>
      </c>
    </row>
    <row r="5" ht="22" customHeight="1">
      <c r="B5" s="13" t="inlineStr">
        <is>
          <t>Sl.</t>
        </is>
      </c>
      <c r="C5" s="13" t="inlineStr">
        <is>
          <t>Name</t>
        </is>
      </c>
      <c r="D5" s="13" t="inlineStr">
        <is>
          <t>Role</t>
        </is>
      </c>
      <c r="E5" s="13" t="inlineStr">
        <is>
          <t>Mode
(Physical/VC)</t>
        </is>
      </c>
      <c r="F5" s="13" t="inlineStr">
        <is>
          <t>Present
(P/A)</t>
        </is>
      </c>
      <c r="G5" s="13" t="inlineStr">
        <is>
          <t>Proxy
(Y/N)</t>
        </is>
      </c>
      <c r="H5" s="13" t="inlineStr">
        <is>
          <t>Proxy Holder</t>
        </is>
      </c>
      <c r="I5" s="13" t="inlineStr">
        <is>
          <t>Signature</t>
        </is>
      </c>
    </row>
    <row r="6" ht="22" customHeight="1">
      <c r="B6" s="14" t="n">
        <v>1</v>
      </c>
      <c r="C6" s="15" t="inlineStr"/>
      <c r="D6" s="15" t="inlineStr"/>
      <c r="E6" s="16" t="inlineStr">
        <is>
          <t>Physical</t>
        </is>
      </c>
      <c r="F6" s="16" t="inlineStr"/>
      <c r="G6" s="16" t="inlineStr">
        <is>
          <t>N</t>
        </is>
      </c>
      <c r="H6" s="16" t="inlineStr"/>
      <c r="I6" s="16" t="inlineStr"/>
    </row>
    <row r="7" ht="22" customHeight="1">
      <c r="B7" s="8" t="n">
        <v>2</v>
      </c>
      <c r="C7" s="9" t="inlineStr"/>
      <c r="D7" s="9" t="inlineStr"/>
      <c r="E7" s="10" t="inlineStr">
        <is>
          <t>Physical</t>
        </is>
      </c>
      <c r="F7" s="10" t="inlineStr"/>
      <c r="G7" s="10" t="inlineStr">
        <is>
          <t>N</t>
        </is>
      </c>
      <c r="H7" s="10" t="inlineStr"/>
      <c r="I7" s="10" t="inlineStr"/>
    </row>
    <row r="8" ht="22" customHeight="1">
      <c r="B8" s="14" t="n">
        <v>3</v>
      </c>
      <c r="C8" s="15" t="inlineStr"/>
      <c r="D8" s="15" t="inlineStr"/>
      <c r="E8" s="16" t="inlineStr">
        <is>
          <t>Physical</t>
        </is>
      </c>
      <c r="F8" s="16" t="inlineStr"/>
      <c r="G8" s="16" t="inlineStr">
        <is>
          <t>N</t>
        </is>
      </c>
      <c r="H8" s="16" t="inlineStr"/>
      <c r="I8" s="16" t="inlineStr"/>
    </row>
    <row r="9" ht="22" customHeight="1">
      <c r="B9" s="8" t="n">
        <v>4</v>
      </c>
      <c r="C9" s="9" t="inlineStr"/>
      <c r="D9" s="9" t="inlineStr"/>
      <c r="E9" s="10" t="inlineStr">
        <is>
          <t>Physical</t>
        </is>
      </c>
      <c r="F9" s="10" t="inlineStr"/>
      <c r="G9" s="10" t="inlineStr">
        <is>
          <t>N</t>
        </is>
      </c>
      <c r="H9" s="10" t="inlineStr"/>
      <c r="I9" s="10" t="inlineStr"/>
    </row>
    <row r="10" ht="22" customHeight="1">
      <c r="B10" s="14" t="n">
        <v>5</v>
      </c>
      <c r="C10" s="15" t="inlineStr"/>
      <c r="D10" s="15" t="inlineStr"/>
      <c r="E10" s="16" t="inlineStr">
        <is>
          <t>Physical</t>
        </is>
      </c>
      <c r="F10" s="16" t="inlineStr"/>
      <c r="G10" s="16" t="inlineStr">
        <is>
          <t>N</t>
        </is>
      </c>
      <c r="H10" s="16" t="inlineStr"/>
      <c r="I10" s="16" t="inlineStr"/>
    </row>
    <row r="11" ht="22" customHeight="1">
      <c r="B11" s="8" t="n">
        <v>6</v>
      </c>
      <c r="C11" s="9" t="inlineStr"/>
      <c r="D11" s="9" t="inlineStr"/>
      <c r="E11" s="10" t="inlineStr">
        <is>
          <t>Physical</t>
        </is>
      </c>
      <c r="F11" s="10" t="inlineStr"/>
      <c r="G11" s="10" t="inlineStr">
        <is>
          <t>N</t>
        </is>
      </c>
      <c r="H11" s="10" t="inlineStr"/>
      <c r="I11" s="10" t="inlineStr"/>
    </row>
    <row r="12" ht="22" customHeight="1">
      <c r="B12" s="14" t="n">
        <v>7</v>
      </c>
      <c r="C12" s="15" t="inlineStr"/>
      <c r="D12" s="15" t="inlineStr"/>
      <c r="E12" s="16" t="inlineStr">
        <is>
          <t>Physical</t>
        </is>
      </c>
      <c r="F12" s="16" t="inlineStr"/>
      <c r="G12" s="16" t="inlineStr">
        <is>
          <t>N</t>
        </is>
      </c>
      <c r="H12" s="16" t="inlineStr"/>
      <c r="I12" s="16" t="inlineStr"/>
    </row>
    <row r="13" ht="22" customHeight="1">
      <c r="B13" s="8" t="n">
        <v>8</v>
      </c>
      <c r="C13" s="9" t="inlineStr"/>
      <c r="D13" s="9" t="inlineStr"/>
      <c r="E13" s="10" t="inlineStr">
        <is>
          <t>Physical</t>
        </is>
      </c>
      <c r="F13" s="10" t="inlineStr"/>
      <c r="G13" s="10" t="inlineStr">
        <is>
          <t>N</t>
        </is>
      </c>
      <c r="H13" s="10" t="inlineStr"/>
      <c r="I13" s="10" t="inlineStr"/>
    </row>
    <row r="14" ht="22" customHeight="1">
      <c r="B14" s="14" t="n">
        <v>9</v>
      </c>
      <c r="C14" s="15" t="inlineStr"/>
      <c r="D14" s="15" t="inlineStr"/>
      <c r="E14" s="16" t="inlineStr">
        <is>
          <t>Physical</t>
        </is>
      </c>
      <c r="F14" s="16" t="inlineStr"/>
      <c r="G14" s="16" t="inlineStr">
        <is>
          <t>N</t>
        </is>
      </c>
      <c r="H14" s="16" t="inlineStr"/>
      <c r="I14" s="16" t="inlineStr"/>
    </row>
    <row r="15" ht="22" customHeight="1">
      <c r="B15" s="8" t="n">
        <v>10</v>
      </c>
      <c r="C15" s="9" t="inlineStr"/>
      <c r="D15" s="9" t="inlineStr"/>
      <c r="E15" s="10" t="inlineStr">
        <is>
          <t>Physical</t>
        </is>
      </c>
      <c r="F15" s="10" t="inlineStr"/>
      <c r="G15" s="10" t="inlineStr">
        <is>
          <t>N</t>
        </is>
      </c>
      <c r="H15" s="10" t="inlineStr"/>
      <c r="I15" s="10" t="inlineStr"/>
    </row>
    <row r="16" ht="22" customHeight="1">
      <c r="B16" s="14" t="n">
        <v>11</v>
      </c>
      <c r="C16" s="15" t="inlineStr"/>
      <c r="D16" s="15" t="inlineStr"/>
      <c r="E16" s="16" t="inlineStr">
        <is>
          <t>Physical</t>
        </is>
      </c>
      <c r="F16" s="16" t="inlineStr"/>
      <c r="G16" s="16" t="inlineStr">
        <is>
          <t>N</t>
        </is>
      </c>
      <c r="H16" s="16" t="inlineStr"/>
      <c r="I16" s="16" t="inlineStr"/>
    </row>
    <row r="17" ht="22" customHeight="1">
      <c r="B17" s="8" t="n">
        <v>12</v>
      </c>
      <c r="C17" s="9" t="inlineStr"/>
      <c r="D17" s="9" t="inlineStr"/>
      <c r="E17" s="10" t="inlineStr">
        <is>
          <t>Physical</t>
        </is>
      </c>
      <c r="F17" s="10" t="inlineStr"/>
      <c r="G17" s="10" t="inlineStr">
        <is>
          <t>N</t>
        </is>
      </c>
      <c r="H17" s="10" t="inlineStr"/>
      <c r="I17" s="10" t="inlineStr"/>
    </row>
    <row r="18" ht="22" customHeight="1">
      <c r="B18" s="14" t="n">
        <v>13</v>
      </c>
      <c r="C18" s="15" t="inlineStr"/>
      <c r="D18" s="15" t="inlineStr"/>
      <c r="E18" s="16" t="inlineStr">
        <is>
          <t>Physical</t>
        </is>
      </c>
      <c r="F18" s="16" t="inlineStr"/>
      <c r="G18" s="16" t="inlineStr">
        <is>
          <t>N</t>
        </is>
      </c>
      <c r="H18" s="16" t="inlineStr"/>
      <c r="I18" s="16" t="inlineStr"/>
    </row>
    <row r="19" ht="22" customHeight="1">
      <c r="B19" s="8" t="n">
        <v>14</v>
      </c>
      <c r="C19" s="9" t="inlineStr"/>
      <c r="D19" s="9" t="inlineStr"/>
      <c r="E19" s="10" t="inlineStr">
        <is>
          <t>Physical</t>
        </is>
      </c>
      <c r="F19" s="10" t="inlineStr"/>
      <c r="G19" s="10" t="inlineStr">
        <is>
          <t>N</t>
        </is>
      </c>
      <c r="H19" s="10" t="inlineStr"/>
      <c r="I19" s="10" t="inlineStr"/>
    </row>
    <row r="20" ht="22" customHeight="1">
      <c r="B20" s="14" t="n">
        <v>15</v>
      </c>
      <c r="C20" s="15" t="inlineStr"/>
      <c r="D20" s="15" t="inlineStr"/>
      <c r="E20" s="16" t="inlineStr">
        <is>
          <t>Physical</t>
        </is>
      </c>
      <c r="F20" s="16" t="inlineStr"/>
      <c r="G20" s="16" t="inlineStr">
        <is>
          <t>N</t>
        </is>
      </c>
      <c r="H20" s="16" t="inlineStr"/>
      <c r="I20" s="16" t="inlineStr"/>
    </row>
    <row r="21" ht="22" customHeight="1">
      <c r="B21" s="8" t="n">
        <v>16</v>
      </c>
      <c r="C21" s="9" t="inlineStr"/>
      <c r="D21" s="9" t="inlineStr"/>
      <c r="E21" s="10" t="inlineStr">
        <is>
          <t>Physical</t>
        </is>
      </c>
      <c r="F21" s="10" t="inlineStr"/>
      <c r="G21" s="10" t="inlineStr">
        <is>
          <t>N</t>
        </is>
      </c>
      <c r="H21" s="10" t="inlineStr"/>
      <c r="I21" s="10" t="inlineStr"/>
    </row>
    <row r="22" ht="22" customHeight="1">
      <c r="B22" s="14" t="n">
        <v>17</v>
      </c>
      <c r="C22" s="15" t="inlineStr"/>
      <c r="D22" s="15" t="inlineStr"/>
      <c r="E22" s="16" t="inlineStr">
        <is>
          <t>Physical</t>
        </is>
      </c>
      <c r="F22" s="16" t="inlineStr"/>
      <c r="G22" s="16" t="inlineStr">
        <is>
          <t>N</t>
        </is>
      </c>
      <c r="H22" s="16" t="inlineStr"/>
      <c r="I22" s="16" t="inlineStr"/>
    </row>
    <row r="23" ht="22" customHeight="1"/>
    <row r="24" ht="24" customHeight="1">
      <c r="B24" s="21" t="inlineStr">
        <is>
          <t>QUORUM VERIFICATION</t>
        </is>
      </c>
    </row>
    <row r="25" ht="22" customHeight="1">
      <c r="B25" s="24" t="inlineStr">
        <is>
          <t>Total SDC Members</t>
        </is>
      </c>
      <c r="G25" s="25" t="inlineStr"/>
    </row>
    <row r="26" ht="22" customHeight="1">
      <c r="B26" s="26" t="inlineStr">
        <is>
          <t>Present</t>
        </is>
      </c>
      <c r="G26" s="25">
        <f>COUNTIF(F6:F22,"P")</f>
        <v/>
      </c>
    </row>
    <row r="27" ht="22" customHeight="1">
      <c r="B27" s="24" t="inlineStr">
        <is>
          <t>Quorum Required (Chairperson + 3 Members)</t>
        </is>
      </c>
      <c r="G27" s="25" t="inlineStr">
        <is>
          <t>4</t>
        </is>
      </c>
    </row>
    <row r="28" ht="22" customHeight="1">
      <c r="B28" s="26" t="inlineStr">
        <is>
          <t>Quorum Achieved?</t>
        </is>
      </c>
      <c r="G28" s="27">
        <f>IFERROR(IF(C27&gt;=C28,"YES — Proceedings Valid","NO — Cannot Proceed"),"")</f>
        <v/>
      </c>
    </row>
    <row r="29" ht="22" customHeight="1"/>
  </sheetData>
  <mergeCells count="12">
    <mergeCell ref="G28:I28"/>
    <mergeCell ref="G27:I27"/>
    <mergeCell ref="B24:I24"/>
    <mergeCell ref="B2:I2"/>
    <mergeCell ref="B25:F25"/>
    <mergeCell ref="B28:F28"/>
    <mergeCell ref="B3:I3"/>
    <mergeCell ref="G26:I26"/>
    <mergeCell ref="B26:F26"/>
    <mergeCell ref="B27:F27"/>
    <mergeCell ref="B4:I4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SDC: MEETING MINUTES &amp; RESOLUTIONS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Meeting No.: _______  Date: _______  Venue: _______  Chairperson: ___________________</t>
        </is>
      </c>
    </row>
    <row r="5" ht="24" customHeight="1">
      <c r="B5" s="28" t="inlineStr">
        <is>
          <t>DISCUSSION &amp; RESOLUTIONS</t>
        </is>
      </c>
    </row>
    <row r="6" ht="30" customHeight="1">
      <c r="B6" s="29" t="inlineStr">
        <is>
          <t>Resolution
No.</t>
        </is>
      </c>
      <c r="C6" s="29" t="inlineStr">
        <is>
          <t>Discussion &amp; Resolution</t>
        </is>
      </c>
      <c r="D6" s="29" t="inlineStr">
        <is>
          <t>Responsible</t>
        </is>
      </c>
      <c r="E6" s="29" t="inlineStr">
        <is>
          <t>Voting</t>
        </is>
      </c>
      <c r="F6" s="29" t="inlineStr">
        <is>
          <t>Target
Date</t>
        </is>
      </c>
      <c r="G6" s="29" t="inlineStr">
        <is>
          <t>Status</t>
        </is>
      </c>
    </row>
    <row r="7" ht="30" customHeight="1">
      <c r="B7" s="14" t="inlineStr">
        <is>
          <t>SDC/RES/001</t>
        </is>
      </c>
      <c r="C7" s="15" t="inlineStr"/>
      <c r="D7" s="16" t="inlineStr"/>
      <c r="E7" s="16" t="inlineStr"/>
      <c r="F7" s="16" t="inlineStr"/>
      <c r="G7" s="16" t="inlineStr">
        <is>
          <t>Pending</t>
        </is>
      </c>
    </row>
    <row r="8" ht="30" customHeight="1">
      <c r="B8" s="8" t="inlineStr">
        <is>
          <t>SDC/RES/002</t>
        </is>
      </c>
      <c r="C8" s="9" t="inlineStr"/>
      <c r="D8" s="10" t="inlineStr"/>
      <c r="E8" s="10" t="inlineStr"/>
      <c r="F8" s="10" t="inlineStr"/>
      <c r="G8" s="10" t="inlineStr">
        <is>
          <t>Pending</t>
        </is>
      </c>
    </row>
    <row r="9" ht="30" customHeight="1">
      <c r="B9" s="14" t="inlineStr">
        <is>
          <t>SDC/RES/003</t>
        </is>
      </c>
      <c r="C9" s="15" t="inlineStr"/>
      <c r="D9" s="16" t="inlineStr"/>
      <c r="E9" s="16" t="inlineStr"/>
      <c r="F9" s="16" t="inlineStr"/>
      <c r="G9" s="16" t="inlineStr">
        <is>
          <t>Pending</t>
        </is>
      </c>
    </row>
    <row r="10" ht="30" customHeight="1">
      <c r="B10" s="8" t="inlineStr">
        <is>
          <t>SDC/RES/004</t>
        </is>
      </c>
      <c r="C10" s="9" t="inlineStr"/>
      <c r="D10" s="10" t="inlineStr"/>
      <c r="E10" s="10" t="inlineStr"/>
      <c r="F10" s="10" t="inlineStr"/>
      <c r="G10" s="10" t="inlineStr">
        <is>
          <t>Pending</t>
        </is>
      </c>
    </row>
    <row r="11" ht="30" customHeight="1">
      <c r="B11" s="14" t="inlineStr">
        <is>
          <t>SDC/RES/005</t>
        </is>
      </c>
      <c r="C11" s="15" t="inlineStr"/>
      <c r="D11" s="16" t="inlineStr"/>
      <c r="E11" s="16" t="inlineStr"/>
      <c r="F11" s="16" t="inlineStr"/>
      <c r="G11" s="16" t="inlineStr">
        <is>
          <t>Pending</t>
        </is>
      </c>
    </row>
    <row r="12" ht="30" customHeight="1">
      <c r="B12" s="8" t="inlineStr">
        <is>
          <t>SDC/RES/006</t>
        </is>
      </c>
      <c r="C12" s="9" t="inlineStr"/>
      <c r="D12" s="10" t="inlineStr"/>
      <c r="E12" s="10" t="inlineStr"/>
      <c r="F12" s="10" t="inlineStr"/>
      <c r="G12" s="10" t="inlineStr">
        <is>
          <t>Pending</t>
        </is>
      </c>
    </row>
    <row r="13" ht="30" customHeight="1">
      <c r="B13" s="14" t="inlineStr">
        <is>
          <t>SDC/RES/007</t>
        </is>
      </c>
      <c r="C13" s="15" t="inlineStr"/>
      <c r="D13" s="16" t="inlineStr"/>
      <c r="E13" s="16" t="inlineStr"/>
      <c r="F13" s="16" t="inlineStr"/>
      <c r="G13" s="16" t="inlineStr">
        <is>
          <t>Pending</t>
        </is>
      </c>
    </row>
    <row r="14" ht="30" customHeight="1">
      <c r="B14" s="8" t="inlineStr">
        <is>
          <t>SDC/RES/008</t>
        </is>
      </c>
      <c r="C14" s="9" t="inlineStr"/>
      <c r="D14" s="10" t="inlineStr"/>
      <c r="E14" s="10" t="inlineStr"/>
      <c r="F14" s="10" t="inlineStr"/>
      <c r="G14" s="10" t="inlineStr">
        <is>
          <t>Pending</t>
        </is>
      </c>
    </row>
    <row r="15" ht="30" customHeight="1">
      <c r="B15" s="14" t="inlineStr">
        <is>
          <t>SDC/RES/009</t>
        </is>
      </c>
      <c r="C15" s="15" t="inlineStr"/>
      <c r="D15" s="16" t="inlineStr"/>
      <c r="E15" s="16" t="inlineStr"/>
      <c r="F15" s="16" t="inlineStr"/>
      <c r="G15" s="16" t="inlineStr">
        <is>
          <t>Pending</t>
        </is>
      </c>
    </row>
    <row r="16" ht="30" customHeight="1">
      <c r="B16" s="8" t="inlineStr">
        <is>
          <t>SDC/RES/010</t>
        </is>
      </c>
      <c r="C16" s="9" t="inlineStr"/>
      <c r="D16" s="10" t="inlineStr"/>
      <c r="E16" s="10" t="inlineStr"/>
      <c r="F16" s="10" t="inlineStr"/>
      <c r="G16" s="10" t="inlineStr">
        <is>
          <t>Pending</t>
        </is>
      </c>
    </row>
    <row r="17" ht="30" customHeight="1">
      <c r="B17" s="14" t="inlineStr">
        <is>
          <t>SDC/RES/011</t>
        </is>
      </c>
      <c r="C17" s="15" t="inlineStr"/>
      <c r="D17" s="16" t="inlineStr"/>
      <c r="E17" s="16" t="inlineStr"/>
      <c r="F17" s="16" t="inlineStr"/>
      <c r="G17" s="16" t="inlineStr">
        <is>
          <t>Pending</t>
        </is>
      </c>
    </row>
    <row r="18" ht="30" customHeight="1">
      <c r="B18" s="8" t="inlineStr">
        <is>
          <t>SDC/RES/012</t>
        </is>
      </c>
      <c r="C18" s="9" t="inlineStr"/>
      <c r="D18" s="10" t="inlineStr"/>
      <c r="E18" s="10" t="inlineStr"/>
      <c r="F18" s="10" t="inlineStr"/>
      <c r="G18" s="10" t="inlineStr">
        <is>
          <t>Pending</t>
        </is>
      </c>
    </row>
    <row r="19" ht="30" customHeight="1"/>
    <row r="20" ht="30" customHeight="1">
      <c r="B20" s="30" t="inlineStr">
        <is>
          <t>Next Meeting: _______    Chairperson: ___________________    Member Secretary: ___________________</t>
        </is>
      </c>
    </row>
    <row r="21" ht="30" customHeight="1"/>
    <row r="22" ht="30" customHeight="1"/>
    <row r="23" ht="30" customHeight="1"/>
    <row r="24" ht="30" customHeight="1"/>
  </sheetData>
  <mergeCells count="5">
    <mergeCell ref="B3:G3"/>
    <mergeCell ref="B2:G2"/>
    <mergeCell ref="B20:G20"/>
    <mergeCell ref="B5:G5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SDC: ACTION TAKEN REPORT (ATR)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Current Meeting No.: _______  Date: _______  Previous Meeting Ref.: _______</t>
        </is>
      </c>
    </row>
    <row r="5" ht="26" customHeight="1">
      <c r="B5" s="31" t="inlineStr">
        <is>
          <t>Resolution
No.</t>
        </is>
      </c>
      <c r="C5" s="31" t="inlineStr">
        <is>
          <t>Resolution / Decision</t>
        </is>
      </c>
      <c r="D5" s="31" t="inlineStr">
        <is>
          <t>Action Required</t>
        </is>
      </c>
      <c r="E5" s="31" t="inlineStr">
        <is>
          <t>Responsible</t>
        </is>
      </c>
      <c r="F5" s="31" t="inlineStr">
        <is>
          <t>Target
Date</t>
        </is>
      </c>
      <c r="G5" s="31" t="inlineStr">
        <is>
          <t>Completion
Date</t>
        </is>
      </c>
      <c r="H5" s="31" t="inlineStr">
        <is>
          <t>Status</t>
        </is>
      </c>
    </row>
    <row r="6" ht="26" customHeight="1">
      <c r="B6" s="32" t="inlineStr">
        <is>
          <t>SDC/RES/001</t>
        </is>
      </c>
      <c r="C6" s="33" t="inlineStr"/>
      <c r="D6" s="33" t="inlineStr"/>
      <c r="E6" s="34" t="inlineStr"/>
      <c r="F6" s="34" t="inlineStr"/>
      <c r="G6" s="34" t="inlineStr"/>
      <c r="H6" s="33" t="inlineStr">
        <is>
          <t>In Progress</t>
        </is>
      </c>
    </row>
    <row r="7" ht="26" customHeight="1">
      <c r="B7" s="8" t="inlineStr">
        <is>
          <t>SDC/RES/002</t>
        </is>
      </c>
      <c r="C7" s="9" t="inlineStr"/>
      <c r="D7" s="9" t="inlineStr"/>
      <c r="E7" s="10" t="inlineStr"/>
      <c r="F7" s="10" t="inlineStr"/>
      <c r="G7" s="10" t="inlineStr"/>
      <c r="H7" s="9" t="inlineStr">
        <is>
          <t>In Progress</t>
        </is>
      </c>
    </row>
    <row r="8" ht="26" customHeight="1">
      <c r="B8" s="32" t="inlineStr">
        <is>
          <t>SDC/RES/003</t>
        </is>
      </c>
      <c r="C8" s="33" t="inlineStr"/>
      <c r="D8" s="33" t="inlineStr"/>
      <c r="E8" s="34" t="inlineStr"/>
      <c r="F8" s="34" t="inlineStr"/>
      <c r="G8" s="34" t="inlineStr"/>
      <c r="H8" s="33" t="inlineStr">
        <is>
          <t>In Progress</t>
        </is>
      </c>
    </row>
    <row r="9" ht="26" customHeight="1">
      <c r="B9" s="8" t="inlineStr">
        <is>
          <t>SDC/RES/004</t>
        </is>
      </c>
      <c r="C9" s="9" t="inlineStr"/>
      <c r="D9" s="9" t="inlineStr"/>
      <c r="E9" s="10" t="inlineStr"/>
      <c r="F9" s="10" t="inlineStr"/>
      <c r="G9" s="10" t="inlineStr"/>
      <c r="H9" s="9" t="inlineStr">
        <is>
          <t>In Progress</t>
        </is>
      </c>
    </row>
    <row r="10" ht="26" customHeight="1">
      <c r="B10" s="32" t="inlineStr">
        <is>
          <t>SDC/RES/005</t>
        </is>
      </c>
      <c r="C10" s="33" t="inlineStr"/>
      <c r="D10" s="33" t="inlineStr"/>
      <c r="E10" s="34" t="inlineStr"/>
      <c r="F10" s="34" t="inlineStr"/>
      <c r="G10" s="34" t="inlineStr"/>
      <c r="H10" s="33" t="inlineStr">
        <is>
          <t>In Progress</t>
        </is>
      </c>
    </row>
    <row r="11" ht="26" customHeight="1">
      <c r="B11" s="8" t="inlineStr">
        <is>
          <t>SDC/RES/006</t>
        </is>
      </c>
      <c r="C11" s="9" t="inlineStr"/>
      <c r="D11" s="9" t="inlineStr"/>
      <c r="E11" s="10" t="inlineStr"/>
      <c r="F11" s="10" t="inlineStr"/>
      <c r="G11" s="10" t="inlineStr"/>
      <c r="H11" s="9" t="inlineStr">
        <is>
          <t>In Progress</t>
        </is>
      </c>
    </row>
    <row r="12" ht="26" customHeight="1">
      <c r="B12" s="32" t="inlineStr">
        <is>
          <t>SDC/RES/007</t>
        </is>
      </c>
      <c r="C12" s="33" t="inlineStr"/>
      <c r="D12" s="33" t="inlineStr"/>
      <c r="E12" s="34" t="inlineStr"/>
      <c r="F12" s="34" t="inlineStr"/>
      <c r="G12" s="34" t="inlineStr"/>
      <c r="H12" s="33" t="inlineStr">
        <is>
          <t>In Progress</t>
        </is>
      </c>
    </row>
    <row r="13" ht="26" customHeight="1">
      <c r="B13" s="8" t="inlineStr">
        <is>
          <t>SDC/RES/008</t>
        </is>
      </c>
      <c r="C13" s="9" t="inlineStr"/>
      <c r="D13" s="9" t="inlineStr"/>
      <c r="E13" s="10" t="inlineStr"/>
      <c r="F13" s="10" t="inlineStr"/>
      <c r="G13" s="10" t="inlineStr"/>
      <c r="H13" s="9" t="inlineStr">
        <is>
          <t>In Progress</t>
        </is>
      </c>
    </row>
    <row r="14" ht="26" customHeight="1">
      <c r="B14" s="32" t="inlineStr">
        <is>
          <t>SDC/RES/009</t>
        </is>
      </c>
      <c r="C14" s="33" t="inlineStr"/>
      <c r="D14" s="33" t="inlineStr"/>
      <c r="E14" s="34" t="inlineStr"/>
      <c r="F14" s="34" t="inlineStr"/>
      <c r="G14" s="34" t="inlineStr"/>
      <c r="H14" s="33" t="inlineStr">
        <is>
          <t>In Progress</t>
        </is>
      </c>
    </row>
    <row r="15" ht="26" customHeight="1">
      <c r="B15" s="8" t="inlineStr">
        <is>
          <t>SDC/RES/010</t>
        </is>
      </c>
      <c r="C15" s="9" t="inlineStr"/>
      <c r="D15" s="9" t="inlineStr"/>
      <c r="E15" s="10" t="inlineStr"/>
      <c r="F15" s="10" t="inlineStr"/>
      <c r="G15" s="10" t="inlineStr"/>
      <c r="H15" s="9" t="inlineStr">
        <is>
          <t>In Progress</t>
        </is>
      </c>
    </row>
    <row r="16" ht="26" customHeight="1">
      <c r="B16" s="32" t="inlineStr">
        <is>
          <t>SDC/RES/011</t>
        </is>
      </c>
      <c r="C16" s="33" t="inlineStr"/>
      <c r="D16" s="33" t="inlineStr"/>
      <c r="E16" s="34" t="inlineStr"/>
      <c r="F16" s="34" t="inlineStr"/>
      <c r="G16" s="34" t="inlineStr"/>
      <c r="H16" s="33" t="inlineStr">
        <is>
          <t>In Progress</t>
        </is>
      </c>
    </row>
    <row r="17" ht="26" customHeight="1">
      <c r="B17" s="8" t="inlineStr">
        <is>
          <t>SDC/RES/012</t>
        </is>
      </c>
      <c r="C17" s="9" t="inlineStr"/>
      <c r="D17" s="9" t="inlineStr"/>
      <c r="E17" s="10" t="inlineStr"/>
      <c r="F17" s="10" t="inlineStr"/>
      <c r="G17" s="10" t="inlineStr"/>
      <c r="H17" s="9" t="inlineStr">
        <is>
          <t>In Progress</t>
        </is>
      </c>
    </row>
    <row r="18" ht="26" customHeight="1">
      <c r="B18" s="32" t="inlineStr">
        <is>
          <t>SDC/RES/013</t>
        </is>
      </c>
      <c r="C18" s="33" t="inlineStr"/>
      <c r="D18" s="33" t="inlineStr"/>
      <c r="E18" s="34" t="inlineStr"/>
      <c r="F18" s="34" t="inlineStr"/>
      <c r="G18" s="34" t="inlineStr"/>
      <c r="H18" s="33" t="inlineStr">
        <is>
          <t>In Progress</t>
        </is>
      </c>
    </row>
    <row r="19" ht="26" customHeight="1">
      <c r="B19" s="8" t="inlineStr">
        <is>
          <t>SDC/RES/014</t>
        </is>
      </c>
      <c r="C19" s="9" t="inlineStr"/>
      <c r="D19" s="9" t="inlineStr"/>
      <c r="E19" s="10" t="inlineStr"/>
      <c r="F19" s="10" t="inlineStr"/>
      <c r="G19" s="10" t="inlineStr"/>
      <c r="H19" s="9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37">
        <f>COUNTA(B6:B19)</f>
        <v/>
      </c>
    </row>
    <row r="23" ht="26" customHeight="1">
      <c r="B23" s="26" t="inlineStr">
        <is>
          <t>Implemented</t>
        </is>
      </c>
      <c r="F23" s="38">
        <f>COUNTIF(H6:H19,"Implemented")</f>
        <v/>
      </c>
    </row>
    <row r="24" ht="26" customHeight="1">
      <c r="B24" s="36" t="inlineStr">
        <is>
          <t>In Progress</t>
        </is>
      </c>
      <c r="F24" s="37">
        <f>COUNTIF(H6:H19,"In Progress")</f>
        <v/>
      </c>
    </row>
    <row r="25" ht="26" customHeight="1">
      <c r="B25" s="26" t="inlineStr">
        <is>
          <t>Pending</t>
        </is>
      </c>
      <c r="F25" s="38">
        <f>COUNTIF(H6:H19,"Pending")</f>
        <v/>
      </c>
    </row>
    <row r="26" ht="26" customHeight="1">
      <c r="B26" s="36" t="inlineStr">
        <is>
          <t>Deferred</t>
        </is>
      </c>
      <c r="F26" s="37">
        <f>COUNTIF(H6:H19,"Deferred")</f>
        <v/>
      </c>
    </row>
    <row r="27" ht="26" customHeight="1">
      <c r="B27" s="26" t="inlineStr">
        <is>
          <t>Implementation Rate (%)</t>
        </is>
      </c>
      <c r="F27" s="38">
        <f>IFERROR(ROUND(C23/C22*100,1),"")</f>
        <v/>
      </c>
    </row>
  </sheetData>
  <mergeCells count="16">
    <mergeCell ref="F23:H23"/>
    <mergeCell ref="B23:E23"/>
    <mergeCell ref="B26:E26"/>
    <mergeCell ref="B27:E27"/>
    <mergeCell ref="F22:H22"/>
    <mergeCell ref="B21:H21"/>
    <mergeCell ref="B4:H4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SDC-02: STUDENT DISCIPLINARY OFFENCE CLASSIFICATION REGISTER</t>
        </is>
      </c>
    </row>
    <row r="3" ht="25" customHeight="1">
      <c r="B3" s="2" t="inlineStr">
        <is>
          <t>Approved by: Principal  Ref. Order No.: _______  Effective from: _______  Version: _______</t>
        </is>
      </c>
    </row>
    <row r="4" ht="24" customHeight="1">
      <c r="B4" s="28" t="inlineStr">
        <is>
          <t>CATEGORY A — MINOR OFFENCES (Warning / Fine)</t>
        </is>
      </c>
    </row>
    <row r="5" ht="24" customHeight="1">
      <c r="B5" s="29" t="inlineStr">
        <is>
          <t>Sl.</t>
        </is>
      </c>
      <c r="C5" s="29" t="inlineStr">
        <is>
          <t>Offence Description</t>
        </is>
      </c>
      <c r="D5" s="29" t="inlineStr">
        <is>
          <t>Standard Penalty</t>
        </is>
      </c>
      <c r="E5" s="29" t="inlineStr">
        <is>
          <t>First Offence</t>
        </is>
      </c>
      <c r="F5" s="29" t="inlineStr">
        <is>
          <t>Repeat Offence</t>
        </is>
      </c>
      <c r="G5" s="29" t="inlineStr">
        <is>
          <t>Evidence Required</t>
        </is>
      </c>
      <c r="H5" s="29" t="inlineStr">
        <is>
          <t>Escalation</t>
        </is>
      </c>
    </row>
    <row r="6" ht="26" customHeight="1">
      <c r="B6" s="39" t="n">
        <v>1</v>
      </c>
      <c r="C6" s="40" t="inlineStr">
        <is>
          <t>Irregular attendance without notice</t>
        </is>
      </c>
      <c r="D6" s="41" t="inlineStr">
        <is>
          <t>Warning / Written Apology / Fine</t>
        </is>
      </c>
      <c r="E6" s="41" t="inlineStr">
        <is>
          <t>First offence — written warning</t>
        </is>
      </c>
      <c r="F6" s="41" t="inlineStr">
        <is>
          <t>repeat — fine</t>
        </is>
      </c>
      <c r="G6" s="41" t="inlineStr">
        <is>
          <t>Witness / Report / CCTV</t>
        </is>
      </c>
      <c r="H6" s="41" t="inlineStr">
        <is>
          <t>Principal</t>
        </is>
      </c>
    </row>
    <row r="7" ht="26" customHeight="1">
      <c r="B7" s="42" t="n">
        <v>2</v>
      </c>
      <c r="C7" s="43" t="inlineStr">
        <is>
          <t>Late submission of academic work (repeated)</t>
        </is>
      </c>
      <c r="D7" s="44" t="inlineStr">
        <is>
          <t>Warning / Written Apology / Fine</t>
        </is>
      </c>
      <c r="E7" s="44" t="inlineStr">
        <is>
          <t>Warning</t>
        </is>
      </c>
      <c r="F7" s="44" t="inlineStr">
        <is>
          <t>escalation if persistent</t>
        </is>
      </c>
      <c r="G7" s="44" t="inlineStr">
        <is>
          <t>Witness / Report / CCTV</t>
        </is>
      </c>
      <c r="H7" s="44" t="inlineStr">
        <is>
          <t>Principal</t>
        </is>
      </c>
    </row>
    <row r="8" ht="26" customHeight="1">
      <c r="B8" s="39" t="n">
        <v>3</v>
      </c>
      <c r="C8" s="40" t="inlineStr">
        <is>
          <t>Dress code / ID card violation</t>
        </is>
      </c>
      <c r="D8" s="41" t="inlineStr">
        <is>
          <t>Warning / Written Apology / Fine</t>
        </is>
      </c>
      <c r="E8" s="41" t="inlineStr">
        <is>
          <t>Warning</t>
        </is>
      </c>
      <c r="F8" s="41" t="inlineStr">
        <is>
          <t>fine for repeat</t>
        </is>
      </c>
      <c r="G8" s="41" t="inlineStr">
        <is>
          <t>Witness / Report / CCTV</t>
        </is>
      </c>
      <c r="H8" s="41" t="inlineStr">
        <is>
          <t>Principal</t>
        </is>
      </c>
    </row>
    <row r="9" ht="26" customHeight="1">
      <c r="B9" s="42" t="n">
        <v>4</v>
      </c>
      <c r="C9" s="43" t="inlineStr">
        <is>
          <t>Noise disturbance in class / hostel</t>
        </is>
      </c>
      <c r="D9" s="44" t="inlineStr">
        <is>
          <t>Warning / Written Apology / Fine</t>
        </is>
      </c>
      <c r="E9" s="44" t="inlineStr">
        <is>
          <t>Warning and written apology</t>
        </is>
      </c>
      <c r="F9" s="44" t="inlineStr">
        <is>
          <t>Escalate to C</t>
        </is>
      </c>
      <c r="G9" s="44" t="inlineStr">
        <is>
          <t>Witness / Report / CCTV</t>
        </is>
      </c>
      <c r="H9" s="44" t="inlineStr">
        <is>
          <t>Principal</t>
        </is>
      </c>
    </row>
    <row r="10" ht="26" customHeight="1">
      <c r="B10" s="39" t="n">
        <v>5</v>
      </c>
      <c r="C10" s="40" t="inlineStr">
        <is>
          <t>Minor insubordination (non-aggressive)</t>
        </is>
      </c>
      <c r="D10" s="41" t="inlineStr">
        <is>
          <t>Warning / Written Apology / Fine</t>
        </is>
      </c>
      <c r="E10" s="41" t="inlineStr">
        <is>
          <t>Warning and counselling</t>
        </is>
      </c>
      <c r="F10" s="41" t="inlineStr">
        <is>
          <t>Escalate to C</t>
        </is>
      </c>
      <c r="G10" s="41" t="inlineStr">
        <is>
          <t>Witness / Report / CCTV</t>
        </is>
      </c>
      <c r="H10" s="41" t="inlineStr">
        <is>
          <t>Principal</t>
        </is>
      </c>
    </row>
    <row r="11" ht="26" customHeight="1">
      <c r="B11" s="42" t="n">
        <v>6</v>
      </c>
      <c r="C11" s="43" t="inlineStr">
        <is>
          <t>Misuse of library / lab materials</t>
        </is>
      </c>
      <c r="D11" s="44" t="inlineStr">
        <is>
          <t>Warning / Written Apology / Fine</t>
        </is>
      </c>
      <c r="E11" s="44" t="inlineStr">
        <is>
          <t>Warning</t>
        </is>
      </c>
      <c r="F11" s="44" t="inlineStr">
        <is>
          <t>replacement cost if damage</t>
        </is>
      </c>
      <c r="G11" s="44" t="inlineStr">
        <is>
          <t>Witness / Report / CCTV</t>
        </is>
      </c>
      <c r="H11" s="44" t="inlineStr">
        <is>
          <t>Principal</t>
        </is>
      </c>
    </row>
    <row r="12" ht="26" customHeight="1">
      <c r="B12" s="39" t="n">
        <v>7</v>
      </c>
      <c r="C12" s="40" t="inlineStr">
        <is>
          <t>Using mobile phone during exams (non-UFM)</t>
        </is>
      </c>
      <c r="D12" s="41" t="inlineStr">
        <is>
          <t>Warning / Written Apology / Fine</t>
        </is>
      </c>
      <c r="E12" s="41" t="inlineStr">
        <is>
          <t>Warning</t>
        </is>
      </c>
      <c r="F12" s="41" t="inlineStr">
        <is>
          <t>phone confiscated temporarily</t>
        </is>
      </c>
      <c r="G12" s="41" t="inlineStr">
        <is>
          <t>Witness / Report / CCTV</t>
        </is>
      </c>
      <c r="H12" s="41" t="inlineStr">
        <is>
          <t>Principal</t>
        </is>
      </c>
    </row>
    <row r="13" ht="26" customHeight="1">
      <c r="B13" s="42" t="n">
        <v>8</v>
      </c>
      <c r="C13" s="43" t="inlineStr">
        <is>
          <t>Unauthorised absence from hostel (single night)</t>
        </is>
      </c>
      <c r="D13" s="44" t="inlineStr">
        <is>
          <t>Warning / Written Apology / Fine</t>
        </is>
      </c>
      <c r="E13" s="44" t="inlineStr">
        <is>
          <t>Warning + parent communication</t>
        </is>
      </c>
      <c r="F13" s="44" t="inlineStr">
        <is>
          <t>Escalate to C</t>
        </is>
      </c>
      <c r="G13" s="44" t="inlineStr">
        <is>
          <t>Witness / Report / CCTV</t>
        </is>
      </c>
      <c r="H13" s="44" t="inlineStr">
        <is>
          <t>Principal</t>
        </is>
      </c>
    </row>
    <row r="14" ht="24" customHeight="1"/>
    <row r="15" ht="24" customHeight="1">
      <c r="B15" s="45" t="inlineStr">
        <is>
          <t>CATEGORY B — MODERATE OFFENCES (Suspension upto 7 days / Fine)</t>
        </is>
      </c>
    </row>
    <row r="16" ht="24" customHeight="1">
      <c r="B16" s="46" t="inlineStr">
        <is>
          <t>Sl.</t>
        </is>
      </c>
      <c r="C16" s="46" t="inlineStr">
        <is>
          <t>Offence Description</t>
        </is>
      </c>
      <c r="D16" s="46" t="inlineStr">
        <is>
          <t>Standard Penalty</t>
        </is>
      </c>
      <c r="E16" s="46" t="inlineStr">
        <is>
          <t>First Offence</t>
        </is>
      </c>
      <c r="F16" s="46" t="inlineStr">
        <is>
          <t>Repeat Offence</t>
        </is>
      </c>
      <c r="G16" s="46" t="inlineStr">
        <is>
          <t>Evidence Required</t>
        </is>
      </c>
      <c r="H16" s="46" t="inlineStr">
        <is>
          <t>Escalation</t>
        </is>
      </c>
    </row>
    <row r="17" ht="26" customHeight="1">
      <c r="B17" s="47" t="n">
        <v>1</v>
      </c>
      <c r="C17" s="48" t="inlineStr">
        <is>
          <t>Excessive absenteeism (attendance &lt; 50%)</t>
        </is>
      </c>
      <c r="D17" s="49" t="inlineStr">
        <is>
          <t>Fine / Suspension (1–7 days) / Community Service</t>
        </is>
      </c>
      <c r="E17" s="49" t="inlineStr">
        <is>
          <t>Fine + academic consequence</t>
        </is>
      </c>
      <c r="F17" s="49" t="inlineStr">
        <is>
          <t>Escalate to C</t>
        </is>
      </c>
      <c r="G17" s="49" t="inlineStr">
        <is>
          <t>Witness / Report / CCTV</t>
        </is>
      </c>
      <c r="H17" s="49" t="inlineStr">
        <is>
          <t>Principal</t>
        </is>
      </c>
    </row>
    <row r="18" ht="26" customHeight="1">
      <c r="B18" s="42" t="n">
        <v>2</v>
      </c>
      <c r="C18" s="43" t="inlineStr">
        <is>
          <t>Verbal abuse or disrespect to faculty/staff</t>
        </is>
      </c>
      <c r="D18" s="44" t="inlineStr">
        <is>
          <t>Fine / Suspension (1–7 days) / Community Service</t>
        </is>
      </c>
      <c r="E18" s="44" t="inlineStr">
        <is>
          <t>Suspension 1–3 days + apology</t>
        </is>
      </c>
      <c r="F18" s="44" t="inlineStr">
        <is>
          <t>Escalate to C</t>
        </is>
      </c>
      <c r="G18" s="44" t="inlineStr">
        <is>
          <t>Witness / Report / CCTV</t>
        </is>
      </c>
      <c r="H18" s="44" t="inlineStr">
        <is>
          <t>Principal</t>
        </is>
      </c>
    </row>
    <row r="19" ht="26" customHeight="1">
      <c r="B19" s="47" t="n">
        <v>3</v>
      </c>
      <c r="C19" s="48" t="inlineStr">
        <is>
          <t>Damage to institutional property</t>
        </is>
      </c>
      <c r="D19" s="49" t="inlineStr">
        <is>
          <t>Fine / Suspension (1–7 days) / Community Service</t>
        </is>
      </c>
      <c r="E19" s="49" t="inlineStr">
        <is>
          <t>Suspension + full repair/replacement cost</t>
        </is>
      </c>
      <c r="F19" s="49" t="inlineStr">
        <is>
          <t>Escalate to C</t>
        </is>
      </c>
      <c r="G19" s="49" t="inlineStr">
        <is>
          <t>Witness / Report / CCTV</t>
        </is>
      </c>
      <c r="H19" s="49" t="inlineStr">
        <is>
          <t>Principal</t>
        </is>
      </c>
    </row>
    <row r="20" ht="26" customHeight="1">
      <c r="B20" s="42" t="n">
        <v>4</v>
      </c>
      <c r="C20" s="43" t="inlineStr">
        <is>
          <t>Possession or consumption of alcohol on campus</t>
        </is>
      </c>
      <c r="D20" s="44" t="inlineStr">
        <is>
          <t>Fine / Suspension (1–7 days) / Community Service</t>
        </is>
      </c>
      <c r="E20" s="44" t="inlineStr">
        <is>
          <t>Suspension 3–7 days + parent meeting</t>
        </is>
      </c>
      <c r="F20" s="44" t="inlineStr">
        <is>
          <t>Escalate to C</t>
        </is>
      </c>
      <c r="G20" s="44" t="inlineStr">
        <is>
          <t>Witness / Report / CCTV</t>
        </is>
      </c>
      <c r="H20" s="44" t="inlineStr">
        <is>
          <t>Principal</t>
        </is>
      </c>
    </row>
    <row r="21" ht="26" customHeight="1">
      <c r="B21" s="47" t="n">
        <v>5</v>
      </c>
      <c r="C21" s="48" t="inlineStr">
        <is>
          <t>Gambling on campus premises</t>
        </is>
      </c>
      <c r="D21" s="49" t="inlineStr">
        <is>
          <t>Fine / Suspension (1–7 days) / Community Service</t>
        </is>
      </c>
      <c r="E21" s="49" t="inlineStr">
        <is>
          <t>Suspension + fine</t>
        </is>
      </c>
      <c r="F21" s="49" t="inlineStr">
        <is>
          <t>Escalate to C</t>
        </is>
      </c>
      <c r="G21" s="49" t="inlineStr">
        <is>
          <t>Witness / Report / CCTV</t>
        </is>
      </c>
      <c r="H21" s="49" t="inlineStr">
        <is>
          <t>Principal</t>
        </is>
      </c>
    </row>
    <row r="22" ht="26" customHeight="1">
      <c r="B22" s="42" t="n">
        <v>6</v>
      </c>
      <c r="C22" s="43" t="inlineStr">
        <is>
          <t>Ragging — Level 1 (mild, first offence)</t>
        </is>
      </c>
      <c r="D22" s="44" t="inlineStr">
        <is>
          <t>Fine / Suspension (1–7 days) / Community Service</t>
        </is>
      </c>
      <c r="E22" s="44" t="inlineStr">
        <is>
          <t>Suspension + Anti-Ragging Cell referral</t>
        </is>
      </c>
      <c r="F22" s="44" t="inlineStr">
        <is>
          <t>Escalate to C</t>
        </is>
      </c>
      <c r="G22" s="44" t="inlineStr">
        <is>
          <t>Witness / Report / CCTV</t>
        </is>
      </c>
      <c r="H22" s="44" t="inlineStr">
        <is>
          <t>Principal</t>
        </is>
      </c>
    </row>
    <row r="23" ht="26" customHeight="1">
      <c r="B23" s="47" t="n">
        <v>7</v>
      </c>
      <c r="C23" s="48" t="inlineStr">
        <is>
          <t>Academic dishonesty (copying) in CIE</t>
        </is>
      </c>
      <c r="D23" s="49" t="inlineStr">
        <is>
          <t>Fine / Suspension (1–7 days) / Community Service</t>
        </is>
      </c>
      <c r="E23" s="49" t="inlineStr">
        <is>
          <t>CIE cancellation + warning</t>
        </is>
      </c>
      <c r="F23" s="49" t="inlineStr">
        <is>
          <t>Escalate to C</t>
        </is>
      </c>
      <c r="G23" s="49" t="inlineStr">
        <is>
          <t>Witness / Report / CCTV</t>
        </is>
      </c>
      <c r="H23" s="49" t="inlineStr">
        <is>
          <t>Principal</t>
        </is>
      </c>
    </row>
    <row r="24" ht="26" customHeight="1">
      <c r="B24" s="42" t="n">
        <v>8</v>
      </c>
      <c r="C24" s="43" t="inlineStr">
        <is>
          <t>Cyberbullying — mild / first offence</t>
        </is>
      </c>
      <c r="D24" s="44" t="inlineStr">
        <is>
          <t>Fine / Suspension (1–7 days) / Community Service</t>
        </is>
      </c>
      <c r="E24" s="44" t="inlineStr">
        <is>
          <t>Suspension + counselling</t>
        </is>
      </c>
      <c r="F24" s="44" t="inlineStr">
        <is>
          <t>Escalate to C</t>
        </is>
      </c>
      <c r="G24" s="44" t="inlineStr">
        <is>
          <t>Witness / Report / CCTV</t>
        </is>
      </c>
      <c r="H24" s="44" t="inlineStr">
        <is>
          <t>Principal</t>
        </is>
      </c>
    </row>
    <row r="25" ht="26" customHeight="1">
      <c r="B25" s="47" t="n">
        <v>9</v>
      </c>
      <c r="C25" s="48" t="inlineStr">
        <is>
          <t>Trespassing restricted campus zones</t>
        </is>
      </c>
      <c r="D25" s="49" t="inlineStr">
        <is>
          <t>Fine / Suspension (1–7 days) / Community Service</t>
        </is>
      </c>
      <c r="E25" s="49" t="inlineStr">
        <is>
          <t>Suspension + written undertaking</t>
        </is>
      </c>
      <c r="F25" s="49" t="inlineStr">
        <is>
          <t>Escalate to C</t>
        </is>
      </c>
      <c r="G25" s="49" t="inlineStr">
        <is>
          <t>Witness / Report / CCTV</t>
        </is>
      </c>
      <c r="H25" s="49" t="inlineStr">
        <is>
          <t>Principal</t>
        </is>
      </c>
    </row>
    <row r="26" ht="24" customHeight="1"/>
    <row r="27" ht="24" customHeight="1">
      <c r="B27" s="50" t="inlineStr">
        <is>
          <t>CATEGORY C — SERIOUS OFFENCES (Suspension 8–30 days / Rustication)</t>
        </is>
      </c>
    </row>
    <row r="28" ht="24" customHeight="1">
      <c r="B28" s="51" t="inlineStr">
        <is>
          <t>Sl.</t>
        </is>
      </c>
      <c r="C28" s="51" t="inlineStr">
        <is>
          <t>Offence Description</t>
        </is>
      </c>
      <c r="D28" s="51" t="inlineStr">
        <is>
          <t>Standard Penalty</t>
        </is>
      </c>
      <c r="E28" s="51" t="inlineStr">
        <is>
          <t>First Offence</t>
        </is>
      </c>
      <c r="F28" s="51" t="inlineStr">
        <is>
          <t>Repeat Offence</t>
        </is>
      </c>
      <c r="G28" s="51" t="inlineStr">
        <is>
          <t>Evidence Required</t>
        </is>
      </c>
      <c r="H28" s="51" t="inlineStr">
        <is>
          <t>Escalation</t>
        </is>
      </c>
    </row>
    <row r="29" ht="26" customHeight="1">
      <c r="B29" s="52" t="n">
        <v>1</v>
      </c>
      <c r="C29" s="53" t="inlineStr">
        <is>
          <t>Physical assault or fighting</t>
        </is>
      </c>
      <c r="D29" s="54" t="inlineStr">
        <is>
          <t>Suspension (8–30 days) / Rustication / Police Referral</t>
        </is>
      </c>
      <c r="E29" s="54" t="inlineStr">
        <is>
          <t>Suspension + FIR if warranted</t>
        </is>
      </c>
      <c r="F29" s="54" t="inlineStr">
        <is>
          <t>Escalate to C</t>
        </is>
      </c>
      <c r="G29" s="54" t="inlineStr">
        <is>
          <t>Witness / Report / CCTV</t>
        </is>
      </c>
      <c r="H29" s="54" t="inlineStr">
        <is>
          <t>Principal</t>
        </is>
      </c>
    </row>
    <row r="30" ht="26" customHeight="1">
      <c r="B30" s="42" t="n">
        <v>2</v>
      </c>
      <c r="C30" s="43" t="inlineStr">
        <is>
          <t>Ragging — Level 2 (severe, organized)</t>
        </is>
      </c>
      <c r="D30" s="44" t="inlineStr">
        <is>
          <t>Suspension (8–30 days) / Rustication / Police Referral</t>
        </is>
      </c>
      <c r="E30" s="44" t="inlineStr">
        <is>
          <t>Rustication + FIR</t>
        </is>
      </c>
      <c r="F30" s="44" t="inlineStr">
        <is>
          <t>refer to ARC</t>
        </is>
      </c>
      <c r="G30" s="44" t="inlineStr">
        <is>
          <t>Witness / Report / CCTV</t>
        </is>
      </c>
      <c r="H30" s="44" t="inlineStr">
        <is>
          <t>Principal</t>
        </is>
      </c>
    </row>
    <row r="31" ht="26" customHeight="1">
      <c r="B31" s="52" t="n">
        <v>3</v>
      </c>
      <c r="C31" s="53" t="inlineStr">
        <is>
          <t>Sexual harassment (non-POSH threshold)</t>
        </is>
      </c>
      <c r="D31" s="54" t="inlineStr">
        <is>
          <t>Suspension (8–30 days) / Rustication / Police Referral</t>
        </is>
      </c>
      <c r="E31" s="54" t="inlineStr">
        <is>
          <t>Suspension</t>
        </is>
      </c>
      <c r="F31" s="54" t="inlineStr">
        <is>
          <t>refer to ICC if POSH applicable</t>
        </is>
      </c>
      <c r="G31" s="54" t="inlineStr">
        <is>
          <t>Witness / Report / CCTV</t>
        </is>
      </c>
      <c r="H31" s="54" t="inlineStr">
        <is>
          <t>Principal</t>
        </is>
      </c>
    </row>
    <row r="32" ht="26" customHeight="1">
      <c r="B32" s="42" t="n">
        <v>4</v>
      </c>
      <c r="C32" s="43" t="inlineStr">
        <is>
          <t>Possession of drugs / narcotics</t>
        </is>
      </c>
      <c r="D32" s="44" t="inlineStr">
        <is>
          <t>Suspension (8–30 days) / Rustication / Police Referral</t>
        </is>
      </c>
      <c r="E32" s="44" t="inlineStr">
        <is>
          <t>Rustication + police referral + de-addiction</t>
        </is>
      </c>
      <c r="F32" s="44" t="inlineStr">
        <is>
          <t>Escalate to C</t>
        </is>
      </c>
      <c r="G32" s="44" t="inlineStr">
        <is>
          <t>Witness / Report / CCTV</t>
        </is>
      </c>
      <c r="H32" s="44" t="inlineStr">
        <is>
          <t>Principal</t>
        </is>
      </c>
    </row>
    <row r="33" ht="26" customHeight="1">
      <c r="B33" s="52" t="n">
        <v>5</v>
      </c>
      <c r="C33" s="53" t="inlineStr">
        <is>
          <t>Theft on campus</t>
        </is>
      </c>
      <c r="D33" s="54" t="inlineStr">
        <is>
          <t>Suspension (8–30 days) / Rustication / Police Referral</t>
        </is>
      </c>
      <c r="E33" s="54" t="inlineStr">
        <is>
          <t>Suspension / Rustication + FIR</t>
        </is>
      </c>
      <c r="F33" s="54" t="inlineStr">
        <is>
          <t>Escalate to C</t>
        </is>
      </c>
      <c r="G33" s="54" t="inlineStr">
        <is>
          <t>Witness / Report / CCTV</t>
        </is>
      </c>
      <c r="H33" s="54" t="inlineStr">
        <is>
          <t>Principal</t>
        </is>
      </c>
    </row>
    <row r="34" ht="26" customHeight="1">
      <c r="B34" s="42" t="n">
        <v>6</v>
      </c>
      <c r="C34" s="43" t="inlineStr">
        <is>
          <t>Major academic fraud / impersonation in SEE</t>
        </is>
      </c>
      <c r="D34" s="44" t="inlineStr">
        <is>
          <t>Suspension (8–30 days) / Rustication / Police Referral</t>
        </is>
      </c>
      <c r="E34" s="44" t="inlineStr">
        <is>
          <t>Rustication + university referral</t>
        </is>
      </c>
      <c r="F34" s="44" t="inlineStr">
        <is>
          <t>Escalate to C</t>
        </is>
      </c>
      <c r="G34" s="44" t="inlineStr">
        <is>
          <t>Witness / Report / CCTV</t>
        </is>
      </c>
      <c r="H34" s="44" t="inlineStr">
        <is>
          <t>Principal</t>
        </is>
      </c>
    </row>
    <row r="35" ht="26" customHeight="1">
      <c r="B35" s="52" t="n">
        <v>7</v>
      </c>
      <c r="C35" s="53" t="inlineStr">
        <is>
          <t>Forging documents / signatures</t>
        </is>
      </c>
      <c r="D35" s="54" t="inlineStr">
        <is>
          <t>Suspension (8–30 days) / Rustication / Police Referral</t>
        </is>
      </c>
      <c r="E35" s="54" t="inlineStr">
        <is>
          <t>Rustication + legal action</t>
        </is>
      </c>
      <c r="F35" s="54" t="inlineStr">
        <is>
          <t>Escalate to C</t>
        </is>
      </c>
      <c r="G35" s="54" t="inlineStr">
        <is>
          <t>Witness / Report / CCTV</t>
        </is>
      </c>
      <c r="H35" s="54" t="inlineStr">
        <is>
          <t>Principal</t>
        </is>
      </c>
    </row>
    <row r="36" ht="26" customHeight="1">
      <c r="B36" s="42" t="n">
        <v>8</v>
      </c>
      <c r="C36" s="43" t="inlineStr">
        <is>
          <t>Threatening faculty / staff / management</t>
        </is>
      </c>
      <c r="D36" s="44" t="inlineStr">
        <is>
          <t>Suspension (8–30 days) / Rustication / Police Referral</t>
        </is>
      </c>
      <c r="E36" s="44" t="inlineStr">
        <is>
          <t>Rustication + FIR</t>
        </is>
      </c>
      <c r="F36" s="44" t="inlineStr">
        <is>
          <t>Escalate to C</t>
        </is>
      </c>
      <c r="G36" s="44" t="inlineStr">
        <is>
          <t>Witness / Report / CCTV</t>
        </is>
      </c>
      <c r="H36" s="44" t="inlineStr">
        <is>
          <t>Principal</t>
        </is>
      </c>
    </row>
    <row r="37" ht="26" customHeight="1">
      <c r="B37" s="52" t="n">
        <v>9</v>
      </c>
      <c r="C37" s="53" t="inlineStr">
        <is>
          <t>Arson / serious damage to property</t>
        </is>
      </c>
      <c r="D37" s="54" t="inlineStr">
        <is>
          <t>Suspension (8–30 days) / Rustication / Police Referral</t>
        </is>
      </c>
      <c r="E37" s="54" t="inlineStr">
        <is>
          <t>Rustication + FIR + recovery</t>
        </is>
      </c>
      <c r="F37" s="54" t="inlineStr">
        <is>
          <t>Escalate to C</t>
        </is>
      </c>
      <c r="G37" s="54" t="inlineStr">
        <is>
          <t>Witness / Report / CCTV</t>
        </is>
      </c>
      <c r="H37" s="54" t="inlineStr">
        <is>
          <t>Principal</t>
        </is>
      </c>
    </row>
    <row r="38" ht="26" customHeight="1">
      <c r="B38" s="42" t="n">
        <v>10</v>
      </c>
      <c r="C38" s="43" t="inlineStr">
        <is>
          <t>Cybercrime / hacking institutional systems</t>
        </is>
      </c>
      <c r="D38" s="44" t="inlineStr">
        <is>
          <t>Suspension (8–30 days) / Rustication / Police Referral</t>
        </is>
      </c>
      <c r="E38" s="44" t="inlineStr">
        <is>
          <t>Rustication + legal action</t>
        </is>
      </c>
      <c r="F38" s="44" t="inlineStr">
        <is>
          <t>Escalate to C</t>
        </is>
      </c>
      <c r="G38" s="44" t="inlineStr">
        <is>
          <t>Witness / Report / CCTV</t>
        </is>
      </c>
      <c r="H38" s="44" t="inlineStr">
        <is>
          <t>Principal</t>
        </is>
      </c>
    </row>
    <row r="39" ht="26" customHeight="1">
      <c r="B39" s="52" t="n">
        <v>11</v>
      </c>
      <c r="C39" s="53" t="inlineStr">
        <is>
          <t>Attempt to bribe SDC member / faculty</t>
        </is>
      </c>
      <c r="D39" s="54" t="inlineStr">
        <is>
          <t>Suspension (8–30 days) / Rustication / Police Referral</t>
        </is>
      </c>
      <c r="E39" s="54" t="inlineStr">
        <is>
          <t>Rustication + FIR</t>
        </is>
      </c>
      <c r="F39" s="54" t="inlineStr">
        <is>
          <t>Escalate to C</t>
        </is>
      </c>
      <c r="G39" s="54" t="inlineStr">
        <is>
          <t>Witness / Report / CCTV</t>
        </is>
      </c>
      <c r="H39" s="54" t="inlineStr">
        <is>
          <t>Principal</t>
        </is>
      </c>
    </row>
    <row r="40" ht="26" customHeight="1">
      <c r="B40" s="42" t="n">
        <v>12</v>
      </c>
      <c r="C40" s="43" t="inlineStr">
        <is>
          <t>Organising strikes disrupting institution</t>
        </is>
      </c>
      <c r="D40" s="44" t="inlineStr">
        <is>
          <t>Suspension (8–30 days) / Rustication / Police Referral</t>
        </is>
      </c>
      <c r="E40" s="44" t="inlineStr">
        <is>
          <t>Suspension</t>
        </is>
      </c>
      <c r="F40" s="44" t="inlineStr">
        <is>
          <t>repeat — Rustication</t>
        </is>
      </c>
      <c r="G40" s="44" t="inlineStr">
        <is>
          <t>Witness / Report / CCTV</t>
        </is>
      </c>
      <c r="H40" s="44" t="inlineStr">
        <is>
          <t>Principal</t>
        </is>
      </c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</sheetData>
  <mergeCells count="5">
    <mergeCell ref="B27:H27"/>
    <mergeCell ref="B4:H4"/>
    <mergeCell ref="B2:H2"/>
    <mergeCell ref="B15:H15"/>
    <mergeCell ref="B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SDC-04: STUDENT DISCIPLINARY COMPLAINT / INCIDENT REPORT FORM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Complaint Ref.: SDC/COMP/______/______   Received by: _______   Date: _______   Time: _______</t>
        </is>
      </c>
    </row>
    <row r="5" ht="24" customHeight="1">
      <c r="B5" s="20" t="inlineStr">
        <is>
          <t>SECTION A — COMPLAINANT DETAILS</t>
        </is>
      </c>
    </row>
    <row r="6" ht="26" customHeight="1">
      <c r="B6" s="55" t="inlineStr">
        <is>
          <t>Complainant Name:</t>
        </is>
      </c>
      <c r="C6" s="9" t="n"/>
    </row>
    <row r="7" ht="26" customHeight="1">
      <c r="B7" s="55" t="inlineStr">
        <is>
          <t>Designation / Role:</t>
        </is>
      </c>
      <c r="C7" s="56" t="inlineStr">
        <is>
          <t>[ ] Faculty  [ ] Staff  [ ] Student  [ ] Parent  [ ] Security  [ ] Anonymous</t>
        </is>
      </c>
    </row>
    <row r="8" ht="26" customHeight="1">
      <c r="B8" s="55" t="inlineStr">
        <is>
          <t>Department / Unit:</t>
        </is>
      </c>
      <c r="C8" s="9" t="n"/>
    </row>
    <row r="9" ht="26" customHeight="1">
      <c r="B9" s="55" t="inlineStr">
        <is>
          <t>Contact Number:</t>
        </is>
      </c>
      <c r="C9" s="9" t="n"/>
    </row>
    <row r="10" ht="26" customHeight="1">
      <c r="B10" s="55" t="inlineStr">
        <is>
          <t>Email:</t>
        </is>
      </c>
      <c r="C10" s="9" t="n"/>
    </row>
    <row r="11" ht="26" customHeight="1">
      <c r="B11" s="55" t="inlineStr">
        <is>
          <t>Is complainant willing to appear as witness?</t>
        </is>
      </c>
      <c r="C11" s="56" t="inlineStr">
        <is>
          <t>[ ] Yes  [ ] No  [ ] Anonymous — no disclosure</t>
        </is>
      </c>
    </row>
    <row r="12" ht="28" customHeight="1"/>
    <row r="13" ht="24" customHeight="1">
      <c r="B13" s="50" t="inlineStr">
        <is>
          <t>SECTION B — STUDENT(S) COMPLAINED AGAINST</t>
        </is>
      </c>
    </row>
    <row r="14" ht="26" customHeight="1">
      <c r="B14" s="57" t="inlineStr">
        <is>
          <t>Student Name(s):</t>
        </is>
      </c>
      <c r="C14" s="9" t="n"/>
    </row>
    <row r="15" ht="26" customHeight="1">
      <c r="B15" s="57" t="inlineStr">
        <is>
          <t>Roll Number(s):</t>
        </is>
      </c>
      <c r="C15" s="9" t="n"/>
    </row>
    <row r="16" ht="26" customHeight="1">
      <c r="B16" s="57" t="inlineStr">
        <is>
          <t>Programme / Year:</t>
        </is>
      </c>
      <c r="C16" s="9" t="n"/>
    </row>
    <row r="17" ht="26" customHeight="1">
      <c r="B17" s="57" t="inlineStr">
        <is>
          <t>Department:</t>
        </is>
      </c>
      <c r="C17" s="9" t="n"/>
    </row>
    <row r="18" ht="26" customHeight="1">
      <c r="B18" s="57" t="inlineStr">
        <is>
          <t>Hostel Resident:</t>
        </is>
      </c>
      <c r="C18" s="56" t="inlineStr">
        <is>
          <t>[ ] Yes — Hostel: _______   [ ] Day Scholar</t>
        </is>
      </c>
    </row>
    <row r="19" ht="28" customHeight="1"/>
    <row r="20" ht="24" customHeight="1">
      <c r="B20" s="20" t="inlineStr">
        <is>
          <t>SECTION C — INCIDENT DETAILS</t>
        </is>
      </c>
    </row>
    <row r="21" ht="28" customHeight="1">
      <c r="B21" s="55" t="inlineStr">
        <is>
          <t>Date of Incident:</t>
        </is>
      </c>
      <c r="C21" s="9" t="n"/>
    </row>
    <row r="22" ht="28" customHeight="1">
      <c r="B22" s="55" t="inlineStr">
        <is>
          <t>Time of Incident:</t>
        </is>
      </c>
      <c r="C22" s="9" t="n"/>
    </row>
    <row r="23" ht="28" customHeight="1">
      <c r="B23" s="55" t="inlineStr">
        <is>
          <t>Location / Venue:</t>
        </is>
      </c>
      <c r="C23" s="9" t="n"/>
    </row>
    <row r="24" ht="28" customHeight="1">
      <c r="B24" s="55" t="inlineStr">
        <is>
          <t>Nature of Offence:</t>
        </is>
      </c>
      <c r="C24" s="56" t="inlineStr">
        <is>
          <t>[ ] Ragging  [ ] Physical Assault  [ ] Verbal Abuse  [ ] Academic Dishonesty  [ ] Substance Abuse  [ ] Cybercrime  [ ] Property Damage  [ ] Theft  [ ] Sexual Harassment*  [ ] Other</t>
        </is>
      </c>
    </row>
    <row r="25" ht="28" customHeight="1">
      <c r="B25" s="58" t="inlineStr">
        <is>
          <t>(*) Note — Sexual harassment → Refer to ICC/POSH Committee. Do NOT handle through SDC alone.</t>
        </is>
      </c>
      <c r="C25" s="9" t="n"/>
    </row>
    <row r="26" ht="28" customHeight="1">
      <c r="B26" s="55" t="inlineStr">
        <is>
          <t>Offence Category:</t>
        </is>
      </c>
      <c r="C26" s="56" t="inlineStr">
        <is>
          <t>[ ] Category A — Minor  [ ] Category B — Moderate  [ ] Category C — Serious</t>
        </is>
      </c>
    </row>
    <row r="27" ht="28" customHeight="1">
      <c r="B27" s="55" t="inlineStr">
        <is>
          <t>Witnesses (if any):</t>
        </is>
      </c>
      <c r="C27" s="56" t="inlineStr">
        <is>
          <t>Name 1: _______   Name 2: _______   Contact: _______</t>
        </is>
      </c>
    </row>
    <row r="28" ht="28" customHeight="1">
      <c r="B28" s="55" t="inlineStr">
        <is>
          <t>CCTV / Video evidence available?</t>
        </is>
      </c>
      <c r="C28" s="56" t="inlineStr">
        <is>
          <t>[ ] Yes — Location/Time: _______   [ ] No  [ ] Unknown</t>
        </is>
      </c>
    </row>
    <row r="29" ht="28" customHeight="1">
      <c r="B29" s="55" t="inlineStr">
        <is>
          <t>Physical evidence available?</t>
        </is>
      </c>
      <c r="C29" s="56" t="inlineStr">
        <is>
          <t>[ ] Yes — Description: _______   [ ] No</t>
        </is>
      </c>
    </row>
    <row r="30" ht="28" customHeight="1">
      <c r="B30" s="55" t="inlineStr">
        <is>
          <t>Has police been informed?</t>
        </is>
      </c>
      <c r="C30" s="56" t="inlineStr">
        <is>
          <t>[ ] Yes — FIR No.: _______   [ ] No  [ ] Not Required</t>
        </is>
      </c>
    </row>
    <row r="31" ht="28" customHeight="1">
      <c r="B31" s="55" t="inlineStr">
        <is>
          <t>Was any injury caused?</t>
        </is>
      </c>
      <c r="C31" s="56" t="inlineStr">
        <is>
          <t>[ ] Yes — Medical record attached   [ ] No</t>
        </is>
      </c>
    </row>
    <row r="32" ht="28" customHeight="1">
      <c r="B32" s="55" t="inlineStr">
        <is>
          <t>Is immediate suspension recommended?</t>
        </is>
      </c>
      <c r="C32" s="56" t="inlineStr">
        <is>
          <t>[ ] Yes — Reason: _______   [ ] No</t>
        </is>
      </c>
    </row>
    <row r="33" ht="24" customHeight="1">
      <c r="B33" s="28" t="inlineStr">
        <is>
          <t>SECTION D — INCIDENT DESCRIPTION</t>
        </is>
      </c>
    </row>
    <row r="34" ht="28" customHeight="1">
      <c r="B34" s="59" t="inlineStr">
        <is>
          <t>Describe the incident in detail (attach additional pages if required):</t>
        </is>
      </c>
    </row>
    <row r="35" ht="240" customHeight="1">
      <c r="B35" s="60" t="inlineStr"/>
    </row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>
      <c r="B44" s="60" t="inlineStr">
        <is>
          <t>I declare that the above information is true to the best of my knowledge.</t>
        </is>
      </c>
    </row>
    <row r="45" ht="28" customHeight="1">
      <c r="B45" s="30" t="inlineStr">
        <is>
          <t>Complainant Signature: ___________________    Date: ___________________    Received by SDC: ___________________</t>
        </is>
      </c>
    </row>
    <row r="46" ht="28" customHeight="1"/>
    <row r="47" ht="28" customHeight="1"/>
    <row r="48" ht="28" customHeight="1"/>
    <row r="49" ht="28" customHeight="1"/>
  </sheetData>
  <mergeCells count="34">
    <mergeCell ref="C16:E16"/>
    <mergeCell ref="B35:E42"/>
    <mergeCell ref="C31:E31"/>
    <mergeCell ref="B34:E34"/>
    <mergeCell ref="C22:E22"/>
    <mergeCell ref="C9:E9"/>
    <mergeCell ref="B33:E33"/>
    <mergeCell ref="B5:E5"/>
    <mergeCell ref="B20:E20"/>
    <mergeCell ref="C21:E21"/>
    <mergeCell ref="B45:E45"/>
    <mergeCell ref="C11:E11"/>
    <mergeCell ref="C27:E27"/>
    <mergeCell ref="B4:E4"/>
    <mergeCell ref="C23:E23"/>
    <mergeCell ref="C8:E8"/>
    <mergeCell ref="C17:E17"/>
    <mergeCell ref="B3:E3"/>
    <mergeCell ref="C7:E7"/>
    <mergeCell ref="C32:E32"/>
    <mergeCell ref="C28:E28"/>
    <mergeCell ref="C18:E18"/>
    <mergeCell ref="B2:E2"/>
    <mergeCell ref="C30:E30"/>
    <mergeCell ref="C15:E15"/>
    <mergeCell ref="C6:E6"/>
    <mergeCell ref="C24:E24"/>
    <mergeCell ref="C14:E14"/>
    <mergeCell ref="B13:E13"/>
    <mergeCell ref="B44:E44"/>
    <mergeCell ref="C26:E26"/>
    <mergeCell ref="C29:E29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SDC-05: COMPLAINT REGISTRATION &amp; ACKNOWLEDGEMENT REGISTER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A.Y.: _______  Member Secretary: ___________________</t>
        </is>
      </c>
    </row>
    <row r="5" ht="24" customHeight="1">
      <c r="B5" s="13" t="inlineStr">
        <is>
          <t>Case
Ref.</t>
        </is>
      </c>
      <c r="C5" s="13" t="inlineStr">
        <is>
          <t>Student
(Name/Code)</t>
        </is>
      </c>
      <c r="D5" s="13" t="inlineStr">
        <is>
          <t>Dept. /
Programme</t>
        </is>
      </c>
      <c r="E5" s="13" t="inlineStr">
        <is>
          <t>Offence
Category</t>
        </is>
      </c>
      <c r="F5" s="13" t="inlineStr">
        <is>
          <t>Date
Received</t>
        </is>
      </c>
      <c r="G5" s="13" t="inlineStr">
        <is>
          <t>Ack.
Sent</t>
        </is>
      </c>
      <c r="H5" s="13" t="inlineStr">
        <is>
          <t>Inquiry Cmte.
Constituted</t>
        </is>
      </c>
      <c r="I5" s="13" t="inlineStr">
        <is>
          <t>Target
Closure Date</t>
        </is>
      </c>
      <c r="J5" s="13" t="inlineStr">
        <is>
          <t>Current
Status</t>
        </is>
      </c>
    </row>
    <row r="6" ht="24" customHeight="1">
      <c r="B6" s="14" t="inlineStr">
        <is>
          <t>SDC/2024/0001</t>
        </is>
      </c>
      <c r="C6" s="15" t="inlineStr"/>
      <c r="D6" s="16" t="inlineStr"/>
      <c r="E6" s="14" t="inlineStr">
        <is>
          <t>A — Minor</t>
        </is>
      </c>
      <c r="F6" s="16" t="inlineStr"/>
      <c r="G6" s="16" t="inlineStr"/>
      <c r="H6" s="16" t="inlineStr"/>
      <c r="I6" s="16" t="inlineStr"/>
      <c r="J6" s="16" t="inlineStr">
        <is>
          <t>Open — Inquiry Pending</t>
        </is>
      </c>
    </row>
    <row r="7" ht="24" customHeight="1">
      <c r="B7" s="8" t="inlineStr">
        <is>
          <t>SDC/2024/0002</t>
        </is>
      </c>
      <c r="C7" s="9" t="inlineStr"/>
      <c r="D7" s="10" t="inlineStr"/>
      <c r="E7" s="8" t="inlineStr">
        <is>
          <t>B — Moderate</t>
        </is>
      </c>
      <c r="F7" s="10" t="inlineStr"/>
      <c r="G7" s="10" t="inlineStr"/>
      <c r="H7" s="10" t="inlineStr"/>
      <c r="I7" s="10" t="inlineStr"/>
      <c r="J7" s="10" t="inlineStr">
        <is>
          <t>Inquiry In-Progress</t>
        </is>
      </c>
    </row>
    <row r="8" ht="24" customHeight="1">
      <c r="B8" s="14" t="inlineStr">
        <is>
          <t>SDC/2024/0003</t>
        </is>
      </c>
      <c r="C8" s="15" t="inlineStr"/>
      <c r="D8" s="16" t="inlineStr"/>
      <c r="E8" s="14" t="inlineStr">
        <is>
          <t>C — Serious</t>
        </is>
      </c>
      <c r="F8" s="16" t="inlineStr"/>
      <c r="G8" s="16" t="inlineStr"/>
      <c r="H8" s="16" t="inlineStr"/>
      <c r="I8" s="16" t="inlineStr"/>
      <c r="J8" s="16" t="inlineStr">
        <is>
          <t>Show-Cause Issued</t>
        </is>
      </c>
    </row>
    <row r="9" ht="24" customHeight="1">
      <c r="B9" s="8" t="inlineStr">
        <is>
          <t>SDC/2024/0004</t>
        </is>
      </c>
      <c r="C9" s="9" t="inlineStr"/>
      <c r="D9" s="10" t="inlineStr"/>
      <c r="E9" s="8" t="inlineStr">
        <is>
          <t>A — Minor</t>
        </is>
      </c>
      <c r="F9" s="10" t="inlineStr"/>
      <c r="G9" s="10" t="inlineStr"/>
      <c r="H9" s="10" t="inlineStr"/>
      <c r="I9" s="10" t="inlineStr"/>
      <c r="J9" s="10" t="inlineStr">
        <is>
          <t>Hearing Scheduled</t>
        </is>
      </c>
    </row>
    <row r="10" ht="24" customHeight="1">
      <c r="B10" s="14" t="inlineStr">
        <is>
          <t>SDC/2024/0005</t>
        </is>
      </c>
      <c r="C10" s="15" t="inlineStr"/>
      <c r="D10" s="16" t="inlineStr"/>
      <c r="E10" s="14" t="inlineStr">
        <is>
          <t>B — Moderate</t>
        </is>
      </c>
      <c r="F10" s="16" t="inlineStr"/>
      <c r="G10" s="16" t="inlineStr"/>
      <c r="H10" s="16" t="inlineStr"/>
      <c r="I10" s="16" t="inlineStr"/>
      <c r="J10" s="16" t="inlineStr">
        <is>
          <t>Decision Pending</t>
        </is>
      </c>
    </row>
    <row r="11" ht="24" customHeight="1">
      <c r="B11" s="8" t="inlineStr">
        <is>
          <t>SDC/2024/0006</t>
        </is>
      </c>
      <c r="C11" s="9" t="inlineStr"/>
      <c r="D11" s="10" t="inlineStr"/>
      <c r="E11" s="8" t="inlineStr">
        <is>
          <t>C — Serious</t>
        </is>
      </c>
      <c r="F11" s="10" t="inlineStr"/>
      <c r="G11" s="10" t="inlineStr"/>
      <c r="H11" s="10" t="inlineStr"/>
      <c r="I11" s="10" t="inlineStr"/>
      <c r="J11" s="10" t="inlineStr">
        <is>
          <t>Penalty Imposed</t>
        </is>
      </c>
    </row>
    <row r="12" ht="24" customHeight="1">
      <c r="B12" s="14" t="inlineStr">
        <is>
          <t>SDC/2024/0007</t>
        </is>
      </c>
      <c r="C12" s="15" t="inlineStr"/>
      <c r="D12" s="16" t="inlineStr"/>
      <c r="E12" s="14" t="inlineStr">
        <is>
          <t>A — Minor</t>
        </is>
      </c>
      <c r="F12" s="16" t="inlineStr"/>
      <c r="G12" s="16" t="inlineStr"/>
      <c r="H12" s="16" t="inlineStr"/>
      <c r="I12" s="16" t="inlineStr"/>
      <c r="J12" s="16" t="inlineStr">
        <is>
          <t>Appeal Filed</t>
        </is>
      </c>
    </row>
    <row r="13" ht="24" customHeight="1">
      <c r="B13" s="8" t="inlineStr">
        <is>
          <t>SDC/2024/0008</t>
        </is>
      </c>
      <c r="C13" s="9" t="inlineStr"/>
      <c r="D13" s="10" t="inlineStr"/>
      <c r="E13" s="8" t="inlineStr">
        <is>
          <t>B — Moderate</t>
        </is>
      </c>
      <c r="F13" s="10" t="inlineStr"/>
      <c r="G13" s="10" t="inlineStr"/>
      <c r="H13" s="10" t="inlineStr"/>
      <c r="I13" s="10" t="inlineStr"/>
      <c r="J13" s="10" t="inlineStr">
        <is>
          <t>Closed — Resolved</t>
        </is>
      </c>
    </row>
    <row r="14" ht="24" customHeight="1">
      <c r="B14" s="14" t="inlineStr">
        <is>
          <t>SDC/2024/0009</t>
        </is>
      </c>
      <c r="C14" s="15" t="inlineStr"/>
      <c r="D14" s="16" t="inlineStr"/>
      <c r="E14" s="14" t="inlineStr">
        <is>
          <t>C — Serious</t>
        </is>
      </c>
      <c r="F14" s="16" t="inlineStr"/>
      <c r="G14" s="16" t="inlineStr"/>
      <c r="H14" s="16" t="inlineStr"/>
      <c r="I14" s="16" t="inlineStr"/>
      <c r="J14" s="16" t="inlineStr">
        <is>
          <t>Closed — Acquitted</t>
        </is>
      </c>
    </row>
    <row r="15" ht="24" customHeight="1">
      <c r="B15" s="8" t="inlineStr">
        <is>
          <t>SDC/2024/0010</t>
        </is>
      </c>
      <c r="C15" s="9" t="inlineStr"/>
      <c r="D15" s="10" t="inlineStr"/>
      <c r="E15" s="8" t="inlineStr">
        <is>
          <t>A — Minor</t>
        </is>
      </c>
      <c r="F15" s="10" t="inlineStr"/>
      <c r="G15" s="10" t="inlineStr"/>
      <c r="H15" s="10" t="inlineStr"/>
      <c r="I15" s="10" t="inlineStr"/>
      <c r="J15" s="10" t="inlineStr">
        <is>
          <t>Referred to Police</t>
        </is>
      </c>
    </row>
    <row r="16" ht="24" customHeight="1">
      <c r="B16" s="14" t="inlineStr">
        <is>
          <t>SDC/2024/0011</t>
        </is>
      </c>
      <c r="C16" s="15" t="inlineStr"/>
      <c r="D16" s="16" t="inlineStr"/>
      <c r="E16" s="14" t="inlineStr">
        <is>
          <t>B — Moderate</t>
        </is>
      </c>
      <c r="F16" s="16" t="inlineStr"/>
      <c r="G16" s="16" t="inlineStr"/>
      <c r="H16" s="16" t="inlineStr"/>
      <c r="I16" s="16" t="inlineStr"/>
      <c r="J16" s="16" t="inlineStr">
        <is>
          <t>Referred to University</t>
        </is>
      </c>
    </row>
    <row r="17" ht="24" customHeight="1">
      <c r="B17" s="8" t="inlineStr">
        <is>
          <t>SDC/2024/0012</t>
        </is>
      </c>
      <c r="C17" s="9" t="inlineStr"/>
      <c r="D17" s="10" t="inlineStr"/>
      <c r="E17" s="8" t="inlineStr">
        <is>
          <t>C — Serious</t>
        </is>
      </c>
      <c r="F17" s="10" t="inlineStr"/>
      <c r="G17" s="10" t="inlineStr"/>
      <c r="H17" s="10" t="inlineStr"/>
      <c r="I17" s="10" t="inlineStr"/>
      <c r="J17" s="10" t="inlineStr">
        <is>
          <t>Open — Inquiry Pending</t>
        </is>
      </c>
    </row>
    <row r="18" ht="24" customHeight="1">
      <c r="B18" s="14" t="inlineStr">
        <is>
          <t>SDC/2024/0013</t>
        </is>
      </c>
      <c r="C18" s="15" t="inlineStr"/>
      <c r="D18" s="16" t="inlineStr"/>
      <c r="E18" s="14" t="inlineStr">
        <is>
          <t>A — Minor</t>
        </is>
      </c>
      <c r="F18" s="16" t="inlineStr"/>
      <c r="G18" s="16" t="inlineStr"/>
      <c r="H18" s="16" t="inlineStr"/>
      <c r="I18" s="16" t="inlineStr"/>
      <c r="J18" s="16" t="inlineStr">
        <is>
          <t>Inquiry In-Progress</t>
        </is>
      </c>
    </row>
    <row r="19" ht="24" customHeight="1">
      <c r="B19" s="8" t="inlineStr">
        <is>
          <t>SDC/2025/0014</t>
        </is>
      </c>
      <c r="C19" s="9" t="inlineStr"/>
      <c r="D19" s="10" t="inlineStr"/>
      <c r="E19" s="8" t="inlineStr">
        <is>
          <t>B — Moderate</t>
        </is>
      </c>
      <c r="F19" s="10" t="inlineStr"/>
      <c r="G19" s="10" t="inlineStr"/>
      <c r="H19" s="10" t="inlineStr"/>
      <c r="I19" s="10" t="inlineStr"/>
      <c r="J19" s="10" t="inlineStr">
        <is>
          <t>Show-Cause Issued</t>
        </is>
      </c>
    </row>
    <row r="20" ht="24" customHeight="1">
      <c r="B20" s="14" t="inlineStr">
        <is>
          <t>SDC/2025/0015</t>
        </is>
      </c>
      <c r="C20" s="15" t="inlineStr"/>
      <c r="D20" s="16" t="inlineStr"/>
      <c r="E20" s="14" t="inlineStr">
        <is>
          <t>C — Serious</t>
        </is>
      </c>
      <c r="F20" s="16" t="inlineStr"/>
      <c r="G20" s="16" t="inlineStr"/>
      <c r="H20" s="16" t="inlineStr"/>
      <c r="I20" s="16" t="inlineStr"/>
      <c r="J20" s="16" t="inlineStr">
        <is>
          <t>Hearing Scheduled</t>
        </is>
      </c>
    </row>
    <row r="21" ht="24" customHeight="1">
      <c r="B21" s="8" t="inlineStr">
        <is>
          <t>SDC/2025/0016</t>
        </is>
      </c>
      <c r="C21" s="9" t="inlineStr"/>
      <c r="D21" s="10" t="inlineStr"/>
      <c r="E21" s="8" t="inlineStr">
        <is>
          <t>A — Minor</t>
        </is>
      </c>
      <c r="F21" s="10" t="inlineStr"/>
      <c r="G21" s="10" t="inlineStr"/>
      <c r="H21" s="10" t="inlineStr"/>
      <c r="I21" s="10" t="inlineStr"/>
      <c r="J21" s="10" t="inlineStr">
        <is>
          <t>Decision Pending</t>
        </is>
      </c>
    </row>
    <row r="22" ht="24" customHeight="1">
      <c r="B22" s="14" t="inlineStr">
        <is>
          <t>SDC/2025/0017</t>
        </is>
      </c>
      <c r="C22" s="15" t="inlineStr"/>
      <c r="D22" s="16" t="inlineStr"/>
      <c r="E22" s="14" t="inlineStr">
        <is>
          <t>B — Moderate</t>
        </is>
      </c>
      <c r="F22" s="16" t="inlineStr"/>
      <c r="G22" s="16" t="inlineStr"/>
      <c r="H22" s="16" t="inlineStr"/>
      <c r="I22" s="16" t="inlineStr"/>
      <c r="J22" s="16" t="inlineStr">
        <is>
          <t>Penalty Imposed</t>
        </is>
      </c>
    </row>
    <row r="23" ht="24" customHeight="1">
      <c r="B23" s="8" t="inlineStr">
        <is>
          <t>SDC/2025/0018</t>
        </is>
      </c>
      <c r="C23" s="9" t="inlineStr"/>
      <c r="D23" s="10" t="inlineStr"/>
      <c r="E23" s="8" t="inlineStr">
        <is>
          <t>C — Serious</t>
        </is>
      </c>
      <c r="F23" s="10" t="inlineStr"/>
      <c r="G23" s="10" t="inlineStr"/>
      <c r="H23" s="10" t="inlineStr"/>
      <c r="I23" s="10" t="inlineStr"/>
      <c r="J23" s="10" t="inlineStr">
        <is>
          <t>Appeal Filed</t>
        </is>
      </c>
    </row>
    <row r="24" ht="24" customHeight="1">
      <c r="B24" s="14" t="inlineStr">
        <is>
          <t>SDC/2025/0019</t>
        </is>
      </c>
      <c r="C24" s="15" t="inlineStr"/>
      <c r="D24" s="16" t="inlineStr"/>
      <c r="E24" s="14" t="inlineStr">
        <is>
          <t>A — Minor</t>
        </is>
      </c>
      <c r="F24" s="16" t="inlineStr"/>
      <c r="G24" s="16" t="inlineStr"/>
      <c r="H24" s="16" t="inlineStr"/>
      <c r="I24" s="16" t="inlineStr"/>
      <c r="J24" s="16" t="inlineStr">
        <is>
          <t>Closed — Resolved</t>
        </is>
      </c>
    </row>
    <row r="25" ht="24" customHeight="1">
      <c r="B25" s="8" t="inlineStr">
        <is>
          <t>SDC/2025/0020</t>
        </is>
      </c>
      <c r="C25" s="9" t="inlineStr"/>
      <c r="D25" s="10" t="inlineStr"/>
      <c r="E25" s="8" t="inlineStr">
        <is>
          <t>B — Moderate</t>
        </is>
      </c>
      <c r="F25" s="10" t="inlineStr"/>
      <c r="G25" s="10" t="inlineStr"/>
      <c r="H25" s="10" t="inlineStr"/>
      <c r="I25" s="10" t="inlineStr"/>
      <c r="J25" s="10" t="inlineStr">
        <is>
          <t>Closed — Acquitted</t>
        </is>
      </c>
    </row>
    <row r="26" ht="24" customHeight="1">
      <c r="B26" s="14" t="inlineStr">
        <is>
          <t>SDC/2025/0021</t>
        </is>
      </c>
      <c r="C26" s="15" t="inlineStr"/>
      <c r="D26" s="16" t="inlineStr"/>
      <c r="E26" s="14" t="inlineStr">
        <is>
          <t>C — Serious</t>
        </is>
      </c>
      <c r="F26" s="16" t="inlineStr"/>
      <c r="G26" s="16" t="inlineStr"/>
      <c r="H26" s="16" t="inlineStr"/>
      <c r="I26" s="16" t="inlineStr"/>
      <c r="J26" s="16" t="inlineStr">
        <is>
          <t>Referred to Police</t>
        </is>
      </c>
    </row>
    <row r="27" ht="24" customHeight="1">
      <c r="B27" s="8" t="inlineStr">
        <is>
          <t>SDC/2025/0022</t>
        </is>
      </c>
      <c r="C27" s="9" t="inlineStr"/>
      <c r="D27" s="10" t="inlineStr"/>
      <c r="E27" s="8" t="inlineStr">
        <is>
          <t>A — Minor</t>
        </is>
      </c>
      <c r="F27" s="10" t="inlineStr"/>
      <c r="G27" s="10" t="inlineStr"/>
      <c r="H27" s="10" t="inlineStr"/>
      <c r="I27" s="10" t="inlineStr"/>
      <c r="J27" s="10" t="inlineStr">
        <is>
          <t>Referred to University</t>
        </is>
      </c>
    </row>
    <row r="28" ht="24" customHeight="1">
      <c r="B28" s="14" t="inlineStr">
        <is>
          <t>SDC/2025/0023</t>
        </is>
      </c>
      <c r="C28" s="15" t="inlineStr"/>
      <c r="D28" s="16" t="inlineStr"/>
      <c r="E28" s="14" t="inlineStr">
        <is>
          <t>B — Moderate</t>
        </is>
      </c>
      <c r="F28" s="16" t="inlineStr"/>
      <c r="G28" s="16" t="inlineStr"/>
      <c r="H28" s="16" t="inlineStr"/>
      <c r="I28" s="16" t="inlineStr"/>
      <c r="J28" s="16" t="inlineStr">
        <is>
          <t>Open — Inquiry Pending</t>
        </is>
      </c>
    </row>
    <row r="29" ht="24" customHeight="1">
      <c r="B29" s="8" t="inlineStr">
        <is>
          <t>SDC/2025/0024</t>
        </is>
      </c>
      <c r="C29" s="9" t="inlineStr"/>
      <c r="D29" s="10" t="inlineStr"/>
      <c r="E29" s="8" t="inlineStr">
        <is>
          <t>C — Serious</t>
        </is>
      </c>
      <c r="F29" s="10" t="inlineStr"/>
      <c r="G29" s="10" t="inlineStr"/>
      <c r="H29" s="10" t="inlineStr"/>
      <c r="I29" s="10" t="inlineStr"/>
      <c r="J29" s="10" t="inlineStr">
        <is>
          <t>Inquiry In-Progress</t>
        </is>
      </c>
    </row>
    <row r="30" ht="24" customHeight="1">
      <c r="B30" s="14" t="inlineStr">
        <is>
          <t>SDC/2025/0025</t>
        </is>
      </c>
      <c r="C30" s="15" t="inlineStr"/>
      <c r="D30" s="16" t="inlineStr"/>
      <c r="E30" s="14" t="inlineStr">
        <is>
          <t>A — Minor</t>
        </is>
      </c>
      <c r="F30" s="16" t="inlineStr"/>
      <c r="G30" s="16" t="inlineStr"/>
      <c r="H30" s="16" t="inlineStr"/>
      <c r="I30" s="16" t="inlineStr"/>
      <c r="J30" s="16" t="inlineStr">
        <is>
          <t>Show-Cause Issued</t>
        </is>
      </c>
    </row>
    <row r="31" ht="24" customHeight="1">
      <c r="B31" s="8" t="inlineStr">
        <is>
          <t>SDC/2025/0026</t>
        </is>
      </c>
      <c r="C31" s="9" t="inlineStr"/>
      <c r="D31" s="10" t="inlineStr"/>
      <c r="E31" s="8" t="inlineStr">
        <is>
          <t>B — Moderate</t>
        </is>
      </c>
      <c r="F31" s="10" t="inlineStr"/>
      <c r="G31" s="10" t="inlineStr"/>
      <c r="H31" s="10" t="inlineStr"/>
      <c r="I31" s="10" t="inlineStr"/>
      <c r="J31" s="10" t="inlineStr">
        <is>
          <t>Hearing Scheduled</t>
        </is>
      </c>
    </row>
    <row r="32" ht="24" customHeight="1"/>
    <row r="33" ht="24" customHeight="1">
      <c r="B33" s="35" t="inlineStr">
        <is>
          <t>CASE REGISTER SUMMARY</t>
        </is>
      </c>
    </row>
    <row r="34" ht="24" customHeight="1">
      <c r="B34" s="61" t="inlineStr">
        <is>
          <t>Total Cases Registered</t>
        </is>
      </c>
      <c r="F34" s="37">
        <f>COUNTA(B6:B31)</f>
        <v/>
      </c>
    </row>
    <row r="35" ht="24" customHeight="1">
      <c r="B35" s="26" t="inlineStr">
        <is>
          <t>Category A (Minor)</t>
        </is>
      </c>
      <c r="F35" s="38">
        <f>COUNTIF(E6:E31,"A — Minor")</f>
        <v/>
      </c>
    </row>
    <row r="36" ht="24" customHeight="1">
      <c r="B36" s="61" t="inlineStr">
        <is>
          <t>Category B (Moderate)</t>
        </is>
      </c>
      <c r="F36" s="37">
        <f>COUNTIF(E6:E31,"B — Moderate")</f>
        <v/>
      </c>
    </row>
    <row r="37" ht="24" customHeight="1">
      <c r="B37" s="26" t="inlineStr">
        <is>
          <t>Category C (Serious)</t>
        </is>
      </c>
      <c r="F37" s="38">
        <f>COUNTIF(E6:E31,"C — Serious")</f>
        <v/>
      </c>
    </row>
    <row r="38">
      <c r="B38" s="61" t="inlineStr">
        <is>
          <t>Cases Closed (Resolved)</t>
        </is>
      </c>
      <c r="F38" s="37">
        <f>COUNTIF(J6:J31,"Closed — Resolved")</f>
        <v/>
      </c>
    </row>
    <row r="39">
      <c r="B39" s="26" t="inlineStr">
        <is>
          <t>Cases Closed (Acquitted)</t>
        </is>
      </c>
      <c r="F39" s="38">
        <f>COUNTIF(J6:J31,"Closed — Acquitted")</f>
        <v/>
      </c>
    </row>
    <row r="40">
      <c r="B40" s="61" t="inlineStr">
        <is>
          <t>Cases Referred to Police</t>
        </is>
      </c>
      <c r="F40" s="37">
        <f>COUNTIF(J6:J31,"Referred to Police")</f>
        <v/>
      </c>
    </row>
    <row r="41">
      <c r="B41" s="26" t="inlineStr">
        <is>
          <t>Cases Pending (Open)</t>
        </is>
      </c>
      <c r="F41" s="38" t="inlineStr"/>
    </row>
  </sheetData>
  <mergeCells count="20">
    <mergeCell ref="B40:E40"/>
    <mergeCell ref="F34:J34"/>
    <mergeCell ref="F40:J40"/>
    <mergeCell ref="B36:E36"/>
    <mergeCell ref="B41:E41"/>
    <mergeCell ref="B35:E35"/>
    <mergeCell ref="F36:J36"/>
    <mergeCell ref="F41:J41"/>
    <mergeCell ref="F35:J35"/>
    <mergeCell ref="B33:J33"/>
    <mergeCell ref="F38:J38"/>
    <mergeCell ref="B39:E39"/>
    <mergeCell ref="B4:J4"/>
    <mergeCell ref="B3:J3"/>
    <mergeCell ref="F37:J37"/>
    <mergeCell ref="F39:J39"/>
    <mergeCell ref="B38:E38"/>
    <mergeCell ref="B37:E37"/>
    <mergeCell ref="B2:J2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SDC-09: INQUIRY PROCEEDINGS LOG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Case Ref.: _______  Student Name / Code: _______  Inquiry Cmte. Chair: _______  Date Constituted: _______</t>
        </is>
      </c>
    </row>
    <row r="5" ht="24" customHeight="1">
      <c r="B5" s="20" t="inlineStr">
        <is>
          <t>CASE SUMMARY</t>
        </is>
      </c>
    </row>
    <row r="6" ht="26" customHeight="1">
      <c r="B6" s="55" t="inlineStr">
        <is>
          <t>Offence Alleged:</t>
        </is>
      </c>
      <c r="C6" s="9" t="n"/>
    </row>
    <row r="7" ht="26" customHeight="1">
      <c r="B7" s="55" t="inlineStr">
        <is>
          <t>Category of Offence:</t>
        </is>
      </c>
      <c r="C7" s="56" t="inlineStr">
        <is>
          <t>[ ] A — Minor  [ ] B — Moderate  [ ] C — Serious</t>
        </is>
      </c>
    </row>
    <row r="8" ht="26" customHeight="1">
      <c r="B8" s="55" t="inlineStr">
        <is>
          <t>Incident Date:</t>
        </is>
      </c>
      <c r="C8" s="9" t="n"/>
    </row>
    <row r="9" ht="26" customHeight="1">
      <c r="B9" s="55" t="inlineStr">
        <is>
          <t>Date Inquiry Constituted:</t>
        </is>
      </c>
      <c r="C9" s="9" t="n"/>
    </row>
    <row r="10" ht="26" customHeight="1">
      <c r="B10" s="55" t="inlineStr">
        <is>
          <t>Inquiry Committee Members:</t>
        </is>
      </c>
      <c r="C10" s="9" t="n"/>
    </row>
    <row r="11" ht="26" customHeight="1">
      <c r="B11" s="55" t="inlineStr">
        <is>
          <t>Timeline for Report:</t>
        </is>
      </c>
      <c r="C11" s="56" t="inlineStr">
        <is>
          <t>[ ] 7 days (Category A)  [ ] 15 days (Category B)  [ ] 30 days (Category C)</t>
        </is>
      </c>
    </row>
    <row r="12" ht="32" customHeight="1"/>
    <row r="13" ht="24" customHeight="1">
      <c r="B13" s="35" t="inlineStr">
        <is>
          <t>HEARING LOG</t>
        </is>
      </c>
    </row>
    <row r="14" ht="32" customHeight="1">
      <c r="B14" s="31" t="inlineStr">
        <is>
          <t>Hearing
No.</t>
        </is>
      </c>
      <c r="C14" s="31" t="inlineStr">
        <is>
          <t>Date</t>
        </is>
      </c>
      <c r="D14" s="31" t="inlineStr">
        <is>
          <t>Persons
Present</t>
        </is>
      </c>
      <c r="E14" s="31" t="inlineStr">
        <is>
          <t>Key Points Discussed / Evidence Examined</t>
        </is>
      </c>
    </row>
    <row r="15" ht="50" customHeight="1">
      <c r="B15" s="32" t="inlineStr">
        <is>
          <t>Hearing 1</t>
        </is>
      </c>
      <c r="C15" s="34" t="inlineStr"/>
      <c r="D15" s="33" t="inlineStr"/>
      <c r="E15" s="33" t="inlineStr"/>
    </row>
    <row r="16" ht="50" customHeight="1">
      <c r="B16" s="8" t="inlineStr">
        <is>
          <t>Hearing 2</t>
        </is>
      </c>
      <c r="C16" s="10" t="inlineStr"/>
      <c r="D16" s="9" t="inlineStr"/>
      <c r="E16" s="9" t="inlineStr"/>
    </row>
    <row r="17" ht="50" customHeight="1">
      <c r="B17" s="32" t="inlineStr">
        <is>
          <t>Hearing 3</t>
        </is>
      </c>
      <c r="C17" s="34" t="inlineStr"/>
      <c r="D17" s="33" t="inlineStr"/>
      <c r="E17" s="33" t="inlineStr"/>
    </row>
    <row r="18" ht="50" customHeight="1">
      <c r="B18" s="8" t="inlineStr">
        <is>
          <t>Hearing 4</t>
        </is>
      </c>
      <c r="C18" s="10" t="inlineStr"/>
      <c r="D18" s="9" t="inlineStr"/>
      <c r="E18" s="9" t="inlineStr"/>
    </row>
    <row r="19" ht="50" customHeight="1">
      <c r="B19" s="32" t="inlineStr">
        <is>
          <t>Hearing 5</t>
        </is>
      </c>
      <c r="C19" s="34" t="inlineStr"/>
      <c r="D19" s="33" t="inlineStr"/>
      <c r="E19" s="33" t="inlineStr"/>
    </row>
    <row r="20" ht="50" customHeight="1">
      <c r="B20" s="8" t="inlineStr">
        <is>
          <t>Hearing 6</t>
        </is>
      </c>
      <c r="C20" s="10" t="inlineStr"/>
      <c r="D20" s="9" t="inlineStr"/>
      <c r="E20" s="9" t="inlineStr"/>
    </row>
    <row r="21" ht="32" customHeight="1"/>
    <row r="22" ht="24" customHeight="1">
      <c r="B22" s="50" t="inlineStr">
        <is>
          <t>INQUIRY FINDINGS &amp; RECOMMENDATION</t>
        </is>
      </c>
    </row>
    <row r="23" ht="22" customHeight="1">
      <c r="B23" s="62" t="inlineStr">
        <is>
          <t>Summary of Allegations Examined:</t>
        </is>
      </c>
    </row>
    <row r="24" ht="26" customHeight="1">
      <c r="B24" s="60" t="inlineStr"/>
    </row>
    <row r="25" ht="32" customHeight="1"/>
    <row r="26" ht="22" customHeight="1">
      <c r="B26" s="62" t="inlineStr">
        <is>
          <t>Evidence Considered:</t>
        </is>
      </c>
    </row>
    <row r="27" ht="70" customHeight="1">
      <c r="B27" s="60" t="inlineStr"/>
    </row>
    <row r="28" ht="32" customHeight="1"/>
    <row r="29" ht="22" customHeight="1">
      <c r="B29" s="62" t="inlineStr">
        <is>
          <t>Student's Defence (Summary):</t>
        </is>
      </c>
    </row>
    <row r="30" ht="70" customHeight="1">
      <c r="B30" s="60" t="inlineStr"/>
    </row>
    <row r="31" ht="32" customHeight="1"/>
    <row r="32" ht="22" customHeight="1">
      <c r="B32" s="62" t="inlineStr">
        <is>
          <t>Witness Accounts (Summary):</t>
        </is>
      </c>
    </row>
    <row r="33" ht="70" customHeight="1">
      <c r="B33" s="60" t="inlineStr"/>
    </row>
    <row r="34" ht="32" customHeight="1"/>
    <row r="35" ht="22" customHeight="1">
      <c r="B35" s="62" t="inlineStr">
        <is>
          <t>Inquiry Committee's Findings:</t>
        </is>
      </c>
    </row>
    <row r="36" ht="100" customHeight="1">
      <c r="B36" s="60" t="inlineStr"/>
    </row>
    <row r="37" ht="32" customHeight="1"/>
    <row r="38" ht="22" customHeight="1">
      <c r="B38" s="62" t="inlineStr">
        <is>
          <t>Recommendation to SDC:</t>
        </is>
      </c>
    </row>
    <row r="39" ht="60" customHeight="1">
      <c r="B39" s="60" t="inlineStr"/>
    </row>
    <row r="40" ht="32" customHeight="1"/>
    <row r="41" ht="32" customHeight="1">
      <c r="B41" s="30" t="inlineStr">
        <is>
          <t>Inquiry Committee Chair Signature: ___________________    Date: ___________________    Report Submitted to SDC: ___________________</t>
        </is>
      </c>
    </row>
  </sheetData>
  <mergeCells count="29">
    <mergeCell ref="B27:E28"/>
    <mergeCell ref="C9:E9"/>
    <mergeCell ref="B24:E24"/>
    <mergeCell ref="B5:E5"/>
    <mergeCell ref="B32:E32"/>
    <mergeCell ref="B26:E26"/>
    <mergeCell ref="B41:E41"/>
    <mergeCell ref="C11:E11"/>
    <mergeCell ref="B35:E35"/>
    <mergeCell ref="B4:E4"/>
    <mergeCell ref="B39:E40"/>
    <mergeCell ref="C8:E8"/>
    <mergeCell ref="B25:E25"/>
    <mergeCell ref="B3:E3"/>
    <mergeCell ref="C7:E7"/>
    <mergeCell ref="B22:E22"/>
    <mergeCell ref="B24:E25"/>
    <mergeCell ref="B27:E27"/>
    <mergeCell ref="B36:E37"/>
    <mergeCell ref="B33:E34"/>
    <mergeCell ref="B2:E2"/>
    <mergeCell ref="C6:E6"/>
    <mergeCell ref="B23:E23"/>
    <mergeCell ref="B30:E31"/>
    <mergeCell ref="B13:E13"/>
    <mergeCell ref="B38:E38"/>
    <mergeCell ref="B29:E29"/>
    <mergeCell ref="B28:E28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SDC-10: SHOW-CAUSE NOTICE ISSUE &amp; RESPONSE REGISTER</t>
        </is>
      </c>
    </row>
    <row r="3" ht="18" customHeight="1">
      <c r="B3" s="19" t="inlineStr">
        <is>
          <t>CONFIDENTIAL — Natural Justice Requirement: Show-cause notice mandatory before any SDC penalty. Min. 48 hrs response time to be given.</t>
        </is>
      </c>
    </row>
    <row r="4" ht="25" customHeight="1">
      <c r="B4" s="13" t="inlineStr">
        <is>
          <t>SCN
Ref.</t>
        </is>
      </c>
      <c r="C4" s="13" t="inlineStr">
        <is>
          <t>Student Name
/ Code</t>
        </is>
      </c>
      <c r="D4" s="13" t="inlineStr">
        <is>
          <t>Case
Ref.</t>
        </is>
      </c>
      <c r="E4" s="13" t="inlineStr">
        <is>
          <t>SCN Issue
Date</t>
        </is>
      </c>
      <c r="F4" s="13" t="inlineStr">
        <is>
          <t>Response
Deadline</t>
        </is>
      </c>
      <c r="G4" s="13" t="inlineStr">
        <is>
          <t>Response
Received</t>
        </is>
      </c>
      <c r="H4" s="13" t="inlineStr">
        <is>
          <t>Student
Response (Y/N)</t>
        </is>
      </c>
      <c r="I4" s="13" t="inlineStr">
        <is>
          <t>Response
Summary</t>
        </is>
      </c>
      <c r="J4" s="13" t="inlineStr">
        <is>
          <t>Next
Action</t>
        </is>
      </c>
    </row>
    <row r="5" ht="24" customHeight="1">
      <c r="B5" s="14" t="inlineStr">
        <is>
          <t>SCN/2024/001</t>
        </is>
      </c>
      <c r="C5" s="15" t="inlineStr"/>
      <c r="D5" s="16" t="inlineStr">
        <is>
          <t>SDC/2024/0001</t>
        </is>
      </c>
      <c r="E5" s="16" t="inlineStr"/>
      <c r="F5" s="16" t="inlineStr"/>
      <c r="G5" s="16" t="inlineStr"/>
      <c r="H5" s="16" t="inlineStr">
        <is>
          <t>Y</t>
        </is>
      </c>
      <c r="I5" s="15" t="inlineStr"/>
      <c r="J5" s="16" t="inlineStr">
        <is>
          <t>Schedule Hearing</t>
        </is>
      </c>
    </row>
    <row r="6" ht="24" customHeight="1">
      <c r="B6" s="8" t="inlineStr">
        <is>
          <t>SCN/2024/002</t>
        </is>
      </c>
      <c r="C6" s="9" t="inlineStr"/>
      <c r="D6" s="10" t="inlineStr">
        <is>
          <t>SDC/2024/0002</t>
        </is>
      </c>
      <c r="E6" s="10" t="inlineStr"/>
      <c r="F6" s="10" t="inlineStr"/>
      <c r="G6" s="10" t="inlineStr"/>
      <c r="H6" s="10" t="inlineStr">
        <is>
          <t>Y</t>
        </is>
      </c>
      <c r="I6" s="9" t="inlineStr"/>
      <c r="J6" s="10" t="inlineStr">
        <is>
          <t>Schedule Hearing</t>
        </is>
      </c>
    </row>
    <row r="7" ht="24" customHeight="1">
      <c r="B7" s="14" t="inlineStr">
        <is>
          <t>SCN/2024/003</t>
        </is>
      </c>
      <c r="C7" s="15" t="inlineStr"/>
      <c r="D7" s="16" t="inlineStr">
        <is>
          <t>SDC/2024/0003</t>
        </is>
      </c>
      <c r="E7" s="16" t="inlineStr"/>
      <c r="F7" s="16" t="inlineStr"/>
      <c r="G7" s="16" t="inlineStr"/>
      <c r="H7" s="16" t="inlineStr">
        <is>
          <t>Y</t>
        </is>
      </c>
      <c r="I7" s="15" t="inlineStr"/>
      <c r="J7" s="16" t="inlineStr">
        <is>
          <t>Schedule Hearing</t>
        </is>
      </c>
    </row>
    <row r="8" ht="24" customHeight="1">
      <c r="B8" s="8" t="inlineStr">
        <is>
          <t>SCN/2024/004</t>
        </is>
      </c>
      <c r="C8" s="9" t="inlineStr"/>
      <c r="D8" s="10" t="inlineStr">
        <is>
          <t>SDC/2024/0004</t>
        </is>
      </c>
      <c r="E8" s="10" t="inlineStr"/>
      <c r="F8" s="10" t="inlineStr"/>
      <c r="G8" s="10" t="inlineStr"/>
      <c r="H8" s="10" t="inlineStr">
        <is>
          <t>Y</t>
        </is>
      </c>
      <c r="I8" s="9" t="inlineStr"/>
      <c r="J8" s="10" t="inlineStr">
        <is>
          <t>Schedule Hearing</t>
        </is>
      </c>
    </row>
    <row r="9" ht="24" customHeight="1">
      <c r="B9" s="14" t="inlineStr">
        <is>
          <t>SCN/2024/005</t>
        </is>
      </c>
      <c r="C9" s="15" t="inlineStr"/>
      <c r="D9" s="16" t="inlineStr">
        <is>
          <t>SDC/2024/0005</t>
        </is>
      </c>
      <c r="E9" s="16" t="inlineStr"/>
      <c r="F9" s="16" t="inlineStr"/>
      <c r="G9" s="16" t="inlineStr"/>
      <c r="H9" s="16" t="inlineStr">
        <is>
          <t>Y</t>
        </is>
      </c>
      <c r="I9" s="15" t="inlineStr"/>
      <c r="J9" s="16" t="inlineStr">
        <is>
          <t>Schedule Hearing</t>
        </is>
      </c>
    </row>
    <row r="10" ht="24" customHeight="1">
      <c r="B10" s="8" t="inlineStr">
        <is>
          <t>SCN/2024/006</t>
        </is>
      </c>
      <c r="C10" s="9" t="inlineStr"/>
      <c r="D10" s="10" t="inlineStr">
        <is>
          <t>SDC/2024/0006</t>
        </is>
      </c>
      <c r="E10" s="10" t="inlineStr"/>
      <c r="F10" s="10" t="inlineStr"/>
      <c r="G10" s="10" t="inlineStr"/>
      <c r="H10" s="10" t="inlineStr">
        <is>
          <t>Y</t>
        </is>
      </c>
      <c r="I10" s="9" t="inlineStr"/>
      <c r="J10" s="10" t="inlineStr">
        <is>
          <t>Schedule Hearing</t>
        </is>
      </c>
    </row>
    <row r="11" ht="24" customHeight="1">
      <c r="B11" s="14" t="inlineStr">
        <is>
          <t>SCN/2024/007</t>
        </is>
      </c>
      <c r="C11" s="15" t="inlineStr"/>
      <c r="D11" s="16" t="inlineStr">
        <is>
          <t>SDC/2024/0007</t>
        </is>
      </c>
      <c r="E11" s="16" t="inlineStr"/>
      <c r="F11" s="16" t="inlineStr"/>
      <c r="G11" s="16" t="inlineStr"/>
      <c r="H11" s="16" t="inlineStr">
        <is>
          <t>Y</t>
        </is>
      </c>
      <c r="I11" s="15" t="inlineStr"/>
      <c r="J11" s="16" t="inlineStr">
        <is>
          <t>Schedule Hearing</t>
        </is>
      </c>
    </row>
    <row r="12" ht="24" customHeight="1">
      <c r="B12" s="8" t="inlineStr">
        <is>
          <t>SCN/2024/008</t>
        </is>
      </c>
      <c r="C12" s="9" t="inlineStr"/>
      <c r="D12" s="10" t="inlineStr">
        <is>
          <t>SDC/2024/0008</t>
        </is>
      </c>
      <c r="E12" s="10" t="inlineStr"/>
      <c r="F12" s="10" t="inlineStr"/>
      <c r="G12" s="10" t="inlineStr"/>
      <c r="H12" s="10" t="inlineStr">
        <is>
          <t>Y</t>
        </is>
      </c>
      <c r="I12" s="9" t="inlineStr"/>
      <c r="J12" s="10" t="inlineStr">
        <is>
          <t>Schedule Hearing</t>
        </is>
      </c>
    </row>
    <row r="13" ht="24" customHeight="1">
      <c r="B13" s="14" t="inlineStr">
        <is>
          <t>SCN/2024/009</t>
        </is>
      </c>
      <c r="C13" s="15" t="inlineStr"/>
      <c r="D13" s="16" t="inlineStr">
        <is>
          <t>SDC/2024/0009</t>
        </is>
      </c>
      <c r="E13" s="16" t="inlineStr"/>
      <c r="F13" s="16" t="inlineStr"/>
      <c r="G13" s="16" t="inlineStr"/>
      <c r="H13" s="16" t="inlineStr">
        <is>
          <t>Y</t>
        </is>
      </c>
      <c r="I13" s="15" t="inlineStr"/>
      <c r="J13" s="16" t="inlineStr">
        <is>
          <t>Schedule Hearing</t>
        </is>
      </c>
    </row>
    <row r="14" ht="24" customHeight="1">
      <c r="B14" s="8" t="inlineStr">
        <is>
          <t>SCN/2024/010</t>
        </is>
      </c>
      <c r="C14" s="9" t="inlineStr"/>
      <c r="D14" s="10" t="inlineStr">
        <is>
          <t>SDC/2024/0010</t>
        </is>
      </c>
      <c r="E14" s="10" t="inlineStr"/>
      <c r="F14" s="10" t="inlineStr"/>
      <c r="G14" s="10" t="inlineStr"/>
      <c r="H14" s="10" t="inlineStr">
        <is>
          <t>Y</t>
        </is>
      </c>
      <c r="I14" s="9" t="inlineStr"/>
      <c r="J14" s="10" t="inlineStr">
        <is>
          <t>Schedule Hearing</t>
        </is>
      </c>
    </row>
    <row r="15" ht="24" customHeight="1">
      <c r="B15" s="14" t="inlineStr">
        <is>
          <t>SCN/2025/011</t>
        </is>
      </c>
      <c r="C15" s="15" t="inlineStr"/>
      <c r="D15" s="16" t="inlineStr">
        <is>
          <t>SDC/2025/0011</t>
        </is>
      </c>
      <c r="E15" s="16" t="inlineStr"/>
      <c r="F15" s="16" t="inlineStr"/>
      <c r="G15" s="16" t="inlineStr"/>
      <c r="H15" s="16" t="inlineStr">
        <is>
          <t>Y</t>
        </is>
      </c>
      <c r="I15" s="15" t="inlineStr"/>
      <c r="J15" s="16" t="inlineStr">
        <is>
          <t>Schedule Hearing</t>
        </is>
      </c>
    </row>
    <row r="16" ht="24" customHeight="1">
      <c r="B16" s="8" t="inlineStr">
        <is>
          <t>SCN/2025/012</t>
        </is>
      </c>
      <c r="C16" s="9" t="inlineStr"/>
      <c r="D16" s="10" t="inlineStr">
        <is>
          <t>SDC/2025/0012</t>
        </is>
      </c>
      <c r="E16" s="10" t="inlineStr"/>
      <c r="F16" s="10" t="inlineStr"/>
      <c r="G16" s="10" t="inlineStr"/>
      <c r="H16" s="10" t="inlineStr">
        <is>
          <t>Y</t>
        </is>
      </c>
      <c r="I16" s="9" t="inlineStr"/>
      <c r="J16" s="10" t="inlineStr">
        <is>
          <t>Schedule Hearing</t>
        </is>
      </c>
    </row>
    <row r="17" ht="24" customHeight="1">
      <c r="B17" s="14" t="inlineStr">
        <is>
          <t>SCN/2025/013</t>
        </is>
      </c>
      <c r="C17" s="15" t="inlineStr"/>
      <c r="D17" s="16" t="inlineStr">
        <is>
          <t>SDC/2025/0013</t>
        </is>
      </c>
      <c r="E17" s="16" t="inlineStr"/>
      <c r="F17" s="16" t="inlineStr"/>
      <c r="G17" s="16" t="inlineStr"/>
      <c r="H17" s="16" t="inlineStr">
        <is>
          <t>Y</t>
        </is>
      </c>
      <c r="I17" s="15" t="inlineStr"/>
      <c r="J17" s="16" t="inlineStr">
        <is>
          <t>Schedule Hearing</t>
        </is>
      </c>
    </row>
    <row r="18" ht="24" customHeight="1">
      <c r="B18" s="8" t="inlineStr">
        <is>
          <t>SCN/2025/014</t>
        </is>
      </c>
      <c r="C18" s="9" t="inlineStr"/>
      <c r="D18" s="10" t="inlineStr">
        <is>
          <t>SDC/2025/0014</t>
        </is>
      </c>
      <c r="E18" s="10" t="inlineStr"/>
      <c r="F18" s="10" t="inlineStr"/>
      <c r="G18" s="10" t="inlineStr"/>
      <c r="H18" s="10" t="inlineStr">
        <is>
          <t>Y</t>
        </is>
      </c>
      <c r="I18" s="9" t="inlineStr"/>
      <c r="J18" s="10" t="inlineStr">
        <is>
          <t>Schedule Hearing</t>
        </is>
      </c>
    </row>
    <row r="19" ht="24" customHeight="1">
      <c r="B19" s="14" t="inlineStr">
        <is>
          <t>SCN/2025/015</t>
        </is>
      </c>
      <c r="C19" s="15" t="inlineStr"/>
      <c r="D19" s="16" t="inlineStr">
        <is>
          <t>SDC/2025/0015</t>
        </is>
      </c>
      <c r="E19" s="16" t="inlineStr"/>
      <c r="F19" s="16" t="inlineStr"/>
      <c r="G19" s="16" t="inlineStr"/>
      <c r="H19" s="16" t="inlineStr">
        <is>
          <t>Y</t>
        </is>
      </c>
      <c r="I19" s="15" t="inlineStr"/>
      <c r="J19" s="16" t="inlineStr">
        <is>
          <t>Schedule Hearing</t>
        </is>
      </c>
    </row>
    <row r="20" ht="24" customHeight="1">
      <c r="B20" s="8" t="inlineStr">
        <is>
          <t>SCN/2025/016</t>
        </is>
      </c>
      <c r="C20" s="9" t="inlineStr"/>
      <c r="D20" s="10" t="inlineStr">
        <is>
          <t>SDC/2025/0016</t>
        </is>
      </c>
      <c r="E20" s="10" t="inlineStr"/>
      <c r="F20" s="10" t="inlineStr"/>
      <c r="G20" s="10" t="inlineStr"/>
      <c r="H20" s="10" t="inlineStr">
        <is>
          <t>Y</t>
        </is>
      </c>
      <c r="I20" s="9" t="inlineStr"/>
      <c r="J20" s="10" t="inlineStr">
        <is>
          <t>Schedule Hearing</t>
        </is>
      </c>
    </row>
    <row r="21" ht="24" customHeight="1">
      <c r="B21" s="14" t="inlineStr">
        <is>
          <t>SCN/2025/017</t>
        </is>
      </c>
      <c r="C21" s="15" t="inlineStr"/>
      <c r="D21" s="16" t="inlineStr">
        <is>
          <t>SDC/2025/0017</t>
        </is>
      </c>
      <c r="E21" s="16" t="inlineStr"/>
      <c r="F21" s="16" t="inlineStr"/>
      <c r="G21" s="16" t="inlineStr"/>
      <c r="H21" s="16" t="inlineStr">
        <is>
          <t>Y</t>
        </is>
      </c>
      <c r="I21" s="15" t="inlineStr"/>
      <c r="J21" s="16" t="inlineStr">
        <is>
          <t>Schedule Hearing</t>
        </is>
      </c>
    </row>
    <row r="22" ht="24" customHeight="1">
      <c r="B22" s="8" t="inlineStr">
        <is>
          <t>SCN/2025/018</t>
        </is>
      </c>
      <c r="C22" s="9" t="inlineStr"/>
      <c r="D22" s="10" t="inlineStr">
        <is>
          <t>SDC/2025/0018</t>
        </is>
      </c>
      <c r="E22" s="10" t="inlineStr"/>
      <c r="F22" s="10" t="inlineStr"/>
      <c r="G22" s="10" t="inlineStr"/>
      <c r="H22" s="10" t="inlineStr">
        <is>
          <t>Y</t>
        </is>
      </c>
      <c r="I22" s="9" t="inlineStr"/>
      <c r="J22" s="10" t="inlineStr">
        <is>
          <t>Schedule Hearing</t>
        </is>
      </c>
    </row>
    <row r="23" ht="24" customHeight="1">
      <c r="B23" s="14" t="inlineStr">
        <is>
          <t>SCN/2025/019</t>
        </is>
      </c>
      <c r="C23" s="15" t="inlineStr"/>
      <c r="D23" s="16" t="inlineStr">
        <is>
          <t>SDC/2025/0019</t>
        </is>
      </c>
      <c r="E23" s="16" t="inlineStr"/>
      <c r="F23" s="16" t="inlineStr"/>
      <c r="G23" s="16" t="inlineStr"/>
      <c r="H23" s="16" t="inlineStr">
        <is>
          <t>Y</t>
        </is>
      </c>
      <c r="I23" s="15" t="inlineStr"/>
      <c r="J23" s="16" t="inlineStr">
        <is>
          <t>Schedule Hearing</t>
        </is>
      </c>
    </row>
    <row r="24" ht="24" customHeight="1">
      <c r="B24" s="8" t="inlineStr">
        <is>
          <t>SCN/2025/020</t>
        </is>
      </c>
      <c r="C24" s="9" t="inlineStr"/>
      <c r="D24" s="10" t="inlineStr">
        <is>
          <t>SDC/2025/0020</t>
        </is>
      </c>
      <c r="E24" s="10" t="inlineStr"/>
      <c r="F24" s="10" t="inlineStr"/>
      <c r="G24" s="10" t="inlineStr"/>
      <c r="H24" s="10" t="inlineStr">
        <is>
          <t>Y</t>
        </is>
      </c>
      <c r="I24" s="9" t="inlineStr"/>
      <c r="J24" s="10" t="inlineStr">
        <is>
          <t>Schedule Hearing</t>
        </is>
      </c>
    </row>
    <row r="25" ht="24" customHeight="1"/>
    <row r="26" ht="24" customHeight="1">
      <c r="B26" s="35" t="inlineStr">
        <is>
          <t>SHOW-CAUSE NOTICE COMPLIANCE SUMMARY</t>
        </is>
      </c>
    </row>
    <row r="27" ht="24" customHeight="1">
      <c r="B27" s="61" t="inlineStr">
        <is>
          <t>Total SCNs Issued</t>
        </is>
      </c>
      <c r="F27" s="37">
        <f>COUNTA(B5:B24)</f>
        <v/>
      </c>
    </row>
    <row r="28" ht="24" customHeight="1">
      <c r="B28" s="26" t="inlineStr">
        <is>
          <t>Student Responded</t>
        </is>
      </c>
      <c r="F28" s="38">
        <f>COUNTIF(H5:H24,"Y")</f>
        <v/>
      </c>
    </row>
    <row r="29" ht="24" customHeight="1">
      <c r="B29" s="61" t="inlineStr">
        <is>
          <t>Student Did Not Respond</t>
        </is>
      </c>
      <c r="F29" s="37">
        <f>COUNTIF(H5:H24,"N")</f>
        <v/>
      </c>
    </row>
    <row r="30">
      <c r="B30" s="26" t="inlineStr">
        <is>
          <t>Response Awaited</t>
        </is>
      </c>
      <c r="F30" s="38" t="inlineStr"/>
    </row>
    <row r="31">
      <c r="B31" s="61" t="inlineStr">
        <is>
          <t>Ex-parte Proceedings Initiated</t>
        </is>
      </c>
      <c r="F31" s="37" t="inlineStr"/>
    </row>
    <row r="32">
      <c r="B32" s="26" t="inlineStr">
        <is>
          <t>Average Response Time (Days)</t>
        </is>
      </c>
      <c r="F32" s="38" t="inlineStr"/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SDC-13: SDC DECISION &amp; PENALTY REGISTER</t>
        </is>
      </c>
    </row>
    <row r="3" ht="18" customHeight="1">
      <c r="B3" s="19" t="inlineStr">
        <is>
          <t>CONFIDENTIAL — Legal Document. Decisions must be unanimous or majority vote. Legal advisor to certify serious cases (Category C).</t>
        </is>
      </c>
    </row>
    <row r="4" ht="25" customHeight="1">
      <c r="B4" s="51" t="inlineStr">
        <is>
          <t>Case
Ref.</t>
        </is>
      </c>
      <c r="C4" s="51" t="inlineStr">
        <is>
          <t>Student
(Code)</t>
        </is>
      </c>
      <c r="D4" s="51" t="inlineStr">
        <is>
          <t>Offence</t>
        </is>
      </c>
      <c r="E4" s="51" t="inlineStr">
        <is>
          <t>Category</t>
        </is>
      </c>
      <c r="F4" s="51" t="inlineStr">
        <is>
          <t>Decision
Date</t>
        </is>
      </c>
      <c r="G4" s="51" t="inlineStr">
        <is>
          <t>Verdict</t>
        </is>
      </c>
      <c r="H4" s="51" t="inlineStr">
        <is>
          <t>Penalty
Awarded</t>
        </is>
      </c>
      <c r="I4" s="51" t="inlineStr">
        <is>
          <t>Effective
From</t>
        </is>
      </c>
      <c r="J4" s="51" t="inlineStr">
        <is>
          <t>Signed By</t>
        </is>
      </c>
    </row>
    <row r="5" ht="26" customHeight="1">
      <c r="B5" s="63" t="inlineStr">
        <is>
          <t>SDC/2024/0001</t>
        </is>
      </c>
      <c r="C5" s="64" t="inlineStr"/>
      <c r="D5" s="65" t="inlineStr"/>
      <c r="E5" s="63" t="inlineStr">
        <is>
          <t>A — Minor</t>
        </is>
      </c>
      <c r="F5" s="64" t="inlineStr"/>
      <c r="G5" s="64" t="inlineStr">
        <is>
          <t>Guilty — Penalty Awarded</t>
        </is>
      </c>
      <c r="H5" s="64" t="inlineStr">
        <is>
          <t>Written Warning</t>
        </is>
      </c>
      <c r="I5" s="64" t="inlineStr"/>
      <c r="J5" s="64" t="inlineStr">
        <is>
          <t>Principal</t>
        </is>
      </c>
    </row>
    <row r="6" ht="26" customHeight="1">
      <c r="B6" s="8" t="inlineStr">
        <is>
          <t>SDC/2024/0002</t>
        </is>
      </c>
      <c r="C6" s="10" t="inlineStr"/>
      <c r="D6" s="9" t="inlineStr"/>
      <c r="E6" s="8" t="inlineStr">
        <is>
          <t>B — Moderate</t>
        </is>
      </c>
      <c r="F6" s="10" t="inlineStr"/>
      <c r="G6" s="10" t="inlineStr">
        <is>
          <t>Not Guilty — Case Closed</t>
        </is>
      </c>
      <c r="H6" s="10" t="inlineStr">
        <is>
          <t>Written Apology</t>
        </is>
      </c>
      <c r="I6" s="10" t="inlineStr"/>
      <c r="J6" s="10" t="inlineStr">
        <is>
          <t>Principal</t>
        </is>
      </c>
    </row>
    <row r="7" ht="26" customHeight="1">
      <c r="B7" s="63" t="inlineStr">
        <is>
          <t>SDC/2024/0003</t>
        </is>
      </c>
      <c r="C7" s="64" t="inlineStr"/>
      <c r="D7" s="65" t="inlineStr"/>
      <c r="E7" s="63" t="inlineStr">
        <is>
          <t>C — Serious</t>
        </is>
      </c>
      <c r="F7" s="64" t="inlineStr"/>
      <c r="G7" s="64" t="inlineStr">
        <is>
          <t>Partial Guilt — Reduced Penalty</t>
        </is>
      </c>
      <c r="H7" s="64" t="inlineStr">
        <is>
          <t>Fine (₹ amount)</t>
        </is>
      </c>
      <c r="I7" s="64" t="inlineStr"/>
      <c r="J7" s="64" t="inlineStr">
        <is>
          <t>Principal</t>
        </is>
      </c>
    </row>
    <row r="8" ht="26" customHeight="1">
      <c r="B8" s="8" t="inlineStr">
        <is>
          <t>SDC/2024/0004</t>
        </is>
      </c>
      <c r="C8" s="10" t="inlineStr"/>
      <c r="D8" s="9" t="inlineStr"/>
      <c r="E8" s="8" t="inlineStr">
        <is>
          <t>A — Minor</t>
        </is>
      </c>
      <c r="F8" s="10" t="inlineStr"/>
      <c r="G8" s="10" t="inlineStr">
        <is>
          <t>Referred to Higher Authority</t>
        </is>
      </c>
      <c r="H8" s="10" t="inlineStr">
        <is>
          <t>Community Service (hrs)</t>
        </is>
      </c>
      <c r="I8" s="10" t="inlineStr"/>
      <c r="J8" s="10" t="inlineStr">
        <is>
          <t>Principal</t>
        </is>
      </c>
    </row>
    <row r="9" ht="26" customHeight="1">
      <c r="B9" s="63" t="inlineStr">
        <is>
          <t>SDC/2024/0005</t>
        </is>
      </c>
      <c r="C9" s="64" t="inlineStr"/>
      <c r="D9" s="65" t="inlineStr"/>
      <c r="E9" s="63" t="inlineStr">
        <is>
          <t>B — Moderate</t>
        </is>
      </c>
      <c r="F9" s="64" t="inlineStr"/>
      <c r="G9" s="64" t="inlineStr">
        <is>
          <t>Case Dismissed — Insufficient Evidence</t>
        </is>
      </c>
      <c r="H9" s="64" t="inlineStr">
        <is>
          <t>Suspension (1–7 days)</t>
        </is>
      </c>
      <c r="I9" s="64" t="inlineStr"/>
      <c r="J9" s="64" t="inlineStr">
        <is>
          <t>Principal</t>
        </is>
      </c>
    </row>
    <row r="10" ht="26" customHeight="1">
      <c r="B10" s="8" t="inlineStr">
        <is>
          <t>SDC/2024/0006</t>
        </is>
      </c>
      <c r="C10" s="10" t="inlineStr"/>
      <c r="D10" s="9" t="inlineStr"/>
      <c r="E10" s="8" t="inlineStr">
        <is>
          <t>C — Serious</t>
        </is>
      </c>
      <c r="F10" s="10" t="inlineStr"/>
      <c r="G10" s="10" t="inlineStr">
        <is>
          <t>Referred to Police / Legal</t>
        </is>
      </c>
      <c r="H10" s="10" t="inlineStr">
        <is>
          <t>Suspension (8–30 days)</t>
        </is>
      </c>
      <c r="I10" s="10" t="inlineStr"/>
      <c r="J10" s="10" t="inlineStr">
        <is>
          <t>Principal</t>
        </is>
      </c>
    </row>
    <row r="11" ht="26" customHeight="1">
      <c r="B11" s="63" t="inlineStr">
        <is>
          <t>SDC/2024/0007</t>
        </is>
      </c>
      <c r="C11" s="64" t="inlineStr"/>
      <c r="D11" s="65" t="inlineStr"/>
      <c r="E11" s="63" t="inlineStr">
        <is>
          <t>A — Minor</t>
        </is>
      </c>
      <c r="F11" s="64" t="inlineStr"/>
      <c r="G11" s="64" t="inlineStr">
        <is>
          <t>Guilty — Penalty Awarded</t>
        </is>
      </c>
      <c r="H11" s="64" t="inlineStr">
        <is>
          <t>Rustication</t>
        </is>
      </c>
      <c r="I11" s="64" t="inlineStr"/>
      <c r="J11" s="64" t="inlineStr">
        <is>
          <t>Principal</t>
        </is>
      </c>
    </row>
    <row r="12" ht="26" customHeight="1">
      <c r="B12" s="8" t="inlineStr">
        <is>
          <t>SDC/2024/0008</t>
        </is>
      </c>
      <c r="C12" s="10" t="inlineStr"/>
      <c r="D12" s="9" t="inlineStr"/>
      <c r="E12" s="8" t="inlineStr">
        <is>
          <t>B — Moderate</t>
        </is>
      </c>
      <c r="F12" s="10" t="inlineStr"/>
      <c r="G12" s="10" t="inlineStr">
        <is>
          <t>Not Guilty — Case Closed</t>
        </is>
      </c>
      <c r="H12" s="10" t="inlineStr">
        <is>
          <t>Expulsion</t>
        </is>
      </c>
      <c r="I12" s="10" t="inlineStr"/>
      <c r="J12" s="10" t="inlineStr">
        <is>
          <t>Principal</t>
        </is>
      </c>
    </row>
    <row r="13" ht="26" customHeight="1">
      <c r="B13" s="63" t="inlineStr">
        <is>
          <t>SDC/2024/0009</t>
        </is>
      </c>
      <c r="C13" s="64" t="inlineStr"/>
      <c r="D13" s="65" t="inlineStr"/>
      <c r="E13" s="63" t="inlineStr">
        <is>
          <t>C — Serious</t>
        </is>
      </c>
      <c r="F13" s="64" t="inlineStr"/>
      <c r="G13" s="64" t="inlineStr">
        <is>
          <t>Partial Guilt — Reduced Penalty</t>
        </is>
      </c>
      <c r="H13" s="64" t="inlineStr">
        <is>
          <t>Debarred from Exams</t>
        </is>
      </c>
      <c r="I13" s="64" t="inlineStr"/>
      <c r="J13" s="64" t="inlineStr">
        <is>
          <t>Principal</t>
        </is>
      </c>
    </row>
    <row r="14" ht="26" customHeight="1">
      <c r="B14" s="8" t="inlineStr">
        <is>
          <t>SDC/2024/0010</t>
        </is>
      </c>
      <c r="C14" s="10" t="inlineStr"/>
      <c r="D14" s="9" t="inlineStr"/>
      <c r="E14" s="8" t="inlineStr">
        <is>
          <t>A — Minor</t>
        </is>
      </c>
      <c r="F14" s="10" t="inlineStr"/>
      <c r="G14" s="10" t="inlineStr">
        <is>
          <t>Referred to Higher Authority</t>
        </is>
      </c>
      <c r="H14" s="10" t="inlineStr">
        <is>
          <t>Academic Penalty</t>
        </is>
      </c>
      <c r="I14" s="10" t="inlineStr"/>
      <c r="J14" s="10" t="inlineStr">
        <is>
          <t>Principal</t>
        </is>
      </c>
    </row>
    <row r="15" ht="26" customHeight="1">
      <c r="B15" s="63" t="inlineStr">
        <is>
          <t>SDC/2025/0011</t>
        </is>
      </c>
      <c r="C15" s="64" t="inlineStr"/>
      <c r="D15" s="65" t="inlineStr"/>
      <c r="E15" s="63" t="inlineStr">
        <is>
          <t>B — Moderate</t>
        </is>
      </c>
      <c r="F15" s="64" t="inlineStr"/>
      <c r="G15" s="64" t="inlineStr">
        <is>
          <t>Case Dismissed — Insufficient Evidence</t>
        </is>
      </c>
      <c r="H15" s="64" t="inlineStr">
        <is>
          <t>Rehabilitation Programme</t>
        </is>
      </c>
      <c r="I15" s="64" t="inlineStr"/>
      <c r="J15" s="64" t="inlineStr">
        <is>
          <t>Principal</t>
        </is>
      </c>
    </row>
    <row r="16" ht="26" customHeight="1">
      <c r="B16" s="8" t="inlineStr">
        <is>
          <t>SDC/2025/0012</t>
        </is>
      </c>
      <c r="C16" s="10" t="inlineStr"/>
      <c r="D16" s="9" t="inlineStr"/>
      <c r="E16" s="8" t="inlineStr">
        <is>
          <t>C — Serious</t>
        </is>
      </c>
      <c r="F16" s="10" t="inlineStr"/>
      <c r="G16" s="10" t="inlineStr">
        <is>
          <t>Referred to Police / Legal</t>
        </is>
      </c>
      <c r="H16" s="10" t="inlineStr">
        <is>
          <t>Written Warning</t>
        </is>
      </c>
      <c r="I16" s="10" t="inlineStr"/>
      <c r="J16" s="10" t="inlineStr">
        <is>
          <t>Principal</t>
        </is>
      </c>
    </row>
    <row r="17" ht="26" customHeight="1">
      <c r="B17" s="63" t="inlineStr">
        <is>
          <t>SDC/2025/0013</t>
        </is>
      </c>
      <c r="C17" s="64" t="inlineStr"/>
      <c r="D17" s="65" t="inlineStr"/>
      <c r="E17" s="63" t="inlineStr">
        <is>
          <t>A — Minor</t>
        </is>
      </c>
      <c r="F17" s="64" t="inlineStr"/>
      <c r="G17" s="64" t="inlineStr">
        <is>
          <t>Guilty — Penalty Awarded</t>
        </is>
      </c>
      <c r="H17" s="64" t="inlineStr">
        <is>
          <t>Written Apology</t>
        </is>
      </c>
      <c r="I17" s="64" t="inlineStr"/>
      <c r="J17" s="64" t="inlineStr">
        <is>
          <t>Principal</t>
        </is>
      </c>
    </row>
    <row r="18" ht="26" customHeight="1">
      <c r="B18" s="8" t="inlineStr">
        <is>
          <t>SDC/2025/0014</t>
        </is>
      </c>
      <c r="C18" s="10" t="inlineStr"/>
      <c r="D18" s="9" t="inlineStr"/>
      <c r="E18" s="8" t="inlineStr">
        <is>
          <t>B — Moderate</t>
        </is>
      </c>
      <c r="F18" s="10" t="inlineStr"/>
      <c r="G18" s="10" t="inlineStr">
        <is>
          <t>Not Guilty — Case Closed</t>
        </is>
      </c>
      <c r="H18" s="10" t="inlineStr">
        <is>
          <t>Fine (₹ amount)</t>
        </is>
      </c>
      <c r="I18" s="10" t="inlineStr"/>
      <c r="J18" s="10" t="inlineStr">
        <is>
          <t>Principal</t>
        </is>
      </c>
    </row>
    <row r="19" ht="26" customHeight="1">
      <c r="B19" s="63" t="inlineStr">
        <is>
          <t>SDC/2025/0015</t>
        </is>
      </c>
      <c r="C19" s="64" t="inlineStr"/>
      <c r="D19" s="65" t="inlineStr"/>
      <c r="E19" s="63" t="inlineStr">
        <is>
          <t>C — Serious</t>
        </is>
      </c>
      <c r="F19" s="64" t="inlineStr"/>
      <c r="G19" s="64" t="inlineStr">
        <is>
          <t>Partial Guilt — Reduced Penalty</t>
        </is>
      </c>
      <c r="H19" s="64" t="inlineStr">
        <is>
          <t>Community Service (hrs)</t>
        </is>
      </c>
      <c r="I19" s="64" t="inlineStr"/>
      <c r="J19" s="64" t="inlineStr">
        <is>
          <t>Principal</t>
        </is>
      </c>
    </row>
    <row r="20" ht="26" customHeight="1">
      <c r="B20" s="8" t="inlineStr">
        <is>
          <t>SDC/2025/0016</t>
        </is>
      </c>
      <c r="C20" s="10" t="inlineStr"/>
      <c r="D20" s="9" t="inlineStr"/>
      <c r="E20" s="8" t="inlineStr">
        <is>
          <t>A — Minor</t>
        </is>
      </c>
      <c r="F20" s="10" t="inlineStr"/>
      <c r="G20" s="10" t="inlineStr">
        <is>
          <t>Referred to Higher Authority</t>
        </is>
      </c>
      <c r="H20" s="10" t="inlineStr">
        <is>
          <t>Suspension (1–7 days)</t>
        </is>
      </c>
      <c r="I20" s="10" t="inlineStr"/>
      <c r="J20" s="10" t="inlineStr">
        <is>
          <t>Principal</t>
        </is>
      </c>
    </row>
    <row r="21" ht="26" customHeight="1">
      <c r="B21" s="63" t="inlineStr">
        <is>
          <t>SDC/2025/0017</t>
        </is>
      </c>
      <c r="C21" s="64" t="inlineStr"/>
      <c r="D21" s="65" t="inlineStr"/>
      <c r="E21" s="63" t="inlineStr">
        <is>
          <t>B — Moderate</t>
        </is>
      </c>
      <c r="F21" s="64" t="inlineStr"/>
      <c r="G21" s="64" t="inlineStr">
        <is>
          <t>Case Dismissed — Insufficient Evidence</t>
        </is>
      </c>
      <c r="H21" s="64" t="inlineStr">
        <is>
          <t>Suspension (8–30 days)</t>
        </is>
      </c>
      <c r="I21" s="64" t="inlineStr"/>
      <c r="J21" s="64" t="inlineStr">
        <is>
          <t>Principal</t>
        </is>
      </c>
    </row>
    <row r="22" ht="26" customHeight="1">
      <c r="B22" s="8" t="inlineStr">
        <is>
          <t>SDC/2025/0018</t>
        </is>
      </c>
      <c r="C22" s="10" t="inlineStr"/>
      <c r="D22" s="9" t="inlineStr"/>
      <c r="E22" s="8" t="inlineStr">
        <is>
          <t>C — Serious</t>
        </is>
      </c>
      <c r="F22" s="10" t="inlineStr"/>
      <c r="G22" s="10" t="inlineStr">
        <is>
          <t>Referred to Police / Legal</t>
        </is>
      </c>
      <c r="H22" s="10" t="inlineStr">
        <is>
          <t>Rustication</t>
        </is>
      </c>
      <c r="I22" s="10" t="inlineStr"/>
      <c r="J22" s="10" t="inlineStr">
        <is>
          <t>Principal</t>
        </is>
      </c>
    </row>
    <row r="23" ht="26" customHeight="1">
      <c r="B23" s="63" t="inlineStr">
        <is>
          <t>SDC/2025/0019</t>
        </is>
      </c>
      <c r="C23" s="64" t="inlineStr"/>
      <c r="D23" s="65" t="inlineStr"/>
      <c r="E23" s="63" t="inlineStr">
        <is>
          <t>A — Minor</t>
        </is>
      </c>
      <c r="F23" s="64" t="inlineStr"/>
      <c r="G23" s="64" t="inlineStr">
        <is>
          <t>Guilty — Penalty Awarded</t>
        </is>
      </c>
      <c r="H23" s="64" t="inlineStr">
        <is>
          <t>Expulsion</t>
        </is>
      </c>
      <c r="I23" s="64" t="inlineStr"/>
      <c r="J23" s="64" t="inlineStr">
        <is>
          <t>Principal</t>
        </is>
      </c>
    </row>
    <row r="24" ht="26" customHeight="1">
      <c r="B24" s="8" t="inlineStr">
        <is>
          <t>SDC/2025/0020</t>
        </is>
      </c>
      <c r="C24" s="10" t="inlineStr"/>
      <c r="D24" s="9" t="inlineStr"/>
      <c r="E24" s="8" t="inlineStr">
        <is>
          <t>B — Moderate</t>
        </is>
      </c>
      <c r="F24" s="10" t="inlineStr"/>
      <c r="G24" s="10" t="inlineStr">
        <is>
          <t>Not Guilty — Case Closed</t>
        </is>
      </c>
      <c r="H24" s="10" t="inlineStr">
        <is>
          <t>Debarred from Exams</t>
        </is>
      </c>
      <c r="I24" s="10" t="inlineStr"/>
      <c r="J24" s="10" t="inlineStr">
        <is>
          <t>Principal</t>
        </is>
      </c>
    </row>
    <row r="25" ht="26" customHeight="1"/>
    <row r="26" ht="24" customHeight="1">
      <c r="B26" s="50" t="inlineStr">
        <is>
          <t>DECISION STATISTICS</t>
        </is>
      </c>
    </row>
    <row r="27" ht="26" customHeight="1">
      <c r="B27" s="66" t="inlineStr">
        <is>
          <t>Total Cases Decided</t>
        </is>
      </c>
      <c r="F27" s="37">
        <f>COUNTA(B5:B24)</f>
        <v/>
      </c>
    </row>
    <row r="28" ht="26" customHeight="1">
      <c r="B28" s="26" t="inlineStr">
        <is>
          <t>Guilty — Penalty Awarded</t>
        </is>
      </c>
      <c r="F28" s="38">
        <f>COUNTIF(G5:G24,"Guilty — Penalty Awarded")</f>
        <v/>
      </c>
    </row>
    <row r="29" ht="26" customHeight="1">
      <c r="B29" s="66" t="inlineStr">
        <is>
          <t>Not Guilty</t>
        </is>
      </c>
      <c r="F29" s="37">
        <f>COUNTIF(G5:G24,"Not Guilty — Case Closed")</f>
        <v/>
      </c>
    </row>
    <row r="30" ht="26" customHeight="1">
      <c r="B30" s="26" t="inlineStr">
        <is>
          <t>Referred to Police / Legal</t>
        </is>
      </c>
      <c r="F30" s="38">
        <f>COUNTIF(G5:G24,"Referred to Police / Legal")</f>
        <v/>
      </c>
    </row>
    <row r="31" ht="26" customHeight="1">
      <c r="B31" s="66" t="inlineStr">
        <is>
          <t>Most Common Penalty</t>
        </is>
      </c>
      <c r="F31" s="37" t="inlineStr"/>
    </row>
    <row r="32" ht="26" customHeight="1">
      <c r="B32" s="26" t="inlineStr">
        <is>
          <t>Appeals Filed (% of decisions)</t>
        </is>
      </c>
      <c r="F32" s="38" t="inlineStr"/>
    </row>
    <row r="33" ht="26" customHeight="1"/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SDC-15: SUSPENSION / RUSTICATION ORDER REGISTER</t>
        </is>
      </c>
    </row>
    <row r="3" ht="18" customHeight="1">
      <c r="B3" s="19" t="inlineStr">
        <is>
          <t>CONFIDENTIAL — University to be notified of rustication within 48 hours. Parents to be notified on same day as order. Copy to Anti-Ragging cell for ragging cases.</t>
        </is>
      </c>
    </row>
    <row r="4" ht="25" customHeight="1">
      <c r="B4" s="51" t="inlineStr">
        <is>
          <t>Order
Ref.</t>
        </is>
      </c>
      <c r="C4" s="51" t="inlineStr">
        <is>
          <t>Student Name
/ Code</t>
        </is>
      </c>
      <c r="D4" s="51" t="inlineStr">
        <is>
          <t>Dept.</t>
        </is>
      </c>
      <c r="E4" s="51" t="inlineStr">
        <is>
          <t>Order Type</t>
        </is>
      </c>
      <c r="F4" s="51" t="inlineStr">
        <is>
          <t>Effective
From</t>
        </is>
      </c>
      <c r="G4" s="51" t="inlineStr">
        <is>
          <t>Effective
Upto</t>
        </is>
      </c>
      <c r="H4" s="51" t="inlineStr">
        <is>
          <t>Days</t>
        </is>
      </c>
      <c r="I4" s="51" t="inlineStr">
        <is>
          <t>Parent
Notified</t>
        </is>
      </c>
      <c r="J4" s="51" t="inlineStr">
        <is>
          <t>University
Notified</t>
        </is>
      </c>
    </row>
    <row r="5" ht="24" customHeight="1">
      <c r="B5" s="63" t="inlineStr">
        <is>
          <t>SUSP/2024/001</t>
        </is>
      </c>
      <c r="C5" s="65" t="inlineStr"/>
      <c r="D5" s="64" t="inlineStr"/>
      <c r="E5" s="64" t="inlineStr">
        <is>
          <t>Suspension (1–3 days)</t>
        </is>
      </c>
      <c r="F5" s="64" t="inlineStr"/>
      <c r="G5" s="64" t="inlineStr"/>
      <c r="H5" s="64">
        <f>IFERROR(G5-F5,"")</f>
        <v/>
      </c>
      <c r="I5" s="64" t="inlineStr">
        <is>
          <t>Y</t>
        </is>
      </c>
      <c r="J5" s="64" t="inlineStr">
        <is>
          <t>Y</t>
        </is>
      </c>
    </row>
    <row r="6" ht="24" customHeight="1">
      <c r="B6" s="8" t="inlineStr">
        <is>
          <t>SUSP/2024/002</t>
        </is>
      </c>
      <c r="C6" s="9" t="inlineStr"/>
      <c r="D6" s="10" t="inlineStr"/>
      <c r="E6" s="10" t="inlineStr">
        <is>
          <t>Suspension (4–7 days)</t>
        </is>
      </c>
      <c r="F6" s="10" t="inlineStr"/>
      <c r="G6" s="10" t="inlineStr"/>
      <c r="H6" s="10">
        <f>IFERROR(G6-F6,"")</f>
        <v/>
      </c>
      <c r="I6" s="10" t="inlineStr">
        <is>
          <t>Y</t>
        </is>
      </c>
      <c r="J6" s="10" t="inlineStr">
        <is>
          <t>Y</t>
        </is>
      </c>
    </row>
    <row r="7" ht="24" customHeight="1">
      <c r="B7" s="63" t="inlineStr">
        <is>
          <t>SUSP/2024/003</t>
        </is>
      </c>
      <c r="C7" s="65" t="inlineStr"/>
      <c r="D7" s="64" t="inlineStr"/>
      <c r="E7" s="64" t="inlineStr">
        <is>
          <t>Suspension (8–15 days)</t>
        </is>
      </c>
      <c r="F7" s="64" t="inlineStr"/>
      <c r="G7" s="64" t="inlineStr"/>
      <c r="H7" s="64">
        <f>IFERROR(G7-F7,"")</f>
        <v/>
      </c>
      <c r="I7" s="64" t="inlineStr">
        <is>
          <t>Y</t>
        </is>
      </c>
      <c r="J7" s="64" t="inlineStr">
        <is>
          <t>Y</t>
        </is>
      </c>
    </row>
    <row r="8" ht="24" customHeight="1">
      <c r="B8" s="8" t="inlineStr">
        <is>
          <t>SUSP/2024/004</t>
        </is>
      </c>
      <c r="C8" s="9" t="inlineStr"/>
      <c r="D8" s="10" t="inlineStr"/>
      <c r="E8" s="10" t="inlineStr">
        <is>
          <t>Suspension (16–30 days)</t>
        </is>
      </c>
      <c r="F8" s="10" t="inlineStr"/>
      <c r="G8" s="10" t="inlineStr"/>
      <c r="H8" s="10">
        <f>IFERROR(G8-F8,"")</f>
        <v/>
      </c>
      <c r="I8" s="10" t="inlineStr">
        <is>
          <t>Y</t>
        </is>
      </c>
      <c r="J8" s="10" t="inlineStr">
        <is>
          <t>Y</t>
        </is>
      </c>
    </row>
    <row r="9" ht="24" customHeight="1">
      <c r="B9" s="63" t="inlineStr">
        <is>
          <t>SUSP/2024/005</t>
        </is>
      </c>
      <c r="C9" s="65" t="inlineStr"/>
      <c r="D9" s="64" t="inlineStr"/>
      <c r="E9" s="64" t="inlineStr">
        <is>
          <t>Rustication (Semester)</t>
        </is>
      </c>
      <c r="F9" s="64" t="inlineStr"/>
      <c r="G9" s="64" t="inlineStr"/>
      <c r="H9" s="64">
        <f>IFERROR(G9-F9,"")</f>
        <v/>
      </c>
      <c r="I9" s="64" t="inlineStr">
        <is>
          <t>Y</t>
        </is>
      </c>
      <c r="J9" s="64" t="inlineStr">
        <is>
          <t>Y</t>
        </is>
      </c>
    </row>
    <row r="10" ht="24" customHeight="1">
      <c r="B10" s="8" t="inlineStr">
        <is>
          <t>SUSP/2024/006</t>
        </is>
      </c>
      <c r="C10" s="9" t="inlineStr"/>
      <c r="D10" s="10" t="inlineStr"/>
      <c r="E10" s="10" t="inlineStr">
        <is>
          <t>Rustication (Academic Year)</t>
        </is>
      </c>
      <c r="F10" s="10" t="inlineStr"/>
      <c r="G10" s="10" t="inlineStr"/>
      <c r="H10" s="10">
        <f>IFERROR(G10-F10,"")</f>
        <v/>
      </c>
      <c r="I10" s="10" t="inlineStr">
        <is>
          <t>Y</t>
        </is>
      </c>
      <c r="J10" s="10" t="inlineStr">
        <is>
          <t>Y</t>
        </is>
      </c>
    </row>
    <row r="11" ht="24" customHeight="1">
      <c r="B11" s="63" t="inlineStr">
        <is>
          <t>SUSP/2024/007</t>
        </is>
      </c>
      <c r="C11" s="65" t="inlineStr"/>
      <c r="D11" s="64" t="inlineStr"/>
      <c r="E11" s="64" t="inlineStr">
        <is>
          <t>Expulsion / Permanent Dismissal</t>
        </is>
      </c>
      <c r="F11" s="64" t="inlineStr"/>
      <c r="G11" s="64" t="inlineStr"/>
      <c r="H11" s="64">
        <f>IFERROR(G11-F11,"")</f>
        <v/>
      </c>
      <c r="I11" s="64" t="inlineStr">
        <is>
          <t>Y</t>
        </is>
      </c>
      <c r="J11" s="64" t="inlineStr">
        <is>
          <t>Y</t>
        </is>
      </c>
    </row>
    <row r="12" ht="24" customHeight="1">
      <c r="B12" s="8" t="inlineStr">
        <is>
          <t>SUSP/2025/008</t>
        </is>
      </c>
      <c r="C12" s="9" t="inlineStr"/>
      <c r="D12" s="10" t="inlineStr"/>
      <c r="E12" s="10" t="inlineStr">
        <is>
          <t>Suspension (1–3 days)</t>
        </is>
      </c>
      <c r="F12" s="10" t="inlineStr"/>
      <c r="G12" s="10" t="inlineStr"/>
      <c r="H12" s="10">
        <f>IFERROR(G12-F12,"")</f>
        <v/>
      </c>
      <c r="I12" s="10" t="inlineStr">
        <is>
          <t>Y</t>
        </is>
      </c>
      <c r="J12" s="10" t="inlineStr">
        <is>
          <t>Y</t>
        </is>
      </c>
    </row>
    <row r="13" ht="24" customHeight="1">
      <c r="B13" s="63" t="inlineStr">
        <is>
          <t>SUSP/2025/009</t>
        </is>
      </c>
      <c r="C13" s="65" t="inlineStr"/>
      <c r="D13" s="64" t="inlineStr"/>
      <c r="E13" s="64" t="inlineStr">
        <is>
          <t>Suspension (4–7 days)</t>
        </is>
      </c>
      <c r="F13" s="64" t="inlineStr"/>
      <c r="G13" s="64" t="inlineStr"/>
      <c r="H13" s="64">
        <f>IFERROR(G13-F13,"")</f>
        <v/>
      </c>
      <c r="I13" s="64" t="inlineStr">
        <is>
          <t>Y</t>
        </is>
      </c>
      <c r="J13" s="64" t="inlineStr">
        <is>
          <t>Y</t>
        </is>
      </c>
    </row>
    <row r="14" ht="24" customHeight="1">
      <c r="B14" s="8" t="inlineStr">
        <is>
          <t>SUSP/2025/010</t>
        </is>
      </c>
      <c r="C14" s="9" t="inlineStr"/>
      <c r="D14" s="10" t="inlineStr"/>
      <c r="E14" s="10" t="inlineStr">
        <is>
          <t>Suspension (8–15 days)</t>
        </is>
      </c>
      <c r="F14" s="10" t="inlineStr"/>
      <c r="G14" s="10" t="inlineStr"/>
      <c r="H14" s="10">
        <f>IFERROR(G14-F14,"")</f>
        <v/>
      </c>
      <c r="I14" s="10" t="inlineStr">
        <is>
          <t>Y</t>
        </is>
      </c>
      <c r="J14" s="10" t="inlineStr">
        <is>
          <t>Y</t>
        </is>
      </c>
    </row>
    <row r="15" ht="24" customHeight="1">
      <c r="B15" s="63" t="inlineStr">
        <is>
          <t>SUSP/2025/011</t>
        </is>
      </c>
      <c r="C15" s="65" t="inlineStr"/>
      <c r="D15" s="64" t="inlineStr"/>
      <c r="E15" s="64" t="inlineStr">
        <is>
          <t>Suspension (16–30 days)</t>
        </is>
      </c>
      <c r="F15" s="64" t="inlineStr"/>
      <c r="G15" s="64" t="inlineStr"/>
      <c r="H15" s="64">
        <f>IFERROR(G15-F15,"")</f>
        <v/>
      </c>
      <c r="I15" s="64" t="inlineStr">
        <is>
          <t>Y</t>
        </is>
      </c>
      <c r="J15" s="64" t="inlineStr">
        <is>
          <t>Y</t>
        </is>
      </c>
    </row>
    <row r="16" ht="24" customHeight="1">
      <c r="B16" s="8" t="inlineStr">
        <is>
          <t>SUSP/2025/012</t>
        </is>
      </c>
      <c r="C16" s="9" t="inlineStr"/>
      <c r="D16" s="10" t="inlineStr"/>
      <c r="E16" s="10" t="inlineStr">
        <is>
          <t>Rustication (Semester)</t>
        </is>
      </c>
      <c r="F16" s="10" t="inlineStr"/>
      <c r="G16" s="10" t="inlineStr"/>
      <c r="H16" s="10">
        <f>IFERROR(G16-F16,"")</f>
        <v/>
      </c>
      <c r="I16" s="10" t="inlineStr">
        <is>
          <t>Y</t>
        </is>
      </c>
      <c r="J16" s="10" t="inlineStr">
        <is>
          <t>Y</t>
        </is>
      </c>
    </row>
    <row r="17" ht="24" customHeight="1">
      <c r="B17" s="63" t="inlineStr">
        <is>
          <t>SUSP/2025/013</t>
        </is>
      </c>
      <c r="C17" s="65" t="inlineStr"/>
      <c r="D17" s="64" t="inlineStr"/>
      <c r="E17" s="64" t="inlineStr">
        <is>
          <t>Rustication (Academic Year)</t>
        </is>
      </c>
      <c r="F17" s="64" t="inlineStr"/>
      <c r="G17" s="64" t="inlineStr"/>
      <c r="H17" s="64">
        <f>IFERROR(G17-F17,"")</f>
        <v/>
      </c>
      <c r="I17" s="64" t="inlineStr">
        <is>
          <t>Y</t>
        </is>
      </c>
      <c r="J17" s="64" t="inlineStr">
        <is>
          <t>Y</t>
        </is>
      </c>
    </row>
    <row r="18" ht="24" customHeight="1">
      <c r="B18" s="8" t="inlineStr">
        <is>
          <t>SUSP/2025/014</t>
        </is>
      </c>
      <c r="C18" s="9" t="inlineStr"/>
      <c r="D18" s="10" t="inlineStr"/>
      <c r="E18" s="10" t="inlineStr">
        <is>
          <t>Expulsion / Permanent Dismissal</t>
        </is>
      </c>
      <c r="F18" s="10" t="inlineStr"/>
      <c r="G18" s="10" t="inlineStr"/>
      <c r="H18" s="10">
        <f>IFERROR(G18-F18,"")</f>
        <v/>
      </c>
      <c r="I18" s="10" t="inlineStr">
        <is>
          <t>Y</t>
        </is>
      </c>
      <c r="J18" s="10" t="inlineStr">
        <is>
          <t>Y</t>
        </is>
      </c>
    </row>
    <row r="19" ht="24" customHeight="1"/>
    <row r="20" ht="20" customHeight="1">
      <c r="B20" s="17" t="inlineStr">
        <is>
          <t>Suspended student: Campus access revoked; ID card deactivated; hostel room sealed (if applicable). Academic leave marked in ERP. Reinstatement requires Principal clearance.</t>
        </is>
      </c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</sheetData>
  <mergeCells count="3">
    <mergeCell ref="B20:J20"/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SDC-17 / SDC-18: APPEAL APPLICATION &amp; HEARING REGISTER</t>
        </is>
      </c>
    </row>
    <row r="3" ht="18" customHeight="1">
      <c r="B3" s="19" t="inlineStr">
        <is>
          <t>CONFIDENTIAL — Appeals to be filed within 15 working days of SDC decision. Appeal Committee to decide within 30 working days.</t>
        </is>
      </c>
    </row>
    <row r="4" ht="25" customHeight="1">
      <c r="B4" s="67" t="inlineStr">
        <is>
          <t>Appeal
Ref.</t>
        </is>
      </c>
      <c r="C4" s="67" t="inlineStr">
        <is>
          <t>Case Ref.
(Original)</t>
        </is>
      </c>
      <c r="D4" s="67" t="inlineStr">
        <is>
          <t>Student
(Code)</t>
        </is>
      </c>
      <c r="E4" s="67" t="inlineStr">
        <is>
          <t>Appeal Date
Filed</t>
        </is>
      </c>
      <c r="F4" s="67" t="inlineStr">
        <is>
          <t>Original
Penalty</t>
        </is>
      </c>
      <c r="G4" s="67" t="inlineStr">
        <is>
          <t>Grounds of
Appeal</t>
        </is>
      </c>
      <c r="H4" s="67" t="inlineStr">
        <is>
          <t>Appeal Cmte.
Decision Date</t>
        </is>
      </c>
      <c r="I4" s="67" t="inlineStr">
        <is>
          <t>Appeal
Outcome</t>
        </is>
      </c>
      <c r="J4" s="67" t="inlineStr">
        <is>
          <t>Final
Status</t>
        </is>
      </c>
    </row>
    <row r="5" ht="24" customHeight="1">
      <c r="B5" s="68" t="inlineStr">
        <is>
          <t>APPL/2024/001</t>
        </is>
      </c>
      <c r="C5" s="69" t="inlineStr">
        <is>
          <t>SDC/2024/0001</t>
        </is>
      </c>
      <c r="D5" s="69" t="inlineStr"/>
      <c r="E5" s="69" t="inlineStr"/>
      <c r="F5" s="69" t="inlineStr"/>
      <c r="G5" s="69" t="inlineStr">
        <is>
          <t>Procedural irregularity</t>
        </is>
      </c>
      <c r="H5" s="69" t="inlineStr"/>
      <c r="I5" s="69" t="inlineStr">
        <is>
          <t>Upheld — Original Penalty Confirmed</t>
        </is>
      </c>
      <c r="J5" s="69" t="inlineStr">
        <is>
          <t>Closed</t>
        </is>
      </c>
    </row>
    <row r="6" ht="24" customHeight="1">
      <c r="B6" s="8" t="inlineStr">
        <is>
          <t>APPL/2024/002</t>
        </is>
      </c>
      <c r="C6" s="10" t="inlineStr">
        <is>
          <t>SDC/2024/0002</t>
        </is>
      </c>
      <c r="D6" s="10" t="inlineStr"/>
      <c r="E6" s="10" t="inlineStr"/>
      <c r="F6" s="10" t="inlineStr"/>
      <c r="G6" s="10" t="inlineStr">
        <is>
          <t>New evidence emerged</t>
        </is>
      </c>
      <c r="H6" s="10" t="inlineStr"/>
      <c r="I6" s="10" t="inlineStr">
        <is>
          <t>Partially Upheld — Penalty Reduced</t>
        </is>
      </c>
      <c r="J6" s="10" t="inlineStr">
        <is>
          <t>Closed</t>
        </is>
      </c>
    </row>
    <row r="7" ht="24" customHeight="1">
      <c r="B7" s="68" t="inlineStr">
        <is>
          <t>APPL/2024/003</t>
        </is>
      </c>
      <c r="C7" s="69" t="inlineStr">
        <is>
          <t>SDC/2024/0003</t>
        </is>
      </c>
      <c r="D7" s="69" t="inlineStr"/>
      <c r="E7" s="69" t="inlineStr"/>
      <c r="F7" s="69" t="inlineStr"/>
      <c r="G7" s="69" t="inlineStr">
        <is>
          <t>Disproportionate penalty</t>
        </is>
      </c>
      <c r="H7" s="69" t="inlineStr"/>
      <c r="I7" s="69" t="inlineStr">
        <is>
          <t>Appeal Allowed — Acquitted</t>
        </is>
      </c>
      <c r="J7" s="69" t="inlineStr">
        <is>
          <t>Closed</t>
        </is>
      </c>
    </row>
    <row r="8" ht="24" customHeight="1">
      <c r="B8" s="8" t="inlineStr">
        <is>
          <t>APPL/2024/004</t>
        </is>
      </c>
      <c r="C8" s="10" t="inlineStr">
        <is>
          <t>SDC/2024/0004</t>
        </is>
      </c>
      <c r="D8" s="10" t="inlineStr"/>
      <c r="E8" s="10" t="inlineStr"/>
      <c r="F8" s="10" t="inlineStr"/>
      <c r="G8" s="10" t="inlineStr">
        <is>
          <t>Bias alleged</t>
        </is>
      </c>
      <c r="H8" s="10" t="inlineStr"/>
      <c r="I8" s="10" t="inlineStr">
        <is>
          <t>Referred for Re-inquiry</t>
        </is>
      </c>
      <c r="J8" s="10" t="inlineStr">
        <is>
          <t>Closed</t>
        </is>
      </c>
    </row>
    <row r="9" ht="24" customHeight="1">
      <c r="B9" s="68" t="inlineStr">
        <is>
          <t>APPL/2024/005</t>
        </is>
      </c>
      <c r="C9" s="69" t="inlineStr">
        <is>
          <t>SDC/2024/0005</t>
        </is>
      </c>
      <c r="D9" s="69" t="inlineStr"/>
      <c r="E9" s="69" t="inlineStr"/>
      <c r="F9" s="69" t="inlineStr"/>
      <c r="G9" s="69" t="inlineStr">
        <is>
          <t>Natural justice not followed</t>
        </is>
      </c>
      <c r="H9" s="69" t="inlineStr"/>
      <c r="I9" s="69" t="inlineStr">
        <is>
          <t>Dismissed — Filed Late</t>
        </is>
      </c>
      <c r="J9" s="69" t="inlineStr">
        <is>
          <t>Closed</t>
        </is>
      </c>
    </row>
    <row r="10" ht="24" customHeight="1">
      <c r="B10" s="8" t="inlineStr">
        <is>
          <t>APPL/2024/006</t>
        </is>
      </c>
      <c r="C10" s="10" t="inlineStr">
        <is>
          <t>SDC/2024/0006</t>
        </is>
      </c>
      <c r="D10" s="10" t="inlineStr"/>
      <c r="E10" s="10" t="inlineStr"/>
      <c r="F10" s="10" t="inlineStr"/>
      <c r="G10" s="10" t="inlineStr">
        <is>
          <t>Misidentification</t>
        </is>
      </c>
      <c r="H10" s="10" t="inlineStr"/>
      <c r="I10" s="10" t="inlineStr">
        <is>
          <t>Upheld — Original Penalty Confirmed</t>
        </is>
      </c>
      <c r="J10" s="10" t="inlineStr">
        <is>
          <t>Closed</t>
        </is>
      </c>
    </row>
    <row r="11" ht="24" customHeight="1">
      <c r="B11" s="68" t="inlineStr">
        <is>
          <t>APPL/2024/007</t>
        </is>
      </c>
      <c r="C11" s="69" t="inlineStr">
        <is>
          <t>SDC/2024/0007</t>
        </is>
      </c>
      <c r="D11" s="69" t="inlineStr"/>
      <c r="E11" s="69" t="inlineStr"/>
      <c r="F11" s="69" t="inlineStr"/>
      <c r="G11" s="69" t="inlineStr">
        <is>
          <t>Other ground</t>
        </is>
      </c>
      <c r="H11" s="69" t="inlineStr"/>
      <c r="I11" s="69" t="inlineStr">
        <is>
          <t>Partially Upheld — Penalty Reduced</t>
        </is>
      </c>
      <c r="J11" s="69" t="inlineStr">
        <is>
          <t>Closed</t>
        </is>
      </c>
    </row>
    <row r="12" ht="24" customHeight="1">
      <c r="B12" s="8" t="inlineStr">
        <is>
          <t>APPL/2025/008</t>
        </is>
      </c>
      <c r="C12" s="10" t="inlineStr">
        <is>
          <t>SDC/2025/0008</t>
        </is>
      </c>
      <c r="D12" s="10" t="inlineStr"/>
      <c r="E12" s="10" t="inlineStr"/>
      <c r="F12" s="10" t="inlineStr"/>
      <c r="G12" s="10" t="inlineStr">
        <is>
          <t>Procedural irregularity</t>
        </is>
      </c>
      <c r="H12" s="10" t="inlineStr"/>
      <c r="I12" s="10" t="inlineStr">
        <is>
          <t>Appeal Allowed — Acquitted</t>
        </is>
      </c>
      <c r="J12" s="10" t="inlineStr">
        <is>
          <t>Closed</t>
        </is>
      </c>
    </row>
    <row r="13" ht="24" customHeight="1">
      <c r="B13" s="68" t="inlineStr">
        <is>
          <t>APPL/2025/009</t>
        </is>
      </c>
      <c r="C13" s="69" t="inlineStr">
        <is>
          <t>SDC/2025/0009</t>
        </is>
      </c>
      <c r="D13" s="69" t="inlineStr"/>
      <c r="E13" s="69" t="inlineStr"/>
      <c r="F13" s="69" t="inlineStr"/>
      <c r="G13" s="69" t="inlineStr">
        <is>
          <t>New evidence emerged</t>
        </is>
      </c>
      <c r="H13" s="69" t="inlineStr"/>
      <c r="I13" s="69" t="inlineStr">
        <is>
          <t>Referred for Re-inquiry</t>
        </is>
      </c>
      <c r="J13" s="69" t="inlineStr">
        <is>
          <t>Closed</t>
        </is>
      </c>
    </row>
    <row r="14" ht="24" customHeight="1">
      <c r="B14" s="8" t="inlineStr">
        <is>
          <t>APPL/2025/010</t>
        </is>
      </c>
      <c r="C14" s="10" t="inlineStr">
        <is>
          <t>SDC/2025/0010</t>
        </is>
      </c>
      <c r="D14" s="10" t="inlineStr"/>
      <c r="E14" s="10" t="inlineStr"/>
      <c r="F14" s="10" t="inlineStr"/>
      <c r="G14" s="10" t="inlineStr">
        <is>
          <t>Disproportionate penalty</t>
        </is>
      </c>
      <c r="H14" s="10" t="inlineStr"/>
      <c r="I14" s="10" t="inlineStr">
        <is>
          <t>Dismissed — Filed Late</t>
        </is>
      </c>
      <c r="J14" s="10" t="inlineStr">
        <is>
          <t>Closed</t>
        </is>
      </c>
    </row>
    <row r="15" ht="24" customHeight="1">
      <c r="B15" s="68" t="inlineStr">
        <is>
          <t>APPL/2025/011</t>
        </is>
      </c>
      <c r="C15" s="69" t="inlineStr">
        <is>
          <t>SDC/2025/0011</t>
        </is>
      </c>
      <c r="D15" s="69" t="inlineStr"/>
      <c r="E15" s="69" t="inlineStr"/>
      <c r="F15" s="69" t="inlineStr"/>
      <c r="G15" s="69" t="inlineStr">
        <is>
          <t>Bias alleged</t>
        </is>
      </c>
      <c r="H15" s="69" t="inlineStr"/>
      <c r="I15" s="69" t="inlineStr">
        <is>
          <t>Upheld — Original Penalty Confirmed</t>
        </is>
      </c>
      <c r="J15" s="69" t="inlineStr">
        <is>
          <t>Closed</t>
        </is>
      </c>
    </row>
    <row r="16" ht="24" customHeight="1">
      <c r="B16" s="8" t="inlineStr">
        <is>
          <t>APPL/2025/012</t>
        </is>
      </c>
      <c r="C16" s="10" t="inlineStr">
        <is>
          <t>SDC/2025/0012</t>
        </is>
      </c>
      <c r="D16" s="10" t="inlineStr"/>
      <c r="E16" s="10" t="inlineStr"/>
      <c r="F16" s="10" t="inlineStr"/>
      <c r="G16" s="10" t="inlineStr">
        <is>
          <t>Natural justice not followed</t>
        </is>
      </c>
      <c r="H16" s="10" t="inlineStr"/>
      <c r="I16" s="10" t="inlineStr">
        <is>
          <t>Partially Upheld — Penalty Reduced</t>
        </is>
      </c>
      <c r="J16" s="10" t="inlineStr">
        <is>
          <t>Closed</t>
        </is>
      </c>
    </row>
    <row r="17" ht="24" customHeight="1">
      <c r="B17" s="68" t="inlineStr">
        <is>
          <t>APPL/2025/013</t>
        </is>
      </c>
      <c r="C17" s="69" t="inlineStr">
        <is>
          <t>SDC/2025/0013</t>
        </is>
      </c>
      <c r="D17" s="69" t="inlineStr"/>
      <c r="E17" s="69" t="inlineStr"/>
      <c r="F17" s="69" t="inlineStr"/>
      <c r="G17" s="69" t="inlineStr">
        <is>
          <t>Misidentification</t>
        </is>
      </c>
      <c r="H17" s="69" t="inlineStr"/>
      <c r="I17" s="69" t="inlineStr">
        <is>
          <t>Appeal Allowed — Acquitted</t>
        </is>
      </c>
      <c r="J17" s="69" t="inlineStr">
        <is>
          <t>Closed</t>
        </is>
      </c>
    </row>
    <row r="18" ht="24" customHeight="1">
      <c r="B18" s="8" t="inlineStr">
        <is>
          <t>APPL/2025/014</t>
        </is>
      </c>
      <c r="C18" s="10" t="inlineStr">
        <is>
          <t>SDC/2025/0014</t>
        </is>
      </c>
      <c r="D18" s="10" t="inlineStr"/>
      <c r="E18" s="10" t="inlineStr"/>
      <c r="F18" s="10" t="inlineStr"/>
      <c r="G18" s="10" t="inlineStr">
        <is>
          <t>Other ground</t>
        </is>
      </c>
      <c r="H18" s="10" t="inlineStr"/>
      <c r="I18" s="10" t="inlineStr">
        <is>
          <t>Referred for Re-inquiry</t>
        </is>
      </c>
      <c r="J18" s="10" t="inlineStr">
        <is>
          <t>Closed</t>
        </is>
      </c>
    </row>
    <row r="19" ht="24" customHeight="1"/>
    <row r="20" ht="24" customHeight="1">
      <c r="B20" s="70" t="inlineStr">
        <is>
          <t>APPEAL STATISTICS</t>
        </is>
      </c>
    </row>
    <row r="21" ht="24" customHeight="1">
      <c r="B21" s="71" t="inlineStr">
        <is>
          <t>Total Appeals Filed</t>
        </is>
      </c>
      <c r="F21" s="37">
        <f>COUNTA(B5:B18)</f>
        <v/>
      </c>
    </row>
    <row r="22" ht="24" customHeight="1">
      <c r="B22" s="26" t="inlineStr">
        <is>
          <t>Appeals Upheld (Original confirmed)</t>
        </is>
      </c>
      <c r="F22" s="38">
        <f>COUNTIF(I5:I18,"Upheld — Original Penalty Confirmed")</f>
        <v/>
      </c>
    </row>
    <row r="23" ht="24" customHeight="1">
      <c r="B23" s="71" t="inlineStr">
        <is>
          <t>Appeals Allowed (Acquitted)</t>
        </is>
      </c>
      <c r="F23" s="37">
        <f>COUNTIF(I5:I18,"Appeal Allowed — Acquitted")</f>
        <v/>
      </c>
    </row>
    <row r="24" ht="24" customHeight="1">
      <c r="B24" s="26" t="inlineStr">
        <is>
          <t>Penalty Reduced</t>
        </is>
      </c>
      <c r="F24" s="38">
        <f>COUNTIF(I5:I18,"Partially Upheld — Penalty Reduced")</f>
        <v/>
      </c>
    </row>
    <row r="25" ht="24" customHeight="1">
      <c r="B25" s="71" t="inlineStr">
        <is>
          <t>Appeal Rate (% of decisions)</t>
        </is>
      </c>
      <c r="F25" s="37" t="inlineStr"/>
    </row>
    <row r="26" ht="24" customHeight="1">
      <c r="B26" s="26" t="inlineStr">
        <is>
          <t>Avg. Appeal Resolution Days</t>
        </is>
      </c>
      <c r="F26" s="38" t="inlineStr"/>
    </row>
    <row r="27" ht="24" customHeight="1"/>
  </sheetData>
  <mergeCells count="15">
    <mergeCell ref="B23:E23"/>
    <mergeCell ref="B26:E26"/>
    <mergeCell ref="B3:J3"/>
    <mergeCell ref="F21:J21"/>
    <mergeCell ref="B20:J20"/>
    <mergeCell ref="F24:J24"/>
    <mergeCell ref="F23:J23"/>
    <mergeCell ref="F26:J26"/>
    <mergeCell ref="B21:E21"/>
    <mergeCell ref="F25:J25"/>
    <mergeCell ref="B25:E25"/>
    <mergeCell ref="B24:E24"/>
    <mergeCell ref="F22:J22"/>
    <mergeCell ref="B22:E22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SDC-20 / SDC-21: DISCIPLINARY COUNSELLING &amp; REHABILITATION REGISTER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A.Y.: _______  Counsellor: ___________________</t>
        </is>
      </c>
    </row>
    <row r="5" ht="24" customHeight="1">
      <c r="B5" s="31" t="inlineStr">
        <is>
          <t>Rehab.
Ref.</t>
        </is>
      </c>
      <c r="C5" s="31" t="inlineStr">
        <is>
          <t>Student
(Code)</t>
        </is>
      </c>
      <c r="D5" s="31" t="inlineStr">
        <is>
          <t>Case Ref.</t>
        </is>
      </c>
      <c r="E5" s="31" t="inlineStr">
        <is>
          <t>Referral
Reason</t>
        </is>
      </c>
      <c r="F5" s="31" t="inlineStr">
        <is>
          <t>Sessions
Assigned</t>
        </is>
      </c>
      <c r="G5" s="31" t="inlineStr">
        <is>
          <t>Sessions
Attended</t>
        </is>
      </c>
      <c r="H5" s="31" t="inlineStr">
        <is>
          <t>Behaviour
Improvement</t>
        </is>
      </c>
      <c r="I5" s="31" t="inlineStr">
        <is>
          <t>Probation
Period</t>
        </is>
      </c>
      <c r="J5" s="31" t="inlineStr">
        <is>
          <t>Final
Status</t>
        </is>
      </c>
    </row>
    <row r="6" ht="24" customHeight="1">
      <c r="B6" s="32" t="inlineStr">
        <is>
          <t>RHB/001</t>
        </is>
      </c>
      <c r="C6" s="34" t="inlineStr"/>
      <c r="D6" s="34" t="inlineStr">
        <is>
          <t>SDC/2024/0001</t>
        </is>
      </c>
      <c r="E6" s="34" t="inlineStr">
        <is>
          <t>Physical aggression</t>
        </is>
      </c>
      <c r="F6" s="34" t="inlineStr"/>
      <c r="G6" s="34" t="inlineStr"/>
      <c r="H6" s="34" t="inlineStr">
        <is>
          <t>Excellent — No incidents</t>
        </is>
      </c>
      <c r="I6" s="34" t="inlineStr"/>
      <c r="J6" s="34" t="inlineStr">
        <is>
          <t>On Probation</t>
        </is>
      </c>
    </row>
    <row r="7" ht="24" customHeight="1">
      <c r="B7" s="8" t="inlineStr">
        <is>
          <t>RHB/002</t>
        </is>
      </c>
      <c r="C7" s="10" t="inlineStr"/>
      <c r="D7" s="10" t="inlineStr">
        <is>
          <t>SDC/2024/0002</t>
        </is>
      </c>
      <c r="E7" s="10" t="inlineStr">
        <is>
          <t>Substance abuse</t>
        </is>
      </c>
      <c r="F7" s="10" t="inlineStr"/>
      <c r="G7" s="10" t="inlineStr"/>
      <c r="H7" s="10" t="inlineStr">
        <is>
          <t>Good — Significant improvement</t>
        </is>
      </c>
      <c r="I7" s="10" t="inlineStr"/>
      <c r="J7" s="10" t="inlineStr">
        <is>
          <t>On Probation</t>
        </is>
      </c>
    </row>
    <row r="8" ht="24" customHeight="1">
      <c r="B8" s="32" t="inlineStr">
        <is>
          <t>RHB/003</t>
        </is>
      </c>
      <c r="C8" s="34" t="inlineStr"/>
      <c r="D8" s="34" t="inlineStr">
        <is>
          <t>SDC/2024/0003</t>
        </is>
      </c>
      <c r="E8" s="34" t="inlineStr">
        <is>
          <t>Repeat offences</t>
        </is>
      </c>
      <c r="F8" s="34" t="inlineStr"/>
      <c r="G8" s="34" t="inlineStr"/>
      <c r="H8" s="34" t="inlineStr">
        <is>
          <t>Moderate — Some improvement</t>
        </is>
      </c>
      <c r="I8" s="34" t="inlineStr"/>
      <c r="J8" s="34" t="inlineStr">
        <is>
          <t>On Probation</t>
        </is>
      </c>
    </row>
    <row r="9" ht="24" customHeight="1">
      <c r="B9" s="8" t="inlineStr">
        <is>
          <t>RHB/004</t>
        </is>
      </c>
      <c r="C9" s="10" t="inlineStr"/>
      <c r="D9" s="10" t="inlineStr">
        <is>
          <t>SDC/2024/0004</t>
        </is>
      </c>
      <c r="E9" s="10" t="inlineStr">
        <is>
          <t>Bullying</t>
        </is>
      </c>
      <c r="F9" s="10" t="inlineStr"/>
      <c r="G9" s="10" t="inlineStr"/>
      <c r="H9" s="10" t="inlineStr">
        <is>
          <t>Poor — No change</t>
        </is>
      </c>
      <c r="I9" s="10" t="inlineStr"/>
      <c r="J9" s="10" t="inlineStr">
        <is>
          <t>On Probation</t>
        </is>
      </c>
    </row>
    <row r="10" ht="24" customHeight="1">
      <c r="B10" s="32" t="inlineStr">
        <is>
          <t>RHB/005</t>
        </is>
      </c>
      <c r="C10" s="34" t="inlineStr"/>
      <c r="D10" s="34" t="inlineStr">
        <is>
          <t>SDC/2024/0005</t>
        </is>
      </c>
      <c r="E10" s="34" t="inlineStr">
        <is>
          <t>Academic dishonesty</t>
        </is>
      </c>
      <c r="F10" s="34" t="inlineStr"/>
      <c r="G10" s="34" t="inlineStr"/>
      <c r="H10" s="34" t="inlineStr">
        <is>
          <t>Deteriorated — New incident</t>
        </is>
      </c>
      <c r="I10" s="34" t="inlineStr"/>
      <c r="J10" s="34" t="inlineStr">
        <is>
          <t>On Probation</t>
        </is>
      </c>
    </row>
    <row r="11" ht="24" customHeight="1">
      <c r="B11" s="8" t="inlineStr">
        <is>
          <t>RHB/006</t>
        </is>
      </c>
      <c r="C11" s="10" t="inlineStr"/>
      <c r="D11" s="10" t="inlineStr">
        <is>
          <t>SDC/2024/0006</t>
        </is>
      </c>
      <c r="E11" s="10" t="inlineStr">
        <is>
          <t>Mental health concern</t>
        </is>
      </c>
      <c r="F11" s="10" t="inlineStr"/>
      <c r="G11" s="10" t="inlineStr"/>
      <c r="H11" s="10" t="inlineStr">
        <is>
          <t>Excellent — No incidents</t>
        </is>
      </c>
      <c r="I11" s="10" t="inlineStr"/>
      <c r="J11" s="10" t="inlineStr">
        <is>
          <t>On Probation</t>
        </is>
      </c>
    </row>
    <row r="12" ht="24" customHeight="1">
      <c r="B12" s="32" t="inlineStr">
        <is>
          <t>RHB/007</t>
        </is>
      </c>
      <c r="C12" s="34" t="inlineStr"/>
      <c r="D12" s="34" t="inlineStr">
        <is>
          <t>SDC/2024/0007</t>
        </is>
      </c>
      <c r="E12" s="34" t="inlineStr">
        <is>
          <t>Ragging</t>
        </is>
      </c>
      <c r="F12" s="34" t="inlineStr"/>
      <c r="G12" s="34" t="inlineStr"/>
      <c r="H12" s="34" t="inlineStr">
        <is>
          <t>Good — Significant improvement</t>
        </is>
      </c>
      <c r="I12" s="34" t="inlineStr"/>
      <c r="J12" s="34" t="inlineStr">
        <is>
          <t>On Probation</t>
        </is>
      </c>
    </row>
    <row r="13" ht="24" customHeight="1">
      <c r="B13" s="8" t="inlineStr">
        <is>
          <t>RHB/008</t>
        </is>
      </c>
      <c r="C13" s="10" t="inlineStr"/>
      <c r="D13" s="10" t="inlineStr">
        <is>
          <t>SDC/2024/0008</t>
        </is>
      </c>
      <c r="E13" s="10" t="inlineStr">
        <is>
          <t>Social media misconduct</t>
        </is>
      </c>
      <c r="F13" s="10" t="inlineStr"/>
      <c r="G13" s="10" t="inlineStr"/>
      <c r="H13" s="10" t="inlineStr">
        <is>
          <t>Moderate — Some improvement</t>
        </is>
      </c>
      <c r="I13" s="10" t="inlineStr"/>
      <c r="J13" s="10" t="inlineStr">
        <is>
          <t>On Probation</t>
        </is>
      </c>
    </row>
    <row r="14" ht="24" customHeight="1">
      <c r="B14" s="32" t="inlineStr">
        <is>
          <t>RHB/009</t>
        </is>
      </c>
      <c r="C14" s="34" t="inlineStr"/>
      <c r="D14" s="34" t="inlineStr">
        <is>
          <t>SDC/2024/0009</t>
        </is>
      </c>
      <c r="E14" s="34" t="inlineStr">
        <is>
          <t>Physical aggression</t>
        </is>
      </c>
      <c r="F14" s="34" t="inlineStr"/>
      <c r="G14" s="34" t="inlineStr"/>
      <c r="H14" s="34" t="inlineStr">
        <is>
          <t>Poor — No change</t>
        </is>
      </c>
      <c r="I14" s="34" t="inlineStr"/>
      <c r="J14" s="34" t="inlineStr">
        <is>
          <t>On Probation</t>
        </is>
      </c>
    </row>
    <row r="15" ht="24" customHeight="1">
      <c r="B15" s="8" t="inlineStr">
        <is>
          <t>RHB/010</t>
        </is>
      </c>
      <c r="C15" s="10" t="inlineStr"/>
      <c r="D15" s="10" t="inlineStr">
        <is>
          <t>SDC/2025/0010</t>
        </is>
      </c>
      <c r="E15" s="10" t="inlineStr">
        <is>
          <t>Substance abuse</t>
        </is>
      </c>
      <c r="F15" s="10" t="inlineStr"/>
      <c r="G15" s="10" t="inlineStr"/>
      <c r="H15" s="10" t="inlineStr">
        <is>
          <t>Deteriorated — New incident</t>
        </is>
      </c>
      <c r="I15" s="10" t="inlineStr"/>
      <c r="J15" s="10" t="inlineStr">
        <is>
          <t>On Probation</t>
        </is>
      </c>
    </row>
    <row r="16" ht="24" customHeight="1">
      <c r="B16" s="32" t="inlineStr">
        <is>
          <t>RHB/011</t>
        </is>
      </c>
      <c r="C16" s="34" t="inlineStr"/>
      <c r="D16" s="34" t="inlineStr">
        <is>
          <t>SDC/2025/0011</t>
        </is>
      </c>
      <c r="E16" s="34" t="inlineStr">
        <is>
          <t>Repeat offences</t>
        </is>
      </c>
      <c r="F16" s="34" t="inlineStr"/>
      <c r="G16" s="34" t="inlineStr"/>
      <c r="H16" s="34" t="inlineStr">
        <is>
          <t>Excellent — No incidents</t>
        </is>
      </c>
      <c r="I16" s="34" t="inlineStr"/>
      <c r="J16" s="34" t="inlineStr">
        <is>
          <t>On Probation</t>
        </is>
      </c>
    </row>
    <row r="17" ht="24" customHeight="1">
      <c r="B17" s="8" t="inlineStr">
        <is>
          <t>RHB/012</t>
        </is>
      </c>
      <c r="C17" s="10" t="inlineStr"/>
      <c r="D17" s="10" t="inlineStr">
        <is>
          <t>SDC/2025/0012</t>
        </is>
      </c>
      <c r="E17" s="10" t="inlineStr">
        <is>
          <t>Bullying</t>
        </is>
      </c>
      <c r="F17" s="10" t="inlineStr"/>
      <c r="G17" s="10" t="inlineStr"/>
      <c r="H17" s="10" t="inlineStr">
        <is>
          <t>Good — Significant improvement</t>
        </is>
      </c>
      <c r="I17" s="10" t="inlineStr"/>
      <c r="J17" s="10" t="inlineStr">
        <is>
          <t>On Probation</t>
        </is>
      </c>
    </row>
    <row r="18" ht="24" customHeight="1">
      <c r="B18" s="32" t="inlineStr">
        <is>
          <t>RHB/013</t>
        </is>
      </c>
      <c r="C18" s="34" t="inlineStr"/>
      <c r="D18" s="34" t="inlineStr">
        <is>
          <t>SDC/2025/0013</t>
        </is>
      </c>
      <c r="E18" s="34" t="inlineStr">
        <is>
          <t>Academic dishonesty</t>
        </is>
      </c>
      <c r="F18" s="34" t="inlineStr"/>
      <c r="G18" s="34" t="inlineStr"/>
      <c r="H18" s="34" t="inlineStr">
        <is>
          <t>Moderate — Some improvement</t>
        </is>
      </c>
      <c r="I18" s="34" t="inlineStr"/>
      <c r="J18" s="34" t="inlineStr">
        <is>
          <t>On Probation</t>
        </is>
      </c>
    </row>
    <row r="19" ht="24" customHeight="1">
      <c r="B19" s="8" t="inlineStr">
        <is>
          <t>RHB/014</t>
        </is>
      </c>
      <c r="C19" s="10" t="inlineStr"/>
      <c r="D19" s="10" t="inlineStr">
        <is>
          <t>SDC/2025/0014</t>
        </is>
      </c>
      <c r="E19" s="10" t="inlineStr">
        <is>
          <t>Mental health concern</t>
        </is>
      </c>
      <c r="F19" s="10" t="inlineStr"/>
      <c r="G19" s="10" t="inlineStr"/>
      <c r="H19" s="10" t="inlineStr">
        <is>
          <t>Poor — No change</t>
        </is>
      </c>
      <c r="I19" s="10" t="inlineStr"/>
      <c r="J19" s="10" t="inlineStr">
        <is>
          <t>On Probation</t>
        </is>
      </c>
    </row>
    <row r="20" ht="24" customHeight="1">
      <c r="B20" s="32" t="inlineStr">
        <is>
          <t>RHB/015</t>
        </is>
      </c>
      <c r="C20" s="34" t="inlineStr"/>
      <c r="D20" s="34" t="inlineStr">
        <is>
          <t>SDC/2025/0015</t>
        </is>
      </c>
      <c r="E20" s="34" t="inlineStr">
        <is>
          <t>Ragging</t>
        </is>
      </c>
      <c r="F20" s="34" t="inlineStr"/>
      <c r="G20" s="34" t="inlineStr"/>
      <c r="H20" s="34" t="inlineStr">
        <is>
          <t>Deteriorated — New incident</t>
        </is>
      </c>
      <c r="I20" s="34" t="inlineStr"/>
      <c r="J20" s="34" t="inlineStr">
        <is>
          <t>On Probation</t>
        </is>
      </c>
    </row>
    <row r="21" ht="24" customHeight="1">
      <c r="B21" s="8" t="inlineStr">
        <is>
          <t>RHB/016</t>
        </is>
      </c>
      <c r="C21" s="10" t="inlineStr"/>
      <c r="D21" s="10" t="inlineStr">
        <is>
          <t>SDC/2025/0016</t>
        </is>
      </c>
      <c r="E21" s="10" t="inlineStr">
        <is>
          <t>Social media misconduct</t>
        </is>
      </c>
      <c r="F21" s="10" t="inlineStr"/>
      <c r="G21" s="10" t="inlineStr"/>
      <c r="H21" s="10" t="inlineStr">
        <is>
          <t>Excellent — No incidents</t>
        </is>
      </c>
      <c r="I21" s="10" t="inlineStr"/>
      <c r="J21" s="10" t="inlineStr">
        <is>
          <t>On Probation</t>
        </is>
      </c>
    </row>
    <row r="22" ht="24" customHeight="1">
      <c r="B22" s="32" t="inlineStr">
        <is>
          <t>RHB/017</t>
        </is>
      </c>
      <c r="C22" s="34" t="inlineStr"/>
      <c r="D22" s="34" t="inlineStr">
        <is>
          <t>SDC/2025/0017</t>
        </is>
      </c>
      <c r="E22" s="34" t="inlineStr">
        <is>
          <t>Physical aggression</t>
        </is>
      </c>
      <c r="F22" s="34" t="inlineStr"/>
      <c r="G22" s="34" t="inlineStr"/>
      <c r="H22" s="34" t="inlineStr">
        <is>
          <t>Good — Significant improvement</t>
        </is>
      </c>
      <c r="I22" s="34" t="inlineStr"/>
      <c r="J22" s="34" t="inlineStr">
        <is>
          <t>On Probation</t>
        </is>
      </c>
    </row>
    <row r="23" ht="24" customHeight="1">
      <c r="B23" s="8" t="inlineStr">
        <is>
          <t>RHB/018</t>
        </is>
      </c>
      <c r="C23" s="10" t="inlineStr"/>
      <c r="D23" s="10" t="inlineStr">
        <is>
          <t>SDC/2025/0018</t>
        </is>
      </c>
      <c r="E23" s="10" t="inlineStr">
        <is>
          <t>Substance abuse</t>
        </is>
      </c>
      <c r="F23" s="10" t="inlineStr"/>
      <c r="G23" s="10" t="inlineStr"/>
      <c r="H23" s="10" t="inlineStr">
        <is>
          <t>Moderate — Some improvement</t>
        </is>
      </c>
      <c r="I23" s="10" t="inlineStr"/>
      <c r="J23" s="10" t="inlineStr">
        <is>
          <t>On Probation</t>
        </is>
      </c>
    </row>
    <row r="24" ht="24" customHeight="1"/>
    <row r="25" ht="24" customHeight="1">
      <c r="B25" s="35" t="inlineStr">
        <is>
          <t>REHABILITATION OUTCOME SUMMARY</t>
        </is>
      </c>
    </row>
    <row r="26" ht="24" customHeight="1">
      <c r="B26" s="36" t="inlineStr">
        <is>
          <t>Students on Rehabilitation Programme</t>
        </is>
      </c>
      <c r="F26" s="37">
        <f>COUNTA(B6:B23)</f>
        <v/>
      </c>
    </row>
    <row r="27" ht="24" customHeight="1">
      <c r="B27" s="26" t="inlineStr">
        <is>
          <t>Sessions Completed (avg per student)</t>
        </is>
      </c>
      <c r="F27" s="38" t="inlineStr"/>
    </row>
    <row r="28" ht="24" customHeight="1">
      <c r="B28" s="36" t="inlineStr">
        <is>
          <t>Excellent / Good Improvement</t>
        </is>
      </c>
      <c r="F28" s="37">
        <f>COUNTIF(H6:H23,"Excellent — No incidents")</f>
        <v/>
      </c>
    </row>
    <row r="29" ht="24" customHeight="1">
      <c r="B29" s="26" t="inlineStr">
        <is>
          <t>Poor / No Change</t>
        </is>
      </c>
      <c r="F29" s="38">
        <f>COUNTIF(H6:H23,"Poor — No change")</f>
        <v/>
      </c>
    </row>
    <row r="30" ht="24" customHeight="1">
      <c r="B30" s="36" t="inlineStr">
        <is>
          <t>Probation Period Completed</t>
        </is>
      </c>
      <c r="F30" s="37" t="inlineStr"/>
    </row>
    <row r="31" ht="24" customHeight="1">
      <c r="B31" s="26" t="inlineStr">
        <is>
          <t>Repeat Offenders (new case after rehab)</t>
        </is>
      </c>
      <c r="F31" s="38" t="inlineStr"/>
    </row>
    <row r="32" ht="24" customHeight="1"/>
    <row r="33" ht="24" customHeight="1"/>
  </sheetData>
  <mergeCells count="16">
    <mergeCell ref="B31:E31"/>
    <mergeCell ref="B26:E26"/>
    <mergeCell ref="B25:J25"/>
    <mergeCell ref="B3:J3"/>
    <mergeCell ref="B27:E27"/>
    <mergeCell ref="F29:J29"/>
    <mergeCell ref="F30:J30"/>
    <mergeCell ref="B30:E30"/>
    <mergeCell ref="F27:J27"/>
    <mergeCell ref="F28:J28"/>
    <mergeCell ref="B29:E29"/>
    <mergeCell ref="F31:J31"/>
    <mergeCell ref="B4:J4"/>
    <mergeCell ref="B28:E28"/>
    <mergeCell ref="F26:J26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SDC-22: PARENTAL / GUARDIAN COMMUNICATION REGISTER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72" t="inlineStr">
        <is>
          <t>All communications to parents must be in writing. Emergency incidents — phone call within 2 hours + written communication within 24 hours.</t>
        </is>
      </c>
    </row>
    <row r="5" ht="22" customHeight="1">
      <c r="B5" s="13" t="inlineStr">
        <is>
          <t>Comm.
Ref.</t>
        </is>
      </c>
      <c r="C5" s="13" t="inlineStr">
        <is>
          <t>Student
(Code)</t>
        </is>
      </c>
      <c r="D5" s="13" t="inlineStr">
        <is>
          <t>Case Ref.</t>
        </is>
      </c>
      <c r="E5" s="13" t="inlineStr">
        <is>
          <t>Parent /
Guardian Name</t>
        </is>
      </c>
      <c r="F5" s="13" t="inlineStr">
        <is>
          <t>Communication
Type</t>
        </is>
      </c>
      <c r="G5" s="13" t="inlineStr">
        <is>
          <t>Mode</t>
        </is>
      </c>
      <c r="H5" s="13" t="inlineStr">
        <is>
          <t>Date &amp; Time
Communicated</t>
        </is>
      </c>
      <c r="I5" s="13" t="inlineStr">
        <is>
          <t>Parent
Response</t>
        </is>
      </c>
      <c r="J5" s="13" t="inlineStr">
        <is>
          <t>Outcome</t>
        </is>
      </c>
    </row>
    <row r="6" ht="22" customHeight="1">
      <c r="B6" s="14" t="inlineStr">
        <is>
          <t>COMM/001</t>
        </is>
      </c>
      <c r="C6" s="16" t="inlineStr"/>
      <c r="D6" s="16" t="inlineStr">
        <is>
          <t>SDC/2024/0001</t>
        </is>
      </c>
      <c r="E6" s="15" t="inlineStr"/>
      <c r="F6" s="16" t="inlineStr">
        <is>
          <t>Incident Notification</t>
        </is>
      </c>
      <c r="G6" s="16" t="inlineStr">
        <is>
          <t>Phone Call</t>
        </is>
      </c>
      <c r="H6" s="16" t="inlineStr"/>
      <c r="I6" s="15" t="inlineStr"/>
      <c r="J6" s="16" t="inlineStr">
        <is>
          <t>Acknowledged</t>
        </is>
      </c>
    </row>
    <row r="7" ht="22" customHeight="1">
      <c r="B7" s="8" t="inlineStr">
        <is>
          <t>COMM/002</t>
        </is>
      </c>
      <c r="C7" s="10" t="inlineStr"/>
      <c r="D7" s="10" t="inlineStr">
        <is>
          <t>SDC/2024/0002</t>
        </is>
      </c>
      <c r="E7" s="9" t="inlineStr"/>
      <c r="F7" s="10" t="inlineStr">
        <is>
          <t>Show-Cause Notice Copy</t>
        </is>
      </c>
      <c r="G7" s="10" t="inlineStr">
        <is>
          <t>Written Letter</t>
        </is>
      </c>
      <c r="H7" s="10" t="inlineStr"/>
      <c r="I7" s="9" t="inlineStr"/>
      <c r="J7" s="10" t="inlineStr">
        <is>
          <t>Acknowledged</t>
        </is>
      </c>
    </row>
    <row r="8" ht="22" customHeight="1">
      <c r="B8" s="14" t="inlineStr">
        <is>
          <t>COMM/003</t>
        </is>
      </c>
      <c r="C8" s="16" t="inlineStr"/>
      <c r="D8" s="16" t="inlineStr">
        <is>
          <t>SDC/2024/0003</t>
        </is>
      </c>
      <c r="E8" s="15" t="inlineStr"/>
      <c r="F8" s="16" t="inlineStr">
        <is>
          <t>Penalty Communication</t>
        </is>
      </c>
      <c r="G8" s="16" t="inlineStr">
        <is>
          <t>Email</t>
        </is>
      </c>
      <c r="H8" s="16" t="inlineStr"/>
      <c r="I8" s="15" t="inlineStr"/>
      <c r="J8" s="16" t="inlineStr">
        <is>
          <t>Acknowledged</t>
        </is>
      </c>
    </row>
    <row r="9" ht="22" customHeight="1">
      <c r="B9" s="8" t="inlineStr">
        <is>
          <t>COMM/004</t>
        </is>
      </c>
      <c r="C9" s="10" t="inlineStr"/>
      <c r="D9" s="10" t="inlineStr">
        <is>
          <t>SDC/2024/0004</t>
        </is>
      </c>
      <c r="E9" s="9" t="inlineStr"/>
      <c r="F9" s="10" t="inlineStr">
        <is>
          <t>Suspension Order</t>
        </is>
      </c>
      <c r="G9" s="10" t="inlineStr">
        <is>
          <t>Registered Post</t>
        </is>
      </c>
      <c r="H9" s="10" t="inlineStr"/>
      <c r="I9" s="9" t="inlineStr"/>
      <c r="J9" s="10" t="inlineStr">
        <is>
          <t>Acknowledged</t>
        </is>
      </c>
    </row>
    <row r="10" ht="22" customHeight="1">
      <c r="B10" s="14" t="inlineStr">
        <is>
          <t>COMM/005</t>
        </is>
      </c>
      <c r="C10" s="16" t="inlineStr"/>
      <c r="D10" s="16" t="inlineStr">
        <is>
          <t>SDC/2024/0005</t>
        </is>
      </c>
      <c r="E10" s="15" t="inlineStr"/>
      <c r="F10" s="16" t="inlineStr">
        <is>
          <t>Meeting Request</t>
        </is>
      </c>
      <c r="G10" s="16" t="inlineStr">
        <is>
          <t>In-Person Meeting</t>
        </is>
      </c>
      <c r="H10" s="16" t="inlineStr"/>
      <c r="I10" s="15" t="inlineStr"/>
      <c r="J10" s="16" t="inlineStr">
        <is>
          <t>Acknowledged</t>
        </is>
      </c>
    </row>
    <row r="11" ht="22" customHeight="1">
      <c r="B11" s="8" t="inlineStr">
        <is>
          <t>COMM/006</t>
        </is>
      </c>
      <c r="C11" s="10" t="inlineStr"/>
      <c r="D11" s="10" t="inlineStr">
        <is>
          <t>SDC/2024/0006</t>
        </is>
      </c>
      <c r="E11" s="9" t="inlineStr"/>
      <c r="F11" s="10" t="inlineStr">
        <is>
          <t>Progress Update (Probation)</t>
        </is>
      </c>
      <c r="G11" s="10" t="inlineStr">
        <is>
          <t>WhatsApp (with consent)</t>
        </is>
      </c>
      <c r="H11" s="10" t="inlineStr"/>
      <c r="I11" s="9" t="inlineStr"/>
      <c r="J11" s="10" t="inlineStr">
        <is>
          <t>Acknowledged</t>
        </is>
      </c>
    </row>
    <row r="12" ht="22" customHeight="1">
      <c r="B12" s="14" t="inlineStr">
        <is>
          <t>COMM/007</t>
        </is>
      </c>
      <c r="C12" s="16" t="inlineStr"/>
      <c r="D12" s="16" t="inlineStr">
        <is>
          <t>SDC/2024/0007</t>
        </is>
      </c>
      <c r="E12" s="15" t="inlineStr"/>
      <c r="F12" s="16" t="inlineStr">
        <is>
          <t>Closure Communication</t>
        </is>
      </c>
      <c r="G12" s="16" t="inlineStr">
        <is>
          <t>Phone Call</t>
        </is>
      </c>
      <c r="H12" s="16" t="inlineStr"/>
      <c r="I12" s="15" t="inlineStr"/>
      <c r="J12" s="16" t="inlineStr">
        <is>
          <t>Acknowledged</t>
        </is>
      </c>
    </row>
    <row r="13" ht="22" customHeight="1">
      <c r="B13" s="8" t="inlineStr">
        <is>
          <t>COMM/008</t>
        </is>
      </c>
      <c r="C13" s="10" t="inlineStr"/>
      <c r="D13" s="10" t="inlineStr">
        <is>
          <t>SDC/2024/0008</t>
        </is>
      </c>
      <c r="E13" s="9" t="inlineStr"/>
      <c r="F13" s="10" t="inlineStr">
        <is>
          <t>General Concern</t>
        </is>
      </c>
      <c r="G13" s="10" t="inlineStr">
        <is>
          <t>Written Letter</t>
        </is>
      </c>
      <c r="H13" s="10" t="inlineStr"/>
      <c r="I13" s="9" t="inlineStr"/>
      <c r="J13" s="10" t="inlineStr">
        <is>
          <t>Acknowledged</t>
        </is>
      </c>
    </row>
    <row r="14" ht="22" customHeight="1">
      <c r="B14" s="14" t="inlineStr">
        <is>
          <t>COMM/009</t>
        </is>
      </c>
      <c r="C14" s="16" t="inlineStr"/>
      <c r="D14" s="16" t="inlineStr">
        <is>
          <t>SDC/2024/0009</t>
        </is>
      </c>
      <c r="E14" s="15" t="inlineStr"/>
      <c r="F14" s="16" t="inlineStr">
        <is>
          <t>Incident Notification</t>
        </is>
      </c>
      <c r="G14" s="16" t="inlineStr">
        <is>
          <t>Email</t>
        </is>
      </c>
      <c r="H14" s="16" t="inlineStr"/>
      <c r="I14" s="15" t="inlineStr"/>
      <c r="J14" s="16" t="inlineStr">
        <is>
          <t>Acknowledged</t>
        </is>
      </c>
    </row>
    <row r="15" ht="22" customHeight="1">
      <c r="B15" s="8" t="inlineStr">
        <is>
          <t>COMM/010</t>
        </is>
      </c>
      <c r="C15" s="10" t="inlineStr"/>
      <c r="D15" s="10" t="inlineStr">
        <is>
          <t>SDC/2025/0010</t>
        </is>
      </c>
      <c r="E15" s="9" t="inlineStr"/>
      <c r="F15" s="10" t="inlineStr">
        <is>
          <t>Show-Cause Notice Copy</t>
        </is>
      </c>
      <c r="G15" s="10" t="inlineStr">
        <is>
          <t>Registered Post</t>
        </is>
      </c>
      <c r="H15" s="10" t="inlineStr"/>
      <c r="I15" s="9" t="inlineStr"/>
      <c r="J15" s="10" t="inlineStr">
        <is>
          <t>Acknowledged</t>
        </is>
      </c>
    </row>
    <row r="16" ht="22" customHeight="1">
      <c r="B16" s="14" t="inlineStr">
        <is>
          <t>COMM/011</t>
        </is>
      </c>
      <c r="C16" s="16" t="inlineStr"/>
      <c r="D16" s="16" t="inlineStr">
        <is>
          <t>SDC/2025/0011</t>
        </is>
      </c>
      <c r="E16" s="15" t="inlineStr"/>
      <c r="F16" s="16" t="inlineStr">
        <is>
          <t>Penalty Communication</t>
        </is>
      </c>
      <c r="G16" s="16" t="inlineStr">
        <is>
          <t>In-Person Meeting</t>
        </is>
      </c>
      <c r="H16" s="16" t="inlineStr"/>
      <c r="I16" s="15" t="inlineStr"/>
      <c r="J16" s="16" t="inlineStr">
        <is>
          <t>Acknowledged</t>
        </is>
      </c>
    </row>
    <row r="17" ht="22" customHeight="1">
      <c r="B17" s="8" t="inlineStr">
        <is>
          <t>COMM/012</t>
        </is>
      </c>
      <c r="C17" s="10" t="inlineStr"/>
      <c r="D17" s="10" t="inlineStr">
        <is>
          <t>SDC/2025/0012</t>
        </is>
      </c>
      <c r="E17" s="9" t="inlineStr"/>
      <c r="F17" s="10" t="inlineStr">
        <is>
          <t>Suspension Order</t>
        </is>
      </c>
      <c r="G17" s="10" t="inlineStr">
        <is>
          <t>WhatsApp (with consent)</t>
        </is>
      </c>
      <c r="H17" s="10" t="inlineStr"/>
      <c r="I17" s="9" t="inlineStr"/>
      <c r="J17" s="10" t="inlineStr">
        <is>
          <t>Acknowledged</t>
        </is>
      </c>
    </row>
    <row r="18" ht="22" customHeight="1">
      <c r="B18" s="14" t="inlineStr">
        <is>
          <t>COMM/013</t>
        </is>
      </c>
      <c r="C18" s="16" t="inlineStr"/>
      <c r="D18" s="16" t="inlineStr">
        <is>
          <t>SDC/2025/0013</t>
        </is>
      </c>
      <c r="E18" s="15" t="inlineStr"/>
      <c r="F18" s="16" t="inlineStr">
        <is>
          <t>Meeting Request</t>
        </is>
      </c>
      <c r="G18" s="16" t="inlineStr">
        <is>
          <t>Phone Call</t>
        </is>
      </c>
      <c r="H18" s="16" t="inlineStr"/>
      <c r="I18" s="15" t="inlineStr"/>
      <c r="J18" s="16" t="inlineStr">
        <is>
          <t>Acknowledged</t>
        </is>
      </c>
    </row>
    <row r="19" ht="22" customHeight="1">
      <c r="B19" s="8" t="inlineStr">
        <is>
          <t>COMM/014</t>
        </is>
      </c>
      <c r="C19" s="10" t="inlineStr"/>
      <c r="D19" s="10" t="inlineStr">
        <is>
          <t>SDC/2025/0014</t>
        </is>
      </c>
      <c r="E19" s="9" t="inlineStr"/>
      <c r="F19" s="10" t="inlineStr">
        <is>
          <t>Progress Update (Probation)</t>
        </is>
      </c>
      <c r="G19" s="10" t="inlineStr">
        <is>
          <t>Written Letter</t>
        </is>
      </c>
      <c r="H19" s="10" t="inlineStr"/>
      <c r="I19" s="9" t="inlineStr"/>
      <c r="J19" s="10" t="inlineStr">
        <is>
          <t>Acknowledged</t>
        </is>
      </c>
    </row>
    <row r="20" ht="22" customHeight="1">
      <c r="B20" s="14" t="inlineStr">
        <is>
          <t>COMM/015</t>
        </is>
      </c>
      <c r="C20" s="16" t="inlineStr"/>
      <c r="D20" s="16" t="inlineStr">
        <is>
          <t>SDC/2025/0015</t>
        </is>
      </c>
      <c r="E20" s="15" t="inlineStr"/>
      <c r="F20" s="16" t="inlineStr">
        <is>
          <t>Closure Communication</t>
        </is>
      </c>
      <c r="G20" s="16" t="inlineStr">
        <is>
          <t>Email</t>
        </is>
      </c>
      <c r="H20" s="16" t="inlineStr"/>
      <c r="I20" s="15" t="inlineStr"/>
      <c r="J20" s="16" t="inlineStr">
        <is>
          <t>Acknowledged</t>
        </is>
      </c>
    </row>
    <row r="21" ht="22" customHeight="1">
      <c r="B21" s="8" t="inlineStr">
        <is>
          <t>COMM/016</t>
        </is>
      </c>
      <c r="C21" s="10" t="inlineStr"/>
      <c r="D21" s="10" t="inlineStr">
        <is>
          <t>SDC/2025/0016</t>
        </is>
      </c>
      <c r="E21" s="9" t="inlineStr"/>
      <c r="F21" s="10" t="inlineStr">
        <is>
          <t>General Concern</t>
        </is>
      </c>
      <c r="G21" s="10" t="inlineStr">
        <is>
          <t>Registered Post</t>
        </is>
      </c>
      <c r="H21" s="10" t="inlineStr"/>
      <c r="I21" s="9" t="inlineStr"/>
      <c r="J21" s="10" t="inlineStr">
        <is>
          <t>Acknowledged</t>
        </is>
      </c>
    </row>
    <row r="22" ht="22" customHeight="1">
      <c r="B22" s="14" t="inlineStr">
        <is>
          <t>COMM/017</t>
        </is>
      </c>
      <c r="C22" s="16" t="inlineStr"/>
      <c r="D22" s="16" t="inlineStr">
        <is>
          <t>SDC/2025/0017</t>
        </is>
      </c>
      <c r="E22" s="15" t="inlineStr"/>
      <c r="F22" s="16" t="inlineStr">
        <is>
          <t>Incident Notification</t>
        </is>
      </c>
      <c r="G22" s="16" t="inlineStr">
        <is>
          <t>In-Person Meeting</t>
        </is>
      </c>
      <c r="H22" s="16" t="inlineStr"/>
      <c r="I22" s="15" t="inlineStr"/>
      <c r="J22" s="16" t="inlineStr">
        <is>
          <t>Acknowledged</t>
        </is>
      </c>
    </row>
    <row r="23" ht="22" customHeight="1">
      <c r="B23" s="8" t="inlineStr">
        <is>
          <t>COMM/018</t>
        </is>
      </c>
      <c r="C23" s="10" t="inlineStr"/>
      <c r="D23" s="10" t="inlineStr">
        <is>
          <t>SDC/2025/0018</t>
        </is>
      </c>
      <c r="E23" s="9" t="inlineStr"/>
      <c r="F23" s="10" t="inlineStr">
        <is>
          <t>Show-Cause Notice Copy</t>
        </is>
      </c>
      <c r="G23" s="10" t="inlineStr">
        <is>
          <t>WhatsApp (with consent)</t>
        </is>
      </c>
      <c r="H23" s="10" t="inlineStr"/>
      <c r="I23" s="9" t="inlineStr"/>
      <c r="J23" s="10" t="inlineStr">
        <is>
          <t>Acknowledged</t>
        </is>
      </c>
    </row>
    <row r="24" ht="22" customHeight="1"/>
    <row r="25" ht="22" customHeight="1"/>
    <row r="26" ht="22" customHeight="1"/>
    <row r="27" ht="22" customHeight="1"/>
  </sheetData>
  <mergeCells count="3">
    <mergeCell ref="B4:J4"/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SDC-28: DISCIPLINARY CASE MASTER REGISTER</t>
        </is>
      </c>
    </row>
    <row r="3" ht="18" customHeight="1">
      <c r="B3" s="19" t="inlineStr">
        <is>
          <t>STRICTLY CONFIDENTIAL — Disciplinary records are sensitive legal documents. Access restricted to authorised SDC members and institutional leadership only.</t>
        </is>
      </c>
    </row>
    <row r="4" ht="25" customHeight="1">
      <c r="B4" s="2" t="inlineStr">
        <is>
          <t>A.Y.: _______  Member Secretary: ___________________  Last Updated: _______</t>
        </is>
      </c>
    </row>
    <row r="5" ht="22" customHeight="1">
      <c r="B5" s="13" t="inlineStr">
        <is>
          <t>Case
Ref.</t>
        </is>
      </c>
      <c r="C5" s="13" t="inlineStr">
        <is>
          <t>Student
(Code)</t>
        </is>
      </c>
      <c r="D5" s="13" t="inlineStr">
        <is>
          <t>Dept.</t>
        </is>
      </c>
      <c r="E5" s="13" t="inlineStr">
        <is>
          <t>Offence
Cat.</t>
        </is>
      </c>
      <c r="F5" s="13" t="inlineStr">
        <is>
          <t>Date of
Complaint</t>
        </is>
      </c>
      <c r="G5" s="13" t="inlineStr">
        <is>
          <t>Date
Decided</t>
        </is>
      </c>
      <c r="H5" s="13" t="inlineStr">
        <is>
          <t>Days
Taken</t>
        </is>
      </c>
      <c r="I5" s="13" t="inlineStr">
        <is>
          <t>Verdict</t>
        </is>
      </c>
      <c r="J5" s="13" t="inlineStr">
        <is>
          <t>Penalty</t>
        </is>
      </c>
      <c r="K5" s="13" t="inlineStr">
        <is>
          <t>Appeal
Filed</t>
        </is>
      </c>
      <c r="L5" s="13" t="inlineStr">
        <is>
          <t>Final
Status</t>
        </is>
      </c>
    </row>
    <row r="6" ht="22" customHeight="1">
      <c r="B6" s="14" t="inlineStr">
        <is>
          <t>SDC/2024/0001</t>
        </is>
      </c>
      <c r="C6" s="16" t="inlineStr"/>
      <c r="D6" s="16" t="inlineStr"/>
      <c r="E6" s="14" t="inlineStr">
        <is>
          <t>A — Minor</t>
        </is>
      </c>
      <c r="F6" s="16" t="inlineStr"/>
      <c r="G6" s="16" t="inlineStr"/>
      <c r="H6" s="16">
        <f>IFERROR(G6-F6,"")</f>
        <v/>
      </c>
      <c r="I6" s="16" t="inlineStr">
        <is>
          <t>Guilty — Penalty Awarded</t>
        </is>
      </c>
      <c r="J6" s="16" t="inlineStr">
        <is>
          <t>Written Warning</t>
        </is>
      </c>
      <c r="K6" s="16" t="inlineStr">
        <is>
          <t>N</t>
        </is>
      </c>
      <c r="L6" s="16" t="inlineStr">
        <is>
          <t>Closed — Resolved</t>
        </is>
      </c>
    </row>
    <row r="7" ht="22" customHeight="1">
      <c r="B7" s="8" t="inlineStr">
        <is>
          <t>SDC/2024/0002</t>
        </is>
      </c>
      <c r="C7" s="10" t="inlineStr"/>
      <c r="D7" s="10" t="inlineStr"/>
      <c r="E7" s="8" t="inlineStr">
        <is>
          <t>B — Moderate</t>
        </is>
      </c>
      <c r="F7" s="10" t="inlineStr"/>
      <c r="G7" s="10" t="inlineStr"/>
      <c r="H7" s="10">
        <f>IFERROR(G7-F7,"")</f>
        <v/>
      </c>
      <c r="I7" s="10" t="inlineStr">
        <is>
          <t>Not Guilty — Case Closed</t>
        </is>
      </c>
      <c r="J7" s="10" t="inlineStr">
        <is>
          <t>Written Apology</t>
        </is>
      </c>
      <c r="K7" s="10" t="inlineStr">
        <is>
          <t>N</t>
        </is>
      </c>
      <c r="L7" s="10" t="inlineStr">
        <is>
          <t>Closed — Acquitted</t>
        </is>
      </c>
    </row>
    <row r="8" ht="22" customHeight="1">
      <c r="B8" s="14" t="inlineStr">
        <is>
          <t>SDC/2024/0003</t>
        </is>
      </c>
      <c r="C8" s="16" t="inlineStr"/>
      <c r="D8" s="16" t="inlineStr"/>
      <c r="E8" s="14" t="inlineStr">
        <is>
          <t>C — Serious</t>
        </is>
      </c>
      <c r="F8" s="16" t="inlineStr"/>
      <c r="G8" s="16" t="inlineStr"/>
      <c r="H8" s="16">
        <f>IFERROR(G8-F8,"")</f>
        <v/>
      </c>
      <c r="I8" s="16" t="inlineStr">
        <is>
          <t>Partial Guilt — Reduced Penalty</t>
        </is>
      </c>
      <c r="J8" s="16" t="inlineStr">
        <is>
          <t>Fine (₹ amount)</t>
        </is>
      </c>
      <c r="K8" s="16" t="inlineStr">
        <is>
          <t>N</t>
        </is>
      </c>
      <c r="L8" s="16" t="inlineStr">
        <is>
          <t>Closed — Penalty Served</t>
        </is>
      </c>
    </row>
    <row r="9" ht="22" customHeight="1">
      <c r="B9" s="8" t="inlineStr">
        <is>
          <t>SDC/2024/0004</t>
        </is>
      </c>
      <c r="C9" s="10" t="inlineStr"/>
      <c r="D9" s="10" t="inlineStr"/>
      <c r="E9" s="8" t="inlineStr">
        <is>
          <t>A — Minor</t>
        </is>
      </c>
      <c r="F9" s="10" t="inlineStr"/>
      <c r="G9" s="10" t="inlineStr"/>
      <c r="H9" s="10">
        <f>IFERROR(G9-F9,"")</f>
        <v/>
      </c>
      <c r="I9" s="10" t="inlineStr">
        <is>
          <t>Referred to Higher Authority</t>
        </is>
      </c>
      <c r="J9" s="10" t="inlineStr">
        <is>
          <t>Community Service (hrs)</t>
        </is>
      </c>
      <c r="K9" s="10" t="inlineStr">
        <is>
          <t>N</t>
        </is>
      </c>
      <c r="L9" s="10" t="inlineStr">
        <is>
          <t>Open</t>
        </is>
      </c>
    </row>
    <row r="10" ht="22" customHeight="1">
      <c r="B10" s="14" t="inlineStr">
        <is>
          <t>SDC/2024/0005</t>
        </is>
      </c>
      <c r="C10" s="16" t="inlineStr"/>
      <c r="D10" s="16" t="inlineStr"/>
      <c r="E10" s="14" t="inlineStr">
        <is>
          <t>B — Moderate</t>
        </is>
      </c>
      <c r="F10" s="16" t="inlineStr"/>
      <c r="G10" s="16" t="inlineStr"/>
      <c r="H10" s="16">
        <f>IFERROR(G10-F10,"")</f>
        <v/>
      </c>
      <c r="I10" s="16" t="inlineStr">
        <is>
          <t>Case Dismissed — Insufficient Evidence</t>
        </is>
      </c>
      <c r="J10" s="16" t="inlineStr">
        <is>
          <t>Suspension (1–7 days)</t>
        </is>
      </c>
      <c r="K10" s="16" t="inlineStr">
        <is>
          <t>N</t>
        </is>
      </c>
      <c r="L10" s="16" t="inlineStr">
        <is>
          <t>Referred to Police</t>
        </is>
      </c>
    </row>
    <row r="11" ht="22" customHeight="1">
      <c r="B11" s="8" t="inlineStr">
        <is>
          <t>SDC/2024/0006</t>
        </is>
      </c>
      <c r="C11" s="10" t="inlineStr"/>
      <c r="D11" s="10" t="inlineStr"/>
      <c r="E11" s="8" t="inlineStr">
        <is>
          <t>C — Serious</t>
        </is>
      </c>
      <c r="F11" s="10" t="inlineStr"/>
      <c r="G11" s="10" t="inlineStr"/>
      <c r="H11" s="10">
        <f>IFERROR(G11-F11,"")</f>
        <v/>
      </c>
      <c r="I11" s="10" t="inlineStr">
        <is>
          <t>Referred to Police / Legal</t>
        </is>
      </c>
      <c r="J11" s="10" t="inlineStr">
        <is>
          <t>Suspension (8–30 days)</t>
        </is>
      </c>
      <c r="K11" s="10" t="inlineStr">
        <is>
          <t>N</t>
        </is>
      </c>
      <c r="L11" s="10" t="inlineStr">
        <is>
          <t>Closed — Resolved</t>
        </is>
      </c>
    </row>
    <row r="12" ht="22" customHeight="1">
      <c r="B12" s="14" t="inlineStr">
        <is>
          <t>SDC/2024/0007</t>
        </is>
      </c>
      <c r="C12" s="16" t="inlineStr"/>
      <c r="D12" s="16" t="inlineStr"/>
      <c r="E12" s="14" t="inlineStr">
        <is>
          <t>A — Minor</t>
        </is>
      </c>
      <c r="F12" s="16" t="inlineStr"/>
      <c r="G12" s="16" t="inlineStr"/>
      <c r="H12" s="16">
        <f>IFERROR(G12-F12,"")</f>
        <v/>
      </c>
      <c r="I12" s="16" t="inlineStr">
        <is>
          <t>Guilty — Penalty Awarded</t>
        </is>
      </c>
      <c r="J12" s="16" t="inlineStr">
        <is>
          <t>Rustication</t>
        </is>
      </c>
      <c r="K12" s="16" t="inlineStr">
        <is>
          <t>N</t>
        </is>
      </c>
      <c r="L12" s="16" t="inlineStr">
        <is>
          <t>Closed — Acquitted</t>
        </is>
      </c>
    </row>
    <row r="13" ht="22" customHeight="1">
      <c r="B13" s="8" t="inlineStr">
        <is>
          <t>SDC/2024/0008</t>
        </is>
      </c>
      <c r="C13" s="10" t="inlineStr"/>
      <c r="D13" s="10" t="inlineStr"/>
      <c r="E13" s="8" t="inlineStr">
        <is>
          <t>B — Moderate</t>
        </is>
      </c>
      <c r="F13" s="10" t="inlineStr"/>
      <c r="G13" s="10" t="inlineStr"/>
      <c r="H13" s="10">
        <f>IFERROR(G13-F13,"")</f>
        <v/>
      </c>
      <c r="I13" s="10" t="inlineStr">
        <is>
          <t>Not Guilty — Case Closed</t>
        </is>
      </c>
      <c r="J13" s="10" t="inlineStr">
        <is>
          <t>Expulsion</t>
        </is>
      </c>
      <c r="K13" s="10" t="inlineStr">
        <is>
          <t>N</t>
        </is>
      </c>
      <c r="L13" s="10" t="inlineStr">
        <is>
          <t>Closed — Penalty Served</t>
        </is>
      </c>
    </row>
    <row r="14" ht="22" customHeight="1">
      <c r="B14" s="14" t="inlineStr">
        <is>
          <t>SDC/2024/0009</t>
        </is>
      </c>
      <c r="C14" s="16" t="inlineStr"/>
      <c r="D14" s="16" t="inlineStr"/>
      <c r="E14" s="14" t="inlineStr">
        <is>
          <t>C — Serious</t>
        </is>
      </c>
      <c r="F14" s="16" t="inlineStr"/>
      <c r="G14" s="16" t="inlineStr"/>
      <c r="H14" s="16">
        <f>IFERROR(G14-F14,"")</f>
        <v/>
      </c>
      <c r="I14" s="16" t="inlineStr">
        <is>
          <t>Partial Guilt — Reduced Penalty</t>
        </is>
      </c>
      <c r="J14" s="16" t="inlineStr">
        <is>
          <t>Debarred from Exams</t>
        </is>
      </c>
      <c r="K14" s="16" t="inlineStr">
        <is>
          <t>N</t>
        </is>
      </c>
      <c r="L14" s="16" t="inlineStr">
        <is>
          <t>Open</t>
        </is>
      </c>
    </row>
    <row r="15" ht="22" customHeight="1">
      <c r="B15" s="8" t="inlineStr">
        <is>
          <t>SDC/2024/0010</t>
        </is>
      </c>
      <c r="C15" s="10" t="inlineStr"/>
      <c r="D15" s="10" t="inlineStr"/>
      <c r="E15" s="8" t="inlineStr">
        <is>
          <t>A — Minor</t>
        </is>
      </c>
      <c r="F15" s="10" t="inlineStr"/>
      <c r="G15" s="10" t="inlineStr"/>
      <c r="H15" s="10">
        <f>IFERROR(G15-F15,"")</f>
        <v/>
      </c>
      <c r="I15" s="10" t="inlineStr">
        <is>
          <t>Referred to Higher Authority</t>
        </is>
      </c>
      <c r="J15" s="10" t="inlineStr">
        <is>
          <t>Academic Penalty</t>
        </is>
      </c>
      <c r="K15" s="10" t="inlineStr">
        <is>
          <t>N</t>
        </is>
      </c>
      <c r="L15" s="10" t="inlineStr">
        <is>
          <t>Referred to Police</t>
        </is>
      </c>
    </row>
    <row r="16" ht="22" customHeight="1">
      <c r="B16" s="14" t="inlineStr">
        <is>
          <t>SDC/2024/0011</t>
        </is>
      </c>
      <c r="C16" s="16" t="inlineStr"/>
      <c r="D16" s="16" t="inlineStr"/>
      <c r="E16" s="14" t="inlineStr">
        <is>
          <t>B — Moderate</t>
        </is>
      </c>
      <c r="F16" s="16" t="inlineStr"/>
      <c r="G16" s="16" t="inlineStr"/>
      <c r="H16" s="16">
        <f>IFERROR(G16-F16,"")</f>
        <v/>
      </c>
      <c r="I16" s="16" t="inlineStr">
        <is>
          <t>Case Dismissed — Insufficient Evidence</t>
        </is>
      </c>
      <c r="J16" s="16" t="inlineStr">
        <is>
          <t>Rehabilitation Programme</t>
        </is>
      </c>
      <c r="K16" s="16" t="inlineStr">
        <is>
          <t>N</t>
        </is>
      </c>
      <c r="L16" s="16" t="inlineStr">
        <is>
          <t>Closed — Resolved</t>
        </is>
      </c>
    </row>
    <row r="17" ht="22" customHeight="1">
      <c r="B17" s="8" t="inlineStr">
        <is>
          <t>SDC/2024/0012</t>
        </is>
      </c>
      <c r="C17" s="10" t="inlineStr"/>
      <c r="D17" s="10" t="inlineStr"/>
      <c r="E17" s="8" t="inlineStr">
        <is>
          <t>C — Serious</t>
        </is>
      </c>
      <c r="F17" s="10" t="inlineStr"/>
      <c r="G17" s="10" t="inlineStr"/>
      <c r="H17" s="10">
        <f>IFERROR(G17-F17,"")</f>
        <v/>
      </c>
      <c r="I17" s="10" t="inlineStr">
        <is>
          <t>Referred to Police / Legal</t>
        </is>
      </c>
      <c r="J17" s="10" t="inlineStr">
        <is>
          <t>Written Warning</t>
        </is>
      </c>
      <c r="K17" s="10" t="inlineStr">
        <is>
          <t>N</t>
        </is>
      </c>
      <c r="L17" s="10" t="inlineStr">
        <is>
          <t>Closed — Acquitted</t>
        </is>
      </c>
    </row>
    <row r="18" ht="22" customHeight="1">
      <c r="B18" s="14" t="inlineStr">
        <is>
          <t>SDC/2024/0013</t>
        </is>
      </c>
      <c r="C18" s="16" t="inlineStr"/>
      <c r="D18" s="16" t="inlineStr"/>
      <c r="E18" s="14" t="inlineStr">
        <is>
          <t>A — Minor</t>
        </is>
      </c>
      <c r="F18" s="16" t="inlineStr"/>
      <c r="G18" s="16" t="inlineStr"/>
      <c r="H18" s="16">
        <f>IFERROR(G18-F18,"")</f>
        <v/>
      </c>
      <c r="I18" s="16" t="inlineStr">
        <is>
          <t>Guilty — Penalty Awarded</t>
        </is>
      </c>
      <c r="J18" s="16" t="inlineStr">
        <is>
          <t>Written Apology</t>
        </is>
      </c>
      <c r="K18" s="16" t="inlineStr">
        <is>
          <t>N</t>
        </is>
      </c>
      <c r="L18" s="16" t="inlineStr">
        <is>
          <t>Closed — Penalty Served</t>
        </is>
      </c>
    </row>
    <row r="19" ht="22" customHeight="1">
      <c r="B19" s="8" t="inlineStr">
        <is>
          <t>SDC/2024/0014</t>
        </is>
      </c>
      <c r="C19" s="10" t="inlineStr"/>
      <c r="D19" s="10" t="inlineStr"/>
      <c r="E19" s="8" t="inlineStr">
        <is>
          <t>B — Moderate</t>
        </is>
      </c>
      <c r="F19" s="10" t="inlineStr"/>
      <c r="G19" s="10" t="inlineStr"/>
      <c r="H19" s="10">
        <f>IFERROR(G19-F19,"")</f>
        <v/>
      </c>
      <c r="I19" s="10" t="inlineStr">
        <is>
          <t>Not Guilty — Case Closed</t>
        </is>
      </c>
      <c r="J19" s="10" t="inlineStr">
        <is>
          <t>Fine (₹ amount)</t>
        </is>
      </c>
      <c r="K19" s="10" t="inlineStr">
        <is>
          <t>N</t>
        </is>
      </c>
      <c r="L19" s="10" t="inlineStr">
        <is>
          <t>Open</t>
        </is>
      </c>
    </row>
    <row r="20" ht="22" customHeight="1">
      <c r="B20" s="14" t="inlineStr">
        <is>
          <t>SDC/2024/0015</t>
        </is>
      </c>
      <c r="C20" s="16" t="inlineStr"/>
      <c r="D20" s="16" t="inlineStr"/>
      <c r="E20" s="14" t="inlineStr">
        <is>
          <t>C — Serious</t>
        </is>
      </c>
      <c r="F20" s="16" t="inlineStr"/>
      <c r="G20" s="16" t="inlineStr"/>
      <c r="H20" s="16">
        <f>IFERROR(G20-F20,"")</f>
        <v/>
      </c>
      <c r="I20" s="16" t="inlineStr">
        <is>
          <t>Partial Guilt — Reduced Penalty</t>
        </is>
      </c>
      <c r="J20" s="16" t="inlineStr">
        <is>
          <t>Community Service (hrs)</t>
        </is>
      </c>
      <c r="K20" s="16" t="inlineStr">
        <is>
          <t>N</t>
        </is>
      </c>
      <c r="L20" s="16" t="inlineStr">
        <is>
          <t>Referred to Police</t>
        </is>
      </c>
    </row>
    <row r="21" ht="22" customHeight="1">
      <c r="B21" s="8" t="inlineStr">
        <is>
          <t>SDC/2025/0016</t>
        </is>
      </c>
      <c r="C21" s="10" t="inlineStr"/>
      <c r="D21" s="10" t="inlineStr"/>
      <c r="E21" s="8" t="inlineStr">
        <is>
          <t>A — Minor</t>
        </is>
      </c>
      <c r="F21" s="10" t="inlineStr"/>
      <c r="G21" s="10" t="inlineStr"/>
      <c r="H21" s="10">
        <f>IFERROR(G21-F21,"")</f>
        <v/>
      </c>
      <c r="I21" s="10" t="inlineStr">
        <is>
          <t>Referred to Higher Authority</t>
        </is>
      </c>
      <c r="J21" s="10" t="inlineStr">
        <is>
          <t>Suspension (1–7 days)</t>
        </is>
      </c>
      <c r="K21" s="10" t="inlineStr">
        <is>
          <t>N</t>
        </is>
      </c>
      <c r="L21" s="10" t="inlineStr">
        <is>
          <t>Closed — Resolved</t>
        </is>
      </c>
    </row>
    <row r="22" ht="22" customHeight="1">
      <c r="B22" s="14" t="inlineStr">
        <is>
          <t>SDC/2025/0017</t>
        </is>
      </c>
      <c r="C22" s="16" t="inlineStr"/>
      <c r="D22" s="16" t="inlineStr"/>
      <c r="E22" s="14" t="inlineStr">
        <is>
          <t>B — Moderate</t>
        </is>
      </c>
      <c r="F22" s="16" t="inlineStr"/>
      <c r="G22" s="16" t="inlineStr"/>
      <c r="H22" s="16">
        <f>IFERROR(G22-F22,"")</f>
        <v/>
      </c>
      <c r="I22" s="16" t="inlineStr">
        <is>
          <t>Case Dismissed — Insufficient Evidence</t>
        </is>
      </c>
      <c r="J22" s="16" t="inlineStr">
        <is>
          <t>Suspension (8–30 days)</t>
        </is>
      </c>
      <c r="K22" s="16" t="inlineStr">
        <is>
          <t>N</t>
        </is>
      </c>
      <c r="L22" s="16" t="inlineStr">
        <is>
          <t>Closed — Acquitted</t>
        </is>
      </c>
    </row>
    <row r="23" ht="22" customHeight="1">
      <c r="B23" s="8" t="inlineStr">
        <is>
          <t>SDC/2025/0018</t>
        </is>
      </c>
      <c r="C23" s="10" t="inlineStr"/>
      <c r="D23" s="10" t="inlineStr"/>
      <c r="E23" s="8" t="inlineStr">
        <is>
          <t>C — Serious</t>
        </is>
      </c>
      <c r="F23" s="10" t="inlineStr"/>
      <c r="G23" s="10" t="inlineStr"/>
      <c r="H23" s="10">
        <f>IFERROR(G23-F23,"")</f>
        <v/>
      </c>
      <c r="I23" s="10" t="inlineStr">
        <is>
          <t>Referred to Police / Legal</t>
        </is>
      </c>
      <c r="J23" s="10" t="inlineStr">
        <is>
          <t>Rustication</t>
        </is>
      </c>
      <c r="K23" s="10" t="inlineStr">
        <is>
          <t>N</t>
        </is>
      </c>
      <c r="L23" s="10" t="inlineStr">
        <is>
          <t>Closed — Penalty Served</t>
        </is>
      </c>
    </row>
    <row r="24" ht="22" customHeight="1">
      <c r="B24" s="14" t="inlineStr">
        <is>
          <t>SDC/2025/0019</t>
        </is>
      </c>
      <c r="C24" s="16" t="inlineStr"/>
      <c r="D24" s="16" t="inlineStr"/>
      <c r="E24" s="14" t="inlineStr">
        <is>
          <t>A — Minor</t>
        </is>
      </c>
      <c r="F24" s="16" t="inlineStr"/>
      <c r="G24" s="16" t="inlineStr"/>
      <c r="H24" s="16">
        <f>IFERROR(G24-F24,"")</f>
        <v/>
      </c>
      <c r="I24" s="16" t="inlineStr">
        <is>
          <t>Guilty — Penalty Awarded</t>
        </is>
      </c>
      <c r="J24" s="16" t="inlineStr">
        <is>
          <t>Expulsion</t>
        </is>
      </c>
      <c r="K24" s="16" t="inlineStr">
        <is>
          <t>N</t>
        </is>
      </c>
      <c r="L24" s="16" t="inlineStr">
        <is>
          <t>Open</t>
        </is>
      </c>
    </row>
    <row r="25" ht="22" customHeight="1">
      <c r="B25" s="8" t="inlineStr">
        <is>
          <t>SDC/2025/0020</t>
        </is>
      </c>
      <c r="C25" s="10" t="inlineStr"/>
      <c r="D25" s="10" t="inlineStr"/>
      <c r="E25" s="8" t="inlineStr">
        <is>
          <t>B — Moderate</t>
        </is>
      </c>
      <c r="F25" s="10" t="inlineStr"/>
      <c r="G25" s="10" t="inlineStr"/>
      <c r="H25" s="10">
        <f>IFERROR(G25-F25,"")</f>
        <v/>
      </c>
      <c r="I25" s="10" t="inlineStr">
        <is>
          <t>Not Guilty — Case Closed</t>
        </is>
      </c>
      <c r="J25" s="10" t="inlineStr">
        <is>
          <t>Debarred from Exams</t>
        </is>
      </c>
      <c r="K25" s="10" t="inlineStr">
        <is>
          <t>N</t>
        </is>
      </c>
      <c r="L25" s="10" t="inlineStr">
        <is>
          <t>Referred to Police</t>
        </is>
      </c>
    </row>
    <row r="26" ht="22" customHeight="1">
      <c r="B26" s="14" t="inlineStr">
        <is>
          <t>SDC/2025/0021</t>
        </is>
      </c>
      <c r="C26" s="16" t="inlineStr"/>
      <c r="D26" s="16" t="inlineStr"/>
      <c r="E26" s="14" t="inlineStr">
        <is>
          <t>C — Serious</t>
        </is>
      </c>
      <c r="F26" s="16" t="inlineStr"/>
      <c r="G26" s="16" t="inlineStr"/>
      <c r="H26" s="16">
        <f>IFERROR(G26-F26,"")</f>
        <v/>
      </c>
      <c r="I26" s="16" t="inlineStr">
        <is>
          <t>Partial Guilt — Reduced Penalty</t>
        </is>
      </c>
      <c r="J26" s="16" t="inlineStr">
        <is>
          <t>Academic Penalty</t>
        </is>
      </c>
      <c r="K26" s="16" t="inlineStr">
        <is>
          <t>N</t>
        </is>
      </c>
      <c r="L26" s="16" t="inlineStr">
        <is>
          <t>Closed — Resolved</t>
        </is>
      </c>
    </row>
    <row r="27" ht="22" customHeight="1">
      <c r="B27" s="8" t="inlineStr">
        <is>
          <t>SDC/2025/0022</t>
        </is>
      </c>
      <c r="C27" s="10" t="inlineStr"/>
      <c r="D27" s="10" t="inlineStr"/>
      <c r="E27" s="8" t="inlineStr">
        <is>
          <t>A — Minor</t>
        </is>
      </c>
      <c r="F27" s="10" t="inlineStr"/>
      <c r="G27" s="10" t="inlineStr"/>
      <c r="H27" s="10">
        <f>IFERROR(G27-F27,"")</f>
        <v/>
      </c>
      <c r="I27" s="10" t="inlineStr">
        <is>
          <t>Referred to Higher Authority</t>
        </is>
      </c>
      <c r="J27" s="10" t="inlineStr">
        <is>
          <t>Rehabilitation Programme</t>
        </is>
      </c>
      <c r="K27" s="10" t="inlineStr">
        <is>
          <t>N</t>
        </is>
      </c>
      <c r="L27" s="10" t="inlineStr">
        <is>
          <t>Closed — Acquitted</t>
        </is>
      </c>
    </row>
    <row r="28" ht="22" customHeight="1">
      <c r="B28" s="14" t="inlineStr">
        <is>
          <t>SDC/2025/0023</t>
        </is>
      </c>
      <c r="C28" s="16" t="inlineStr"/>
      <c r="D28" s="16" t="inlineStr"/>
      <c r="E28" s="14" t="inlineStr">
        <is>
          <t>B — Moderate</t>
        </is>
      </c>
      <c r="F28" s="16" t="inlineStr"/>
      <c r="G28" s="16" t="inlineStr"/>
      <c r="H28" s="16">
        <f>IFERROR(G28-F28,"")</f>
        <v/>
      </c>
      <c r="I28" s="16" t="inlineStr">
        <is>
          <t>Case Dismissed — Insufficient Evidence</t>
        </is>
      </c>
      <c r="J28" s="16" t="inlineStr">
        <is>
          <t>Written Warning</t>
        </is>
      </c>
      <c r="K28" s="16" t="inlineStr">
        <is>
          <t>N</t>
        </is>
      </c>
      <c r="L28" s="16" t="inlineStr">
        <is>
          <t>Closed — Penalty Served</t>
        </is>
      </c>
    </row>
    <row r="29" ht="22" customHeight="1">
      <c r="B29" s="8" t="inlineStr">
        <is>
          <t>SDC/2025/0024</t>
        </is>
      </c>
      <c r="C29" s="10" t="inlineStr"/>
      <c r="D29" s="10" t="inlineStr"/>
      <c r="E29" s="8" t="inlineStr">
        <is>
          <t>C — Serious</t>
        </is>
      </c>
      <c r="F29" s="10" t="inlineStr"/>
      <c r="G29" s="10" t="inlineStr"/>
      <c r="H29" s="10">
        <f>IFERROR(G29-F29,"")</f>
        <v/>
      </c>
      <c r="I29" s="10" t="inlineStr">
        <is>
          <t>Referred to Police / Legal</t>
        </is>
      </c>
      <c r="J29" s="10" t="inlineStr">
        <is>
          <t>Written Apology</t>
        </is>
      </c>
      <c r="K29" s="10" t="inlineStr">
        <is>
          <t>N</t>
        </is>
      </c>
      <c r="L29" s="10" t="inlineStr">
        <is>
          <t>Open</t>
        </is>
      </c>
    </row>
    <row r="30" ht="22" customHeight="1">
      <c r="B30" s="14" t="inlineStr">
        <is>
          <t>SDC/2025/0025</t>
        </is>
      </c>
      <c r="C30" s="16" t="inlineStr"/>
      <c r="D30" s="16" t="inlineStr"/>
      <c r="E30" s="14" t="inlineStr">
        <is>
          <t>A — Minor</t>
        </is>
      </c>
      <c r="F30" s="16" t="inlineStr"/>
      <c r="G30" s="16" t="inlineStr"/>
      <c r="H30" s="16">
        <f>IFERROR(G30-F30,"")</f>
        <v/>
      </c>
      <c r="I30" s="16" t="inlineStr">
        <is>
          <t>Guilty — Penalty Awarded</t>
        </is>
      </c>
      <c r="J30" s="16" t="inlineStr">
        <is>
          <t>Fine (₹ amount)</t>
        </is>
      </c>
      <c r="K30" s="16" t="inlineStr">
        <is>
          <t>N</t>
        </is>
      </c>
      <c r="L30" s="16" t="inlineStr">
        <is>
          <t>Referred to Police</t>
        </is>
      </c>
    </row>
    <row r="31" ht="22" customHeight="1">
      <c r="B31" s="8" t="inlineStr">
        <is>
          <t>SDC/2025/0026</t>
        </is>
      </c>
      <c r="C31" s="10" t="inlineStr"/>
      <c r="D31" s="10" t="inlineStr"/>
      <c r="E31" s="8" t="inlineStr">
        <is>
          <t>B — Moderate</t>
        </is>
      </c>
      <c r="F31" s="10" t="inlineStr"/>
      <c r="G31" s="10" t="inlineStr"/>
      <c r="H31" s="10">
        <f>IFERROR(G31-F31,"")</f>
        <v/>
      </c>
      <c r="I31" s="10" t="inlineStr">
        <is>
          <t>Not Guilty — Case Closed</t>
        </is>
      </c>
      <c r="J31" s="10" t="inlineStr">
        <is>
          <t>Community Service (hrs)</t>
        </is>
      </c>
      <c r="K31" s="10" t="inlineStr">
        <is>
          <t>N</t>
        </is>
      </c>
      <c r="L31" s="10" t="inlineStr">
        <is>
          <t>Closed — Resolved</t>
        </is>
      </c>
    </row>
    <row r="32" ht="22" customHeight="1">
      <c r="B32" s="14" t="inlineStr">
        <is>
          <t>SDC/2025/0027</t>
        </is>
      </c>
      <c r="C32" s="16" t="inlineStr"/>
      <c r="D32" s="16" t="inlineStr"/>
      <c r="E32" s="14" t="inlineStr">
        <is>
          <t>C — Serious</t>
        </is>
      </c>
      <c r="F32" s="16" t="inlineStr"/>
      <c r="G32" s="16" t="inlineStr"/>
      <c r="H32" s="16">
        <f>IFERROR(G32-F32,"")</f>
        <v/>
      </c>
      <c r="I32" s="16" t="inlineStr">
        <is>
          <t>Partial Guilt — Reduced Penalty</t>
        </is>
      </c>
      <c r="J32" s="16" t="inlineStr">
        <is>
          <t>Suspension (1–7 days)</t>
        </is>
      </c>
      <c r="K32" s="16" t="inlineStr">
        <is>
          <t>N</t>
        </is>
      </c>
      <c r="L32" s="16" t="inlineStr">
        <is>
          <t>Closed — Acquitted</t>
        </is>
      </c>
    </row>
    <row r="33" ht="22" customHeight="1">
      <c r="B33" s="8" t="inlineStr">
        <is>
          <t>SDC/2025/0028</t>
        </is>
      </c>
      <c r="C33" s="10" t="inlineStr"/>
      <c r="D33" s="10" t="inlineStr"/>
      <c r="E33" s="8" t="inlineStr">
        <is>
          <t>A — Minor</t>
        </is>
      </c>
      <c r="F33" s="10" t="inlineStr"/>
      <c r="G33" s="10" t="inlineStr"/>
      <c r="H33" s="10">
        <f>IFERROR(G33-F33,"")</f>
        <v/>
      </c>
      <c r="I33" s="10" t="inlineStr">
        <is>
          <t>Referred to Higher Authority</t>
        </is>
      </c>
      <c r="J33" s="10" t="inlineStr">
        <is>
          <t>Suspension (8–30 days)</t>
        </is>
      </c>
      <c r="K33" s="10" t="inlineStr">
        <is>
          <t>N</t>
        </is>
      </c>
      <c r="L33" s="10" t="inlineStr">
        <is>
          <t>Closed — Penalty Served</t>
        </is>
      </c>
    </row>
    <row r="34" ht="22" customHeight="1">
      <c r="B34" s="14" t="inlineStr">
        <is>
          <t>SDC/2025/0029</t>
        </is>
      </c>
      <c r="C34" s="16" t="inlineStr"/>
      <c r="D34" s="16" t="inlineStr"/>
      <c r="E34" s="14" t="inlineStr">
        <is>
          <t>B — Moderate</t>
        </is>
      </c>
      <c r="F34" s="16" t="inlineStr"/>
      <c r="G34" s="16" t="inlineStr"/>
      <c r="H34" s="16">
        <f>IFERROR(G34-F34,"")</f>
        <v/>
      </c>
      <c r="I34" s="16" t="inlineStr">
        <is>
          <t>Case Dismissed — Insufficient Evidence</t>
        </is>
      </c>
      <c r="J34" s="16" t="inlineStr">
        <is>
          <t>Rustication</t>
        </is>
      </c>
      <c r="K34" s="16" t="inlineStr">
        <is>
          <t>N</t>
        </is>
      </c>
      <c r="L34" s="16" t="inlineStr">
        <is>
          <t>Open</t>
        </is>
      </c>
    </row>
    <row r="35" ht="22" customHeight="1">
      <c r="B35" s="8" t="inlineStr">
        <is>
          <t>SDC/2025/0030</t>
        </is>
      </c>
      <c r="C35" s="10" t="inlineStr"/>
      <c r="D35" s="10" t="inlineStr"/>
      <c r="E35" s="8" t="inlineStr">
        <is>
          <t>C — Serious</t>
        </is>
      </c>
      <c r="F35" s="10" t="inlineStr"/>
      <c r="G35" s="10" t="inlineStr"/>
      <c r="H35" s="10">
        <f>IFERROR(G35-F35,"")</f>
        <v/>
      </c>
      <c r="I35" s="10" t="inlineStr">
        <is>
          <t>Referred to Police / Legal</t>
        </is>
      </c>
      <c r="J35" s="10" t="inlineStr">
        <is>
          <t>Expulsion</t>
        </is>
      </c>
      <c r="K35" s="10" t="inlineStr">
        <is>
          <t>N</t>
        </is>
      </c>
      <c r="L35" s="10" t="inlineStr">
        <is>
          <t>Referred to Police</t>
        </is>
      </c>
    </row>
    <row r="36" ht="22" customHeight="1"/>
    <row r="37" ht="24" customHeight="1">
      <c r="B37" s="35" t="inlineStr">
        <is>
          <t>MASTER REGISTER SUMMARY</t>
        </is>
      </c>
    </row>
    <row r="38" ht="22" customHeight="1">
      <c r="B38" s="61" t="inlineStr">
        <is>
          <t>Total Cases (All Years)</t>
        </is>
      </c>
      <c r="F38" s="37">
        <f>COUNTA(B6:B35)</f>
        <v/>
      </c>
    </row>
    <row r="39" ht="22" customHeight="1">
      <c r="B39" s="26" t="inlineStr">
        <is>
          <t>Cases Closed</t>
        </is>
      </c>
      <c r="F39" s="38">
        <f>COUNTIF(L6:L35,"Closed — Resolved")</f>
        <v/>
      </c>
    </row>
    <row r="40" ht="22" customHeight="1">
      <c r="B40" s="61" t="inlineStr">
        <is>
          <t>Category A Cases</t>
        </is>
      </c>
      <c r="F40" s="37">
        <f>COUNTIF(E6:E35,"A — Minor")</f>
        <v/>
      </c>
    </row>
    <row r="41" ht="22" customHeight="1">
      <c r="B41" s="26" t="inlineStr">
        <is>
          <t>Category C Cases</t>
        </is>
      </c>
      <c r="F41" s="38">
        <f>COUNTIF(E6:E35,"C — Serious")</f>
        <v/>
      </c>
    </row>
    <row r="42">
      <c r="B42" s="61" t="inlineStr">
        <is>
          <t>Cases Referred to Police</t>
        </is>
      </c>
      <c r="F42" s="37">
        <f>COUNTIF(L6:L35,"Referred to Police")</f>
        <v/>
      </c>
    </row>
    <row r="43">
      <c r="B43" s="26" t="inlineStr">
        <is>
          <t>Average Case Resolution (Days)</t>
        </is>
      </c>
      <c r="F43" s="38">
        <f>IFERROR(ROUND(AVERAGE(H6:H35),0),"")</f>
        <v/>
      </c>
    </row>
  </sheetData>
  <mergeCells count="16">
    <mergeCell ref="B4:L4"/>
    <mergeCell ref="B40:E40"/>
    <mergeCell ref="B41:E41"/>
    <mergeCell ref="F40:L40"/>
    <mergeCell ref="F41:L41"/>
    <mergeCell ref="B43:E43"/>
    <mergeCell ref="B38:E38"/>
    <mergeCell ref="B3:L3"/>
    <mergeCell ref="B2:L2"/>
    <mergeCell ref="B37:L37"/>
    <mergeCell ref="B39:E39"/>
    <mergeCell ref="F39:L39"/>
    <mergeCell ref="F43:L43"/>
    <mergeCell ref="F38:L38"/>
    <mergeCell ref="B42:E42"/>
    <mergeCell ref="F42:L4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SDC-30: DISCIPLINARY AWARENESS &amp; PREVENTION PROGRAMME REGISTER</t>
        </is>
      </c>
    </row>
    <row r="3" ht="25" customHeight="1">
      <c r="B3" s="2" t="inlineStr">
        <is>
          <t>A.Y.: _______  SDC Member Secretary: ___________________  NAAC Ref.: Criterion V.3</t>
        </is>
      </c>
    </row>
    <row r="4" ht="25" customHeight="1">
      <c r="B4" s="13" t="inlineStr">
        <is>
          <t>Sl.</t>
        </is>
      </c>
      <c r="C4" s="13" t="inlineStr">
        <is>
          <t>Programme Title</t>
        </is>
      </c>
      <c r="D4" s="13" t="inlineStr">
        <is>
          <t>Type / Theme</t>
        </is>
      </c>
      <c r="E4" s="13" t="inlineStr">
        <is>
          <t>Date</t>
        </is>
      </c>
      <c r="F4" s="13" t="inlineStr">
        <is>
          <t>Target Audience</t>
        </is>
      </c>
      <c r="G4" s="13" t="inlineStr">
        <is>
          <t>Mode</t>
        </is>
      </c>
      <c r="H4" s="13" t="inlineStr">
        <is>
          <t>Students
Reached</t>
        </is>
      </c>
      <c r="I4" s="13" t="inlineStr">
        <is>
          <t>Resource
Person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>
        <is>
          <t>Student Code of Conduct — Orientation</t>
        </is>
      </c>
      <c r="D5" s="16" t="inlineStr">
        <is>
          <t>Code of Conduct</t>
        </is>
      </c>
      <c r="E5" s="16" t="inlineStr">
        <is>
          <t>July</t>
        </is>
      </c>
      <c r="F5" s="16" t="inlineStr">
        <is>
          <t>New Students (All Batches)</t>
        </is>
      </c>
      <c r="G5" s="16" t="inlineStr">
        <is>
          <t>Physical</t>
        </is>
      </c>
      <c r="H5" s="16" t="inlineStr"/>
      <c r="I5" s="15" t="inlineStr"/>
      <c r="J5" s="16" t="inlineStr"/>
    </row>
    <row r="6" ht="22" customHeight="1">
      <c r="B6" s="8" t="n">
        <v>2</v>
      </c>
      <c r="C6" s="9" t="inlineStr">
        <is>
          <t>Anti-Ragging Awareness Session</t>
        </is>
      </c>
      <c r="D6" s="10" t="inlineStr">
        <is>
          <t>Anti-Ragging</t>
        </is>
      </c>
      <c r="E6" s="10" t="inlineStr">
        <is>
          <t>July/August</t>
        </is>
      </c>
      <c r="F6" s="10" t="inlineStr">
        <is>
          <t>All Students — Mandatory</t>
        </is>
      </c>
      <c r="G6" s="10" t="inlineStr">
        <is>
          <t>Physical</t>
        </is>
      </c>
      <c r="H6" s="10" t="inlineStr"/>
      <c r="I6" s="9" t="inlineStr"/>
      <c r="J6" s="10" t="inlineStr"/>
    </row>
    <row r="7" ht="22" customHeight="1">
      <c r="B7" s="14" t="n">
        <v>3</v>
      </c>
      <c r="C7" s="15" t="inlineStr">
        <is>
          <t>Zero-Tolerance Policy on Drugs Awareness</t>
        </is>
      </c>
      <c r="D7" s="16" t="inlineStr">
        <is>
          <t>Substance Abuse Prevention</t>
        </is>
      </c>
      <c r="E7" s="16" t="inlineStr">
        <is>
          <t>August</t>
        </is>
      </c>
      <c r="F7" s="16" t="inlineStr">
        <is>
          <t>All Students</t>
        </is>
      </c>
      <c r="G7" s="16" t="inlineStr">
        <is>
          <t>Physical</t>
        </is>
      </c>
      <c r="H7" s="16" t="inlineStr"/>
      <c r="I7" s="15" t="inlineStr"/>
      <c r="J7" s="16" t="inlineStr"/>
    </row>
    <row r="8" ht="22" customHeight="1">
      <c r="B8" s="8" t="n">
        <v>4</v>
      </c>
      <c r="C8" s="9" t="inlineStr">
        <is>
          <t>Cybersafety &amp; Digital Ethics Workshop</t>
        </is>
      </c>
      <c r="D8" s="10" t="inlineStr">
        <is>
          <t>Cyber Ethics</t>
        </is>
      </c>
      <c r="E8" s="10" t="inlineStr">
        <is>
          <t>September</t>
        </is>
      </c>
      <c r="F8" s="10" t="inlineStr">
        <is>
          <t>All Students</t>
        </is>
      </c>
      <c r="G8" s="10" t="inlineStr">
        <is>
          <t>Physical</t>
        </is>
      </c>
      <c r="H8" s="10" t="inlineStr"/>
      <c r="I8" s="9" t="inlineStr"/>
      <c r="J8" s="10" t="inlineStr"/>
    </row>
    <row r="9" ht="22" customHeight="1">
      <c r="B9" s="14" t="n">
        <v>5</v>
      </c>
      <c r="C9" s="15" t="inlineStr">
        <is>
          <t>Academic Integrity &amp; Anti-Plagiarism Session</t>
        </is>
      </c>
      <c r="D9" s="16" t="inlineStr">
        <is>
          <t>Academic Ethics</t>
        </is>
      </c>
      <c r="E9" s="16" t="inlineStr">
        <is>
          <t>September</t>
        </is>
      </c>
      <c r="F9" s="16" t="inlineStr">
        <is>
          <t>Final Year Students</t>
        </is>
      </c>
      <c r="G9" s="16" t="inlineStr">
        <is>
          <t>Physical</t>
        </is>
      </c>
      <c r="H9" s="16" t="inlineStr"/>
      <c r="I9" s="15" t="inlineStr"/>
      <c r="J9" s="16" t="inlineStr"/>
    </row>
    <row r="10" ht="22" customHeight="1">
      <c r="B10" s="8" t="n">
        <v>6</v>
      </c>
      <c r="C10" s="9" t="inlineStr">
        <is>
          <t>Sexual Harassment Prevention Awareness (POSH)</t>
        </is>
      </c>
      <c r="D10" s="10" t="inlineStr">
        <is>
          <t>Gender Sensitisation</t>
        </is>
      </c>
      <c r="E10" s="10" t="inlineStr">
        <is>
          <t>October</t>
        </is>
      </c>
      <c r="F10" s="10" t="inlineStr">
        <is>
          <t>All Students</t>
        </is>
      </c>
      <c r="G10" s="10" t="inlineStr">
        <is>
          <t>Physical</t>
        </is>
      </c>
      <c r="H10" s="10" t="inlineStr"/>
      <c r="I10" s="9" t="inlineStr"/>
      <c r="J10" s="10" t="inlineStr"/>
    </row>
    <row r="11" ht="22" customHeight="1">
      <c r="B11" s="14" t="n">
        <v>7</v>
      </c>
      <c r="C11" s="15" t="inlineStr">
        <is>
          <t>Peer Mediation &amp; Conflict Resolution Training</t>
        </is>
      </c>
      <c r="D11" s="16" t="inlineStr">
        <is>
          <t>Peer Leadership</t>
        </is>
      </c>
      <c r="E11" s="16" t="inlineStr">
        <is>
          <t>November</t>
        </is>
      </c>
      <c r="F11" s="16" t="inlineStr">
        <is>
          <t>Student Council</t>
        </is>
      </c>
      <c r="G11" s="16" t="inlineStr">
        <is>
          <t>Physical</t>
        </is>
      </c>
      <c r="H11" s="16" t="inlineStr"/>
      <c r="I11" s="15" t="inlineStr"/>
      <c r="J11" s="16" t="inlineStr"/>
    </row>
    <row r="12" ht="22" customHeight="1">
      <c r="B12" s="8" t="n">
        <v>8</v>
      </c>
      <c r="C12" s="9" t="inlineStr">
        <is>
          <t>Rights &amp; Responsibilities of Students</t>
        </is>
      </c>
      <c r="D12" s="10" t="inlineStr">
        <is>
          <t>Student Rights</t>
        </is>
      </c>
      <c r="E12" s="10" t="inlineStr">
        <is>
          <t>November</t>
        </is>
      </c>
      <c r="F12" s="10" t="inlineStr">
        <is>
          <t>All Students</t>
        </is>
      </c>
      <c r="G12" s="10" t="inlineStr">
        <is>
          <t>Physical</t>
        </is>
      </c>
      <c r="H12" s="10" t="inlineStr"/>
      <c r="I12" s="9" t="inlineStr"/>
      <c r="J12" s="10" t="inlineStr"/>
    </row>
    <row r="13" ht="22" customHeight="1">
      <c r="B13" s="14" t="n">
        <v>9</v>
      </c>
      <c r="C13" s="15" t="inlineStr">
        <is>
          <t>SC/ST &amp; Marginalised Student Sensitivity</t>
        </is>
      </c>
      <c r="D13" s="16" t="inlineStr">
        <is>
          <t>Social Justice</t>
        </is>
      </c>
      <c r="E13" s="16" t="inlineStr">
        <is>
          <t>December</t>
        </is>
      </c>
      <c r="F13" s="16" t="inlineStr">
        <is>
          <t>All Students</t>
        </is>
      </c>
      <c r="G13" s="16" t="inlineStr">
        <is>
          <t>Physical</t>
        </is>
      </c>
      <c r="H13" s="16" t="inlineStr"/>
      <c r="I13" s="15" t="inlineStr"/>
      <c r="J13" s="16" t="inlineStr"/>
    </row>
    <row r="14" ht="22" customHeight="1">
      <c r="B14" s="8" t="n">
        <v>10</v>
      </c>
      <c r="C14" s="9" t="inlineStr">
        <is>
          <t>Good Conduct Awards &amp; Felicitation</t>
        </is>
      </c>
      <c r="D14" s="10" t="inlineStr">
        <is>
          <t>Positive Recognition</t>
        </is>
      </c>
      <c r="E14" s="10" t="inlineStr">
        <is>
          <t>January</t>
        </is>
      </c>
      <c r="F14" s="10" t="inlineStr">
        <is>
          <t>All Students</t>
        </is>
      </c>
      <c r="G14" s="10" t="inlineStr">
        <is>
          <t>Physical</t>
        </is>
      </c>
      <c r="H14" s="10" t="inlineStr"/>
      <c r="I14" s="9" t="inlineStr"/>
      <c r="J14" s="10" t="inlineStr"/>
    </row>
    <row r="15" ht="22" customHeight="1">
      <c r="B15" s="14" t="n">
        <v>11</v>
      </c>
      <c r="C15" s="15" t="inlineStr">
        <is>
          <t>Mental Health &amp; Stress Management</t>
        </is>
      </c>
      <c r="D15" s="16" t="inlineStr">
        <is>
          <t>Wellbeing</t>
        </is>
      </c>
      <c r="E15" s="16" t="inlineStr">
        <is>
          <t>February</t>
        </is>
      </c>
      <c r="F15" s="16" t="inlineStr">
        <is>
          <t>All Students</t>
        </is>
      </c>
      <c r="G15" s="16" t="inlineStr">
        <is>
          <t>Physical</t>
        </is>
      </c>
      <c r="H15" s="16" t="inlineStr"/>
      <c r="I15" s="15" t="inlineStr"/>
      <c r="J15" s="16" t="inlineStr"/>
    </row>
    <row r="16" ht="22" customHeight="1">
      <c r="B16" s="8" t="n">
        <v>12</v>
      </c>
      <c r="C16" s="9" t="inlineStr">
        <is>
          <t>Sports &amp; Fair Play Ethics</t>
        </is>
      </c>
      <c r="D16" s="10" t="inlineStr">
        <is>
          <t>Sportsmanship</t>
        </is>
      </c>
      <c r="E16" s="10" t="inlineStr">
        <is>
          <t>March</t>
        </is>
      </c>
      <c r="F16" s="10" t="inlineStr">
        <is>
          <t>Sports Students</t>
        </is>
      </c>
      <c r="G16" s="10" t="inlineStr">
        <is>
          <t>Physical</t>
        </is>
      </c>
      <c r="H16" s="10" t="inlineStr"/>
      <c r="I16" s="9" t="inlineStr"/>
      <c r="J16" s="10" t="inlineStr"/>
    </row>
    <row r="17" ht="22" customHeight="1"/>
    <row r="18" ht="24" customHeight="1">
      <c r="B18" s="35" t="inlineStr">
        <is>
          <t>AWARENESS PROGRAMME IMPACT SUMMARY</t>
        </is>
      </c>
    </row>
    <row r="19" ht="22" customHeight="1">
      <c r="B19" s="61" t="inlineStr">
        <is>
          <t>Total Awareness Sessions Conducted</t>
        </is>
      </c>
      <c r="F19" s="37">
        <f>COUNTA(B5:B16)</f>
        <v/>
      </c>
    </row>
    <row r="20" ht="22" customHeight="1">
      <c r="B20" s="26" t="inlineStr">
        <is>
          <t>Total Students Reached</t>
        </is>
      </c>
      <c r="F20" s="38">
        <f>IFERROR(SUM(H5:H16),"")</f>
        <v/>
      </c>
    </row>
    <row r="21" ht="22" customHeight="1">
      <c r="B21" s="61" t="inlineStr">
        <is>
          <t>Average Feedback Score (/5)</t>
        </is>
      </c>
      <c r="F21" s="37">
        <f>IFERROR(ROUND(AVERAGE(J5:J16),2),"")</f>
        <v/>
      </c>
    </row>
    <row r="22" ht="22" customHeight="1">
      <c r="B22" s="26" t="inlineStr">
        <is>
          <t>Anti-Ragging Sessions (Mandatory)</t>
        </is>
      </c>
      <c r="F22" s="38">
        <f>COUNTIF(D5:D16,"Anti-Ragging")</f>
        <v/>
      </c>
    </row>
    <row r="23" ht="22" customHeight="1">
      <c r="B23" s="61" t="inlineStr">
        <is>
          <t>Sessions with Feedback Score &lt; 3</t>
        </is>
      </c>
      <c r="F23" s="37">
        <f>COUNTIF(J5:J16,"&lt;3")</f>
        <v/>
      </c>
    </row>
    <row r="24" ht="22" customHeight="1">
      <c r="B24" s="26" t="inlineStr">
        <is>
          <t>Awareness Impact (YoY reduction in incidents)</t>
        </is>
      </c>
      <c r="F24" s="38" t="inlineStr"/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15">
    <mergeCell ref="B23:E23"/>
    <mergeCell ref="B3:J3"/>
    <mergeCell ref="F21:J21"/>
    <mergeCell ref="F24:J24"/>
    <mergeCell ref="F20:J20"/>
    <mergeCell ref="F23:J23"/>
    <mergeCell ref="B21:E21"/>
    <mergeCell ref="F19:J19"/>
    <mergeCell ref="B18:J18"/>
    <mergeCell ref="B24:E24"/>
    <mergeCell ref="B19:E19"/>
    <mergeCell ref="B20:E20"/>
    <mergeCell ref="F22:J22"/>
    <mergeCell ref="B22:E22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SDC-32: STUDENT DISCIPLINARY COMMITTEE KPI DASHBOARD</t>
        </is>
      </c>
    </row>
    <row r="3" ht="25" customHeight="1">
      <c r="B3" s="2" t="inlineStr">
        <is>
          <t>A.Y.: _______  Quarter: Q1/Q2/Q3/Q4  SDC Chairperson: ___________________  Date: _______</t>
        </is>
      </c>
    </row>
    <row r="4" ht="24" customHeight="1">
      <c r="B4" s="20" t="inlineStr">
        <is>
          <t>CASE MANAGEMENT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Year
Actual</t>
        </is>
      </c>
      <c r="G5" s="13" t="inlineStr">
        <is>
          <t>Current Year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disciplinary complaints received</t>
        </is>
      </c>
      <c r="D6" s="16" t="inlineStr">
        <is>
          <t>No. per year</t>
        </is>
      </c>
      <c r="E6" s="16" t="inlineStr">
        <is>
          <t>Tracked</t>
        </is>
      </c>
      <c r="F6" s="16" t="inlineStr"/>
      <c r="G6" s="16" t="inlineStr"/>
      <c r="H6" s="16" t="inlineStr">
        <is>
          <t>Met</t>
        </is>
      </c>
      <c r="I6" s="15" t="inlineStr"/>
    </row>
    <row r="7" ht="22" customHeight="1">
      <c r="B7" s="8" t="n">
        <v>2</v>
      </c>
      <c r="C7" s="9" t="inlineStr">
        <is>
          <t>Complaints acknowledged within 48 hours</t>
        </is>
      </c>
      <c r="D7" s="10" t="inlineStr">
        <is>
          <t>% acknowledged</t>
        </is>
      </c>
      <c r="E7" s="10" t="inlineStr">
        <is>
          <t>100%</t>
        </is>
      </c>
      <c r="F7" s="10" t="inlineStr"/>
      <c r="G7" s="10" t="inlineStr"/>
      <c r="H7" s="10" t="inlineStr">
        <is>
          <t>Met</t>
        </is>
      </c>
      <c r="I7" s="9" t="inlineStr"/>
    </row>
    <row r="8" ht="22" customHeight="1">
      <c r="B8" s="14" t="n">
        <v>3</v>
      </c>
      <c r="C8" s="15" t="inlineStr">
        <is>
          <t>Show-cause notice issued before penalty</t>
        </is>
      </c>
      <c r="D8" s="16" t="inlineStr">
        <is>
          <t>% of cases</t>
        </is>
      </c>
      <c r="E8" s="16" t="inlineStr">
        <is>
          <t>100%</t>
        </is>
      </c>
      <c r="F8" s="16" t="inlineStr"/>
      <c r="G8" s="16" t="inlineStr"/>
      <c r="H8" s="16" t="inlineStr">
        <is>
          <t>Met</t>
        </is>
      </c>
      <c r="I8" s="15" t="inlineStr"/>
    </row>
    <row r="9" ht="22" customHeight="1">
      <c r="B9" s="8" t="n">
        <v>4</v>
      </c>
      <c r="C9" s="9" t="inlineStr">
        <is>
          <t>Cases resolved within stipulated period</t>
        </is>
      </c>
      <c r="D9" s="10" t="inlineStr">
        <is>
          <t>% on time</t>
        </is>
      </c>
      <c r="E9" s="10" t="inlineStr">
        <is>
          <t>≥90%</t>
        </is>
      </c>
      <c r="F9" s="10" t="inlineStr"/>
      <c r="G9" s="10" t="inlineStr"/>
      <c r="H9" s="10" t="inlineStr">
        <is>
          <t>Met</t>
        </is>
      </c>
      <c r="I9" s="9" t="inlineStr"/>
    </row>
    <row r="10" ht="22" customHeight="1">
      <c r="B10" s="14" t="n">
        <v>5</v>
      </c>
      <c r="C10" s="15" t="inlineStr">
        <is>
          <t>Category A resolution time</t>
        </is>
      </c>
      <c r="D10" s="16" t="inlineStr">
        <is>
          <t>Working days</t>
        </is>
      </c>
      <c r="E10" s="16" t="inlineStr">
        <is>
          <t>≤7 days</t>
        </is>
      </c>
      <c r="F10" s="16" t="inlineStr"/>
      <c r="G10" s="16" t="inlineStr"/>
      <c r="H10" s="16" t="inlineStr">
        <is>
          <t>Met</t>
        </is>
      </c>
      <c r="I10" s="15" t="inlineStr"/>
    </row>
    <row r="11" ht="22" customHeight="1">
      <c r="B11" s="8" t="n">
        <v>6</v>
      </c>
      <c r="C11" s="9" t="inlineStr">
        <is>
          <t>Category B resolution time</t>
        </is>
      </c>
      <c r="D11" s="10" t="inlineStr">
        <is>
          <t>Working days</t>
        </is>
      </c>
      <c r="E11" s="10" t="inlineStr">
        <is>
          <t>≤15 days</t>
        </is>
      </c>
      <c r="F11" s="10" t="inlineStr"/>
      <c r="G11" s="10" t="inlineStr"/>
      <c r="H11" s="10" t="inlineStr">
        <is>
          <t>Met</t>
        </is>
      </c>
      <c r="I11" s="9" t="inlineStr"/>
    </row>
    <row r="12" ht="22" customHeight="1">
      <c r="B12" s="14" t="n">
        <v>7</v>
      </c>
      <c r="C12" s="15" t="inlineStr">
        <is>
          <t>Category C resolution time</t>
        </is>
      </c>
      <c r="D12" s="16" t="inlineStr">
        <is>
          <t>Working days</t>
        </is>
      </c>
      <c r="E12" s="16" t="inlineStr">
        <is>
          <t>≤30 days</t>
        </is>
      </c>
      <c r="F12" s="16" t="inlineStr"/>
      <c r="G12" s="16" t="inlineStr"/>
      <c r="H12" s="16" t="inlineStr">
        <is>
          <t>Met</t>
        </is>
      </c>
      <c r="I12" s="15" t="inlineStr"/>
    </row>
    <row r="13" ht="22" customHeight="1"/>
    <row r="14" ht="24" customHeight="1">
      <c r="B14" s="70" t="inlineStr">
        <is>
          <t>NATURAL JUSTICE KPIs</t>
        </is>
      </c>
    </row>
    <row r="15" ht="22" customHeight="1">
      <c r="B15" s="67" t="inlineStr">
        <is>
          <t>Sl.</t>
        </is>
      </c>
      <c r="C15" s="67" t="inlineStr">
        <is>
          <t>Key Performance Indicator</t>
        </is>
      </c>
      <c r="D15" s="67" t="inlineStr">
        <is>
          <t>Unit</t>
        </is>
      </c>
      <c r="E15" s="67" t="inlineStr">
        <is>
          <t>Target</t>
        </is>
      </c>
      <c r="F15" s="67" t="inlineStr">
        <is>
          <t>Prev. Year
Actual</t>
        </is>
      </c>
      <c r="G15" s="67" t="inlineStr">
        <is>
          <t>Current Year
Actual</t>
        </is>
      </c>
      <c r="H15" s="67" t="inlineStr">
        <is>
          <t>Status</t>
        </is>
      </c>
      <c r="I15" s="67" t="inlineStr">
        <is>
          <t>Action Required</t>
        </is>
      </c>
    </row>
    <row r="16" ht="22" customHeight="1">
      <c r="B16" s="68" t="n">
        <v>1</v>
      </c>
      <c r="C16" s="73" t="inlineStr">
        <is>
          <t>Cases with show-cause notice issued</t>
        </is>
      </c>
      <c r="D16" s="69" t="inlineStr">
        <is>
          <t>% of guilty verdicts</t>
        </is>
      </c>
      <c r="E16" s="69" t="inlineStr">
        <is>
          <t>100%</t>
        </is>
      </c>
      <c r="F16" s="69" t="inlineStr"/>
      <c r="G16" s="69" t="inlineStr"/>
      <c r="H16" s="69" t="inlineStr">
        <is>
          <t>Met</t>
        </is>
      </c>
      <c r="I16" s="73" t="inlineStr"/>
    </row>
    <row r="17" ht="22" customHeight="1">
      <c r="B17" s="8" t="n">
        <v>2</v>
      </c>
      <c r="C17" s="9" t="inlineStr">
        <is>
          <t>Student response time given (≥48 hrs)</t>
        </is>
      </c>
      <c r="D17" s="10" t="inlineStr">
        <is>
          <t>% of cases</t>
        </is>
      </c>
      <c r="E17" s="10" t="inlineStr">
        <is>
          <t>100%</t>
        </is>
      </c>
      <c r="F17" s="10" t="inlineStr"/>
      <c r="G17" s="10" t="inlineStr"/>
      <c r="H17" s="10" t="inlineStr">
        <is>
          <t>Met</t>
        </is>
      </c>
      <c r="I17" s="9" t="inlineStr"/>
    </row>
    <row r="18" ht="22" customHeight="1">
      <c r="B18" s="68" t="n">
        <v>3</v>
      </c>
      <c r="C18" s="73" t="inlineStr">
        <is>
          <t>Student heard before SDC decision</t>
        </is>
      </c>
      <c r="D18" s="69" t="inlineStr">
        <is>
          <t>% of cases</t>
        </is>
      </c>
      <c r="E18" s="69" t="inlineStr">
        <is>
          <t>100%</t>
        </is>
      </c>
      <c r="F18" s="69" t="inlineStr"/>
      <c r="G18" s="69" t="inlineStr"/>
      <c r="H18" s="69" t="inlineStr">
        <is>
          <t>Met</t>
        </is>
      </c>
      <c r="I18" s="73" t="inlineStr"/>
    </row>
    <row r="19" ht="22" customHeight="1">
      <c r="B19" s="8" t="n">
        <v>4</v>
      </c>
      <c r="C19" s="9" t="inlineStr">
        <is>
          <t>Decision communicated in writing</t>
        </is>
      </c>
      <c r="D19" s="10" t="inlineStr">
        <is>
          <t>% of decisions</t>
        </is>
      </c>
      <c r="E19" s="10" t="inlineStr">
        <is>
          <t>100%</t>
        </is>
      </c>
      <c r="F19" s="10" t="inlineStr"/>
      <c r="G19" s="10" t="inlineStr"/>
      <c r="H19" s="10" t="inlineStr">
        <is>
          <t>Met</t>
        </is>
      </c>
      <c r="I19" s="9" t="inlineStr"/>
    </row>
    <row r="20" ht="22" customHeight="1">
      <c r="B20" s="68" t="n">
        <v>5</v>
      </c>
      <c r="C20" s="73" t="inlineStr">
        <is>
          <t>Appeals filed (% of decisions)</t>
        </is>
      </c>
      <c r="D20" s="69" t="inlineStr">
        <is>
          <t>% appealed</t>
        </is>
      </c>
      <c r="E20" s="69" t="inlineStr">
        <is>
          <t>&lt; 10%</t>
        </is>
      </c>
      <c r="F20" s="69" t="inlineStr"/>
      <c r="G20" s="69" t="inlineStr"/>
      <c r="H20" s="69" t="inlineStr">
        <is>
          <t>Met</t>
        </is>
      </c>
      <c r="I20" s="73" t="inlineStr"/>
    </row>
    <row r="21" ht="22" customHeight="1">
      <c r="B21" s="8" t="n">
        <v>6</v>
      </c>
      <c r="C21" s="9" t="inlineStr">
        <is>
          <t>Appeals resolved within 30 working days</t>
        </is>
      </c>
      <c r="D21" s="10" t="inlineStr">
        <is>
          <t>% on time</t>
        </is>
      </c>
      <c r="E21" s="10" t="inlineStr">
        <is>
          <t>100%</t>
        </is>
      </c>
      <c r="F21" s="10" t="inlineStr"/>
      <c r="G21" s="10" t="inlineStr"/>
      <c r="H21" s="10" t="inlineStr">
        <is>
          <t>Met</t>
        </is>
      </c>
      <c r="I21" s="9" t="inlineStr"/>
    </row>
    <row r="22" ht="22" customHeight="1"/>
    <row r="23" ht="24" customHeight="1">
      <c r="B23" s="50" t="inlineStr">
        <is>
          <t>DISCIPLINE OUTCOME KPIs</t>
        </is>
      </c>
    </row>
    <row r="24" ht="22" customHeight="1">
      <c r="B24" s="51" t="inlineStr">
        <is>
          <t>Sl.</t>
        </is>
      </c>
      <c r="C24" s="51" t="inlineStr">
        <is>
          <t>Key Performance Indicator</t>
        </is>
      </c>
      <c r="D24" s="51" t="inlineStr">
        <is>
          <t>Unit</t>
        </is>
      </c>
      <c r="E24" s="51" t="inlineStr">
        <is>
          <t>Target</t>
        </is>
      </c>
      <c r="F24" s="51" t="inlineStr">
        <is>
          <t>Prev. Year
Actual</t>
        </is>
      </c>
      <c r="G24" s="51" t="inlineStr">
        <is>
          <t>Current Year
Actual</t>
        </is>
      </c>
      <c r="H24" s="51" t="inlineStr">
        <is>
          <t>Status</t>
        </is>
      </c>
      <c r="I24" s="51" t="inlineStr">
        <is>
          <t>Action Required</t>
        </is>
      </c>
    </row>
    <row r="25" ht="22" customHeight="1">
      <c r="B25" s="63" t="n">
        <v>1</v>
      </c>
      <c r="C25" s="65" t="inlineStr">
        <is>
          <t>Repeat offenders (new case within 1 year)</t>
        </is>
      </c>
      <c r="D25" s="64" t="inlineStr">
        <is>
          <t>No.</t>
        </is>
      </c>
      <c r="E25" s="64" t="inlineStr">
        <is>
          <t>0 target</t>
        </is>
      </c>
      <c r="F25" s="64" t="inlineStr"/>
      <c r="G25" s="64" t="inlineStr"/>
      <c r="H25" s="64" t="inlineStr">
        <is>
          <t>Met</t>
        </is>
      </c>
      <c r="I25" s="65" t="inlineStr"/>
    </row>
    <row r="26" ht="22" customHeight="1">
      <c r="B26" s="8" t="n">
        <v>2</v>
      </c>
      <c r="C26" s="9" t="inlineStr">
        <is>
          <t>Students on probation (current)</t>
        </is>
      </c>
      <c r="D26" s="10" t="inlineStr">
        <is>
          <t>No.</t>
        </is>
      </c>
      <c r="E26" s="10" t="inlineStr">
        <is>
          <t>Decreasing</t>
        </is>
      </c>
      <c r="F26" s="10" t="inlineStr"/>
      <c r="G26" s="10" t="inlineStr"/>
      <c r="H26" s="10" t="inlineStr">
        <is>
          <t>Met</t>
        </is>
      </c>
      <c r="I26" s="9" t="inlineStr"/>
    </row>
    <row r="27" ht="22" customHeight="1">
      <c r="B27" s="63" t="n">
        <v>3</v>
      </c>
      <c r="C27" s="65" t="inlineStr">
        <is>
          <t>Rehabilitation completion rate</t>
        </is>
      </c>
      <c r="D27" s="64" t="inlineStr">
        <is>
          <t>% completing</t>
        </is>
      </c>
      <c r="E27" s="64" t="inlineStr">
        <is>
          <t>≥80%</t>
        </is>
      </c>
      <c r="F27" s="64" t="inlineStr"/>
      <c r="G27" s="64" t="inlineStr"/>
      <c r="H27" s="64" t="inlineStr">
        <is>
          <t>Met</t>
        </is>
      </c>
      <c r="I27" s="65" t="inlineStr"/>
    </row>
    <row r="28" ht="22" customHeight="1">
      <c r="B28" s="8" t="n">
        <v>4</v>
      </c>
      <c r="C28" s="9" t="inlineStr">
        <is>
          <t>Cases requiring police referral</t>
        </is>
      </c>
      <c r="D28" s="10" t="inlineStr">
        <is>
          <t>No.</t>
        </is>
      </c>
      <c r="E28" s="10" t="inlineStr">
        <is>
          <t>0 target</t>
        </is>
      </c>
      <c r="F28" s="10" t="inlineStr"/>
      <c r="G28" s="10" t="inlineStr"/>
      <c r="H28" s="10" t="inlineStr">
        <is>
          <t>Met</t>
        </is>
      </c>
      <c r="I28" s="9" t="inlineStr"/>
    </row>
    <row r="29" ht="22" customHeight="1">
      <c r="B29" s="63" t="n">
        <v>5</v>
      </c>
      <c r="C29" s="65" t="inlineStr">
        <is>
          <t>Ragging incidents (zero-tolerance)</t>
        </is>
      </c>
      <c r="D29" s="64" t="inlineStr">
        <is>
          <t>No.</t>
        </is>
      </c>
      <c r="E29" s="64" t="inlineStr">
        <is>
          <t>0</t>
        </is>
      </c>
      <c r="F29" s="64" t="inlineStr"/>
      <c r="G29" s="64" t="inlineStr"/>
      <c r="H29" s="64" t="inlineStr">
        <is>
          <t>Met</t>
        </is>
      </c>
      <c r="I29" s="65" t="inlineStr"/>
    </row>
    <row r="30" ht="22" customHeight="1">
      <c r="B30" s="8" t="n">
        <v>6</v>
      </c>
      <c r="C30" s="9" t="inlineStr">
        <is>
          <t>Academic dishonesty cases</t>
        </is>
      </c>
      <c r="D30" s="10" t="inlineStr">
        <is>
          <t>No.</t>
        </is>
      </c>
      <c r="E30" s="10" t="inlineStr">
        <is>
          <t>Decreasing</t>
        </is>
      </c>
      <c r="F30" s="10" t="inlineStr"/>
      <c r="G30" s="10" t="inlineStr"/>
      <c r="H30" s="10" t="inlineStr">
        <is>
          <t>Met</t>
        </is>
      </c>
      <c r="I30" s="9" t="inlineStr"/>
    </row>
    <row r="31" ht="22" customHeight="1"/>
    <row r="32" ht="24" customHeight="1">
      <c r="B32" s="35" t="inlineStr">
        <is>
          <t>PREVENTION &amp; AWARENESS KPIs</t>
        </is>
      </c>
    </row>
    <row r="33" ht="22" customHeight="1">
      <c r="B33" s="31" t="inlineStr">
        <is>
          <t>Sl.</t>
        </is>
      </c>
      <c r="C33" s="31" t="inlineStr">
        <is>
          <t>Key Performance Indicator</t>
        </is>
      </c>
      <c r="D33" s="31" t="inlineStr">
        <is>
          <t>Unit</t>
        </is>
      </c>
      <c r="E33" s="31" t="inlineStr">
        <is>
          <t>Target</t>
        </is>
      </c>
      <c r="F33" s="31" t="inlineStr">
        <is>
          <t>Prev. Year
Actual</t>
        </is>
      </c>
      <c r="G33" s="31" t="inlineStr">
        <is>
          <t>Current Year
Actual</t>
        </is>
      </c>
      <c r="H33" s="31" t="inlineStr">
        <is>
          <t>Status</t>
        </is>
      </c>
      <c r="I33" s="31" t="inlineStr">
        <is>
          <t>Action Required</t>
        </is>
      </c>
    </row>
    <row r="34" ht="22" customHeight="1">
      <c r="B34" s="32" t="n">
        <v>1</v>
      </c>
      <c r="C34" s="33" t="inlineStr">
        <is>
          <t>Awareness sessions conducted per year</t>
        </is>
      </c>
      <c r="D34" s="34" t="inlineStr">
        <is>
          <t>No.</t>
        </is>
      </c>
      <c r="E34" s="34" t="inlineStr">
        <is>
          <t>≥10</t>
        </is>
      </c>
      <c r="F34" s="34" t="inlineStr"/>
      <c r="G34" s="34" t="inlineStr"/>
      <c r="H34" s="34" t="inlineStr">
        <is>
          <t>Met</t>
        </is>
      </c>
      <c r="I34" s="33" t="inlineStr"/>
    </row>
    <row r="35" ht="22" customHeight="1">
      <c r="B35" s="8" t="n">
        <v>2</v>
      </c>
      <c r="C35" s="9" t="inlineStr">
        <is>
          <t>Students covered in anti-ragging session</t>
        </is>
      </c>
      <c r="D35" s="10" t="inlineStr">
        <is>
          <t>% of enrolled</t>
        </is>
      </c>
      <c r="E35" s="10" t="inlineStr">
        <is>
          <t>100%</t>
        </is>
      </c>
      <c r="F35" s="10" t="inlineStr"/>
      <c r="G35" s="10" t="inlineStr"/>
      <c r="H35" s="10" t="inlineStr">
        <is>
          <t>Met</t>
        </is>
      </c>
      <c r="I35" s="9" t="inlineStr"/>
    </row>
    <row r="36" ht="22" customHeight="1">
      <c r="B36" s="32" t="n">
        <v>3</v>
      </c>
      <c r="C36" s="33" t="inlineStr">
        <is>
          <t>Peer leadership / ethics programmes</t>
        </is>
      </c>
      <c r="D36" s="34" t="inlineStr">
        <is>
          <t>No.</t>
        </is>
      </c>
      <c r="E36" s="34" t="inlineStr">
        <is>
          <t>≥2</t>
        </is>
      </c>
      <c r="F36" s="34" t="inlineStr"/>
      <c r="G36" s="34" t="inlineStr"/>
      <c r="H36" s="34" t="inlineStr">
        <is>
          <t>Met</t>
        </is>
      </c>
      <c r="I36" s="33" t="inlineStr"/>
    </row>
    <row r="37" ht="22" customHeight="1">
      <c r="B37" s="8" t="n">
        <v>4</v>
      </c>
      <c r="C37" s="9" t="inlineStr">
        <is>
          <t>Average awareness feedback score (/5)</t>
        </is>
      </c>
      <c r="D37" s="10" t="inlineStr">
        <is>
          <t>Score</t>
        </is>
      </c>
      <c r="E37" s="10" t="inlineStr">
        <is>
          <t>≥3.5</t>
        </is>
      </c>
      <c r="F37" s="10" t="inlineStr"/>
      <c r="G37" s="10" t="inlineStr"/>
      <c r="H37" s="10" t="inlineStr">
        <is>
          <t>Met</t>
        </is>
      </c>
      <c r="I37" s="9" t="inlineStr"/>
    </row>
    <row r="38" ht="22" customHeight="1">
      <c r="B38" s="32" t="n">
        <v>5</v>
      </c>
      <c r="C38" s="33" t="inlineStr">
        <is>
          <t>Year-on-year reduction in incidents</t>
        </is>
      </c>
      <c r="D38" s="34" t="inlineStr">
        <is>
          <t>% change</t>
        </is>
      </c>
      <c r="E38" s="34" t="inlineStr">
        <is>
          <t>Positive trend</t>
        </is>
      </c>
      <c r="F38" s="34" t="inlineStr"/>
      <c r="G38" s="34" t="inlineStr"/>
      <c r="H38" s="34" t="inlineStr">
        <is>
          <t>Met</t>
        </is>
      </c>
      <c r="I38" s="33" t="inlineStr"/>
    </row>
    <row r="39" ht="22" customHeight="1"/>
    <row r="40" ht="24" customHeight="1">
      <c r="B40" s="28" t="inlineStr">
        <is>
          <t>ADMINISTRATION &amp; COMPLIANCE KPIs</t>
        </is>
      </c>
    </row>
    <row r="41" ht="22" customHeight="1">
      <c r="B41" s="29" t="inlineStr">
        <is>
          <t>Sl.</t>
        </is>
      </c>
      <c r="C41" s="29" t="inlineStr">
        <is>
          <t>Key Performance Indicator</t>
        </is>
      </c>
      <c r="D41" s="29" t="inlineStr">
        <is>
          <t>Unit</t>
        </is>
      </c>
      <c r="E41" s="29" t="inlineStr">
        <is>
          <t>Target</t>
        </is>
      </c>
      <c r="F41" s="29" t="inlineStr">
        <is>
          <t>Prev. Year
Actual</t>
        </is>
      </c>
      <c r="G41" s="29" t="inlineStr">
        <is>
          <t>Current Year
Actual</t>
        </is>
      </c>
      <c r="H41" s="29" t="inlineStr">
        <is>
          <t>Status</t>
        </is>
      </c>
      <c r="I41" s="29" t="inlineStr">
        <is>
          <t>Action Required</t>
        </is>
      </c>
    </row>
    <row r="42" ht="22" customHeight="1">
      <c r="B42" s="14" t="n">
        <v>1</v>
      </c>
      <c r="C42" s="15" t="inlineStr">
        <is>
          <t>Case records archived per norms</t>
        </is>
      </c>
      <c r="D42" s="16" t="inlineStr">
        <is>
          <t>Y/N</t>
        </is>
      </c>
      <c r="E42" s="16" t="inlineStr">
        <is>
          <t>Yes annually</t>
        </is>
      </c>
      <c r="F42" s="16" t="inlineStr"/>
      <c r="G42" s="16" t="inlineStr"/>
      <c r="H42" s="16" t="inlineStr">
        <is>
          <t>Met</t>
        </is>
      </c>
      <c r="I42" s="15" t="inlineStr"/>
    </row>
    <row r="43" ht="22" customHeight="1">
      <c r="B43" s="8" t="n">
        <v>2</v>
      </c>
      <c r="C43" s="9" t="inlineStr">
        <is>
          <t>University notifications sent on time</t>
        </is>
      </c>
      <c r="D43" s="10" t="inlineStr">
        <is>
          <t>% on time</t>
        </is>
      </c>
      <c r="E43" s="10" t="inlineStr">
        <is>
          <t>100%</t>
        </is>
      </c>
      <c r="F43" s="10" t="inlineStr"/>
      <c r="G43" s="10" t="inlineStr"/>
      <c r="H43" s="10" t="inlineStr">
        <is>
          <t>Met</t>
        </is>
      </c>
      <c r="I43" s="9" t="inlineStr"/>
    </row>
    <row r="44" ht="22" customHeight="1">
      <c r="B44" s="14" t="n">
        <v>3</v>
      </c>
      <c r="C44" s="15" t="inlineStr">
        <is>
          <t>Parent communications completed</t>
        </is>
      </c>
      <c r="D44" s="16" t="inlineStr">
        <is>
          <t>% of cases</t>
        </is>
      </c>
      <c r="E44" s="16" t="inlineStr">
        <is>
          <t>100%</t>
        </is>
      </c>
      <c r="F44" s="16" t="inlineStr"/>
      <c r="G44" s="16" t="inlineStr"/>
      <c r="H44" s="16" t="inlineStr">
        <is>
          <t>Met</t>
        </is>
      </c>
      <c r="I44" s="15" t="inlineStr"/>
    </row>
    <row r="45" ht="22" customHeight="1">
      <c r="B45" s="8" t="n">
        <v>4</v>
      </c>
      <c r="C45" s="9" t="inlineStr">
        <is>
          <t>SDC composition per regulations</t>
        </is>
      </c>
      <c r="D45" s="10" t="inlineStr">
        <is>
          <t>Y/N</t>
        </is>
      </c>
      <c r="E45" s="10" t="inlineStr">
        <is>
          <t>Yes</t>
        </is>
      </c>
      <c r="F45" s="10" t="inlineStr"/>
      <c r="G45" s="10" t="inlineStr"/>
      <c r="H45" s="10" t="inlineStr">
        <is>
          <t>Met</t>
        </is>
      </c>
      <c r="I45" s="9" t="inlineStr"/>
    </row>
    <row r="46" ht="22" customHeight="1">
      <c r="B46" s="14" t="n">
        <v>5</v>
      </c>
      <c r="C46" s="15" t="inlineStr">
        <is>
          <t>SDC meetings held (per semester)</t>
        </is>
      </c>
      <c r="D46" s="16" t="inlineStr">
        <is>
          <t>No.</t>
        </is>
      </c>
      <c r="E46" s="16" t="inlineStr">
        <is>
          <t>As required</t>
        </is>
      </c>
      <c r="F46" s="16" t="inlineStr"/>
      <c r="G46" s="16" t="inlineStr"/>
      <c r="H46" s="16" t="inlineStr">
        <is>
          <t>Met</t>
        </is>
      </c>
      <c r="I46" s="15" t="inlineStr"/>
    </row>
    <row r="47" ht="22" customHeight="1">
      <c r="B47" s="8" t="n">
        <v>6</v>
      </c>
      <c r="C47" s="9" t="inlineStr">
        <is>
          <t>NAAC / accreditation data compiled</t>
        </is>
      </c>
      <c r="D47" s="10" t="inlineStr">
        <is>
          <t>Y/N</t>
        </is>
      </c>
      <c r="E47" s="10" t="inlineStr">
        <is>
          <t>Yes by Jul 31</t>
        </is>
      </c>
      <c r="F47" s="10" t="inlineStr"/>
      <c r="G47" s="10" t="inlineStr"/>
      <c r="H47" s="10" t="inlineStr">
        <is>
          <t>Met</t>
        </is>
      </c>
      <c r="I47" s="9" t="inlineStr"/>
    </row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2:I2"/>
    <mergeCell ref="B3:I3"/>
    <mergeCell ref="B14:I14"/>
    <mergeCell ref="B23:I23"/>
    <mergeCell ref="B32:I32"/>
    <mergeCell ref="B4:I4"/>
    <mergeCell ref="B40:I4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SDC-33: SDC ANNUAL REPORT COMPILATION FORM</t>
        </is>
      </c>
    </row>
    <row r="3" ht="18" customHeight="1">
      <c r="B3" s="19" t="inlineStr">
        <is>
          <t>CONFIDENTIAL — Annual Report contains aggregate data only. Individual case details not to be disclosed in any public document.</t>
        </is>
      </c>
    </row>
    <row r="4" ht="22" customHeight="1">
      <c r="B4" s="2" t="inlineStr">
        <is>
          <t>A.Y.: _______  Prepared by: Member Secretary  Reviewed by: SDC Chairperson  Submitted to: Principal / IQAC</t>
        </is>
      </c>
    </row>
    <row r="5" ht="24" customHeight="1">
      <c r="B5" s="20" t="inlineStr">
        <is>
          <t>SECTION 1 — CASE STATISTICS (Aggregate / Anonymised)</t>
        </is>
      </c>
    </row>
    <row r="6" ht="22" customHeight="1">
      <c r="B6" s="13" t="inlineStr">
        <is>
          <t>Sl.</t>
        </is>
      </c>
      <c r="C6" s="13" t="inlineStr">
        <is>
          <t>Performance Metric</t>
        </is>
      </c>
      <c r="D6" s="13" t="inlineStr">
        <is>
          <t>Unit</t>
        </is>
      </c>
      <c r="E6" s="13" t="inlineStr">
        <is>
          <t>Current A.Y.</t>
        </is>
      </c>
      <c r="F6" s="13" t="inlineStr">
        <is>
          <t>Previous A.Y.</t>
        </is>
      </c>
      <c r="G6" s="13" t="inlineStr">
        <is>
          <t>Change</t>
        </is>
      </c>
      <c r="H6" s="13" t="inlineStr">
        <is>
          <t>Remarks</t>
        </is>
      </c>
    </row>
    <row r="7" ht="22" customHeight="1">
      <c r="B7" s="14" t="n">
        <v>1</v>
      </c>
      <c r="C7" s="15" t="inlineStr">
        <is>
          <t>Total complaints received</t>
        </is>
      </c>
      <c r="D7" s="16" t="inlineStr">
        <is>
          <t>No.</t>
        </is>
      </c>
      <c r="E7" s="16" t="inlineStr"/>
      <c r="F7" s="16" t="inlineStr"/>
      <c r="G7" s="16">
        <f>IFERROR(ROUND((E7-F7)/IF(F7=0,1,F7)*100,1),"")</f>
        <v/>
      </c>
      <c r="H7" s="15" t="inlineStr"/>
    </row>
    <row r="8" ht="22" customHeight="1">
      <c r="B8" s="8" t="n">
        <v>2</v>
      </c>
      <c r="C8" s="9" t="inlineStr">
        <is>
          <t>Category A — Minor cases</t>
        </is>
      </c>
      <c r="D8" s="10" t="inlineStr">
        <is>
          <t>No.</t>
        </is>
      </c>
      <c r="E8" s="10" t="inlineStr"/>
      <c r="F8" s="10" t="inlineStr"/>
      <c r="G8" s="10">
        <f>IFERROR(ROUND((E8-F8)/IF(F8=0,1,F8)*100,1),"")</f>
        <v/>
      </c>
      <c r="H8" s="9" t="inlineStr"/>
    </row>
    <row r="9" ht="22" customHeight="1">
      <c r="B9" s="14" t="n">
        <v>3</v>
      </c>
      <c r="C9" s="15" t="inlineStr">
        <is>
          <t>Category B — Moderate cases</t>
        </is>
      </c>
      <c r="D9" s="16" t="inlineStr">
        <is>
          <t>No.</t>
        </is>
      </c>
      <c r="E9" s="16" t="inlineStr"/>
      <c r="F9" s="16" t="inlineStr"/>
      <c r="G9" s="16">
        <f>IFERROR(ROUND((E9-F9)/IF(F9=0,1,F9)*100,1),"")</f>
        <v/>
      </c>
      <c r="H9" s="15" t="inlineStr"/>
    </row>
    <row r="10" ht="22" customHeight="1">
      <c r="B10" s="8" t="n">
        <v>4</v>
      </c>
      <c r="C10" s="9" t="inlineStr">
        <is>
          <t>Category C — Serious cases</t>
        </is>
      </c>
      <c r="D10" s="10" t="inlineStr">
        <is>
          <t>No.</t>
        </is>
      </c>
      <c r="E10" s="10" t="inlineStr"/>
      <c r="F10" s="10" t="inlineStr"/>
      <c r="G10" s="10">
        <f>IFERROR(ROUND((E10-F10)/IF(F10=0,1,F10)*100,1),"")</f>
        <v/>
      </c>
      <c r="H10" s="9" t="inlineStr"/>
    </row>
    <row r="11" ht="22" customHeight="1">
      <c r="B11" s="14" t="n">
        <v>5</v>
      </c>
      <c r="C11" s="15" t="inlineStr">
        <is>
          <t>Cases decided</t>
        </is>
      </c>
      <c r="D11" s="16" t="inlineStr">
        <is>
          <t>No.</t>
        </is>
      </c>
      <c r="E11" s="16" t="inlineStr"/>
      <c r="F11" s="16" t="inlineStr"/>
      <c r="G11" s="16">
        <f>IFERROR(ROUND((E11-F11)/IF(F11=0,1,F11)*100,1),"")</f>
        <v/>
      </c>
      <c r="H11" s="15" t="inlineStr"/>
    </row>
    <row r="12" ht="22" customHeight="1">
      <c r="B12" s="8" t="n">
        <v>6</v>
      </c>
      <c r="C12" s="9" t="inlineStr">
        <is>
          <t>Guilty verdicts</t>
        </is>
      </c>
      <c r="D12" s="10" t="inlineStr">
        <is>
          <t>No.</t>
        </is>
      </c>
      <c r="E12" s="10" t="inlineStr"/>
      <c r="F12" s="10" t="inlineStr"/>
      <c r="G12" s="10">
        <f>IFERROR(ROUND((E12-F12)/IF(F12=0,1,F12)*100,1),"")</f>
        <v/>
      </c>
      <c r="H12" s="9" t="inlineStr"/>
    </row>
    <row r="13" ht="22" customHeight="1">
      <c r="B13" s="14" t="n">
        <v>7</v>
      </c>
      <c r="C13" s="15" t="inlineStr">
        <is>
          <t>Not guilty / Acquitted</t>
        </is>
      </c>
      <c r="D13" s="16" t="inlineStr">
        <is>
          <t>No.</t>
        </is>
      </c>
      <c r="E13" s="16" t="inlineStr"/>
      <c r="F13" s="16" t="inlineStr"/>
      <c r="G13" s="16">
        <f>IFERROR(ROUND((E13-F13)/IF(F13=0,1,F13)*100,1),"")</f>
        <v/>
      </c>
      <c r="H13" s="15" t="inlineStr"/>
    </row>
    <row r="14" ht="22" customHeight="1">
      <c r="B14" s="8" t="n">
        <v>8</v>
      </c>
      <c r="C14" s="9" t="inlineStr">
        <is>
          <t>Cases referred to police</t>
        </is>
      </c>
      <c r="D14" s="10" t="inlineStr">
        <is>
          <t>No.</t>
        </is>
      </c>
      <c r="E14" s="10" t="inlineStr"/>
      <c r="F14" s="10" t="inlineStr"/>
      <c r="G14" s="10">
        <f>IFERROR(ROUND((E14-F14)/IF(F14=0,1,F14)*100,1),"")</f>
        <v/>
      </c>
      <c r="H14" s="9" t="inlineStr"/>
    </row>
    <row r="15" ht="22" customHeight="1"/>
    <row r="16" ht="24" customHeight="1">
      <c r="B16" s="70" t="inlineStr">
        <is>
          <t>SECTION 2 — RESOLUTION METRICS</t>
        </is>
      </c>
    </row>
    <row r="17" ht="22" customHeight="1">
      <c r="B17" s="67" t="inlineStr">
        <is>
          <t>Sl.</t>
        </is>
      </c>
      <c r="C17" s="67" t="inlineStr">
        <is>
          <t>Performance Metric</t>
        </is>
      </c>
      <c r="D17" s="67" t="inlineStr">
        <is>
          <t>Unit</t>
        </is>
      </c>
      <c r="E17" s="67" t="inlineStr">
        <is>
          <t>Current A.Y.</t>
        </is>
      </c>
      <c r="F17" s="67" t="inlineStr">
        <is>
          <t>Previous A.Y.</t>
        </is>
      </c>
      <c r="G17" s="67" t="inlineStr">
        <is>
          <t>Change</t>
        </is>
      </c>
      <c r="H17" s="67" t="inlineStr">
        <is>
          <t>Remarks</t>
        </is>
      </c>
    </row>
    <row r="18" ht="22" customHeight="1">
      <c r="B18" s="68" t="n">
        <v>1</v>
      </c>
      <c r="C18" s="73" t="inlineStr">
        <is>
          <t>Cases resolved within stipulated time (%)</t>
        </is>
      </c>
      <c r="D18" s="69" t="inlineStr">
        <is>
          <t>% on time</t>
        </is>
      </c>
      <c r="E18" s="69" t="inlineStr"/>
      <c r="F18" s="69" t="inlineStr"/>
      <c r="G18" s="69">
        <f>IFERROR(ROUND((E18-F18)/IF(F18=0,1,F18)*100,1),"")</f>
        <v/>
      </c>
      <c r="H18" s="73" t="inlineStr"/>
    </row>
    <row r="19" ht="22" customHeight="1">
      <c r="B19" s="8" t="n">
        <v>2</v>
      </c>
      <c r="C19" s="9" t="inlineStr">
        <is>
          <t>Average resolution time (working days)</t>
        </is>
      </c>
      <c r="D19" s="10" t="inlineStr">
        <is>
          <t>Days</t>
        </is>
      </c>
      <c r="E19" s="10" t="inlineStr"/>
      <c r="F19" s="10" t="inlineStr"/>
      <c r="G19" s="10">
        <f>IFERROR(ROUND((E19-F19)/IF(F19=0,1,F19)*100,1),"")</f>
        <v/>
      </c>
      <c r="H19" s="9" t="inlineStr"/>
    </row>
    <row r="20" ht="22" customHeight="1">
      <c r="B20" s="68" t="n">
        <v>3</v>
      </c>
      <c r="C20" s="73" t="inlineStr">
        <is>
          <t>Show-cause notices issued</t>
        </is>
      </c>
      <c r="D20" s="69" t="inlineStr">
        <is>
          <t>No.</t>
        </is>
      </c>
      <c r="E20" s="69" t="inlineStr"/>
      <c r="F20" s="69" t="inlineStr"/>
      <c r="G20" s="69">
        <f>IFERROR(ROUND((E20-F20)/IF(F20=0,1,F20)*100,1),"")</f>
        <v/>
      </c>
      <c r="H20" s="73" t="inlineStr"/>
    </row>
    <row r="21" ht="22" customHeight="1">
      <c r="B21" s="8" t="n">
        <v>4</v>
      </c>
      <c r="C21" s="9" t="inlineStr">
        <is>
          <t>Appeals filed</t>
        </is>
      </c>
      <c r="D21" s="10" t="inlineStr">
        <is>
          <t>No.</t>
        </is>
      </c>
      <c r="E21" s="10" t="inlineStr"/>
      <c r="F21" s="10" t="inlineStr"/>
      <c r="G21" s="10">
        <f>IFERROR(ROUND((E21-F21)/IF(F21=0,1,F21)*100,1),"")</f>
        <v/>
      </c>
      <c r="H21" s="9" t="inlineStr"/>
    </row>
    <row r="22" ht="22" customHeight="1">
      <c r="B22" s="68" t="n">
        <v>5</v>
      </c>
      <c r="C22" s="73" t="inlineStr">
        <is>
          <t>Appeals resolved</t>
        </is>
      </c>
      <c r="D22" s="69" t="inlineStr">
        <is>
          <t>No.</t>
        </is>
      </c>
      <c r="E22" s="69" t="inlineStr"/>
      <c r="F22" s="69" t="inlineStr"/>
      <c r="G22" s="69">
        <f>IFERROR(ROUND((E22-F22)/IF(F22=0,1,F22)*100,1),"")</f>
        <v/>
      </c>
      <c r="H22" s="73" t="inlineStr"/>
    </row>
    <row r="23" ht="22" customHeight="1">
      <c r="B23" s="8" t="n">
        <v>6</v>
      </c>
      <c r="C23" s="9" t="inlineStr">
        <is>
          <t>Average appeal resolution time</t>
        </is>
      </c>
      <c r="D23" s="10" t="inlineStr">
        <is>
          <t>Days</t>
        </is>
      </c>
      <c r="E23" s="10" t="inlineStr"/>
      <c r="F23" s="10" t="inlineStr"/>
      <c r="G23" s="10">
        <f>IFERROR(ROUND((E23-F23)/IF(F23=0,1,F23)*100,1),"")</f>
        <v/>
      </c>
      <c r="H23" s="9" t="inlineStr"/>
    </row>
    <row r="24" ht="22" customHeight="1"/>
    <row r="25" ht="24" customHeight="1">
      <c r="B25" s="50" t="inlineStr">
        <is>
          <t>SECTION 3 — PENALTIES IMPOSED</t>
        </is>
      </c>
    </row>
    <row r="26" ht="22" customHeight="1">
      <c r="B26" s="51" t="inlineStr">
        <is>
          <t>Sl.</t>
        </is>
      </c>
      <c r="C26" s="51" t="inlineStr">
        <is>
          <t>Performance Metric</t>
        </is>
      </c>
      <c r="D26" s="51" t="inlineStr">
        <is>
          <t>Unit</t>
        </is>
      </c>
      <c r="E26" s="51" t="inlineStr">
        <is>
          <t>Current A.Y.</t>
        </is>
      </c>
      <c r="F26" s="51" t="inlineStr">
        <is>
          <t>Previous A.Y.</t>
        </is>
      </c>
      <c r="G26" s="51" t="inlineStr">
        <is>
          <t>Change</t>
        </is>
      </c>
      <c r="H26" s="51" t="inlineStr">
        <is>
          <t>Remarks</t>
        </is>
      </c>
    </row>
    <row r="27" ht="22" customHeight="1">
      <c r="B27" s="63" t="n">
        <v>1</v>
      </c>
      <c r="C27" s="65" t="inlineStr">
        <is>
          <t>Written warnings issued</t>
        </is>
      </c>
      <c r="D27" s="64" t="inlineStr">
        <is>
          <t>No.</t>
        </is>
      </c>
      <c r="E27" s="64" t="inlineStr"/>
      <c r="F27" s="64" t="inlineStr"/>
      <c r="G27" s="64">
        <f>IFERROR(ROUND((E27-F27)/IF(F27=0,1,F27)*100,1),"")</f>
        <v/>
      </c>
      <c r="H27" s="65" t="inlineStr"/>
    </row>
    <row r="28" ht="22" customHeight="1">
      <c r="B28" s="8" t="n">
        <v>2</v>
      </c>
      <c r="C28" s="9" t="inlineStr">
        <is>
          <t>Fines collected (₹)</t>
        </is>
      </c>
      <c r="D28" s="10" t="inlineStr">
        <is>
          <t>₹</t>
        </is>
      </c>
      <c r="E28" s="10" t="inlineStr"/>
      <c r="F28" s="10" t="inlineStr"/>
      <c r="G28" s="10">
        <f>IFERROR(ROUND((E28-F28)/IF(F28=0,1,F28)*100,1),"")</f>
        <v/>
      </c>
      <c r="H28" s="9" t="inlineStr"/>
    </row>
    <row r="29" ht="22" customHeight="1">
      <c r="B29" s="63" t="n">
        <v>3</v>
      </c>
      <c r="C29" s="65" t="inlineStr">
        <is>
          <t>Suspensions (total student-days)</t>
        </is>
      </c>
      <c r="D29" s="64" t="inlineStr">
        <is>
          <t>Student-days</t>
        </is>
      </c>
      <c r="E29" s="64" t="inlineStr"/>
      <c r="F29" s="64" t="inlineStr"/>
      <c r="G29" s="64">
        <f>IFERROR(ROUND((E29-F29)/IF(F29=0,1,F29)*100,1),"")</f>
        <v/>
      </c>
      <c r="H29" s="65" t="inlineStr"/>
    </row>
    <row r="30" ht="22" customHeight="1">
      <c r="B30" s="8" t="n">
        <v>4</v>
      </c>
      <c r="C30" s="9" t="inlineStr">
        <is>
          <t>Rustications</t>
        </is>
      </c>
      <c r="D30" s="10" t="inlineStr">
        <is>
          <t>No.</t>
        </is>
      </c>
      <c r="E30" s="10" t="inlineStr"/>
      <c r="F30" s="10" t="inlineStr"/>
      <c r="G30" s="10">
        <f>IFERROR(ROUND((E30-F30)/IF(F30=0,1,F30)*100,1),"")</f>
        <v/>
      </c>
      <c r="H30" s="9" t="inlineStr"/>
    </row>
    <row r="31" ht="22" customHeight="1">
      <c r="B31" s="63" t="n">
        <v>5</v>
      </c>
      <c r="C31" s="65" t="inlineStr">
        <is>
          <t>Students on probation (end of year)</t>
        </is>
      </c>
      <c r="D31" s="64" t="inlineStr">
        <is>
          <t>No.</t>
        </is>
      </c>
      <c r="E31" s="64" t="inlineStr"/>
      <c r="F31" s="64" t="inlineStr"/>
      <c r="G31" s="64">
        <f>IFERROR(ROUND((E31-F31)/IF(F31=0,1,F31)*100,1),"")</f>
        <v/>
      </c>
      <c r="H31" s="65" t="inlineStr"/>
    </row>
    <row r="32" ht="22" customHeight="1">
      <c r="B32" s="8" t="n">
        <v>6</v>
      </c>
      <c r="C32" s="9" t="inlineStr">
        <is>
          <t>Rehabilitation completions</t>
        </is>
      </c>
      <c r="D32" s="10" t="inlineStr">
        <is>
          <t>No.</t>
        </is>
      </c>
      <c r="E32" s="10" t="inlineStr"/>
      <c r="F32" s="10" t="inlineStr"/>
      <c r="G32" s="10">
        <f>IFERROR(ROUND((E32-F32)/IF(F32=0,1,F32)*100,1),"")</f>
        <v/>
      </c>
      <c r="H32" s="9" t="inlineStr"/>
    </row>
    <row r="33" ht="22" customHeight="1"/>
    <row r="34" ht="24" customHeight="1">
      <c r="B34" s="35" t="inlineStr">
        <is>
          <t>SECTION 4 — PREVENTION &amp; OUTCOMES</t>
        </is>
      </c>
    </row>
    <row r="35" ht="22" customHeight="1">
      <c r="B35" s="31" t="inlineStr">
        <is>
          <t>Sl.</t>
        </is>
      </c>
      <c r="C35" s="31" t="inlineStr">
        <is>
          <t>Performance Metric</t>
        </is>
      </c>
      <c r="D35" s="31" t="inlineStr">
        <is>
          <t>Unit</t>
        </is>
      </c>
      <c r="E35" s="31" t="inlineStr">
        <is>
          <t>Current A.Y.</t>
        </is>
      </c>
      <c r="F35" s="31" t="inlineStr">
        <is>
          <t>Previous A.Y.</t>
        </is>
      </c>
      <c r="G35" s="31" t="inlineStr">
        <is>
          <t>Change</t>
        </is>
      </c>
      <c r="H35" s="31" t="inlineStr">
        <is>
          <t>Remarks</t>
        </is>
      </c>
    </row>
    <row r="36" ht="22" customHeight="1">
      <c r="B36" s="32" t="n">
        <v>1</v>
      </c>
      <c r="C36" s="33" t="inlineStr">
        <is>
          <t>Awareness programmes conducted</t>
        </is>
      </c>
      <c r="D36" s="34" t="inlineStr">
        <is>
          <t>No.</t>
        </is>
      </c>
      <c r="E36" s="34" t="inlineStr"/>
      <c r="F36" s="34" t="inlineStr"/>
      <c r="G36" s="34">
        <f>IFERROR(ROUND((E36-F36)/IF(F36=0,1,F36)*100,1),"")</f>
        <v/>
      </c>
      <c r="H36" s="33" t="inlineStr"/>
    </row>
    <row r="37" ht="22" customHeight="1">
      <c r="B37" s="8" t="n">
        <v>2</v>
      </c>
      <c r="C37" s="9" t="inlineStr">
        <is>
          <t>Students reached</t>
        </is>
      </c>
      <c r="D37" s="10" t="inlineStr">
        <is>
          <t>No.</t>
        </is>
      </c>
      <c r="E37" s="10" t="inlineStr"/>
      <c r="F37" s="10" t="inlineStr"/>
      <c r="G37" s="10">
        <f>IFERROR(ROUND((E37-F37)/IF(F37=0,1,F37)*100,1),"")</f>
        <v/>
      </c>
      <c r="H37" s="9" t="inlineStr"/>
    </row>
    <row r="38" ht="22" customHeight="1">
      <c r="B38" s="32" t="n">
        <v>3</v>
      </c>
      <c r="C38" s="33" t="inlineStr">
        <is>
          <t>Repeat offenders</t>
        </is>
      </c>
      <c r="D38" s="34" t="inlineStr">
        <is>
          <t>No.</t>
        </is>
      </c>
      <c r="E38" s="34" t="inlineStr"/>
      <c r="F38" s="34" t="inlineStr"/>
      <c r="G38" s="34">
        <f>IFERROR(ROUND((E38-F38)/IF(F38=0,1,F38)*100,1),"")</f>
        <v/>
      </c>
      <c r="H38" s="33" t="inlineStr"/>
    </row>
    <row r="39" ht="22" customHeight="1">
      <c r="B39" s="8" t="n">
        <v>4</v>
      </c>
      <c r="C39" s="9" t="inlineStr">
        <is>
          <t>YoY change in total incidents</t>
        </is>
      </c>
      <c r="D39" s="10" t="inlineStr">
        <is>
          <t>% change</t>
        </is>
      </c>
      <c r="E39" s="10" t="inlineStr"/>
      <c r="F39" s="10" t="inlineStr"/>
      <c r="G39" s="10">
        <f>IFERROR(ROUND((E39-F39)/IF(F39=0,1,F39)*100,1),"")</f>
        <v/>
      </c>
      <c r="H39" s="9" t="inlineStr"/>
    </row>
    <row r="40" ht="22" customHeight="1">
      <c r="B40" s="32" t="n">
        <v>5</v>
      </c>
      <c r="C40" s="33" t="inlineStr">
        <is>
          <t>Ragging incidents</t>
        </is>
      </c>
      <c r="D40" s="34" t="inlineStr">
        <is>
          <t>No.</t>
        </is>
      </c>
      <c r="E40" s="34" t="inlineStr"/>
      <c r="F40" s="34" t="inlineStr"/>
      <c r="G40" s="34">
        <f>IFERROR(ROUND((E40-F40)/IF(F40=0,1,F40)*100,1),"")</f>
        <v/>
      </c>
      <c r="H40" s="33" t="inlineStr"/>
    </row>
    <row r="41" ht="22" customHeight="1">
      <c r="B41" s="8" t="n">
        <v>6</v>
      </c>
      <c r="C41" s="9" t="inlineStr">
        <is>
          <t>Academic dishonesty incidents</t>
        </is>
      </c>
      <c r="D41" s="10" t="inlineStr">
        <is>
          <t>No.</t>
        </is>
      </c>
      <c r="E41" s="10" t="inlineStr"/>
      <c r="F41" s="10" t="inlineStr"/>
      <c r="G41" s="10">
        <f>IFERROR(ROUND((E41-F41)/IF(F41=0,1,F41)*100,1),"")</f>
        <v/>
      </c>
      <c r="H41" s="9" t="inlineStr"/>
    </row>
    <row r="42" ht="22" customHeight="1"/>
    <row r="43" ht="24" customHeight="1">
      <c r="B43" s="28" t="inlineStr">
        <is>
          <t>SECTION 5 — COMPLIANCE</t>
        </is>
      </c>
    </row>
    <row r="44" ht="22" customHeight="1">
      <c r="B44" s="29" t="inlineStr">
        <is>
          <t>Sl.</t>
        </is>
      </c>
      <c r="C44" s="29" t="inlineStr">
        <is>
          <t>Performance Metric</t>
        </is>
      </c>
      <c r="D44" s="29" t="inlineStr">
        <is>
          <t>Unit</t>
        </is>
      </c>
      <c r="E44" s="29" t="inlineStr">
        <is>
          <t>Current A.Y.</t>
        </is>
      </c>
      <c r="F44" s="29" t="inlineStr">
        <is>
          <t>Previous A.Y.</t>
        </is>
      </c>
      <c r="G44" s="29" t="inlineStr">
        <is>
          <t>Change</t>
        </is>
      </c>
      <c r="H44" s="29" t="inlineStr">
        <is>
          <t>Remarks</t>
        </is>
      </c>
    </row>
    <row r="45" ht="22" customHeight="1">
      <c r="B45" s="14" t="n">
        <v>1</v>
      </c>
      <c r="C45" s="15" t="inlineStr">
        <is>
          <t>Natural justice followed in all cases</t>
        </is>
      </c>
      <c r="D45" s="16" t="inlineStr">
        <is>
          <t>Y/N</t>
        </is>
      </c>
      <c r="E45" s="16" t="inlineStr"/>
      <c r="F45" s="16" t="inlineStr"/>
      <c r="G45" s="16">
        <f>IFERROR(ROUND((E45-F45)/IF(F45=0,1,F45)*100,1),"")</f>
        <v/>
      </c>
      <c r="H45" s="15" t="inlineStr"/>
    </row>
    <row r="46" ht="22" customHeight="1">
      <c r="B46" s="8" t="n">
        <v>2</v>
      </c>
      <c r="C46" s="9" t="inlineStr">
        <is>
          <t>University notified for serious cases</t>
        </is>
      </c>
      <c r="D46" s="10" t="inlineStr">
        <is>
          <t>Y/N</t>
        </is>
      </c>
      <c r="E46" s="10" t="inlineStr"/>
      <c r="F46" s="10" t="inlineStr"/>
      <c r="G46" s="10">
        <f>IFERROR(ROUND((E46-F46)/IF(F46=0,1,F46)*100,1),"")</f>
        <v/>
      </c>
      <c r="H46" s="9" t="inlineStr"/>
    </row>
    <row r="47" ht="22" customHeight="1">
      <c r="B47" s="14" t="n">
        <v>3</v>
      </c>
      <c r="C47" s="15" t="inlineStr">
        <is>
          <t>Records archived per norms</t>
        </is>
      </c>
      <c r="D47" s="16" t="inlineStr">
        <is>
          <t>Y/N</t>
        </is>
      </c>
      <c r="E47" s="16" t="inlineStr"/>
      <c r="F47" s="16" t="inlineStr"/>
      <c r="G47" s="16">
        <f>IFERROR(ROUND((E47-F47)/IF(F47=0,1,F47)*100,1),"")</f>
        <v/>
      </c>
      <c r="H47" s="15" t="inlineStr"/>
    </row>
    <row r="48" ht="22" customHeight="1">
      <c r="B48" s="8" t="n">
        <v>4</v>
      </c>
      <c r="C48" s="9" t="inlineStr">
        <is>
          <t>NAAC data submitted to IQAC</t>
        </is>
      </c>
      <c r="D48" s="10" t="inlineStr">
        <is>
          <t>Y/N</t>
        </is>
      </c>
      <c r="E48" s="10" t="inlineStr"/>
      <c r="F48" s="10" t="inlineStr"/>
      <c r="G48" s="10">
        <f>IFERROR(ROUND((E48-F48)/IF(F48=0,1,F48)*100,1),"")</f>
        <v/>
      </c>
      <c r="H48" s="9" t="inlineStr"/>
    </row>
    <row r="49" ht="22" customHeight="1">
      <c r="B49" s="14" t="n">
        <v>5</v>
      </c>
      <c r="C49" s="15" t="inlineStr">
        <is>
          <t>SDC composition as per regulations</t>
        </is>
      </c>
      <c r="D49" s="16" t="inlineStr">
        <is>
          <t>Y/N</t>
        </is>
      </c>
      <c r="E49" s="16" t="inlineStr"/>
      <c r="F49" s="16" t="inlineStr"/>
      <c r="G49" s="16">
        <f>IFERROR(ROUND((E49-F49)/IF(F49=0,1,F49)*100,1),"")</f>
        <v/>
      </c>
      <c r="H49" s="15" t="inlineStr"/>
    </row>
    <row r="50" ht="22" customHeight="1">
      <c r="B50" s="8" t="n">
        <v>6</v>
      </c>
      <c r="C50" s="9" t="inlineStr">
        <is>
          <t>Anti-ragging compliance certificate</t>
        </is>
      </c>
      <c r="D50" s="10" t="inlineStr">
        <is>
          <t>Y/N</t>
        </is>
      </c>
      <c r="E50" s="10" t="inlineStr"/>
      <c r="F50" s="10" t="inlineStr"/>
      <c r="G50" s="10">
        <f>IFERROR(ROUND((E50-F50)/IF(F50=0,1,F50)*100,1),"")</f>
        <v/>
      </c>
      <c r="H50" s="9" t="inlineStr"/>
    </row>
    <row r="51" ht="22" customHeight="1"/>
    <row r="52" ht="20" customHeight="1">
      <c r="B52" s="17" t="inlineStr">
        <is>
          <t>Annual Report submitted to: Principal (for action), IQAC (AQAR Criterion V.3), University (anti-ragging report), Governing Body. Aggregate data only — no individual names in public report.</t>
        </is>
      </c>
    </row>
    <row r="53" ht="22" customHeight="1">
      <c r="B53" s="30" t="inlineStr">
        <is>
          <t>Member Secretary: ___________________    SDC Chairperson (Principal): ___________________    IQAC Coordinator: ___________________    Date: ___________________</t>
        </is>
      </c>
    </row>
    <row r="54" ht="22" customHeight="1"/>
    <row r="55" ht="22" customHeight="1"/>
    <row r="56" ht="22" customHeight="1"/>
    <row r="57" ht="22" customHeight="1"/>
  </sheetData>
  <mergeCells count="10">
    <mergeCell ref="B52:H52"/>
    <mergeCell ref="B4:H4"/>
    <mergeCell ref="B53:H53"/>
    <mergeCell ref="B43:H43"/>
    <mergeCell ref="B16:H16"/>
    <mergeCell ref="B2:H2"/>
    <mergeCell ref="B25:H25"/>
    <mergeCell ref="B3:H3"/>
    <mergeCell ref="B5:H5"/>
    <mergeCell ref="B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2026-04-24T04:24:39Z</dcterms:created>
  <dcterms:modified xmlns:dcterms="http://purl.org/dc/terms/" xmlns:xsi="http://www.w3.org/2001/XMLSchema-instance" xsi:type="dcterms:W3CDTF">2026-04-24T04:24:40Z</dcterms:modified>
</cp:coreProperties>
</file>