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NNCC-00 Composition" sheetId="2" state="visible" r:id="rId2"/>
    <sheet xmlns:r="http://schemas.openxmlformats.org/officeDocument/2006/relationships" name="NNCC-NA Notice &amp; Agenda" sheetId="3" state="visible" r:id="rId3"/>
    <sheet xmlns:r="http://schemas.openxmlformats.org/officeDocument/2006/relationships" name="NNCC-AT Attendance" sheetId="4" state="visible" r:id="rId4"/>
    <sheet xmlns:r="http://schemas.openxmlformats.org/officeDocument/2006/relationships" name="NNCC-MM Minutes" sheetId="5" state="visible" r:id="rId5"/>
    <sheet xmlns:r="http://schemas.openxmlformats.org/officeDocument/2006/relationships" name="NNCC-ATR Action Report" sheetId="6" state="visible" r:id="rId6"/>
    <sheet xmlns:r="http://schemas.openxmlformats.org/officeDocument/2006/relationships" name="NSS-02 Volunteer Enrolment" sheetId="7" state="visible" r:id="rId7"/>
    <sheet xmlns:r="http://schemas.openxmlformats.org/officeDocument/2006/relationships" name="NSS-04 Regular Activity Reg" sheetId="8" state="visible" r:id="rId8"/>
    <sheet xmlns:r="http://schemas.openxmlformats.org/officeDocument/2006/relationships" name="NSS-06 Special Camp Report" sheetId="9" state="visible" r:id="rId9"/>
    <sheet xmlns:r="http://schemas.openxmlformats.org/officeDocument/2006/relationships" name="NSS-10 Health &amp; Blood Donation" sheetId="10" state="visible" r:id="rId10"/>
    <sheet xmlns:r="http://schemas.openxmlformats.org/officeDocument/2006/relationships" name="NSS-12 Volunteer Hour Log" sheetId="11" state="visible" r:id="rId11"/>
    <sheet xmlns:r="http://schemas.openxmlformats.org/officeDocument/2006/relationships" name="NCC-02 Cadet Enrolment" sheetId="12" state="visible" r:id="rId12"/>
    <sheet xmlns:r="http://schemas.openxmlformats.org/officeDocument/2006/relationships" name="NCC-04 Parade &amp; Drill Register" sheetId="13" state="visible" r:id="rId13"/>
    <sheet xmlns:r="http://schemas.openxmlformats.org/officeDocument/2006/relationships" name="NCC-05 Annual Training Camp" sheetId="14" state="visible" r:id="rId14"/>
    <sheet xmlns:r="http://schemas.openxmlformats.org/officeDocument/2006/relationships" name="NCC-07 BC Certificate Exam" sheetId="15" state="visible" r:id="rId15"/>
    <sheet xmlns:r="http://schemas.openxmlformats.org/officeDocument/2006/relationships" name="NCC-12 Competitions" sheetId="16" state="visible" r:id="rId16"/>
    <sheet xmlns:r="http://schemas.openxmlformats.org/officeDocument/2006/relationships" name="JNT-03 Environment Activities" sheetId="17" state="visible" r:id="rId17"/>
    <sheet xmlns:r="http://schemas.openxmlformats.org/officeDocument/2006/relationships" name="NNCC-30 Satisfaction Survey" sheetId="18" state="visible" r:id="rId18"/>
    <sheet xmlns:r="http://schemas.openxmlformats.org/officeDocument/2006/relationships" name="NNCC-31 KPI Dashboard" sheetId="19" state="visible" r:id="rId19"/>
    <sheet xmlns:r="http://schemas.openxmlformats.org/officeDocument/2006/relationships" name="NNCC-32 Annual Report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3D6B21"/>
      <sz val="9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0F172A"/>
      <sz val="10"/>
    </font>
    <font>
      <name val="Arial"/>
      <color rgb="000F172A"/>
      <sz val="10"/>
    </font>
    <font>
      <name val="Arial"/>
      <color rgb="0064748B"/>
      <sz val="9"/>
    </font>
    <font>
      <name val="Arial"/>
      <b val="1"/>
      <color rgb="00FFFFFF"/>
      <sz val="14"/>
    </font>
    <font>
      <name val="Arial"/>
      <color rgb="003F2000"/>
      <sz val="9"/>
    </font>
    <font>
      <name val="Arial"/>
      <b val="1"/>
      <color rgb="003D6B21"/>
      <sz val="10"/>
    </font>
    <font>
      <name val="Arial"/>
      <b val="1"/>
      <color rgb="00334155"/>
      <sz val="10"/>
    </font>
    <font>
      <name val="Arial"/>
      <b val="1"/>
      <color rgb="00166534"/>
      <sz val="10"/>
    </font>
    <font>
      <name val="Arial"/>
      <color rgb="000F172A"/>
      <sz val="9"/>
    </font>
    <font>
      <name val="Arial"/>
      <b val="1"/>
      <color rgb="001A2E05"/>
      <sz val="10"/>
    </font>
    <font>
      <name val="Arial"/>
      <b val="1"/>
      <color rgb="000D9488"/>
      <sz val="10"/>
    </font>
    <font>
      <name val="Arial"/>
      <b val="1"/>
      <color rgb="001E3A5F"/>
      <sz val="10"/>
    </font>
    <font>
      <name val="Arial"/>
      <color rgb="001E3A5F"/>
      <sz val="9"/>
    </font>
  </fonts>
  <fills count="25">
    <fill>
      <patternFill/>
    </fill>
    <fill>
      <patternFill patternType="gray125"/>
    </fill>
    <fill>
      <patternFill patternType="solid">
        <fgColor rgb="001A2E05"/>
      </patternFill>
    </fill>
    <fill>
      <patternFill patternType="solid">
        <fgColor rgb="00ECFCCB"/>
      </patternFill>
    </fill>
    <fill>
      <patternFill patternType="solid">
        <fgColor rgb="00D97706"/>
      </patternFill>
    </fill>
    <fill>
      <patternFill patternType="solid">
        <fgColor rgb="00334155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3D6B21"/>
      </patternFill>
    </fill>
    <fill>
      <patternFill patternType="solid">
        <fgColor rgb="00FEF3C7"/>
      </patternFill>
    </fill>
    <fill>
      <patternFill patternType="solid">
        <fgColor rgb="00B45309"/>
      </patternFill>
    </fill>
    <fill>
      <patternFill patternType="solid">
        <fgColor rgb="00DCFCE7"/>
      </patternFill>
    </fill>
    <fill>
      <patternFill patternType="solid">
        <fgColor rgb="00E2E8F0"/>
      </patternFill>
    </fill>
    <fill>
      <patternFill patternType="solid">
        <fgColor rgb="000D9488"/>
      </patternFill>
    </fill>
    <fill>
      <patternFill patternType="solid">
        <fgColor rgb="00CCFBF1"/>
      </patternFill>
    </fill>
    <fill>
      <patternFill patternType="solid">
        <fgColor rgb="0092400E"/>
      </patternFill>
    </fill>
    <fill>
      <patternFill patternType="solid">
        <fgColor rgb="00991B1B"/>
      </patternFill>
    </fill>
    <fill>
      <patternFill patternType="solid">
        <fgColor rgb="00FEE2E2"/>
      </patternFill>
    </fill>
    <fill>
      <patternFill patternType="solid">
        <fgColor rgb="000A1628"/>
      </patternFill>
    </fill>
    <fill>
      <patternFill patternType="solid">
        <fgColor rgb="001E3A5F"/>
      </patternFill>
    </fill>
    <fill>
      <patternFill patternType="solid">
        <fgColor rgb="00DBEAFE"/>
      </patternFill>
    </fill>
    <fill>
      <patternFill patternType="solid">
        <fgColor rgb="002D6A4F"/>
      </patternFill>
    </fill>
    <fill>
      <patternFill patternType="solid">
        <fgColor rgb="00D8F3DC"/>
      </patternFill>
    </fill>
    <fill>
      <patternFill patternType="solid">
        <fgColor rgb="007C3AED"/>
      </patternFill>
    </fill>
    <fill>
      <patternFill patternType="solid">
        <fgColor rgb="00EDE9FE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8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9" fillId="9" borderId="0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0" fontId="3" fillId="8" borderId="0" applyAlignment="1" pivotButton="0" quotePrefix="0" xfId="0">
      <alignment horizontal="center" vertical="center" wrapText="1"/>
    </xf>
    <xf numFmtId="0" fontId="3" fillId="10" borderId="0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12" fillId="11" borderId="1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13" fillId="12" borderId="0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center" vertical="center" wrapText="1"/>
    </xf>
    <xf numFmtId="0" fontId="3" fillId="13" borderId="0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15" fillId="14" borderId="1" applyAlignment="1" pivotButton="0" quotePrefix="0" xfId="0">
      <alignment horizontal="left" vertical="center" wrapText="1"/>
    </xf>
    <xf numFmtId="0" fontId="3" fillId="15" borderId="0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left" vertical="center" wrapText="1"/>
    </xf>
    <xf numFmtId="0" fontId="4" fillId="16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center" vertical="center" wrapText="1"/>
    </xf>
    <xf numFmtId="0" fontId="6" fillId="17" borderId="1" applyAlignment="1" pivotButton="0" quotePrefix="0" xfId="0">
      <alignment horizontal="left" vertical="center" wrapText="1"/>
    </xf>
    <xf numFmtId="0" fontId="6" fillId="17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left" vertical="center" wrapText="1"/>
    </xf>
    <xf numFmtId="0" fontId="8" fillId="18" borderId="0" applyAlignment="1" pivotButton="0" quotePrefix="0" xfId="0">
      <alignment horizontal="center" vertical="center" wrapText="1"/>
    </xf>
    <xf numFmtId="0" fontId="4" fillId="19" borderId="1" applyAlignment="1" pivotButton="0" quotePrefix="0" xfId="0">
      <alignment horizontal="center" vertical="center" wrapText="1"/>
    </xf>
    <xf numFmtId="0" fontId="5" fillId="20" borderId="1" applyAlignment="1" pivotButton="0" quotePrefix="0" xfId="0">
      <alignment horizontal="center" vertical="center" wrapText="1"/>
    </xf>
    <xf numFmtId="0" fontId="6" fillId="20" borderId="1" applyAlignment="1" pivotButton="0" quotePrefix="0" xfId="0">
      <alignment horizontal="left" vertical="center" wrapText="1"/>
    </xf>
    <xf numFmtId="0" fontId="6" fillId="20" borderId="1" applyAlignment="1" pivotButton="0" quotePrefix="0" xfId="0">
      <alignment horizontal="center" vertical="center" wrapText="1"/>
    </xf>
    <xf numFmtId="0" fontId="5" fillId="20" borderId="1" applyAlignment="1" pivotButton="0" quotePrefix="0" xfId="0">
      <alignment horizontal="left" vertical="center" wrapText="1"/>
    </xf>
    <xf numFmtId="0" fontId="16" fillId="20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17" fillId="20" borderId="0" applyAlignment="1" pivotButton="0" quotePrefix="0" xfId="0">
      <alignment horizontal="center" vertical="center" wrapText="1"/>
    </xf>
    <xf numFmtId="0" fontId="3" fillId="19" borderId="0" applyAlignment="1" pivotButton="0" quotePrefix="0" xfId="0">
      <alignment horizontal="center" vertical="center" wrapText="1"/>
    </xf>
    <xf numFmtId="0" fontId="16" fillId="20" borderId="1" applyAlignment="1" pivotButton="0" quotePrefix="0" xfId="0">
      <alignment horizontal="left" vertical="center" wrapText="1"/>
    </xf>
    <xf numFmtId="0" fontId="9" fillId="9" borderId="0" applyAlignment="1" pivotButton="0" quotePrefix="0" xfId="0">
      <alignment horizontal="center" vertical="center" wrapText="1"/>
    </xf>
    <xf numFmtId="0" fontId="10" fillId="20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3" fillId="21" borderId="0" applyAlignment="1" pivotButton="0" quotePrefix="0" xfId="0">
      <alignment horizontal="center" vertical="center" wrapText="1"/>
    </xf>
    <xf numFmtId="0" fontId="4" fillId="21" borderId="1" applyAlignment="1" pivotButton="0" quotePrefix="0" xfId="0">
      <alignment horizontal="center" vertical="center" wrapText="1"/>
    </xf>
    <xf numFmtId="0" fontId="5" fillId="22" borderId="1" applyAlignment="1" pivotButton="0" quotePrefix="0" xfId="0">
      <alignment horizontal="center" vertical="center" wrapText="1"/>
    </xf>
    <xf numFmtId="0" fontId="6" fillId="22" borderId="1" applyAlignment="1" pivotButton="0" quotePrefix="0" xfId="0">
      <alignment horizontal="left" vertical="center" wrapText="1"/>
    </xf>
    <xf numFmtId="0" fontId="6" fillId="22" borderId="1" applyAlignment="1" pivotButton="0" quotePrefix="0" xfId="0">
      <alignment horizontal="center" vertical="center" wrapText="1"/>
    </xf>
    <xf numFmtId="0" fontId="10" fillId="22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7" borderId="1" pivotButton="0" quotePrefix="0" xfId="0"/>
    <xf numFmtId="0" fontId="3" fillId="23" borderId="0" applyAlignment="1" pivotButton="0" quotePrefix="0" xfId="0">
      <alignment horizontal="center" vertical="center" wrapText="1"/>
    </xf>
    <xf numFmtId="0" fontId="4" fillId="23" borderId="1" applyAlignment="1" pivotButton="0" quotePrefix="0" xfId="0">
      <alignment horizontal="center" vertical="center" wrapText="1"/>
    </xf>
    <xf numFmtId="0" fontId="5" fillId="24" borderId="1" applyAlignment="1" pivotButton="0" quotePrefix="0" xfId="0">
      <alignment horizontal="center" vertical="center" wrapText="1"/>
    </xf>
    <xf numFmtId="0" fontId="6" fillId="24" borderId="1" applyAlignment="1" pivotButton="0" quotePrefix="0" xfId="0">
      <alignment horizontal="left" vertical="center" wrapText="1"/>
    </xf>
    <xf numFmtId="0" fontId="6" fillId="2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46" customWidth="1" min="3" max="3"/>
    <col width="28" customWidth="1" min="4" max="4"/>
    <col width="18" customWidth="1" min="5" max="5"/>
    <col width="3" customWidth="1" min="6" max="6"/>
  </cols>
  <sheetData>
    <row r="1" ht="10" customHeight="1"/>
    <row r="2" ht="80" customHeight="1">
      <c r="B2" s="1" t="inlineStr">
        <is>
          <t>NSS / NCC COMMITTEE
National Service Scheme &amp; National Cadet Corps
Data Collection Formats — Master Workbook</t>
        </is>
      </c>
    </row>
    <row r="3" ht="28" customHeight="1">
      <c r="B3" s="2" t="inlineStr">
        <is>
          <t>Institution: _________________________  NSS / NCC Officer: _____________  A.Y.: _______  Version: _____</t>
        </is>
      </c>
    </row>
    <row r="4" ht="22" customHeight="1">
      <c r="B4" s="3" t="inlineStr">
        <is>
          <t>Form No.</t>
        </is>
      </c>
      <c r="C4" s="3" t="inlineStr">
        <is>
          <t>Format / Form Title</t>
        </is>
      </c>
      <c r="D4" s="3" t="inlineStr">
        <is>
          <t>Purpose / Usage</t>
        </is>
      </c>
      <c r="E4" s="3" t="inlineStr">
        <is>
          <t>Frequency</t>
        </is>
      </c>
    </row>
    <row r="5" ht="20" customHeight="1">
      <c r="B5" s="4" t="inlineStr">
        <is>
          <t>── GOVERNANCE &amp; ADMINISTRATION ──</t>
        </is>
      </c>
    </row>
    <row r="6" ht="20" customHeight="1">
      <c r="B6" s="5" t="inlineStr">
        <is>
          <t>NNCC-00</t>
        </is>
      </c>
      <c r="C6" s="6" t="inlineStr">
        <is>
          <t>Committee Composition &amp; Members Register</t>
        </is>
      </c>
      <c r="D6" s="6" t="inlineStr">
        <is>
          <t>Record NSS/NCC committee, officers &amp; student leaders</t>
        </is>
      </c>
      <c r="E6" s="7" t="inlineStr">
        <is>
          <t>Annual</t>
        </is>
      </c>
    </row>
    <row r="7" ht="20" customHeight="1">
      <c r="B7" s="8" t="inlineStr">
        <is>
          <t>NNCC-NA</t>
        </is>
      </c>
      <c r="C7" s="9" t="inlineStr">
        <is>
          <t>Meeting Notice, Agenda &amp; Dispatch Record</t>
        </is>
      </c>
      <c r="D7" s="9" t="inlineStr">
        <is>
          <t>Formal notice and agenda for committee meetings</t>
        </is>
      </c>
      <c r="E7" s="10" t="inlineStr">
        <is>
          <t>Each Meeting</t>
        </is>
      </c>
    </row>
    <row r="8" ht="20" customHeight="1">
      <c r="B8" s="5" t="inlineStr">
        <is>
          <t>NNCC-AT</t>
        </is>
      </c>
      <c r="C8" s="6" t="inlineStr">
        <is>
          <t>Attendance &amp; Quorum Register</t>
        </is>
      </c>
      <c r="D8" s="6" t="inlineStr">
        <is>
          <t>Confirm attendance and quorum</t>
        </is>
      </c>
      <c r="E8" s="7" t="inlineStr">
        <is>
          <t>Each Meeting</t>
        </is>
      </c>
    </row>
    <row r="9" ht="20" customHeight="1">
      <c r="B9" s="8" t="inlineStr">
        <is>
          <t>NNCC-MM</t>
        </is>
      </c>
      <c r="C9" s="9" t="inlineStr">
        <is>
          <t>Meeting Minutes &amp; Resolutions</t>
        </is>
      </c>
      <c r="D9" s="9" t="inlineStr">
        <is>
          <t>Record decisions, resolutions &amp; directives</t>
        </is>
      </c>
      <c r="E9" s="10" t="inlineStr">
        <is>
          <t>Each Meeting</t>
        </is>
      </c>
    </row>
    <row r="10" ht="20" customHeight="1">
      <c r="B10" s="5" t="inlineStr">
        <is>
          <t>NNCC-ATR</t>
        </is>
      </c>
      <c r="C10" s="6" t="inlineStr">
        <is>
          <t>Action Taken Report</t>
        </is>
      </c>
      <c r="D10" s="6" t="inlineStr">
        <is>
          <t>Track implementation of committee resolutions</t>
        </is>
      </c>
      <c r="E10" s="7" t="inlineStr">
        <is>
          <t>Each Meeting</t>
        </is>
      </c>
    </row>
    <row r="11" ht="20" customHeight="1">
      <c r="B11" s="4" t="inlineStr">
        <is>
          <t>── POLICY, PLANNING &amp; ANNUAL CALENDAR ──</t>
        </is>
      </c>
    </row>
    <row r="12" ht="20" customHeight="1">
      <c r="B12" s="5" t="inlineStr">
        <is>
          <t>NNCC-01</t>
        </is>
      </c>
      <c r="C12" s="6" t="inlineStr">
        <is>
          <t>NSS/NCC Policy &amp; Service Framework</t>
        </is>
      </c>
      <c r="D12" s="6" t="inlineStr">
        <is>
          <t>Document institutional NSS/NCC vision, policy &amp; goals</t>
        </is>
      </c>
      <c r="E12" s="7" t="inlineStr">
        <is>
          <t>Annual</t>
        </is>
      </c>
    </row>
    <row r="13" ht="20" customHeight="1">
      <c r="B13" s="8" t="inlineStr">
        <is>
          <t>NNCC-02</t>
        </is>
      </c>
      <c r="C13" s="9" t="inlineStr">
        <is>
          <t>Annual NSS/NCC Activity Calendar</t>
        </is>
      </c>
      <c r="D13" s="9" t="inlineStr">
        <is>
          <t>Plan all activities, camps, events for the year</t>
        </is>
      </c>
      <c r="E13" s="10" t="inlineStr">
        <is>
          <t>Annual</t>
        </is>
      </c>
    </row>
    <row r="14" ht="20" customHeight="1">
      <c r="B14" s="5" t="inlineStr">
        <is>
          <t>NNCC-03</t>
        </is>
      </c>
      <c r="C14" s="6" t="inlineStr">
        <is>
          <t>NSS/NCC Budget &amp; Resource Plan</t>
        </is>
      </c>
      <c r="D14" s="6" t="inlineStr">
        <is>
          <t>Plan and track budget for both NSS and NCC</t>
        </is>
      </c>
      <c r="E14" s="7" t="inlineStr">
        <is>
          <t>Annual</t>
        </is>
      </c>
    </row>
    <row r="15" ht="20" customHeight="1">
      <c r="B15" s="4" t="inlineStr">
        <is>
          <t>── NSS — NATIONAL SERVICE SCHEME ──</t>
        </is>
      </c>
    </row>
    <row r="16" ht="20" customHeight="1">
      <c r="B16" s="5" t="inlineStr">
        <is>
          <t>NSS-01</t>
        </is>
      </c>
      <c r="C16" s="6" t="inlineStr">
        <is>
          <t>NSS Unit Registration &amp; Government Details</t>
        </is>
      </c>
      <c r="D16" s="6" t="inlineStr">
        <is>
          <t>Record NSS unit details, registration &amp; govt. contact</t>
        </is>
      </c>
      <c r="E16" s="7" t="inlineStr">
        <is>
          <t>Annual</t>
        </is>
      </c>
    </row>
    <row r="17" ht="20" customHeight="1">
      <c r="B17" s="8" t="inlineStr">
        <is>
          <t>NSS-02</t>
        </is>
      </c>
      <c r="C17" s="9" t="inlineStr">
        <is>
          <t>NSS Volunteer Enrolment Register</t>
        </is>
      </c>
      <c r="D17" s="9" t="inlineStr">
        <is>
          <t>Register all NSS volunteers with personal details</t>
        </is>
      </c>
      <c r="E17" s="10" t="inlineStr">
        <is>
          <t>Annual</t>
        </is>
      </c>
    </row>
    <row r="18" ht="20" customHeight="1">
      <c r="B18" s="5" t="inlineStr">
        <is>
          <t>NSS-03</t>
        </is>
      </c>
      <c r="C18" s="6" t="inlineStr">
        <is>
          <t>NSS Programme Officer (PO) Register</t>
        </is>
      </c>
      <c r="D18" s="6" t="inlineStr">
        <is>
          <t>Record NSS PO credentials, training &amp; certification</t>
        </is>
      </c>
      <c r="E18" s="7" t="inlineStr">
        <is>
          <t>Annual</t>
        </is>
      </c>
    </row>
    <row r="19" ht="20" customHeight="1">
      <c r="B19" s="8" t="inlineStr">
        <is>
          <t>NSS-04</t>
        </is>
      </c>
      <c r="C19" s="9" t="inlineStr">
        <is>
          <t>NSS Regular Activity Register</t>
        </is>
      </c>
      <c r="D19" s="9" t="inlineStr">
        <is>
          <t>Log all regular (non-camp) NSS activities</t>
        </is>
      </c>
      <c r="E19" s="10" t="inlineStr">
        <is>
          <t>Continuous</t>
        </is>
      </c>
    </row>
    <row r="20" ht="20" customHeight="1">
      <c r="B20" s="5" t="inlineStr">
        <is>
          <t>NSS-05</t>
        </is>
      </c>
      <c r="C20" s="6" t="inlineStr">
        <is>
          <t>NSS Regular Activity Attendance Register</t>
        </is>
      </c>
      <c r="D20" s="6" t="inlineStr">
        <is>
          <t>Track volunteer attendance per NSS activity</t>
        </is>
      </c>
      <c r="E20" s="7" t="inlineStr">
        <is>
          <t>Per Activity</t>
        </is>
      </c>
    </row>
    <row r="21" ht="20" customHeight="1">
      <c r="B21" s="8" t="inlineStr">
        <is>
          <t>NSS-06</t>
        </is>
      </c>
      <c r="C21" s="9" t="inlineStr">
        <is>
          <t>NSS Special Camp Planning &amp; Report</t>
        </is>
      </c>
      <c r="D21" s="9" t="inlineStr">
        <is>
          <t>Plan, execute and report the Annual Special Camp</t>
        </is>
      </c>
      <c r="E21" s="10" t="inlineStr">
        <is>
          <t>Annual</t>
        </is>
      </c>
    </row>
    <row r="22" ht="20" customHeight="1">
      <c r="B22" s="5" t="inlineStr">
        <is>
          <t>NSS-07</t>
        </is>
      </c>
      <c r="C22" s="6" t="inlineStr">
        <is>
          <t>NSS Special Camp Attendance Register</t>
        </is>
      </c>
      <c r="D22" s="6" t="inlineStr">
        <is>
          <t>Track daily attendance during 7-day special camp</t>
        </is>
      </c>
      <c r="E22" s="7" t="inlineStr">
        <is>
          <t>Per Camp Day</t>
        </is>
      </c>
    </row>
    <row r="23" ht="20" customHeight="1">
      <c r="B23" s="8" t="inlineStr">
        <is>
          <t>NSS-08</t>
        </is>
      </c>
      <c r="C23" s="9" t="inlineStr">
        <is>
          <t>NSS Social Service &amp; Community Register</t>
        </is>
      </c>
      <c r="D23" s="9" t="inlineStr">
        <is>
          <t>Track community service, village adoption, extension</t>
        </is>
      </c>
      <c r="E23" s="10" t="inlineStr">
        <is>
          <t>Continuous</t>
        </is>
      </c>
    </row>
    <row r="24" ht="20" customHeight="1">
      <c r="B24" s="5" t="inlineStr">
        <is>
          <t>NSS-09</t>
        </is>
      </c>
      <c r="C24" s="6" t="inlineStr">
        <is>
          <t>NSS Swachh Bharat Abhiyan Register</t>
        </is>
      </c>
      <c r="D24" s="6" t="inlineStr">
        <is>
          <t>Track Swachh Bharat, cleanliness and sanitation activities</t>
        </is>
      </c>
      <c r="E24" s="7" t="inlineStr">
        <is>
          <t>Continuous</t>
        </is>
      </c>
    </row>
    <row r="25" ht="20" customHeight="1">
      <c r="B25" s="8" t="inlineStr">
        <is>
          <t>NSS-10</t>
        </is>
      </c>
      <c r="C25" s="9" t="inlineStr">
        <is>
          <t>NSS Health &amp; Blood Donation Camp Register</t>
        </is>
      </c>
      <c r="D25" s="9" t="inlineStr">
        <is>
          <t>Track health camps, blood donation, eye camps</t>
        </is>
      </c>
      <c r="E25" s="10" t="inlineStr">
        <is>
          <t>Per Camp</t>
        </is>
      </c>
    </row>
    <row r="26" ht="20" customHeight="1">
      <c r="B26" s="5" t="inlineStr">
        <is>
          <t>NSS-11</t>
        </is>
      </c>
      <c r="C26" s="6" t="inlineStr">
        <is>
          <t>NSS Awareness Campaign Register</t>
        </is>
      </c>
      <c r="D26" s="6" t="inlineStr">
        <is>
          <t>Track awareness drives — environment, gender, digital</t>
        </is>
      </c>
      <c r="E26" s="7" t="inlineStr">
        <is>
          <t>Continuous</t>
        </is>
      </c>
    </row>
    <row r="27" ht="20" customHeight="1">
      <c r="B27" s="8" t="inlineStr">
        <is>
          <t>NSS-12</t>
        </is>
      </c>
      <c r="C27" s="9" t="inlineStr">
        <is>
          <t>NSS Volunteer Hour Log</t>
        </is>
      </c>
      <c r="D27" s="9" t="inlineStr">
        <is>
          <t>Track cumulative hours completed by each volunteer</t>
        </is>
      </c>
      <c r="E27" s="10" t="inlineStr">
        <is>
          <t>Continuous</t>
        </is>
      </c>
    </row>
    <row r="28" ht="20" customHeight="1">
      <c r="B28" s="5" t="inlineStr">
        <is>
          <t>NSS-13</t>
        </is>
      </c>
      <c r="C28" s="6" t="inlineStr">
        <is>
          <t>NSS Personality Development &amp; Training Reg.</t>
        </is>
      </c>
      <c r="D28" s="6" t="inlineStr">
        <is>
          <t>Log personality development, leadership training sessions</t>
        </is>
      </c>
      <c r="E28" s="7" t="inlineStr">
        <is>
          <t>Continuous</t>
        </is>
      </c>
    </row>
    <row r="29" ht="20" customHeight="1">
      <c r="B29" s="8" t="inlineStr">
        <is>
          <t>NSS-14</t>
        </is>
      </c>
      <c r="C29" s="9" t="inlineStr">
        <is>
          <t>NSS Award &amp; Certificate Register</t>
        </is>
      </c>
      <c r="D29" s="9" t="inlineStr">
        <is>
          <t>Track NSS awards — state, national &amp; programme completion</t>
        </is>
      </c>
      <c r="E29" s="10" t="inlineStr">
        <is>
          <t>Annual</t>
        </is>
      </c>
    </row>
    <row r="30" ht="20" customHeight="1">
      <c r="B30" s="5" t="inlineStr">
        <is>
          <t>NSS-15</t>
        </is>
      </c>
      <c r="C30" s="6" t="inlineStr">
        <is>
          <t>NSS Republic Day / Independence Day Reg.</t>
        </is>
      </c>
      <c r="D30" s="6" t="inlineStr">
        <is>
          <t>Track participation in national days &amp; state parades</t>
        </is>
      </c>
      <c r="E30" s="7" t="inlineStr">
        <is>
          <t>Annual</t>
        </is>
      </c>
    </row>
    <row r="31" ht="20" customHeight="1">
      <c r="B31" s="8" t="inlineStr">
        <is>
          <t>NSS-16</t>
        </is>
      </c>
      <c r="C31" s="9" t="inlineStr">
        <is>
          <t>NSS Monthly Report Form</t>
        </is>
      </c>
      <c r="D31" s="9" t="inlineStr">
        <is>
          <t>Monthly activity summary for NSS Regional Director</t>
        </is>
      </c>
      <c r="E31" s="10" t="inlineStr">
        <is>
          <t>Monthly</t>
        </is>
      </c>
    </row>
    <row r="32" ht="20" customHeight="1">
      <c r="B32" s="4" t="inlineStr">
        <is>
          <t>── NCC — NATIONAL CADET CORPS ──</t>
        </is>
      </c>
    </row>
    <row r="33" ht="20" customHeight="1">
      <c r="B33" s="8" t="inlineStr">
        <is>
          <t>NCC-01</t>
        </is>
      </c>
      <c r="C33" s="9" t="inlineStr">
        <is>
          <t>NCC Unit Registration &amp; Army/Navy/Air Details</t>
        </is>
      </c>
      <c r="D33" s="9" t="inlineStr">
        <is>
          <t>Record NCC unit, wing, grouping &amp; Commanding Officer</t>
        </is>
      </c>
      <c r="E33" s="10" t="inlineStr">
        <is>
          <t>Annual</t>
        </is>
      </c>
    </row>
    <row r="34" ht="20" customHeight="1">
      <c r="B34" s="5" t="inlineStr">
        <is>
          <t>NCC-02</t>
        </is>
      </c>
      <c r="C34" s="6" t="inlineStr">
        <is>
          <t>NCC Cadet Enrolment Register</t>
        </is>
      </c>
      <c r="D34" s="6" t="inlineStr">
        <is>
          <t>Register all NCC cadets with personal &amp; wing details</t>
        </is>
      </c>
      <c r="E34" s="7" t="inlineStr">
        <is>
          <t>Annual</t>
        </is>
      </c>
    </row>
    <row r="35" ht="20" customHeight="1">
      <c r="B35" s="8" t="inlineStr">
        <is>
          <t>NCC-03</t>
        </is>
      </c>
      <c r="C35" s="9" t="inlineStr">
        <is>
          <t>NCC Associate NCC Officer (ANO) Register</t>
        </is>
      </c>
      <c r="D35" s="9" t="inlineStr">
        <is>
          <t>Record ANO appointment, training &amp; certification</t>
        </is>
      </c>
      <c r="E35" s="10" t="inlineStr">
        <is>
          <t>Annual</t>
        </is>
      </c>
    </row>
    <row r="36" ht="20" customHeight="1">
      <c r="B36" s="5" t="inlineStr">
        <is>
          <t>NCC-04</t>
        </is>
      </c>
      <c r="C36" s="6" t="inlineStr">
        <is>
          <t>NCC Regular Parade &amp; Drill Register</t>
        </is>
      </c>
      <c r="D36" s="6" t="inlineStr">
        <is>
          <t>Track regular parade, PT and drill attendance</t>
        </is>
      </c>
      <c r="E36" s="7" t="inlineStr">
        <is>
          <t>Per Parade</t>
        </is>
      </c>
    </row>
    <row r="37" ht="20" customHeight="1">
      <c r="B37" s="8" t="inlineStr">
        <is>
          <t>NCC-05</t>
        </is>
      </c>
      <c r="C37" s="9" t="inlineStr">
        <is>
          <t>NCC Camp Register — Annual Training Camp (ATC)</t>
        </is>
      </c>
      <c r="D37" s="9" t="inlineStr">
        <is>
          <t>Plan, execute and record Annual Training Camp</t>
        </is>
      </c>
      <c r="E37" s="10" t="inlineStr">
        <is>
          <t>Annual</t>
        </is>
      </c>
    </row>
    <row r="38" ht="20" customHeight="1">
      <c r="B38" s="5" t="inlineStr">
        <is>
          <t>NCC-06</t>
        </is>
      </c>
      <c r="C38" s="6" t="inlineStr">
        <is>
          <t>NCC Camp Register — Combined Annual Training</t>
        </is>
      </c>
      <c r="D38" s="6" t="inlineStr">
        <is>
          <t>Record CATC, RDC, National Integration Camp details</t>
        </is>
      </c>
      <c r="E38" s="7" t="inlineStr">
        <is>
          <t>Per Camp</t>
        </is>
      </c>
    </row>
    <row r="39" ht="20" customHeight="1">
      <c r="B39" s="8" t="inlineStr">
        <is>
          <t>NCC-07</t>
        </is>
      </c>
      <c r="C39" s="9" t="inlineStr">
        <is>
          <t>NCC B &amp; C Certificate Examination Register</t>
        </is>
      </c>
      <c r="D39" s="9" t="inlineStr">
        <is>
          <t>Track NCC B and C certificate examination candidates</t>
        </is>
      </c>
      <c r="E39" s="10" t="inlineStr">
        <is>
          <t>Annual</t>
        </is>
      </c>
    </row>
    <row r="40" ht="20" customHeight="1">
      <c r="B40" s="5" t="inlineStr">
        <is>
          <t>NCC-08</t>
        </is>
      </c>
      <c r="C40" s="6" t="inlineStr">
        <is>
          <t>NCC Shooting / Firing Practice Register</t>
        </is>
      </c>
      <c r="D40" s="6" t="inlineStr">
        <is>
          <t>Record shooting and firing practice sessions</t>
        </is>
      </c>
      <c r="E40" s="7" t="inlineStr">
        <is>
          <t>Per Session</t>
        </is>
      </c>
    </row>
    <row r="41" ht="20" customHeight="1">
      <c r="B41" s="8" t="inlineStr">
        <is>
          <t>NCC-09</t>
        </is>
      </c>
      <c r="C41" s="9" t="inlineStr">
        <is>
          <t>NCC Trekking &amp; Adventure Activity Register</t>
        </is>
      </c>
      <c r="D41" s="9" t="inlineStr">
        <is>
          <t>Track trekking, mountaineering, adventure activities</t>
        </is>
      </c>
      <c r="E41" s="10" t="inlineStr">
        <is>
          <t>Continuous</t>
        </is>
      </c>
    </row>
    <row r="42" ht="20" customHeight="1">
      <c r="B42" s="5" t="inlineStr">
        <is>
          <t>NCC-10</t>
        </is>
      </c>
      <c r="C42" s="6" t="inlineStr">
        <is>
          <t>NCC Social Service &amp; Community Register</t>
        </is>
      </c>
      <c r="D42" s="6" t="inlineStr">
        <is>
          <t>Track NCC community service and outreach activities</t>
        </is>
      </c>
      <c r="E42" s="7" t="inlineStr">
        <is>
          <t>Continuous</t>
        </is>
      </c>
    </row>
    <row r="43" ht="20" customHeight="1">
      <c r="B43" s="8" t="inlineStr">
        <is>
          <t>NCC-11</t>
        </is>
      </c>
      <c r="C43" s="9" t="inlineStr">
        <is>
          <t>NCC Republic Day &amp; Independence Day Parade Reg.</t>
        </is>
      </c>
      <c r="D43" s="9" t="inlineStr">
        <is>
          <t>Track RD Camp, ID Parade, state-level events</t>
        </is>
      </c>
      <c r="E43" s="10" t="inlineStr">
        <is>
          <t>Annual</t>
        </is>
      </c>
    </row>
    <row r="44" ht="20" customHeight="1">
      <c r="B44" s="5" t="inlineStr">
        <is>
          <t>NCC-12</t>
        </is>
      </c>
      <c r="C44" s="6" t="inlineStr">
        <is>
          <t>NCC Competition &amp; Achievement Register</t>
        </is>
      </c>
      <c r="D44" s="6" t="inlineStr">
        <is>
          <t>Track cadet performance in shooting, drill, debate etc.</t>
        </is>
      </c>
      <c r="E44" s="7" t="inlineStr">
        <is>
          <t>Continuous</t>
        </is>
      </c>
    </row>
    <row r="45" ht="20" customHeight="1">
      <c r="B45" s="8" t="inlineStr">
        <is>
          <t>NCC-13</t>
        </is>
      </c>
      <c r="C45" s="9" t="inlineStr">
        <is>
          <t>NCC Uniform &amp; Equipment Issue Register</t>
        </is>
      </c>
      <c r="D45" s="9" t="inlineStr">
        <is>
          <t>Track uniforms, arms, equipment issued to cadets</t>
        </is>
      </c>
      <c r="E45" s="10" t="inlineStr">
        <is>
          <t>Annual</t>
        </is>
      </c>
    </row>
    <row r="46" ht="20" customHeight="1">
      <c r="B46" s="5" t="inlineStr">
        <is>
          <t>NCC-14</t>
        </is>
      </c>
      <c r="C46" s="6" t="inlineStr">
        <is>
          <t>NCC Monthly Report Form</t>
        </is>
      </c>
      <c r="D46" s="6" t="inlineStr">
        <is>
          <t>Monthly activity summary for NCC District HQ</t>
        </is>
      </c>
      <c r="E46" s="7" t="inlineStr">
        <is>
          <t>Monthly</t>
        </is>
      </c>
    </row>
    <row r="47" ht="20" customHeight="1">
      <c r="B47" s="4" t="inlineStr">
        <is>
          <t>── JOINT NSS-NCC ACTIVITIES ──</t>
        </is>
      </c>
    </row>
    <row r="48" ht="20" customHeight="1">
      <c r="B48" s="5" t="inlineStr">
        <is>
          <t>JNT-01</t>
        </is>
      </c>
      <c r="C48" s="6" t="inlineStr">
        <is>
          <t>Joint NSS-NCC Social Service Register</t>
        </is>
      </c>
      <c r="D48" s="6" t="inlineStr">
        <is>
          <t>Document joint activities between NSS and NCC wings</t>
        </is>
      </c>
      <c r="E48" s="7" t="inlineStr">
        <is>
          <t>Continuous</t>
        </is>
      </c>
    </row>
    <row r="49" ht="20" customHeight="1">
      <c r="B49" s="8" t="inlineStr">
        <is>
          <t>JNT-02</t>
        </is>
      </c>
      <c r="C49" s="9" t="inlineStr">
        <is>
          <t>Disaster Management &amp; Relief Activity Register</t>
        </is>
      </c>
      <c r="D49" s="9" t="inlineStr">
        <is>
          <t>Track disaster relief, first aid and emergency service</t>
        </is>
      </c>
      <c r="E49" s="10" t="inlineStr">
        <is>
          <t>Per Incident</t>
        </is>
      </c>
    </row>
    <row r="50" ht="20" customHeight="1">
      <c r="B50" s="5" t="inlineStr">
        <is>
          <t>JNT-03</t>
        </is>
      </c>
      <c r="C50" s="6" t="inlineStr">
        <is>
          <t>Environment &amp; Green Campus Activity Register</t>
        </is>
      </c>
      <c r="D50" s="6" t="inlineStr">
        <is>
          <t>Track plantation, green drives, eco-awareness activities</t>
        </is>
      </c>
      <c r="E50" s="7" t="inlineStr">
        <is>
          <t>Annual</t>
        </is>
      </c>
    </row>
    <row r="51" ht="20" customHeight="1">
      <c r="B51" s="8" t="inlineStr">
        <is>
          <t>JNT-04</t>
        </is>
      </c>
      <c r="C51" s="9" t="inlineStr">
        <is>
          <t>National Day Celebration Register</t>
        </is>
      </c>
      <c r="D51" s="9" t="inlineStr">
        <is>
          <t>Document Republic Day, Independence Day, Gandhi Jayanti</t>
        </is>
      </c>
      <c r="E51" s="10" t="inlineStr">
        <is>
          <t>Annual</t>
        </is>
      </c>
    </row>
    <row r="52" ht="20" customHeight="1">
      <c r="B52" s="4" t="inlineStr">
        <is>
          <t>── AWARDS, RECOGNITION &amp; CERTIFICATES ──</t>
        </is>
      </c>
    </row>
    <row r="53" ht="20" customHeight="1">
      <c r="B53" s="8" t="inlineStr">
        <is>
          <t>AWD-01</t>
        </is>
      </c>
      <c r="C53" s="9" t="inlineStr">
        <is>
          <t>NSS State / National Award Register</t>
        </is>
      </c>
      <c r="D53" s="9" t="inlineStr">
        <is>
          <t>Track NSS state and national award nominations and results</t>
        </is>
      </c>
      <c r="E53" s="10" t="inlineStr">
        <is>
          <t>Annual</t>
        </is>
      </c>
    </row>
    <row r="54" ht="20" customHeight="1">
      <c r="B54" s="5" t="inlineStr">
        <is>
          <t>AWD-02</t>
        </is>
      </c>
      <c r="C54" s="6" t="inlineStr">
        <is>
          <t>NCC State / National Award Register</t>
        </is>
      </c>
      <c r="D54" s="6" t="inlineStr">
        <is>
          <t>Track NCC state and national award nominations</t>
        </is>
      </c>
      <c r="E54" s="7" t="inlineStr">
        <is>
          <t>Annual</t>
        </is>
      </c>
    </row>
    <row r="55" ht="20" customHeight="1">
      <c r="B55" s="8" t="inlineStr">
        <is>
          <t>AWD-03</t>
        </is>
      </c>
      <c r="C55" s="9" t="inlineStr">
        <is>
          <t>Best NSS Volunteer Award Register</t>
        </is>
      </c>
      <c r="D55" s="9" t="inlineStr">
        <is>
          <t>Institutional award for outstanding NSS volunteers</t>
        </is>
      </c>
      <c r="E55" s="10" t="inlineStr">
        <is>
          <t>Annual</t>
        </is>
      </c>
    </row>
    <row r="56" ht="20" customHeight="1">
      <c r="B56" s="5" t="inlineStr">
        <is>
          <t>AWD-04</t>
        </is>
      </c>
      <c r="C56" s="6" t="inlineStr">
        <is>
          <t>Best NCC Cadet Award Register</t>
        </is>
      </c>
      <c r="D56" s="6" t="inlineStr">
        <is>
          <t>Institutional award for outstanding NCC cadets</t>
        </is>
      </c>
      <c r="E56" s="7" t="inlineStr">
        <is>
          <t>Annual</t>
        </is>
      </c>
    </row>
    <row r="57" ht="20" customHeight="1">
      <c r="B57" s="4" t="inlineStr">
        <is>
          <t>── MONITORING &amp; REPORTING ──</t>
        </is>
      </c>
    </row>
    <row r="58" ht="20" customHeight="1">
      <c r="B58" s="5" t="inlineStr">
        <is>
          <t>NNCC-30</t>
        </is>
      </c>
      <c r="C58" s="6" t="inlineStr">
        <is>
          <t>NSS/NCC Student Satisfaction Survey</t>
        </is>
      </c>
      <c r="D58" s="6" t="inlineStr">
        <is>
          <t>Annual survey on NSS/NCC programme quality and value</t>
        </is>
      </c>
      <c r="E58" s="7" t="inlineStr">
        <is>
          <t>Annual</t>
        </is>
      </c>
    </row>
    <row r="59" ht="20" customHeight="1">
      <c r="B59" s="8" t="inlineStr">
        <is>
          <t>NNCC-31</t>
        </is>
      </c>
      <c r="C59" s="9" t="inlineStr">
        <is>
          <t>NSS/NCC KPI Dashboard</t>
        </is>
      </c>
      <c r="D59" s="9" t="inlineStr">
        <is>
          <t>Track all NSS/NCC KPIs — service hours, camps, awards</t>
        </is>
      </c>
      <c r="E59" s="10" t="inlineStr">
        <is>
          <t>Quarterly / Annual</t>
        </is>
      </c>
    </row>
    <row r="60" ht="20" customHeight="1">
      <c r="B60" s="5" t="inlineStr">
        <is>
          <t>NNCC-32</t>
        </is>
      </c>
      <c r="C60" s="6" t="inlineStr">
        <is>
          <t>NSS/NCC Annual Report Compilation Form</t>
        </is>
      </c>
      <c r="D60" s="6" t="inlineStr">
        <is>
          <t>Year-end report for management, govt. &amp; NAAC</t>
        </is>
      </c>
      <c r="E60" s="7" t="inlineStr">
        <is>
          <t>Annual</t>
        </is>
      </c>
    </row>
    <row r="61" ht="21" customHeight="1"/>
    <row r="62" ht="21" customHeight="1"/>
    <row r="63" ht="21" customHeight="1"/>
    <row r="64" ht="21" customHeight="1"/>
    <row r="124">
      <c r="B124" s="11" t="inlineStr">
        <is>
          <t>• NSS: Each volunteer must complete 240 hours of service (120 hrs regular + 7-day special camp) per year for programme completion.</t>
        </is>
      </c>
    </row>
    <row r="125">
      <c r="B125" s="11" t="inlineStr">
        <is>
          <t>• NCC: Regular parade mandatory — cadets must complete minimum 75% attendance to appear for B/C certificate exam.</t>
        </is>
      </c>
    </row>
    <row r="126">
      <c r="B126" s="11" t="inlineStr">
        <is>
          <t>• NSS PO and NCC ANO must hold valid appointment orders from State/District authority — verify annually.</t>
        </is>
      </c>
    </row>
    <row r="127">
      <c r="B127" s="11" t="inlineStr">
        <is>
          <t>• Annual Special Camp (NSS) and Annual Training Camp (NCC) are MANDATORY — report to state govt. within 30 days.</t>
        </is>
      </c>
    </row>
    <row r="128">
      <c r="B128" s="11" t="inlineStr">
        <is>
          <t>• NSS data feeds into: NAAC AQAR Criterion III.4 / V.3, NIRF (Outreach), UGC/Govt. annual NSS reports.</t>
        </is>
      </c>
    </row>
    <row r="129">
      <c r="B129" s="11" t="inlineStr">
        <is>
          <t>• NCC data feeds into: NAAC Criterion V.3, Ministry of Defence NCC Directorate annual reports.</t>
        </is>
      </c>
    </row>
    <row r="130">
      <c r="B130" s="11" t="inlineStr">
        <is>
          <t>• Blood donation camps, health camps, and Swachh Bharat activities are high-value NAAC evidence — document meticulously.</t>
        </is>
      </c>
    </row>
    <row r="131">
      <c r="B131" s="11" t="inlineStr">
        <is>
          <t>• NSS Special Camp: must be held in adopted village; 60% of volunteers must attend; 7 consecutive days minimum.</t>
        </is>
      </c>
    </row>
    <row r="132">
      <c r="B132" s="11" t="inlineStr">
        <is>
          <t>• NCC cadets with B/C certificate get benefits in defence recruitment, civil services and government jobs — track carefully.</t>
        </is>
      </c>
    </row>
    <row r="133">
      <c r="B133" s="11" t="inlineStr">
        <is>
          <t>• Republic Day Camp (RDC) and PM's Rally participation are prestigious — maintain full documentation.</t>
        </is>
      </c>
    </row>
  </sheetData>
  <mergeCells count="19">
    <mergeCell ref="B127:E127"/>
    <mergeCell ref="B15:E15"/>
    <mergeCell ref="B124:E124"/>
    <mergeCell ref="B5:E5"/>
    <mergeCell ref="B133:E133"/>
    <mergeCell ref="B32:E32"/>
    <mergeCell ref="B126:E126"/>
    <mergeCell ref="B129:E129"/>
    <mergeCell ref="B3:E3"/>
    <mergeCell ref="B47:E47"/>
    <mergeCell ref="B125:E125"/>
    <mergeCell ref="B131:E131"/>
    <mergeCell ref="B52:E52"/>
    <mergeCell ref="B130:E130"/>
    <mergeCell ref="B11:E11"/>
    <mergeCell ref="B2:E2"/>
    <mergeCell ref="B57:E57"/>
    <mergeCell ref="B132:E132"/>
    <mergeCell ref="B128:E1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6" customWidth="1" min="3" max="3"/>
    <col width="24" customWidth="1" min="4" max="4"/>
    <col width="20" customWidth="1" min="5" max="5"/>
    <col width="14" customWidth="1" min="6" max="6"/>
    <col width="14" customWidth="1" min="7" max="7"/>
    <col width="16" customWidth="1" min="8" max="8"/>
    <col width="14" customWidth="1" min="9" max="9"/>
    <col width="3" customWidth="1" min="10" max="10"/>
  </cols>
  <sheetData>
    <row r="1" ht="10" customHeight="1"/>
    <row r="2" ht="52" customHeight="1">
      <c r="B2" s="12" t="inlineStr">
        <is>
          <t>NNCC-00: NSS / NCC COMMITTEE — COMPOSITION REGISTER</t>
        </is>
      </c>
    </row>
    <row r="3" ht="25" customHeight="1">
      <c r="B3" s="2" t="inlineStr">
        <is>
          <t>Institution: _________________________  A.Y.: _______  Constituted on: _______  Order No.: _______</t>
        </is>
      </c>
    </row>
    <row r="4" ht="25" customHeight="1">
      <c r="B4" s="13" t="inlineStr">
        <is>
          <t>Sl.</t>
        </is>
      </c>
      <c r="C4" s="13" t="inlineStr">
        <is>
          <t>Name</t>
        </is>
      </c>
      <c r="D4" s="13" t="inlineStr">
        <is>
          <t>Designation</t>
        </is>
      </c>
      <c r="E4" s="13" t="inlineStr">
        <is>
          <t>Role in NNCC</t>
        </is>
      </c>
      <c r="F4" s="13" t="inlineStr">
        <is>
          <t>Wing / Domain</t>
        </is>
      </c>
      <c r="G4" s="13" t="inlineStr">
        <is>
          <t>Email / Phone</t>
        </is>
      </c>
      <c r="H4" s="13" t="inlineStr">
        <is>
          <t>Term</t>
        </is>
      </c>
      <c r="I4" s="13" t="inlineStr">
        <is>
          <t>Signature</t>
        </is>
      </c>
    </row>
    <row r="5" ht="22" customHeight="1">
      <c r="B5" s="14" t="n">
        <v>1</v>
      </c>
      <c r="C5" s="15" t="inlineStr"/>
      <c r="D5" s="15" t="inlineStr">
        <is>
          <t>Principal / Director</t>
        </is>
      </c>
      <c r="E5" s="14" t="inlineStr">
        <is>
          <t>Chairperson</t>
        </is>
      </c>
      <c r="F5" s="16" t="inlineStr">
        <is>
          <t>NNCC Leadership &amp; Oversight</t>
        </is>
      </c>
      <c r="G5" s="15" t="inlineStr"/>
      <c r="H5" s="16" t="inlineStr"/>
      <c r="I5" s="16" t="inlineStr"/>
    </row>
    <row r="6" ht="22" customHeight="1">
      <c r="B6" s="8" t="n">
        <v>2</v>
      </c>
      <c r="C6" s="9" t="inlineStr"/>
      <c r="D6" s="9" t="inlineStr">
        <is>
          <t>Faculty — NSS PO (Appointed by State Govt.)</t>
        </is>
      </c>
      <c r="E6" s="8" t="inlineStr">
        <is>
          <t>NSS Programme Officer 1</t>
        </is>
      </c>
      <c r="F6" s="10" t="inlineStr">
        <is>
          <t>NSS Unit 1 Operations</t>
        </is>
      </c>
      <c r="G6" s="9" t="inlineStr"/>
      <c r="H6" s="10" t="inlineStr"/>
      <c r="I6" s="10" t="inlineStr"/>
    </row>
    <row r="7" ht="22" customHeight="1">
      <c r="B7" s="14" t="n">
        <v>3</v>
      </c>
      <c r="C7" s="15" t="inlineStr"/>
      <c r="D7" s="15" t="inlineStr">
        <is>
          <t>Faculty — NSS PO (Appointed by State Govt.)</t>
        </is>
      </c>
      <c r="E7" s="14" t="inlineStr">
        <is>
          <t>NSS Programme Officer 2</t>
        </is>
      </c>
      <c r="F7" s="16" t="inlineStr">
        <is>
          <t>NSS Unit 2 Operations</t>
        </is>
      </c>
      <c r="G7" s="15" t="inlineStr"/>
      <c r="H7" s="16" t="inlineStr"/>
      <c r="I7" s="16" t="inlineStr"/>
    </row>
    <row r="8" ht="22" customHeight="1">
      <c r="B8" s="8" t="n">
        <v>4</v>
      </c>
      <c r="C8" s="9" t="inlineStr"/>
      <c r="D8" s="9" t="inlineStr">
        <is>
          <t>Faculty — ANO (Appointed by District NCC HQ)</t>
        </is>
      </c>
      <c r="E8" s="8" t="inlineStr">
        <is>
          <t>NCC Associate NCC Officer</t>
        </is>
      </c>
      <c r="F8" s="10" t="inlineStr">
        <is>
          <t>NCC Operations &amp; Training</t>
        </is>
      </c>
      <c r="G8" s="9" t="inlineStr"/>
      <c r="H8" s="10" t="inlineStr"/>
      <c r="I8" s="10" t="inlineStr"/>
    </row>
    <row r="9" ht="22" customHeight="1">
      <c r="B9" s="14" t="n">
        <v>5</v>
      </c>
      <c r="C9" s="15" t="inlineStr"/>
      <c r="D9" s="15" t="inlineStr">
        <is>
          <t>Senior Cadet — SUO (NCC)</t>
        </is>
      </c>
      <c r="E9" s="14" t="inlineStr">
        <is>
          <t>NCC Senior Under Officer</t>
        </is>
      </c>
      <c r="F9" s="16" t="inlineStr">
        <is>
          <t>NCC Cadet Leadership</t>
        </is>
      </c>
      <c r="G9" s="15" t="inlineStr"/>
      <c r="H9" s="16" t="inlineStr"/>
      <c r="I9" s="16" t="inlineStr"/>
    </row>
    <row r="10" ht="22" customHeight="1">
      <c r="B10" s="8" t="n">
        <v>6</v>
      </c>
      <c r="C10" s="9" t="inlineStr"/>
      <c r="D10" s="9" t="inlineStr">
        <is>
          <t>Student — NSS Volunteer Leader (Male)</t>
        </is>
      </c>
      <c r="E10" s="8" t="inlineStr">
        <is>
          <t>NSS Volunteer Leader (M)</t>
        </is>
      </c>
      <c r="F10" s="10" t="inlineStr">
        <is>
          <t>NSS Male Volunteer Coordination</t>
        </is>
      </c>
      <c r="G10" s="9" t="inlineStr"/>
      <c r="H10" s="10" t="inlineStr"/>
      <c r="I10" s="10" t="inlineStr"/>
    </row>
    <row r="11" ht="22" customHeight="1">
      <c r="B11" s="14" t="n">
        <v>7</v>
      </c>
      <c r="C11" s="15" t="inlineStr"/>
      <c r="D11" s="15" t="inlineStr">
        <is>
          <t>Student — NSS Volunteer Leader (Female)</t>
        </is>
      </c>
      <c r="E11" s="14" t="inlineStr">
        <is>
          <t>NSS Volunteer Leader (F)</t>
        </is>
      </c>
      <c r="F11" s="16" t="inlineStr">
        <is>
          <t>NSS Female Volunteer Coordination</t>
        </is>
      </c>
      <c r="G11" s="15" t="inlineStr"/>
      <c r="H11" s="16" t="inlineStr"/>
      <c r="I11" s="16" t="inlineStr"/>
    </row>
    <row r="12" ht="22" customHeight="1">
      <c r="B12" s="8" t="n">
        <v>8</v>
      </c>
      <c r="C12" s="9" t="inlineStr"/>
      <c r="D12" s="9" t="inlineStr">
        <is>
          <t>Student — NCC Under Officer (Male)</t>
        </is>
      </c>
      <c r="E12" s="8" t="inlineStr">
        <is>
          <t>NCC Cadet Captain (M)</t>
        </is>
      </c>
      <c r="F12" s="10" t="inlineStr">
        <is>
          <t>NCC Male Cadet Coordination</t>
        </is>
      </c>
      <c r="G12" s="9" t="inlineStr"/>
      <c r="H12" s="10" t="inlineStr"/>
      <c r="I12" s="10" t="inlineStr"/>
    </row>
    <row r="13" ht="22" customHeight="1">
      <c r="B13" s="14" t="n">
        <v>9</v>
      </c>
      <c r="C13" s="15" t="inlineStr"/>
      <c r="D13" s="15" t="inlineStr">
        <is>
          <t>Student — NCC Under Officer (Female)</t>
        </is>
      </c>
      <c r="E13" s="14" t="inlineStr">
        <is>
          <t>NCC Cadet Captain (F)</t>
        </is>
      </c>
      <c r="F13" s="16" t="inlineStr">
        <is>
          <t>NCC Female Cadet Coordination</t>
        </is>
      </c>
      <c r="G13" s="15" t="inlineStr"/>
      <c r="H13" s="16" t="inlineStr"/>
      <c r="I13" s="16" t="inlineStr"/>
    </row>
    <row r="14" ht="22" customHeight="1">
      <c r="B14" s="8" t="n">
        <v>10</v>
      </c>
      <c r="C14" s="9" t="inlineStr"/>
      <c r="D14" s="9" t="inlineStr">
        <is>
          <t>Faculty (Sociology / Social Work)</t>
        </is>
      </c>
      <c r="E14" s="8" t="inlineStr">
        <is>
          <t>Faculty — Social Service</t>
        </is>
      </c>
      <c r="F14" s="10" t="inlineStr">
        <is>
          <t>Community Service &amp; Extension</t>
        </is>
      </c>
      <c r="G14" s="9" t="inlineStr"/>
      <c r="H14" s="10" t="inlineStr"/>
      <c r="I14" s="10" t="inlineStr"/>
    </row>
    <row r="15" ht="22" customHeight="1">
      <c r="B15" s="14" t="n">
        <v>11</v>
      </c>
      <c r="C15" s="15" t="inlineStr"/>
      <c r="D15" s="15" t="inlineStr">
        <is>
          <t>Campus Medical Officer / Doctor</t>
        </is>
      </c>
      <c r="E15" s="14" t="inlineStr">
        <is>
          <t>Medical Officer</t>
        </is>
      </c>
      <c r="F15" s="16" t="inlineStr">
        <is>
          <t>Health Camps &amp; First Aid</t>
        </is>
      </c>
      <c r="G15" s="15" t="inlineStr"/>
      <c r="H15" s="16" t="inlineStr"/>
      <c r="I15" s="16" t="inlineStr"/>
    </row>
    <row r="16" ht="22" customHeight="1">
      <c r="B16" s="8" t="n">
        <v>12</v>
      </c>
      <c r="C16" s="9" t="inlineStr"/>
      <c r="D16" s="9" t="inlineStr">
        <is>
          <t>External — District NSS Officer (Ex-officio)</t>
        </is>
      </c>
      <c r="E16" s="8" t="inlineStr">
        <is>
          <t>District NSS Coordinator</t>
        </is>
      </c>
      <c r="F16" s="10" t="inlineStr">
        <is>
          <t>Govt. Liaison — NSS</t>
        </is>
      </c>
      <c r="G16" s="9" t="inlineStr"/>
      <c r="H16" s="10" t="inlineStr"/>
      <c r="I16" s="10" t="inlineStr"/>
    </row>
    <row r="17" ht="22" customHeight="1">
      <c r="B17" s="14" t="n">
        <v>13</v>
      </c>
      <c r="C17" s="15" t="inlineStr"/>
      <c r="D17" s="15" t="inlineStr">
        <is>
          <t>External — NCC District HQ Rep (Ex-officio)</t>
        </is>
      </c>
      <c r="E17" s="14" t="inlineStr">
        <is>
          <t>District NCC Liaison</t>
        </is>
      </c>
      <c r="F17" s="16" t="inlineStr">
        <is>
          <t>Govt. Liaison — NCC</t>
        </is>
      </c>
      <c r="G17" s="15" t="inlineStr"/>
      <c r="H17" s="16" t="inlineStr"/>
      <c r="I17" s="16" t="inlineStr"/>
    </row>
    <row r="18" ht="22" customHeight="1">
      <c r="B18" s="8" t="n">
        <v>14</v>
      </c>
      <c r="C18" s="9" t="inlineStr"/>
      <c r="D18" s="9" t="inlineStr">
        <is>
          <t>IQAC In-charge</t>
        </is>
      </c>
      <c r="E18" s="8" t="inlineStr">
        <is>
          <t>IQAC Coordinator (Ex-off.)</t>
        </is>
      </c>
      <c r="F18" s="10" t="inlineStr">
        <is>
          <t>Quality &amp; Accreditation</t>
        </is>
      </c>
      <c r="G18" s="9" t="inlineStr"/>
      <c r="H18" s="10" t="inlineStr"/>
      <c r="I18" s="10" t="inlineStr"/>
    </row>
    <row r="19" ht="22" customHeight="1">
      <c r="B19" s="14" t="n">
        <v>15</v>
      </c>
      <c r="C19" s="15" t="inlineStr"/>
      <c r="D19" s="15" t="inlineStr">
        <is>
          <t>Finance Officer</t>
        </is>
      </c>
      <c r="E19" s="14" t="inlineStr">
        <is>
          <t>Finance Officer (Ex-off.)</t>
        </is>
      </c>
      <c r="F19" s="16" t="inlineStr">
        <is>
          <t>NSS/NCC Budget Management</t>
        </is>
      </c>
      <c r="G19" s="15" t="inlineStr"/>
      <c r="H19" s="16" t="inlineStr"/>
      <c r="I19" s="16" t="inlineStr"/>
    </row>
    <row r="20" ht="22" customHeight="1"/>
    <row r="21" ht="20" customHeight="1">
      <c r="B21" s="17" t="inlineStr">
        <is>
          <t>NSS PO and NCC ANO appointments are made by State/District authority — not by the institution. Maintain appointment orders. Committee meets quarterly minimum.</t>
        </is>
      </c>
    </row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</sheetData>
  <mergeCells count="3">
    <mergeCell ref="B3:I3"/>
    <mergeCell ref="B21:I21"/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44" customWidth="1" min="3" max="3"/>
    <col width="22" customWidth="1" min="4" max="4"/>
    <col width="18" customWidth="1" min="5" max="5"/>
    <col width="3" customWidth="1" min="6" max="6"/>
  </cols>
  <sheetData>
    <row r="1" ht="10" customHeight="1"/>
    <row r="2" ht="48" customHeight="1">
      <c r="B2" s="12" t="inlineStr">
        <is>
          <t>NSS/NCC COMMITTEE: MEETING NOTICE &amp; AGENDA</t>
        </is>
      </c>
    </row>
    <row r="3" ht="22" customHeight="1">
      <c r="B3" s="18" t="inlineStr">
        <is>
          <t>Meeting No.:</t>
        </is>
      </c>
      <c r="C3" s="9" t="n"/>
      <c r="D3" s="82" t="n"/>
      <c r="E3" s="83" t="n"/>
    </row>
    <row r="4" ht="22" customHeight="1">
      <c r="B4" s="18" t="inlineStr">
        <is>
          <t>Academic Year:</t>
        </is>
      </c>
      <c r="C4" s="9" t="n"/>
      <c r="D4" s="82" t="n"/>
      <c r="E4" s="83" t="n"/>
    </row>
    <row r="5" ht="22" customHeight="1">
      <c r="B5" s="18" t="inlineStr">
        <is>
          <t>Date:</t>
        </is>
      </c>
      <c r="C5" s="9" t="n"/>
      <c r="D5" s="82" t="n"/>
      <c r="E5" s="83" t="n"/>
    </row>
    <row r="6" ht="22" customHeight="1">
      <c r="B6" s="18" t="inlineStr">
        <is>
          <t>Time:</t>
        </is>
      </c>
      <c r="C6" s="9" t="n"/>
      <c r="D6" s="82" t="n"/>
      <c r="E6" s="83" t="n"/>
    </row>
    <row r="7" ht="22" customHeight="1">
      <c r="B7" s="18" t="inlineStr">
        <is>
          <t>Venue:</t>
        </is>
      </c>
      <c r="C7" s="9" t="n"/>
      <c r="D7" s="82" t="n"/>
      <c r="E7" s="83" t="n"/>
    </row>
    <row r="8" ht="22" customHeight="1">
      <c r="B8" s="18" t="inlineStr">
        <is>
          <t>Mode:</t>
        </is>
      </c>
      <c r="C8" s="9" t="n"/>
      <c r="D8" s="82" t="n"/>
      <c r="E8" s="83" t="n"/>
    </row>
    <row r="9" ht="22" customHeight="1">
      <c r="B9" s="18" t="inlineStr">
        <is>
          <t>Notice by:</t>
        </is>
      </c>
      <c r="C9" s="9" t="n"/>
      <c r="D9" s="82" t="n"/>
      <c r="E9" s="83" t="n"/>
    </row>
    <row r="10" ht="22" customHeight="1">
      <c r="B10" s="18" t="inlineStr">
        <is>
          <t>Notice Date:</t>
        </is>
      </c>
      <c r="C10" s="9" t="n"/>
      <c r="D10" s="82" t="n"/>
      <c r="E10" s="83" t="n"/>
    </row>
    <row r="11" ht="24" customHeight="1">
      <c r="B11" s="19" t="inlineStr">
        <is>
          <t>AGENDA ITEMS</t>
        </is>
      </c>
    </row>
    <row r="12" ht="24" customHeight="1">
      <c r="B12" s="13" t="inlineStr">
        <is>
          <t>Item
No.</t>
        </is>
      </c>
      <c r="C12" s="13" t="inlineStr">
        <is>
          <t>Agenda Item</t>
        </is>
      </c>
      <c r="D12" s="13" t="inlineStr">
        <is>
          <t>Lead</t>
        </is>
      </c>
      <c r="E12" s="13" t="inlineStr">
        <is>
          <t>Duration (Min)</t>
        </is>
      </c>
    </row>
    <row r="13" ht="24" customHeight="1">
      <c r="B13" s="14" t="n">
        <v>1</v>
      </c>
      <c r="C13" s="15" t="inlineStr">
        <is>
          <t>Confirmation of minutes of previous NNCC meeting</t>
        </is>
      </c>
      <c r="D13" s="16" t="inlineStr"/>
      <c r="E13" s="16" t="inlineStr"/>
    </row>
    <row r="14" ht="24" customHeight="1">
      <c r="B14" s="8" t="n">
        <v>2</v>
      </c>
      <c r="C14" s="9" t="inlineStr">
        <is>
          <t>Action Taken Report on previous resolutions</t>
        </is>
      </c>
      <c r="D14" s="10" t="inlineStr"/>
      <c r="E14" s="10" t="inlineStr"/>
    </row>
    <row r="15" ht="24" customHeight="1">
      <c r="B15" s="14" t="n">
        <v>3</v>
      </c>
      <c r="C15" s="15" t="inlineStr">
        <is>
          <t>NSS — volunteer enrolment and attendance status</t>
        </is>
      </c>
      <c r="D15" s="16" t="inlineStr"/>
      <c r="E15" s="16" t="inlineStr"/>
    </row>
    <row r="16" ht="24" customHeight="1">
      <c r="B16" s="8" t="n">
        <v>4</v>
      </c>
      <c r="C16" s="9" t="inlineStr">
        <is>
          <t>NSS — regular activity report (last quarter)</t>
        </is>
      </c>
      <c r="D16" s="10" t="inlineStr"/>
      <c r="E16" s="10" t="inlineStr"/>
    </row>
    <row r="17" ht="24" customHeight="1">
      <c r="B17" s="14" t="n">
        <v>5</v>
      </c>
      <c r="C17" s="15" t="inlineStr">
        <is>
          <t>NSS — special camp planning / post-camp report</t>
        </is>
      </c>
      <c r="D17" s="16" t="inlineStr"/>
      <c r="E17" s="16" t="inlineStr"/>
    </row>
    <row r="18" ht="24" customHeight="1">
      <c r="B18" s="8" t="n">
        <v>6</v>
      </c>
      <c r="C18" s="9" t="inlineStr">
        <is>
          <t>NSS — community service and village adoption update</t>
        </is>
      </c>
      <c r="D18" s="10" t="inlineStr"/>
      <c r="E18" s="10" t="inlineStr"/>
    </row>
    <row r="19" ht="24" customHeight="1">
      <c r="B19" s="14" t="n">
        <v>7</v>
      </c>
      <c r="C19" s="15" t="inlineStr">
        <is>
          <t>NSS — Swachh Bharat, health, blood donation activities</t>
        </is>
      </c>
      <c r="D19" s="16" t="inlineStr"/>
      <c r="E19" s="16" t="inlineStr"/>
    </row>
    <row r="20" ht="24" customHeight="1">
      <c r="B20" s="8" t="n">
        <v>8</v>
      </c>
      <c r="C20" s="9" t="inlineStr">
        <is>
          <t>NSS — volunteer hour tracking — completion status</t>
        </is>
      </c>
      <c r="D20" s="10" t="inlineStr"/>
      <c r="E20" s="10" t="inlineStr"/>
    </row>
    <row r="21" ht="24" customHeight="1">
      <c r="B21" s="14" t="n">
        <v>9</v>
      </c>
      <c r="C21" s="15" t="inlineStr">
        <is>
          <t>NSS — state/national award nominations</t>
        </is>
      </c>
      <c r="D21" s="16" t="inlineStr"/>
      <c r="E21" s="16" t="inlineStr"/>
    </row>
    <row r="22" ht="24" customHeight="1">
      <c r="B22" s="8" t="n">
        <v>10</v>
      </c>
      <c r="C22" s="9" t="inlineStr">
        <is>
          <t>NSS — monthly report to Regional Director status</t>
        </is>
      </c>
      <c r="D22" s="10" t="inlineStr"/>
      <c r="E22" s="10" t="inlineStr"/>
    </row>
    <row r="23" ht="24" customHeight="1">
      <c r="B23" s="14" t="n">
        <v>11</v>
      </c>
      <c r="C23" s="15" t="inlineStr">
        <is>
          <t>NCC — cadet strength, parade attendance</t>
        </is>
      </c>
      <c r="D23" s="16" t="inlineStr"/>
      <c r="E23" s="16" t="inlineStr"/>
    </row>
    <row r="24" ht="24" customHeight="1">
      <c r="B24" s="8" t="n">
        <v>12</v>
      </c>
      <c r="C24" s="9" t="inlineStr">
        <is>
          <t>NCC — camp schedule (ATC, CATC, RDC etc.)</t>
        </is>
      </c>
      <c r="D24" s="10" t="inlineStr"/>
      <c r="E24" s="10" t="inlineStr"/>
    </row>
    <row r="25" ht="24" customHeight="1">
      <c r="B25" s="14" t="n">
        <v>13</v>
      </c>
      <c r="C25" s="15" t="inlineStr">
        <is>
          <t>NCC — B/C certificate examination preparation</t>
        </is>
      </c>
      <c r="D25" s="16" t="inlineStr"/>
      <c r="E25" s="16" t="inlineStr"/>
    </row>
    <row r="26" ht="24" customHeight="1">
      <c r="B26" s="8" t="n">
        <v>14</v>
      </c>
      <c r="C26" s="9" t="inlineStr">
        <is>
          <t>NCC — shooting, trekking, adventure activities</t>
        </is>
      </c>
      <c r="D26" s="10" t="inlineStr"/>
      <c r="E26" s="10" t="inlineStr"/>
    </row>
    <row r="27" ht="24" customHeight="1">
      <c r="B27" s="14" t="n">
        <v>15</v>
      </c>
      <c r="C27" s="15" t="inlineStr">
        <is>
          <t>NCC — state/national award nominations</t>
        </is>
      </c>
      <c r="D27" s="16" t="inlineStr"/>
      <c r="E27" s="16" t="inlineStr"/>
    </row>
    <row r="28" ht="24" customHeight="1">
      <c r="B28" s="8" t="n">
        <v>16</v>
      </c>
      <c r="C28" s="9" t="inlineStr">
        <is>
          <t>Joint activities — NSS &amp; NCC collaboration</t>
        </is>
      </c>
      <c r="D28" s="10" t="inlineStr"/>
      <c r="E28" s="10" t="inlineStr"/>
    </row>
    <row r="29" ht="24" customHeight="1">
      <c r="B29" s="14" t="n">
        <v>17</v>
      </c>
      <c r="C29" s="15" t="inlineStr">
        <is>
          <t>Republic Day / Independence Day preparation</t>
        </is>
      </c>
      <c r="D29" s="16" t="inlineStr"/>
      <c r="E29" s="16" t="inlineStr"/>
    </row>
    <row r="30" ht="24" customHeight="1">
      <c r="B30" s="8" t="n">
        <v>18</v>
      </c>
      <c r="C30" s="9" t="inlineStr">
        <is>
          <t>Budget review — NSS and NCC expenditure</t>
        </is>
      </c>
      <c r="D30" s="10" t="inlineStr"/>
      <c r="E30" s="10" t="inlineStr"/>
    </row>
    <row r="31" ht="24" customHeight="1">
      <c r="B31" s="14" t="n">
        <v>19</v>
      </c>
      <c r="C31" s="15" t="inlineStr">
        <is>
          <t>NAAC / NIRF social outreach data — compilation</t>
        </is>
      </c>
      <c r="D31" s="16" t="inlineStr"/>
      <c r="E31" s="16" t="inlineStr"/>
    </row>
    <row r="32" ht="24" customHeight="1">
      <c r="B32" s="8" t="n">
        <v>20</v>
      </c>
      <c r="C32" s="9" t="inlineStr">
        <is>
          <t>Any Other Matter with Permission of Chairperson (AOMPC)</t>
        </is>
      </c>
      <c r="D32" s="10" t="inlineStr"/>
      <c r="E32" s="10" t="inlineStr"/>
    </row>
    <row r="33" ht="24" customHeight="1"/>
    <row r="34" ht="24" customHeight="1">
      <c r="B34" s="20" t="inlineStr">
        <is>
          <t>DISPATCH RECORD</t>
        </is>
      </c>
    </row>
    <row r="35" ht="24" customHeight="1">
      <c r="B35" s="21" t="inlineStr">
        <is>
          <t>Sl.</t>
        </is>
      </c>
      <c r="C35" s="21" t="inlineStr">
        <is>
          <t>Member Name &amp; Role</t>
        </is>
      </c>
      <c r="D35" s="21" t="inlineStr">
        <is>
          <t>Mode</t>
        </is>
      </c>
      <c r="E35" s="21" t="inlineStr">
        <is>
          <t>Date &amp; Acknowledgement</t>
        </is>
      </c>
    </row>
    <row r="36" ht="22" customHeight="1">
      <c r="B36" s="22" t="n"/>
      <c r="C36" s="22" t="n"/>
      <c r="D36" s="22" t="n"/>
      <c r="E36" s="22" t="n"/>
    </row>
    <row r="37" ht="22" customHeight="1">
      <c r="B37" s="10" t="n"/>
      <c r="C37" s="10" t="n"/>
      <c r="D37" s="10" t="n"/>
      <c r="E37" s="10" t="n"/>
    </row>
    <row r="38" ht="22" customHeight="1">
      <c r="B38" s="22" t="n"/>
      <c r="C38" s="22" t="n"/>
      <c r="D38" s="22" t="n"/>
      <c r="E38" s="22" t="n"/>
    </row>
    <row r="39" ht="22" customHeight="1">
      <c r="B39" s="10" t="n"/>
      <c r="C39" s="10" t="n"/>
      <c r="D39" s="10" t="n"/>
      <c r="E39" s="10" t="n"/>
    </row>
  </sheetData>
  <mergeCells count="11">
    <mergeCell ref="C5:E5"/>
    <mergeCell ref="C8:E8"/>
    <mergeCell ref="C9:E9"/>
    <mergeCell ref="C4:E4"/>
    <mergeCell ref="C3:E3"/>
    <mergeCell ref="B11:E11"/>
    <mergeCell ref="B2:E2"/>
    <mergeCell ref="B34:E34"/>
    <mergeCell ref="C7:E7"/>
    <mergeCell ref="C6:E6"/>
    <mergeCell ref="C10:E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I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6" customWidth="1" min="3" max="3"/>
    <col width="20" customWidth="1" min="4" max="4"/>
    <col width="14" customWidth="1" min="5" max="5"/>
    <col width="12" customWidth="1" min="6" max="6"/>
    <col width="12" customWidth="1" min="7" max="7"/>
    <col width="16" customWidth="1" min="8" max="8"/>
    <col width="14" customWidth="1" min="9" max="9"/>
    <col width="3" customWidth="1" min="10" max="10"/>
  </cols>
  <sheetData>
    <row r="1" ht="10" customHeight="1"/>
    <row r="2" ht="48" customHeight="1">
      <c r="B2" s="12" t="inlineStr">
        <is>
          <t>NSS/NCC COMMITTEE: ATTENDANCE &amp; QUORUM REGISTER</t>
        </is>
      </c>
    </row>
    <row r="3" ht="25" customHeight="1">
      <c r="B3" s="2" t="inlineStr">
        <is>
          <t>Meeting No.: _______  Date: _______  Total Strength: _______  Quorum Required (50%): _______</t>
        </is>
      </c>
    </row>
    <row r="4" ht="25" customHeight="1">
      <c r="B4" s="13" t="inlineStr">
        <is>
          <t>Sl.</t>
        </is>
      </c>
      <c r="C4" s="13" t="inlineStr">
        <is>
          <t>Name</t>
        </is>
      </c>
      <c r="D4" s="13" t="inlineStr">
        <is>
          <t>Role</t>
        </is>
      </c>
      <c r="E4" s="13" t="inlineStr">
        <is>
          <t>Mode
(Physical/VC)</t>
        </is>
      </c>
      <c r="F4" s="13" t="inlineStr">
        <is>
          <t>Present
(P/A)</t>
        </is>
      </c>
      <c r="G4" s="13" t="inlineStr">
        <is>
          <t>Proxy
(Y/N)</t>
        </is>
      </c>
      <c r="H4" s="13" t="inlineStr">
        <is>
          <t>Proxy Holder</t>
        </is>
      </c>
      <c r="I4" s="13" t="inlineStr">
        <is>
          <t>Signature</t>
        </is>
      </c>
    </row>
    <row r="5" ht="22" customHeight="1">
      <c r="B5" s="14" t="n">
        <v>1</v>
      </c>
      <c r="C5" s="15" t="inlineStr"/>
      <c r="D5" s="15" t="inlineStr"/>
      <c r="E5" s="16" t="inlineStr">
        <is>
          <t>Physical</t>
        </is>
      </c>
      <c r="F5" s="16" t="inlineStr"/>
      <c r="G5" s="16" t="inlineStr">
        <is>
          <t>N</t>
        </is>
      </c>
      <c r="H5" s="16" t="inlineStr"/>
      <c r="I5" s="16" t="inlineStr"/>
    </row>
    <row r="6" ht="22" customHeight="1">
      <c r="B6" s="8" t="n">
        <v>2</v>
      </c>
      <c r="C6" s="9" t="inlineStr"/>
      <c r="D6" s="9" t="inlineStr"/>
      <c r="E6" s="10" t="inlineStr">
        <is>
          <t>Physical</t>
        </is>
      </c>
      <c r="F6" s="10" t="inlineStr"/>
      <c r="G6" s="10" t="inlineStr">
        <is>
          <t>N</t>
        </is>
      </c>
      <c r="H6" s="10" t="inlineStr"/>
      <c r="I6" s="10" t="inlineStr"/>
    </row>
    <row r="7" ht="22" customHeight="1">
      <c r="B7" s="14" t="n">
        <v>3</v>
      </c>
      <c r="C7" s="15" t="inlineStr"/>
      <c r="D7" s="15" t="inlineStr"/>
      <c r="E7" s="16" t="inlineStr">
        <is>
          <t>Physical</t>
        </is>
      </c>
      <c r="F7" s="16" t="inlineStr"/>
      <c r="G7" s="16" t="inlineStr">
        <is>
          <t>N</t>
        </is>
      </c>
      <c r="H7" s="16" t="inlineStr"/>
      <c r="I7" s="16" t="inlineStr"/>
    </row>
    <row r="8" ht="22" customHeight="1">
      <c r="B8" s="8" t="n">
        <v>4</v>
      </c>
      <c r="C8" s="9" t="inlineStr"/>
      <c r="D8" s="9" t="inlineStr"/>
      <c r="E8" s="10" t="inlineStr">
        <is>
          <t>Physical</t>
        </is>
      </c>
      <c r="F8" s="10" t="inlineStr"/>
      <c r="G8" s="10" t="inlineStr">
        <is>
          <t>N</t>
        </is>
      </c>
      <c r="H8" s="10" t="inlineStr"/>
      <c r="I8" s="10" t="inlineStr"/>
    </row>
    <row r="9" ht="22" customHeight="1">
      <c r="B9" s="14" t="n">
        <v>5</v>
      </c>
      <c r="C9" s="15" t="inlineStr"/>
      <c r="D9" s="15" t="inlineStr"/>
      <c r="E9" s="16" t="inlineStr">
        <is>
          <t>Physical</t>
        </is>
      </c>
      <c r="F9" s="16" t="inlineStr"/>
      <c r="G9" s="16" t="inlineStr">
        <is>
          <t>N</t>
        </is>
      </c>
      <c r="H9" s="16" t="inlineStr"/>
      <c r="I9" s="16" t="inlineStr"/>
    </row>
    <row r="10" ht="22" customHeight="1">
      <c r="B10" s="8" t="n">
        <v>6</v>
      </c>
      <c r="C10" s="9" t="inlineStr"/>
      <c r="D10" s="9" t="inlineStr"/>
      <c r="E10" s="10" t="inlineStr">
        <is>
          <t>Physical</t>
        </is>
      </c>
      <c r="F10" s="10" t="inlineStr"/>
      <c r="G10" s="10" t="inlineStr">
        <is>
          <t>N</t>
        </is>
      </c>
      <c r="H10" s="10" t="inlineStr"/>
      <c r="I10" s="10" t="inlineStr"/>
    </row>
    <row r="11" ht="22" customHeight="1">
      <c r="B11" s="14" t="n">
        <v>7</v>
      </c>
      <c r="C11" s="15" t="inlineStr"/>
      <c r="D11" s="15" t="inlineStr"/>
      <c r="E11" s="16" t="inlineStr">
        <is>
          <t>Physical</t>
        </is>
      </c>
      <c r="F11" s="16" t="inlineStr"/>
      <c r="G11" s="16" t="inlineStr">
        <is>
          <t>N</t>
        </is>
      </c>
      <c r="H11" s="16" t="inlineStr"/>
      <c r="I11" s="16" t="inlineStr"/>
    </row>
    <row r="12" ht="22" customHeight="1">
      <c r="B12" s="8" t="n">
        <v>8</v>
      </c>
      <c r="C12" s="9" t="inlineStr"/>
      <c r="D12" s="9" t="inlineStr"/>
      <c r="E12" s="10" t="inlineStr">
        <is>
          <t>Physical</t>
        </is>
      </c>
      <c r="F12" s="10" t="inlineStr"/>
      <c r="G12" s="10" t="inlineStr">
        <is>
          <t>N</t>
        </is>
      </c>
      <c r="H12" s="10" t="inlineStr"/>
      <c r="I12" s="10" t="inlineStr"/>
    </row>
    <row r="13" ht="22" customHeight="1">
      <c r="B13" s="14" t="n">
        <v>9</v>
      </c>
      <c r="C13" s="15" t="inlineStr"/>
      <c r="D13" s="15" t="inlineStr"/>
      <c r="E13" s="16" t="inlineStr">
        <is>
          <t>Physical</t>
        </is>
      </c>
      <c r="F13" s="16" t="inlineStr"/>
      <c r="G13" s="16" t="inlineStr">
        <is>
          <t>N</t>
        </is>
      </c>
      <c r="H13" s="16" t="inlineStr"/>
      <c r="I13" s="16" t="inlineStr"/>
    </row>
    <row r="14" ht="22" customHeight="1">
      <c r="B14" s="8" t="n">
        <v>10</v>
      </c>
      <c r="C14" s="9" t="inlineStr"/>
      <c r="D14" s="9" t="inlineStr"/>
      <c r="E14" s="10" t="inlineStr">
        <is>
          <t>Physical</t>
        </is>
      </c>
      <c r="F14" s="10" t="inlineStr"/>
      <c r="G14" s="10" t="inlineStr">
        <is>
          <t>N</t>
        </is>
      </c>
      <c r="H14" s="10" t="inlineStr"/>
      <c r="I14" s="10" t="inlineStr"/>
    </row>
    <row r="15" ht="22" customHeight="1">
      <c r="B15" s="14" t="n">
        <v>11</v>
      </c>
      <c r="C15" s="15" t="inlineStr"/>
      <c r="D15" s="15" t="inlineStr"/>
      <c r="E15" s="16" t="inlineStr">
        <is>
          <t>Physical</t>
        </is>
      </c>
      <c r="F15" s="16" t="inlineStr"/>
      <c r="G15" s="16" t="inlineStr">
        <is>
          <t>N</t>
        </is>
      </c>
      <c r="H15" s="16" t="inlineStr"/>
      <c r="I15" s="16" t="inlineStr"/>
    </row>
    <row r="16" ht="22" customHeight="1">
      <c r="B16" s="8" t="n">
        <v>12</v>
      </c>
      <c r="C16" s="9" t="inlineStr"/>
      <c r="D16" s="9" t="inlineStr"/>
      <c r="E16" s="10" t="inlineStr">
        <is>
          <t>Physical</t>
        </is>
      </c>
      <c r="F16" s="10" t="inlineStr"/>
      <c r="G16" s="10" t="inlineStr">
        <is>
          <t>N</t>
        </is>
      </c>
      <c r="H16" s="10" t="inlineStr"/>
      <c r="I16" s="10" t="inlineStr"/>
    </row>
    <row r="17" ht="22" customHeight="1">
      <c r="B17" s="14" t="n">
        <v>13</v>
      </c>
      <c r="C17" s="15" t="inlineStr"/>
      <c r="D17" s="15" t="inlineStr"/>
      <c r="E17" s="16" t="inlineStr">
        <is>
          <t>Physical</t>
        </is>
      </c>
      <c r="F17" s="16" t="inlineStr"/>
      <c r="G17" s="16" t="inlineStr">
        <is>
          <t>N</t>
        </is>
      </c>
      <c r="H17" s="16" t="inlineStr"/>
      <c r="I17" s="16" t="inlineStr"/>
    </row>
    <row r="18" ht="22" customHeight="1">
      <c r="B18" s="8" t="n">
        <v>14</v>
      </c>
      <c r="C18" s="9" t="inlineStr"/>
      <c r="D18" s="9" t="inlineStr"/>
      <c r="E18" s="10" t="inlineStr">
        <is>
          <t>Physical</t>
        </is>
      </c>
      <c r="F18" s="10" t="inlineStr"/>
      <c r="G18" s="10" t="inlineStr">
        <is>
          <t>N</t>
        </is>
      </c>
      <c r="H18" s="10" t="inlineStr"/>
      <c r="I18" s="10" t="inlineStr"/>
    </row>
    <row r="19" ht="22" customHeight="1">
      <c r="B19" s="14" t="n">
        <v>15</v>
      </c>
      <c r="C19" s="15" t="inlineStr"/>
      <c r="D19" s="15" t="inlineStr"/>
      <c r="E19" s="16" t="inlineStr">
        <is>
          <t>Physical</t>
        </is>
      </c>
      <c r="F19" s="16" t="inlineStr"/>
      <c r="G19" s="16" t="inlineStr">
        <is>
          <t>N</t>
        </is>
      </c>
      <c r="H19" s="16" t="inlineStr"/>
      <c r="I19" s="16" t="inlineStr"/>
    </row>
    <row r="20" ht="22" customHeight="1">
      <c r="B20" s="8" t="n">
        <v>16</v>
      </c>
      <c r="C20" s="9" t="inlineStr"/>
      <c r="D20" s="9" t="inlineStr"/>
      <c r="E20" s="10" t="inlineStr">
        <is>
          <t>Physical</t>
        </is>
      </c>
      <c r="F20" s="10" t="inlineStr"/>
      <c r="G20" s="10" t="inlineStr">
        <is>
          <t>N</t>
        </is>
      </c>
      <c r="H20" s="10" t="inlineStr"/>
      <c r="I20" s="10" t="inlineStr"/>
    </row>
    <row r="21" ht="22" customHeight="1">
      <c r="B21" s="14" t="n">
        <v>17</v>
      </c>
      <c r="C21" s="15" t="inlineStr"/>
      <c r="D21" s="15" t="inlineStr"/>
      <c r="E21" s="16" t="inlineStr">
        <is>
          <t>Physical</t>
        </is>
      </c>
      <c r="F21" s="16" t="inlineStr"/>
      <c r="G21" s="16" t="inlineStr">
        <is>
          <t>N</t>
        </is>
      </c>
      <c r="H21" s="16" t="inlineStr"/>
      <c r="I21" s="16" t="inlineStr"/>
    </row>
    <row r="22" ht="22" customHeight="1"/>
    <row r="23" ht="24" customHeight="1">
      <c r="B23" s="20" t="inlineStr">
        <is>
          <t>QUORUM VERIFICATION</t>
        </is>
      </c>
    </row>
    <row r="24" ht="22" customHeight="1">
      <c r="B24" s="23" t="inlineStr">
        <is>
          <t>Total NNCC Members</t>
        </is>
      </c>
      <c r="C24" s="82" t="n"/>
      <c r="D24" s="82" t="n"/>
      <c r="E24" s="82" t="n"/>
      <c r="F24" s="83" t="n"/>
      <c r="G24" s="24" t="inlineStr"/>
      <c r="H24" s="82" t="n"/>
      <c r="I24" s="83" t="n"/>
    </row>
    <row r="25" ht="22" customHeight="1">
      <c r="B25" s="25" t="inlineStr">
        <is>
          <t>Present (Physical)</t>
        </is>
      </c>
      <c r="C25" s="82" t="n"/>
      <c r="D25" s="82" t="n"/>
      <c r="E25" s="82" t="n"/>
      <c r="F25" s="83" t="n"/>
      <c r="G25" s="24">
        <f>COUNTIF(F5:F21,"P")</f>
        <v/>
      </c>
      <c r="H25" s="82" t="n"/>
      <c r="I25" s="83" t="n"/>
    </row>
    <row r="26" ht="22" customHeight="1">
      <c r="B26" s="23" t="inlineStr">
        <is>
          <t>Present (VC)</t>
        </is>
      </c>
      <c r="C26" s="82" t="n"/>
      <c r="D26" s="82" t="n"/>
      <c r="E26" s="82" t="n"/>
      <c r="F26" s="83" t="n"/>
      <c r="G26" s="24" t="inlineStr"/>
      <c r="H26" s="82" t="n"/>
      <c r="I26" s="83" t="n"/>
    </row>
    <row r="27" ht="22" customHeight="1">
      <c r="B27" s="25" t="inlineStr">
        <is>
          <t>Total Effective</t>
        </is>
      </c>
      <c r="C27" s="82" t="n"/>
      <c r="D27" s="82" t="n"/>
      <c r="E27" s="82" t="n"/>
      <c r="F27" s="83" t="n"/>
      <c r="G27" s="24">
        <f>IFERROR(C25+C26,"")</f>
        <v/>
      </c>
      <c r="H27" s="82" t="n"/>
      <c r="I27" s="83" t="n"/>
    </row>
    <row r="28" ht="22" customHeight="1">
      <c r="B28" s="23" t="inlineStr">
        <is>
          <t>Quorum Required (50%)</t>
        </is>
      </c>
      <c r="C28" s="82" t="n"/>
      <c r="D28" s="82" t="n"/>
      <c r="E28" s="82" t="n"/>
      <c r="F28" s="83" t="n"/>
      <c r="G28" s="24" t="inlineStr"/>
      <c r="H28" s="82" t="n"/>
      <c r="I28" s="83" t="n"/>
    </row>
    <row r="29" ht="22" customHeight="1">
      <c r="B29" s="25" t="inlineStr">
        <is>
          <t>Quorum Achieved?</t>
        </is>
      </c>
      <c r="C29" s="82" t="n"/>
      <c r="D29" s="82" t="n"/>
      <c r="E29" s="82" t="n"/>
      <c r="F29" s="83" t="n"/>
      <c r="G29" s="26">
        <f>IFERROR(IF(C27&gt;=C28,"YES — Meeting Valid","NO — Adjourned"),"")</f>
        <v/>
      </c>
      <c r="H29" s="82" t="n"/>
      <c r="I29" s="83" t="n"/>
    </row>
  </sheetData>
  <mergeCells count="15">
    <mergeCell ref="G24:I24"/>
    <mergeCell ref="B29:F29"/>
    <mergeCell ref="G28:I28"/>
    <mergeCell ref="B24:F24"/>
    <mergeCell ref="G27:I27"/>
    <mergeCell ref="B2:I2"/>
    <mergeCell ref="B25:F25"/>
    <mergeCell ref="B28:F28"/>
    <mergeCell ref="B3:I3"/>
    <mergeCell ref="G26:I26"/>
    <mergeCell ref="B23:I23"/>
    <mergeCell ref="G29:I29"/>
    <mergeCell ref="B26:F26"/>
    <mergeCell ref="B27:F27"/>
    <mergeCell ref="G25:I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38" customWidth="1" min="3" max="3"/>
    <col width="18" customWidth="1" min="4" max="4"/>
    <col width="12" customWidth="1" min="5" max="5"/>
    <col width="14" customWidth="1" min="6" max="6"/>
    <col width="14" customWidth="1" min="7" max="7"/>
    <col width="3" customWidth="1" min="8" max="8"/>
  </cols>
  <sheetData>
    <row r="1" ht="10" customHeight="1"/>
    <row r="2" ht="48" customHeight="1">
      <c r="B2" s="12" t="inlineStr">
        <is>
          <t>NSS/NCC COMMITTEE: MEETING MINUTES &amp; RESOLUTIONS</t>
        </is>
      </c>
    </row>
    <row r="3" ht="25" customHeight="1">
      <c r="B3" s="2" t="inlineStr">
        <is>
          <t>Meeting No.: _______  Date: _______  Venue: _______  Chairperson: ___________________</t>
        </is>
      </c>
    </row>
    <row r="4" ht="24" customHeight="1">
      <c r="B4" s="27" t="inlineStr">
        <is>
          <t>DISCUSSION &amp; RESOLUTIONS</t>
        </is>
      </c>
    </row>
    <row r="5" ht="30" customHeight="1">
      <c r="B5" s="28" t="inlineStr">
        <is>
          <t>Resolution
No.</t>
        </is>
      </c>
      <c r="C5" s="28" t="inlineStr">
        <is>
          <t>Discussion &amp; Resolution</t>
        </is>
      </c>
      <c r="D5" s="28" t="inlineStr">
        <is>
          <t>Responsible</t>
        </is>
      </c>
      <c r="E5" s="28" t="inlineStr">
        <is>
          <t>Voting</t>
        </is>
      </c>
      <c r="F5" s="28" t="inlineStr">
        <is>
          <t>Target
Date</t>
        </is>
      </c>
      <c r="G5" s="28" t="inlineStr">
        <is>
          <t>Status</t>
        </is>
      </c>
    </row>
    <row r="6" ht="30" customHeight="1">
      <c r="B6" s="14" t="inlineStr">
        <is>
          <t>NNCC/RES/001</t>
        </is>
      </c>
      <c r="C6" s="15" t="inlineStr"/>
      <c r="D6" s="16" t="inlineStr"/>
      <c r="E6" s="16" t="inlineStr"/>
      <c r="F6" s="16" t="inlineStr"/>
      <c r="G6" s="16" t="inlineStr">
        <is>
          <t>Pending</t>
        </is>
      </c>
    </row>
    <row r="7" ht="30" customHeight="1">
      <c r="B7" s="8" t="inlineStr">
        <is>
          <t>NNCC/RES/002</t>
        </is>
      </c>
      <c r="C7" s="9" t="inlineStr"/>
      <c r="D7" s="10" t="inlineStr"/>
      <c r="E7" s="10" t="inlineStr"/>
      <c r="F7" s="10" t="inlineStr"/>
      <c r="G7" s="10" t="inlineStr">
        <is>
          <t>Pending</t>
        </is>
      </c>
    </row>
    <row r="8" ht="30" customHeight="1">
      <c r="B8" s="14" t="inlineStr">
        <is>
          <t>NNCC/RES/003</t>
        </is>
      </c>
      <c r="C8" s="15" t="inlineStr"/>
      <c r="D8" s="16" t="inlineStr"/>
      <c r="E8" s="16" t="inlineStr"/>
      <c r="F8" s="16" t="inlineStr"/>
      <c r="G8" s="16" t="inlineStr">
        <is>
          <t>Pending</t>
        </is>
      </c>
    </row>
    <row r="9" ht="30" customHeight="1">
      <c r="B9" s="8" t="inlineStr">
        <is>
          <t>NNCC/RES/004</t>
        </is>
      </c>
      <c r="C9" s="9" t="inlineStr"/>
      <c r="D9" s="10" t="inlineStr"/>
      <c r="E9" s="10" t="inlineStr"/>
      <c r="F9" s="10" t="inlineStr"/>
      <c r="G9" s="10" t="inlineStr">
        <is>
          <t>Pending</t>
        </is>
      </c>
    </row>
    <row r="10" ht="30" customHeight="1">
      <c r="B10" s="14" t="inlineStr">
        <is>
          <t>NNCC/RES/005</t>
        </is>
      </c>
      <c r="C10" s="15" t="inlineStr"/>
      <c r="D10" s="16" t="inlineStr"/>
      <c r="E10" s="16" t="inlineStr"/>
      <c r="F10" s="16" t="inlineStr"/>
      <c r="G10" s="16" t="inlineStr">
        <is>
          <t>Pending</t>
        </is>
      </c>
    </row>
    <row r="11" ht="30" customHeight="1">
      <c r="B11" s="8" t="inlineStr">
        <is>
          <t>NNCC/RES/006</t>
        </is>
      </c>
      <c r="C11" s="9" t="inlineStr"/>
      <c r="D11" s="10" t="inlineStr"/>
      <c r="E11" s="10" t="inlineStr"/>
      <c r="F11" s="10" t="inlineStr"/>
      <c r="G11" s="10" t="inlineStr">
        <is>
          <t>Pending</t>
        </is>
      </c>
    </row>
    <row r="12" ht="30" customHeight="1">
      <c r="B12" s="14" t="inlineStr">
        <is>
          <t>NNCC/RES/007</t>
        </is>
      </c>
      <c r="C12" s="15" t="inlineStr"/>
      <c r="D12" s="16" t="inlineStr"/>
      <c r="E12" s="16" t="inlineStr"/>
      <c r="F12" s="16" t="inlineStr"/>
      <c r="G12" s="16" t="inlineStr">
        <is>
          <t>Pending</t>
        </is>
      </c>
    </row>
    <row r="13" ht="30" customHeight="1">
      <c r="B13" s="8" t="inlineStr">
        <is>
          <t>NNCC/RES/008</t>
        </is>
      </c>
      <c r="C13" s="9" t="inlineStr"/>
      <c r="D13" s="10" t="inlineStr"/>
      <c r="E13" s="10" t="inlineStr"/>
      <c r="F13" s="10" t="inlineStr"/>
      <c r="G13" s="10" t="inlineStr">
        <is>
          <t>Pending</t>
        </is>
      </c>
    </row>
    <row r="14" ht="30" customHeight="1">
      <c r="B14" s="14" t="inlineStr">
        <is>
          <t>NNCC/RES/009</t>
        </is>
      </c>
      <c r="C14" s="15" t="inlineStr"/>
      <c r="D14" s="16" t="inlineStr"/>
      <c r="E14" s="16" t="inlineStr"/>
      <c r="F14" s="16" t="inlineStr"/>
      <c r="G14" s="16" t="inlineStr">
        <is>
          <t>Pending</t>
        </is>
      </c>
    </row>
    <row r="15" ht="30" customHeight="1">
      <c r="B15" s="8" t="inlineStr">
        <is>
          <t>NNCC/RES/010</t>
        </is>
      </c>
      <c r="C15" s="9" t="inlineStr"/>
      <c r="D15" s="10" t="inlineStr"/>
      <c r="E15" s="10" t="inlineStr"/>
      <c r="F15" s="10" t="inlineStr"/>
      <c r="G15" s="10" t="inlineStr">
        <is>
          <t>Pending</t>
        </is>
      </c>
    </row>
    <row r="16" ht="30" customHeight="1">
      <c r="B16" s="14" t="inlineStr">
        <is>
          <t>NNCC/RES/011</t>
        </is>
      </c>
      <c r="C16" s="15" t="inlineStr"/>
      <c r="D16" s="16" t="inlineStr"/>
      <c r="E16" s="16" t="inlineStr"/>
      <c r="F16" s="16" t="inlineStr"/>
      <c r="G16" s="16" t="inlineStr">
        <is>
          <t>Pending</t>
        </is>
      </c>
    </row>
    <row r="17" ht="30" customHeight="1">
      <c r="B17" s="8" t="inlineStr">
        <is>
          <t>NNCC/RES/012</t>
        </is>
      </c>
      <c r="C17" s="9" t="inlineStr"/>
      <c r="D17" s="10" t="inlineStr"/>
      <c r="E17" s="10" t="inlineStr"/>
      <c r="F17" s="10" t="inlineStr"/>
      <c r="G17" s="10" t="inlineStr">
        <is>
          <t>Pending</t>
        </is>
      </c>
    </row>
    <row r="18" ht="30" customHeight="1">
      <c r="B18" s="14" t="inlineStr">
        <is>
          <t>NNCC/RES/013</t>
        </is>
      </c>
      <c r="C18" s="15" t="inlineStr"/>
      <c r="D18" s="16" t="inlineStr"/>
      <c r="E18" s="16" t="inlineStr"/>
      <c r="F18" s="16" t="inlineStr"/>
      <c r="G18" s="16" t="inlineStr">
        <is>
          <t>Pending</t>
        </is>
      </c>
    </row>
    <row r="19" ht="30" customHeight="1">
      <c r="B19" s="8" t="inlineStr">
        <is>
          <t>NNCC/RES/014</t>
        </is>
      </c>
      <c r="C19" s="9" t="inlineStr"/>
      <c r="D19" s="10" t="inlineStr"/>
      <c r="E19" s="10" t="inlineStr"/>
      <c r="F19" s="10" t="inlineStr"/>
      <c r="G19" s="10" t="inlineStr">
        <is>
          <t>Pending</t>
        </is>
      </c>
    </row>
    <row r="20" ht="30" customHeight="1"/>
    <row r="21" ht="30" customHeight="1">
      <c r="B21" s="29" t="inlineStr">
        <is>
          <t>Next Meeting: _______    Chairperson: ___________________    NSS PO / NCC ANO: ___________________</t>
        </is>
      </c>
    </row>
    <row r="22" ht="30" customHeight="1"/>
    <row r="23" ht="30" customHeight="1"/>
    <row r="24" ht="30" customHeight="1"/>
  </sheetData>
  <mergeCells count="4">
    <mergeCell ref="B3:G3"/>
    <mergeCell ref="B2:G2"/>
    <mergeCell ref="B4:G4"/>
    <mergeCell ref="B21:G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H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32" customWidth="1" min="3" max="3"/>
    <col width="20" customWidth="1" min="4" max="4"/>
    <col width="16" customWidth="1" min="5" max="5"/>
    <col width="13" customWidth="1" min="6" max="6"/>
    <col width="13" customWidth="1" min="7" max="7"/>
    <col width="16" customWidth="1" min="8" max="8"/>
    <col width="3" customWidth="1" min="9" max="9"/>
  </cols>
  <sheetData>
    <row r="1" ht="10" customHeight="1"/>
    <row r="2" ht="48" customHeight="1">
      <c r="B2" s="12" t="inlineStr">
        <is>
          <t>NSS/NCC COMMITTEE: ACTION TAKEN REPORT (ATR)</t>
        </is>
      </c>
    </row>
    <row r="3" ht="25" customHeight="1">
      <c r="B3" s="2" t="inlineStr">
        <is>
          <t>Current Meeting No.: _______  Date: _______  Previous Meeting Ref.: _______</t>
        </is>
      </c>
    </row>
    <row r="4" ht="25" customHeight="1">
      <c r="B4" s="30" t="inlineStr">
        <is>
          <t>Resolution
No.</t>
        </is>
      </c>
      <c r="C4" s="30" t="inlineStr">
        <is>
          <t>Resolution / Decision</t>
        </is>
      </c>
      <c r="D4" s="30" t="inlineStr">
        <is>
          <t>Action Required</t>
        </is>
      </c>
      <c r="E4" s="30" t="inlineStr">
        <is>
          <t>Responsible</t>
        </is>
      </c>
      <c r="F4" s="30" t="inlineStr">
        <is>
          <t>Target
Date</t>
        </is>
      </c>
      <c r="G4" s="30" t="inlineStr">
        <is>
          <t>Completion
Date</t>
        </is>
      </c>
      <c r="H4" s="30" t="inlineStr">
        <is>
          <t>Status</t>
        </is>
      </c>
    </row>
    <row r="5" ht="26" customHeight="1">
      <c r="B5" s="31" t="inlineStr">
        <is>
          <t>NNCC/RES/001</t>
        </is>
      </c>
      <c r="C5" s="32" t="inlineStr"/>
      <c r="D5" s="32" t="inlineStr"/>
      <c r="E5" s="33" t="inlineStr"/>
      <c r="F5" s="33" t="inlineStr"/>
      <c r="G5" s="33" t="inlineStr"/>
      <c r="H5" s="32" t="inlineStr">
        <is>
          <t>In Progress</t>
        </is>
      </c>
    </row>
    <row r="6" ht="26" customHeight="1">
      <c r="B6" s="8" t="inlineStr">
        <is>
          <t>NNCC/RES/002</t>
        </is>
      </c>
      <c r="C6" s="9" t="inlineStr"/>
      <c r="D6" s="9" t="inlineStr"/>
      <c r="E6" s="10" t="inlineStr"/>
      <c r="F6" s="10" t="inlineStr"/>
      <c r="G6" s="10" t="inlineStr"/>
      <c r="H6" s="9" t="inlineStr">
        <is>
          <t>In Progress</t>
        </is>
      </c>
    </row>
    <row r="7" ht="26" customHeight="1">
      <c r="B7" s="31" t="inlineStr">
        <is>
          <t>NNCC/RES/003</t>
        </is>
      </c>
      <c r="C7" s="32" t="inlineStr"/>
      <c r="D7" s="32" t="inlineStr"/>
      <c r="E7" s="33" t="inlineStr"/>
      <c r="F7" s="33" t="inlineStr"/>
      <c r="G7" s="33" t="inlineStr"/>
      <c r="H7" s="32" t="inlineStr">
        <is>
          <t>In Progress</t>
        </is>
      </c>
    </row>
    <row r="8" ht="26" customHeight="1">
      <c r="B8" s="8" t="inlineStr">
        <is>
          <t>NNCC/RES/004</t>
        </is>
      </c>
      <c r="C8" s="9" t="inlineStr"/>
      <c r="D8" s="9" t="inlineStr"/>
      <c r="E8" s="10" t="inlineStr"/>
      <c r="F8" s="10" t="inlineStr"/>
      <c r="G8" s="10" t="inlineStr"/>
      <c r="H8" s="9" t="inlineStr">
        <is>
          <t>In Progress</t>
        </is>
      </c>
    </row>
    <row r="9" ht="26" customHeight="1">
      <c r="B9" s="31" t="inlineStr">
        <is>
          <t>NNCC/RES/005</t>
        </is>
      </c>
      <c r="C9" s="32" t="inlineStr"/>
      <c r="D9" s="32" t="inlineStr"/>
      <c r="E9" s="33" t="inlineStr"/>
      <c r="F9" s="33" t="inlineStr"/>
      <c r="G9" s="33" t="inlineStr"/>
      <c r="H9" s="32" t="inlineStr">
        <is>
          <t>In Progress</t>
        </is>
      </c>
    </row>
    <row r="10" ht="26" customHeight="1">
      <c r="B10" s="8" t="inlineStr">
        <is>
          <t>NNCC/RES/006</t>
        </is>
      </c>
      <c r="C10" s="9" t="inlineStr"/>
      <c r="D10" s="9" t="inlineStr"/>
      <c r="E10" s="10" t="inlineStr"/>
      <c r="F10" s="10" t="inlineStr"/>
      <c r="G10" s="10" t="inlineStr"/>
      <c r="H10" s="9" t="inlineStr">
        <is>
          <t>In Progress</t>
        </is>
      </c>
    </row>
    <row r="11" ht="26" customHeight="1">
      <c r="B11" s="31" t="inlineStr">
        <is>
          <t>NNCC/RES/007</t>
        </is>
      </c>
      <c r="C11" s="32" t="inlineStr"/>
      <c r="D11" s="32" t="inlineStr"/>
      <c r="E11" s="33" t="inlineStr"/>
      <c r="F11" s="33" t="inlineStr"/>
      <c r="G11" s="33" t="inlineStr"/>
      <c r="H11" s="32" t="inlineStr">
        <is>
          <t>In Progress</t>
        </is>
      </c>
    </row>
    <row r="12" ht="26" customHeight="1">
      <c r="B12" s="8" t="inlineStr">
        <is>
          <t>NNCC/RES/008</t>
        </is>
      </c>
      <c r="C12" s="9" t="inlineStr"/>
      <c r="D12" s="9" t="inlineStr"/>
      <c r="E12" s="10" t="inlineStr"/>
      <c r="F12" s="10" t="inlineStr"/>
      <c r="G12" s="10" t="inlineStr"/>
      <c r="H12" s="9" t="inlineStr">
        <is>
          <t>In Progress</t>
        </is>
      </c>
    </row>
    <row r="13" ht="26" customHeight="1">
      <c r="B13" s="31" t="inlineStr">
        <is>
          <t>NNCC/RES/009</t>
        </is>
      </c>
      <c r="C13" s="32" t="inlineStr"/>
      <c r="D13" s="32" t="inlineStr"/>
      <c r="E13" s="33" t="inlineStr"/>
      <c r="F13" s="33" t="inlineStr"/>
      <c r="G13" s="33" t="inlineStr"/>
      <c r="H13" s="32" t="inlineStr">
        <is>
          <t>In Progress</t>
        </is>
      </c>
    </row>
    <row r="14" ht="26" customHeight="1">
      <c r="B14" s="8" t="inlineStr">
        <is>
          <t>NNCC/RES/010</t>
        </is>
      </c>
      <c r="C14" s="9" t="inlineStr"/>
      <c r="D14" s="9" t="inlineStr"/>
      <c r="E14" s="10" t="inlineStr"/>
      <c r="F14" s="10" t="inlineStr"/>
      <c r="G14" s="10" t="inlineStr"/>
      <c r="H14" s="9" t="inlineStr">
        <is>
          <t>In Progress</t>
        </is>
      </c>
    </row>
    <row r="15" ht="26" customHeight="1">
      <c r="B15" s="31" t="inlineStr">
        <is>
          <t>NNCC/RES/011</t>
        </is>
      </c>
      <c r="C15" s="32" t="inlineStr"/>
      <c r="D15" s="32" t="inlineStr"/>
      <c r="E15" s="33" t="inlineStr"/>
      <c r="F15" s="33" t="inlineStr"/>
      <c r="G15" s="33" t="inlineStr"/>
      <c r="H15" s="32" t="inlineStr">
        <is>
          <t>In Progress</t>
        </is>
      </c>
    </row>
    <row r="16" ht="26" customHeight="1">
      <c r="B16" s="8" t="inlineStr">
        <is>
          <t>NNCC/RES/012</t>
        </is>
      </c>
      <c r="C16" s="9" t="inlineStr"/>
      <c r="D16" s="9" t="inlineStr"/>
      <c r="E16" s="10" t="inlineStr"/>
      <c r="F16" s="10" t="inlineStr"/>
      <c r="G16" s="10" t="inlineStr"/>
      <c r="H16" s="9" t="inlineStr">
        <is>
          <t>In Progress</t>
        </is>
      </c>
    </row>
    <row r="17" ht="26" customHeight="1">
      <c r="B17" s="31" t="inlineStr">
        <is>
          <t>NNCC/RES/013</t>
        </is>
      </c>
      <c r="C17" s="32" t="inlineStr"/>
      <c r="D17" s="32" t="inlineStr"/>
      <c r="E17" s="33" t="inlineStr"/>
      <c r="F17" s="33" t="inlineStr"/>
      <c r="G17" s="33" t="inlineStr"/>
      <c r="H17" s="32" t="inlineStr">
        <is>
          <t>In Progress</t>
        </is>
      </c>
    </row>
    <row r="18" ht="26" customHeight="1">
      <c r="B18" s="8" t="inlineStr">
        <is>
          <t>NNCC/RES/014</t>
        </is>
      </c>
      <c r="C18" s="9" t="inlineStr"/>
      <c r="D18" s="9" t="inlineStr"/>
      <c r="E18" s="10" t="inlineStr"/>
      <c r="F18" s="10" t="inlineStr"/>
      <c r="G18" s="10" t="inlineStr"/>
      <c r="H18" s="9" t="inlineStr">
        <is>
          <t>In Progress</t>
        </is>
      </c>
    </row>
    <row r="19" ht="26" customHeight="1">
      <c r="B19" s="31" t="inlineStr">
        <is>
          <t>NNCC/RES/015</t>
        </is>
      </c>
      <c r="C19" s="32" t="inlineStr"/>
      <c r="D19" s="32" t="inlineStr"/>
      <c r="E19" s="33" t="inlineStr"/>
      <c r="F19" s="33" t="inlineStr"/>
      <c r="G19" s="33" t="inlineStr"/>
      <c r="H19" s="32" t="inlineStr">
        <is>
          <t>In Progress</t>
        </is>
      </c>
    </row>
    <row r="20" ht="26" customHeight="1"/>
    <row r="21" ht="24" customHeight="1">
      <c r="B21" s="34" t="inlineStr">
        <is>
          <t>ATR SUMMARY</t>
        </is>
      </c>
    </row>
    <row r="22" ht="26" customHeight="1">
      <c r="B22" s="35" t="inlineStr">
        <is>
          <t>Total Resolutions Under Review</t>
        </is>
      </c>
      <c r="C22" s="82" t="n"/>
      <c r="D22" s="82" t="n"/>
      <c r="E22" s="83" t="n"/>
      <c r="F22" s="36">
        <f>COUNTA(B5:B19)</f>
        <v/>
      </c>
      <c r="G22" s="82" t="n"/>
      <c r="H22" s="83" t="n"/>
    </row>
    <row r="23" ht="26" customHeight="1">
      <c r="B23" s="25" t="inlineStr">
        <is>
          <t>Implemented</t>
        </is>
      </c>
      <c r="C23" s="82" t="n"/>
      <c r="D23" s="82" t="n"/>
      <c r="E23" s="83" t="n"/>
      <c r="F23" s="37">
        <f>COUNTIF(H5:H19,"Implemented")</f>
        <v/>
      </c>
      <c r="G23" s="82" t="n"/>
      <c r="H23" s="83" t="n"/>
    </row>
    <row r="24" ht="26" customHeight="1">
      <c r="B24" s="35" t="inlineStr">
        <is>
          <t>In Progress</t>
        </is>
      </c>
      <c r="C24" s="82" t="n"/>
      <c r="D24" s="82" t="n"/>
      <c r="E24" s="83" t="n"/>
      <c r="F24" s="36">
        <f>COUNTIF(H5:H19,"In Progress")</f>
        <v/>
      </c>
      <c r="G24" s="82" t="n"/>
      <c r="H24" s="83" t="n"/>
    </row>
    <row r="25" ht="26" customHeight="1">
      <c r="B25" s="25" t="inlineStr">
        <is>
          <t>Pending</t>
        </is>
      </c>
      <c r="C25" s="82" t="n"/>
      <c r="D25" s="82" t="n"/>
      <c r="E25" s="83" t="n"/>
      <c r="F25" s="37">
        <f>COUNTIF(H5:H19,"Pending")</f>
        <v/>
      </c>
      <c r="G25" s="82" t="n"/>
      <c r="H25" s="83" t="n"/>
    </row>
    <row r="26" ht="26" customHeight="1">
      <c r="B26" s="35" t="inlineStr">
        <is>
          <t>Deferred</t>
        </is>
      </c>
      <c r="C26" s="82" t="n"/>
      <c r="D26" s="82" t="n"/>
      <c r="E26" s="83" t="n"/>
      <c r="F26" s="36">
        <f>COUNTIF(H5:H19,"Deferred")</f>
        <v/>
      </c>
      <c r="G26" s="82" t="n"/>
      <c r="H26" s="83" t="n"/>
    </row>
    <row r="27" ht="26" customHeight="1">
      <c r="B27" s="25" t="inlineStr">
        <is>
          <t>Implementation Rate (%)</t>
        </is>
      </c>
      <c r="C27" s="82" t="n"/>
      <c r="D27" s="82" t="n"/>
      <c r="E27" s="83" t="n"/>
      <c r="F27" s="37">
        <f>IFERROR(ROUND(C23/C22*100,1),"")</f>
        <v/>
      </c>
      <c r="G27" s="82" t="n"/>
      <c r="H27" s="83" t="n"/>
    </row>
  </sheetData>
  <mergeCells count="15">
    <mergeCell ref="F23:H23"/>
    <mergeCell ref="B26:E26"/>
    <mergeCell ref="B27:E27"/>
    <mergeCell ref="B23:E23"/>
    <mergeCell ref="F22:H22"/>
    <mergeCell ref="B21:H21"/>
    <mergeCell ref="F27:H27"/>
    <mergeCell ref="F26:H26"/>
    <mergeCell ref="B2:H2"/>
    <mergeCell ref="B25:E25"/>
    <mergeCell ref="B24:E24"/>
    <mergeCell ref="B3:H3"/>
    <mergeCell ref="B22:E22"/>
    <mergeCell ref="F24:H24"/>
    <mergeCell ref="F25:H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K4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2" customWidth="1" min="9" max="9"/>
    <col width="12" customWidth="1" min="10" max="10"/>
    <col width="12" customWidth="1" min="11" max="11"/>
    <col width="3" customWidth="1" min="12" max="12"/>
  </cols>
  <sheetData>
    <row r="1" ht="10" customHeight="1"/>
    <row r="2" ht="48" customHeight="1">
      <c r="B2" s="12" t="inlineStr">
        <is>
          <t>NSS-02: NSS VOLUNTEER ENROLMENT REGISTER</t>
        </is>
      </c>
    </row>
    <row r="3" ht="20" customHeight="1">
      <c r="B3" s="17" t="inlineStr">
        <is>
          <t>Each volunteer must complete 240 hours (120 hrs regular + 7-day special camp) for NSS programme completion certificate. Enrolment is voluntary — maximum strength per unit as per State NSS Cell norms.</t>
        </is>
      </c>
    </row>
    <row r="4" ht="25" customHeight="1">
      <c r="B4" s="13" t="inlineStr">
        <is>
          <t>Vol.
Ref.</t>
        </is>
      </c>
      <c r="C4" s="13" t="inlineStr">
        <is>
          <t>Volunteer Name</t>
        </is>
      </c>
      <c r="D4" s="13" t="inlineStr">
        <is>
          <t>Roll No.</t>
        </is>
      </c>
      <c r="E4" s="13" t="inlineStr">
        <is>
          <t>Programme
&amp; Year</t>
        </is>
      </c>
      <c r="F4" s="13" t="inlineStr">
        <is>
          <t>Dept.</t>
        </is>
      </c>
      <c r="G4" s="13" t="inlineStr">
        <is>
          <t>Gender</t>
        </is>
      </c>
      <c r="H4" s="13" t="inlineStr">
        <is>
          <t>Blood
Group</t>
        </is>
      </c>
      <c r="I4" s="13" t="inlineStr">
        <is>
          <t>Contact
No.</t>
        </is>
      </c>
      <c r="J4" s="13" t="inlineStr">
        <is>
          <t>Hours
Completed</t>
        </is>
      </c>
      <c r="K4" s="13" t="inlineStr">
        <is>
          <t>Status</t>
        </is>
      </c>
    </row>
    <row r="5" ht="22" customHeight="1">
      <c r="B5" s="14" t="inlineStr">
        <is>
          <t>NSS/VOL/0001</t>
        </is>
      </c>
      <c r="C5" s="15" t="inlineStr"/>
      <c r="D5" s="16" t="inlineStr"/>
      <c r="E5" s="16" t="inlineStr"/>
      <c r="F5" s="16" t="inlineStr"/>
      <c r="G5" s="16" t="inlineStr">
        <is>
          <t>M</t>
        </is>
      </c>
      <c r="H5" s="16" t="inlineStr"/>
      <c r="I5" s="16" t="inlineStr"/>
      <c r="J5" s="16" t="inlineStr"/>
      <c r="K5" s="16" t="inlineStr">
        <is>
          <t>Active</t>
        </is>
      </c>
    </row>
    <row r="6" ht="22" customHeight="1">
      <c r="B6" s="8" t="inlineStr">
        <is>
          <t>NSS/VOL/0002</t>
        </is>
      </c>
      <c r="C6" s="9" t="inlineStr"/>
      <c r="D6" s="10" t="inlineStr"/>
      <c r="E6" s="10" t="inlineStr"/>
      <c r="F6" s="10" t="inlineStr"/>
      <c r="G6" s="10" t="inlineStr">
        <is>
          <t>M</t>
        </is>
      </c>
      <c r="H6" s="10" t="inlineStr"/>
      <c r="I6" s="10" t="inlineStr"/>
      <c r="J6" s="10" t="inlineStr"/>
      <c r="K6" s="10" t="inlineStr">
        <is>
          <t>Active</t>
        </is>
      </c>
    </row>
    <row r="7" ht="22" customHeight="1">
      <c r="B7" s="14" t="inlineStr">
        <is>
          <t>NSS/VOL/0003</t>
        </is>
      </c>
      <c r="C7" s="15" t="inlineStr"/>
      <c r="D7" s="16" t="inlineStr"/>
      <c r="E7" s="16" t="inlineStr"/>
      <c r="F7" s="16" t="inlineStr"/>
      <c r="G7" s="16" t="inlineStr">
        <is>
          <t>F</t>
        </is>
      </c>
      <c r="H7" s="16" t="inlineStr"/>
      <c r="I7" s="16" t="inlineStr"/>
      <c r="J7" s="16" t="inlineStr"/>
      <c r="K7" s="16" t="inlineStr">
        <is>
          <t>Active</t>
        </is>
      </c>
    </row>
    <row r="8" ht="22" customHeight="1">
      <c r="B8" s="8" t="inlineStr">
        <is>
          <t>NSS/VOL/0004</t>
        </is>
      </c>
      <c r="C8" s="9" t="inlineStr"/>
      <c r="D8" s="10" t="inlineStr"/>
      <c r="E8" s="10" t="inlineStr"/>
      <c r="F8" s="10" t="inlineStr"/>
      <c r="G8" s="10" t="inlineStr">
        <is>
          <t>M</t>
        </is>
      </c>
      <c r="H8" s="10" t="inlineStr"/>
      <c r="I8" s="10" t="inlineStr"/>
      <c r="J8" s="10" t="inlineStr"/>
      <c r="K8" s="10" t="inlineStr">
        <is>
          <t>Active</t>
        </is>
      </c>
    </row>
    <row r="9" ht="22" customHeight="1">
      <c r="B9" s="14" t="inlineStr">
        <is>
          <t>NSS/VOL/0005</t>
        </is>
      </c>
      <c r="C9" s="15" t="inlineStr"/>
      <c r="D9" s="16" t="inlineStr"/>
      <c r="E9" s="16" t="inlineStr"/>
      <c r="F9" s="16" t="inlineStr"/>
      <c r="G9" s="16" t="inlineStr">
        <is>
          <t>M</t>
        </is>
      </c>
      <c r="H9" s="16" t="inlineStr"/>
      <c r="I9" s="16" t="inlineStr"/>
      <c r="J9" s="16" t="inlineStr"/>
      <c r="K9" s="16" t="inlineStr">
        <is>
          <t>Active</t>
        </is>
      </c>
    </row>
    <row r="10" ht="22" customHeight="1">
      <c r="B10" s="8" t="inlineStr">
        <is>
          <t>NSS/VOL/0006</t>
        </is>
      </c>
      <c r="C10" s="9" t="inlineStr"/>
      <c r="D10" s="10" t="inlineStr"/>
      <c r="E10" s="10" t="inlineStr"/>
      <c r="F10" s="10" t="inlineStr"/>
      <c r="G10" s="10" t="inlineStr">
        <is>
          <t>F</t>
        </is>
      </c>
      <c r="H10" s="10" t="inlineStr"/>
      <c r="I10" s="10" t="inlineStr"/>
      <c r="J10" s="10" t="inlineStr"/>
      <c r="K10" s="10" t="inlineStr">
        <is>
          <t>Active</t>
        </is>
      </c>
    </row>
    <row r="11" ht="22" customHeight="1">
      <c r="B11" s="14" t="inlineStr">
        <is>
          <t>NSS/VOL/0007</t>
        </is>
      </c>
      <c r="C11" s="15" t="inlineStr"/>
      <c r="D11" s="16" t="inlineStr"/>
      <c r="E11" s="16" t="inlineStr"/>
      <c r="F11" s="16" t="inlineStr"/>
      <c r="G11" s="16" t="inlineStr">
        <is>
          <t>M</t>
        </is>
      </c>
      <c r="H11" s="16" t="inlineStr"/>
      <c r="I11" s="16" t="inlineStr"/>
      <c r="J11" s="16" t="inlineStr"/>
      <c r="K11" s="16" t="inlineStr">
        <is>
          <t>Active</t>
        </is>
      </c>
    </row>
    <row r="12" ht="22" customHeight="1">
      <c r="B12" s="8" t="inlineStr">
        <is>
          <t>NSS/VOL/0008</t>
        </is>
      </c>
      <c r="C12" s="9" t="inlineStr"/>
      <c r="D12" s="10" t="inlineStr"/>
      <c r="E12" s="10" t="inlineStr"/>
      <c r="F12" s="10" t="inlineStr"/>
      <c r="G12" s="10" t="inlineStr">
        <is>
          <t>M</t>
        </is>
      </c>
      <c r="H12" s="10" t="inlineStr"/>
      <c r="I12" s="10" t="inlineStr"/>
      <c r="J12" s="10" t="inlineStr"/>
      <c r="K12" s="10" t="inlineStr">
        <is>
          <t>Active</t>
        </is>
      </c>
    </row>
    <row r="13" ht="22" customHeight="1">
      <c r="B13" s="14" t="inlineStr">
        <is>
          <t>NSS/VOL/0009</t>
        </is>
      </c>
      <c r="C13" s="15" t="inlineStr"/>
      <c r="D13" s="16" t="inlineStr"/>
      <c r="E13" s="16" t="inlineStr"/>
      <c r="F13" s="16" t="inlineStr"/>
      <c r="G13" s="16" t="inlineStr">
        <is>
          <t>F</t>
        </is>
      </c>
      <c r="H13" s="16" t="inlineStr"/>
      <c r="I13" s="16" t="inlineStr"/>
      <c r="J13" s="16" t="inlineStr"/>
      <c r="K13" s="16" t="inlineStr">
        <is>
          <t>Active</t>
        </is>
      </c>
    </row>
    <row r="14" ht="22" customHeight="1">
      <c r="B14" s="8" t="inlineStr">
        <is>
          <t>NSS/VOL/0010</t>
        </is>
      </c>
      <c r="C14" s="9" t="inlineStr"/>
      <c r="D14" s="10" t="inlineStr"/>
      <c r="E14" s="10" t="inlineStr"/>
      <c r="F14" s="10" t="inlineStr"/>
      <c r="G14" s="10" t="inlineStr">
        <is>
          <t>M</t>
        </is>
      </c>
      <c r="H14" s="10" t="inlineStr"/>
      <c r="I14" s="10" t="inlineStr"/>
      <c r="J14" s="10" t="inlineStr"/>
      <c r="K14" s="10" t="inlineStr">
        <is>
          <t>Active</t>
        </is>
      </c>
    </row>
    <row r="15" ht="22" customHeight="1">
      <c r="B15" s="14" t="inlineStr">
        <is>
          <t>NSS/VOL/0011</t>
        </is>
      </c>
      <c r="C15" s="15" t="inlineStr"/>
      <c r="D15" s="16" t="inlineStr"/>
      <c r="E15" s="16" t="inlineStr"/>
      <c r="F15" s="16" t="inlineStr"/>
      <c r="G15" s="16" t="inlineStr">
        <is>
          <t>M</t>
        </is>
      </c>
      <c r="H15" s="16" t="inlineStr"/>
      <c r="I15" s="16" t="inlineStr"/>
      <c r="J15" s="16" t="inlineStr"/>
      <c r="K15" s="16" t="inlineStr">
        <is>
          <t>Active</t>
        </is>
      </c>
    </row>
    <row r="16" ht="22" customHeight="1">
      <c r="B16" s="8" t="inlineStr">
        <is>
          <t>NSS/VOL/0012</t>
        </is>
      </c>
      <c r="C16" s="9" t="inlineStr"/>
      <c r="D16" s="10" t="inlineStr"/>
      <c r="E16" s="10" t="inlineStr"/>
      <c r="F16" s="10" t="inlineStr"/>
      <c r="G16" s="10" t="inlineStr">
        <is>
          <t>F</t>
        </is>
      </c>
      <c r="H16" s="10" t="inlineStr"/>
      <c r="I16" s="10" t="inlineStr"/>
      <c r="J16" s="10" t="inlineStr"/>
      <c r="K16" s="10" t="inlineStr">
        <is>
          <t>Active</t>
        </is>
      </c>
    </row>
    <row r="17" ht="22" customHeight="1">
      <c r="B17" s="14" t="inlineStr">
        <is>
          <t>NSS/VOL/0013</t>
        </is>
      </c>
      <c r="C17" s="15" t="inlineStr"/>
      <c r="D17" s="16" t="inlineStr"/>
      <c r="E17" s="16" t="inlineStr"/>
      <c r="F17" s="16" t="inlineStr"/>
      <c r="G17" s="16" t="inlineStr">
        <is>
          <t>M</t>
        </is>
      </c>
      <c r="H17" s="16" t="inlineStr"/>
      <c r="I17" s="16" t="inlineStr"/>
      <c r="J17" s="16" t="inlineStr"/>
      <c r="K17" s="16" t="inlineStr">
        <is>
          <t>Active</t>
        </is>
      </c>
    </row>
    <row r="18" ht="22" customHeight="1">
      <c r="B18" s="8" t="inlineStr">
        <is>
          <t>NSS/VOL/0014</t>
        </is>
      </c>
      <c r="C18" s="9" t="inlineStr"/>
      <c r="D18" s="10" t="inlineStr"/>
      <c r="E18" s="10" t="inlineStr"/>
      <c r="F18" s="10" t="inlineStr"/>
      <c r="G18" s="10" t="inlineStr">
        <is>
          <t>M</t>
        </is>
      </c>
      <c r="H18" s="10" t="inlineStr"/>
      <c r="I18" s="10" t="inlineStr"/>
      <c r="J18" s="10" t="inlineStr"/>
      <c r="K18" s="10" t="inlineStr">
        <is>
          <t>Active</t>
        </is>
      </c>
    </row>
    <row r="19" ht="22" customHeight="1">
      <c r="B19" s="14" t="inlineStr">
        <is>
          <t>NSS/VOL/0015</t>
        </is>
      </c>
      <c r="C19" s="15" t="inlineStr"/>
      <c r="D19" s="16" t="inlineStr"/>
      <c r="E19" s="16" t="inlineStr"/>
      <c r="F19" s="16" t="inlineStr"/>
      <c r="G19" s="16" t="inlineStr">
        <is>
          <t>F</t>
        </is>
      </c>
      <c r="H19" s="16" t="inlineStr"/>
      <c r="I19" s="16" t="inlineStr"/>
      <c r="J19" s="16" t="inlineStr"/>
      <c r="K19" s="16" t="inlineStr">
        <is>
          <t>Active</t>
        </is>
      </c>
    </row>
    <row r="20" ht="22" customHeight="1">
      <c r="B20" s="8" t="inlineStr">
        <is>
          <t>NSS/VOL/0016</t>
        </is>
      </c>
      <c r="C20" s="9" t="inlineStr"/>
      <c r="D20" s="10" t="inlineStr"/>
      <c r="E20" s="10" t="inlineStr"/>
      <c r="F20" s="10" t="inlineStr"/>
      <c r="G20" s="10" t="inlineStr">
        <is>
          <t>M</t>
        </is>
      </c>
      <c r="H20" s="10" t="inlineStr"/>
      <c r="I20" s="10" t="inlineStr"/>
      <c r="J20" s="10" t="inlineStr"/>
      <c r="K20" s="10" t="inlineStr">
        <is>
          <t>Active</t>
        </is>
      </c>
    </row>
    <row r="21" ht="22" customHeight="1">
      <c r="B21" s="14" t="inlineStr">
        <is>
          <t>NSS/VOL/0017</t>
        </is>
      </c>
      <c r="C21" s="15" t="inlineStr"/>
      <c r="D21" s="16" t="inlineStr"/>
      <c r="E21" s="16" t="inlineStr"/>
      <c r="F21" s="16" t="inlineStr"/>
      <c r="G21" s="16" t="inlineStr">
        <is>
          <t>M</t>
        </is>
      </c>
      <c r="H21" s="16" t="inlineStr"/>
      <c r="I21" s="16" t="inlineStr"/>
      <c r="J21" s="16" t="inlineStr"/>
      <c r="K21" s="16" t="inlineStr">
        <is>
          <t>Active</t>
        </is>
      </c>
    </row>
    <row r="22" ht="22" customHeight="1">
      <c r="B22" s="8" t="inlineStr">
        <is>
          <t>NSS/VOL/0018</t>
        </is>
      </c>
      <c r="C22" s="9" t="inlineStr"/>
      <c r="D22" s="10" t="inlineStr"/>
      <c r="E22" s="10" t="inlineStr"/>
      <c r="F22" s="10" t="inlineStr"/>
      <c r="G22" s="10" t="inlineStr">
        <is>
          <t>F</t>
        </is>
      </c>
      <c r="H22" s="10" t="inlineStr"/>
      <c r="I22" s="10" t="inlineStr"/>
      <c r="J22" s="10" t="inlineStr"/>
      <c r="K22" s="10" t="inlineStr">
        <is>
          <t>Active</t>
        </is>
      </c>
    </row>
    <row r="23" ht="22" customHeight="1">
      <c r="B23" s="14" t="inlineStr">
        <is>
          <t>NSS/VOL/0019</t>
        </is>
      </c>
      <c r="C23" s="15" t="inlineStr"/>
      <c r="D23" s="16" t="inlineStr"/>
      <c r="E23" s="16" t="inlineStr"/>
      <c r="F23" s="16" t="inlineStr"/>
      <c r="G23" s="16" t="inlineStr">
        <is>
          <t>M</t>
        </is>
      </c>
      <c r="H23" s="16" t="inlineStr"/>
      <c r="I23" s="16" t="inlineStr"/>
      <c r="J23" s="16" t="inlineStr"/>
      <c r="K23" s="16" t="inlineStr">
        <is>
          <t>Active</t>
        </is>
      </c>
    </row>
    <row r="24" ht="22" customHeight="1">
      <c r="B24" s="8" t="inlineStr">
        <is>
          <t>NSS/VOL/0020</t>
        </is>
      </c>
      <c r="C24" s="9" t="inlineStr"/>
      <c r="D24" s="10" t="inlineStr"/>
      <c r="E24" s="10" t="inlineStr"/>
      <c r="F24" s="10" t="inlineStr"/>
      <c r="G24" s="10" t="inlineStr">
        <is>
          <t>M</t>
        </is>
      </c>
      <c r="H24" s="10" t="inlineStr"/>
      <c r="I24" s="10" t="inlineStr"/>
      <c r="J24" s="10" t="inlineStr"/>
      <c r="K24" s="10" t="inlineStr">
        <is>
          <t>Active</t>
        </is>
      </c>
    </row>
    <row r="25" ht="22" customHeight="1">
      <c r="B25" s="14" t="inlineStr">
        <is>
          <t>NSS/VOL/0021</t>
        </is>
      </c>
      <c r="C25" s="15" t="inlineStr"/>
      <c r="D25" s="16" t="inlineStr"/>
      <c r="E25" s="16" t="inlineStr"/>
      <c r="F25" s="16" t="inlineStr"/>
      <c r="G25" s="16" t="inlineStr">
        <is>
          <t>F</t>
        </is>
      </c>
      <c r="H25" s="16" t="inlineStr"/>
      <c r="I25" s="16" t="inlineStr"/>
      <c r="J25" s="16" t="inlineStr"/>
      <c r="K25" s="16" t="inlineStr">
        <is>
          <t>Active</t>
        </is>
      </c>
    </row>
    <row r="26" ht="22" customHeight="1">
      <c r="B26" s="8" t="inlineStr">
        <is>
          <t>NSS/VOL/0022</t>
        </is>
      </c>
      <c r="C26" s="9" t="inlineStr"/>
      <c r="D26" s="10" t="inlineStr"/>
      <c r="E26" s="10" t="inlineStr"/>
      <c r="F26" s="10" t="inlineStr"/>
      <c r="G26" s="10" t="inlineStr">
        <is>
          <t>M</t>
        </is>
      </c>
      <c r="H26" s="10" t="inlineStr"/>
      <c r="I26" s="10" t="inlineStr"/>
      <c r="J26" s="10" t="inlineStr"/>
      <c r="K26" s="10" t="inlineStr">
        <is>
          <t>Active</t>
        </is>
      </c>
    </row>
    <row r="27" ht="22" customHeight="1">
      <c r="B27" s="14" t="inlineStr">
        <is>
          <t>NSS/VOL/0023</t>
        </is>
      </c>
      <c r="C27" s="15" t="inlineStr"/>
      <c r="D27" s="16" t="inlineStr"/>
      <c r="E27" s="16" t="inlineStr"/>
      <c r="F27" s="16" t="inlineStr"/>
      <c r="G27" s="16" t="inlineStr">
        <is>
          <t>M</t>
        </is>
      </c>
      <c r="H27" s="16" t="inlineStr"/>
      <c r="I27" s="16" t="inlineStr"/>
      <c r="J27" s="16" t="inlineStr"/>
      <c r="K27" s="16" t="inlineStr">
        <is>
          <t>Active</t>
        </is>
      </c>
    </row>
    <row r="28" ht="22" customHeight="1">
      <c r="B28" s="8" t="inlineStr">
        <is>
          <t>NSS/VOL/0024</t>
        </is>
      </c>
      <c r="C28" s="9" t="inlineStr"/>
      <c r="D28" s="10" t="inlineStr"/>
      <c r="E28" s="10" t="inlineStr"/>
      <c r="F28" s="10" t="inlineStr"/>
      <c r="G28" s="10" t="inlineStr">
        <is>
          <t>F</t>
        </is>
      </c>
      <c r="H28" s="10" t="inlineStr"/>
      <c r="I28" s="10" t="inlineStr"/>
      <c r="J28" s="10" t="inlineStr"/>
      <c r="K28" s="10" t="inlineStr">
        <is>
          <t>Active</t>
        </is>
      </c>
    </row>
    <row r="29" ht="22" customHeight="1">
      <c r="B29" s="14" t="inlineStr">
        <is>
          <t>NSS/VOL/0025</t>
        </is>
      </c>
      <c r="C29" s="15" t="inlineStr"/>
      <c r="D29" s="16" t="inlineStr"/>
      <c r="E29" s="16" t="inlineStr"/>
      <c r="F29" s="16" t="inlineStr"/>
      <c r="G29" s="16" t="inlineStr">
        <is>
          <t>M</t>
        </is>
      </c>
      <c r="H29" s="16" t="inlineStr"/>
      <c r="I29" s="16" t="inlineStr"/>
      <c r="J29" s="16" t="inlineStr"/>
      <c r="K29" s="16" t="inlineStr">
        <is>
          <t>Active</t>
        </is>
      </c>
    </row>
    <row r="30" ht="22" customHeight="1">
      <c r="B30" s="8" t="inlineStr">
        <is>
          <t>NSS/VOL/0026</t>
        </is>
      </c>
      <c r="C30" s="9" t="inlineStr"/>
      <c r="D30" s="10" t="inlineStr"/>
      <c r="E30" s="10" t="inlineStr"/>
      <c r="F30" s="10" t="inlineStr"/>
      <c r="G30" s="10" t="inlineStr">
        <is>
          <t>M</t>
        </is>
      </c>
      <c r="H30" s="10" t="inlineStr"/>
      <c r="I30" s="10" t="inlineStr"/>
      <c r="J30" s="10" t="inlineStr"/>
      <c r="K30" s="10" t="inlineStr">
        <is>
          <t>Active</t>
        </is>
      </c>
    </row>
    <row r="31" ht="22" customHeight="1">
      <c r="B31" s="14" t="inlineStr">
        <is>
          <t>NSS/VOL/0027</t>
        </is>
      </c>
      <c r="C31" s="15" t="inlineStr"/>
      <c r="D31" s="16" t="inlineStr"/>
      <c r="E31" s="16" t="inlineStr"/>
      <c r="F31" s="16" t="inlineStr"/>
      <c r="G31" s="16" t="inlineStr">
        <is>
          <t>F</t>
        </is>
      </c>
      <c r="H31" s="16" t="inlineStr"/>
      <c r="I31" s="16" t="inlineStr"/>
      <c r="J31" s="16" t="inlineStr"/>
      <c r="K31" s="16" t="inlineStr">
        <is>
          <t>Active</t>
        </is>
      </c>
    </row>
    <row r="32" ht="22" customHeight="1">
      <c r="B32" s="8" t="inlineStr">
        <is>
          <t>NSS/VOL/0028</t>
        </is>
      </c>
      <c r="C32" s="9" t="inlineStr"/>
      <c r="D32" s="10" t="inlineStr"/>
      <c r="E32" s="10" t="inlineStr"/>
      <c r="F32" s="10" t="inlineStr"/>
      <c r="G32" s="10" t="inlineStr">
        <is>
          <t>M</t>
        </is>
      </c>
      <c r="H32" s="10" t="inlineStr"/>
      <c r="I32" s="10" t="inlineStr"/>
      <c r="J32" s="10" t="inlineStr"/>
      <c r="K32" s="10" t="inlineStr">
        <is>
          <t>Active</t>
        </is>
      </c>
    </row>
    <row r="33" ht="22" customHeight="1">
      <c r="B33" s="14" t="inlineStr">
        <is>
          <t>NSS/VOL/0029</t>
        </is>
      </c>
      <c r="C33" s="15" t="inlineStr"/>
      <c r="D33" s="16" t="inlineStr"/>
      <c r="E33" s="16" t="inlineStr"/>
      <c r="F33" s="16" t="inlineStr"/>
      <c r="G33" s="16" t="inlineStr">
        <is>
          <t>M</t>
        </is>
      </c>
      <c r="H33" s="16" t="inlineStr"/>
      <c r="I33" s="16" t="inlineStr"/>
      <c r="J33" s="16" t="inlineStr"/>
      <c r="K33" s="16" t="inlineStr">
        <is>
          <t>Active</t>
        </is>
      </c>
    </row>
    <row r="34" ht="22" customHeight="1">
      <c r="B34" s="8" t="inlineStr">
        <is>
          <t>NSS/VOL/0030</t>
        </is>
      </c>
      <c r="C34" s="9" t="inlineStr"/>
      <c r="D34" s="10" t="inlineStr"/>
      <c r="E34" s="10" t="inlineStr"/>
      <c r="F34" s="10" t="inlineStr"/>
      <c r="G34" s="10" t="inlineStr">
        <is>
          <t>F</t>
        </is>
      </c>
      <c r="H34" s="10" t="inlineStr"/>
      <c r="I34" s="10" t="inlineStr"/>
      <c r="J34" s="10" t="inlineStr"/>
      <c r="K34" s="10" t="inlineStr">
        <is>
          <t>Active</t>
        </is>
      </c>
    </row>
    <row r="35" ht="22" customHeight="1">
      <c r="B35" s="14" t="inlineStr">
        <is>
          <t>NSS/VOL/0031</t>
        </is>
      </c>
      <c r="C35" s="15" t="inlineStr"/>
      <c r="D35" s="16" t="inlineStr"/>
      <c r="E35" s="16" t="inlineStr"/>
      <c r="F35" s="16" t="inlineStr"/>
      <c r="G35" s="16" t="inlineStr">
        <is>
          <t>M</t>
        </is>
      </c>
      <c r="H35" s="16" t="inlineStr"/>
      <c r="I35" s="16" t="inlineStr"/>
      <c r="J35" s="16" t="inlineStr"/>
      <c r="K35" s="16" t="inlineStr">
        <is>
          <t>Active</t>
        </is>
      </c>
    </row>
    <row r="36" ht="22" customHeight="1">
      <c r="B36" s="8" t="inlineStr">
        <is>
          <t>NSS/VOL/0032</t>
        </is>
      </c>
      <c r="C36" s="9" t="inlineStr"/>
      <c r="D36" s="10" t="inlineStr"/>
      <c r="E36" s="10" t="inlineStr"/>
      <c r="F36" s="10" t="inlineStr"/>
      <c r="G36" s="10" t="inlineStr">
        <is>
          <t>M</t>
        </is>
      </c>
      <c r="H36" s="10" t="inlineStr"/>
      <c r="I36" s="10" t="inlineStr"/>
      <c r="J36" s="10" t="inlineStr"/>
      <c r="K36" s="10" t="inlineStr">
        <is>
          <t>Active</t>
        </is>
      </c>
    </row>
    <row r="37" ht="22" customHeight="1">
      <c r="B37" s="14" t="inlineStr">
        <is>
          <t>NSS/VOL/0033</t>
        </is>
      </c>
      <c r="C37" s="15" t="inlineStr"/>
      <c r="D37" s="16" t="inlineStr"/>
      <c r="E37" s="16" t="inlineStr"/>
      <c r="F37" s="16" t="inlineStr"/>
      <c r="G37" s="16" t="inlineStr">
        <is>
          <t>F</t>
        </is>
      </c>
      <c r="H37" s="16" t="inlineStr"/>
      <c r="I37" s="16" t="inlineStr"/>
      <c r="J37" s="16" t="inlineStr"/>
      <c r="K37" s="16" t="inlineStr">
        <is>
          <t>Active</t>
        </is>
      </c>
    </row>
    <row r="38" ht="22" customHeight="1">
      <c r="B38" s="8" t="inlineStr">
        <is>
          <t>NSS/VOL/0034</t>
        </is>
      </c>
      <c r="C38" s="9" t="inlineStr"/>
      <c r="D38" s="10" t="inlineStr"/>
      <c r="E38" s="10" t="inlineStr"/>
      <c r="F38" s="10" t="inlineStr"/>
      <c r="G38" s="10" t="inlineStr">
        <is>
          <t>M</t>
        </is>
      </c>
      <c r="H38" s="10" t="inlineStr"/>
      <c r="I38" s="10" t="inlineStr"/>
      <c r="J38" s="10" t="inlineStr"/>
      <c r="K38" s="10" t="inlineStr">
        <is>
          <t>Active</t>
        </is>
      </c>
    </row>
    <row r="39" ht="22" customHeight="1">
      <c r="B39" s="14" t="inlineStr">
        <is>
          <t>NSS/VOL/0035</t>
        </is>
      </c>
      <c r="C39" s="15" t="inlineStr"/>
      <c r="D39" s="16" t="inlineStr"/>
      <c r="E39" s="16" t="inlineStr"/>
      <c r="F39" s="16" t="inlineStr"/>
      <c r="G39" s="16" t="inlineStr">
        <is>
          <t>M</t>
        </is>
      </c>
      <c r="H39" s="16" t="inlineStr"/>
      <c r="I39" s="16" t="inlineStr"/>
      <c r="J39" s="16" t="inlineStr"/>
      <c r="K39" s="16" t="inlineStr">
        <is>
          <t>Active</t>
        </is>
      </c>
    </row>
    <row r="40" ht="22" customHeight="1">
      <c r="B40" s="8" t="inlineStr">
        <is>
          <t>NSS/VOL/0036</t>
        </is>
      </c>
      <c r="C40" s="9" t="inlineStr"/>
      <c r="D40" s="10" t="inlineStr"/>
      <c r="E40" s="10" t="inlineStr"/>
      <c r="F40" s="10" t="inlineStr"/>
      <c r="G40" s="10" t="inlineStr">
        <is>
          <t>F</t>
        </is>
      </c>
      <c r="H40" s="10" t="inlineStr"/>
      <c r="I40" s="10" t="inlineStr"/>
      <c r="J40" s="10" t="inlineStr"/>
      <c r="K40" s="10" t="inlineStr">
        <is>
          <t>Active</t>
        </is>
      </c>
    </row>
    <row r="41" ht="22" customHeight="1"/>
    <row r="42" ht="24" customHeight="1">
      <c r="B42" s="34" t="inlineStr">
        <is>
          <t>ENROLMENT SUMMARY</t>
        </is>
      </c>
    </row>
    <row r="43" ht="22" customHeight="1">
      <c r="B43" s="38" t="inlineStr">
        <is>
          <t>Total Volunteers Enrolled</t>
        </is>
      </c>
      <c r="C43" s="82" t="n"/>
      <c r="D43" s="82" t="n"/>
      <c r="E43" s="83" t="n"/>
      <c r="F43" s="36">
        <f>COUNTA(B5:B40)</f>
        <v/>
      </c>
      <c r="G43" s="82" t="n"/>
      <c r="H43" s="82" t="n"/>
      <c r="I43" s="82" t="n"/>
      <c r="J43" s="82" t="n"/>
      <c r="K43" s="83" t="n"/>
    </row>
    <row r="44">
      <c r="B44" s="25" t="inlineStr">
        <is>
          <t>Male Volunteers</t>
        </is>
      </c>
      <c r="C44" s="82" t="n"/>
      <c r="D44" s="82" t="n"/>
      <c r="E44" s="83" t="n"/>
      <c r="F44" s="37">
        <f>COUNTIF(G5:G40,"M")</f>
        <v/>
      </c>
      <c r="G44" s="82" t="n"/>
      <c r="H44" s="82" t="n"/>
      <c r="I44" s="82" t="n"/>
      <c r="J44" s="82" t="n"/>
      <c r="K44" s="83" t="n"/>
    </row>
    <row r="45">
      <c r="B45" s="38" t="inlineStr">
        <is>
          <t>Female Volunteers</t>
        </is>
      </c>
      <c r="C45" s="82" t="n"/>
      <c r="D45" s="82" t="n"/>
      <c r="E45" s="83" t="n"/>
      <c r="F45" s="36">
        <f>COUNTIF(G5:G40,"F")</f>
        <v/>
      </c>
      <c r="G45" s="82" t="n"/>
      <c r="H45" s="82" t="n"/>
      <c r="I45" s="82" t="n"/>
      <c r="J45" s="82" t="n"/>
      <c r="K45" s="83" t="n"/>
    </row>
    <row r="46">
      <c r="B46" s="25" t="inlineStr">
        <is>
          <t>Volunteers with 240+ Hours</t>
        </is>
      </c>
      <c r="C46" s="82" t="n"/>
      <c r="D46" s="82" t="n"/>
      <c r="E46" s="83" t="n"/>
      <c r="F46" s="37">
        <f>COUNTIF(J5:J40,"&gt;="&amp;240)</f>
        <v/>
      </c>
      <c r="G46" s="82" t="n"/>
      <c r="H46" s="82" t="n"/>
      <c r="I46" s="82" t="n"/>
      <c r="J46" s="82" t="n"/>
      <c r="K46" s="83" t="n"/>
    </row>
    <row r="47">
      <c r="B47" s="38" t="inlineStr">
        <is>
          <t>Programme Completion Eligible (%)</t>
        </is>
      </c>
      <c r="C47" s="82" t="n"/>
      <c r="D47" s="82" t="n"/>
      <c r="E47" s="83" t="n"/>
      <c r="F47" s="36">
        <f>IFERROR(ROUND(C46/C43*100,1),"")</f>
        <v/>
      </c>
      <c r="G47" s="82" t="n"/>
      <c r="H47" s="82" t="n"/>
      <c r="I47" s="82" t="n"/>
      <c r="J47" s="82" t="n"/>
      <c r="K47" s="83" t="n"/>
    </row>
    <row r="48">
      <c r="B48" s="25" t="inlineStr">
        <is>
          <t>Active Volunteers</t>
        </is>
      </c>
      <c r="C48" s="82" t="n"/>
      <c r="D48" s="82" t="n"/>
      <c r="E48" s="83" t="n"/>
      <c r="F48" s="37">
        <f>COUNTIF(K5:K40,"Active")</f>
        <v/>
      </c>
      <c r="G48" s="82" t="n"/>
      <c r="H48" s="82" t="n"/>
      <c r="I48" s="82" t="n"/>
      <c r="J48" s="82" t="n"/>
      <c r="K48" s="83" t="n"/>
    </row>
  </sheetData>
  <mergeCells count="15">
    <mergeCell ref="B45:E45"/>
    <mergeCell ref="F47:K47"/>
    <mergeCell ref="B46:E46"/>
    <mergeCell ref="F46:K46"/>
    <mergeCell ref="B43:E43"/>
    <mergeCell ref="B44:E44"/>
    <mergeCell ref="F45:K45"/>
    <mergeCell ref="B48:E48"/>
    <mergeCell ref="B47:E47"/>
    <mergeCell ref="F43:K43"/>
    <mergeCell ref="B2:K2"/>
    <mergeCell ref="B42:K42"/>
    <mergeCell ref="F48:K48"/>
    <mergeCell ref="B3:K3"/>
    <mergeCell ref="F44:K4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K4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6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3" customWidth="1" min="12" max="12"/>
  </cols>
  <sheetData>
    <row r="1" ht="10" customHeight="1"/>
    <row r="2" ht="48" customHeight="1">
      <c r="B2" s="12" t="inlineStr">
        <is>
          <t>NSS-04: NSS REGULAR ACTIVITY REGISTER</t>
        </is>
      </c>
    </row>
    <row r="3" ht="20" customHeight="1">
      <c r="B3" s="17" t="inlineStr">
        <is>
          <t>Regular activities (non-camp): 120 hours per year. Each activity must be approved by PO and documented with photos, attendance and report. Report to NSS Regional Director monthly.</t>
        </is>
      </c>
    </row>
    <row r="4" ht="25" customHeight="1">
      <c r="B4" s="13" t="inlineStr">
        <is>
          <t>Activity
Ref.</t>
        </is>
      </c>
      <c r="C4" s="13" t="inlineStr">
        <is>
          <t>Activity Title</t>
        </is>
      </c>
      <c r="D4" s="13" t="inlineStr">
        <is>
          <t>Activity
Category</t>
        </is>
      </c>
      <c r="E4" s="13" t="inlineStr">
        <is>
          <t>Date(s)</t>
        </is>
      </c>
      <c r="F4" s="13" t="inlineStr">
        <is>
          <t>Location</t>
        </is>
      </c>
      <c r="G4" s="13" t="inlineStr">
        <is>
          <t>Volunteers
Planned</t>
        </is>
      </c>
      <c r="H4" s="13" t="inlineStr">
        <is>
          <t>Volunteers
Attended</t>
        </is>
      </c>
      <c r="I4" s="13" t="inlineStr">
        <is>
          <t>Duration
(hrs)</t>
        </is>
      </c>
      <c r="J4" s="13" t="inlineStr">
        <is>
          <t>Total
Hours</t>
        </is>
      </c>
      <c r="K4" s="13" t="inlineStr">
        <is>
          <t>Activity
Report Done</t>
        </is>
      </c>
    </row>
    <row r="5" ht="22" customHeight="1">
      <c r="B5" s="14" t="inlineStr">
        <is>
          <t>NSS/ACT/0001</t>
        </is>
      </c>
      <c r="C5" s="15" t="inlineStr"/>
      <c r="D5" s="16" t="inlineStr">
        <is>
          <t>Cleanliness &amp; Swachh Bharat</t>
        </is>
      </c>
      <c r="E5" s="16" t="inlineStr"/>
      <c r="F5" s="15" t="inlineStr"/>
      <c r="G5" s="16" t="inlineStr"/>
      <c r="H5" s="16" t="inlineStr"/>
      <c r="I5" s="16" t="inlineStr"/>
      <c r="J5" s="39">
        <f>IFERROR(H5*I5,"")</f>
        <v/>
      </c>
      <c r="K5" s="16" t="inlineStr">
        <is>
          <t>Y</t>
        </is>
      </c>
    </row>
    <row r="6" ht="22" customHeight="1">
      <c r="B6" s="8" t="inlineStr">
        <is>
          <t>NSS/ACT/0002</t>
        </is>
      </c>
      <c r="C6" s="9" t="inlineStr"/>
      <c r="D6" s="10" t="inlineStr">
        <is>
          <t>Health &amp; Blood Donation</t>
        </is>
      </c>
      <c r="E6" s="10" t="inlineStr"/>
      <c r="F6" s="9" t="inlineStr"/>
      <c r="G6" s="10" t="inlineStr"/>
      <c r="H6" s="10" t="inlineStr"/>
      <c r="I6" s="10" t="inlineStr"/>
      <c r="J6" s="37">
        <f>IFERROR(H6*I6,"")</f>
        <v/>
      </c>
      <c r="K6" s="10" t="inlineStr">
        <is>
          <t>Y</t>
        </is>
      </c>
    </row>
    <row r="7" ht="22" customHeight="1">
      <c r="B7" s="14" t="inlineStr">
        <is>
          <t>NSS/ACT/0003</t>
        </is>
      </c>
      <c r="C7" s="15" t="inlineStr"/>
      <c r="D7" s="16" t="inlineStr">
        <is>
          <t>Environment &amp; Tree Plantation</t>
        </is>
      </c>
      <c r="E7" s="16" t="inlineStr"/>
      <c r="F7" s="15" t="inlineStr"/>
      <c r="G7" s="16" t="inlineStr"/>
      <c r="H7" s="16" t="inlineStr"/>
      <c r="I7" s="16" t="inlineStr"/>
      <c r="J7" s="39">
        <f>IFERROR(H7*I7,"")</f>
        <v/>
      </c>
      <c r="K7" s="16" t="inlineStr">
        <is>
          <t>Y</t>
        </is>
      </c>
    </row>
    <row r="8" ht="22" customHeight="1">
      <c r="B8" s="8" t="inlineStr">
        <is>
          <t>NSS/ACT/0004</t>
        </is>
      </c>
      <c r="C8" s="9" t="inlineStr"/>
      <c r="D8" s="10" t="inlineStr">
        <is>
          <t>Literacy &amp; Digital Awareness</t>
        </is>
      </c>
      <c r="E8" s="10" t="inlineStr"/>
      <c r="F8" s="9" t="inlineStr"/>
      <c r="G8" s="10" t="inlineStr"/>
      <c r="H8" s="10" t="inlineStr"/>
      <c r="I8" s="10" t="inlineStr"/>
      <c r="J8" s="37">
        <f>IFERROR(H8*I8,"")</f>
        <v/>
      </c>
      <c r="K8" s="10" t="inlineStr">
        <is>
          <t>Y</t>
        </is>
      </c>
    </row>
    <row r="9" ht="22" customHeight="1">
      <c r="B9" s="14" t="inlineStr">
        <is>
          <t>NSS/ACT/0005</t>
        </is>
      </c>
      <c r="C9" s="15" t="inlineStr"/>
      <c r="D9" s="16" t="inlineStr">
        <is>
          <t>Gender Sensitivity &amp; Women Empowerment</t>
        </is>
      </c>
      <c r="E9" s="16" t="inlineStr"/>
      <c r="F9" s="15" t="inlineStr"/>
      <c r="G9" s="16" t="inlineStr"/>
      <c r="H9" s="16" t="inlineStr"/>
      <c r="I9" s="16" t="inlineStr"/>
      <c r="J9" s="39">
        <f>IFERROR(H9*I9,"")</f>
        <v/>
      </c>
      <c r="K9" s="16" t="inlineStr">
        <is>
          <t>Y</t>
        </is>
      </c>
    </row>
    <row r="10" ht="22" customHeight="1">
      <c r="B10" s="8" t="inlineStr">
        <is>
          <t>NSS/ACT/0006</t>
        </is>
      </c>
      <c r="C10" s="9" t="inlineStr"/>
      <c r="D10" s="10" t="inlineStr">
        <is>
          <t>Voter Awareness</t>
        </is>
      </c>
      <c r="E10" s="10" t="inlineStr"/>
      <c r="F10" s="9" t="inlineStr"/>
      <c r="G10" s="10" t="inlineStr"/>
      <c r="H10" s="10" t="inlineStr"/>
      <c r="I10" s="10" t="inlineStr"/>
      <c r="J10" s="37">
        <f>IFERROR(H10*I10,"")</f>
        <v/>
      </c>
      <c r="K10" s="10" t="inlineStr">
        <is>
          <t>Y</t>
        </is>
      </c>
    </row>
    <row r="11" ht="22" customHeight="1">
      <c r="B11" s="14" t="inlineStr">
        <is>
          <t>NSS/ACT/0007</t>
        </is>
      </c>
      <c r="C11" s="15" t="inlineStr"/>
      <c r="D11" s="16" t="inlineStr">
        <is>
          <t>Disaster Preparedness &amp; First Aid</t>
        </is>
      </c>
      <c r="E11" s="16" t="inlineStr"/>
      <c r="F11" s="15" t="inlineStr"/>
      <c r="G11" s="16" t="inlineStr"/>
      <c r="H11" s="16" t="inlineStr"/>
      <c r="I11" s="16" t="inlineStr"/>
      <c r="J11" s="39">
        <f>IFERROR(H11*I11,"")</f>
        <v/>
      </c>
      <c r="K11" s="16" t="inlineStr">
        <is>
          <t>Y</t>
        </is>
      </c>
    </row>
    <row r="12" ht="22" customHeight="1">
      <c r="B12" s="8" t="inlineStr">
        <is>
          <t>NSS/ACT/0008</t>
        </is>
      </c>
      <c r="C12" s="9" t="inlineStr"/>
      <c r="D12" s="10" t="inlineStr">
        <is>
          <t>Anti-Drug Awareness</t>
        </is>
      </c>
      <c r="E12" s="10" t="inlineStr"/>
      <c r="F12" s="9" t="inlineStr"/>
      <c r="G12" s="10" t="inlineStr"/>
      <c r="H12" s="10" t="inlineStr"/>
      <c r="I12" s="10" t="inlineStr"/>
      <c r="J12" s="37">
        <f>IFERROR(H12*I12,"")</f>
        <v/>
      </c>
      <c r="K12" s="10" t="inlineStr">
        <is>
          <t>Y</t>
        </is>
      </c>
    </row>
    <row r="13" ht="22" customHeight="1">
      <c r="B13" s="14" t="inlineStr">
        <is>
          <t>NSS/ACT/0009</t>
        </is>
      </c>
      <c r="C13" s="15" t="inlineStr"/>
      <c r="D13" s="16" t="inlineStr">
        <is>
          <t>Road Safety Campaign</t>
        </is>
      </c>
      <c r="E13" s="16" t="inlineStr"/>
      <c r="F13" s="15" t="inlineStr"/>
      <c r="G13" s="16" t="inlineStr"/>
      <c r="H13" s="16" t="inlineStr"/>
      <c r="I13" s="16" t="inlineStr"/>
      <c r="J13" s="39">
        <f>IFERROR(H13*I13,"")</f>
        <v/>
      </c>
      <c r="K13" s="16" t="inlineStr">
        <is>
          <t>Y</t>
        </is>
      </c>
    </row>
    <row r="14" ht="22" customHeight="1">
      <c r="B14" s="8" t="inlineStr">
        <is>
          <t>NSS/ACT/0010</t>
        </is>
      </c>
      <c r="C14" s="9" t="inlineStr"/>
      <c r="D14" s="10" t="inlineStr">
        <is>
          <t>Village Adoption &amp; Development</t>
        </is>
      </c>
      <c r="E14" s="10" t="inlineStr"/>
      <c r="F14" s="9" t="inlineStr"/>
      <c r="G14" s="10" t="inlineStr"/>
      <c r="H14" s="10" t="inlineStr"/>
      <c r="I14" s="10" t="inlineStr"/>
      <c r="J14" s="37">
        <f>IFERROR(H14*I14,"")</f>
        <v/>
      </c>
      <c r="K14" s="10" t="inlineStr">
        <is>
          <t>Y</t>
        </is>
      </c>
    </row>
    <row r="15" ht="22" customHeight="1">
      <c r="B15" s="14" t="inlineStr">
        <is>
          <t>NSS/ACT/0011</t>
        </is>
      </c>
      <c r="C15" s="15" t="inlineStr"/>
      <c r="D15" s="16" t="inlineStr">
        <is>
          <t>Skill Development</t>
        </is>
      </c>
      <c r="E15" s="16" t="inlineStr"/>
      <c r="F15" s="15" t="inlineStr"/>
      <c r="G15" s="16" t="inlineStr"/>
      <c r="H15" s="16" t="inlineStr"/>
      <c r="I15" s="16" t="inlineStr"/>
      <c r="J15" s="39">
        <f>IFERROR(H15*I15,"")</f>
        <v/>
      </c>
      <c r="K15" s="16" t="inlineStr">
        <is>
          <t>Y</t>
        </is>
      </c>
    </row>
    <row r="16" ht="22" customHeight="1">
      <c r="B16" s="8" t="inlineStr">
        <is>
          <t>NSS/ACT/0012</t>
        </is>
      </c>
      <c r="C16" s="9" t="inlineStr"/>
      <c r="D16" s="10" t="inlineStr">
        <is>
          <t>Personality Development</t>
        </is>
      </c>
      <c r="E16" s="10" t="inlineStr"/>
      <c r="F16" s="9" t="inlineStr"/>
      <c r="G16" s="10" t="inlineStr"/>
      <c r="H16" s="10" t="inlineStr"/>
      <c r="I16" s="10" t="inlineStr"/>
      <c r="J16" s="37">
        <f>IFERROR(H16*I16,"")</f>
        <v/>
      </c>
      <c r="K16" s="10" t="inlineStr">
        <is>
          <t>Y</t>
        </is>
      </c>
    </row>
    <row r="17" ht="22" customHeight="1">
      <c r="B17" s="14" t="inlineStr">
        <is>
          <t>NSS/ACT/0013</t>
        </is>
      </c>
      <c r="C17" s="15" t="inlineStr"/>
      <c r="D17" s="16" t="inlineStr">
        <is>
          <t>Cultural Programme</t>
        </is>
      </c>
      <c r="E17" s="16" t="inlineStr"/>
      <c r="F17" s="15" t="inlineStr"/>
      <c r="G17" s="16" t="inlineStr"/>
      <c r="H17" s="16" t="inlineStr"/>
      <c r="I17" s="16" t="inlineStr"/>
      <c r="J17" s="39">
        <f>IFERROR(H17*I17,"")</f>
        <v/>
      </c>
      <c r="K17" s="16" t="inlineStr">
        <is>
          <t>Y</t>
        </is>
      </c>
    </row>
    <row r="18" ht="22" customHeight="1">
      <c r="B18" s="8" t="inlineStr">
        <is>
          <t>NSS/ACT/0014</t>
        </is>
      </c>
      <c r="C18" s="9" t="inlineStr"/>
      <c r="D18" s="10" t="inlineStr">
        <is>
          <t>Social Survey</t>
        </is>
      </c>
      <c r="E18" s="10" t="inlineStr"/>
      <c r="F18" s="9" t="inlineStr"/>
      <c r="G18" s="10" t="inlineStr"/>
      <c r="H18" s="10" t="inlineStr"/>
      <c r="I18" s="10" t="inlineStr"/>
      <c r="J18" s="37">
        <f>IFERROR(H18*I18,"")</f>
        <v/>
      </c>
      <c r="K18" s="10" t="inlineStr">
        <is>
          <t>Y</t>
        </is>
      </c>
    </row>
    <row r="19" ht="22" customHeight="1">
      <c r="B19" s="14" t="inlineStr">
        <is>
          <t>NSS/ACT/0015</t>
        </is>
      </c>
      <c r="C19" s="15" t="inlineStr"/>
      <c r="D19" s="16" t="inlineStr">
        <is>
          <t>AIDS/HIV Awareness</t>
        </is>
      </c>
      <c r="E19" s="16" t="inlineStr"/>
      <c r="F19" s="15" t="inlineStr"/>
      <c r="G19" s="16" t="inlineStr"/>
      <c r="H19" s="16" t="inlineStr"/>
      <c r="I19" s="16" t="inlineStr"/>
      <c r="J19" s="39">
        <f>IFERROR(H19*I19,"")</f>
        <v/>
      </c>
      <c r="K19" s="16" t="inlineStr">
        <is>
          <t>Y</t>
        </is>
      </c>
    </row>
    <row r="20" ht="22" customHeight="1">
      <c r="B20" s="8" t="inlineStr">
        <is>
          <t>NSS/ACT/0016</t>
        </is>
      </c>
      <c r="C20" s="9" t="inlineStr"/>
      <c r="D20" s="10" t="inlineStr">
        <is>
          <t>Water Conservation</t>
        </is>
      </c>
      <c r="E20" s="10" t="inlineStr"/>
      <c r="F20" s="9" t="inlineStr"/>
      <c r="G20" s="10" t="inlineStr"/>
      <c r="H20" s="10" t="inlineStr"/>
      <c r="I20" s="10" t="inlineStr"/>
      <c r="J20" s="37">
        <f>IFERROR(H20*I20,"")</f>
        <v/>
      </c>
      <c r="K20" s="10" t="inlineStr">
        <is>
          <t>Y</t>
        </is>
      </c>
    </row>
    <row r="21" ht="22" customHeight="1">
      <c r="B21" s="14" t="inlineStr">
        <is>
          <t>NSS/ACT/0017</t>
        </is>
      </c>
      <c r="C21" s="15" t="inlineStr"/>
      <c r="D21" s="16" t="inlineStr">
        <is>
          <t>Yoga &amp; Fitness</t>
        </is>
      </c>
      <c r="E21" s="16" t="inlineStr"/>
      <c r="F21" s="15" t="inlineStr"/>
      <c r="G21" s="16" t="inlineStr"/>
      <c r="H21" s="16" t="inlineStr"/>
      <c r="I21" s="16" t="inlineStr"/>
      <c r="J21" s="39">
        <f>IFERROR(H21*I21,"")</f>
        <v/>
      </c>
      <c r="K21" s="16" t="inlineStr">
        <is>
          <t>Y</t>
        </is>
      </c>
    </row>
    <row r="22" ht="22" customHeight="1">
      <c r="B22" s="8" t="inlineStr">
        <is>
          <t>NSS/ACT/0018</t>
        </is>
      </c>
      <c r="C22" s="9" t="inlineStr"/>
      <c r="D22" s="10" t="inlineStr">
        <is>
          <t>Anti-Ragging Awareness</t>
        </is>
      </c>
      <c r="E22" s="10" t="inlineStr"/>
      <c r="F22" s="9" t="inlineStr"/>
      <c r="G22" s="10" t="inlineStr"/>
      <c r="H22" s="10" t="inlineStr"/>
      <c r="I22" s="10" t="inlineStr"/>
      <c r="J22" s="37">
        <f>IFERROR(H22*I22,"")</f>
        <v/>
      </c>
      <c r="K22" s="10" t="inlineStr">
        <is>
          <t>Y</t>
        </is>
      </c>
    </row>
    <row r="23" ht="22" customHeight="1">
      <c r="B23" s="14" t="inlineStr">
        <is>
          <t>NSS/ACT/0019</t>
        </is>
      </c>
      <c r="C23" s="15" t="inlineStr"/>
      <c r="D23" s="16" t="inlineStr">
        <is>
          <t>Consumer Awareness</t>
        </is>
      </c>
      <c r="E23" s="16" t="inlineStr"/>
      <c r="F23" s="15" t="inlineStr"/>
      <c r="G23" s="16" t="inlineStr"/>
      <c r="H23" s="16" t="inlineStr"/>
      <c r="I23" s="16" t="inlineStr"/>
      <c r="J23" s="39">
        <f>IFERROR(H23*I23,"")</f>
        <v/>
      </c>
      <c r="K23" s="16" t="inlineStr">
        <is>
          <t>Y</t>
        </is>
      </c>
    </row>
    <row r="24" ht="22" customHeight="1">
      <c r="B24" s="8" t="inlineStr">
        <is>
          <t>NSS/ACT/0020</t>
        </is>
      </c>
      <c r="C24" s="9" t="inlineStr"/>
      <c r="D24" s="10" t="inlineStr">
        <is>
          <t>NSS Day Celebration</t>
        </is>
      </c>
      <c r="E24" s="10" t="inlineStr"/>
      <c r="F24" s="9" t="inlineStr"/>
      <c r="G24" s="10" t="inlineStr"/>
      <c r="H24" s="10" t="inlineStr"/>
      <c r="I24" s="10" t="inlineStr"/>
      <c r="J24" s="37">
        <f>IFERROR(H24*I24,"")</f>
        <v/>
      </c>
      <c r="K24" s="10" t="inlineStr">
        <is>
          <t>Y</t>
        </is>
      </c>
    </row>
    <row r="25" ht="22" customHeight="1">
      <c r="B25" s="14" t="inlineStr">
        <is>
          <t>NSS/ACT/0021</t>
        </is>
      </c>
      <c r="C25" s="15" t="inlineStr"/>
      <c r="D25" s="16" t="inlineStr">
        <is>
          <t>Cleanliness &amp; Swachh Bharat</t>
        </is>
      </c>
      <c r="E25" s="16" t="inlineStr"/>
      <c r="F25" s="15" t="inlineStr"/>
      <c r="G25" s="16" t="inlineStr"/>
      <c r="H25" s="16" t="inlineStr"/>
      <c r="I25" s="16" t="inlineStr"/>
      <c r="J25" s="39">
        <f>IFERROR(H25*I25,"")</f>
        <v/>
      </c>
      <c r="K25" s="16" t="inlineStr">
        <is>
          <t>Y</t>
        </is>
      </c>
    </row>
    <row r="26" ht="22" customHeight="1">
      <c r="B26" s="8" t="inlineStr">
        <is>
          <t>NSS/ACT/0022</t>
        </is>
      </c>
      <c r="C26" s="9" t="inlineStr"/>
      <c r="D26" s="10" t="inlineStr">
        <is>
          <t>Health &amp; Blood Donation</t>
        </is>
      </c>
      <c r="E26" s="10" t="inlineStr"/>
      <c r="F26" s="9" t="inlineStr"/>
      <c r="G26" s="10" t="inlineStr"/>
      <c r="H26" s="10" t="inlineStr"/>
      <c r="I26" s="10" t="inlineStr"/>
      <c r="J26" s="37">
        <f>IFERROR(H26*I26,"")</f>
        <v/>
      </c>
      <c r="K26" s="10" t="inlineStr">
        <is>
          <t>Y</t>
        </is>
      </c>
    </row>
    <row r="27" ht="22" customHeight="1">
      <c r="B27" s="14" t="inlineStr">
        <is>
          <t>NSS/ACT/0023</t>
        </is>
      </c>
      <c r="C27" s="15" t="inlineStr"/>
      <c r="D27" s="16" t="inlineStr">
        <is>
          <t>Environment &amp; Tree Plantation</t>
        </is>
      </c>
      <c r="E27" s="16" t="inlineStr"/>
      <c r="F27" s="15" t="inlineStr"/>
      <c r="G27" s="16" t="inlineStr"/>
      <c r="H27" s="16" t="inlineStr"/>
      <c r="I27" s="16" t="inlineStr"/>
      <c r="J27" s="39">
        <f>IFERROR(H27*I27,"")</f>
        <v/>
      </c>
      <c r="K27" s="16" t="inlineStr">
        <is>
          <t>Y</t>
        </is>
      </c>
    </row>
    <row r="28" ht="22" customHeight="1">
      <c r="B28" s="8" t="inlineStr">
        <is>
          <t>NSS/ACT/0024</t>
        </is>
      </c>
      <c r="C28" s="9" t="inlineStr"/>
      <c r="D28" s="10" t="inlineStr">
        <is>
          <t>Literacy &amp; Digital Awareness</t>
        </is>
      </c>
      <c r="E28" s="10" t="inlineStr"/>
      <c r="F28" s="9" t="inlineStr"/>
      <c r="G28" s="10" t="inlineStr"/>
      <c r="H28" s="10" t="inlineStr"/>
      <c r="I28" s="10" t="inlineStr"/>
      <c r="J28" s="37">
        <f>IFERROR(H28*I28,"")</f>
        <v/>
      </c>
      <c r="K28" s="10" t="inlineStr">
        <is>
          <t>Y</t>
        </is>
      </c>
    </row>
    <row r="29" ht="22" customHeight="1">
      <c r="B29" s="14" t="inlineStr">
        <is>
          <t>NSS/ACT/0025</t>
        </is>
      </c>
      <c r="C29" s="15" t="inlineStr"/>
      <c r="D29" s="16" t="inlineStr">
        <is>
          <t>Gender Sensitivity &amp; Women Empowerment</t>
        </is>
      </c>
      <c r="E29" s="16" t="inlineStr"/>
      <c r="F29" s="15" t="inlineStr"/>
      <c r="G29" s="16" t="inlineStr"/>
      <c r="H29" s="16" t="inlineStr"/>
      <c r="I29" s="16" t="inlineStr"/>
      <c r="J29" s="39">
        <f>IFERROR(H29*I29,"")</f>
        <v/>
      </c>
      <c r="K29" s="16" t="inlineStr">
        <is>
          <t>Y</t>
        </is>
      </c>
    </row>
    <row r="30" ht="22" customHeight="1">
      <c r="B30" s="8" t="inlineStr">
        <is>
          <t>NSS/ACT/0026</t>
        </is>
      </c>
      <c r="C30" s="9" t="inlineStr"/>
      <c r="D30" s="10" t="inlineStr">
        <is>
          <t>Voter Awareness</t>
        </is>
      </c>
      <c r="E30" s="10" t="inlineStr"/>
      <c r="F30" s="9" t="inlineStr"/>
      <c r="G30" s="10" t="inlineStr"/>
      <c r="H30" s="10" t="inlineStr"/>
      <c r="I30" s="10" t="inlineStr"/>
      <c r="J30" s="37">
        <f>IFERROR(H30*I30,"")</f>
        <v/>
      </c>
      <c r="K30" s="10" t="inlineStr">
        <is>
          <t>Y</t>
        </is>
      </c>
    </row>
    <row r="31" ht="22" customHeight="1">
      <c r="B31" s="14" t="inlineStr">
        <is>
          <t>NSS/ACT/0027</t>
        </is>
      </c>
      <c r="C31" s="15" t="inlineStr"/>
      <c r="D31" s="16" t="inlineStr">
        <is>
          <t>Disaster Preparedness &amp; First Aid</t>
        </is>
      </c>
      <c r="E31" s="16" t="inlineStr"/>
      <c r="F31" s="15" t="inlineStr"/>
      <c r="G31" s="16" t="inlineStr"/>
      <c r="H31" s="16" t="inlineStr"/>
      <c r="I31" s="16" t="inlineStr"/>
      <c r="J31" s="39">
        <f>IFERROR(H31*I31,"")</f>
        <v/>
      </c>
      <c r="K31" s="16" t="inlineStr">
        <is>
          <t>Y</t>
        </is>
      </c>
    </row>
    <row r="32" ht="22" customHeight="1">
      <c r="B32" s="8" t="inlineStr">
        <is>
          <t>NSS/ACT/0028</t>
        </is>
      </c>
      <c r="C32" s="9" t="inlineStr"/>
      <c r="D32" s="10" t="inlineStr">
        <is>
          <t>Anti-Drug Awareness</t>
        </is>
      </c>
      <c r="E32" s="10" t="inlineStr"/>
      <c r="F32" s="9" t="inlineStr"/>
      <c r="G32" s="10" t="inlineStr"/>
      <c r="H32" s="10" t="inlineStr"/>
      <c r="I32" s="10" t="inlineStr"/>
      <c r="J32" s="37">
        <f>IFERROR(H32*I32,"")</f>
        <v/>
      </c>
      <c r="K32" s="10" t="inlineStr">
        <is>
          <t>Y</t>
        </is>
      </c>
    </row>
    <row r="33" ht="22" customHeight="1">
      <c r="B33" s="14" t="inlineStr">
        <is>
          <t>NSS/ACT/0029</t>
        </is>
      </c>
      <c r="C33" s="15" t="inlineStr"/>
      <c r="D33" s="16" t="inlineStr">
        <is>
          <t>Road Safety Campaign</t>
        </is>
      </c>
      <c r="E33" s="16" t="inlineStr"/>
      <c r="F33" s="15" t="inlineStr"/>
      <c r="G33" s="16" t="inlineStr"/>
      <c r="H33" s="16" t="inlineStr"/>
      <c r="I33" s="16" t="inlineStr"/>
      <c r="J33" s="39">
        <f>IFERROR(H33*I33,"")</f>
        <v/>
      </c>
      <c r="K33" s="16" t="inlineStr">
        <is>
          <t>Y</t>
        </is>
      </c>
    </row>
    <row r="34" ht="22" customHeight="1">
      <c r="B34" s="8" t="inlineStr">
        <is>
          <t>NSS/ACT/0030</t>
        </is>
      </c>
      <c r="C34" s="9" t="inlineStr"/>
      <c r="D34" s="10" t="inlineStr">
        <is>
          <t>Village Adoption &amp; Development</t>
        </is>
      </c>
      <c r="E34" s="10" t="inlineStr"/>
      <c r="F34" s="9" t="inlineStr"/>
      <c r="G34" s="10" t="inlineStr"/>
      <c r="H34" s="10" t="inlineStr"/>
      <c r="I34" s="10" t="inlineStr"/>
      <c r="J34" s="37">
        <f>IFERROR(H34*I34,"")</f>
        <v/>
      </c>
      <c r="K34" s="10" t="inlineStr">
        <is>
          <t>Y</t>
        </is>
      </c>
    </row>
    <row r="35" ht="22" customHeight="1">
      <c r="B35" s="14" t="inlineStr">
        <is>
          <t>NSS/ACT/0031</t>
        </is>
      </c>
      <c r="C35" s="15" t="inlineStr"/>
      <c r="D35" s="16" t="inlineStr">
        <is>
          <t>Skill Development</t>
        </is>
      </c>
      <c r="E35" s="16" t="inlineStr"/>
      <c r="F35" s="15" t="inlineStr"/>
      <c r="G35" s="16" t="inlineStr"/>
      <c r="H35" s="16" t="inlineStr"/>
      <c r="I35" s="16" t="inlineStr"/>
      <c r="J35" s="39">
        <f>IFERROR(H35*I35,"")</f>
        <v/>
      </c>
      <c r="K35" s="16" t="inlineStr">
        <is>
          <t>Y</t>
        </is>
      </c>
    </row>
    <row r="36" ht="22" customHeight="1">
      <c r="B36" s="8" t="inlineStr">
        <is>
          <t>NSS/ACT/0032</t>
        </is>
      </c>
      <c r="C36" s="9" t="inlineStr"/>
      <c r="D36" s="10" t="inlineStr">
        <is>
          <t>Personality Development</t>
        </is>
      </c>
      <c r="E36" s="10" t="inlineStr"/>
      <c r="F36" s="9" t="inlineStr"/>
      <c r="G36" s="10" t="inlineStr"/>
      <c r="H36" s="10" t="inlineStr"/>
      <c r="I36" s="10" t="inlineStr"/>
      <c r="J36" s="37">
        <f>IFERROR(H36*I36,"")</f>
        <v/>
      </c>
      <c r="K36" s="10" t="inlineStr">
        <is>
          <t>Y</t>
        </is>
      </c>
    </row>
    <row r="37" ht="22" customHeight="1"/>
    <row r="38" ht="24" customHeight="1">
      <c r="B38" s="34" t="inlineStr">
        <is>
          <t>ACTIVITY SUMMARY</t>
        </is>
      </c>
    </row>
    <row r="39" ht="22" customHeight="1">
      <c r="B39" s="38" t="inlineStr">
        <is>
          <t>Total Activities Conducted</t>
        </is>
      </c>
      <c r="C39" s="82" t="n"/>
      <c r="D39" s="82" t="n"/>
      <c r="E39" s="83" t="n"/>
      <c r="F39" s="36">
        <f>COUNTA(B5:B36)</f>
        <v/>
      </c>
      <c r="G39" s="82" t="n"/>
      <c r="H39" s="82" t="n"/>
      <c r="I39" s="82" t="n"/>
      <c r="J39" s="82" t="n"/>
      <c r="K39" s="83" t="n"/>
    </row>
    <row r="40" ht="22" customHeight="1">
      <c r="B40" s="25" t="inlineStr">
        <is>
          <t>Total Volunteer Hours (Regular)</t>
        </is>
      </c>
      <c r="C40" s="82" t="n"/>
      <c r="D40" s="82" t="n"/>
      <c r="E40" s="83" t="n"/>
      <c r="F40" s="37">
        <f>IFERROR(SUM(J5:J36),"")</f>
        <v/>
      </c>
      <c r="G40" s="82" t="n"/>
      <c r="H40" s="82" t="n"/>
      <c r="I40" s="82" t="n"/>
      <c r="J40" s="82" t="n"/>
      <c r="K40" s="83" t="n"/>
    </row>
    <row r="41" ht="22" customHeight="1">
      <c r="B41" s="38" t="inlineStr">
        <is>
          <t>Average Volunteers per Activity</t>
        </is>
      </c>
      <c r="C41" s="82" t="n"/>
      <c r="D41" s="82" t="n"/>
      <c r="E41" s="83" t="n"/>
      <c r="F41" s="36">
        <f>IFERROR(ROUND(AVERAGE(H5:H36),0),"")</f>
        <v/>
      </c>
      <c r="G41" s="82" t="n"/>
      <c r="H41" s="82" t="n"/>
      <c r="I41" s="82" t="n"/>
      <c r="J41" s="82" t="n"/>
      <c r="K41" s="83" t="n"/>
    </row>
    <row r="42">
      <c r="B42" s="25" t="inlineStr">
        <is>
          <t>Activities with Report Done</t>
        </is>
      </c>
      <c r="C42" s="82" t="n"/>
      <c r="D42" s="82" t="n"/>
      <c r="E42" s="83" t="n"/>
      <c r="F42" s="37">
        <f>COUNTIF(K5:K36,"Y")</f>
        <v/>
      </c>
      <c r="G42" s="82" t="n"/>
      <c r="H42" s="82" t="n"/>
      <c r="I42" s="82" t="n"/>
      <c r="J42" s="82" t="n"/>
      <c r="K42" s="83" t="n"/>
    </row>
    <row r="43">
      <c r="B43" s="38" t="inlineStr">
        <is>
          <t>Most Active Category</t>
        </is>
      </c>
      <c r="C43" s="82" t="n"/>
      <c r="D43" s="82" t="n"/>
      <c r="E43" s="83" t="n"/>
      <c r="F43" s="36" t="inlineStr"/>
      <c r="G43" s="82" t="n"/>
      <c r="H43" s="82" t="n"/>
      <c r="I43" s="82" t="n"/>
      <c r="J43" s="82" t="n"/>
      <c r="K43" s="83" t="n"/>
    </row>
    <row r="44">
      <c r="B44" s="25" t="inlineStr">
        <is>
          <t>Target (120 hrs per volunteer) — Met?</t>
        </is>
      </c>
      <c r="C44" s="82" t="n"/>
      <c r="D44" s="82" t="n"/>
      <c r="E44" s="83" t="n"/>
      <c r="F44" s="37" t="inlineStr"/>
      <c r="G44" s="82" t="n"/>
      <c r="H44" s="82" t="n"/>
      <c r="I44" s="82" t="n"/>
      <c r="J44" s="82" t="n"/>
      <c r="K44" s="83" t="n"/>
    </row>
  </sheetData>
  <mergeCells count="15">
    <mergeCell ref="B40:E40"/>
    <mergeCell ref="B41:E41"/>
    <mergeCell ref="B43:E43"/>
    <mergeCell ref="F42:K42"/>
    <mergeCell ref="B44:E44"/>
    <mergeCell ref="F40:K40"/>
    <mergeCell ref="F41:K41"/>
    <mergeCell ref="B39:E39"/>
    <mergeCell ref="B38:K38"/>
    <mergeCell ref="B2:K2"/>
    <mergeCell ref="F43:K43"/>
    <mergeCell ref="B42:E42"/>
    <mergeCell ref="F44:K44"/>
    <mergeCell ref="B3:K3"/>
    <mergeCell ref="F39:K3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E5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2" customWidth="1" min="3" max="3"/>
    <col width="20" customWidth="1" min="4" max="4"/>
    <col width="20" customWidth="1" min="5" max="5"/>
    <col width="3" customWidth="1" min="6" max="6"/>
  </cols>
  <sheetData>
    <row r="1" ht="10" customHeight="1"/>
    <row r="2" ht="52" customHeight="1">
      <c r="B2" s="12" t="inlineStr">
        <is>
          <t>NSS-06: SPECIAL CAMP PLANNING &amp; POST-CAMP REPORT</t>
        </is>
      </c>
    </row>
    <row r="3" ht="20" customHeight="1">
      <c r="B3" s="17" t="inlineStr">
        <is>
          <t>Special Camp: Minimum 7 consecutive days, in adopted village / service location, minimum 60% volunteers must attend. Each day = 8 hours service. Report to State NSS Cell within 30 days of camp.</t>
        </is>
      </c>
    </row>
    <row r="4" ht="25" customHeight="1">
      <c r="B4" s="2" t="inlineStr">
        <is>
          <t>Camp Ref.: NSS/CAMP/______/______   Academic Year: _______   NSS PO: ___________________</t>
        </is>
      </c>
    </row>
    <row r="5" ht="24" customHeight="1">
      <c r="B5" s="19" t="inlineStr">
        <is>
          <t>SECTION A — CAMP DETAILS</t>
        </is>
      </c>
    </row>
    <row r="6" ht="26" customHeight="1">
      <c r="B6" s="40" t="inlineStr">
        <is>
          <t>Camp Location / Village:</t>
        </is>
      </c>
      <c r="C6" s="9" t="n"/>
      <c r="D6" s="82" t="n"/>
      <c r="E6" s="83" t="n"/>
    </row>
    <row r="7" ht="26" customHeight="1">
      <c r="B7" s="40" t="inlineStr">
        <is>
          <t>District / State:</t>
        </is>
      </c>
      <c r="C7" s="9" t="n"/>
      <c r="D7" s="82" t="n"/>
      <c r="E7" s="83" t="n"/>
    </row>
    <row r="8" ht="26" customHeight="1">
      <c r="B8" s="40" t="inlineStr">
        <is>
          <t>Host Organisation (if any):</t>
        </is>
      </c>
      <c r="C8" s="9" t="n"/>
      <c r="D8" s="82" t="n"/>
      <c r="E8" s="83" t="n"/>
    </row>
    <row r="9" ht="26" customHeight="1">
      <c r="B9" s="40" t="inlineStr">
        <is>
          <t>Camp Dates:</t>
        </is>
      </c>
      <c r="C9" s="41" t="inlineStr">
        <is>
          <t>From: _______   To: _______   Total Days: 7 days</t>
        </is>
      </c>
      <c r="D9" s="82" t="n"/>
      <c r="E9" s="83" t="n"/>
    </row>
    <row r="10" ht="26" customHeight="1">
      <c r="B10" s="40" t="inlineStr">
        <is>
          <t>Theme of Camp:</t>
        </is>
      </c>
      <c r="C10" s="9" t="n"/>
      <c r="D10" s="82" t="n"/>
      <c r="E10" s="83" t="n"/>
    </row>
    <row r="11" ht="26" customHeight="1">
      <c r="B11" s="40" t="inlineStr">
        <is>
          <t>Adopted Village / Area:</t>
        </is>
      </c>
      <c r="C11" s="9" t="n"/>
      <c r="D11" s="82" t="n"/>
      <c r="E11" s="83" t="n"/>
    </row>
    <row r="12" ht="26" customHeight="1">
      <c r="B12" s="40" t="inlineStr">
        <is>
          <t>No. of Volunteers Participated:</t>
        </is>
      </c>
      <c r="C12" s="9" t="n"/>
      <c r="D12" s="82" t="n"/>
      <c r="E12" s="83" t="n"/>
    </row>
    <row r="13" ht="26" customHeight="1">
      <c r="B13" s="40" t="inlineStr">
        <is>
          <t>% of Unit Strength Attending:</t>
        </is>
      </c>
      <c r="C13" s="9" t="n"/>
      <c r="D13" s="82" t="n"/>
      <c r="E13" s="83" t="n"/>
    </row>
    <row r="14" ht="26" customHeight="1">
      <c r="B14" s="40" t="inlineStr">
        <is>
          <t>NSS PO(s) Accompanying:</t>
        </is>
      </c>
      <c r="C14" s="9" t="n"/>
      <c r="D14" s="82" t="n"/>
      <c r="E14" s="83" t="n"/>
    </row>
    <row r="15" ht="26" customHeight="1">
      <c r="B15" s="40" t="inlineStr">
        <is>
          <t>Faculty / Staff Accompanying:</t>
        </is>
      </c>
      <c r="C15" s="9" t="n"/>
      <c r="D15" s="82" t="n"/>
      <c r="E15" s="83" t="n"/>
    </row>
    <row r="16" ht="26" customHeight="1">
      <c r="B16" s="40" t="inlineStr">
        <is>
          <t>Government / District Officer Visiting:</t>
        </is>
      </c>
      <c r="C16" s="41" t="inlineStr">
        <is>
          <t>[ ] Yes — Name: _______   [ ] No</t>
        </is>
      </c>
      <c r="D16" s="82" t="n"/>
      <c r="E16" s="83" t="n"/>
    </row>
    <row r="17" ht="28" customHeight="1"/>
    <row r="18" ht="24" customHeight="1">
      <c r="B18" s="34" t="inlineStr">
        <is>
          <t>SECTION B — DAY-WISE ACTIVITIES</t>
        </is>
      </c>
    </row>
    <row r="19" ht="28" customHeight="1">
      <c r="B19" s="30" t="inlineStr">
        <is>
          <t>Day</t>
        </is>
      </c>
      <c r="C19" s="30" t="inlineStr">
        <is>
          <t>Date</t>
        </is>
      </c>
      <c r="D19" s="30" t="inlineStr">
        <is>
          <t>Activity Conducted</t>
        </is>
      </c>
      <c r="E19" s="30" t="inlineStr">
        <is>
          <t>Community Benefit Achieved</t>
        </is>
      </c>
    </row>
    <row r="20" ht="30" customHeight="1">
      <c r="B20" s="31" t="inlineStr">
        <is>
          <t>Day 1</t>
        </is>
      </c>
      <c r="C20" s="33" t="inlineStr"/>
      <c r="D20" s="32" t="inlineStr"/>
      <c r="E20" s="32" t="inlineStr"/>
    </row>
    <row r="21" ht="30" customHeight="1">
      <c r="B21" s="8" t="inlineStr">
        <is>
          <t>Day 2</t>
        </is>
      </c>
      <c r="C21" s="10" t="inlineStr"/>
      <c r="D21" s="9" t="inlineStr"/>
      <c r="E21" s="9" t="inlineStr"/>
    </row>
    <row r="22" ht="30" customHeight="1">
      <c r="B22" s="31" t="inlineStr">
        <is>
          <t>Day 3</t>
        </is>
      </c>
      <c r="C22" s="33" t="inlineStr"/>
      <c r="D22" s="32" t="inlineStr"/>
      <c r="E22" s="32" t="inlineStr"/>
    </row>
    <row r="23" ht="30" customHeight="1">
      <c r="B23" s="8" t="inlineStr">
        <is>
          <t>Day 4</t>
        </is>
      </c>
      <c r="C23" s="10" t="inlineStr"/>
      <c r="D23" s="9" t="inlineStr"/>
      <c r="E23" s="9" t="inlineStr"/>
    </row>
    <row r="24" ht="30" customHeight="1">
      <c r="B24" s="31" t="inlineStr">
        <is>
          <t>Day 5</t>
        </is>
      </c>
      <c r="C24" s="33" t="inlineStr"/>
      <c r="D24" s="32" t="inlineStr"/>
      <c r="E24" s="32" t="inlineStr"/>
    </row>
    <row r="25" ht="30" customHeight="1">
      <c r="B25" s="8" t="inlineStr">
        <is>
          <t>Day 6</t>
        </is>
      </c>
      <c r="C25" s="10" t="inlineStr"/>
      <c r="D25" s="9" t="inlineStr"/>
      <c r="E25" s="9" t="inlineStr"/>
    </row>
    <row r="26" ht="30" customHeight="1">
      <c r="B26" s="31" t="inlineStr">
        <is>
          <t>Day 7</t>
        </is>
      </c>
      <c r="C26" s="33" t="inlineStr"/>
      <c r="D26" s="32" t="inlineStr"/>
      <c r="E26" s="32" t="inlineStr"/>
    </row>
    <row r="27" ht="28" customHeight="1"/>
    <row r="28" ht="24" customHeight="1">
      <c r="B28" s="19" t="inlineStr">
        <is>
          <t>SECTION C — CAMP OUTCOMES</t>
        </is>
      </c>
    </row>
    <row r="29" ht="26" customHeight="1">
      <c r="B29" s="42" t="inlineStr">
        <is>
          <t>Beneficiaries impacted (community):</t>
        </is>
      </c>
      <c r="C29" s="9" t="n"/>
      <c r="D29" s="82" t="n"/>
      <c r="E29" s="83" t="n"/>
    </row>
    <row r="30" ht="26" customHeight="1">
      <c r="B30" s="42" t="inlineStr">
        <is>
          <t>Infrastructure work completed:</t>
        </is>
      </c>
      <c r="C30" s="9" t="n"/>
      <c r="D30" s="82" t="n"/>
      <c r="E30" s="83" t="n"/>
    </row>
    <row r="31" ht="26" customHeight="1">
      <c r="B31" s="42" t="inlineStr">
        <is>
          <t>Health / medical services provided:</t>
        </is>
      </c>
      <c r="C31" s="9" t="n"/>
      <c r="D31" s="82" t="n"/>
      <c r="E31" s="83" t="n"/>
    </row>
    <row r="32" ht="26" customHeight="1">
      <c r="B32" s="42" t="inlineStr">
        <is>
          <t>Awareness sessions conducted:</t>
        </is>
      </c>
      <c r="C32" s="9" t="n"/>
      <c r="D32" s="82" t="n"/>
      <c r="E32" s="83" t="n"/>
    </row>
    <row r="33" ht="26" customHeight="1">
      <c r="B33" s="42" t="inlineStr">
        <is>
          <t>Trees planted:</t>
        </is>
      </c>
      <c r="C33" s="9" t="n"/>
      <c r="D33" s="82" t="n"/>
      <c r="E33" s="83" t="n"/>
    </row>
    <row r="34" ht="26" customHeight="1">
      <c r="B34" s="42" t="inlineStr">
        <is>
          <t>Sanitation / cleanliness work done:</t>
        </is>
      </c>
      <c r="C34" s="9" t="n"/>
      <c r="D34" s="82" t="n"/>
      <c r="E34" s="83" t="n"/>
    </row>
    <row r="35" ht="26" customHeight="1">
      <c r="B35" s="42" t="inlineStr">
        <is>
          <t>Skill training imparted:</t>
        </is>
      </c>
      <c r="C35" s="9" t="n"/>
      <c r="D35" s="82" t="n"/>
      <c r="E35" s="83" t="n"/>
    </row>
    <row r="36" ht="26" customHeight="1">
      <c r="B36" s="42" t="inlineStr">
        <is>
          <t>Village survey / data collection:</t>
        </is>
      </c>
      <c r="C36" s="9" t="n"/>
      <c r="D36" s="82" t="n"/>
      <c r="E36" s="83" t="n"/>
    </row>
    <row r="37" ht="26" customHeight="1">
      <c r="B37" s="42" t="inlineStr">
        <is>
          <t>Best volunteer of camp:</t>
        </is>
      </c>
      <c r="C37" s="9" t="n"/>
      <c r="D37" s="82" t="n"/>
      <c r="E37" s="83" t="n"/>
    </row>
    <row r="38" ht="26" customHeight="1">
      <c r="B38" s="42" t="inlineStr">
        <is>
          <t>Overall camp rating:</t>
        </is>
      </c>
      <c r="C38" s="41" t="inlineStr">
        <is>
          <t>[ ] Excellent  [ ] Good  [ ] Average  [ ] Below Expectation</t>
        </is>
      </c>
      <c r="D38" s="82" t="n"/>
      <c r="E38" s="83" t="n"/>
    </row>
    <row r="39" ht="28" customHeight="1"/>
    <row r="40" ht="24" customHeight="1">
      <c r="B40" s="43" t="inlineStr">
        <is>
          <t>SECTION D — DOCUMENTATION CHECKLIST</t>
        </is>
      </c>
    </row>
    <row r="41" ht="22" customHeight="1">
      <c r="B41" s="44" t="inlineStr">
        <is>
          <t>[ ]  Day-wise attendance register maintained</t>
        </is>
      </c>
      <c r="C41" s="82" t="n"/>
      <c r="D41" s="82" t="n"/>
      <c r="E41" s="83" t="n"/>
    </row>
    <row r="42" ht="22" customHeight="1">
      <c r="B42" s="45" t="inlineStr">
        <is>
          <t>[ ]  Daily diary / logbook completed by volunteers</t>
        </is>
      </c>
      <c r="C42" s="82" t="n"/>
      <c r="D42" s="82" t="n"/>
      <c r="E42" s="83" t="n"/>
    </row>
    <row r="43" ht="22" customHeight="1">
      <c r="B43" s="44" t="inlineStr">
        <is>
          <t>[ ]  Photographs (min. 100 photos) taken and archived</t>
        </is>
      </c>
      <c r="C43" s="82" t="n"/>
      <c r="D43" s="82" t="n"/>
      <c r="E43" s="83" t="n"/>
    </row>
    <row r="44" ht="22" customHeight="1">
      <c r="B44" s="45" t="inlineStr">
        <is>
          <t>[ ]  Video documentation done</t>
        </is>
      </c>
      <c r="C44" s="82" t="n"/>
      <c r="D44" s="82" t="n"/>
      <c r="E44" s="83" t="n"/>
    </row>
    <row r="45" ht="22" customHeight="1">
      <c r="B45" s="44" t="inlineStr">
        <is>
          <t>[ ]  Community impact report written</t>
        </is>
      </c>
      <c r="C45" s="82" t="n"/>
      <c r="D45" s="82" t="n"/>
      <c r="E45" s="83" t="n"/>
    </row>
    <row r="46" ht="22" customHeight="1">
      <c r="B46" s="45" t="inlineStr">
        <is>
          <t>[ ]  Financial accounts / bills submitted</t>
        </is>
      </c>
      <c r="C46" s="82" t="n"/>
      <c r="D46" s="82" t="n"/>
      <c r="E46" s="83" t="n"/>
    </row>
    <row r="47" ht="22" customHeight="1">
      <c r="B47" s="44" t="inlineStr">
        <is>
          <t>[ ]  Report submitted to NSS Regional Director (within 30 days)</t>
        </is>
      </c>
      <c r="C47" s="82" t="n"/>
      <c r="D47" s="82" t="n"/>
      <c r="E47" s="83" t="n"/>
    </row>
    <row r="48" ht="22" customHeight="1">
      <c r="B48" s="45" t="inlineStr">
        <is>
          <t>[ ]  Media / press coverage clipping archived</t>
        </is>
      </c>
      <c r="C48" s="82" t="n"/>
      <c r="D48" s="82" t="n"/>
      <c r="E48" s="83" t="n"/>
    </row>
    <row r="49" ht="22" customHeight="1">
      <c r="B49" s="44" t="inlineStr">
        <is>
          <t>[ ]  Volunteer feedback forms collected</t>
        </is>
      </c>
      <c r="C49" s="82" t="n"/>
      <c r="D49" s="82" t="n"/>
      <c r="E49" s="83" t="n"/>
    </row>
    <row r="50" ht="22" customHeight="1">
      <c r="B50" s="45" t="inlineStr">
        <is>
          <t>[ ]  Best volunteer certificate issued</t>
        </is>
      </c>
      <c r="C50" s="82" t="n"/>
      <c r="D50" s="82" t="n"/>
      <c r="E50" s="83" t="n"/>
    </row>
    <row r="51" ht="28" customHeight="1"/>
    <row r="52" ht="28" customHeight="1">
      <c r="B52" s="29" t="inlineStr">
        <is>
          <t>NSS PO Signature: ___________________    Principal: ___________________    Date of Submission to Reg. Director: ___________________</t>
        </is>
      </c>
    </row>
    <row r="53" ht="28" customHeight="1"/>
    <row r="54" ht="28" customHeight="1"/>
  </sheetData>
  <mergeCells count="39">
    <mergeCell ref="C16:E16"/>
    <mergeCell ref="B40:E40"/>
    <mergeCell ref="B49:E49"/>
    <mergeCell ref="C31:E31"/>
    <mergeCell ref="C9:E9"/>
    <mergeCell ref="B5:E5"/>
    <mergeCell ref="C12:E12"/>
    <mergeCell ref="B45:E45"/>
    <mergeCell ref="C36:E36"/>
    <mergeCell ref="C11:E11"/>
    <mergeCell ref="B41:E41"/>
    <mergeCell ref="B4:E4"/>
    <mergeCell ref="B50:E50"/>
    <mergeCell ref="C8:E8"/>
    <mergeCell ref="B3:E3"/>
    <mergeCell ref="B47:E47"/>
    <mergeCell ref="C7:E7"/>
    <mergeCell ref="B46:E46"/>
    <mergeCell ref="C32:E32"/>
    <mergeCell ref="C38:E38"/>
    <mergeCell ref="B18:E18"/>
    <mergeCell ref="C13:E13"/>
    <mergeCell ref="C37:E37"/>
    <mergeCell ref="B43:E43"/>
    <mergeCell ref="B52:E52"/>
    <mergeCell ref="B48:E48"/>
    <mergeCell ref="B2:E2"/>
    <mergeCell ref="C30:E30"/>
    <mergeCell ref="C34:E34"/>
    <mergeCell ref="C15:E15"/>
    <mergeCell ref="B42:E42"/>
    <mergeCell ref="C6:E6"/>
    <mergeCell ref="C33:E33"/>
    <mergeCell ref="C14:E14"/>
    <mergeCell ref="B44:E44"/>
    <mergeCell ref="C29:E29"/>
    <mergeCell ref="B28:E28"/>
    <mergeCell ref="C35:E35"/>
    <mergeCell ref="C10:E1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K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4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3" customWidth="1" min="12" max="12"/>
  </cols>
  <sheetData>
    <row r="1" ht="10" customHeight="1"/>
    <row r="2" ht="48" customHeight="1">
      <c r="B2" s="12" t="inlineStr">
        <is>
          <t>NSS-10: HEALTH CAMP &amp; BLOOD DONATION REGISTER</t>
        </is>
      </c>
    </row>
    <row r="3" ht="20" customHeight="1">
      <c r="B3" s="17" t="inlineStr">
        <is>
          <t>Blood donation camps are high-value NSS evidence. Coordinate with recognised blood bank. All donors must be 18–65 years, weight ≥45 kg, no medical contraindications. Retain blood bank certificate.</t>
        </is>
      </c>
    </row>
    <row r="4" ht="25" customHeight="1">
      <c r="B4" s="46" t="inlineStr">
        <is>
          <t>Camp
Ref.</t>
        </is>
      </c>
      <c r="C4" s="46" t="inlineStr">
        <is>
          <t>Camp / Event Title</t>
        </is>
      </c>
      <c r="D4" s="46" t="inlineStr">
        <is>
          <t>Type</t>
        </is>
      </c>
      <c r="E4" s="46" t="inlineStr">
        <is>
          <t>Date</t>
        </is>
      </c>
      <c r="F4" s="46" t="inlineStr">
        <is>
          <t>Venue</t>
        </is>
      </c>
      <c r="G4" s="46" t="inlineStr">
        <is>
          <t>Partnering
Agency</t>
        </is>
      </c>
      <c r="H4" s="46" t="inlineStr">
        <is>
          <t>Students
Participated</t>
        </is>
      </c>
      <c r="I4" s="46" t="inlineStr">
        <is>
          <t>Units
Donated</t>
        </is>
      </c>
      <c r="J4" s="46" t="inlineStr">
        <is>
          <t>Beneficiaries
Reached</t>
        </is>
      </c>
      <c r="K4" s="46" t="inlineStr">
        <is>
          <t>Certificate /
Report Done</t>
        </is>
      </c>
    </row>
    <row r="5" ht="22" customHeight="1">
      <c r="B5" s="47" t="inlineStr">
        <is>
          <t>NSS/HLTH/001</t>
        </is>
      </c>
      <c r="C5" s="48" t="inlineStr"/>
      <c r="D5" s="49" t="inlineStr">
        <is>
          <t>Blood Donation Camp</t>
        </is>
      </c>
      <c r="E5" s="49" t="inlineStr"/>
      <c r="F5" s="48" t="inlineStr"/>
      <c r="G5" s="48" t="inlineStr"/>
      <c r="H5" s="49" t="inlineStr"/>
      <c r="I5" s="49" t="inlineStr"/>
      <c r="J5" s="49" t="inlineStr"/>
      <c r="K5" s="49" t="inlineStr">
        <is>
          <t>Y</t>
        </is>
      </c>
    </row>
    <row r="6" ht="22" customHeight="1">
      <c r="B6" s="8" t="inlineStr">
        <is>
          <t>NSS/HLTH/002</t>
        </is>
      </c>
      <c r="C6" s="9" t="inlineStr"/>
      <c r="D6" s="10" t="inlineStr">
        <is>
          <t>Eye Check-up Camp</t>
        </is>
      </c>
      <c r="E6" s="10" t="inlineStr"/>
      <c r="F6" s="9" t="inlineStr"/>
      <c r="G6" s="9" t="inlineStr"/>
      <c r="H6" s="10" t="inlineStr"/>
      <c r="I6" s="10" t="inlineStr"/>
      <c r="J6" s="10" t="inlineStr"/>
      <c r="K6" s="10" t="inlineStr">
        <is>
          <t>Y</t>
        </is>
      </c>
    </row>
    <row r="7" ht="22" customHeight="1">
      <c r="B7" s="47" t="inlineStr">
        <is>
          <t>NSS/HLTH/003</t>
        </is>
      </c>
      <c r="C7" s="48" t="inlineStr"/>
      <c r="D7" s="49" t="inlineStr">
        <is>
          <t>Dental Check-up Camp</t>
        </is>
      </c>
      <c r="E7" s="49" t="inlineStr"/>
      <c r="F7" s="48" t="inlineStr"/>
      <c r="G7" s="48" t="inlineStr"/>
      <c r="H7" s="49" t="inlineStr"/>
      <c r="I7" s="49" t="inlineStr"/>
      <c r="J7" s="49" t="inlineStr"/>
      <c r="K7" s="49" t="inlineStr">
        <is>
          <t>Y</t>
        </is>
      </c>
    </row>
    <row r="8" ht="22" customHeight="1">
      <c r="B8" s="8" t="inlineStr">
        <is>
          <t>NSS/HLTH/004</t>
        </is>
      </c>
      <c r="C8" s="9" t="inlineStr"/>
      <c r="D8" s="10" t="inlineStr">
        <is>
          <t>General Health Check-up</t>
        </is>
      </c>
      <c r="E8" s="10" t="inlineStr"/>
      <c r="F8" s="9" t="inlineStr"/>
      <c r="G8" s="9" t="inlineStr"/>
      <c r="H8" s="10" t="inlineStr"/>
      <c r="I8" s="10" t="inlineStr"/>
      <c r="J8" s="10" t="inlineStr"/>
      <c r="K8" s="10" t="inlineStr">
        <is>
          <t>Y</t>
        </is>
      </c>
    </row>
    <row r="9" ht="22" customHeight="1">
      <c r="B9" s="47" t="inlineStr">
        <is>
          <t>NSS/HLTH/005</t>
        </is>
      </c>
      <c r="C9" s="48" t="inlineStr"/>
      <c r="D9" s="49" t="inlineStr">
        <is>
          <t>First Aid Training</t>
        </is>
      </c>
      <c r="E9" s="49" t="inlineStr"/>
      <c r="F9" s="48" t="inlineStr"/>
      <c r="G9" s="48" t="inlineStr"/>
      <c r="H9" s="49" t="inlineStr"/>
      <c r="I9" s="49" t="inlineStr"/>
      <c r="J9" s="49" t="inlineStr"/>
      <c r="K9" s="49" t="inlineStr">
        <is>
          <t>Y</t>
        </is>
      </c>
    </row>
    <row r="10" ht="22" customHeight="1">
      <c r="B10" s="8" t="inlineStr">
        <is>
          <t>NSS/HLTH/006</t>
        </is>
      </c>
      <c r="C10" s="9" t="inlineStr"/>
      <c r="D10" s="10" t="inlineStr">
        <is>
          <t>Mental Health Awareness</t>
        </is>
      </c>
      <c r="E10" s="10" t="inlineStr"/>
      <c r="F10" s="9" t="inlineStr"/>
      <c r="G10" s="9" t="inlineStr"/>
      <c r="H10" s="10" t="inlineStr"/>
      <c r="I10" s="10" t="inlineStr"/>
      <c r="J10" s="10" t="inlineStr"/>
      <c r="K10" s="10" t="inlineStr">
        <is>
          <t>Y</t>
        </is>
      </c>
    </row>
    <row r="11" ht="22" customHeight="1">
      <c r="B11" s="47" t="inlineStr">
        <is>
          <t>NSS/HLTH/007</t>
        </is>
      </c>
      <c r="C11" s="48" t="inlineStr"/>
      <c r="D11" s="49" t="inlineStr">
        <is>
          <t>Nutrition &amp; Diet Awareness</t>
        </is>
      </c>
      <c r="E11" s="49" t="inlineStr"/>
      <c r="F11" s="48" t="inlineStr"/>
      <c r="G11" s="48" t="inlineStr"/>
      <c r="H11" s="49" t="inlineStr"/>
      <c r="I11" s="49" t="inlineStr"/>
      <c r="J11" s="49" t="inlineStr"/>
      <c r="K11" s="49" t="inlineStr">
        <is>
          <t>Y</t>
        </is>
      </c>
    </row>
    <row r="12" ht="22" customHeight="1">
      <c r="B12" s="8" t="inlineStr">
        <is>
          <t>NSS/HLTH/008</t>
        </is>
      </c>
      <c r="C12" s="9" t="inlineStr"/>
      <c r="D12" s="10" t="inlineStr">
        <is>
          <t>COVID / Vaccination Awareness</t>
        </is>
      </c>
      <c r="E12" s="10" t="inlineStr"/>
      <c r="F12" s="9" t="inlineStr"/>
      <c r="G12" s="9" t="inlineStr"/>
      <c r="H12" s="10" t="inlineStr"/>
      <c r="I12" s="10" t="inlineStr"/>
      <c r="J12" s="10" t="inlineStr"/>
      <c r="K12" s="10" t="inlineStr">
        <is>
          <t>Y</t>
        </is>
      </c>
    </row>
    <row r="13" ht="22" customHeight="1">
      <c r="B13" s="47" t="inlineStr">
        <is>
          <t>NSS/HLTH/009</t>
        </is>
      </c>
      <c r="C13" s="48" t="inlineStr"/>
      <c r="D13" s="49" t="inlineStr">
        <is>
          <t>Sanitation &amp; Hygiene Camp</t>
        </is>
      </c>
      <c r="E13" s="49" t="inlineStr"/>
      <c r="F13" s="48" t="inlineStr"/>
      <c r="G13" s="48" t="inlineStr"/>
      <c r="H13" s="49" t="inlineStr"/>
      <c r="I13" s="49" t="inlineStr"/>
      <c r="J13" s="49" t="inlineStr"/>
      <c r="K13" s="49" t="inlineStr">
        <is>
          <t>Y</t>
        </is>
      </c>
    </row>
    <row r="14" ht="22" customHeight="1">
      <c r="B14" s="8" t="inlineStr">
        <is>
          <t>NSS/HLTH/010</t>
        </is>
      </c>
      <c r="C14" s="9" t="inlineStr"/>
      <c r="D14" s="10" t="inlineStr">
        <is>
          <t>Women's Health Awareness</t>
        </is>
      </c>
      <c r="E14" s="10" t="inlineStr"/>
      <c r="F14" s="9" t="inlineStr"/>
      <c r="G14" s="9" t="inlineStr"/>
      <c r="H14" s="10" t="inlineStr"/>
      <c r="I14" s="10" t="inlineStr"/>
      <c r="J14" s="10" t="inlineStr"/>
      <c r="K14" s="10" t="inlineStr">
        <is>
          <t>Y</t>
        </is>
      </c>
    </row>
    <row r="15" ht="22" customHeight="1">
      <c r="B15" s="47" t="inlineStr">
        <is>
          <t>NSS/HLTH/011</t>
        </is>
      </c>
      <c r="C15" s="48" t="inlineStr"/>
      <c r="D15" s="49" t="inlineStr">
        <is>
          <t>Blood Donation Camp</t>
        </is>
      </c>
      <c r="E15" s="49" t="inlineStr"/>
      <c r="F15" s="48" t="inlineStr"/>
      <c r="G15" s="48" t="inlineStr"/>
      <c r="H15" s="49" t="inlineStr"/>
      <c r="I15" s="49" t="inlineStr"/>
      <c r="J15" s="49" t="inlineStr"/>
      <c r="K15" s="49" t="inlineStr">
        <is>
          <t>Y</t>
        </is>
      </c>
    </row>
    <row r="16" ht="22" customHeight="1">
      <c r="B16" s="8" t="inlineStr">
        <is>
          <t>NSS/HLTH/012</t>
        </is>
      </c>
      <c r="C16" s="9" t="inlineStr"/>
      <c r="D16" s="10" t="inlineStr">
        <is>
          <t>Eye Check-up Camp</t>
        </is>
      </c>
      <c r="E16" s="10" t="inlineStr"/>
      <c r="F16" s="9" t="inlineStr"/>
      <c r="G16" s="9" t="inlineStr"/>
      <c r="H16" s="10" t="inlineStr"/>
      <c r="I16" s="10" t="inlineStr"/>
      <c r="J16" s="10" t="inlineStr"/>
      <c r="K16" s="10" t="inlineStr">
        <is>
          <t>Y</t>
        </is>
      </c>
    </row>
    <row r="17" ht="22" customHeight="1">
      <c r="B17" s="47" t="inlineStr">
        <is>
          <t>NSS/HLTH/013</t>
        </is>
      </c>
      <c r="C17" s="48" t="inlineStr"/>
      <c r="D17" s="49" t="inlineStr">
        <is>
          <t>Dental Check-up Camp</t>
        </is>
      </c>
      <c r="E17" s="49" t="inlineStr"/>
      <c r="F17" s="48" t="inlineStr"/>
      <c r="G17" s="48" t="inlineStr"/>
      <c r="H17" s="49" t="inlineStr"/>
      <c r="I17" s="49" t="inlineStr"/>
      <c r="J17" s="49" t="inlineStr"/>
      <c r="K17" s="49" t="inlineStr">
        <is>
          <t>Y</t>
        </is>
      </c>
    </row>
    <row r="18" ht="22" customHeight="1">
      <c r="B18" s="8" t="inlineStr">
        <is>
          <t>NSS/HLTH/014</t>
        </is>
      </c>
      <c r="C18" s="9" t="inlineStr"/>
      <c r="D18" s="10" t="inlineStr">
        <is>
          <t>General Health Check-up</t>
        </is>
      </c>
      <c r="E18" s="10" t="inlineStr"/>
      <c r="F18" s="9" t="inlineStr"/>
      <c r="G18" s="9" t="inlineStr"/>
      <c r="H18" s="10" t="inlineStr"/>
      <c r="I18" s="10" t="inlineStr"/>
      <c r="J18" s="10" t="inlineStr"/>
      <c r="K18" s="10" t="inlineStr">
        <is>
          <t>Y</t>
        </is>
      </c>
    </row>
    <row r="19" ht="22" customHeight="1">
      <c r="B19" s="47" t="inlineStr">
        <is>
          <t>NSS/HLTH/015</t>
        </is>
      </c>
      <c r="C19" s="48" t="inlineStr"/>
      <c r="D19" s="49" t="inlineStr">
        <is>
          <t>First Aid Training</t>
        </is>
      </c>
      <c r="E19" s="49" t="inlineStr"/>
      <c r="F19" s="48" t="inlineStr"/>
      <c r="G19" s="48" t="inlineStr"/>
      <c r="H19" s="49" t="inlineStr"/>
      <c r="I19" s="49" t="inlineStr"/>
      <c r="J19" s="49" t="inlineStr"/>
      <c r="K19" s="49" t="inlineStr">
        <is>
          <t>Y</t>
        </is>
      </c>
    </row>
    <row r="20" ht="22" customHeight="1">
      <c r="B20" s="8" t="inlineStr">
        <is>
          <t>NSS/HLTH/016</t>
        </is>
      </c>
      <c r="C20" s="9" t="inlineStr"/>
      <c r="D20" s="10" t="inlineStr">
        <is>
          <t>Mental Health Awareness</t>
        </is>
      </c>
      <c r="E20" s="10" t="inlineStr"/>
      <c r="F20" s="9" t="inlineStr"/>
      <c r="G20" s="9" t="inlineStr"/>
      <c r="H20" s="10" t="inlineStr"/>
      <c r="I20" s="10" t="inlineStr"/>
      <c r="J20" s="10" t="inlineStr"/>
      <c r="K20" s="10" t="inlineStr">
        <is>
          <t>Y</t>
        </is>
      </c>
    </row>
    <row r="21" ht="22" customHeight="1">
      <c r="B21" s="47" t="inlineStr">
        <is>
          <t>NSS/HLTH/017</t>
        </is>
      </c>
      <c r="C21" s="48" t="inlineStr"/>
      <c r="D21" s="49" t="inlineStr">
        <is>
          <t>Nutrition &amp; Diet Awareness</t>
        </is>
      </c>
      <c r="E21" s="49" t="inlineStr"/>
      <c r="F21" s="48" t="inlineStr"/>
      <c r="G21" s="48" t="inlineStr"/>
      <c r="H21" s="49" t="inlineStr"/>
      <c r="I21" s="49" t="inlineStr"/>
      <c r="J21" s="49" t="inlineStr"/>
      <c r="K21" s="49" t="inlineStr">
        <is>
          <t>Y</t>
        </is>
      </c>
    </row>
    <row r="22" ht="22" customHeight="1">
      <c r="B22" s="8" t="inlineStr">
        <is>
          <t>NSS/HLTH/018</t>
        </is>
      </c>
      <c r="C22" s="9" t="inlineStr"/>
      <c r="D22" s="10" t="inlineStr">
        <is>
          <t>COVID / Vaccination Awareness</t>
        </is>
      </c>
      <c r="E22" s="10" t="inlineStr"/>
      <c r="F22" s="9" t="inlineStr"/>
      <c r="G22" s="9" t="inlineStr"/>
      <c r="H22" s="10" t="inlineStr"/>
      <c r="I22" s="10" t="inlineStr"/>
      <c r="J22" s="10" t="inlineStr"/>
      <c r="K22" s="10" t="inlineStr">
        <is>
          <t>Y</t>
        </is>
      </c>
    </row>
    <row r="23" ht="22" customHeight="1"/>
    <row r="24" ht="24" customHeight="1">
      <c r="B24" s="34" t="inlineStr">
        <is>
          <t>HEALTH CAMP IMPACT SUMMARY</t>
        </is>
      </c>
    </row>
    <row r="25" ht="22" customHeight="1">
      <c r="B25" s="50" t="inlineStr">
        <is>
          <t>Total Health Camps Conducted</t>
        </is>
      </c>
      <c r="C25" s="82" t="n"/>
      <c r="D25" s="82" t="n"/>
      <c r="E25" s="83" t="n"/>
      <c r="F25" s="36">
        <f>COUNTA(B5:B22)</f>
        <v/>
      </c>
      <c r="G25" s="82" t="n"/>
      <c r="H25" s="82" t="n"/>
      <c r="I25" s="82" t="n"/>
      <c r="J25" s="82" t="n"/>
      <c r="K25" s="83" t="n"/>
    </row>
    <row r="26" ht="22" customHeight="1">
      <c r="B26" s="25" t="inlineStr">
        <is>
          <t>Blood Donation Camps</t>
        </is>
      </c>
      <c r="C26" s="82" t="n"/>
      <c r="D26" s="82" t="n"/>
      <c r="E26" s="83" t="n"/>
      <c r="F26" s="37">
        <f>COUNTIF(D5:D22,"Blood Donation Camp")</f>
        <v/>
      </c>
      <c r="G26" s="82" t="n"/>
      <c r="H26" s="82" t="n"/>
      <c r="I26" s="82" t="n"/>
      <c r="J26" s="82" t="n"/>
      <c r="K26" s="83" t="n"/>
    </row>
    <row r="27" ht="22" customHeight="1">
      <c r="B27" s="50" t="inlineStr">
        <is>
          <t>Total Units Blood Donated</t>
        </is>
      </c>
      <c r="C27" s="82" t="n"/>
      <c r="D27" s="82" t="n"/>
      <c r="E27" s="83" t="n"/>
      <c r="F27" s="36">
        <f>IFERROR(SUM(I5:I22),"")</f>
        <v/>
      </c>
      <c r="G27" s="82" t="n"/>
      <c r="H27" s="82" t="n"/>
      <c r="I27" s="82" t="n"/>
      <c r="J27" s="82" t="n"/>
      <c r="K27" s="83" t="n"/>
    </row>
    <row r="28" ht="22" customHeight="1">
      <c r="B28" s="25" t="inlineStr">
        <is>
          <t>Total Beneficiaries Reached</t>
        </is>
      </c>
      <c r="C28" s="82" t="n"/>
      <c r="D28" s="82" t="n"/>
      <c r="E28" s="83" t="n"/>
      <c r="F28" s="37">
        <f>IFERROR(SUM(J5:J22),"")</f>
        <v/>
      </c>
      <c r="G28" s="82" t="n"/>
      <c r="H28" s="82" t="n"/>
      <c r="I28" s="82" t="n"/>
      <c r="J28" s="82" t="n"/>
      <c r="K28" s="83" t="n"/>
    </row>
    <row r="29" ht="22" customHeight="1">
      <c r="B29" s="50" t="inlineStr">
        <is>
          <t>Partner Hospitals / Blood Banks</t>
        </is>
      </c>
      <c r="C29" s="82" t="n"/>
      <c r="D29" s="82" t="n"/>
      <c r="E29" s="83" t="n"/>
      <c r="F29" s="36" t="inlineStr"/>
      <c r="G29" s="82" t="n"/>
      <c r="H29" s="82" t="n"/>
      <c r="I29" s="82" t="n"/>
      <c r="J29" s="82" t="n"/>
      <c r="K29" s="83" t="n"/>
    </row>
    <row r="30" ht="22" customHeight="1">
      <c r="B30" s="25" t="inlineStr">
        <is>
          <t>Average Students per Camp</t>
        </is>
      </c>
      <c r="C30" s="82" t="n"/>
      <c r="D30" s="82" t="n"/>
      <c r="E30" s="83" t="n"/>
      <c r="F30" s="37">
        <f>IFERROR(ROUND(AVERAGE(H5:H22),0),"")</f>
        <v/>
      </c>
      <c r="G30" s="82" t="n"/>
      <c r="H30" s="82" t="n"/>
      <c r="I30" s="82" t="n"/>
      <c r="J30" s="82" t="n"/>
      <c r="K30" s="83" t="n"/>
    </row>
    <row r="31" ht="22" customHeight="1"/>
  </sheetData>
  <mergeCells count="15">
    <mergeCell ref="B26:E26"/>
    <mergeCell ref="F25:K25"/>
    <mergeCell ref="B27:E27"/>
    <mergeCell ref="F28:K28"/>
    <mergeCell ref="B30:E30"/>
    <mergeCell ref="F26:K26"/>
    <mergeCell ref="F27:K27"/>
    <mergeCell ref="B29:E29"/>
    <mergeCell ref="B25:E25"/>
    <mergeCell ref="B24:K24"/>
    <mergeCell ref="B2:K2"/>
    <mergeCell ref="B28:E28"/>
    <mergeCell ref="F30:K30"/>
    <mergeCell ref="B3:K3"/>
    <mergeCell ref="F29:K2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L4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3" customWidth="1" min="13" max="13"/>
  </cols>
  <sheetData>
    <row r="1" ht="10" customHeight="1"/>
    <row r="2" ht="48" customHeight="1">
      <c r="B2" s="12" t="inlineStr">
        <is>
          <t>NSS-12: VOLUNTEER HOUR TRACKING LOG</t>
        </is>
      </c>
    </row>
    <row r="3" ht="20" customHeight="1">
      <c r="B3" s="17" t="inlineStr">
        <is>
          <t>240 hours required for NSS programme completion (120 regular + 120 from special camp). Track cumulative hours per volunteer. Issue completion certificate only after verification of hours.</t>
        </is>
      </c>
    </row>
    <row r="4" ht="25" customHeight="1">
      <c r="B4" s="13" t="inlineStr">
        <is>
          <t>Vol.
Ref.</t>
        </is>
      </c>
      <c r="C4" s="13" t="inlineStr">
        <is>
          <t>Volunteer Name</t>
        </is>
      </c>
      <c r="D4" s="13" t="inlineStr">
        <is>
          <t>Roll No.</t>
        </is>
      </c>
      <c r="E4" s="13" t="inlineStr">
        <is>
          <t>Regular
Activities
(hrs)</t>
        </is>
      </c>
      <c r="F4" s="13" t="inlineStr">
        <is>
          <t>Awareness
Camps
(hrs)</t>
        </is>
      </c>
      <c r="G4" s="13" t="inlineStr">
        <is>
          <t>Health /</t>
        </is>
      </c>
      <c r="H4" s="13" t="inlineStr">
        <is>
          <t>Swachh
Bharat
(hrs)</t>
        </is>
      </c>
      <c r="I4" s="13" t="inlineStr">
        <is>
          <t>Special
Camp
(hrs)</t>
        </is>
      </c>
      <c r="J4" s="13" t="inlineStr">
        <is>
          <t>Other
(hrs)</t>
        </is>
      </c>
      <c r="K4" s="13" t="inlineStr">
        <is>
          <t>Total
Hours</t>
        </is>
      </c>
      <c r="L4" s="13" t="inlineStr">
        <is>
          <t>Certificate
Eligible</t>
        </is>
      </c>
    </row>
    <row r="5" ht="22" customHeight="1">
      <c r="B5" s="14" t="inlineStr">
        <is>
          <t>NSS/VOL/0001</t>
        </is>
      </c>
      <c r="C5" s="15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39">
        <f>IFERROR(SUM(E5:J5),"")</f>
        <v/>
      </c>
      <c r="L5" s="16">
        <f>IFERROR(IF(K5&gt;=240,"YES ✓","NO — "&amp;(240-K5)&amp;" hrs pending"),"")</f>
        <v/>
      </c>
    </row>
    <row r="6" ht="22" customHeight="1">
      <c r="B6" s="8" t="inlineStr">
        <is>
          <t>NSS/VOL/0002</t>
        </is>
      </c>
      <c r="C6" s="9" t="inlineStr"/>
      <c r="D6" s="10" t="inlineStr"/>
      <c r="E6" s="10" t="inlineStr"/>
      <c r="F6" s="10" t="inlineStr"/>
      <c r="G6" s="10" t="inlineStr"/>
      <c r="H6" s="10" t="inlineStr"/>
      <c r="I6" s="10" t="inlineStr"/>
      <c r="J6" s="10" t="inlineStr"/>
      <c r="K6" s="37">
        <f>IFERROR(SUM(E6:J6),"")</f>
        <v/>
      </c>
      <c r="L6" s="10">
        <f>IFERROR(IF(K6&gt;=240,"YES ✓","NO — "&amp;(240-K6)&amp;" hrs pending"),"")</f>
        <v/>
      </c>
    </row>
    <row r="7" ht="22" customHeight="1">
      <c r="B7" s="14" t="inlineStr">
        <is>
          <t>NSS/VOL/0003</t>
        </is>
      </c>
      <c r="C7" s="15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39">
        <f>IFERROR(SUM(E7:J7),"")</f>
        <v/>
      </c>
      <c r="L7" s="16">
        <f>IFERROR(IF(K7&gt;=240,"YES ✓","NO — "&amp;(240-K7)&amp;" hrs pending"),"")</f>
        <v/>
      </c>
    </row>
    <row r="8" ht="22" customHeight="1">
      <c r="B8" s="8" t="inlineStr">
        <is>
          <t>NSS/VOL/0004</t>
        </is>
      </c>
      <c r="C8" s="9" t="inlineStr"/>
      <c r="D8" s="10" t="inlineStr"/>
      <c r="E8" s="10" t="inlineStr"/>
      <c r="F8" s="10" t="inlineStr"/>
      <c r="G8" s="10" t="inlineStr"/>
      <c r="H8" s="10" t="inlineStr"/>
      <c r="I8" s="10" t="inlineStr"/>
      <c r="J8" s="10" t="inlineStr"/>
      <c r="K8" s="37">
        <f>IFERROR(SUM(E8:J8),"")</f>
        <v/>
      </c>
      <c r="L8" s="10">
        <f>IFERROR(IF(K8&gt;=240,"YES ✓","NO — "&amp;(240-K8)&amp;" hrs pending"),"")</f>
        <v/>
      </c>
    </row>
    <row r="9" ht="22" customHeight="1">
      <c r="B9" s="14" t="inlineStr">
        <is>
          <t>NSS/VOL/0005</t>
        </is>
      </c>
      <c r="C9" s="15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39">
        <f>IFERROR(SUM(E9:J9),"")</f>
        <v/>
      </c>
      <c r="L9" s="16">
        <f>IFERROR(IF(K9&gt;=240,"YES ✓","NO — "&amp;(240-K9)&amp;" hrs pending"),"")</f>
        <v/>
      </c>
    </row>
    <row r="10" ht="22" customHeight="1">
      <c r="B10" s="8" t="inlineStr">
        <is>
          <t>NSS/VOL/0006</t>
        </is>
      </c>
      <c r="C10" s="9" t="inlineStr"/>
      <c r="D10" s="10" t="inlineStr"/>
      <c r="E10" s="10" t="inlineStr"/>
      <c r="F10" s="10" t="inlineStr"/>
      <c r="G10" s="10" t="inlineStr"/>
      <c r="H10" s="10" t="inlineStr"/>
      <c r="I10" s="10" t="inlineStr"/>
      <c r="J10" s="10" t="inlineStr"/>
      <c r="K10" s="37">
        <f>IFERROR(SUM(E10:J10),"")</f>
        <v/>
      </c>
      <c r="L10" s="10">
        <f>IFERROR(IF(K10&gt;=240,"YES ✓","NO — "&amp;(240-K10)&amp;" hrs pending"),"")</f>
        <v/>
      </c>
    </row>
    <row r="11" ht="22" customHeight="1">
      <c r="B11" s="14" t="inlineStr">
        <is>
          <t>NSS/VOL/0007</t>
        </is>
      </c>
      <c r="C11" s="15" t="inlineStr"/>
      <c r="D11" s="16" t="inlineStr"/>
      <c r="E11" s="16" t="inlineStr"/>
      <c r="F11" s="16" t="inlineStr"/>
      <c r="G11" s="16" t="inlineStr"/>
      <c r="H11" s="16" t="inlineStr"/>
      <c r="I11" s="16" t="inlineStr"/>
      <c r="J11" s="16" t="inlineStr"/>
      <c r="K11" s="39">
        <f>IFERROR(SUM(E11:J11),"")</f>
        <v/>
      </c>
      <c r="L11" s="16">
        <f>IFERROR(IF(K11&gt;=240,"YES ✓","NO — "&amp;(240-K11)&amp;" hrs pending"),"")</f>
        <v/>
      </c>
    </row>
    <row r="12" ht="22" customHeight="1">
      <c r="B12" s="8" t="inlineStr">
        <is>
          <t>NSS/VOL/0008</t>
        </is>
      </c>
      <c r="C12" s="9" t="inlineStr"/>
      <c r="D12" s="10" t="inlineStr"/>
      <c r="E12" s="10" t="inlineStr"/>
      <c r="F12" s="10" t="inlineStr"/>
      <c r="G12" s="10" t="inlineStr"/>
      <c r="H12" s="10" t="inlineStr"/>
      <c r="I12" s="10" t="inlineStr"/>
      <c r="J12" s="10" t="inlineStr"/>
      <c r="K12" s="37">
        <f>IFERROR(SUM(E12:J12),"")</f>
        <v/>
      </c>
      <c r="L12" s="10">
        <f>IFERROR(IF(K12&gt;=240,"YES ✓","NO — "&amp;(240-K12)&amp;" hrs pending"),"")</f>
        <v/>
      </c>
    </row>
    <row r="13" ht="22" customHeight="1">
      <c r="B13" s="14" t="inlineStr">
        <is>
          <t>NSS/VOL/0009</t>
        </is>
      </c>
      <c r="C13" s="15" t="inlineStr"/>
      <c r="D13" s="16" t="inlineStr"/>
      <c r="E13" s="16" t="inlineStr"/>
      <c r="F13" s="16" t="inlineStr"/>
      <c r="G13" s="16" t="inlineStr"/>
      <c r="H13" s="16" t="inlineStr"/>
      <c r="I13" s="16" t="inlineStr"/>
      <c r="J13" s="16" t="inlineStr"/>
      <c r="K13" s="39">
        <f>IFERROR(SUM(E13:J13),"")</f>
        <v/>
      </c>
      <c r="L13" s="16">
        <f>IFERROR(IF(K13&gt;=240,"YES ✓","NO — "&amp;(240-K13)&amp;" hrs pending"),"")</f>
        <v/>
      </c>
    </row>
    <row r="14" ht="22" customHeight="1">
      <c r="B14" s="8" t="inlineStr">
        <is>
          <t>NSS/VOL/0010</t>
        </is>
      </c>
      <c r="C14" s="9" t="inlineStr"/>
      <c r="D14" s="10" t="inlineStr"/>
      <c r="E14" s="10" t="inlineStr"/>
      <c r="F14" s="10" t="inlineStr"/>
      <c r="G14" s="10" t="inlineStr"/>
      <c r="H14" s="10" t="inlineStr"/>
      <c r="I14" s="10" t="inlineStr"/>
      <c r="J14" s="10" t="inlineStr"/>
      <c r="K14" s="37">
        <f>IFERROR(SUM(E14:J14),"")</f>
        <v/>
      </c>
      <c r="L14" s="10">
        <f>IFERROR(IF(K14&gt;=240,"YES ✓","NO — "&amp;(240-K14)&amp;" hrs pending"),"")</f>
        <v/>
      </c>
    </row>
    <row r="15" ht="22" customHeight="1">
      <c r="B15" s="14" t="inlineStr">
        <is>
          <t>NSS/VOL/0011</t>
        </is>
      </c>
      <c r="C15" s="15" t="inlineStr"/>
      <c r="D15" s="16" t="inlineStr"/>
      <c r="E15" s="16" t="inlineStr"/>
      <c r="F15" s="16" t="inlineStr"/>
      <c r="G15" s="16" t="inlineStr"/>
      <c r="H15" s="16" t="inlineStr"/>
      <c r="I15" s="16" t="inlineStr"/>
      <c r="J15" s="16" t="inlineStr"/>
      <c r="K15" s="39">
        <f>IFERROR(SUM(E15:J15),"")</f>
        <v/>
      </c>
      <c r="L15" s="16">
        <f>IFERROR(IF(K15&gt;=240,"YES ✓","NO — "&amp;(240-K15)&amp;" hrs pending"),"")</f>
        <v/>
      </c>
    </row>
    <row r="16" ht="22" customHeight="1">
      <c r="B16" s="8" t="inlineStr">
        <is>
          <t>NSS/VOL/0012</t>
        </is>
      </c>
      <c r="C16" s="9" t="inlineStr"/>
      <c r="D16" s="10" t="inlineStr"/>
      <c r="E16" s="10" t="inlineStr"/>
      <c r="F16" s="10" t="inlineStr"/>
      <c r="G16" s="10" t="inlineStr"/>
      <c r="H16" s="10" t="inlineStr"/>
      <c r="I16" s="10" t="inlineStr"/>
      <c r="J16" s="10" t="inlineStr"/>
      <c r="K16" s="37">
        <f>IFERROR(SUM(E16:J16),"")</f>
        <v/>
      </c>
      <c r="L16" s="10">
        <f>IFERROR(IF(K16&gt;=240,"YES ✓","NO — "&amp;(240-K16)&amp;" hrs pending"),"")</f>
        <v/>
      </c>
    </row>
    <row r="17" ht="22" customHeight="1">
      <c r="B17" s="14" t="inlineStr">
        <is>
          <t>NSS/VOL/0013</t>
        </is>
      </c>
      <c r="C17" s="15" t="inlineStr"/>
      <c r="D17" s="16" t="inlineStr"/>
      <c r="E17" s="16" t="inlineStr"/>
      <c r="F17" s="16" t="inlineStr"/>
      <c r="G17" s="16" t="inlineStr"/>
      <c r="H17" s="16" t="inlineStr"/>
      <c r="I17" s="16" t="inlineStr"/>
      <c r="J17" s="16" t="inlineStr"/>
      <c r="K17" s="39">
        <f>IFERROR(SUM(E17:J17),"")</f>
        <v/>
      </c>
      <c r="L17" s="16">
        <f>IFERROR(IF(K17&gt;=240,"YES ✓","NO — "&amp;(240-K17)&amp;" hrs pending"),"")</f>
        <v/>
      </c>
    </row>
    <row r="18" ht="22" customHeight="1">
      <c r="B18" s="8" t="inlineStr">
        <is>
          <t>NSS/VOL/0014</t>
        </is>
      </c>
      <c r="C18" s="9" t="inlineStr"/>
      <c r="D18" s="10" t="inlineStr"/>
      <c r="E18" s="10" t="inlineStr"/>
      <c r="F18" s="10" t="inlineStr"/>
      <c r="G18" s="10" t="inlineStr"/>
      <c r="H18" s="10" t="inlineStr"/>
      <c r="I18" s="10" t="inlineStr"/>
      <c r="J18" s="10" t="inlineStr"/>
      <c r="K18" s="37">
        <f>IFERROR(SUM(E18:J18),"")</f>
        <v/>
      </c>
      <c r="L18" s="10">
        <f>IFERROR(IF(K18&gt;=240,"YES ✓","NO — "&amp;(240-K18)&amp;" hrs pending"),"")</f>
        <v/>
      </c>
    </row>
    <row r="19" ht="22" customHeight="1">
      <c r="B19" s="14" t="inlineStr">
        <is>
          <t>NSS/VOL/0015</t>
        </is>
      </c>
      <c r="C19" s="15" t="inlineStr"/>
      <c r="D19" s="16" t="inlineStr"/>
      <c r="E19" s="16" t="inlineStr"/>
      <c r="F19" s="16" t="inlineStr"/>
      <c r="G19" s="16" t="inlineStr"/>
      <c r="H19" s="16" t="inlineStr"/>
      <c r="I19" s="16" t="inlineStr"/>
      <c r="J19" s="16" t="inlineStr"/>
      <c r="K19" s="39">
        <f>IFERROR(SUM(E19:J19),"")</f>
        <v/>
      </c>
      <c r="L19" s="16">
        <f>IFERROR(IF(K19&gt;=240,"YES ✓","NO — "&amp;(240-K19)&amp;" hrs pending"),"")</f>
        <v/>
      </c>
    </row>
    <row r="20" ht="22" customHeight="1">
      <c r="B20" s="8" t="inlineStr">
        <is>
          <t>NSS/VOL/0016</t>
        </is>
      </c>
      <c r="C20" s="9" t="inlineStr"/>
      <c r="D20" s="10" t="inlineStr"/>
      <c r="E20" s="10" t="inlineStr"/>
      <c r="F20" s="10" t="inlineStr"/>
      <c r="G20" s="10" t="inlineStr"/>
      <c r="H20" s="10" t="inlineStr"/>
      <c r="I20" s="10" t="inlineStr"/>
      <c r="J20" s="10" t="inlineStr"/>
      <c r="K20" s="37">
        <f>IFERROR(SUM(E20:J20),"")</f>
        <v/>
      </c>
      <c r="L20" s="10">
        <f>IFERROR(IF(K20&gt;=240,"YES ✓","NO — "&amp;(240-K20)&amp;" hrs pending"),"")</f>
        <v/>
      </c>
    </row>
    <row r="21" ht="22" customHeight="1">
      <c r="B21" s="14" t="inlineStr">
        <is>
          <t>NSS/VOL/0017</t>
        </is>
      </c>
      <c r="C21" s="15" t="inlineStr"/>
      <c r="D21" s="16" t="inlineStr"/>
      <c r="E21" s="16" t="inlineStr"/>
      <c r="F21" s="16" t="inlineStr"/>
      <c r="G21" s="16" t="inlineStr"/>
      <c r="H21" s="16" t="inlineStr"/>
      <c r="I21" s="16" t="inlineStr"/>
      <c r="J21" s="16" t="inlineStr"/>
      <c r="K21" s="39">
        <f>IFERROR(SUM(E21:J21),"")</f>
        <v/>
      </c>
      <c r="L21" s="16">
        <f>IFERROR(IF(K21&gt;=240,"YES ✓","NO — "&amp;(240-K21)&amp;" hrs pending"),"")</f>
        <v/>
      </c>
    </row>
    <row r="22" ht="22" customHeight="1">
      <c r="B22" s="8" t="inlineStr">
        <is>
          <t>NSS/VOL/0018</t>
        </is>
      </c>
      <c r="C22" s="9" t="inlineStr"/>
      <c r="D22" s="10" t="inlineStr"/>
      <c r="E22" s="10" t="inlineStr"/>
      <c r="F22" s="10" t="inlineStr"/>
      <c r="G22" s="10" t="inlineStr"/>
      <c r="H22" s="10" t="inlineStr"/>
      <c r="I22" s="10" t="inlineStr"/>
      <c r="J22" s="10" t="inlineStr"/>
      <c r="K22" s="37">
        <f>IFERROR(SUM(E22:J22),"")</f>
        <v/>
      </c>
      <c r="L22" s="10">
        <f>IFERROR(IF(K22&gt;=240,"YES ✓","NO — "&amp;(240-K22)&amp;" hrs pending"),"")</f>
        <v/>
      </c>
    </row>
    <row r="23" ht="22" customHeight="1">
      <c r="B23" s="14" t="inlineStr">
        <is>
          <t>NSS/VOL/0019</t>
        </is>
      </c>
      <c r="C23" s="15" t="inlineStr"/>
      <c r="D23" s="16" t="inlineStr"/>
      <c r="E23" s="16" t="inlineStr"/>
      <c r="F23" s="16" t="inlineStr"/>
      <c r="G23" s="16" t="inlineStr"/>
      <c r="H23" s="16" t="inlineStr"/>
      <c r="I23" s="16" t="inlineStr"/>
      <c r="J23" s="16" t="inlineStr"/>
      <c r="K23" s="39">
        <f>IFERROR(SUM(E23:J23),"")</f>
        <v/>
      </c>
      <c r="L23" s="16">
        <f>IFERROR(IF(K23&gt;=240,"YES ✓","NO — "&amp;(240-K23)&amp;" hrs pending"),"")</f>
        <v/>
      </c>
    </row>
    <row r="24" ht="22" customHeight="1">
      <c r="B24" s="8" t="inlineStr">
        <is>
          <t>NSS/VOL/0020</t>
        </is>
      </c>
      <c r="C24" s="9" t="inlineStr"/>
      <c r="D24" s="10" t="inlineStr"/>
      <c r="E24" s="10" t="inlineStr"/>
      <c r="F24" s="10" t="inlineStr"/>
      <c r="G24" s="10" t="inlineStr"/>
      <c r="H24" s="10" t="inlineStr"/>
      <c r="I24" s="10" t="inlineStr"/>
      <c r="J24" s="10" t="inlineStr"/>
      <c r="K24" s="37">
        <f>IFERROR(SUM(E24:J24),"")</f>
        <v/>
      </c>
      <c r="L24" s="10">
        <f>IFERROR(IF(K24&gt;=240,"YES ✓","NO — "&amp;(240-K24)&amp;" hrs pending"),"")</f>
        <v/>
      </c>
    </row>
    <row r="25" ht="22" customHeight="1">
      <c r="B25" s="14" t="inlineStr">
        <is>
          <t>NSS/VOL/0021</t>
        </is>
      </c>
      <c r="C25" s="15" t="inlineStr"/>
      <c r="D25" s="16" t="inlineStr"/>
      <c r="E25" s="16" t="inlineStr"/>
      <c r="F25" s="16" t="inlineStr"/>
      <c r="G25" s="16" t="inlineStr"/>
      <c r="H25" s="16" t="inlineStr"/>
      <c r="I25" s="16" t="inlineStr"/>
      <c r="J25" s="16" t="inlineStr"/>
      <c r="K25" s="39">
        <f>IFERROR(SUM(E25:J25),"")</f>
        <v/>
      </c>
      <c r="L25" s="16">
        <f>IFERROR(IF(K25&gt;=240,"YES ✓","NO — "&amp;(240-K25)&amp;" hrs pending"),"")</f>
        <v/>
      </c>
    </row>
    <row r="26" ht="22" customHeight="1">
      <c r="B26" s="8" t="inlineStr">
        <is>
          <t>NSS/VOL/0022</t>
        </is>
      </c>
      <c r="C26" s="9" t="inlineStr"/>
      <c r="D26" s="10" t="inlineStr"/>
      <c r="E26" s="10" t="inlineStr"/>
      <c r="F26" s="10" t="inlineStr"/>
      <c r="G26" s="10" t="inlineStr"/>
      <c r="H26" s="10" t="inlineStr"/>
      <c r="I26" s="10" t="inlineStr"/>
      <c r="J26" s="10" t="inlineStr"/>
      <c r="K26" s="37">
        <f>IFERROR(SUM(E26:J26),"")</f>
        <v/>
      </c>
      <c r="L26" s="10">
        <f>IFERROR(IF(K26&gt;=240,"YES ✓","NO — "&amp;(240-K26)&amp;" hrs pending"),"")</f>
        <v/>
      </c>
    </row>
    <row r="27" ht="22" customHeight="1">
      <c r="B27" s="14" t="inlineStr">
        <is>
          <t>NSS/VOL/0023</t>
        </is>
      </c>
      <c r="C27" s="15" t="inlineStr"/>
      <c r="D27" s="16" t="inlineStr"/>
      <c r="E27" s="16" t="inlineStr"/>
      <c r="F27" s="16" t="inlineStr"/>
      <c r="G27" s="16" t="inlineStr"/>
      <c r="H27" s="16" t="inlineStr"/>
      <c r="I27" s="16" t="inlineStr"/>
      <c r="J27" s="16" t="inlineStr"/>
      <c r="K27" s="39">
        <f>IFERROR(SUM(E27:J27),"")</f>
        <v/>
      </c>
      <c r="L27" s="16">
        <f>IFERROR(IF(K27&gt;=240,"YES ✓","NO — "&amp;(240-K27)&amp;" hrs pending"),"")</f>
        <v/>
      </c>
    </row>
    <row r="28" ht="22" customHeight="1">
      <c r="B28" s="8" t="inlineStr">
        <is>
          <t>NSS/VOL/0024</t>
        </is>
      </c>
      <c r="C28" s="9" t="inlineStr"/>
      <c r="D28" s="10" t="inlineStr"/>
      <c r="E28" s="10" t="inlineStr"/>
      <c r="F28" s="10" t="inlineStr"/>
      <c r="G28" s="10" t="inlineStr"/>
      <c r="H28" s="10" t="inlineStr"/>
      <c r="I28" s="10" t="inlineStr"/>
      <c r="J28" s="10" t="inlineStr"/>
      <c r="K28" s="37">
        <f>IFERROR(SUM(E28:J28),"")</f>
        <v/>
      </c>
      <c r="L28" s="10">
        <f>IFERROR(IF(K28&gt;=240,"YES ✓","NO — "&amp;(240-K28)&amp;" hrs pending"),"")</f>
        <v/>
      </c>
    </row>
    <row r="29" ht="22" customHeight="1">
      <c r="B29" s="14" t="inlineStr">
        <is>
          <t>NSS/VOL/0025</t>
        </is>
      </c>
      <c r="C29" s="15" t="inlineStr"/>
      <c r="D29" s="16" t="inlineStr"/>
      <c r="E29" s="16" t="inlineStr"/>
      <c r="F29" s="16" t="inlineStr"/>
      <c r="G29" s="16" t="inlineStr"/>
      <c r="H29" s="16" t="inlineStr"/>
      <c r="I29" s="16" t="inlineStr"/>
      <c r="J29" s="16" t="inlineStr"/>
      <c r="K29" s="39">
        <f>IFERROR(SUM(E29:J29),"")</f>
        <v/>
      </c>
      <c r="L29" s="16">
        <f>IFERROR(IF(K29&gt;=240,"YES ✓","NO — "&amp;(240-K29)&amp;" hrs pending"),"")</f>
        <v/>
      </c>
    </row>
    <row r="30" ht="22" customHeight="1">
      <c r="B30" s="8" t="inlineStr">
        <is>
          <t>NSS/VOL/0026</t>
        </is>
      </c>
      <c r="C30" s="9" t="inlineStr"/>
      <c r="D30" s="10" t="inlineStr"/>
      <c r="E30" s="10" t="inlineStr"/>
      <c r="F30" s="10" t="inlineStr"/>
      <c r="G30" s="10" t="inlineStr"/>
      <c r="H30" s="10" t="inlineStr"/>
      <c r="I30" s="10" t="inlineStr"/>
      <c r="J30" s="10" t="inlineStr"/>
      <c r="K30" s="37">
        <f>IFERROR(SUM(E30:J30),"")</f>
        <v/>
      </c>
      <c r="L30" s="10">
        <f>IFERROR(IF(K30&gt;=240,"YES ✓","NO — "&amp;(240-K30)&amp;" hrs pending"),"")</f>
        <v/>
      </c>
    </row>
    <row r="31" ht="22" customHeight="1">
      <c r="B31" s="14" t="inlineStr">
        <is>
          <t>NSS/VOL/0027</t>
        </is>
      </c>
      <c r="C31" s="15" t="inlineStr"/>
      <c r="D31" s="16" t="inlineStr"/>
      <c r="E31" s="16" t="inlineStr"/>
      <c r="F31" s="16" t="inlineStr"/>
      <c r="G31" s="16" t="inlineStr"/>
      <c r="H31" s="16" t="inlineStr"/>
      <c r="I31" s="16" t="inlineStr"/>
      <c r="J31" s="16" t="inlineStr"/>
      <c r="K31" s="39">
        <f>IFERROR(SUM(E31:J31),"")</f>
        <v/>
      </c>
      <c r="L31" s="16">
        <f>IFERROR(IF(K31&gt;=240,"YES ✓","NO — "&amp;(240-K31)&amp;" hrs pending"),"")</f>
        <v/>
      </c>
    </row>
    <row r="32" ht="22" customHeight="1">
      <c r="B32" s="8" t="inlineStr">
        <is>
          <t>NSS/VOL/0028</t>
        </is>
      </c>
      <c r="C32" s="9" t="inlineStr"/>
      <c r="D32" s="10" t="inlineStr"/>
      <c r="E32" s="10" t="inlineStr"/>
      <c r="F32" s="10" t="inlineStr"/>
      <c r="G32" s="10" t="inlineStr"/>
      <c r="H32" s="10" t="inlineStr"/>
      <c r="I32" s="10" t="inlineStr"/>
      <c r="J32" s="10" t="inlineStr"/>
      <c r="K32" s="37">
        <f>IFERROR(SUM(E32:J32),"")</f>
        <v/>
      </c>
      <c r="L32" s="10">
        <f>IFERROR(IF(K32&gt;=240,"YES ✓","NO — "&amp;(240-K32)&amp;" hrs pending"),"")</f>
        <v/>
      </c>
    </row>
    <row r="33" ht="22" customHeight="1">
      <c r="B33" s="14" t="inlineStr">
        <is>
          <t>NSS/VOL/0029</t>
        </is>
      </c>
      <c r="C33" s="15" t="inlineStr"/>
      <c r="D33" s="16" t="inlineStr"/>
      <c r="E33" s="16" t="inlineStr"/>
      <c r="F33" s="16" t="inlineStr"/>
      <c r="G33" s="16" t="inlineStr"/>
      <c r="H33" s="16" t="inlineStr"/>
      <c r="I33" s="16" t="inlineStr"/>
      <c r="J33" s="16" t="inlineStr"/>
      <c r="K33" s="39">
        <f>IFERROR(SUM(E33:J33),"")</f>
        <v/>
      </c>
      <c r="L33" s="16">
        <f>IFERROR(IF(K33&gt;=240,"YES ✓","NO — "&amp;(240-K33)&amp;" hrs pending"),"")</f>
        <v/>
      </c>
    </row>
    <row r="34" ht="22" customHeight="1">
      <c r="B34" s="8" t="inlineStr">
        <is>
          <t>NSS/VOL/0030</t>
        </is>
      </c>
      <c r="C34" s="9" t="inlineStr"/>
      <c r="D34" s="10" t="inlineStr"/>
      <c r="E34" s="10" t="inlineStr"/>
      <c r="F34" s="10" t="inlineStr"/>
      <c r="G34" s="10" t="inlineStr"/>
      <c r="H34" s="10" t="inlineStr"/>
      <c r="I34" s="10" t="inlineStr"/>
      <c r="J34" s="10" t="inlineStr"/>
      <c r="K34" s="37">
        <f>IFERROR(SUM(E34:J34),"")</f>
        <v/>
      </c>
      <c r="L34" s="10">
        <f>IFERROR(IF(K34&gt;=240,"YES ✓","NO — "&amp;(240-K34)&amp;" hrs pending"),"")</f>
        <v/>
      </c>
    </row>
    <row r="35" ht="22" customHeight="1"/>
    <row r="36" ht="24" customHeight="1">
      <c r="B36" s="34" t="inlineStr">
        <is>
          <t>UNIT HOUR COMPLETION SUMMARY</t>
        </is>
      </c>
    </row>
    <row r="37" ht="22" customHeight="1">
      <c r="B37" s="38" t="inlineStr">
        <is>
          <t>Total Volunteers</t>
        </is>
      </c>
      <c r="C37" s="82" t="n"/>
      <c r="D37" s="82" t="n"/>
      <c r="E37" s="83" t="n"/>
      <c r="F37" s="36">
        <f>COUNTA(B5:B34)</f>
        <v/>
      </c>
      <c r="G37" s="82" t="n"/>
      <c r="H37" s="82" t="n"/>
      <c r="I37" s="82" t="n"/>
      <c r="J37" s="82" t="n"/>
      <c r="K37" s="82" t="n"/>
      <c r="L37" s="83" t="n"/>
    </row>
    <row r="38" ht="22" customHeight="1">
      <c r="B38" s="25" t="inlineStr">
        <is>
          <t>Volunteers with 240+ Hours</t>
        </is>
      </c>
      <c r="C38" s="82" t="n"/>
      <c r="D38" s="82" t="n"/>
      <c r="E38" s="83" t="n"/>
      <c r="F38" s="37">
        <f>COUNTIF(K5:K34,"&gt;="&amp;240)</f>
        <v/>
      </c>
      <c r="G38" s="82" t="n"/>
      <c r="H38" s="82" t="n"/>
      <c r="I38" s="82" t="n"/>
      <c r="J38" s="82" t="n"/>
      <c r="K38" s="82" t="n"/>
      <c r="L38" s="83" t="n"/>
    </row>
    <row r="39" ht="22" customHeight="1">
      <c r="B39" s="38" t="inlineStr">
        <is>
          <t>Volunteers with 120–239 Hours</t>
        </is>
      </c>
      <c r="C39" s="82" t="n"/>
      <c r="D39" s="82" t="n"/>
      <c r="E39" s="83" t="n"/>
      <c r="F39" s="36">
        <f>COUNTIF(K5:K34,"&gt;="&amp;120)-COUNTIF(K5:K34,"&gt;="&amp;240)</f>
        <v/>
      </c>
      <c r="G39" s="82" t="n"/>
      <c r="H39" s="82" t="n"/>
      <c r="I39" s="82" t="n"/>
      <c r="J39" s="82" t="n"/>
      <c r="K39" s="82" t="n"/>
      <c r="L39" s="83" t="n"/>
    </row>
    <row r="40">
      <c r="B40" s="25" t="inlineStr">
        <is>
          <t>Volunteers with &lt; 120 Hours</t>
        </is>
      </c>
      <c r="C40" s="82" t="n"/>
      <c r="D40" s="82" t="n"/>
      <c r="E40" s="83" t="n"/>
      <c r="F40" s="37">
        <f>COUNTIF(K5:K34,"&lt;"&amp;120)</f>
        <v/>
      </c>
      <c r="G40" s="82" t="n"/>
      <c r="H40" s="82" t="n"/>
      <c r="I40" s="82" t="n"/>
      <c r="J40" s="82" t="n"/>
      <c r="K40" s="82" t="n"/>
      <c r="L40" s="83" t="n"/>
    </row>
    <row r="41">
      <c r="B41" s="38" t="inlineStr">
        <is>
          <t>Programme Completion Rate (%)</t>
        </is>
      </c>
      <c r="C41" s="82" t="n"/>
      <c r="D41" s="82" t="n"/>
      <c r="E41" s="83" t="n"/>
      <c r="F41" s="36">
        <f>IFERROR(ROUND(C38/C37*100,1),"")</f>
        <v/>
      </c>
      <c r="G41" s="82" t="n"/>
      <c r="H41" s="82" t="n"/>
      <c r="I41" s="82" t="n"/>
      <c r="J41" s="82" t="n"/>
      <c r="K41" s="82" t="n"/>
      <c r="L41" s="83" t="n"/>
    </row>
    <row r="42">
      <c r="B42" s="25" t="inlineStr">
        <is>
          <t>Average Hours per Volunteer</t>
        </is>
      </c>
      <c r="C42" s="82" t="n"/>
      <c r="D42" s="82" t="n"/>
      <c r="E42" s="83" t="n"/>
      <c r="F42" s="37">
        <f>IFERROR(ROUND(AVERAGE(K5:K34),1),"")</f>
        <v/>
      </c>
      <c r="G42" s="82" t="n"/>
      <c r="H42" s="82" t="n"/>
      <c r="I42" s="82" t="n"/>
      <c r="J42" s="82" t="n"/>
      <c r="K42" s="82" t="n"/>
      <c r="L42" s="83" t="n"/>
    </row>
  </sheetData>
  <mergeCells count="15">
    <mergeCell ref="B40:E40"/>
    <mergeCell ref="B41:E41"/>
    <mergeCell ref="B36:L36"/>
    <mergeCell ref="F40:L40"/>
    <mergeCell ref="F41:L41"/>
    <mergeCell ref="B38:E38"/>
    <mergeCell ref="B3:L3"/>
    <mergeCell ref="B2:L2"/>
    <mergeCell ref="F37:L37"/>
    <mergeCell ref="B39:E39"/>
    <mergeCell ref="F39:L39"/>
    <mergeCell ref="B37:E37"/>
    <mergeCell ref="B42:E42"/>
    <mergeCell ref="F42:L42"/>
    <mergeCell ref="F38:L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K4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2" customWidth="1" min="9" max="9"/>
    <col width="12" customWidth="1" min="10" max="10"/>
    <col width="12" customWidth="1" min="11" max="11"/>
    <col width="3" customWidth="1" min="12" max="12"/>
  </cols>
  <sheetData>
    <row r="1" ht="10" customHeight="1"/>
    <row r="2" ht="48" customHeight="1">
      <c r="B2" s="51" t="inlineStr">
        <is>
          <t>NCC-02: NCC CADET ENROLMENT REGISTER</t>
        </is>
      </c>
    </row>
    <row r="3" ht="20" customHeight="1">
      <c r="B3" s="17" t="inlineStr">
        <is>
          <t>All cadets must sign NCC enrolment form (AFMSF-1 or equivalent). Wing assignment (Army / Navy / Air Force) based on institutional NCC Unit type. Maintain enrolment record with date of enrolment and discharge.</t>
        </is>
      </c>
    </row>
    <row r="4" ht="25" customHeight="1">
      <c r="B4" s="52" t="inlineStr">
        <is>
          <t>Cadet
Ref.</t>
        </is>
      </c>
      <c r="C4" s="52" t="inlineStr">
        <is>
          <t>Cadet Name</t>
        </is>
      </c>
      <c r="D4" s="52" t="inlineStr">
        <is>
          <t>Roll No.</t>
        </is>
      </c>
      <c r="E4" s="52" t="inlineStr">
        <is>
          <t>Programme
&amp; Year</t>
        </is>
      </c>
      <c r="F4" s="52" t="inlineStr">
        <is>
          <t>Wing
(A/N/AF)</t>
        </is>
      </c>
      <c r="G4" s="52" t="inlineStr">
        <is>
          <t>Rank</t>
        </is>
      </c>
      <c r="H4" s="52" t="inlineStr">
        <is>
          <t>Enrolment
Date</t>
        </is>
      </c>
      <c r="I4" s="52" t="inlineStr">
        <is>
          <t>Certificate
Level</t>
        </is>
      </c>
      <c r="J4" s="52" t="inlineStr">
        <is>
          <t>Parade
Attendance %</t>
        </is>
      </c>
      <c r="K4" s="52" t="inlineStr">
        <is>
          <t>Status</t>
        </is>
      </c>
    </row>
    <row r="5" ht="22" customHeight="1">
      <c r="B5" s="53" t="inlineStr">
        <is>
          <t>NCC/CAD/0001</t>
        </is>
      </c>
      <c r="C5" s="54" t="inlineStr"/>
      <c r="D5" s="55" t="inlineStr"/>
      <c r="E5" s="55" t="inlineStr"/>
      <c r="F5" s="53" t="inlineStr">
        <is>
          <t>Army</t>
        </is>
      </c>
      <c r="G5" s="55" t="inlineStr">
        <is>
          <t>Cadet</t>
        </is>
      </c>
      <c r="H5" s="55" t="inlineStr"/>
      <c r="I5" s="55" t="inlineStr">
        <is>
          <t>A Certificate</t>
        </is>
      </c>
      <c r="J5" s="55" t="inlineStr"/>
      <c r="K5" s="55" t="inlineStr">
        <is>
          <t>Active</t>
        </is>
      </c>
    </row>
    <row r="6" ht="22" customHeight="1">
      <c r="B6" s="8" t="inlineStr">
        <is>
          <t>NCC/CAD/0002</t>
        </is>
      </c>
      <c r="C6" s="9" t="inlineStr"/>
      <c r="D6" s="10" t="inlineStr"/>
      <c r="E6" s="10" t="inlineStr"/>
      <c r="F6" s="8" t="inlineStr">
        <is>
          <t>Navy</t>
        </is>
      </c>
      <c r="G6" s="10" t="inlineStr">
        <is>
          <t>Lance Corporal</t>
        </is>
      </c>
      <c r="H6" s="10" t="inlineStr"/>
      <c r="I6" s="10" t="inlineStr">
        <is>
          <t>B Certificate</t>
        </is>
      </c>
      <c r="J6" s="10" t="inlineStr"/>
      <c r="K6" s="10" t="inlineStr">
        <is>
          <t>Active</t>
        </is>
      </c>
    </row>
    <row r="7" ht="22" customHeight="1">
      <c r="B7" s="53" t="inlineStr">
        <is>
          <t>NCC/CAD/0003</t>
        </is>
      </c>
      <c r="C7" s="54" t="inlineStr"/>
      <c r="D7" s="55" t="inlineStr"/>
      <c r="E7" s="55" t="inlineStr"/>
      <c r="F7" s="53" t="inlineStr">
        <is>
          <t>Air Force</t>
        </is>
      </c>
      <c r="G7" s="55" t="inlineStr">
        <is>
          <t>Corporal</t>
        </is>
      </c>
      <c r="H7" s="55" t="inlineStr"/>
      <c r="I7" s="55" t="inlineStr">
        <is>
          <t>C Certificate</t>
        </is>
      </c>
      <c r="J7" s="55" t="inlineStr"/>
      <c r="K7" s="55" t="inlineStr">
        <is>
          <t>Active</t>
        </is>
      </c>
    </row>
    <row r="8" ht="22" customHeight="1">
      <c r="B8" s="8" t="inlineStr">
        <is>
          <t>NCC/CAD/0004</t>
        </is>
      </c>
      <c r="C8" s="9" t="inlineStr"/>
      <c r="D8" s="10" t="inlineStr"/>
      <c r="E8" s="10" t="inlineStr"/>
      <c r="F8" s="8" t="inlineStr">
        <is>
          <t>Army</t>
        </is>
      </c>
      <c r="G8" s="10" t="inlineStr">
        <is>
          <t>Sergeant</t>
        </is>
      </c>
      <c r="H8" s="10" t="inlineStr"/>
      <c r="I8" s="10" t="inlineStr">
        <is>
          <t>No Cert Yet</t>
        </is>
      </c>
      <c r="J8" s="10" t="inlineStr"/>
      <c r="K8" s="10" t="inlineStr">
        <is>
          <t>Active</t>
        </is>
      </c>
    </row>
    <row r="9" ht="22" customHeight="1">
      <c r="B9" s="53" t="inlineStr">
        <is>
          <t>NCC/CAD/0005</t>
        </is>
      </c>
      <c r="C9" s="54" t="inlineStr"/>
      <c r="D9" s="55" t="inlineStr"/>
      <c r="E9" s="55" t="inlineStr"/>
      <c r="F9" s="53" t="inlineStr">
        <is>
          <t>Navy</t>
        </is>
      </c>
      <c r="G9" s="55" t="inlineStr">
        <is>
          <t>Under Officer</t>
        </is>
      </c>
      <c r="H9" s="55" t="inlineStr"/>
      <c r="I9" s="55" t="inlineStr">
        <is>
          <t>Enrolled – Pre-A</t>
        </is>
      </c>
      <c r="J9" s="55" t="inlineStr"/>
      <c r="K9" s="55" t="inlineStr">
        <is>
          <t>Active</t>
        </is>
      </c>
    </row>
    <row r="10" ht="22" customHeight="1">
      <c r="B10" s="8" t="inlineStr">
        <is>
          <t>NCC/CAD/0006</t>
        </is>
      </c>
      <c r="C10" s="9" t="inlineStr"/>
      <c r="D10" s="10" t="inlineStr"/>
      <c r="E10" s="10" t="inlineStr"/>
      <c r="F10" s="8" t="inlineStr">
        <is>
          <t>Air Force</t>
        </is>
      </c>
      <c r="G10" s="10" t="inlineStr">
        <is>
          <t>Senior Under Officer</t>
        </is>
      </c>
      <c r="H10" s="10" t="inlineStr"/>
      <c r="I10" s="10" t="inlineStr">
        <is>
          <t>A Certificate</t>
        </is>
      </c>
      <c r="J10" s="10" t="inlineStr"/>
      <c r="K10" s="10" t="inlineStr">
        <is>
          <t>Active</t>
        </is>
      </c>
    </row>
    <row r="11" ht="22" customHeight="1">
      <c r="B11" s="53" t="inlineStr">
        <is>
          <t>NCC/CAD/0007</t>
        </is>
      </c>
      <c r="C11" s="54" t="inlineStr"/>
      <c r="D11" s="55" t="inlineStr"/>
      <c r="E11" s="55" t="inlineStr"/>
      <c r="F11" s="53" t="inlineStr">
        <is>
          <t>Army</t>
        </is>
      </c>
      <c r="G11" s="55" t="inlineStr">
        <is>
          <t>Cadet</t>
        </is>
      </c>
      <c r="H11" s="55" t="inlineStr"/>
      <c r="I11" s="55" t="inlineStr">
        <is>
          <t>B Certificate</t>
        </is>
      </c>
      <c r="J11" s="55" t="inlineStr"/>
      <c r="K11" s="55" t="inlineStr">
        <is>
          <t>Active</t>
        </is>
      </c>
    </row>
    <row r="12" ht="22" customHeight="1">
      <c r="B12" s="8" t="inlineStr">
        <is>
          <t>NCC/CAD/0008</t>
        </is>
      </c>
      <c r="C12" s="9" t="inlineStr"/>
      <c r="D12" s="10" t="inlineStr"/>
      <c r="E12" s="10" t="inlineStr"/>
      <c r="F12" s="8" t="inlineStr">
        <is>
          <t>Navy</t>
        </is>
      </c>
      <c r="G12" s="10" t="inlineStr">
        <is>
          <t>Lance Corporal</t>
        </is>
      </c>
      <c r="H12" s="10" t="inlineStr"/>
      <c r="I12" s="10" t="inlineStr">
        <is>
          <t>C Certificate</t>
        </is>
      </c>
      <c r="J12" s="10" t="inlineStr"/>
      <c r="K12" s="10" t="inlineStr">
        <is>
          <t>Active</t>
        </is>
      </c>
    </row>
    <row r="13" ht="22" customHeight="1">
      <c r="B13" s="53" t="inlineStr">
        <is>
          <t>NCC/CAD/0009</t>
        </is>
      </c>
      <c r="C13" s="54" t="inlineStr"/>
      <c r="D13" s="55" t="inlineStr"/>
      <c r="E13" s="55" t="inlineStr"/>
      <c r="F13" s="53" t="inlineStr">
        <is>
          <t>Air Force</t>
        </is>
      </c>
      <c r="G13" s="55" t="inlineStr">
        <is>
          <t>Corporal</t>
        </is>
      </c>
      <c r="H13" s="55" t="inlineStr"/>
      <c r="I13" s="55" t="inlineStr">
        <is>
          <t>No Cert Yet</t>
        </is>
      </c>
      <c r="J13" s="55" t="inlineStr"/>
      <c r="K13" s="55" t="inlineStr">
        <is>
          <t>Active</t>
        </is>
      </c>
    </row>
    <row r="14" ht="22" customHeight="1">
      <c r="B14" s="8" t="inlineStr">
        <is>
          <t>NCC/CAD/0010</t>
        </is>
      </c>
      <c r="C14" s="9" t="inlineStr"/>
      <c r="D14" s="10" t="inlineStr"/>
      <c r="E14" s="10" t="inlineStr"/>
      <c r="F14" s="8" t="inlineStr">
        <is>
          <t>Army</t>
        </is>
      </c>
      <c r="G14" s="10" t="inlineStr">
        <is>
          <t>Sergeant</t>
        </is>
      </c>
      <c r="H14" s="10" t="inlineStr"/>
      <c r="I14" s="10" t="inlineStr">
        <is>
          <t>Enrolled – Pre-A</t>
        </is>
      </c>
      <c r="J14" s="10" t="inlineStr"/>
      <c r="K14" s="10" t="inlineStr">
        <is>
          <t>Active</t>
        </is>
      </c>
    </row>
    <row r="15" ht="22" customHeight="1">
      <c r="B15" s="53" t="inlineStr">
        <is>
          <t>NCC/CAD/0011</t>
        </is>
      </c>
      <c r="C15" s="54" t="inlineStr"/>
      <c r="D15" s="55" t="inlineStr"/>
      <c r="E15" s="55" t="inlineStr"/>
      <c r="F15" s="53" t="inlineStr">
        <is>
          <t>Navy</t>
        </is>
      </c>
      <c r="G15" s="55" t="inlineStr">
        <is>
          <t>Under Officer</t>
        </is>
      </c>
      <c r="H15" s="55" t="inlineStr"/>
      <c r="I15" s="55" t="inlineStr">
        <is>
          <t>A Certificate</t>
        </is>
      </c>
      <c r="J15" s="55" t="inlineStr"/>
      <c r="K15" s="55" t="inlineStr">
        <is>
          <t>Active</t>
        </is>
      </c>
    </row>
    <row r="16" ht="22" customHeight="1">
      <c r="B16" s="8" t="inlineStr">
        <is>
          <t>NCC/CAD/0012</t>
        </is>
      </c>
      <c r="C16" s="9" t="inlineStr"/>
      <c r="D16" s="10" t="inlineStr"/>
      <c r="E16" s="10" t="inlineStr"/>
      <c r="F16" s="8" t="inlineStr">
        <is>
          <t>Air Force</t>
        </is>
      </c>
      <c r="G16" s="10" t="inlineStr">
        <is>
          <t>Senior Under Officer</t>
        </is>
      </c>
      <c r="H16" s="10" t="inlineStr"/>
      <c r="I16" s="10" t="inlineStr">
        <is>
          <t>B Certificate</t>
        </is>
      </c>
      <c r="J16" s="10" t="inlineStr"/>
      <c r="K16" s="10" t="inlineStr">
        <is>
          <t>Active</t>
        </is>
      </c>
    </row>
    <row r="17" ht="22" customHeight="1">
      <c r="B17" s="53" t="inlineStr">
        <is>
          <t>NCC/CAD/0013</t>
        </is>
      </c>
      <c r="C17" s="54" t="inlineStr"/>
      <c r="D17" s="55" t="inlineStr"/>
      <c r="E17" s="55" t="inlineStr"/>
      <c r="F17" s="53" t="inlineStr">
        <is>
          <t>Army</t>
        </is>
      </c>
      <c r="G17" s="55" t="inlineStr">
        <is>
          <t>Cadet</t>
        </is>
      </c>
      <c r="H17" s="55" t="inlineStr"/>
      <c r="I17" s="55" t="inlineStr">
        <is>
          <t>C Certificate</t>
        </is>
      </c>
      <c r="J17" s="55" t="inlineStr"/>
      <c r="K17" s="55" t="inlineStr">
        <is>
          <t>Active</t>
        </is>
      </c>
    </row>
    <row r="18" ht="22" customHeight="1">
      <c r="B18" s="8" t="inlineStr">
        <is>
          <t>NCC/CAD/0014</t>
        </is>
      </c>
      <c r="C18" s="9" t="inlineStr"/>
      <c r="D18" s="10" t="inlineStr"/>
      <c r="E18" s="10" t="inlineStr"/>
      <c r="F18" s="8" t="inlineStr">
        <is>
          <t>Navy</t>
        </is>
      </c>
      <c r="G18" s="10" t="inlineStr">
        <is>
          <t>Lance Corporal</t>
        </is>
      </c>
      <c r="H18" s="10" t="inlineStr"/>
      <c r="I18" s="10" t="inlineStr">
        <is>
          <t>No Cert Yet</t>
        </is>
      </c>
      <c r="J18" s="10" t="inlineStr"/>
      <c r="K18" s="10" t="inlineStr">
        <is>
          <t>Active</t>
        </is>
      </c>
    </row>
    <row r="19" ht="22" customHeight="1">
      <c r="B19" s="53" t="inlineStr">
        <is>
          <t>NCC/CAD/0015</t>
        </is>
      </c>
      <c r="C19" s="54" t="inlineStr"/>
      <c r="D19" s="55" t="inlineStr"/>
      <c r="E19" s="55" t="inlineStr"/>
      <c r="F19" s="53" t="inlineStr">
        <is>
          <t>Air Force</t>
        </is>
      </c>
      <c r="G19" s="55" t="inlineStr">
        <is>
          <t>Corporal</t>
        </is>
      </c>
      <c r="H19" s="55" t="inlineStr"/>
      <c r="I19" s="55" t="inlineStr">
        <is>
          <t>Enrolled – Pre-A</t>
        </is>
      </c>
      <c r="J19" s="55" t="inlineStr"/>
      <c r="K19" s="55" t="inlineStr">
        <is>
          <t>Active</t>
        </is>
      </c>
    </row>
    <row r="20" ht="22" customHeight="1">
      <c r="B20" s="8" t="inlineStr">
        <is>
          <t>NCC/CAD/0016</t>
        </is>
      </c>
      <c r="C20" s="9" t="inlineStr"/>
      <c r="D20" s="10" t="inlineStr"/>
      <c r="E20" s="10" t="inlineStr"/>
      <c r="F20" s="8" t="inlineStr">
        <is>
          <t>Army</t>
        </is>
      </c>
      <c r="G20" s="10" t="inlineStr">
        <is>
          <t>Sergeant</t>
        </is>
      </c>
      <c r="H20" s="10" t="inlineStr"/>
      <c r="I20" s="10" t="inlineStr">
        <is>
          <t>A Certificate</t>
        </is>
      </c>
      <c r="J20" s="10" t="inlineStr"/>
      <c r="K20" s="10" t="inlineStr">
        <is>
          <t>Active</t>
        </is>
      </c>
    </row>
    <row r="21" ht="22" customHeight="1">
      <c r="B21" s="53" t="inlineStr">
        <is>
          <t>NCC/CAD/0017</t>
        </is>
      </c>
      <c r="C21" s="54" t="inlineStr"/>
      <c r="D21" s="55" t="inlineStr"/>
      <c r="E21" s="55" t="inlineStr"/>
      <c r="F21" s="53" t="inlineStr">
        <is>
          <t>Navy</t>
        </is>
      </c>
      <c r="G21" s="55" t="inlineStr">
        <is>
          <t>Under Officer</t>
        </is>
      </c>
      <c r="H21" s="55" t="inlineStr"/>
      <c r="I21" s="55" t="inlineStr">
        <is>
          <t>B Certificate</t>
        </is>
      </c>
      <c r="J21" s="55" t="inlineStr"/>
      <c r="K21" s="55" t="inlineStr">
        <is>
          <t>Active</t>
        </is>
      </c>
    </row>
    <row r="22" ht="22" customHeight="1">
      <c r="B22" s="8" t="inlineStr">
        <is>
          <t>NCC/CAD/0018</t>
        </is>
      </c>
      <c r="C22" s="9" t="inlineStr"/>
      <c r="D22" s="10" t="inlineStr"/>
      <c r="E22" s="10" t="inlineStr"/>
      <c r="F22" s="8" t="inlineStr">
        <is>
          <t>Air Force</t>
        </is>
      </c>
      <c r="G22" s="10" t="inlineStr">
        <is>
          <t>Senior Under Officer</t>
        </is>
      </c>
      <c r="H22" s="10" t="inlineStr"/>
      <c r="I22" s="10" t="inlineStr">
        <is>
          <t>C Certificate</t>
        </is>
      </c>
      <c r="J22" s="10" t="inlineStr"/>
      <c r="K22" s="10" t="inlineStr">
        <is>
          <t>Active</t>
        </is>
      </c>
    </row>
    <row r="23" ht="22" customHeight="1">
      <c r="B23" s="53" t="inlineStr">
        <is>
          <t>NCC/CAD/0019</t>
        </is>
      </c>
      <c r="C23" s="54" t="inlineStr"/>
      <c r="D23" s="55" t="inlineStr"/>
      <c r="E23" s="55" t="inlineStr"/>
      <c r="F23" s="53" t="inlineStr">
        <is>
          <t>Army</t>
        </is>
      </c>
      <c r="G23" s="55" t="inlineStr">
        <is>
          <t>Cadet</t>
        </is>
      </c>
      <c r="H23" s="55" t="inlineStr"/>
      <c r="I23" s="55" t="inlineStr">
        <is>
          <t>No Cert Yet</t>
        </is>
      </c>
      <c r="J23" s="55" t="inlineStr"/>
      <c r="K23" s="55" t="inlineStr">
        <is>
          <t>Active</t>
        </is>
      </c>
    </row>
    <row r="24" ht="22" customHeight="1">
      <c r="B24" s="8" t="inlineStr">
        <is>
          <t>NCC/CAD/0020</t>
        </is>
      </c>
      <c r="C24" s="9" t="inlineStr"/>
      <c r="D24" s="10" t="inlineStr"/>
      <c r="E24" s="10" t="inlineStr"/>
      <c r="F24" s="8" t="inlineStr">
        <is>
          <t>Navy</t>
        </is>
      </c>
      <c r="G24" s="10" t="inlineStr">
        <is>
          <t>Lance Corporal</t>
        </is>
      </c>
      <c r="H24" s="10" t="inlineStr"/>
      <c r="I24" s="10" t="inlineStr">
        <is>
          <t>Enrolled – Pre-A</t>
        </is>
      </c>
      <c r="J24" s="10" t="inlineStr"/>
      <c r="K24" s="10" t="inlineStr">
        <is>
          <t>Active</t>
        </is>
      </c>
    </row>
    <row r="25" ht="22" customHeight="1">
      <c r="B25" s="53" t="inlineStr">
        <is>
          <t>NCC/CAD/0021</t>
        </is>
      </c>
      <c r="C25" s="54" t="inlineStr"/>
      <c r="D25" s="55" t="inlineStr"/>
      <c r="E25" s="55" t="inlineStr"/>
      <c r="F25" s="53" t="inlineStr">
        <is>
          <t>Air Force</t>
        </is>
      </c>
      <c r="G25" s="55" t="inlineStr">
        <is>
          <t>Corporal</t>
        </is>
      </c>
      <c r="H25" s="55" t="inlineStr"/>
      <c r="I25" s="55" t="inlineStr">
        <is>
          <t>A Certificate</t>
        </is>
      </c>
      <c r="J25" s="55" t="inlineStr"/>
      <c r="K25" s="55" t="inlineStr">
        <is>
          <t>Active</t>
        </is>
      </c>
    </row>
    <row r="26" ht="22" customHeight="1">
      <c r="B26" s="8" t="inlineStr">
        <is>
          <t>NCC/CAD/0022</t>
        </is>
      </c>
      <c r="C26" s="9" t="inlineStr"/>
      <c r="D26" s="10" t="inlineStr"/>
      <c r="E26" s="10" t="inlineStr"/>
      <c r="F26" s="8" t="inlineStr">
        <is>
          <t>Army</t>
        </is>
      </c>
      <c r="G26" s="10" t="inlineStr">
        <is>
          <t>Sergeant</t>
        </is>
      </c>
      <c r="H26" s="10" t="inlineStr"/>
      <c r="I26" s="10" t="inlineStr">
        <is>
          <t>B Certificate</t>
        </is>
      </c>
      <c r="J26" s="10" t="inlineStr"/>
      <c r="K26" s="10" t="inlineStr">
        <is>
          <t>Active</t>
        </is>
      </c>
    </row>
    <row r="27" ht="22" customHeight="1">
      <c r="B27" s="53" t="inlineStr">
        <is>
          <t>NCC/CAD/0023</t>
        </is>
      </c>
      <c r="C27" s="54" t="inlineStr"/>
      <c r="D27" s="55" t="inlineStr"/>
      <c r="E27" s="55" t="inlineStr"/>
      <c r="F27" s="53" t="inlineStr">
        <is>
          <t>Navy</t>
        </is>
      </c>
      <c r="G27" s="55" t="inlineStr">
        <is>
          <t>Under Officer</t>
        </is>
      </c>
      <c r="H27" s="55" t="inlineStr"/>
      <c r="I27" s="55" t="inlineStr">
        <is>
          <t>C Certificate</t>
        </is>
      </c>
      <c r="J27" s="55" t="inlineStr"/>
      <c r="K27" s="55" t="inlineStr">
        <is>
          <t>Active</t>
        </is>
      </c>
    </row>
    <row r="28" ht="22" customHeight="1">
      <c r="B28" s="8" t="inlineStr">
        <is>
          <t>NCC/CAD/0024</t>
        </is>
      </c>
      <c r="C28" s="9" t="inlineStr"/>
      <c r="D28" s="10" t="inlineStr"/>
      <c r="E28" s="10" t="inlineStr"/>
      <c r="F28" s="8" t="inlineStr">
        <is>
          <t>Air Force</t>
        </is>
      </c>
      <c r="G28" s="10" t="inlineStr">
        <is>
          <t>Senior Under Officer</t>
        </is>
      </c>
      <c r="H28" s="10" t="inlineStr"/>
      <c r="I28" s="10" t="inlineStr">
        <is>
          <t>No Cert Yet</t>
        </is>
      </c>
      <c r="J28" s="10" t="inlineStr"/>
      <c r="K28" s="10" t="inlineStr">
        <is>
          <t>Active</t>
        </is>
      </c>
    </row>
    <row r="29" ht="22" customHeight="1">
      <c r="B29" s="53" t="inlineStr">
        <is>
          <t>NCC/CAD/0025</t>
        </is>
      </c>
      <c r="C29" s="54" t="inlineStr"/>
      <c r="D29" s="55" t="inlineStr"/>
      <c r="E29" s="55" t="inlineStr"/>
      <c r="F29" s="53" t="inlineStr">
        <is>
          <t>Army</t>
        </is>
      </c>
      <c r="G29" s="55" t="inlineStr">
        <is>
          <t>Cadet</t>
        </is>
      </c>
      <c r="H29" s="55" t="inlineStr"/>
      <c r="I29" s="55" t="inlineStr">
        <is>
          <t>Enrolled – Pre-A</t>
        </is>
      </c>
      <c r="J29" s="55" t="inlineStr"/>
      <c r="K29" s="55" t="inlineStr">
        <is>
          <t>Active</t>
        </is>
      </c>
    </row>
    <row r="30" ht="22" customHeight="1">
      <c r="B30" s="8" t="inlineStr">
        <is>
          <t>NCC/CAD/0026</t>
        </is>
      </c>
      <c r="C30" s="9" t="inlineStr"/>
      <c r="D30" s="10" t="inlineStr"/>
      <c r="E30" s="10" t="inlineStr"/>
      <c r="F30" s="8" t="inlineStr">
        <is>
          <t>Navy</t>
        </is>
      </c>
      <c r="G30" s="10" t="inlineStr">
        <is>
          <t>Lance Corporal</t>
        </is>
      </c>
      <c r="H30" s="10" t="inlineStr"/>
      <c r="I30" s="10" t="inlineStr">
        <is>
          <t>A Certificate</t>
        </is>
      </c>
      <c r="J30" s="10" t="inlineStr"/>
      <c r="K30" s="10" t="inlineStr">
        <is>
          <t>Active</t>
        </is>
      </c>
    </row>
    <row r="31" ht="22" customHeight="1">
      <c r="B31" s="53" t="inlineStr">
        <is>
          <t>NCC/CAD/0027</t>
        </is>
      </c>
      <c r="C31" s="54" t="inlineStr"/>
      <c r="D31" s="55" t="inlineStr"/>
      <c r="E31" s="55" t="inlineStr"/>
      <c r="F31" s="53" t="inlineStr">
        <is>
          <t>Air Force</t>
        </is>
      </c>
      <c r="G31" s="55" t="inlineStr">
        <is>
          <t>Corporal</t>
        </is>
      </c>
      <c r="H31" s="55" t="inlineStr"/>
      <c r="I31" s="55" t="inlineStr">
        <is>
          <t>B Certificate</t>
        </is>
      </c>
      <c r="J31" s="55" t="inlineStr"/>
      <c r="K31" s="55" t="inlineStr">
        <is>
          <t>Active</t>
        </is>
      </c>
    </row>
    <row r="32" ht="22" customHeight="1">
      <c r="B32" s="8" t="inlineStr">
        <is>
          <t>NCC/CAD/0028</t>
        </is>
      </c>
      <c r="C32" s="9" t="inlineStr"/>
      <c r="D32" s="10" t="inlineStr"/>
      <c r="E32" s="10" t="inlineStr"/>
      <c r="F32" s="8" t="inlineStr">
        <is>
          <t>Army</t>
        </is>
      </c>
      <c r="G32" s="10" t="inlineStr">
        <is>
          <t>Sergeant</t>
        </is>
      </c>
      <c r="H32" s="10" t="inlineStr"/>
      <c r="I32" s="10" t="inlineStr">
        <is>
          <t>C Certificate</t>
        </is>
      </c>
      <c r="J32" s="10" t="inlineStr"/>
      <c r="K32" s="10" t="inlineStr">
        <is>
          <t>Active</t>
        </is>
      </c>
    </row>
    <row r="33" ht="22" customHeight="1">
      <c r="B33" s="53" t="inlineStr">
        <is>
          <t>NCC/CAD/0029</t>
        </is>
      </c>
      <c r="C33" s="54" t="inlineStr"/>
      <c r="D33" s="55" t="inlineStr"/>
      <c r="E33" s="55" t="inlineStr"/>
      <c r="F33" s="53" t="inlineStr">
        <is>
          <t>Navy</t>
        </is>
      </c>
      <c r="G33" s="55" t="inlineStr">
        <is>
          <t>Under Officer</t>
        </is>
      </c>
      <c r="H33" s="55" t="inlineStr"/>
      <c r="I33" s="55" t="inlineStr">
        <is>
          <t>No Cert Yet</t>
        </is>
      </c>
      <c r="J33" s="55" t="inlineStr"/>
      <c r="K33" s="55" t="inlineStr">
        <is>
          <t>Active</t>
        </is>
      </c>
    </row>
    <row r="34" ht="22" customHeight="1">
      <c r="B34" s="8" t="inlineStr">
        <is>
          <t>NCC/CAD/0030</t>
        </is>
      </c>
      <c r="C34" s="9" t="inlineStr"/>
      <c r="D34" s="10" t="inlineStr"/>
      <c r="E34" s="10" t="inlineStr"/>
      <c r="F34" s="8" t="inlineStr">
        <is>
          <t>Air Force</t>
        </is>
      </c>
      <c r="G34" s="10" t="inlineStr">
        <is>
          <t>Senior Under Officer</t>
        </is>
      </c>
      <c r="H34" s="10" t="inlineStr"/>
      <c r="I34" s="10" t="inlineStr">
        <is>
          <t>Enrolled – Pre-A</t>
        </is>
      </c>
      <c r="J34" s="10" t="inlineStr"/>
      <c r="K34" s="10" t="inlineStr">
        <is>
          <t>Active</t>
        </is>
      </c>
    </row>
    <row r="35" ht="22" customHeight="1">
      <c r="B35" s="53" t="inlineStr">
        <is>
          <t>NCC/CAD/0031</t>
        </is>
      </c>
      <c r="C35" s="54" t="inlineStr"/>
      <c r="D35" s="55" t="inlineStr"/>
      <c r="E35" s="55" t="inlineStr"/>
      <c r="F35" s="53" t="inlineStr">
        <is>
          <t>Army</t>
        </is>
      </c>
      <c r="G35" s="55" t="inlineStr">
        <is>
          <t>Cadet</t>
        </is>
      </c>
      <c r="H35" s="55" t="inlineStr"/>
      <c r="I35" s="55" t="inlineStr">
        <is>
          <t>A Certificate</t>
        </is>
      </c>
      <c r="J35" s="55" t="inlineStr"/>
      <c r="K35" s="55" t="inlineStr">
        <is>
          <t>Active</t>
        </is>
      </c>
    </row>
    <row r="36" ht="22" customHeight="1">
      <c r="B36" s="8" t="inlineStr">
        <is>
          <t>NCC/CAD/0032</t>
        </is>
      </c>
      <c r="C36" s="9" t="inlineStr"/>
      <c r="D36" s="10" t="inlineStr"/>
      <c r="E36" s="10" t="inlineStr"/>
      <c r="F36" s="8" t="inlineStr">
        <is>
          <t>Navy</t>
        </is>
      </c>
      <c r="G36" s="10" t="inlineStr">
        <is>
          <t>Lance Corporal</t>
        </is>
      </c>
      <c r="H36" s="10" t="inlineStr"/>
      <c r="I36" s="10" t="inlineStr">
        <is>
          <t>B Certificate</t>
        </is>
      </c>
      <c r="J36" s="10" t="inlineStr"/>
      <c r="K36" s="10" t="inlineStr">
        <is>
          <t>Active</t>
        </is>
      </c>
    </row>
    <row r="37" ht="22" customHeight="1"/>
    <row r="38" ht="24" customHeight="1">
      <c r="B38" s="34" t="inlineStr">
        <is>
          <t>CADET STRENGTH SUMMARY</t>
        </is>
      </c>
    </row>
    <row r="39" ht="22" customHeight="1">
      <c r="B39" s="56" t="inlineStr">
        <is>
          <t>Total Cadets Enrolled</t>
        </is>
      </c>
      <c r="C39" s="82" t="n"/>
      <c r="D39" s="82" t="n"/>
      <c r="E39" s="83" t="n"/>
      <c r="F39" s="36">
        <f>COUNTA(B5:B36)</f>
        <v/>
      </c>
      <c r="G39" s="82" t="n"/>
      <c r="H39" s="82" t="n"/>
      <c r="I39" s="82" t="n"/>
      <c r="J39" s="82" t="n"/>
      <c r="K39" s="83" t="n"/>
    </row>
    <row r="40">
      <c r="B40" s="25" t="inlineStr">
        <is>
          <t>Army Wing</t>
        </is>
      </c>
      <c r="C40" s="82" t="n"/>
      <c r="D40" s="82" t="n"/>
      <c r="E40" s="83" t="n"/>
      <c r="F40" s="37">
        <f>COUNTIF(F5:F36,"Army")</f>
        <v/>
      </c>
      <c r="G40" s="82" t="n"/>
      <c r="H40" s="82" t="n"/>
      <c r="I40" s="82" t="n"/>
      <c r="J40" s="82" t="n"/>
      <c r="K40" s="83" t="n"/>
    </row>
    <row r="41">
      <c r="B41" s="56" t="inlineStr">
        <is>
          <t>Navy Wing</t>
        </is>
      </c>
      <c r="C41" s="82" t="n"/>
      <c r="D41" s="82" t="n"/>
      <c r="E41" s="83" t="n"/>
      <c r="F41" s="36">
        <f>COUNTIF(F5:F36,"Navy")</f>
        <v/>
      </c>
      <c r="G41" s="82" t="n"/>
      <c r="H41" s="82" t="n"/>
      <c r="I41" s="82" t="n"/>
      <c r="J41" s="82" t="n"/>
      <c r="K41" s="83" t="n"/>
    </row>
    <row r="42">
      <c r="B42" s="25" t="inlineStr">
        <is>
          <t>Air Force Wing</t>
        </is>
      </c>
      <c r="C42" s="82" t="n"/>
      <c r="D42" s="82" t="n"/>
      <c r="E42" s="83" t="n"/>
      <c r="F42" s="37">
        <f>COUNTIF(F5:F36,"Air Force")</f>
        <v/>
      </c>
      <c r="G42" s="82" t="n"/>
      <c r="H42" s="82" t="n"/>
      <c r="I42" s="82" t="n"/>
      <c r="J42" s="82" t="n"/>
      <c r="K42" s="83" t="n"/>
    </row>
    <row r="43">
      <c r="B43" s="56" t="inlineStr">
        <is>
          <t>With B Certificate</t>
        </is>
      </c>
      <c r="C43" s="82" t="n"/>
      <c r="D43" s="82" t="n"/>
      <c r="E43" s="83" t="n"/>
      <c r="F43" s="36">
        <f>COUNTIF(I5:I36,"B Certificate")</f>
        <v/>
      </c>
      <c r="G43" s="82" t="n"/>
      <c r="H43" s="82" t="n"/>
      <c r="I43" s="82" t="n"/>
      <c r="J43" s="82" t="n"/>
      <c r="K43" s="83" t="n"/>
    </row>
    <row r="44">
      <c r="B44" s="25" t="inlineStr">
        <is>
          <t>With C Certificate</t>
        </is>
      </c>
      <c r="C44" s="82" t="n"/>
      <c r="D44" s="82" t="n"/>
      <c r="E44" s="83" t="n"/>
      <c r="F44" s="37">
        <f>COUNTIF(I5:I36,"C Certificate")</f>
        <v/>
      </c>
      <c r="G44" s="82" t="n"/>
      <c r="H44" s="82" t="n"/>
      <c r="I44" s="82" t="n"/>
      <c r="J44" s="82" t="n"/>
      <c r="K44" s="83" t="n"/>
    </row>
  </sheetData>
  <mergeCells count="15">
    <mergeCell ref="B40:E40"/>
    <mergeCell ref="B41:E41"/>
    <mergeCell ref="B43:E43"/>
    <mergeCell ref="F42:K42"/>
    <mergeCell ref="B44:E44"/>
    <mergeCell ref="F40:K40"/>
    <mergeCell ref="F41:K41"/>
    <mergeCell ref="B39:E39"/>
    <mergeCell ref="B38:K38"/>
    <mergeCell ref="B2:K2"/>
    <mergeCell ref="F43:K43"/>
    <mergeCell ref="B42:E42"/>
    <mergeCell ref="F44:K44"/>
    <mergeCell ref="B3:K3"/>
    <mergeCell ref="F39:K3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K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3" customWidth="1" min="12" max="12"/>
  </cols>
  <sheetData>
    <row r="1" ht="10" customHeight="1"/>
    <row r="2" ht="48" customHeight="1">
      <c r="B2" s="51" t="inlineStr">
        <is>
          <t>NCC-04: REGULAR PARADE &amp; DRILL ATTENDANCE REGISTER</t>
        </is>
      </c>
    </row>
    <row r="3" ht="20" customHeight="1">
      <c r="B3" s="17" t="inlineStr">
        <is>
          <t>Minimum 75% parade attendance mandatory for B/C certificate examination eligibility. Record each parade session individually. ANO must sign attendance register.</t>
        </is>
      </c>
    </row>
    <row r="4" ht="25" customHeight="1">
      <c r="B4" s="52" t="inlineStr">
        <is>
          <t>Session
No.</t>
        </is>
      </c>
      <c r="C4" s="52" t="inlineStr">
        <is>
          <t>Date</t>
        </is>
      </c>
      <c r="D4" s="52" t="inlineStr">
        <is>
          <t>Day</t>
        </is>
      </c>
      <c r="E4" s="52" t="inlineStr">
        <is>
          <t>Parade
Type</t>
        </is>
      </c>
      <c r="F4" s="52" t="inlineStr">
        <is>
          <t>Duration
(hrs)</t>
        </is>
      </c>
      <c r="G4" s="52" t="inlineStr">
        <is>
          <t>Venue</t>
        </is>
      </c>
      <c r="H4" s="52" t="inlineStr">
        <is>
          <t>Cadets
Present</t>
        </is>
      </c>
      <c r="I4" s="52" t="inlineStr">
        <is>
          <t>Cadets
Absent</t>
        </is>
      </c>
      <c r="J4" s="52" t="inlineStr">
        <is>
          <t>Attendance
%</t>
        </is>
      </c>
      <c r="K4" s="52" t="inlineStr">
        <is>
          <t>ANO
Signature</t>
        </is>
      </c>
    </row>
    <row r="5" ht="22" customHeight="1">
      <c r="B5" s="53" t="n">
        <v>1</v>
      </c>
      <c r="C5" s="55" t="inlineStr"/>
      <c r="D5" s="55" t="inlineStr">
        <is>
          <t>Mon</t>
        </is>
      </c>
      <c r="E5" s="55" t="inlineStr">
        <is>
          <t>Foot Drill (Parade)</t>
        </is>
      </c>
      <c r="F5" s="55" t="inlineStr">
        <is>
          <t>2</t>
        </is>
      </c>
      <c r="G5" s="55" t="inlineStr">
        <is>
          <t>Parade Ground</t>
        </is>
      </c>
      <c r="H5" s="55" t="inlineStr"/>
      <c r="I5" s="55" t="inlineStr"/>
      <c r="J5" s="57">
        <f>IFERROR(ROUND(H5/(H5+I5)*100,1),"")</f>
        <v/>
      </c>
      <c r="K5" s="55" t="inlineStr"/>
    </row>
    <row r="6" ht="22" customHeight="1">
      <c r="B6" s="8" t="n">
        <v>2</v>
      </c>
      <c r="C6" s="10" t="inlineStr"/>
      <c r="D6" s="10" t="inlineStr">
        <is>
          <t>Tue</t>
        </is>
      </c>
      <c r="E6" s="10" t="inlineStr">
        <is>
          <t>PT &amp; Physical Training</t>
        </is>
      </c>
      <c r="F6" s="10" t="inlineStr">
        <is>
          <t>2</t>
        </is>
      </c>
      <c r="G6" s="10" t="inlineStr">
        <is>
          <t>Parade Ground</t>
        </is>
      </c>
      <c r="H6" s="10" t="inlineStr"/>
      <c r="I6" s="10" t="inlineStr"/>
      <c r="J6" s="58">
        <f>IFERROR(ROUND(H6/(H6+I6)*100,1),"")</f>
        <v/>
      </c>
      <c r="K6" s="10" t="inlineStr"/>
    </row>
    <row r="7" ht="22" customHeight="1">
      <c r="B7" s="53" t="n">
        <v>3</v>
      </c>
      <c r="C7" s="55" t="inlineStr"/>
      <c r="D7" s="55" t="inlineStr">
        <is>
          <t>Wed</t>
        </is>
      </c>
      <c r="E7" s="55" t="inlineStr">
        <is>
          <t>Weapon Training</t>
        </is>
      </c>
      <c r="F7" s="55" t="inlineStr">
        <is>
          <t>2</t>
        </is>
      </c>
      <c r="G7" s="55" t="inlineStr">
        <is>
          <t>Parade Ground</t>
        </is>
      </c>
      <c r="H7" s="55" t="inlineStr"/>
      <c r="I7" s="55" t="inlineStr"/>
      <c r="J7" s="57">
        <f>IFERROR(ROUND(H7/(H7+I7)*100,1),"")</f>
        <v/>
      </c>
      <c r="K7" s="55" t="inlineStr"/>
    </row>
    <row r="8" ht="22" customHeight="1">
      <c r="B8" s="8" t="n">
        <v>4</v>
      </c>
      <c r="C8" s="10" t="inlineStr"/>
      <c r="D8" s="10" t="inlineStr">
        <is>
          <t>Thu</t>
        </is>
      </c>
      <c r="E8" s="10" t="inlineStr">
        <is>
          <t>Map Reading</t>
        </is>
      </c>
      <c r="F8" s="10" t="inlineStr">
        <is>
          <t>2</t>
        </is>
      </c>
      <c r="G8" s="10" t="inlineStr">
        <is>
          <t>Parade Ground</t>
        </is>
      </c>
      <c r="H8" s="10" t="inlineStr"/>
      <c r="I8" s="10" t="inlineStr"/>
      <c r="J8" s="58">
        <f>IFERROR(ROUND(H8/(H8+I8)*100,1),"")</f>
        <v/>
      </c>
      <c r="K8" s="10" t="inlineStr"/>
    </row>
    <row r="9" ht="22" customHeight="1">
      <c r="B9" s="53" t="n">
        <v>5</v>
      </c>
      <c r="C9" s="55" t="inlineStr"/>
      <c r="D9" s="55" t="inlineStr">
        <is>
          <t>Fri</t>
        </is>
      </c>
      <c r="E9" s="55" t="inlineStr">
        <is>
          <t>First Aid Training</t>
        </is>
      </c>
      <c r="F9" s="55" t="inlineStr">
        <is>
          <t>2</t>
        </is>
      </c>
      <c r="G9" s="55" t="inlineStr">
        <is>
          <t>Parade Ground</t>
        </is>
      </c>
      <c r="H9" s="55" t="inlineStr"/>
      <c r="I9" s="55" t="inlineStr"/>
      <c r="J9" s="57">
        <f>IFERROR(ROUND(H9/(H9+I9)*100,1),"")</f>
        <v/>
      </c>
      <c r="K9" s="55" t="inlineStr"/>
    </row>
    <row r="10" ht="22" customHeight="1">
      <c r="B10" s="8" t="n">
        <v>6</v>
      </c>
      <c r="C10" s="10" t="inlineStr"/>
      <c r="D10" s="10" t="inlineStr">
        <is>
          <t>Sat</t>
        </is>
      </c>
      <c r="E10" s="10" t="inlineStr">
        <is>
          <t>Communication &amp; Signals</t>
        </is>
      </c>
      <c r="F10" s="10" t="inlineStr">
        <is>
          <t>2</t>
        </is>
      </c>
      <c r="G10" s="10" t="inlineStr">
        <is>
          <t>Parade Ground</t>
        </is>
      </c>
      <c r="H10" s="10" t="inlineStr"/>
      <c r="I10" s="10" t="inlineStr"/>
      <c r="J10" s="58">
        <f>IFERROR(ROUND(H10/(H10+I10)*100,1),"")</f>
        <v/>
      </c>
      <c r="K10" s="10" t="inlineStr"/>
    </row>
    <row r="11" ht="22" customHeight="1">
      <c r="B11" s="53" t="n">
        <v>7</v>
      </c>
      <c r="C11" s="55" t="inlineStr"/>
      <c r="D11" s="55" t="inlineStr">
        <is>
          <t>Mon</t>
        </is>
      </c>
      <c r="E11" s="55" t="inlineStr">
        <is>
          <t>Civil Defence Drill</t>
        </is>
      </c>
      <c r="F11" s="55" t="inlineStr">
        <is>
          <t>2</t>
        </is>
      </c>
      <c r="G11" s="55" t="inlineStr">
        <is>
          <t>Parade Ground</t>
        </is>
      </c>
      <c r="H11" s="55" t="inlineStr"/>
      <c r="I11" s="55" t="inlineStr"/>
      <c r="J11" s="57">
        <f>IFERROR(ROUND(H11/(H11+I11)*100,1),"")</f>
        <v/>
      </c>
      <c r="K11" s="55" t="inlineStr"/>
    </row>
    <row r="12" ht="22" customHeight="1">
      <c r="B12" s="8" t="n">
        <v>8</v>
      </c>
      <c r="C12" s="10" t="inlineStr"/>
      <c r="D12" s="10" t="inlineStr">
        <is>
          <t>Tue</t>
        </is>
      </c>
      <c r="E12" s="10" t="inlineStr">
        <is>
          <t>Band Practice</t>
        </is>
      </c>
      <c r="F12" s="10" t="inlineStr">
        <is>
          <t>2</t>
        </is>
      </c>
      <c r="G12" s="10" t="inlineStr">
        <is>
          <t>Parade Ground</t>
        </is>
      </c>
      <c r="H12" s="10" t="inlineStr"/>
      <c r="I12" s="10" t="inlineStr"/>
      <c r="J12" s="58">
        <f>IFERROR(ROUND(H12/(H12+I12)*100,1),"")</f>
        <v/>
      </c>
      <c r="K12" s="10" t="inlineStr"/>
    </row>
    <row r="13" ht="22" customHeight="1">
      <c r="B13" s="53" t="n">
        <v>9</v>
      </c>
      <c r="C13" s="55" t="inlineStr"/>
      <c r="D13" s="55" t="inlineStr">
        <is>
          <t>Wed</t>
        </is>
      </c>
      <c r="E13" s="55" t="inlineStr">
        <is>
          <t>Cultural / Social Activity</t>
        </is>
      </c>
      <c r="F13" s="55" t="inlineStr">
        <is>
          <t>2</t>
        </is>
      </c>
      <c r="G13" s="55" t="inlineStr">
        <is>
          <t>Parade Ground</t>
        </is>
      </c>
      <c r="H13" s="55" t="inlineStr"/>
      <c r="I13" s="55" t="inlineStr"/>
      <c r="J13" s="57">
        <f>IFERROR(ROUND(H13/(H13+I13)*100,1),"")</f>
        <v/>
      </c>
      <c r="K13" s="55" t="inlineStr"/>
    </row>
    <row r="14" ht="22" customHeight="1">
      <c r="B14" s="8" t="n">
        <v>10</v>
      </c>
      <c r="C14" s="10" t="inlineStr"/>
      <c r="D14" s="10" t="inlineStr">
        <is>
          <t>Thu</t>
        </is>
      </c>
      <c r="E14" s="10" t="inlineStr">
        <is>
          <t>Guard Mounting</t>
        </is>
      </c>
      <c r="F14" s="10" t="inlineStr">
        <is>
          <t>2</t>
        </is>
      </c>
      <c r="G14" s="10" t="inlineStr">
        <is>
          <t>Parade Ground</t>
        </is>
      </c>
      <c r="H14" s="10" t="inlineStr"/>
      <c r="I14" s="10" t="inlineStr"/>
      <c r="J14" s="58">
        <f>IFERROR(ROUND(H14/(H14+I14)*100,1),"")</f>
        <v/>
      </c>
      <c r="K14" s="10" t="inlineStr"/>
    </row>
    <row r="15" ht="22" customHeight="1">
      <c r="B15" s="53" t="n">
        <v>11</v>
      </c>
      <c r="C15" s="55" t="inlineStr"/>
      <c r="D15" s="55" t="inlineStr">
        <is>
          <t>Fri</t>
        </is>
      </c>
      <c r="E15" s="55" t="inlineStr">
        <is>
          <t>Swimming / Water Training (Navy)</t>
        </is>
      </c>
      <c r="F15" s="55" t="inlineStr">
        <is>
          <t>2</t>
        </is>
      </c>
      <c r="G15" s="55" t="inlineStr">
        <is>
          <t>Parade Ground</t>
        </is>
      </c>
      <c r="H15" s="55" t="inlineStr"/>
      <c r="I15" s="55" t="inlineStr"/>
      <c r="J15" s="57">
        <f>IFERROR(ROUND(H15/(H15+I15)*100,1),"")</f>
        <v/>
      </c>
      <c r="K15" s="55" t="inlineStr"/>
    </row>
    <row r="16" ht="22" customHeight="1">
      <c r="B16" s="8" t="n">
        <v>12</v>
      </c>
      <c r="C16" s="10" t="inlineStr"/>
      <c r="D16" s="10" t="inlineStr">
        <is>
          <t>Sat</t>
        </is>
      </c>
      <c r="E16" s="10" t="inlineStr">
        <is>
          <t>Aero-modelling (Air Force)</t>
        </is>
      </c>
      <c r="F16" s="10" t="inlineStr">
        <is>
          <t>2</t>
        </is>
      </c>
      <c r="G16" s="10" t="inlineStr">
        <is>
          <t>Parade Ground</t>
        </is>
      </c>
      <c r="H16" s="10" t="inlineStr"/>
      <c r="I16" s="10" t="inlineStr"/>
      <c r="J16" s="58">
        <f>IFERROR(ROUND(H16/(H16+I16)*100,1),"")</f>
        <v/>
      </c>
      <c r="K16" s="10" t="inlineStr"/>
    </row>
    <row r="17" ht="22" customHeight="1">
      <c r="B17" s="53" t="n">
        <v>13</v>
      </c>
      <c r="C17" s="55" t="inlineStr"/>
      <c r="D17" s="55" t="inlineStr">
        <is>
          <t>Mon</t>
        </is>
      </c>
      <c r="E17" s="55" t="inlineStr">
        <is>
          <t>Trekking / Adventure</t>
        </is>
      </c>
      <c r="F17" s="55" t="inlineStr">
        <is>
          <t>2</t>
        </is>
      </c>
      <c r="G17" s="55" t="inlineStr">
        <is>
          <t>Parade Ground</t>
        </is>
      </c>
      <c r="H17" s="55" t="inlineStr"/>
      <c r="I17" s="55" t="inlineStr"/>
      <c r="J17" s="57">
        <f>IFERROR(ROUND(H17/(H17+I17)*100,1),"")</f>
        <v/>
      </c>
      <c r="K17" s="55" t="inlineStr"/>
    </row>
    <row r="18" ht="22" customHeight="1">
      <c r="B18" s="8" t="n">
        <v>14</v>
      </c>
      <c r="C18" s="10" t="inlineStr"/>
      <c r="D18" s="10" t="inlineStr">
        <is>
          <t>Tue</t>
        </is>
      </c>
      <c r="E18" s="10" t="inlineStr">
        <is>
          <t>Shooting Practice</t>
        </is>
      </c>
      <c r="F18" s="10" t="inlineStr">
        <is>
          <t>2</t>
        </is>
      </c>
      <c r="G18" s="10" t="inlineStr">
        <is>
          <t>Parade Ground</t>
        </is>
      </c>
      <c r="H18" s="10" t="inlineStr"/>
      <c r="I18" s="10" t="inlineStr"/>
      <c r="J18" s="58">
        <f>IFERROR(ROUND(H18/(H18+I18)*100,1),"")</f>
        <v/>
      </c>
      <c r="K18" s="10" t="inlineStr"/>
    </row>
    <row r="19" ht="22" customHeight="1">
      <c r="B19" s="53" t="n">
        <v>15</v>
      </c>
      <c r="C19" s="55" t="inlineStr"/>
      <c r="D19" s="55" t="inlineStr">
        <is>
          <t>Wed</t>
        </is>
      </c>
      <c r="E19" s="55" t="inlineStr">
        <is>
          <t>Obstacle Course</t>
        </is>
      </c>
      <c r="F19" s="55" t="inlineStr">
        <is>
          <t>2</t>
        </is>
      </c>
      <c r="G19" s="55" t="inlineStr">
        <is>
          <t>Parade Ground</t>
        </is>
      </c>
      <c r="H19" s="55" t="inlineStr"/>
      <c r="I19" s="55" t="inlineStr"/>
      <c r="J19" s="57">
        <f>IFERROR(ROUND(H19/(H19+I19)*100,1),"")</f>
        <v/>
      </c>
      <c r="K19" s="55" t="inlineStr"/>
    </row>
    <row r="20" ht="22" customHeight="1">
      <c r="B20" s="8" t="n">
        <v>16</v>
      </c>
      <c r="C20" s="10" t="inlineStr"/>
      <c r="D20" s="10" t="inlineStr">
        <is>
          <t>Thu</t>
        </is>
      </c>
      <c r="E20" s="10" t="inlineStr">
        <is>
          <t>Foot Drill (Parade)</t>
        </is>
      </c>
      <c r="F20" s="10" t="inlineStr">
        <is>
          <t>2</t>
        </is>
      </c>
      <c r="G20" s="10" t="inlineStr">
        <is>
          <t>Parade Ground</t>
        </is>
      </c>
      <c r="H20" s="10" t="inlineStr"/>
      <c r="I20" s="10" t="inlineStr"/>
      <c r="J20" s="58">
        <f>IFERROR(ROUND(H20/(H20+I20)*100,1),"")</f>
        <v/>
      </c>
      <c r="K20" s="10" t="inlineStr"/>
    </row>
    <row r="21" ht="22" customHeight="1">
      <c r="B21" s="53" t="n">
        <v>17</v>
      </c>
      <c r="C21" s="55" t="inlineStr"/>
      <c r="D21" s="55" t="inlineStr">
        <is>
          <t>Fri</t>
        </is>
      </c>
      <c r="E21" s="55" t="inlineStr">
        <is>
          <t>PT &amp; Physical Training</t>
        </is>
      </c>
      <c r="F21" s="55" t="inlineStr">
        <is>
          <t>2</t>
        </is>
      </c>
      <c r="G21" s="55" t="inlineStr">
        <is>
          <t>Parade Ground</t>
        </is>
      </c>
      <c r="H21" s="55" t="inlineStr"/>
      <c r="I21" s="55" t="inlineStr"/>
      <c r="J21" s="57">
        <f>IFERROR(ROUND(H21/(H21+I21)*100,1),"")</f>
        <v/>
      </c>
      <c r="K21" s="55" t="inlineStr"/>
    </row>
    <row r="22" ht="22" customHeight="1">
      <c r="B22" s="8" t="n">
        <v>18</v>
      </c>
      <c r="C22" s="10" t="inlineStr"/>
      <c r="D22" s="10" t="inlineStr">
        <is>
          <t>Sat</t>
        </is>
      </c>
      <c r="E22" s="10" t="inlineStr">
        <is>
          <t>Weapon Training</t>
        </is>
      </c>
      <c r="F22" s="10" t="inlineStr">
        <is>
          <t>2</t>
        </is>
      </c>
      <c r="G22" s="10" t="inlineStr">
        <is>
          <t>Parade Ground</t>
        </is>
      </c>
      <c r="H22" s="10" t="inlineStr"/>
      <c r="I22" s="10" t="inlineStr"/>
      <c r="J22" s="58">
        <f>IFERROR(ROUND(H22/(H22+I22)*100,1),"")</f>
        <v/>
      </c>
      <c r="K22" s="10" t="inlineStr"/>
    </row>
    <row r="23" ht="22" customHeight="1">
      <c r="B23" s="53" t="n">
        <v>19</v>
      </c>
      <c r="C23" s="55" t="inlineStr"/>
      <c r="D23" s="55" t="inlineStr">
        <is>
          <t>Mon</t>
        </is>
      </c>
      <c r="E23" s="55" t="inlineStr">
        <is>
          <t>Map Reading</t>
        </is>
      </c>
      <c r="F23" s="55" t="inlineStr">
        <is>
          <t>2</t>
        </is>
      </c>
      <c r="G23" s="55" t="inlineStr">
        <is>
          <t>Parade Ground</t>
        </is>
      </c>
      <c r="H23" s="55" t="inlineStr"/>
      <c r="I23" s="55" t="inlineStr"/>
      <c r="J23" s="57">
        <f>IFERROR(ROUND(H23/(H23+I23)*100,1),"")</f>
        <v/>
      </c>
      <c r="K23" s="55" t="inlineStr"/>
    </row>
    <row r="24" ht="22" customHeight="1">
      <c r="B24" s="8" t="n">
        <v>20</v>
      </c>
      <c r="C24" s="10" t="inlineStr"/>
      <c r="D24" s="10" t="inlineStr">
        <is>
          <t>Tue</t>
        </is>
      </c>
      <c r="E24" s="10" t="inlineStr">
        <is>
          <t>First Aid Training</t>
        </is>
      </c>
      <c r="F24" s="10" t="inlineStr">
        <is>
          <t>2</t>
        </is>
      </c>
      <c r="G24" s="10" t="inlineStr">
        <is>
          <t>Parade Ground</t>
        </is>
      </c>
      <c r="H24" s="10" t="inlineStr"/>
      <c r="I24" s="10" t="inlineStr"/>
      <c r="J24" s="58">
        <f>IFERROR(ROUND(H24/(H24+I24)*100,1),"")</f>
        <v/>
      </c>
      <c r="K24" s="10" t="inlineStr"/>
    </row>
    <row r="25" ht="22" customHeight="1">
      <c r="B25" s="53" t="n">
        <v>21</v>
      </c>
      <c r="C25" s="55" t="inlineStr"/>
      <c r="D25" s="55" t="inlineStr">
        <is>
          <t>Wed</t>
        </is>
      </c>
      <c r="E25" s="55" t="inlineStr">
        <is>
          <t>Communication &amp; Signals</t>
        </is>
      </c>
      <c r="F25" s="55" t="inlineStr">
        <is>
          <t>2</t>
        </is>
      </c>
      <c r="G25" s="55" t="inlineStr">
        <is>
          <t>Parade Ground</t>
        </is>
      </c>
      <c r="H25" s="55" t="inlineStr"/>
      <c r="I25" s="55" t="inlineStr"/>
      <c r="J25" s="57">
        <f>IFERROR(ROUND(H25/(H25+I25)*100,1),"")</f>
        <v/>
      </c>
      <c r="K25" s="55" t="inlineStr"/>
    </row>
    <row r="26" ht="22" customHeight="1">
      <c r="B26" s="8" t="n">
        <v>22</v>
      </c>
      <c r="C26" s="10" t="inlineStr"/>
      <c r="D26" s="10" t="inlineStr">
        <is>
          <t>Thu</t>
        </is>
      </c>
      <c r="E26" s="10" t="inlineStr">
        <is>
          <t>Civil Defence Drill</t>
        </is>
      </c>
      <c r="F26" s="10" t="inlineStr">
        <is>
          <t>2</t>
        </is>
      </c>
      <c r="G26" s="10" t="inlineStr">
        <is>
          <t>Parade Ground</t>
        </is>
      </c>
      <c r="H26" s="10" t="inlineStr"/>
      <c r="I26" s="10" t="inlineStr"/>
      <c r="J26" s="58">
        <f>IFERROR(ROUND(H26/(H26+I26)*100,1),"")</f>
        <v/>
      </c>
      <c r="K26" s="10" t="inlineStr"/>
    </row>
    <row r="27" ht="22" customHeight="1">
      <c r="B27" s="53" t="n">
        <v>23</v>
      </c>
      <c r="C27" s="55" t="inlineStr"/>
      <c r="D27" s="55" t="inlineStr">
        <is>
          <t>Fri</t>
        </is>
      </c>
      <c r="E27" s="55" t="inlineStr">
        <is>
          <t>Band Practice</t>
        </is>
      </c>
      <c r="F27" s="55" t="inlineStr">
        <is>
          <t>2</t>
        </is>
      </c>
      <c r="G27" s="55" t="inlineStr">
        <is>
          <t>Parade Ground</t>
        </is>
      </c>
      <c r="H27" s="55" t="inlineStr"/>
      <c r="I27" s="55" t="inlineStr"/>
      <c r="J27" s="57">
        <f>IFERROR(ROUND(H27/(H27+I27)*100,1),"")</f>
        <v/>
      </c>
      <c r="K27" s="55" t="inlineStr"/>
    </row>
    <row r="28" ht="22" customHeight="1">
      <c r="B28" s="8" t="n">
        <v>24</v>
      </c>
      <c r="C28" s="10" t="inlineStr"/>
      <c r="D28" s="10" t="inlineStr">
        <is>
          <t>Sat</t>
        </is>
      </c>
      <c r="E28" s="10" t="inlineStr">
        <is>
          <t>Cultural / Social Activity</t>
        </is>
      </c>
      <c r="F28" s="10" t="inlineStr">
        <is>
          <t>2</t>
        </is>
      </c>
      <c r="G28" s="10" t="inlineStr">
        <is>
          <t>Parade Ground</t>
        </is>
      </c>
      <c r="H28" s="10" t="inlineStr"/>
      <c r="I28" s="10" t="inlineStr"/>
      <c r="J28" s="58">
        <f>IFERROR(ROUND(H28/(H28+I28)*100,1),"")</f>
        <v/>
      </c>
      <c r="K28" s="10" t="inlineStr"/>
    </row>
    <row r="29" ht="22" customHeight="1">
      <c r="B29" s="53" t="n">
        <v>25</v>
      </c>
      <c r="C29" s="55" t="inlineStr"/>
      <c r="D29" s="55" t="inlineStr">
        <is>
          <t>Mon</t>
        </is>
      </c>
      <c r="E29" s="55" t="inlineStr">
        <is>
          <t>Guard Mounting</t>
        </is>
      </c>
      <c r="F29" s="55" t="inlineStr">
        <is>
          <t>2</t>
        </is>
      </c>
      <c r="G29" s="55" t="inlineStr">
        <is>
          <t>Parade Ground</t>
        </is>
      </c>
      <c r="H29" s="55" t="inlineStr"/>
      <c r="I29" s="55" t="inlineStr"/>
      <c r="J29" s="57">
        <f>IFERROR(ROUND(H29/(H29+I29)*100,1),"")</f>
        <v/>
      </c>
      <c r="K29" s="55" t="inlineStr"/>
    </row>
    <row r="30" ht="22" customHeight="1">
      <c r="B30" s="8" t="n">
        <v>26</v>
      </c>
      <c r="C30" s="10" t="inlineStr"/>
      <c r="D30" s="10" t="inlineStr">
        <is>
          <t>Tue</t>
        </is>
      </c>
      <c r="E30" s="10" t="inlineStr">
        <is>
          <t>Swimming / Water Training (Navy)</t>
        </is>
      </c>
      <c r="F30" s="10" t="inlineStr">
        <is>
          <t>2</t>
        </is>
      </c>
      <c r="G30" s="10" t="inlineStr">
        <is>
          <t>Parade Ground</t>
        </is>
      </c>
      <c r="H30" s="10" t="inlineStr"/>
      <c r="I30" s="10" t="inlineStr"/>
      <c r="J30" s="58">
        <f>IFERROR(ROUND(H30/(H30+I30)*100,1),"")</f>
        <v/>
      </c>
      <c r="K30" s="10" t="inlineStr"/>
    </row>
    <row r="31" ht="22" customHeight="1"/>
    <row r="32" ht="24" customHeight="1">
      <c r="B32" s="34" t="inlineStr">
        <is>
          <t>PARADE SUMMARY</t>
        </is>
      </c>
    </row>
    <row r="33" ht="22" customHeight="1">
      <c r="B33" s="56" t="inlineStr">
        <is>
          <t>Total Parade Sessions Held</t>
        </is>
      </c>
      <c r="C33" s="82" t="n"/>
      <c r="D33" s="82" t="n"/>
      <c r="E33" s="83" t="n"/>
      <c r="F33" s="36">
        <f>COUNTA(B5:B30)</f>
        <v/>
      </c>
      <c r="G33" s="82" t="n"/>
      <c r="H33" s="82" t="n"/>
      <c r="I33" s="82" t="n"/>
      <c r="J33" s="82" t="n"/>
      <c r="K33" s="83" t="n"/>
    </row>
    <row r="34" ht="22" customHeight="1">
      <c r="B34" s="25" t="inlineStr">
        <is>
          <t>Total Parade Hours</t>
        </is>
      </c>
      <c r="C34" s="82" t="n"/>
      <c r="D34" s="82" t="n"/>
      <c r="E34" s="83" t="n"/>
      <c r="F34" s="37">
        <f>IFERROR(SUM(F5:F30),"")</f>
        <v/>
      </c>
      <c r="G34" s="82" t="n"/>
      <c r="H34" s="82" t="n"/>
      <c r="I34" s="82" t="n"/>
      <c r="J34" s="82" t="n"/>
      <c r="K34" s="83" t="n"/>
    </row>
    <row r="35" ht="22" customHeight="1">
      <c r="B35" s="56" t="inlineStr">
        <is>
          <t>Average Attendance (%)</t>
        </is>
      </c>
      <c r="C35" s="82" t="n"/>
      <c r="D35" s="82" t="n"/>
      <c r="E35" s="83" t="n"/>
      <c r="F35" s="36">
        <f>IFERROR(ROUND(AVERAGE(J5:J30),1),"")</f>
        <v/>
      </c>
      <c r="G35" s="82" t="n"/>
      <c r="H35" s="82" t="n"/>
      <c r="I35" s="82" t="n"/>
      <c r="J35" s="82" t="n"/>
      <c r="K35" s="83" t="n"/>
    </row>
    <row r="36">
      <c r="B36" s="25" t="inlineStr">
        <is>
          <t>Cadets with ≥75% Attendance</t>
        </is>
      </c>
      <c r="C36" s="82" t="n"/>
      <c r="D36" s="82" t="n"/>
      <c r="E36" s="83" t="n"/>
      <c r="F36" s="37" t="inlineStr"/>
      <c r="G36" s="82" t="n"/>
      <c r="H36" s="82" t="n"/>
      <c r="I36" s="82" t="n"/>
      <c r="J36" s="82" t="n"/>
      <c r="K36" s="83" t="n"/>
    </row>
    <row r="37">
      <c r="B37" s="56" t="inlineStr">
        <is>
          <t>Cadets Below 75% Attendance</t>
        </is>
      </c>
      <c r="C37" s="82" t="n"/>
      <c r="D37" s="82" t="n"/>
      <c r="E37" s="83" t="n"/>
      <c r="F37" s="36" t="inlineStr"/>
      <c r="G37" s="82" t="n"/>
      <c r="H37" s="82" t="n"/>
      <c r="I37" s="82" t="n"/>
      <c r="J37" s="82" t="n"/>
      <c r="K37" s="83" t="n"/>
    </row>
    <row r="38">
      <c r="B38" s="25" t="inlineStr">
        <is>
          <t>Cadets Eligible for B/C Exam</t>
        </is>
      </c>
      <c r="C38" s="82" t="n"/>
      <c r="D38" s="82" t="n"/>
      <c r="E38" s="83" t="n"/>
      <c r="F38" s="37" t="inlineStr"/>
      <c r="G38" s="82" t="n"/>
      <c r="H38" s="82" t="n"/>
      <c r="I38" s="82" t="n"/>
      <c r="J38" s="82" t="n"/>
      <c r="K38" s="83" t="n"/>
    </row>
  </sheetData>
  <mergeCells count="15">
    <mergeCell ref="B36:E36"/>
    <mergeCell ref="F34:K34"/>
    <mergeCell ref="F38:K38"/>
    <mergeCell ref="B35:E35"/>
    <mergeCell ref="F33:K33"/>
    <mergeCell ref="B32:K32"/>
    <mergeCell ref="F36:K36"/>
    <mergeCell ref="B37:E37"/>
    <mergeCell ref="B34:E34"/>
    <mergeCell ref="B38:E38"/>
    <mergeCell ref="B33:E33"/>
    <mergeCell ref="F35:K35"/>
    <mergeCell ref="B2:K2"/>
    <mergeCell ref="B3:K3"/>
    <mergeCell ref="F37:K3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E4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2" customWidth="1" min="3" max="3"/>
    <col width="20" customWidth="1" min="4" max="4"/>
    <col width="20" customWidth="1" min="5" max="5"/>
    <col width="3" customWidth="1" min="6" max="6"/>
  </cols>
  <sheetData>
    <row r="1" ht="10" customHeight="1"/>
    <row r="2" ht="52" customHeight="1">
      <c r="B2" s="51" t="inlineStr">
        <is>
          <t>NCC-05: ANNUAL TRAINING CAMP (ATC) PLANNING &amp; REPORT</t>
        </is>
      </c>
    </row>
    <row r="3" ht="20" customHeight="1">
      <c r="B3" s="17" t="inlineStr">
        <is>
          <t>Annual Training Camp is mandatory for B/C certificate eligibility. Camp conducted by NCC Group HQ or District. Each cadet must attend at least one camp per year. Retain camp attendance certificate.</t>
        </is>
      </c>
    </row>
    <row r="4" ht="25" customHeight="1">
      <c r="B4" s="59" t="inlineStr">
        <is>
          <t>Camp Ref.: NCC/ATC/______/______   Wing: _______   Camp Dates: _______ to _______   Venue: _______</t>
        </is>
      </c>
    </row>
    <row r="5" ht="24" customHeight="1">
      <c r="B5" s="60" t="inlineStr">
        <is>
          <t>SECTION A — CAMP DETAILS</t>
        </is>
      </c>
    </row>
    <row r="6" ht="26" customHeight="1">
      <c r="B6" s="61" t="inlineStr">
        <is>
          <t>Camp Type:</t>
        </is>
      </c>
      <c r="C6" s="41" t="inlineStr">
        <is>
          <t>[ ] Annual Training Camp (ATC)  [ ] Combined ATC (CATC)  [ ] National Integration Camp  [ ] RDC  [ ] TSC</t>
        </is>
      </c>
      <c r="D6" s="82" t="n"/>
      <c r="E6" s="83" t="n"/>
    </row>
    <row r="7" ht="26" customHeight="1">
      <c r="B7" s="61" t="inlineStr">
        <is>
          <t>Organising Authority:</t>
        </is>
      </c>
      <c r="C7" s="41" t="inlineStr">
        <is>
          <t>[ ] Group HQ  [ ] State Directorate  [ ] NCC Directorate (National)</t>
        </is>
      </c>
      <c r="D7" s="82" t="n"/>
      <c r="E7" s="83" t="n"/>
    </row>
    <row r="8" ht="26" customHeight="1">
      <c r="B8" s="61" t="inlineStr">
        <is>
          <t>Camp Location:</t>
        </is>
      </c>
      <c r="C8" s="9" t="n"/>
      <c r="D8" s="82" t="n"/>
      <c r="E8" s="83" t="n"/>
    </row>
    <row r="9" ht="26" customHeight="1">
      <c r="B9" s="61" t="inlineStr">
        <is>
          <t>Commanding Officer / Camp Commandant:</t>
        </is>
      </c>
      <c r="C9" s="9" t="n"/>
      <c r="D9" s="82" t="n"/>
      <c r="E9" s="83" t="n"/>
    </row>
    <row r="10" ht="26" customHeight="1">
      <c r="B10" s="61" t="inlineStr">
        <is>
          <t>No. of Cadets Sent:</t>
        </is>
      </c>
      <c r="C10" s="9" t="n"/>
      <c r="D10" s="82" t="n"/>
      <c r="E10" s="83" t="n"/>
    </row>
    <row r="11" ht="26" customHeight="1">
      <c r="B11" s="61" t="inlineStr">
        <is>
          <t>Cadets Selected for Camp:</t>
        </is>
      </c>
      <c r="C11" s="9" t="n"/>
      <c r="D11" s="82" t="n"/>
      <c r="E11" s="83" t="n"/>
    </row>
    <row r="12" ht="26" customHeight="1">
      <c r="B12" s="61" t="inlineStr">
        <is>
          <t>ANO Accompanying:</t>
        </is>
      </c>
      <c r="C12" s="9" t="n"/>
      <c r="D12" s="82" t="n"/>
      <c r="E12" s="83" t="n"/>
    </row>
    <row r="13" ht="26" customHeight="1">
      <c r="B13" s="61" t="inlineStr">
        <is>
          <t>Support Staff / Faculty:</t>
        </is>
      </c>
      <c r="C13" s="9" t="n"/>
      <c r="D13" s="82" t="n"/>
      <c r="E13" s="83" t="n"/>
    </row>
    <row r="14" ht="26" customHeight="1">
      <c r="B14" s="61" t="inlineStr">
        <is>
          <t>Transport Arranged by:</t>
        </is>
      </c>
      <c r="C14" s="41" t="inlineStr">
        <is>
          <t>[ ] NCC Group HQ  [ ] Institution  [ ] State Govt.</t>
        </is>
      </c>
      <c r="D14" s="82" t="n"/>
      <c r="E14" s="83" t="n"/>
    </row>
    <row r="15" ht="26" customHeight="1">
      <c r="B15" s="61" t="inlineStr">
        <is>
          <t>Cadet kit / uniform verified?</t>
        </is>
      </c>
      <c r="C15" s="41" t="inlineStr">
        <is>
          <t>[ ] Yes  [ ] No — Pending items: _______</t>
        </is>
      </c>
      <c r="D15" s="82" t="n"/>
      <c r="E15" s="83" t="n"/>
    </row>
    <row r="16" ht="28" customHeight="1"/>
    <row r="17" ht="24" customHeight="1">
      <c r="B17" s="34" t="inlineStr">
        <is>
          <t>SECTION B — CADET PARTICIPATION LIST</t>
        </is>
      </c>
    </row>
    <row r="18" ht="28" customHeight="1">
      <c r="B18" s="30" t="inlineStr">
        <is>
          <t>Sl.</t>
        </is>
      </c>
      <c r="C18" s="30" t="inlineStr">
        <is>
          <t>Cadet Name</t>
        </is>
      </c>
      <c r="D18" s="30" t="inlineStr">
        <is>
          <t>Rank &amp; Wing</t>
        </is>
      </c>
      <c r="E18" s="30" t="inlineStr">
        <is>
          <t>Camp Attendance Certificate Received</t>
        </is>
      </c>
    </row>
    <row r="19" ht="28" customHeight="1">
      <c r="B19" s="31" t="n">
        <v>1</v>
      </c>
      <c r="C19" s="32" t="inlineStr"/>
      <c r="D19" s="33" t="inlineStr"/>
      <c r="E19" s="33" t="inlineStr">
        <is>
          <t>Y</t>
        </is>
      </c>
    </row>
    <row r="20" ht="28" customHeight="1">
      <c r="B20" s="8" t="n">
        <v>2</v>
      </c>
      <c r="C20" s="9" t="inlineStr"/>
      <c r="D20" s="10" t="inlineStr"/>
      <c r="E20" s="10" t="inlineStr">
        <is>
          <t>Y</t>
        </is>
      </c>
    </row>
    <row r="21" ht="28" customHeight="1">
      <c r="B21" s="31" t="n">
        <v>3</v>
      </c>
      <c r="C21" s="32" t="inlineStr"/>
      <c r="D21" s="33" t="inlineStr"/>
      <c r="E21" s="33" t="inlineStr">
        <is>
          <t>Y</t>
        </is>
      </c>
    </row>
    <row r="22" ht="28" customHeight="1">
      <c r="B22" s="8" t="n">
        <v>4</v>
      </c>
      <c r="C22" s="9" t="inlineStr"/>
      <c r="D22" s="10" t="inlineStr"/>
      <c r="E22" s="10" t="inlineStr">
        <is>
          <t>Y</t>
        </is>
      </c>
    </row>
    <row r="23" ht="28" customHeight="1">
      <c r="B23" s="31" t="n">
        <v>5</v>
      </c>
      <c r="C23" s="32" t="inlineStr"/>
      <c r="D23" s="33" t="inlineStr"/>
      <c r="E23" s="33" t="inlineStr">
        <is>
          <t>Y</t>
        </is>
      </c>
    </row>
    <row r="24" ht="28" customHeight="1">
      <c r="B24" s="8" t="n">
        <v>6</v>
      </c>
      <c r="C24" s="9" t="inlineStr"/>
      <c r="D24" s="10" t="inlineStr"/>
      <c r="E24" s="10" t="inlineStr">
        <is>
          <t>Y</t>
        </is>
      </c>
    </row>
    <row r="25" ht="28" customHeight="1">
      <c r="B25" s="31" t="n">
        <v>7</v>
      </c>
      <c r="C25" s="32" t="inlineStr"/>
      <c r="D25" s="33" t="inlineStr"/>
      <c r="E25" s="33" t="inlineStr">
        <is>
          <t>Y</t>
        </is>
      </c>
    </row>
    <row r="26" ht="28" customHeight="1">
      <c r="B26" s="8" t="n">
        <v>8</v>
      </c>
      <c r="C26" s="9" t="inlineStr"/>
      <c r="D26" s="10" t="inlineStr"/>
      <c r="E26" s="10" t="inlineStr">
        <is>
          <t>Y</t>
        </is>
      </c>
    </row>
    <row r="27" ht="28" customHeight="1">
      <c r="B27" s="31" t="n">
        <v>9</v>
      </c>
      <c r="C27" s="32" t="inlineStr"/>
      <c r="D27" s="33" t="inlineStr"/>
      <c r="E27" s="33" t="inlineStr">
        <is>
          <t>Y</t>
        </is>
      </c>
    </row>
    <row r="28" ht="28" customHeight="1">
      <c r="B28" s="8" t="n">
        <v>10</v>
      </c>
      <c r="C28" s="9" t="inlineStr"/>
      <c r="D28" s="10" t="inlineStr"/>
      <c r="E28" s="10" t="inlineStr">
        <is>
          <t>Y</t>
        </is>
      </c>
    </row>
    <row r="29" ht="28" customHeight="1">
      <c r="B29" s="31" t="n">
        <v>11</v>
      </c>
      <c r="C29" s="32" t="inlineStr"/>
      <c r="D29" s="33" t="inlineStr"/>
      <c r="E29" s="33" t="inlineStr">
        <is>
          <t>Y</t>
        </is>
      </c>
    </row>
    <row r="30" ht="28" customHeight="1">
      <c r="B30" s="8" t="n">
        <v>12</v>
      </c>
      <c r="C30" s="9" t="inlineStr"/>
      <c r="D30" s="10" t="inlineStr"/>
      <c r="E30" s="10" t="inlineStr">
        <is>
          <t>Y</t>
        </is>
      </c>
    </row>
    <row r="31" ht="28" customHeight="1">
      <c r="B31" s="31" t="n">
        <v>13</v>
      </c>
      <c r="C31" s="32" t="inlineStr"/>
      <c r="D31" s="33" t="inlineStr"/>
      <c r="E31" s="33" t="inlineStr">
        <is>
          <t>Y</t>
        </is>
      </c>
    </row>
    <row r="32" ht="28" customHeight="1">
      <c r="B32" s="8" t="n">
        <v>14</v>
      </c>
      <c r="C32" s="9" t="inlineStr"/>
      <c r="D32" s="10" t="inlineStr"/>
      <c r="E32" s="10" t="inlineStr">
        <is>
          <t>Y</t>
        </is>
      </c>
    </row>
    <row r="33" ht="28" customHeight="1">
      <c r="B33" s="31" t="n">
        <v>15</v>
      </c>
      <c r="C33" s="32" t="inlineStr"/>
      <c r="D33" s="33" t="inlineStr"/>
      <c r="E33" s="33" t="inlineStr">
        <is>
          <t>Y</t>
        </is>
      </c>
    </row>
    <row r="34" ht="28" customHeight="1">
      <c r="B34" s="8" t="n">
        <v>16</v>
      </c>
      <c r="C34" s="9" t="inlineStr"/>
      <c r="D34" s="10" t="inlineStr"/>
      <c r="E34" s="10" t="inlineStr">
        <is>
          <t>Y</t>
        </is>
      </c>
    </row>
    <row r="35" ht="28" customHeight="1"/>
    <row r="36" ht="24" customHeight="1">
      <c r="B36" s="60" t="inlineStr">
        <is>
          <t>SECTION C — POST-CAMP REPORT</t>
        </is>
      </c>
    </row>
    <row r="37" ht="26" customHeight="1">
      <c r="B37" s="61" t="inlineStr">
        <is>
          <t>Activities conducted at camp:</t>
        </is>
      </c>
      <c r="C37" s="41" t="inlineStr">
        <is>
          <t>Drill, PT, Weapon Training, Map Reading, First Aid, Social Activities</t>
        </is>
      </c>
      <c r="D37" s="82" t="n"/>
      <c r="E37" s="83" t="n"/>
    </row>
    <row r="38" ht="26" customHeight="1">
      <c r="B38" s="61" t="inlineStr">
        <is>
          <t>Best cadet nominated:</t>
        </is>
      </c>
      <c r="C38" s="9" t="n"/>
      <c r="D38" s="82" t="n"/>
      <c r="E38" s="83" t="n"/>
    </row>
    <row r="39" ht="26" customHeight="1">
      <c r="B39" s="61" t="inlineStr">
        <is>
          <t>Awards / commendations received:</t>
        </is>
      </c>
      <c r="C39" s="9" t="n"/>
      <c r="D39" s="82" t="n"/>
      <c r="E39" s="83" t="n"/>
    </row>
    <row r="40" ht="26" customHeight="1">
      <c r="B40" s="61" t="inlineStr">
        <is>
          <t>Cadets selected for further camps (RDC / National):</t>
        </is>
      </c>
      <c r="C40" s="9" t="n"/>
      <c r="D40" s="82" t="n"/>
      <c r="E40" s="83" t="n"/>
    </row>
    <row r="41" ht="26" customHeight="1">
      <c r="B41" s="61" t="inlineStr">
        <is>
          <t>Overall camp feedback from cadets:</t>
        </is>
      </c>
      <c r="C41" s="41" t="inlineStr">
        <is>
          <t>[ ] Excellent  [ ] Good  [ ] Average  [ ] Below Average</t>
        </is>
      </c>
      <c r="D41" s="82" t="n"/>
      <c r="E41" s="83" t="n"/>
    </row>
    <row r="42" ht="26" customHeight="1">
      <c r="B42" s="61" t="inlineStr">
        <is>
          <t>Camp completion certificates received:</t>
        </is>
      </c>
      <c r="C42" s="41" t="inlineStr">
        <is>
          <t>[ ] Yes — All cadets  [ ] Partial — Reason: _______</t>
        </is>
      </c>
      <c r="D42" s="82" t="n"/>
      <c r="E42" s="83" t="n"/>
    </row>
    <row r="43" ht="28" customHeight="1"/>
    <row r="44" ht="28" customHeight="1">
      <c r="B44" s="29" t="inlineStr">
        <is>
          <t>ANO Signature: ___________________    CO's Camp Certificate Ref.: ___________________    Submitted to Principal: ___________________    Date: ___________________</t>
        </is>
      </c>
    </row>
    <row r="45" ht="28" customHeight="1"/>
    <row r="46" ht="28" customHeight="1"/>
    <row r="47" ht="28" customHeight="1"/>
    <row r="48" ht="28" customHeight="1"/>
    <row r="49" ht="28" customHeight="1"/>
  </sheetData>
  <mergeCells count="23">
    <mergeCell ref="C41:E41"/>
    <mergeCell ref="C40:E40"/>
    <mergeCell ref="C9:E9"/>
    <mergeCell ref="B5:E5"/>
    <mergeCell ref="C12:E12"/>
    <mergeCell ref="B36:E36"/>
    <mergeCell ref="C11:E11"/>
    <mergeCell ref="B4:E4"/>
    <mergeCell ref="C39:E39"/>
    <mergeCell ref="C8:E8"/>
    <mergeCell ref="B3:E3"/>
    <mergeCell ref="C7:E7"/>
    <mergeCell ref="C38:E38"/>
    <mergeCell ref="C13:E13"/>
    <mergeCell ref="C37:E37"/>
    <mergeCell ref="B2:E2"/>
    <mergeCell ref="C15:E15"/>
    <mergeCell ref="C6:E6"/>
    <mergeCell ref="C42:E42"/>
    <mergeCell ref="B17:E17"/>
    <mergeCell ref="C14:E14"/>
    <mergeCell ref="B44:E44"/>
    <mergeCell ref="C10:E10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J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2" customWidth="1" min="4" max="4"/>
    <col width="12" customWidth="1" min="5" max="5"/>
    <col width="10" customWidth="1" min="6" max="6"/>
    <col width="12" customWidth="1" min="7" max="7"/>
    <col width="12" customWidth="1" min="8" max="8"/>
    <col width="12" customWidth="1" min="9" max="9"/>
    <col width="14" customWidth="1" min="10" max="10"/>
    <col width="3" customWidth="1" min="11" max="11"/>
  </cols>
  <sheetData>
    <row r="1" ht="10" customHeight="1"/>
    <row r="2" ht="48" customHeight="1">
      <c r="B2" s="51" t="inlineStr">
        <is>
          <t>NCC-07: B &amp; C CERTIFICATE EXAMINATION REGISTER</t>
        </is>
      </c>
    </row>
    <row r="3" ht="20" customHeight="1">
      <c r="B3" s="17" t="inlineStr">
        <is>
          <t>B Certificate: 2 years NCC + 1 Annual Camp + 75% attendance. C Certificate: 3 years NCC + 2 Annual Camps + 75% attendance. Exam conducted by State NCC Directorate. C Certificate has special weightage in defence recruitment.</t>
        </is>
      </c>
    </row>
    <row r="4" ht="25" customHeight="1">
      <c r="B4" s="52" t="inlineStr">
        <is>
          <t>Cadet
Ref.</t>
        </is>
      </c>
      <c r="C4" s="52" t="inlineStr">
        <is>
          <t>Cadet Name</t>
        </is>
      </c>
      <c r="D4" s="52" t="inlineStr">
        <is>
          <t>Roll No.</t>
        </is>
      </c>
      <c r="E4" s="52" t="inlineStr">
        <is>
          <t>Wing
(A/N/AF)</t>
        </is>
      </c>
      <c r="F4" s="52" t="inlineStr">
        <is>
          <t>Exam
Level</t>
        </is>
      </c>
      <c r="G4" s="52" t="inlineStr">
        <is>
          <t>Exam
Date</t>
        </is>
      </c>
      <c r="H4" s="52" t="inlineStr">
        <is>
          <t>Written
Score</t>
        </is>
      </c>
      <c r="I4" s="52" t="inlineStr">
        <is>
          <t>Practical
Score</t>
        </is>
      </c>
      <c r="J4" s="52" t="inlineStr">
        <is>
          <t>Result /
Certificate No.</t>
        </is>
      </c>
    </row>
    <row r="5" ht="22" customHeight="1">
      <c r="B5" s="53" t="inlineStr">
        <is>
          <t>NCC/CAD/0001</t>
        </is>
      </c>
      <c r="C5" s="54" t="inlineStr"/>
      <c r="D5" s="55" t="inlineStr"/>
      <c r="E5" s="53" t="inlineStr">
        <is>
          <t>Army</t>
        </is>
      </c>
      <c r="F5" s="53" t="inlineStr">
        <is>
          <t>B Certificate</t>
        </is>
      </c>
      <c r="G5" s="55" t="inlineStr"/>
      <c r="H5" s="55" t="inlineStr"/>
      <c r="I5" s="55" t="inlineStr"/>
      <c r="J5" s="55" t="inlineStr"/>
    </row>
    <row r="6" ht="22" customHeight="1">
      <c r="B6" s="8" t="inlineStr">
        <is>
          <t>NCC/CAD/0002</t>
        </is>
      </c>
      <c r="C6" s="9" t="inlineStr"/>
      <c r="D6" s="10" t="inlineStr"/>
      <c r="E6" s="8" t="inlineStr">
        <is>
          <t>Navy</t>
        </is>
      </c>
      <c r="F6" s="8" t="inlineStr">
        <is>
          <t>C Certificate</t>
        </is>
      </c>
      <c r="G6" s="10" t="inlineStr"/>
      <c r="H6" s="10" t="inlineStr"/>
      <c r="I6" s="10" t="inlineStr"/>
      <c r="J6" s="10" t="inlineStr"/>
    </row>
    <row r="7" ht="22" customHeight="1">
      <c r="B7" s="53" t="inlineStr">
        <is>
          <t>NCC/CAD/0003</t>
        </is>
      </c>
      <c r="C7" s="54" t="inlineStr"/>
      <c r="D7" s="55" t="inlineStr"/>
      <c r="E7" s="53" t="inlineStr">
        <is>
          <t>Air Force</t>
        </is>
      </c>
      <c r="F7" s="53" t="inlineStr">
        <is>
          <t>B Certificate</t>
        </is>
      </c>
      <c r="G7" s="55" t="inlineStr"/>
      <c r="H7" s="55" t="inlineStr"/>
      <c r="I7" s="55" t="inlineStr"/>
      <c r="J7" s="55" t="inlineStr"/>
    </row>
    <row r="8" ht="22" customHeight="1">
      <c r="B8" s="8" t="inlineStr">
        <is>
          <t>NCC/CAD/0004</t>
        </is>
      </c>
      <c r="C8" s="9" t="inlineStr"/>
      <c r="D8" s="10" t="inlineStr"/>
      <c r="E8" s="8" t="inlineStr">
        <is>
          <t>Army</t>
        </is>
      </c>
      <c r="F8" s="8" t="inlineStr">
        <is>
          <t>C Certificate</t>
        </is>
      </c>
      <c r="G8" s="10" t="inlineStr"/>
      <c r="H8" s="10" t="inlineStr"/>
      <c r="I8" s="10" t="inlineStr"/>
      <c r="J8" s="10" t="inlineStr"/>
    </row>
    <row r="9" ht="22" customHeight="1">
      <c r="B9" s="53" t="inlineStr">
        <is>
          <t>NCC/CAD/0005</t>
        </is>
      </c>
      <c r="C9" s="54" t="inlineStr"/>
      <c r="D9" s="55" t="inlineStr"/>
      <c r="E9" s="53" t="inlineStr">
        <is>
          <t>Navy</t>
        </is>
      </c>
      <c r="F9" s="53" t="inlineStr">
        <is>
          <t>B Certificate</t>
        </is>
      </c>
      <c r="G9" s="55" t="inlineStr"/>
      <c r="H9" s="55" t="inlineStr"/>
      <c r="I9" s="55" t="inlineStr"/>
      <c r="J9" s="55" t="inlineStr"/>
    </row>
    <row r="10" ht="22" customHeight="1">
      <c r="B10" s="8" t="inlineStr">
        <is>
          <t>NCC/CAD/0006</t>
        </is>
      </c>
      <c r="C10" s="9" t="inlineStr"/>
      <c r="D10" s="10" t="inlineStr"/>
      <c r="E10" s="8" t="inlineStr">
        <is>
          <t>Air Force</t>
        </is>
      </c>
      <c r="F10" s="8" t="inlineStr">
        <is>
          <t>C Certificate</t>
        </is>
      </c>
      <c r="G10" s="10" t="inlineStr"/>
      <c r="H10" s="10" t="inlineStr"/>
      <c r="I10" s="10" t="inlineStr"/>
      <c r="J10" s="10" t="inlineStr"/>
    </row>
    <row r="11" ht="22" customHeight="1">
      <c r="B11" s="53" t="inlineStr">
        <is>
          <t>NCC/CAD/0007</t>
        </is>
      </c>
      <c r="C11" s="54" t="inlineStr"/>
      <c r="D11" s="55" t="inlineStr"/>
      <c r="E11" s="53" t="inlineStr">
        <is>
          <t>Army</t>
        </is>
      </c>
      <c r="F11" s="53" t="inlineStr">
        <is>
          <t>B Certificate</t>
        </is>
      </c>
      <c r="G11" s="55" t="inlineStr"/>
      <c r="H11" s="55" t="inlineStr"/>
      <c r="I11" s="55" t="inlineStr"/>
      <c r="J11" s="55" t="inlineStr"/>
    </row>
    <row r="12" ht="22" customHeight="1">
      <c r="B12" s="8" t="inlineStr">
        <is>
          <t>NCC/CAD/0008</t>
        </is>
      </c>
      <c r="C12" s="9" t="inlineStr"/>
      <c r="D12" s="10" t="inlineStr"/>
      <c r="E12" s="8" t="inlineStr">
        <is>
          <t>Navy</t>
        </is>
      </c>
      <c r="F12" s="8" t="inlineStr">
        <is>
          <t>C Certificate</t>
        </is>
      </c>
      <c r="G12" s="10" t="inlineStr"/>
      <c r="H12" s="10" t="inlineStr"/>
      <c r="I12" s="10" t="inlineStr"/>
      <c r="J12" s="10" t="inlineStr"/>
    </row>
    <row r="13" ht="22" customHeight="1">
      <c r="B13" s="53" t="inlineStr">
        <is>
          <t>NCC/CAD/0009</t>
        </is>
      </c>
      <c r="C13" s="54" t="inlineStr"/>
      <c r="D13" s="55" t="inlineStr"/>
      <c r="E13" s="53" t="inlineStr">
        <is>
          <t>Air Force</t>
        </is>
      </c>
      <c r="F13" s="53" t="inlineStr">
        <is>
          <t>B Certificate</t>
        </is>
      </c>
      <c r="G13" s="55" t="inlineStr"/>
      <c r="H13" s="55" t="inlineStr"/>
      <c r="I13" s="55" t="inlineStr"/>
      <c r="J13" s="55" t="inlineStr"/>
    </row>
    <row r="14" ht="22" customHeight="1">
      <c r="B14" s="8" t="inlineStr">
        <is>
          <t>NCC/CAD/0010</t>
        </is>
      </c>
      <c r="C14" s="9" t="inlineStr"/>
      <c r="D14" s="10" t="inlineStr"/>
      <c r="E14" s="8" t="inlineStr">
        <is>
          <t>Army</t>
        </is>
      </c>
      <c r="F14" s="8" t="inlineStr">
        <is>
          <t>C Certificate</t>
        </is>
      </c>
      <c r="G14" s="10" t="inlineStr"/>
      <c r="H14" s="10" t="inlineStr"/>
      <c r="I14" s="10" t="inlineStr"/>
      <c r="J14" s="10" t="inlineStr"/>
    </row>
    <row r="15" ht="22" customHeight="1">
      <c r="B15" s="53" t="inlineStr">
        <is>
          <t>NCC/CAD/0011</t>
        </is>
      </c>
      <c r="C15" s="54" t="inlineStr"/>
      <c r="D15" s="55" t="inlineStr"/>
      <c r="E15" s="53" t="inlineStr">
        <is>
          <t>Navy</t>
        </is>
      </c>
      <c r="F15" s="53" t="inlineStr">
        <is>
          <t>B Certificate</t>
        </is>
      </c>
      <c r="G15" s="55" t="inlineStr"/>
      <c r="H15" s="55" t="inlineStr"/>
      <c r="I15" s="55" t="inlineStr"/>
      <c r="J15" s="55" t="inlineStr"/>
    </row>
    <row r="16" ht="22" customHeight="1">
      <c r="B16" s="8" t="inlineStr">
        <is>
          <t>NCC/CAD/0012</t>
        </is>
      </c>
      <c r="C16" s="9" t="inlineStr"/>
      <c r="D16" s="10" t="inlineStr"/>
      <c r="E16" s="8" t="inlineStr">
        <is>
          <t>Air Force</t>
        </is>
      </c>
      <c r="F16" s="8" t="inlineStr">
        <is>
          <t>C Certificate</t>
        </is>
      </c>
      <c r="G16" s="10" t="inlineStr"/>
      <c r="H16" s="10" t="inlineStr"/>
      <c r="I16" s="10" t="inlineStr"/>
      <c r="J16" s="10" t="inlineStr"/>
    </row>
    <row r="17" ht="22" customHeight="1">
      <c r="B17" s="53" t="inlineStr">
        <is>
          <t>NCC/CAD/0013</t>
        </is>
      </c>
      <c r="C17" s="54" t="inlineStr"/>
      <c r="D17" s="55" t="inlineStr"/>
      <c r="E17" s="53" t="inlineStr">
        <is>
          <t>Army</t>
        </is>
      </c>
      <c r="F17" s="53" t="inlineStr">
        <is>
          <t>B Certificate</t>
        </is>
      </c>
      <c r="G17" s="55" t="inlineStr"/>
      <c r="H17" s="55" t="inlineStr"/>
      <c r="I17" s="55" t="inlineStr"/>
      <c r="J17" s="55" t="inlineStr"/>
    </row>
    <row r="18" ht="22" customHeight="1">
      <c r="B18" s="8" t="inlineStr">
        <is>
          <t>NCC/CAD/0014</t>
        </is>
      </c>
      <c r="C18" s="9" t="inlineStr"/>
      <c r="D18" s="10" t="inlineStr"/>
      <c r="E18" s="8" t="inlineStr">
        <is>
          <t>Navy</t>
        </is>
      </c>
      <c r="F18" s="8" t="inlineStr">
        <is>
          <t>C Certificate</t>
        </is>
      </c>
      <c r="G18" s="10" t="inlineStr"/>
      <c r="H18" s="10" t="inlineStr"/>
      <c r="I18" s="10" t="inlineStr"/>
      <c r="J18" s="10" t="inlineStr"/>
    </row>
    <row r="19" ht="22" customHeight="1">
      <c r="B19" s="53" t="inlineStr">
        <is>
          <t>NCC/CAD/0015</t>
        </is>
      </c>
      <c r="C19" s="54" t="inlineStr"/>
      <c r="D19" s="55" t="inlineStr"/>
      <c r="E19" s="53" t="inlineStr">
        <is>
          <t>Air Force</t>
        </is>
      </c>
      <c r="F19" s="53" t="inlineStr">
        <is>
          <t>B Certificate</t>
        </is>
      </c>
      <c r="G19" s="55" t="inlineStr"/>
      <c r="H19" s="55" t="inlineStr"/>
      <c r="I19" s="55" t="inlineStr"/>
      <c r="J19" s="55" t="inlineStr"/>
    </row>
    <row r="20" ht="22" customHeight="1">
      <c r="B20" s="8" t="inlineStr">
        <is>
          <t>NCC/CAD/0016</t>
        </is>
      </c>
      <c r="C20" s="9" t="inlineStr"/>
      <c r="D20" s="10" t="inlineStr"/>
      <c r="E20" s="8" t="inlineStr">
        <is>
          <t>Army</t>
        </is>
      </c>
      <c r="F20" s="8" t="inlineStr">
        <is>
          <t>C Certificate</t>
        </is>
      </c>
      <c r="G20" s="10" t="inlineStr"/>
      <c r="H20" s="10" t="inlineStr"/>
      <c r="I20" s="10" t="inlineStr"/>
      <c r="J20" s="10" t="inlineStr"/>
    </row>
    <row r="21" ht="22" customHeight="1">
      <c r="B21" s="53" t="inlineStr">
        <is>
          <t>NCC/CAD/0017</t>
        </is>
      </c>
      <c r="C21" s="54" t="inlineStr"/>
      <c r="D21" s="55" t="inlineStr"/>
      <c r="E21" s="53" t="inlineStr">
        <is>
          <t>Navy</t>
        </is>
      </c>
      <c r="F21" s="53" t="inlineStr">
        <is>
          <t>B Certificate</t>
        </is>
      </c>
      <c r="G21" s="55" t="inlineStr"/>
      <c r="H21" s="55" t="inlineStr"/>
      <c r="I21" s="55" t="inlineStr"/>
      <c r="J21" s="55" t="inlineStr"/>
    </row>
    <row r="22" ht="22" customHeight="1">
      <c r="B22" s="8" t="inlineStr">
        <is>
          <t>NCC/CAD/0018</t>
        </is>
      </c>
      <c r="C22" s="9" t="inlineStr"/>
      <c r="D22" s="10" t="inlineStr"/>
      <c r="E22" s="8" t="inlineStr">
        <is>
          <t>Air Force</t>
        </is>
      </c>
      <c r="F22" s="8" t="inlineStr">
        <is>
          <t>C Certificate</t>
        </is>
      </c>
      <c r="G22" s="10" t="inlineStr"/>
      <c r="H22" s="10" t="inlineStr"/>
      <c r="I22" s="10" t="inlineStr"/>
      <c r="J22" s="10" t="inlineStr"/>
    </row>
    <row r="23" ht="22" customHeight="1">
      <c r="B23" s="53" t="inlineStr">
        <is>
          <t>NCC/CAD/0019</t>
        </is>
      </c>
      <c r="C23" s="54" t="inlineStr"/>
      <c r="D23" s="55" t="inlineStr"/>
      <c r="E23" s="53" t="inlineStr">
        <is>
          <t>Army</t>
        </is>
      </c>
      <c r="F23" s="53" t="inlineStr">
        <is>
          <t>B Certificate</t>
        </is>
      </c>
      <c r="G23" s="55" t="inlineStr"/>
      <c r="H23" s="55" t="inlineStr"/>
      <c r="I23" s="55" t="inlineStr"/>
      <c r="J23" s="55" t="inlineStr"/>
    </row>
    <row r="24" ht="22" customHeight="1">
      <c r="B24" s="8" t="inlineStr">
        <is>
          <t>NCC/CAD/0020</t>
        </is>
      </c>
      <c r="C24" s="9" t="inlineStr"/>
      <c r="D24" s="10" t="inlineStr"/>
      <c r="E24" s="8" t="inlineStr">
        <is>
          <t>Navy</t>
        </is>
      </c>
      <c r="F24" s="8" t="inlineStr">
        <is>
          <t>C Certificate</t>
        </is>
      </c>
      <c r="G24" s="10" t="inlineStr"/>
      <c r="H24" s="10" t="inlineStr"/>
      <c r="I24" s="10" t="inlineStr"/>
      <c r="J24" s="10" t="inlineStr"/>
    </row>
    <row r="25" ht="22" customHeight="1">
      <c r="B25" s="53" t="inlineStr">
        <is>
          <t>NCC/CAD/0021</t>
        </is>
      </c>
      <c r="C25" s="54" t="inlineStr"/>
      <c r="D25" s="55" t="inlineStr"/>
      <c r="E25" s="53" t="inlineStr">
        <is>
          <t>Air Force</t>
        </is>
      </c>
      <c r="F25" s="53" t="inlineStr">
        <is>
          <t>B Certificate</t>
        </is>
      </c>
      <c r="G25" s="55" t="inlineStr"/>
      <c r="H25" s="55" t="inlineStr"/>
      <c r="I25" s="55" t="inlineStr"/>
      <c r="J25" s="55" t="inlineStr"/>
    </row>
    <row r="26" ht="22" customHeight="1">
      <c r="B26" s="8" t="inlineStr">
        <is>
          <t>NCC/CAD/0022</t>
        </is>
      </c>
      <c r="C26" s="9" t="inlineStr"/>
      <c r="D26" s="10" t="inlineStr"/>
      <c r="E26" s="8" t="inlineStr">
        <is>
          <t>Army</t>
        </is>
      </c>
      <c r="F26" s="8" t="inlineStr">
        <is>
          <t>C Certificate</t>
        </is>
      </c>
      <c r="G26" s="10" t="inlineStr"/>
      <c r="H26" s="10" t="inlineStr"/>
      <c r="I26" s="10" t="inlineStr"/>
      <c r="J26" s="10" t="inlineStr"/>
    </row>
    <row r="27" ht="22" customHeight="1"/>
    <row r="28" ht="24" customHeight="1">
      <c r="B28" s="34" t="inlineStr">
        <is>
          <t>CERTIFICATE EXAMINATION SUMMARY</t>
        </is>
      </c>
    </row>
    <row r="29" ht="22" customHeight="1">
      <c r="B29" s="56" t="inlineStr">
        <is>
          <t>Total Cadets Appearing for B Certificate</t>
        </is>
      </c>
      <c r="C29" s="82" t="n"/>
      <c r="D29" s="82" t="n"/>
      <c r="E29" s="83" t="n"/>
      <c r="F29" s="36">
        <f>COUNTIF(F5:F26,"B Certificate")</f>
        <v/>
      </c>
      <c r="G29" s="82" t="n"/>
      <c r="H29" s="82" t="n"/>
      <c r="I29" s="82" t="n"/>
      <c r="J29" s="83" t="n"/>
    </row>
    <row r="30" ht="22" customHeight="1">
      <c r="B30" s="25" t="inlineStr">
        <is>
          <t>Total Cadets Appearing for C Certificate</t>
        </is>
      </c>
      <c r="C30" s="82" t="n"/>
      <c r="D30" s="82" t="n"/>
      <c r="E30" s="83" t="n"/>
      <c r="F30" s="37">
        <f>COUNTIF(F5:F26,"C Certificate")</f>
        <v/>
      </c>
      <c r="G30" s="82" t="n"/>
      <c r="H30" s="82" t="n"/>
      <c r="I30" s="82" t="n"/>
      <c r="J30" s="83" t="n"/>
    </row>
    <row r="31" ht="22" customHeight="1">
      <c r="B31" s="56" t="inlineStr">
        <is>
          <t>B Certificate — Passed</t>
        </is>
      </c>
      <c r="C31" s="82" t="n"/>
      <c r="D31" s="82" t="n"/>
      <c r="E31" s="83" t="n"/>
      <c r="F31" s="36" t="inlineStr"/>
      <c r="G31" s="82" t="n"/>
      <c r="H31" s="82" t="n"/>
      <c r="I31" s="82" t="n"/>
      <c r="J31" s="83" t="n"/>
    </row>
    <row r="32">
      <c r="B32" s="25" t="inlineStr">
        <is>
          <t>C Certificate — Passed</t>
        </is>
      </c>
      <c r="C32" s="82" t="n"/>
      <c r="D32" s="82" t="n"/>
      <c r="E32" s="83" t="n"/>
      <c r="F32" s="37" t="inlineStr"/>
      <c r="G32" s="82" t="n"/>
      <c r="H32" s="82" t="n"/>
      <c r="I32" s="82" t="n"/>
      <c r="J32" s="83" t="n"/>
    </row>
    <row r="33">
      <c r="B33" s="56" t="inlineStr">
        <is>
          <t>C Certificate Pass Rate (%)</t>
        </is>
      </c>
      <c r="C33" s="82" t="n"/>
      <c r="D33" s="82" t="n"/>
      <c r="E33" s="83" t="n"/>
      <c r="F33" s="36" t="inlineStr"/>
      <c r="G33" s="82" t="n"/>
      <c r="H33" s="82" t="n"/>
      <c r="I33" s="82" t="n"/>
      <c r="J33" s="83" t="n"/>
    </row>
    <row r="34">
      <c r="B34" s="25" t="inlineStr">
        <is>
          <t>Best Performer</t>
        </is>
      </c>
      <c r="C34" s="82" t="n"/>
      <c r="D34" s="82" t="n"/>
      <c r="E34" s="83" t="n"/>
      <c r="F34" s="37" t="inlineStr"/>
      <c r="G34" s="82" t="n"/>
      <c r="H34" s="82" t="n"/>
      <c r="I34" s="82" t="n"/>
      <c r="J34" s="83" t="n"/>
    </row>
  </sheetData>
  <mergeCells count="15">
    <mergeCell ref="B31:E31"/>
    <mergeCell ref="F30:J30"/>
    <mergeCell ref="B3:J3"/>
    <mergeCell ref="F29:J29"/>
    <mergeCell ref="B28:J28"/>
    <mergeCell ref="F34:J34"/>
    <mergeCell ref="B30:E30"/>
    <mergeCell ref="B29:E29"/>
    <mergeCell ref="B33:E33"/>
    <mergeCell ref="F33:J33"/>
    <mergeCell ref="F31:J31"/>
    <mergeCell ref="B34:E34"/>
    <mergeCell ref="F32:J32"/>
    <mergeCell ref="B2:J2"/>
    <mergeCell ref="B32:E3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J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3" customWidth="1" min="11" max="11"/>
  </cols>
  <sheetData>
    <row r="1" ht="10" customHeight="1"/>
    <row r="2" ht="48" customHeight="1">
      <c r="B2" s="51" t="inlineStr">
        <is>
          <t>NCC-12: NCC COMPETITION &amp; ACHIEVEMENT REGISTER</t>
        </is>
      </c>
    </row>
    <row r="3" ht="25" customHeight="1">
      <c r="B3" s="59" t="inlineStr">
        <is>
          <t>A.Y.: _______  NCC ANO: ___________________  NAAC Ref.: Criterion V.3</t>
        </is>
      </c>
    </row>
    <row r="4" ht="25" customHeight="1">
      <c r="B4" s="52" t="inlineStr">
        <is>
          <t>Achievement
Ref.</t>
        </is>
      </c>
      <c r="C4" s="52" t="inlineStr">
        <is>
          <t>Competition / Event</t>
        </is>
      </c>
      <c r="D4" s="52" t="inlineStr">
        <is>
          <t>Competition
Type</t>
        </is>
      </c>
      <c r="E4" s="52" t="inlineStr">
        <is>
          <t>Level</t>
        </is>
      </c>
      <c r="F4" s="52" t="inlineStr">
        <is>
          <t>Date</t>
        </is>
      </c>
      <c r="G4" s="52" t="inlineStr">
        <is>
          <t>Cadets
Participated</t>
        </is>
      </c>
      <c r="H4" s="52" t="inlineStr">
        <is>
          <t>Wing</t>
        </is>
      </c>
      <c r="I4" s="52" t="inlineStr">
        <is>
          <t>Position /
Award</t>
        </is>
      </c>
      <c r="J4" s="52" t="inlineStr">
        <is>
          <t>Certificate /
Trophy</t>
        </is>
      </c>
    </row>
    <row r="5" ht="22" customHeight="1">
      <c r="B5" s="53" t="inlineStr">
        <is>
          <t>NCC/ACH/2024/0001</t>
        </is>
      </c>
      <c r="C5" s="54" t="inlineStr"/>
      <c r="D5" s="55" t="inlineStr">
        <is>
          <t>Shooting Competition</t>
        </is>
      </c>
      <c r="E5" s="55" t="inlineStr">
        <is>
          <t>Institutional</t>
        </is>
      </c>
      <c r="F5" s="55" t="inlineStr"/>
      <c r="G5" s="55" t="inlineStr"/>
      <c r="H5" s="55" t="inlineStr">
        <is>
          <t>Army</t>
        </is>
      </c>
      <c r="I5" s="53" t="inlineStr">
        <is>
          <t>1st Place</t>
        </is>
      </c>
      <c r="J5" s="55" t="inlineStr">
        <is>
          <t>Y</t>
        </is>
      </c>
    </row>
    <row r="6" ht="22" customHeight="1">
      <c r="B6" s="8" t="inlineStr">
        <is>
          <t>NCC/ACH/2024/0002</t>
        </is>
      </c>
      <c r="C6" s="9" t="inlineStr"/>
      <c r="D6" s="10" t="inlineStr">
        <is>
          <t>Drill Competition</t>
        </is>
      </c>
      <c r="E6" s="10" t="inlineStr">
        <is>
          <t>District</t>
        </is>
      </c>
      <c r="F6" s="10" t="inlineStr"/>
      <c r="G6" s="10" t="inlineStr"/>
      <c r="H6" s="10" t="inlineStr">
        <is>
          <t>Navy</t>
        </is>
      </c>
      <c r="I6" s="8" t="inlineStr">
        <is>
          <t>2nd Place</t>
        </is>
      </c>
      <c r="J6" s="10" t="inlineStr">
        <is>
          <t>Y</t>
        </is>
      </c>
    </row>
    <row r="7" ht="22" customHeight="1">
      <c r="B7" s="53" t="inlineStr">
        <is>
          <t>NCC/ACH/2024/0003</t>
        </is>
      </c>
      <c r="C7" s="54" t="inlineStr"/>
      <c r="D7" s="55" t="inlineStr">
        <is>
          <t>NCC Day Parade</t>
        </is>
      </c>
      <c r="E7" s="55" t="inlineStr">
        <is>
          <t>Group</t>
        </is>
      </c>
      <c r="F7" s="55" t="inlineStr"/>
      <c r="G7" s="55" t="inlineStr"/>
      <c r="H7" s="55" t="inlineStr">
        <is>
          <t>Air Force</t>
        </is>
      </c>
      <c r="I7" s="53" t="inlineStr">
        <is>
          <t>3rd Place</t>
        </is>
      </c>
      <c r="J7" s="55" t="inlineStr">
        <is>
          <t>Y</t>
        </is>
      </c>
    </row>
    <row r="8" ht="22" customHeight="1">
      <c r="B8" s="8" t="inlineStr">
        <is>
          <t>NCC/ACH/2024/0004</t>
        </is>
      </c>
      <c r="C8" s="9" t="inlineStr"/>
      <c r="D8" s="10" t="inlineStr">
        <is>
          <t>Republic Day Parade</t>
        </is>
      </c>
      <c r="E8" s="10" t="inlineStr">
        <is>
          <t>State</t>
        </is>
      </c>
      <c r="F8" s="10" t="inlineStr"/>
      <c r="G8" s="10" t="inlineStr"/>
      <c r="H8" s="10" t="inlineStr">
        <is>
          <t>Army</t>
        </is>
      </c>
      <c r="I8" s="8" t="inlineStr">
        <is>
          <t>Participation Certificate</t>
        </is>
      </c>
      <c r="J8" s="10" t="inlineStr">
        <is>
          <t>Y</t>
        </is>
      </c>
    </row>
    <row r="9" ht="22" customHeight="1">
      <c r="B9" s="53" t="inlineStr">
        <is>
          <t>NCC/ACH/2024/0005</t>
        </is>
      </c>
      <c r="C9" s="54" t="inlineStr"/>
      <c r="D9" s="55" t="inlineStr">
        <is>
          <t>Independence Day Parade</t>
        </is>
      </c>
      <c r="E9" s="55" t="inlineStr">
        <is>
          <t>National</t>
        </is>
      </c>
      <c r="F9" s="55" t="inlineStr"/>
      <c r="G9" s="55" t="inlineStr"/>
      <c r="H9" s="55" t="inlineStr">
        <is>
          <t>Navy</t>
        </is>
      </c>
      <c r="I9" s="53" t="inlineStr">
        <is>
          <t>Best Cadet Award</t>
        </is>
      </c>
      <c r="J9" s="55" t="inlineStr">
        <is>
          <t>Y</t>
        </is>
      </c>
    </row>
    <row r="10" ht="22" customHeight="1">
      <c r="B10" s="8" t="inlineStr">
        <is>
          <t>NCC/ACH/2024/0006</t>
        </is>
      </c>
      <c r="C10" s="9" t="inlineStr"/>
      <c r="D10" s="10" t="inlineStr">
        <is>
          <t>All India NCC Shooting Championship</t>
        </is>
      </c>
      <c r="E10" s="10" t="inlineStr">
        <is>
          <t>Institutional</t>
        </is>
      </c>
      <c r="F10" s="10" t="inlineStr"/>
      <c r="G10" s="10" t="inlineStr"/>
      <c r="H10" s="10" t="inlineStr">
        <is>
          <t>Air Force</t>
        </is>
      </c>
      <c r="I10" s="8" t="inlineStr">
        <is>
          <t>Special Award</t>
        </is>
      </c>
      <c r="J10" s="10" t="inlineStr">
        <is>
          <t>Y</t>
        </is>
      </c>
    </row>
    <row r="11" ht="22" customHeight="1">
      <c r="B11" s="53" t="inlineStr">
        <is>
          <t>NCC/ACH/2024/0007</t>
        </is>
      </c>
      <c r="C11" s="54" t="inlineStr"/>
      <c r="D11" s="55" t="inlineStr">
        <is>
          <t>National Integration Camp</t>
        </is>
      </c>
      <c r="E11" s="55" t="inlineStr">
        <is>
          <t>District</t>
        </is>
      </c>
      <c r="F11" s="55" t="inlineStr"/>
      <c r="G11" s="55" t="inlineStr"/>
      <c r="H11" s="55" t="inlineStr">
        <is>
          <t>Army</t>
        </is>
      </c>
      <c r="I11" s="53" t="inlineStr">
        <is>
          <t>Selected for Higher Level</t>
        </is>
      </c>
      <c r="J11" s="55" t="inlineStr">
        <is>
          <t>Y</t>
        </is>
      </c>
    </row>
    <row r="12" ht="22" customHeight="1">
      <c r="B12" s="8" t="inlineStr">
        <is>
          <t>NCC/ACH/2024/0008</t>
        </is>
      </c>
      <c r="C12" s="9" t="inlineStr"/>
      <c r="D12" s="10" t="inlineStr">
        <is>
          <t>Youth Exchange Programme</t>
        </is>
      </c>
      <c r="E12" s="10" t="inlineStr">
        <is>
          <t>Group</t>
        </is>
      </c>
      <c r="F12" s="10" t="inlineStr"/>
      <c r="G12" s="10" t="inlineStr"/>
      <c r="H12" s="10" t="inlineStr">
        <is>
          <t>Navy</t>
        </is>
      </c>
      <c r="I12" s="8" t="inlineStr">
        <is>
          <t>1st Place</t>
        </is>
      </c>
      <c r="J12" s="10" t="inlineStr">
        <is>
          <t>Y</t>
        </is>
      </c>
    </row>
    <row r="13" ht="22" customHeight="1">
      <c r="B13" s="53" t="inlineStr">
        <is>
          <t>NCC/ACH/2024/0009</t>
        </is>
      </c>
      <c r="C13" s="54" t="inlineStr"/>
      <c r="D13" s="55" t="inlineStr">
        <is>
          <t>Trekking Competition</t>
        </is>
      </c>
      <c r="E13" s="55" t="inlineStr">
        <is>
          <t>State</t>
        </is>
      </c>
      <c r="F13" s="55" t="inlineStr"/>
      <c r="G13" s="55" t="inlineStr"/>
      <c r="H13" s="55" t="inlineStr">
        <is>
          <t>Air Force</t>
        </is>
      </c>
      <c r="I13" s="53" t="inlineStr">
        <is>
          <t>2nd Place</t>
        </is>
      </c>
      <c r="J13" s="55" t="inlineStr">
        <is>
          <t>Y</t>
        </is>
      </c>
    </row>
    <row r="14" ht="22" customHeight="1">
      <c r="B14" s="8" t="inlineStr">
        <is>
          <t>NCC/ACH/2025/0010</t>
        </is>
      </c>
      <c r="C14" s="9" t="inlineStr"/>
      <c r="D14" s="10" t="inlineStr">
        <is>
          <t>Cultural Programme</t>
        </is>
      </c>
      <c r="E14" s="10" t="inlineStr">
        <is>
          <t>National</t>
        </is>
      </c>
      <c r="F14" s="10" t="inlineStr"/>
      <c r="G14" s="10" t="inlineStr"/>
      <c r="H14" s="10" t="inlineStr">
        <is>
          <t>Army</t>
        </is>
      </c>
      <c r="I14" s="8" t="inlineStr">
        <is>
          <t>3rd Place</t>
        </is>
      </c>
      <c r="J14" s="10" t="inlineStr">
        <is>
          <t>Y</t>
        </is>
      </c>
    </row>
    <row r="15" ht="22" customHeight="1">
      <c r="B15" s="53" t="inlineStr">
        <is>
          <t>NCC/ACH/2025/0011</t>
        </is>
      </c>
      <c r="C15" s="54" t="inlineStr"/>
      <c r="D15" s="55" t="inlineStr">
        <is>
          <t>Speech / Debate</t>
        </is>
      </c>
      <c r="E15" s="55" t="inlineStr">
        <is>
          <t>Institutional</t>
        </is>
      </c>
      <c r="F15" s="55" t="inlineStr"/>
      <c r="G15" s="55" t="inlineStr"/>
      <c r="H15" s="55" t="inlineStr">
        <is>
          <t>Navy</t>
        </is>
      </c>
      <c r="I15" s="53" t="inlineStr">
        <is>
          <t>Participation Certificate</t>
        </is>
      </c>
      <c r="J15" s="55" t="inlineStr">
        <is>
          <t>Y</t>
        </is>
      </c>
    </row>
    <row r="16" ht="22" customHeight="1">
      <c r="B16" s="8" t="inlineStr">
        <is>
          <t>NCC/ACH/2025/0012</t>
        </is>
      </c>
      <c r="C16" s="9" t="inlineStr"/>
      <c r="D16" s="10" t="inlineStr">
        <is>
          <t>Best Cadet Award</t>
        </is>
      </c>
      <c r="E16" s="10" t="inlineStr">
        <is>
          <t>District</t>
        </is>
      </c>
      <c r="F16" s="10" t="inlineStr"/>
      <c r="G16" s="10" t="inlineStr"/>
      <c r="H16" s="10" t="inlineStr">
        <is>
          <t>Air Force</t>
        </is>
      </c>
      <c r="I16" s="8" t="inlineStr">
        <is>
          <t>Best Cadet Award</t>
        </is>
      </c>
      <c r="J16" s="10" t="inlineStr">
        <is>
          <t>Y</t>
        </is>
      </c>
    </row>
    <row r="17" ht="22" customHeight="1">
      <c r="B17" s="53" t="inlineStr">
        <is>
          <t>NCC/ACH/2025/0013</t>
        </is>
      </c>
      <c r="C17" s="54" t="inlineStr"/>
      <c r="D17" s="55" t="inlineStr">
        <is>
          <t>Rajya Puraskar</t>
        </is>
      </c>
      <c r="E17" s="55" t="inlineStr">
        <is>
          <t>Group</t>
        </is>
      </c>
      <c r="F17" s="55" t="inlineStr"/>
      <c r="G17" s="55" t="inlineStr"/>
      <c r="H17" s="55" t="inlineStr">
        <is>
          <t>Army</t>
        </is>
      </c>
      <c r="I17" s="53" t="inlineStr">
        <is>
          <t>Special Award</t>
        </is>
      </c>
      <c r="J17" s="55" t="inlineStr">
        <is>
          <t>Y</t>
        </is>
      </c>
    </row>
    <row r="18" ht="22" customHeight="1">
      <c r="B18" s="8" t="inlineStr">
        <is>
          <t>NCC/ACH/2025/0014</t>
        </is>
      </c>
      <c r="C18" s="9" t="inlineStr"/>
      <c r="D18" s="10" t="inlineStr">
        <is>
          <t>Prime Minister's Rally</t>
        </is>
      </c>
      <c r="E18" s="10" t="inlineStr">
        <is>
          <t>State</t>
        </is>
      </c>
      <c r="F18" s="10" t="inlineStr"/>
      <c r="G18" s="10" t="inlineStr"/>
      <c r="H18" s="10" t="inlineStr">
        <is>
          <t>Navy</t>
        </is>
      </c>
      <c r="I18" s="8" t="inlineStr">
        <is>
          <t>Selected for Higher Level</t>
        </is>
      </c>
      <c r="J18" s="10" t="inlineStr">
        <is>
          <t>Y</t>
        </is>
      </c>
    </row>
    <row r="19" ht="22" customHeight="1">
      <c r="B19" s="53" t="inlineStr">
        <is>
          <t>NCC/ACH/2025/0015</t>
        </is>
      </c>
      <c r="C19" s="54" t="inlineStr"/>
      <c r="D19" s="55" t="inlineStr">
        <is>
          <t>Shooting Competition</t>
        </is>
      </c>
      <c r="E19" s="55" t="inlineStr">
        <is>
          <t>National</t>
        </is>
      </c>
      <c r="F19" s="55" t="inlineStr"/>
      <c r="G19" s="55" t="inlineStr"/>
      <c r="H19" s="55" t="inlineStr">
        <is>
          <t>Air Force</t>
        </is>
      </c>
      <c r="I19" s="53" t="inlineStr">
        <is>
          <t>1st Place</t>
        </is>
      </c>
      <c r="J19" s="55" t="inlineStr">
        <is>
          <t>Y</t>
        </is>
      </c>
    </row>
    <row r="20" ht="22" customHeight="1">
      <c r="B20" s="8" t="inlineStr">
        <is>
          <t>NCC/ACH/2025/0016</t>
        </is>
      </c>
      <c r="C20" s="9" t="inlineStr"/>
      <c r="D20" s="10" t="inlineStr">
        <is>
          <t>Drill Competition</t>
        </is>
      </c>
      <c r="E20" s="10" t="inlineStr">
        <is>
          <t>Institutional</t>
        </is>
      </c>
      <c r="F20" s="10" t="inlineStr"/>
      <c r="G20" s="10" t="inlineStr"/>
      <c r="H20" s="10" t="inlineStr">
        <is>
          <t>Army</t>
        </is>
      </c>
      <c r="I20" s="8" t="inlineStr">
        <is>
          <t>2nd Place</t>
        </is>
      </c>
      <c r="J20" s="10" t="inlineStr">
        <is>
          <t>Y</t>
        </is>
      </c>
    </row>
    <row r="21" ht="22" customHeight="1">
      <c r="B21" s="53" t="inlineStr">
        <is>
          <t>NCC/ACH/2025/0017</t>
        </is>
      </c>
      <c r="C21" s="54" t="inlineStr"/>
      <c r="D21" s="55" t="inlineStr">
        <is>
          <t>NCC Day Parade</t>
        </is>
      </c>
      <c r="E21" s="55" t="inlineStr">
        <is>
          <t>District</t>
        </is>
      </c>
      <c r="F21" s="55" t="inlineStr"/>
      <c r="G21" s="55" t="inlineStr"/>
      <c r="H21" s="55" t="inlineStr">
        <is>
          <t>Navy</t>
        </is>
      </c>
      <c r="I21" s="53" t="inlineStr">
        <is>
          <t>3rd Place</t>
        </is>
      </c>
      <c r="J21" s="55" t="inlineStr">
        <is>
          <t>Y</t>
        </is>
      </c>
    </row>
    <row r="22" ht="22" customHeight="1">
      <c r="B22" s="8" t="inlineStr">
        <is>
          <t>NCC/ACH/2025/0018</t>
        </is>
      </c>
      <c r="C22" s="9" t="inlineStr"/>
      <c r="D22" s="10" t="inlineStr">
        <is>
          <t>Republic Day Parade</t>
        </is>
      </c>
      <c r="E22" s="10" t="inlineStr">
        <is>
          <t>Group</t>
        </is>
      </c>
      <c r="F22" s="10" t="inlineStr"/>
      <c r="G22" s="10" t="inlineStr"/>
      <c r="H22" s="10" t="inlineStr">
        <is>
          <t>Air Force</t>
        </is>
      </c>
      <c r="I22" s="8" t="inlineStr">
        <is>
          <t>Participation Certificate</t>
        </is>
      </c>
      <c r="J22" s="10" t="inlineStr">
        <is>
          <t>Y</t>
        </is>
      </c>
    </row>
    <row r="23" ht="22" customHeight="1"/>
    <row r="24" ht="24" customHeight="1">
      <c r="B24" s="34" t="inlineStr">
        <is>
          <t>ACHIEVEMENT SUMMARY</t>
        </is>
      </c>
    </row>
    <row r="25" ht="22" customHeight="1">
      <c r="B25" s="56" t="inlineStr">
        <is>
          <t>Total Achievements Recorded</t>
        </is>
      </c>
      <c r="C25" s="82" t="n"/>
      <c r="D25" s="82" t="n"/>
      <c r="E25" s="83" t="n"/>
      <c r="F25" s="36">
        <f>COUNTA(B5:B22)</f>
        <v/>
      </c>
      <c r="G25" s="82" t="n"/>
      <c r="H25" s="82" t="n"/>
      <c r="I25" s="82" t="n"/>
      <c r="J25" s="83" t="n"/>
    </row>
    <row r="26" ht="22" customHeight="1">
      <c r="B26" s="25" t="inlineStr">
        <is>
          <t>State / National Level</t>
        </is>
      </c>
      <c r="C26" s="82" t="n"/>
      <c r="D26" s="82" t="n"/>
      <c r="E26" s="83" t="n"/>
      <c r="F26" s="37">
        <f>COUNTIF(E5:E22,"State")+COUNTIF(E5:E22,"National")</f>
        <v/>
      </c>
      <c r="G26" s="82" t="n"/>
      <c r="H26" s="82" t="n"/>
      <c r="I26" s="82" t="n"/>
      <c r="J26" s="83" t="n"/>
    </row>
    <row r="27" ht="22" customHeight="1">
      <c r="B27" s="56" t="inlineStr">
        <is>
          <t>1st Place Wins</t>
        </is>
      </c>
      <c r="C27" s="82" t="n"/>
      <c r="D27" s="82" t="n"/>
      <c r="E27" s="83" t="n"/>
      <c r="F27" s="36">
        <f>COUNTIF(I5:I22,"1st Place")</f>
        <v/>
      </c>
      <c r="G27" s="82" t="n"/>
      <c r="H27" s="82" t="n"/>
      <c r="I27" s="82" t="n"/>
      <c r="J27" s="83" t="n"/>
    </row>
    <row r="28" ht="22" customHeight="1">
      <c r="B28" s="25" t="inlineStr">
        <is>
          <t>Republic Day / Independence Day Parade</t>
        </is>
      </c>
      <c r="C28" s="82" t="n"/>
      <c r="D28" s="82" t="n"/>
      <c r="E28" s="83" t="n"/>
      <c r="F28" s="37">
        <f>COUNTIF(D5:D22,"Republic Day Parade")+COUNTIF(D5:D22,"Independence Day Parade")</f>
        <v/>
      </c>
      <c r="G28" s="82" t="n"/>
      <c r="H28" s="82" t="n"/>
      <c r="I28" s="82" t="n"/>
      <c r="J28" s="83" t="n"/>
    </row>
    <row r="29" ht="22" customHeight="1">
      <c r="B29" s="56" t="inlineStr">
        <is>
          <t>Rajya Puraskar Winners</t>
        </is>
      </c>
      <c r="C29" s="82" t="n"/>
      <c r="D29" s="82" t="n"/>
      <c r="E29" s="83" t="n"/>
      <c r="F29" s="36">
        <f>COUNTIF(D5:D22,"Rajya Puraskar")</f>
        <v/>
      </c>
      <c r="G29" s="82" t="n"/>
      <c r="H29" s="82" t="n"/>
      <c r="I29" s="82" t="n"/>
      <c r="J29" s="83" t="n"/>
    </row>
    <row r="30">
      <c r="B30" s="25" t="inlineStr">
        <is>
          <t>PM's Rally Participants</t>
        </is>
      </c>
      <c r="C30" s="82" t="n"/>
      <c r="D30" s="82" t="n"/>
      <c r="E30" s="83" t="n"/>
      <c r="F30" s="37">
        <f>COUNTIF(D5:D22,"Prime Minister's Rally")</f>
        <v/>
      </c>
      <c r="G30" s="82" t="n"/>
      <c r="H30" s="82" t="n"/>
      <c r="I30" s="82" t="n"/>
      <c r="J30" s="83" t="n"/>
    </row>
  </sheetData>
  <mergeCells count="15">
    <mergeCell ref="B26:E26"/>
    <mergeCell ref="F30:J30"/>
    <mergeCell ref="B27:E27"/>
    <mergeCell ref="B3:J3"/>
    <mergeCell ref="F29:J29"/>
    <mergeCell ref="F26:J26"/>
    <mergeCell ref="B30:E30"/>
    <mergeCell ref="F25:J25"/>
    <mergeCell ref="F28:J28"/>
    <mergeCell ref="B25:E25"/>
    <mergeCell ref="B29:E29"/>
    <mergeCell ref="F27:J27"/>
    <mergeCell ref="B28:E28"/>
    <mergeCell ref="B24:J24"/>
    <mergeCell ref="B2:J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J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6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3" customWidth="1" min="11" max="11"/>
  </cols>
  <sheetData>
    <row r="1" ht="10" customHeight="1"/>
    <row r="2" ht="48" customHeight="1">
      <c r="B2" s="12" t="inlineStr">
        <is>
          <t>JNT-03: ENVIRONMENT &amp; GREEN CAMPUS ACTIVITY REGISTER (NSS + NCC)</t>
        </is>
      </c>
    </row>
    <row r="3" ht="25" customHeight="1">
      <c r="B3" s="2" t="inlineStr">
        <is>
          <t>A.Y.: _______  NAAC Ref.: Criterion III.4 / VII.2 / Green Campus Initiatives</t>
        </is>
      </c>
    </row>
    <row r="4" ht="25" customHeight="1">
      <c r="B4" s="13" t="inlineStr">
        <is>
          <t>Activity
Ref.</t>
        </is>
      </c>
      <c r="C4" s="13" t="inlineStr">
        <is>
          <t>Activity Title</t>
        </is>
      </c>
      <c r="D4" s="13" t="inlineStr">
        <is>
          <t>Type</t>
        </is>
      </c>
      <c r="E4" s="13" t="inlineStr">
        <is>
          <t>Date</t>
        </is>
      </c>
      <c r="F4" s="13" t="inlineStr">
        <is>
          <t>Wing
(NSS/NCC/Both)</t>
        </is>
      </c>
      <c r="G4" s="13" t="inlineStr">
        <is>
          <t>Location</t>
        </is>
      </c>
      <c r="H4" s="13" t="inlineStr">
        <is>
          <t>Participants</t>
        </is>
      </c>
      <c r="I4" s="13" t="inlineStr">
        <is>
          <t>Trees /
Units (qty)</t>
        </is>
      </c>
      <c r="J4" s="13" t="inlineStr">
        <is>
          <t>Impact
Summary</t>
        </is>
      </c>
    </row>
    <row r="5" ht="22" customHeight="1">
      <c r="B5" s="14" t="inlineStr">
        <is>
          <t>ENV/001</t>
        </is>
      </c>
      <c r="C5" s="15" t="inlineStr"/>
      <c r="D5" s="16" t="inlineStr">
        <is>
          <t>Tree Plantation Drive</t>
        </is>
      </c>
      <c r="E5" s="16" t="inlineStr"/>
      <c r="F5" s="16" t="inlineStr">
        <is>
          <t>NSS</t>
        </is>
      </c>
      <c r="G5" s="15" t="inlineStr"/>
      <c r="H5" s="16" t="inlineStr"/>
      <c r="I5" s="16" t="inlineStr"/>
      <c r="J5" s="15" t="inlineStr"/>
    </row>
    <row r="6" ht="22" customHeight="1">
      <c r="B6" s="8" t="inlineStr">
        <is>
          <t>ENV/002</t>
        </is>
      </c>
      <c r="C6" s="9" t="inlineStr"/>
      <c r="D6" s="10" t="inlineStr">
        <is>
          <t>Campus Cleanliness Drive</t>
        </is>
      </c>
      <c r="E6" s="10" t="inlineStr"/>
      <c r="F6" s="10" t="inlineStr">
        <is>
          <t>NCC</t>
        </is>
      </c>
      <c r="G6" s="9" t="inlineStr"/>
      <c r="H6" s="10" t="inlineStr"/>
      <c r="I6" s="10" t="inlineStr"/>
      <c r="J6" s="9" t="inlineStr"/>
    </row>
    <row r="7" ht="22" customHeight="1">
      <c r="B7" s="14" t="inlineStr">
        <is>
          <t>ENV/003</t>
        </is>
      </c>
      <c r="C7" s="15" t="inlineStr"/>
      <c r="D7" s="16" t="inlineStr">
        <is>
          <t>Beach / Lake Clean-up</t>
        </is>
      </c>
      <c r="E7" s="16" t="inlineStr"/>
      <c r="F7" s="16" t="inlineStr">
        <is>
          <t>Both NSS &amp; NCC</t>
        </is>
      </c>
      <c r="G7" s="15" t="inlineStr"/>
      <c r="H7" s="16" t="inlineStr"/>
      <c r="I7" s="16" t="inlineStr"/>
      <c r="J7" s="15" t="inlineStr"/>
    </row>
    <row r="8" ht="22" customHeight="1">
      <c r="B8" s="8" t="inlineStr">
        <is>
          <t>ENV/004</t>
        </is>
      </c>
      <c r="C8" s="9" t="inlineStr"/>
      <c r="D8" s="10" t="inlineStr">
        <is>
          <t>Village Sanitation Drive</t>
        </is>
      </c>
      <c r="E8" s="10" t="inlineStr"/>
      <c r="F8" s="10" t="inlineStr">
        <is>
          <t>NSS</t>
        </is>
      </c>
      <c r="G8" s="9" t="inlineStr"/>
      <c r="H8" s="10" t="inlineStr"/>
      <c r="I8" s="10" t="inlineStr"/>
      <c r="J8" s="9" t="inlineStr"/>
    </row>
    <row r="9" ht="22" customHeight="1">
      <c r="B9" s="14" t="inlineStr">
        <is>
          <t>ENV/005</t>
        </is>
      </c>
      <c r="C9" s="15" t="inlineStr"/>
      <c r="D9" s="16" t="inlineStr">
        <is>
          <t>Plastic-Free Awareness</t>
        </is>
      </c>
      <c r="E9" s="16" t="inlineStr"/>
      <c r="F9" s="16" t="inlineStr">
        <is>
          <t>NCC</t>
        </is>
      </c>
      <c r="G9" s="15" t="inlineStr"/>
      <c r="H9" s="16" t="inlineStr"/>
      <c r="I9" s="16" t="inlineStr"/>
      <c r="J9" s="15" t="inlineStr"/>
    </row>
    <row r="10" ht="22" customHeight="1">
      <c r="B10" s="8" t="inlineStr">
        <is>
          <t>ENV/006</t>
        </is>
      </c>
      <c r="C10" s="9" t="inlineStr"/>
      <c r="D10" s="10" t="inlineStr">
        <is>
          <t>Water Conservation Campaign</t>
        </is>
      </c>
      <c r="E10" s="10" t="inlineStr"/>
      <c r="F10" s="10" t="inlineStr">
        <is>
          <t>Both NSS &amp; NCC</t>
        </is>
      </c>
      <c r="G10" s="9" t="inlineStr"/>
      <c r="H10" s="10" t="inlineStr"/>
      <c r="I10" s="10" t="inlineStr"/>
      <c r="J10" s="9" t="inlineStr"/>
    </row>
    <row r="11" ht="22" customHeight="1">
      <c r="B11" s="14" t="inlineStr">
        <is>
          <t>ENV/007</t>
        </is>
      </c>
      <c r="C11" s="15" t="inlineStr"/>
      <c r="D11" s="16" t="inlineStr">
        <is>
          <t>Rainwater Harvesting Activity</t>
        </is>
      </c>
      <c r="E11" s="16" t="inlineStr"/>
      <c r="F11" s="16" t="inlineStr">
        <is>
          <t>NSS</t>
        </is>
      </c>
      <c r="G11" s="15" t="inlineStr"/>
      <c r="H11" s="16" t="inlineStr"/>
      <c r="I11" s="16" t="inlineStr"/>
      <c r="J11" s="15" t="inlineStr"/>
    </row>
    <row r="12" ht="22" customHeight="1">
      <c r="B12" s="8" t="inlineStr">
        <is>
          <t>ENV/008</t>
        </is>
      </c>
      <c r="C12" s="9" t="inlineStr"/>
      <c r="D12" s="10" t="inlineStr">
        <is>
          <t>Solar / Renewable Energy Awareness</t>
        </is>
      </c>
      <c r="E12" s="10" t="inlineStr"/>
      <c r="F12" s="10" t="inlineStr">
        <is>
          <t>NCC</t>
        </is>
      </c>
      <c r="G12" s="9" t="inlineStr"/>
      <c r="H12" s="10" t="inlineStr"/>
      <c r="I12" s="10" t="inlineStr"/>
      <c r="J12" s="9" t="inlineStr"/>
    </row>
    <row r="13" ht="22" customHeight="1">
      <c r="B13" s="14" t="inlineStr">
        <is>
          <t>ENV/009</t>
        </is>
      </c>
      <c r="C13" s="15" t="inlineStr"/>
      <c r="D13" s="16" t="inlineStr">
        <is>
          <t>Environmental Survey</t>
        </is>
      </c>
      <c r="E13" s="16" t="inlineStr"/>
      <c r="F13" s="16" t="inlineStr">
        <is>
          <t>Both NSS &amp; NCC</t>
        </is>
      </c>
      <c r="G13" s="15" t="inlineStr"/>
      <c r="H13" s="16" t="inlineStr"/>
      <c r="I13" s="16" t="inlineStr"/>
      <c r="J13" s="15" t="inlineStr"/>
    </row>
    <row r="14" ht="22" customHeight="1">
      <c r="B14" s="8" t="inlineStr">
        <is>
          <t>ENV/010</t>
        </is>
      </c>
      <c r="C14" s="9" t="inlineStr"/>
      <c r="D14" s="10" t="inlineStr">
        <is>
          <t>River / Water Body Cleaning</t>
        </is>
      </c>
      <c r="E14" s="10" t="inlineStr"/>
      <c r="F14" s="10" t="inlineStr">
        <is>
          <t>NSS</t>
        </is>
      </c>
      <c r="G14" s="9" t="inlineStr"/>
      <c r="H14" s="10" t="inlineStr"/>
      <c r="I14" s="10" t="inlineStr"/>
      <c r="J14" s="9" t="inlineStr"/>
    </row>
    <row r="15" ht="22" customHeight="1">
      <c r="B15" s="14" t="inlineStr">
        <is>
          <t>ENV/011</t>
        </is>
      </c>
      <c r="C15" s="15" t="inlineStr"/>
      <c r="D15" s="16" t="inlineStr">
        <is>
          <t>Vermicomposting / Composting</t>
        </is>
      </c>
      <c r="E15" s="16" t="inlineStr"/>
      <c r="F15" s="16" t="inlineStr">
        <is>
          <t>NCC</t>
        </is>
      </c>
      <c r="G15" s="15" t="inlineStr"/>
      <c r="H15" s="16" t="inlineStr"/>
      <c r="I15" s="16" t="inlineStr"/>
      <c r="J15" s="15" t="inlineStr"/>
    </row>
    <row r="16" ht="22" customHeight="1">
      <c r="B16" s="8" t="inlineStr">
        <is>
          <t>ENV/012</t>
        </is>
      </c>
      <c r="C16" s="9" t="inlineStr"/>
      <c r="D16" s="10" t="inlineStr">
        <is>
          <t>Green Audit Participation</t>
        </is>
      </c>
      <c r="E16" s="10" t="inlineStr"/>
      <c r="F16" s="10" t="inlineStr">
        <is>
          <t>Both NSS &amp; NCC</t>
        </is>
      </c>
      <c r="G16" s="9" t="inlineStr"/>
      <c r="H16" s="10" t="inlineStr"/>
      <c r="I16" s="10" t="inlineStr"/>
      <c r="J16" s="9" t="inlineStr"/>
    </row>
    <row r="17" ht="22" customHeight="1">
      <c r="B17" s="14" t="inlineStr">
        <is>
          <t>ENV/013</t>
        </is>
      </c>
      <c r="C17" s="15" t="inlineStr"/>
      <c r="D17" s="16" t="inlineStr">
        <is>
          <t>World Environment Day Celebration</t>
        </is>
      </c>
      <c r="E17" s="16" t="inlineStr"/>
      <c r="F17" s="16" t="inlineStr">
        <is>
          <t>NSS</t>
        </is>
      </c>
      <c r="G17" s="15" t="inlineStr"/>
      <c r="H17" s="16" t="inlineStr"/>
      <c r="I17" s="16" t="inlineStr"/>
      <c r="J17" s="15" t="inlineStr"/>
    </row>
    <row r="18" ht="22" customHeight="1">
      <c r="B18" s="8" t="inlineStr">
        <is>
          <t>ENV/014</t>
        </is>
      </c>
      <c r="C18" s="9" t="inlineStr"/>
      <c r="D18" s="10" t="inlineStr">
        <is>
          <t>World Water Day Awareness</t>
        </is>
      </c>
      <c r="E18" s="10" t="inlineStr"/>
      <c r="F18" s="10" t="inlineStr">
        <is>
          <t>NCC</t>
        </is>
      </c>
      <c r="G18" s="9" t="inlineStr"/>
      <c r="H18" s="10" t="inlineStr"/>
      <c r="I18" s="10" t="inlineStr"/>
      <c r="J18" s="9" t="inlineStr"/>
    </row>
    <row r="19" ht="22" customHeight="1">
      <c r="B19" s="14" t="inlineStr">
        <is>
          <t>ENV/015</t>
        </is>
      </c>
      <c r="C19" s="15" t="inlineStr"/>
      <c r="D19" s="16" t="inlineStr">
        <is>
          <t>Anti-Pollution Drive</t>
        </is>
      </c>
      <c r="E19" s="16" t="inlineStr"/>
      <c r="F19" s="16" t="inlineStr">
        <is>
          <t>Both NSS &amp; NCC</t>
        </is>
      </c>
      <c r="G19" s="15" t="inlineStr"/>
      <c r="H19" s="16" t="inlineStr"/>
      <c r="I19" s="16" t="inlineStr"/>
      <c r="J19" s="15" t="inlineStr"/>
    </row>
    <row r="20" ht="22" customHeight="1">
      <c r="B20" s="8" t="inlineStr">
        <is>
          <t>ENV/016</t>
        </is>
      </c>
      <c r="C20" s="9" t="inlineStr"/>
      <c r="D20" s="10" t="inlineStr">
        <is>
          <t>Tree Plantation Drive</t>
        </is>
      </c>
      <c r="E20" s="10" t="inlineStr"/>
      <c r="F20" s="10" t="inlineStr">
        <is>
          <t>NSS</t>
        </is>
      </c>
      <c r="G20" s="9" t="inlineStr"/>
      <c r="H20" s="10" t="inlineStr"/>
      <c r="I20" s="10" t="inlineStr"/>
      <c r="J20" s="9" t="inlineStr"/>
    </row>
    <row r="21" ht="22" customHeight="1">
      <c r="B21" s="14" t="inlineStr">
        <is>
          <t>ENV/017</t>
        </is>
      </c>
      <c r="C21" s="15" t="inlineStr"/>
      <c r="D21" s="16" t="inlineStr">
        <is>
          <t>Campus Cleanliness Drive</t>
        </is>
      </c>
      <c r="E21" s="16" t="inlineStr"/>
      <c r="F21" s="16" t="inlineStr">
        <is>
          <t>NCC</t>
        </is>
      </c>
      <c r="G21" s="15" t="inlineStr"/>
      <c r="H21" s="16" t="inlineStr"/>
      <c r="I21" s="16" t="inlineStr"/>
      <c r="J21" s="15" t="inlineStr"/>
    </row>
    <row r="22" ht="22" customHeight="1">
      <c r="B22" s="8" t="inlineStr">
        <is>
          <t>ENV/018</t>
        </is>
      </c>
      <c r="C22" s="9" t="inlineStr"/>
      <c r="D22" s="10" t="inlineStr">
        <is>
          <t>Beach / Lake Clean-up</t>
        </is>
      </c>
      <c r="E22" s="10" t="inlineStr"/>
      <c r="F22" s="10" t="inlineStr">
        <is>
          <t>Both NSS &amp; NCC</t>
        </is>
      </c>
      <c r="G22" s="9" t="inlineStr"/>
      <c r="H22" s="10" t="inlineStr"/>
      <c r="I22" s="10" t="inlineStr"/>
      <c r="J22" s="9" t="inlineStr"/>
    </row>
    <row r="23" ht="22" customHeight="1">
      <c r="B23" s="14" t="inlineStr">
        <is>
          <t>ENV/019</t>
        </is>
      </c>
      <c r="C23" s="15" t="inlineStr"/>
      <c r="D23" s="16" t="inlineStr">
        <is>
          <t>Village Sanitation Drive</t>
        </is>
      </c>
      <c r="E23" s="16" t="inlineStr"/>
      <c r="F23" s="16" t="inlineStr">
        <is>
          <t>NSS</t>
        </is>
      </c>
      <c r="G23" s="15" t="inlineStr"/>
      <c r="H23" s="16" t="inlineStr"/>
      <c r="I23" s="16" t="inlineStr"/>
      <c r="J23" s="15" t="inlineStr"/>
    </row>
    <row r="24" ht="22" customHeight="1">
      <c r="B24" s="8" t="inlineStr">
        <is>
          <t>ENV/020</t>
        </is>
      </c>
      <c r="C24" s="9" t="inlineStr"/>
      <c r="D24" s="10" t="inlineStr">
        <is>
          <t>Plastic-Free Awareness</t>
        </is>
      </c>
      <c r="E24" s="10" t="inlineStr"/>
      <c r="F24" s="10" t="inlineStr">
        <is>
          <t>NCC</t>
        </is>
      </c>
      <c r="G24" s="9" t="inlineStr"/>
      <c r="H24" s="10" t="inlineStr"/>
      <c r="I24" s="10" t="inlineStr"/>
      <c r="J24" s="9" t="inlineStr"/>
    </row>
    <row r="25" ht="22" customHeight="1"/>
    <row r="26" ht="24" customHeight="1">
      <c r="B26" s="34" t="inlineStr">
        <is>
          <t>ENVIRONMENT ACTIVITY SUMMARY</t>
        </is>
      </c>
    </row>
    <row r="27" ht="22" customHeight="1">
      <c r="B27" s="38" t="inlineStr">
        <is>
          <t>Total Environment Activities</t>
        </is>
      </c>
      <c r="C27" s="82" t="n"/>
      <c r="D27" s="82" t="n"/>
      <c r="E27" s="83" t="n"/>
      <c r="F27" s="36">
        <f>COUNTA(B5:B24)</f>
        <v/>
      </c>
      <c r="G27" s="82" t="n"/>
      <c r="H27" s="82" t="n"/>
      <c r="I27" s="82" t="n"/>
      <c r="J27" s="83" t="n"/>
    </row>
    <row r="28" ht="22" customHeight="1">
      <c r="B28" s="25" t="inlineStr">
        <is>
          <t>Trees Planted (total)</t>
        </is>
      </c>
      <c r="C28" s="82" t="n"/>
      <c r="D28" s="82" t="n"/>
      <c r="E28" s="83" t="n"/>
      <c r="F28" s="37">
        <f>IFERROR(SUM(I5:I24),"")</f>
        <v/>
      </c>
      <c r="G28" s="82" t="n"/>
      <c r="H28" s="82" t="n"/>
      <c r="I28" s="82" t="n"/>
      <c r="J28" s="83" t="n"/>
    </row>
    <row r="29" ht="22" customHeight="1">
      <c r="B29" s="38" t="inlineStr">
        <is>
          <t>Total Participants</t>
        </is>
      </c>
      <c r="C29" s="82" t="n"/>
      <c r="D29" s="82" t="n"/>
      <c r="E29" s="83" t="n"/>
      <c r="F29" s="36">
        <f>IFERROR(SUM(H5:H24),"")</f>
        <v/>
      </c>
      <c r="G29" s="82" t="n"/>
      <c r="H29" s="82" t="n"/>
      <c r="I29" s="82" t="n"/>
      <c r="J29" s="83" t="n"/>
    </row>
    <row r="30">
      <c r="B30" s="25" t="inlineStr">
        <is>
          <t>Campus Cleanliness Drives</t>
        </is>
      </c>
      <c r="C30" s="82" t="n"/>
      <c r="D30" s="82" t="n"/>
      <c r="E30" s="83" t="n"/>
      <c r="F30" s="37">
        <f>COUNTIF(D5:D24,"Campus Cleanliness Drive")</f>
        <v/>
      </c>
      <c r="G30" s="82" t="n"/>
      <c r="H30" s="82" t="n"/>
      <c r="I30" s="82" t="n"/>
      <c r="J30" s="83" t="n"/>
    </row>
    <row r="31">
      <c r="B31" s="38" t="inlineStr">
        <is>
          <t>External Community Drives</t>
        </is>
      </c>
      <c r="C31" s="82" t="n"/>
      <c r="D31" s="82" t="n"/>
      <c r="E31" s="83" t="n"/>
      <c r="F31" s="36" t="inlineStr"/>
      <c r="G31" s="82" t="n"/>
      <c r="H31" s="82" t="n"/>
      <c r="I31" s="82" t="n"/>
      <c r="J31" s="83" t="n"/>
    </row>
    <row r="32">
      <c r="B32" s="25" t="inlineStr">
        <is>
          <t>NSS Swachh Bharat activities counted</t>
        </is>
      </c>
      <c r="C32" s="82" t="n"/>
      <c r="D32" s="82" t="n"/>
      <c r="E32" s="83" t="n"/>
      <c r="F32" s="37" t="inlineStr"/>
      <c r="G32" s="82" t="n"/>
      <c r="H32" s="82" t="n"/>
      <c r="I32" s="82" t="n"/>
      <c r="J32" s="83" t="n"/>
    </row>
  </sheetData>
  <mergeCells count="15">
    <mergeCell ref="B31:E31"/>
    <mergeCell ref="F30:J30"/>
    <mergeCell ref="B27:E27"/>
    <mergeCell ref="B3:J3"/>
    <mergeCell ref="F29:J29"/>
    <mergeCell ref="B30:E30"/>
    <mergeCell ref="B26:J26"/>
    <mergeCell ref="F28:J28"/>
    <mergeCell ref="B29:E29"/>
    <mergeCell ref="B2:J2"/>
    <mergeCell ref="F31:J31"/>
    <mergeCell ref="B28:E28"/>
    <mergeCell ref="F32:J32"/>
    <mergeCell ref="F27:J27"/>
    <mergeCell ref="B32:E3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I5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3" customWidth="1" min="10" max="10"/>
  </cols>
  <sheetData>
    <row r="1" ht="10" customHeight="1"/>
    <row r="2" ht="48" customHeight="1">
      <c r="B2" s="12" t="inlineStr">
        <is>
          <t>NNCC-30: STUDENT SATISFACTION SURVEY — NSS &amp; NCC PROGRAMMES</t>
        </is>
      </c>
    </row>
    <row r="3" ht="25" customHeight="1">
      <c r="B3" s="2" t="inlineStr">
        <is>
          <t>A.Y.: _______  Respondents: _______  Date: _______  NAAC Ref.: Criterion V.3 / III.4</t>
        </is>
      </c>
    </row>
    <row r="4" ht="22" customHeight="1">
      <c r="B4" s="62" t="inlineStr">
        <is>
          <t>Scale: 1 = Very Poor  |  2 = Poor  |  3 = Average  |  4 = Good  |  5 = Excellent</t>
        </is>
      </c>
    </row>
    <row r="5" ht="24" customHeight="1">
      <c r="B5" s="19" t="inlineStr">
        <is>
          <t>A. NSS PROGRAMME — CONTENT &amp; ACTIVITIES</t>
        </is>
      </c>
    </row>
    <row r="6" ht="22" customHeight="1">
      <c r="B6" s="13" t="inlineStr">
        <is>
          <t>Q.</t>
        </is>
      </c>
      <c r="C6" s="13" t="inlineStr">
        <is>
          <t>Survey Statement</t>
        </is>
      </c>
      <c r="D6" s="13" t="inlineStr">
        <is>
          <t>Excellent
(5)</t>
        </is>
      </c>
      <c r="E6" s="13" t="inlineStr">
        <is>
          <t>Good
(4)</t>
        </is>
      </c>
      <c r="F6" s="13" t="inlineStr">
        <is>
          <t>Average
(3)</t>
        </is>
      </c>
      <c r="G6" s="13" t="inlineStr">
        <is>
          <t>Poor
(2)</t>
        </is>
      </c>
      <c r="H6" s="13" t="inlineStr">
        <is>
          <t>Very Poor
(1)</t>
        </is>
      </c>
      <c r="I6" s="13" t="inlineStr">
        <is>
          <t>Avg Score</t>
        </is>
      </c>
    </row>
    <row r="7" ht="22" customHeight="1">
      <c r="B7" s="14" t="inlineStr">
        <is>
          <t>Q1</t>
        </is>
      </c>
      <c r="C7" s="15" t="inlineStr">
        <is>
          <t>Variety and relevance of NSS regular activities</t>
        </is>
      </c>
      <c r="D7" s="16" t="inlineStr"/>
      <c r="E7" s="16" t="inlineStr"/>
      <c r="F7" s="16" t="inlineStr"/>
      <c r="G7" s="16" t="inlineStr"/>
      <c r="H7" s="16" t="inlineStr"/>
      <c r="I7" s="39">
        <f>IFERROR(ROUND((D7*5+E7*4+F7*3+G7*2+H7)/SUM(D7:H7),2),"")</f>
        <v/>
      </c>
    </row>
    <row r="8" ht="22" customHeight="1">
      <c r="B8" s="8" t="inlineStr">
        <is>
          <t>Q2</t>
        </is>
      </c>
      <c r="C8" s="9" t="inlineStr">
        <is>
          <t>Quality of community service and social outreach</t>
        </is>
      </c>
      <c r="D8" s="10" t="inlineStr"/>
      <c r="E8" s="10" t="inlineStr"/>
      <c r="F8" s="10" t="inlineStr"/>
      <c r="G8" s="10" t="inlineStr"/>
      <c r="H8" s="10" t="inlineStr"/>
      <c r="I8" s="37">
        <f>IFERROR(ROUND((D8*5+E8*4+F8*3+G8*2+H8)/SUM(D8:H8),2),"")</f>
        <v/>
      </c>
    </row>
    <row r="9" ht="22" customHeight="1">
      <c r="B9" s="14" t="inlineStr">
        <is>
          <t>Q3</t>
        </is>
      </c>
      <c r="C9" s="15" t="inlineStr">
        <is>
          <t>Special Camp experience — organisation and learning</t>
        </is>
      </c>
      <c r="D9" s="16" t="inlineStr"/>
      <c r="E9" s="16" t="inlineStr"/>
      <c r="F9" s="16" t="inlineStr"/>
      <c r="G9" s="16" t="inlineStr"/>
      <c r="H9" s="16" t="inlineStr"/>
      <c r="I9" s="39">
        <f>IFERROR(ROUND((D9*5+E9*4+F9*3+G9*2+H9)/SUM(D9:H9),2),"")</f>
        <v/>
      </c>
    </row>
    <row r="10" ht="22" customHeight="1">
      <c r="B10" s="8" t="inlineStr">
        <is>
          <t>Q4</t>
        </is>
      </c>
      <c r="C10" s="9" t="inlineStr">
        <is>
          <t>Support for NSS volunteers (resources, guidance)</t>
        </is>
      </c>
      <c r="D10" s="10" t="inlineStr"/>
      <c r="E10" s="10" t="inlineStr"/>
      <c r="F10" s="10" t="inlineStr"/>
      <c r="G10" s="10" t="inlineStr"/>
      <c r="H10" s="10" t="inlineStr"/>
      <c r="I10" s="37">
        <f>IFERROR(ROUND((D10*5+E10*4+F10*3+G10*2+H10)/SUM(D10:H10),2),"")</f>
        <v/>
      </c>
    </row>
    <row r="11" ht="22" customHeight="1">
      <c r="B11" s="14" t="inlineStr">
        <is>
          <t>Q5</t>
        </is>
      </c>
      <c r="C11" s="15" t="inlineStr">
        <is>
          <t>Opportunity for personal development through NSS</t>
        </is>
      </c>
      <c r="D11" s="16" t="inlineStr"/>
      <c r="E11" s="16" t="inlineStr"/>
      <c r="F11" s="16" t="inlineStr"/>
      <c r="G11" s="16" t="inlineStr"/>
      <c r="H11" s="16" t="inlineStr"/>
      <c r="I11" s="39">
        <f>IFERROR(ROUND((D11*5+E11*4+F11*3+G11*2+H11)/SUM(D11:H11),2),"")</f>
        <v/>
      </c>
    </row>
    <row r="12" ht="22" customHeight="1">
      <c r="B12" s="8" t="inlineStr">
        <is>
          <t>Q6</t>
        </is>
      </c>
      <c r="C12" s="9" t="inlineStr">
        <is>
          <t>Hour tracking and certificate process transparency</t>
        </is>
      </c>
      <c r="D12" s="10" t="inlineStr"/>
      <c r="E12" s="10" t="inlineStr"/>
      <c r="F12" s="10" t="inlineStr"/>
      <c r="G12" s="10" t="inlineStr"/>
      <c r="H12" s="10" t="inlineStr"/>
      <c r="I12" s="37">
        <f>IFERROR(ROUND((D12*5+E12*4+F12*3+G12*2+H12)/SUM(D12:H12),2),"")</f>
        <v/>
      </c>
    </row>
    <row r="13" ht="22" customHeight="1"/>
    <row r="14" ht="24" customHeight="1">
      <c r="B14" s="60" t="inlineStr">
        <is>
          <t>B. NCC PROGRAMME — TRAINING &amp; DISCIPLINE</t>
        </is>
      </c>
    </row>
    <row r="15" ht="22" customHeight="1">
      <c r="B15" s="52" t="inlineStr">
        <is>
          <t>Q.</t>
        </is>
      </c>
      <c r="C15" s="52" t="inlineStr">
        <is>
          <t>Survey Statement</t>
        </is>
      </c>
      <c r="D15" s="52" t="inlineStr">
        <is>
          <t>Excellent
(5)</t>
        </is>
      </c>
      <c r="E15" s="52" t="inlineStr">
        <is>
          <t>Good
(4)</t>
        </is>
      </c>
      <c r="F15" s="52" t="inlineStr">
        <is>
          <t>Average
(3)</t>
        </is>
      </c>
      <c r="G15" s="52" t="inlineStr">
        <is>
          <t>Poor
(2)</t>
        </is>
      </c>
      <c r="H15" s="52" t="inlineStr">
        <is>
          <t>Very Poor
(1)</t>
        </is>
      </c>
      <c r="I15" s="52" t="inlineStr">
        <is>
          <t>Avg Score</t>
        </is>
      </c>
    </row>
    <row r="16" ht="22" customHeight="1">
      <c r="B16" s="53" t="inlineStr">
        <is>
          <t>Q7</t>
        </is>
      </c>
      <c r="C16" s="54" t="inlineStr">
        <is>
          <t>Quality of drill, PT and military training</t>
        </is>
      </c>
      <c r="D16" s="55" t="inlineStr"/>
      <c r="E16" s="55" t="inlineStr"/>
      <c r="F16" s="55" t="inlineStr"/>
      <c r="G16" s="55" t="inlineStr"/>
      <c r="H16" s="55" t="inlineStr"/>
      <c r="I16" s="63">
        <f>IFERROR(ROUND((D16*5+E16*4+F16*3+G16*2+H16)/SUM(D16:H16),2),"")</f>
        <v/>
      </c>
    </row>
    <row r="17" ht="22" customHeight="1">
      <c r="B17" s="8" t="inlineStr">
        <is>
          <t>Q8</t>
        </is>
      </c>
      <c r="C17" s="9" t="inlineStr">
        <is>
          <t>Camp experience — Annual Training Camp quality</t>
        </is>
      </c>
      <c r="D17" s="10" t="inlineStr"/>
      <c r="E17" s="10" t="inlineStr"/>
      <c r="F17" s="10" t="inlineStr"/>
      <c r="G17" s="10" t="inlineStr"/>
      <c r="H17" s="10" t="inlineStr"/>
      <c r="I17" s="37">
        <f>IFERROR(ROUND((D17*5+E17*4+F17*3+G17*2+H17)/SUM(D17:H17),2),"")</f>
        <v/>
      </c>
    </row>
    <row r="18" ht="22" customHeight="1">
      <c r="B18" s="53" t="inlineStr">
        <is>
          <t>Q9</t>
        </is>
      </c>
      <c r="C18" s="54" t="inlineStr">
        <is>
          <t>Preparation for B/C certificate examination</t>
        </is>
      </c>
      <c r="D18" s="55" t="inlineStr"/>
      <c r="E18" s="55" t="inlineStr"/>
      <c r="F18" s="55" t="inlineStr"/>
      <c r="G18" s="55" t="inlineStr"/>
      <c r="H18" s="55" t="inlineStr"/>
      <c r="I18" s="63">
        <f>IFERROR(ROUND((D18*5+E18*4+F18*3+G18*2+H18)/SUM(D18:H18),2),"")</f>
        <v/>
      </c>
    </row>
    <row r="19" ht="22" customHeight="1">
      <c r="B19" s="8" t="inlineStr">
        <is>
          <t>Q10</t>
        </is>
      </c>
      <c r="C19" s="9" t="inlineStr">
        <is>
          <t>Shooting and adventure activity opportunities</t>
        </is>
      </c>
      <c r="D19" s="10" t="inlineStr"/>
      <c r="E19" s="10" t="inlineStr"/>
      <c r="F19" s="10" t="inlineStr"/>
      <c r="G19" s="10" t="inlineStr"/>
      <c r="H19" s="10" t="inlineStr"/>
      <c r="I19" s="37">
        <f>IFERROR(ROUND((D19*5+E19*4+F19*3+G19*2+H19)/SUM(D19:H19),2),"")</f>
        <v/>
      </c>
    </row>
    <row r="20" ht="22" customHeight="1">
      <c r="B20" s="53" t="inlineStr">
        <is>
          <t>Q11</t>
        </is>
      </c>
      <c r="C20" s="54" t="inlineStr">
        <is>
          <t>ANO's guidance and training quality</t>
        </is>
      </c>
      <c r="D20" s="55" t="inlineStr"/>
      <c r="E20" s="55" t="inlineStr"/>
      <c r="F20" s="55" t="inlineStr"/>
      <c r="G20" s="55" t="inlineStr"/>
      <c r="H20" s="55" t="inlineStr"/>
      <c r="I20" s="63">
        <f>IFERROR(ROUND((D20*5+E20*4+F20*3+G20*2+H20)/SUM(D20:H20),2),"")</f>
        <v/>
      </c>
    </row>
    <row r="21" ht="22" customHeight="1">
      <c r="B21" s="8" t="inlineStr">
        <is>
          <t>Q12</t>
        </is>
      </c>
      <c r="C21" s="9" t="inlineStr">
        <is>
          <t>NCC's contribution to career readiness</t>
        </is>
      </c>
      <c r="D21" s="10" t="inlineStr"/>
      <c r="E21" s="10" t="inlineStr"/>
      <c r="F21" s="10" t="inlineStr"/>
      <c r="G21" s="10" t="inlineStr"/>
      <c r="H21" s="10" t="inlineStr"/>
      <c r="I21" s="37">
        <f>IFERROR(ROUND((D21*5+E21*4+F21*3+G21*2+H21)/SUM(D21:H21),2),"")</f>
        <v/>
      </c>
    </row>
    <row r="22" ht="22" customHeight="1"/>
    <row r="23" ht="24" customHeight="1">
      <c r="B23" s="34" t="inlineStr">
        <is>
          <t>C. PROGRAMME MANAGEMENT &amp; SUPPORT</t>
        </is>
      </c>
    </row>
    <row r="24" ht="22" customHeight="1">
      <c r="B24" s="30" t="inlineStr">
        <is>
          <t>Q.</t>
        </is>
      </c>
      <c r="C24" s="30" t="inlineStr">
        <is>
          <t>Survey Statement</t>
        </is>
      </c>
      <c r="D24" s="30" t="inlineStr">
        <is>
          <t>Excellent
(5)</t>
        </is>
      </c>
      <c r="E24" s="30" t="inlineStr">
        <is>
          <t>Good
(4)</t>
        </is>
      </c>
      <c r="F24" s="30" t="inlineStr">
        <is>
          <t>Average
(3)</t>
        </is>
      </c>
      <c r="G24" s="30" t="inlineStr">
        <is>
          <t>Poor
(2)</t>
        </is>
      </c>
      <c r="H24" s="30" t="inlineStr">
        <is>
          <t>Very Poor
(1)</t>
        </is>
      </c>
      <c r="I24" s="30" t="inlineStr">
        <is>
          <t>Avg Score</t>
        </is>
      </c>
    </row>
    <row r="25" ht="22" customHeight="1">
      <c r="B25" s="31" t="inlineStr">
        <is>
          <t>Q13</t>
        </is>
      </c>
      <c r="C25" s="32" t="inlineStr">
        <is>
          <t>Institutional support (budget, resources, time)</t>
        </is>
      </c>
      <c r="D25" s="33" t="inlineStr"/>
      <c r="E25" s="33" t="inlineStr"/>
      <c r="F25" s="33" t="inlineStr"/>
      <c r="G25" s="33" t="inlineStr"/>
      <c r="H25" s="33" t="inlineStr"/>
      <c r="I25" s="64">
        <f>IFERROR(ROUND((D25*5+E25*4+F25*3+G25*2+H25)/SUM(D25:H25),2),"")</f>
        <v/>
      </c>
    </row>
    <row r="26" ht="22" customHeight="1">
      <c r="B26" s="8" t="inlineStr">
        <is>
          <t>Q14</t>
        </is>
      </c>
      <c r="C26" s="9" t="inlineStr">
        <is>
          <t>Regular meetings and communication from NSS/NCC office</t>
        </is>
      </c>
      <c r="D26" s="10" t="inlineStr"/>
      <c r="E26" s="10" t="inlineStr"/>
      <c r="F26" s="10" t="inlineStr"/>
      <c r="G26" s="10" t="inlineStr"/>
      <c r="H26" s="10" t="inlineStr"/>
      <c r="I26" s="37">
        <f>IFERROR(ROUND((D26*5+E26*4+F26*3+G26*2+H26)/SUM(D26:H26),2),"")</f>
        <v/>
      </c>
    </row>
    <row r="27" ht="22" customHeight="1">
      <c r="B27" s="31" t="inlineStr">
        <is>
          <t>Q15</t>
        </is>
      </c>
      <c r="C27" s="32" t="inlineStr">
        <is>
          <t>Facilities provided — uniform, equipment, transport</t>
        </is>
      </c>
      <c r="D27" s="33" t="inlineStr"/>
      <c r="E27" s="33" t="inlineStr"/>
      <c r="F27" s="33" t="inlineStr"/>
      <c r="G27" s="33" t="inlineStr"/>
      <c r="H27" s="33" t="inlineStr"/>
      <c r="I27" s="64">
        <f>IFERROR(ROUND((D27*5+E27*4+F27*3+G27*2+H27)/SUM(D27:H27),2),"")</f>
        <v/>
      </c>
    </row>
    <row r="28" ht="22" customHeight="1">
      <c r="B28" s="8" t="inlineStr">
        <is>
          <t>Q16</t>
        </is>
      </c>
      <c r="C28" s="9" t="inlineStr">
        <is>
          <t>Recognition of NSS/NCC achievements by institution</t>
        </is>
      </c>
      <c r="D28" s="10" t="inlineStr"/>
      <c r="E28" s="10" t="inlineStr"/>
      <c r="F28" s="10" t="inlineStr"/>
      <c r="G28" s="10" t="inlineStr"/>
      <c r="H28" s="10" t="inlineStr"/>
      <c r="I28" s="37">
        <f>IFERROR(ROUND((D28*5+E28*4+F28*3+G28*2+H28)/SUM(D28:H28),2),"")</f>
        <v/>
      </c>
    </row>
    <row r="29" ht="22" customHeight="1">
      <c r="B29" s="31" t="inlineStr">
        <is>
          <t>Q17</t>
        </is>
      </c>
      <c r="C29" s="32" t="inlineStr">
        <is>
          <t>Coordination between NSS and NCC wings</t>
        </is>
      </c>
      <c r="D29" s="33" t="inlineStr"/>
      <c r="E29" s="33" t="inlineStr"/>
      <c r="F29" s="33" t="inlineStr"/>
      <c r="G29" s="33" t="inlineStr"/>
      <c r="H29" s="33" t="inlineStr"/>
      <c r="I29" s="64">
        <f>IFERROR(ROUND((D29*5+E29*4+F29*3+G29*2+H29)/SUM(D29:H29),2),"")</f>
        <v/>
      </c>
    </row>
    <row r="30" ht="22" customHeight="1"/>
    <row r="31" ht="24" customHeight="1">
      <c r="B31" s="65" t="inlineStr">
        <is>
          <t>D. COMMUNITY &amp; SOCIAL IMPACT</t>
        </is>
      </c>
    </row>
    <row r="32" ht="22" customHeight="1">
      <c r="B32" s="66" t="inlineStr">
        <is>
          <t>Q.</t>
        </is>
      </c>
      <c r="C32" s="66" t="inlineStr">
        <is>
          <t>Survey Statement</t>
        </is>
      </c>
      <c r="D32" s="66" t="inlineStr">
        <is>
          <t>Excellent
(5)</t>
        </is>
      </c>
      <c r="E32" s="66" t="inlineStr">
        <is>
          <t>Good
(4)</t>
        </is>
      </c>
      <c r="F32" s="66" t="inlineStr">
        <is>
          <t>Average
(3)</t>
        </is>
      </c>
      <c r="G32" s="66" t="inlineStr">
        <is>
          <t>Poor
(2)</t>
        </is>
      </c>
      <c r="H32" s="66" t="inlineStr">
        <is>
          <t>Very Poor
(1)</t>
        </is>
      </c>
      <c r="I32" s="66" t="inlineStr">
        <is>
          <t>Avg Score</t>
        </is>
      </c>
    </row>
    <row r="33" ht="22" customHeight="1">
      <c r="B33" s="67" t="inlineStr">
        <is>
          <t>Q18</t>
        </is>
      </c>
      <c r="C33" s="68" t="inlineStr">
        <is>
          <t>Sense of social responsibility developed through NSS/NCC</t>
        </is>
      </c>
      <c r="D33" s="69" t="inlineStr"/>
      <c r="E33" s="69" t="inlineStr"/>
      <c r="F33" s="69" t="inlineStr"/>
      <c r="G33" s="69" t="inlineStr"/>
      <c r="H33" s="69" t="inlineStr"/>
      <c r="I33" s="70">
        <f>IFERROR(ROUND((D33*5+E33*4+F33*3+G33*2+H33)/SUM(D33:H33),2),"")</f>
        <v/>
      </c>
    </row>
    <row r="34" ht="22" customHeight="1">
      <c r="B34" s="8" t="inlineStr">
        <is>
          <t>Q19</t>
        </is>
      </c>
      <c r="C34" s="9" t="inlineStr">
        <is>
          <t>Community service activities — real impact created</t>
        </is>
      </c>
      <c r="D34" s="10" t="inlineStr"/>
      <c r="E34" s="10" t="inlineStr"/>
      <c r="F34" s="10" t="inlineStr"/>
      <c r="G34" s="10" t="inlineStr"/>
      <c r="H34" s="10" t="inlineStr"/>
      <c r="I34" s="37">
        <f>IFERROR(ROUND((D34*5+E34*4+F34*3+G34*2+H34)/SUM(D34:H34),2),"")</f>
        <v/>
      </c>
    </row>
    <row r="35" ht="22" customHeight="1">
      <c r="B35" s="67" t="inlineStr">
        <is>
          <t>Q20</t>
        </is>
      </c>
      <c r="C35" s="68" t="inlineStr">
        <is>
          <t>Awareness campaigns — meaningful and well-designed</t>
        </is>
      </c>
      <c r="D35" s="69" t="inlineStr"/>
      <c r="E35" s="69" t="inlineStr"/>
      <c r="F35" s="69" t="inlineStr"/>
      <c r="G35" s="69" t="inlineStr"/>
      <c r="H35" s="69" t="inlineStr"/>
      <c r="I35" s="70">
        <f>IFERROR(ROUND((D35*5+E35*4+F35*3+G35*2+H35)/SUM(D35:H35),2),"")</f>
        <v/>
      </c>
    </row>
    <row r="36" ht="22" customHeight="1">
      <c r="B36" s="8" t="inlineStr">
        <is>
          <t>Q21</t>
        </is>
      </c>
      <c r="C36" s="9" t="inlineStr">
        <is>
          <t>Contribution to national causes (Swachh Bharat, environment etc.)</t>
        </is>
      </c>
      <c r="D36" s="10" t="inlineStr"/>
      <c r="E36" s="10" t="inlineStr"/>
      <c r="F36" s="10" t="inlineStr"/>
      <c r="G36" s="10" t="inlineStr"/>
      <c r="H36" s="10" t="inlineStr"/>
      <c r="I36" s="37">
        <f>IFERROR(ROUND((D36*5+E36*4+F36*3+G36*2+H36)/SUM(D36:H36),2),"")</f>
        <v/>
      </c>
    </row>
    <row r="37" ht="22" customHeight="1">
      <c r="B37" s="67" t="inlineStr">
        <is>
          <t>Q22</t>
        </is>
      </c>
      <c r="C37" s="68" t="inlineStr">
        <is>
          <t>Personal growth in leadership and discipline</t>
        </is>
      </c>
      <c r="D37" s="69" t="inlineStr"/>
      <c r="E37" s="69" t="inlineStr"/>
      <c r="F37" s="69" t="inlineStr"/>
      <c r="G37" s="69" t="inlineStr"/>
      <c r="H37" s="69" t="inlineStr"/>
      <c r="I37" s="70">
        <f>IFERROR(ROUND((D37*5+E37*4+F37*3+G37*2+H37)/SUM(D37:H37),2),"")</f>
        <v/>
      </c>
    </row>
    <row r="38" ht="22" customHeight="1"/>
    <row r="39" ht="24" customHeight="1">
      <c r="B39" s="43" t="inlineStr">
        <is>
          <t>E. OVERALL EXPERIENCE</t>
        </is>
      </c>
    </row>
    <row r="40" ht="22" customHeight="1">
      <c r="B40" s="71" t="inlineStr">
        <is>
          <t>Q.</t>
        </is>
      </c>
      <c r="C40" s="71" t="inlineStr">
        <is>
          <t>Survey Statement</t>
        </is>
      </c>
      <c r="D40" s="71" t="inlineStr">
        <is>
          <t>Excellent
(5)</t>
        </is>
      </c>
      <c r="E40" s="71" t="inlineStr">
        <is>
          <t>Good
(4)</t>
        </is>
      </c>
      <c r="F40" s="71" t="inlineStr">
        <is>
          <t>Average
(3)</t>
        </is>
      </c>
      <c r="G40" s="71" t="inlineStr">
        <is>
          <t>Poor
(2)</t>
        </is>
      </c>
      <c r="H40" s="71" t="inlineStr">
        <is>
          <t>Very Poor
(1)</t>
        </is>
      </c>
      <c r="I40" s="71" t="inlineStr">
        <is>
          <t>Avg Score</t>
        </is>
      </c>
    </row>
    <row r="41" ht="22" customHeight="1">
      <c r="B41" s="72" t="inlineStr">
        <is>
          <t>Q23</t>
        </is>
      </c>
      <c r="C41" s="73" t="inlineStr">
        <is>
          <t>Overall quality of NSS programme</t>
        </is>
      </c>
      <c r="D41" s="22" t="inlineStr"/>
      <c r="E41" s="22" t="inlineStr"/>
      <c r="F41" s="22" t="inlineStr"/>
      <c r="G41" s="22" t="inlineStr"/>
      <c r="H41" s="22" t="inlineStr"/>
      <c r="I41" s="74">
        <f>IFERROR(ROUND((D41*5+E41*4+F41*3+G41*2+H41)/SUM(D41:H41),2),"")</f>
        <v/>
      </c>
    </row>
    <row r="42" ht="22" customHeight="1">
      <c r="B42" s="8" t="inlineStr">
        <is>
          <t>Q24</t>
        </is>
      </c>
      <c r="C42" s="9" t="inlineStr">
        <is>
          <t>Overall quality of NCC programme</t>
        </is>
      </c>
      <c r="D42" s="10" t="inlineStr"/>
      <c r="E42" s="10" t="inlineStr"/>
      <c r="F42" s="10" t="inlineStr"/>
      <c r="G42" s="10" t="inlineStr"/>
      <c r="H42" s="10" t="inlineStr"/>
      <c r="I42" s="37">
        <f>IFERROR(ROUND((D42*5+E42*4+F42*3+G42*2+H42)/SUM(D42:H42),2),"")</f>
        <v/>
      </c>
    </row>
    <row r="43" ht="22" customHeight="1">
      <c r="B43" s="72" t="inlineStr">
        <is>
          <t>Q25</t>
        </is>
      </c>
      <c r="C43" s="73" t="inlineStr">
        <is>
          <t>Would you recommend NSS/NCC to juniors?</t>
        </is>
      </c>
      <c r="D43" s="22" t="inlineStr"/>
      <c r="E43" s="22" t="inlineStr"/>
      <c r="F43" s="22" t="inlineStr"/>
      <c r="G43" s="22" t="inlineStr"/>
      <c r="H43" s="22" t="inlineStr"/>
      <c r="I43" s="74">
        <f>IFERROR(ROUND((D43*5+E43*4+F43*3+G43*2+H43)/SUM(D43:H43),2),"")</f>
        <v/>
      </c>
    </row>
    <row r="44" ht="22" customHeight="1">
      <c r="B44" s="8" t="inlineStr">
        <is>
          <t>Q26</t>
        </is>
      </c>
      <c r="C44" s="9" t="inlineStr">
        <is>
          <t>NSS/NCC enhancing career and personality development</t>
        </is>
      </c>
      <c r="D44" s="10" t="inlineStr"/>
      <c r="E44" s="10" t="inlineStr"/>
      <c r="F44" s="10" t="inlineStr"/>
      <c r="G44" s="10" t="inlineStr"/>
      <c r="H44" s="10" t="inlineStr"/>
      <c r="I44" s="37">
        <f>IFERROR(ROUND((D44*5+E44*4+F44*3+G44*2+H44)/SUM(D44:H44),2),"")</f>
        <v/>
      </c>
    </row>
    <row r="45" ht="22" customHeight="1"/>
    <row r="46" ht="24" customHeight="1">
      <c r="B46" s="27" t="inlineStr">
        <is>
          <t>SURVEY SUMMARY</t>
        </is>
      </c>
    </row>
    <row r="47" ht="22" customHeight="1">
      <c r="B47" s="28" t="inlineStr">
        <is>
          <t>Section</t>
        </is>
      </c>
      <c r="C47" s="28" t="inlineStr">
        <is>
          <t>Avg Score (/5)</t>
        </is>
      </c>
      <c r="D47" s="28" t="inlineStr">
        <is>
          <t>Satisfaction %</t>
        </is>
      </c>
      <c r="E47" s="28" t="inlineStr">
        <is>
          <t>Benchmark
(≥3.5)</t>
        </is>
      </c>
      <c r="F47" s="28" t="inlineStr">
        <is>
          <t>Gap</t>
        </is>
      </c>
      <c r="G47" s="28" t="inlineStr">
        <is>
          <t>Status</t>
        </is>
      </c>
      <c r="H47" s="28" t="inlineStr">
        <is>
          <t>Priority Action</t>
        </is>
      </c>
    </row>
    <row r="48" ht="22" customHeight="1">
      <c r="B48" s="38" t="inlineStr">
        <is>
          <t>NSS PROGRAMME — CONTENT &amp; ACTIVITIES</t>
        </is>
      </c>
      <c r="C48" s="16" t="inlineStr"/>
      <c r="D48" s="16">
        <f>IFERROR(ROUND(C48/5*100,1),"")</f>
        <v/>
      </c>
      <c r="E48" s="16" t="n">
        <v>3.5</v>
      </c>
      <c r="F48" s="16">
        <f>IFERROR(ROUND(C48-E48,2),"")</f>
        <v/>
      </c>
      <c r="G48" s="16">
        <f>IFERROR(IF(C48&gt;=3.5,"Satisfactory","Needs Attention"),"")</f>
        <v/>
      </c>
      <c r="H48" s="15" t="inlineStr"/>
      <c r="I48" s="75" t="n"/>
    </row>
    <row r="49" ht="22" customHeight="1">
      <c r="B49" s="25" t="inlineStr">
        <is>
          <t>NCC PROGRAMME — TRAINING &amp; DISCIPLINE</t>
        </is>
      </c>
      <c r="C49" s="10" t="inlineStr"/>
      <c r="D49" s="10">
        <f>IFERROR(ROUND(C49/5*100,1),"")</f>
        <v/>
      </c>
      <c r="E49" s="10" t="n">
        <v>3.5</v>
      </c>
      <c r="F49" s="10">
        <f>IFERROR(ROUND(C49-E49,2),"")</f>
        <v/>
      </c>
      <c r="G49" s="10">
        <f>IFERROR(IF(C49&gt;=3.5,"Satisfactory","Needs Attention"),"")</f>
        <v/>
      </c>
      <c r="H49" s="9" t="inlineStr"/>
      <c r="I49" s="76" t="n"/>
    </row>
    <row r="50" ht="22" customHeight="1">
      <c r="B50" s="38" t="inlineStr">
        <is>
          <t>PROGRAMME MANAGEMENT &amp; SUPPORT</t>
        </is>
      </c>
      <c r="C50" s="16" t="inlineStr"/>
      <c r="D50" s="16">
        <f>IFERROR(ROUND(C50/5*100,1),"")</f>
        <v/>
      </c>
      <c r="E50" s="16" t="n">
        <v>3.5</v>
      </c>
      <c r="F50" s="16">
        <f>IFERROR(ROUND(C50-E50,2),"")</f>
        <v/>
      </c>
      <c r="G50" s="16">
        <f>IFERROR(IF(C50&gt;=3.5,"Satisfactory","Needs Attention"),"")</f>
        <v/>
      </c>
      <c r="H50" s="15" t="inlineStr"/>
      <c r="I50" s="75" t="n"/>
    </row>
    <row r="51" ht="22" customHeight="1">
      <c r="B51" s="25" t="inlineStr">
        <is>
          <t>COMMUNITY &amp; SOCIAL IMPACT</t>
        </is>
      </c>
      <c r="C51" s="10" t="inlineStr"/>
      <c r="D51" s="10">
        <f>IFERROR(ROUND(C51/5*100,1),"")</f>
        <v/>
      </c>
      <c r="E51" s="10" t="n">
        <v>3.5</v>
      </c>
      <c r="F51" s="10">
        <f>IFERROR(ROUND(C51-E51,2),"")</f>
        <v/>
      </c>
      <c r="G51" s="10">
        <f>IFERROR(IF(C51&gt;=3.5,"Satisfactory","Needs Attention"),"")</f>
        <v/>
      </c>
      <c r="H51" s="9" t="inlineStr"/>
      <c r="I51" s="76" t="n"/>
    </row>
    <row r="52" ht="22" customHeight="1">
      <c r="B52" s="38" t="inlineStr">
        <is>
          <t>OVERALL EXPERIENCE</t>
        </is>
      </c>
      <c r="C52" s="16" t="inlineStr"/>
      <c r="D52" s="16">
        <f>IFERROR(ROUND(C52/5*100,1),"")</f>
        <v/>
      </c>
      <c r="E52" s="16" t="n">
        <v>3.5</v>
      </c>
      <c r="F52" s="16">
        <f>IFERROR(ROUND(C52-E52,2),"")</f>
        <v/>
      </c>
      <c r="G52" s="16">
        <f>IFERROR(IF(C52&gt;=3.5,"Satisfactory","Needs Attention"),"")</f>
        <v/>
      </c>
      <c r="H52" s="15" t="inlineStr"/>
      <c r="I52" s="75" t="n"/>
    </row>
    <row r="53" ht="22" customHeight="1"/>
  </sheetData>
  <mergeCells count="9">
    <mergeCell ref="B39:I39"/>
    <mergeCell ref="B2:I2"/>
    <mergeCell ref="B3:I3"/>
    <mergeCell ref="B5:I5"/>
    <mergeCell ref="B14:I14"/>
    <mergeCell ref="B31:I31"/>
    <mergeCell ref="B46:I46"/>
    <mergeCell ref="B4:I4"/>
    <mergeCell ref="B23:I2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I4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2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" customWidth="1" min="10" max="10"/>
  </cols>
  <sheetData>
    <row r="1" ht="10" customHeight="1"/>
    <row r="2" ht="48" customHeight="1">
      <c r="B2" s="12" t="inlineStr">
        <is>
          <t>NNCC-31: NSS / NCC KPI DASHBOARD</t>
        </is>
      </c>
    </row>
    <row r="3" ht="25" customHeight="1">
      <c r="B3" s="2" t="inlineStr">
        <is>
          <t>A.Y.: _______  Quarter: Q1/Q2/Q3/Q4  NSS PO / NCC ANO: ___________________  Date: _______</t>
        </is>
      </c>
    </row>
    <row r="4" ht="24" customHeight="1">
      <c r="B4" s="19" t="inlineStr">
        <is>
          <t>NSS — PROGRAMME KPIs</t>
        </is>
      </c>
    </row>
    <row r="5" ht="22" customHeight="1">
      <c r="B5" s="13" t="inlineStr">
        <is>
          <t>Sl.</t>
        </is>
      </c>
      <c r="C5" s="13" t="inlineStr">
        <is>
          <t>Key Performance Indicator</t>
        </is>
      </c>
      <c r="D5" s="13" t="inlineStr">
        <is>
          <t>Unit</t>
        </is>
      </c>
      <c r="E5" s="13" t="inlineStr">
        <is>
          <t>Target</t>
        </is>
      </c>
      <c r="F5" s="13" t="inlineStr">
        <is>
          <t>Prev. Year Actual</t>
        </is>
      </c>
      <c r="G5" s="13" t="inlineStr">
        <is>
          <t>Current Year Actual</t>
        </is>
      </c>
      <c r="H5" s="13" t="inlineStr">
        <is>
          <t>Status</t>
        </is>
      </c>
      <c r="I5" s="13" t="inlineStr">
        <is>
          <t>Action Required</t>
        </is>
      </c>
    </row>
    <row r="6" ht="22" customHeight="1">
      <c r="B6" s="14" t="n">
        <v>1</v>
      </c>
      <c r="C6" s="15" t="inlineStr">
        <is>
          <t>NSS volunteer enrolment (% of institution strength)</t>
        </is>
      </c>
      <c r="D6" s="16" t="inlineStr">
        <is>
          <t>% enrolled</t>
        </is>
      </c>
      <c r="E6" s="16" t="inlineStr">
        <is>
          <t>≥5% of enrolled students</t>
        </is>
      </c>
      <c r="F6" s="16" t="inlineStr"/>
      <c r="G6" s="16" t="inlineStr"/>
      <c r="H6" s="16" t="inlineStr">
        <is>
          <t>On Track</t>
        </is>
      </c>
      <c r="I6" s="15" t="inlineStr"/>
    </row>
    <row r="7" ht="22" customHeight="1">
      <c r="B7" s="8" t="n">
        <v>2</v>
      </c>
      <c r="C7" s="9" t="inlineStr">
        <is>
          <t>Volunteer 240-hour programme completion rate</t>
        </is>
      </c>
      <c r="D7" s="10" t="inlineStr">
        <is>
          <t>% completing</t>
        </is>
      </c>
      <c r="E7" s="10" t="inlineStr">
        <is>
          <t>≥80%</t>
        </is>
      </c>
      <c r="F7" s="10" t="inlineStr"/>
      <c r="G7" s="10" t="inlineStr"/>
      <c r="H7" s="10" t="inlineStr">
        <is>
          <t>On Track</t>
        </is>
      </c>
      <c r="I7" s="9" t="inlineStr"/>
    </row>
    <row r="8" ht="22" customHeight="1">
      <c r="B8" s="14" t="n">
        <v>3</v>
      </c>
      <c r="C8" s="15" t="inlineStr">
        <is>
          <t>NSS regular activities conducted per year</t>
        </is>
      </c>
      <c r="D8" s="16" t="inlineStr">
        <is>
          <t>No.</t>
        </is>
      </c>
      <c r="E8" s="16" t="inlineStr">
        <is>
          <t>≥30</t>
        </is>
      </c>
      <c r="F8" s="16" t="inlineStr"/>
      <c r="G8" s="16" t="inlineStr"/>
      <c r="H8" s="16" t="inlineStr">
        <is>
          <t>On Track</t>
        </is>
      </c>
      <c r="I8" s="15" t="inlineStr"/>
    </row>
    <row r="9" ht="22" customHeight="1">
      <c r="B9" s="8" t="n">
        <v>4</v>
      </c>
      <c r="C9" s="9" t="inlineStr">
        <is>
          <t>Annual Special Camp conducted</t>
        </is>
      </c>
      <c r="D9" s="10" t="inlineStr">
        <is>
          <t>Y/N</t>
        </is>
      </c>
      <c r="E9" s="10" t="inlineStr">
        <is>
          <t>Yes every year</t>
        </is>
      </c>
      <c r="F9" s="10" t="inlineStr"/>
      <c r="G9" s="10" t="inlineStr"/>
      <c r="H9" s="10" t="inlineStr">
        <is>
          <t>On Track</t>
        </is>
      </c>
      <c r="I9" s="9" t="inlineStr"/>
    </row>
    <row r="10" ht="22" customHeight="1">
      <c r="B10" s="14" t="n">
        <v>5</v>
      </c>
      <c r="C10" s="15" t="inlineStr">
        <is>
          <t>Special Camp attendance (% of unit)</t>
        </is>
      </c>
      <c r="D10" s="16" t="inlineStr">
        <is>
          <t>% attending</t>
        </is>
      </c>
      <c r="E10" s="16" t="inlineStr">
        <is>
          <t>≥60%</t>
        </is>
      </c>
      <c r="F10" s="16" t="inlineStr"/>
      <c r="G10" s="16" t="inlineStr"/>
      <c r="H10" s="16" t="inlineStr">
        <is>
          <t>On Track</t>
        </is>
      </c>
      <c r="I10" s="15" t="inlineStr"/>
    </row>
    <row r="11" ht="22" customHeight="1">
      <c r="B11" s="8" t="n">
        <v>6</v>
      </c>
      <c r="C11" s="9" t="inlineStr">
        <is>
          <t>Monthly reports submitted to Regional Director</t>
        </is>
      </c>
      <c r="D11" s="10" t="inlineStr">
        <is>
          <t>% on time</t>
        </is>
      </c>
      <c r="E11" s="10" t="inlineStr">
        <is>
          <t>100%</t>
        </is>
      </c>
      <c r="F11" s="10" t="inlineStr"/>
      <c r="G11" s="10" t="inlineStr"/>
      <c r="H11" s="10" t="inlineStr">
        <is>
          <t>On Track</t>
        </is>
      </c>
      <c r="I11" s="9" t="inlineStr"/>
    </row>
    <row r="12" ht="22" customHeight="1">
      <c r="B12" s="14" t="n">
        <v>7</v>
      </c>
      <c r="C12" s="15" t="inlineStr">
        <is>
          <t>Blood donation units collected (annual)</t>
        </is>
      </c>
      <c r="D12" s="16" t="inlineStr">
        <is>
          <t>No. of units</t>
        </is>
      </c>
      <c r="E12" s="16" t="inlineStr">
        <is>
          <t>≥50 units</t>
        </is>
      </c>
      <c r="F12" s="16" t="inlineStr"/>
      <c r="G12" s="16" t="inlineStr"/>
      <c r="H12" s="16" t="inlineStr">
        <is>
          <t>On Track</t>
        </is>
      </c>
      <c r="I12" s="15" t="inlineStr"/>
    </row>
    <row r="13" ht="22" customHeight="1">
      <c r="B13" s="8" t="n">
        <v>8</v>
      </c>
      <c r="C13" s="9" t="inlineStr">
        <is>
          <t>NSS Day / International Volunteer Day celebrated</t>
        </is>
      </c>
      <c r="D13" s="10" t="inlineStr">
        <is>
          <t>Y/N</t>
        </is>
      </c>
      <c r="E13" s="10" t="inlineStr">
        <is>
          <t>Yes</t>
        </is>
      </c>
      <c r="F13" s="10" t="inlineStr"/>
      <c r="G13" s="10" t="inlineStr"/>
      <c r="H13" s="10" t="inlineStr">
        <is>
          <t>On Track</t>
        </is>
      </c>
      <c r="I13" s="9" t="inlineStr"/>
    </row>
    <row r="14" ht="22" customHeight="1"/>
    <row r="15" ht="24" customHeight="1">
      <c r="B15" s="65" t="inlineStr">
        <is>
          <t>NSS — SOCIAL IMPACT KPIs</t>
        </is>
      </c>
    </row>
    <row r="16" ht="22" customHeight="1">
      <c r="B16" s="66" t="inlineStr">
        <is>
          <t>Sl.</t>
        </is>
      </c>
      <c r="C16" s="66" t="inlineStr">
        <is>
          <t>Key Performance Indicator</t>
        </is>
      </c>
      <c r="D16" s="66" t="inlineStr">
        <is>
          <t>Unit</t>
        </is>
      </c>
      <c r="E16" s="66" t="inlineStr">
        <is>
          <t>Target</t>
        </is>
      </c>
      <c r="F16" s="66" t="inlineStr">
        <is>
          <t>Prev. Year Actual</t>
        </is>
      </c>
      <c r="G16" s="66" t="inlineStr">
        <is>
          <t>Current Year Actual</t>
        </is>
      </c>
      <c r="H16" s="66" t="inlineStr">
        <is>
          <t>Status</t>
        </is>
      </c>
      <c r="I16" s="66" t="inlineStr">
        <is>
          <t>Action Required</t>
        </is>
      </c>
    </row>
    <row r="17" ht="22" customHeight="1">
      <c r="B17" s="67" t="n">
        <v>1</v>
      </c>
      <c r="C17" s="68" t="inlineStr">
        <is>
          <t>Communities / villages adopted / served</t>
        </is>
      </c>
      <c r="D17" s="69" t="inlineStr">
        <is>
          <t>No.</t>
        </is>
      </c>
      <c r="E17" s="69" t="inlineStr">
        <is>
          <t>≥1</t>
        </is>
      </c>
      <c r="F17" s="69" t="inlineStr"/>
      <c r="G17" s="69" t="inlineStr"/>
      <c r="H17" s="69" t="inlineStr">
        <is>
          <t>On Track</t>
        </is>
      </c>
      <c r="I17" s="68" t="inlineStr"/>
    </row>
    <row r="18" ht="22" customHeight="1">
      <c r="B18" s="8" t="n">
        <v>2</v>
      </c>
      <c r="C18" s="9" t="inlineStr">
        <is>
          <t>Total community beneficiaries reached</t>
        </is>
      </c>
      <c r="D18" s="10" t="inlineStr">
        <is>
          <t>No. per year</t>
        </is>
      </c>
      <c r="E18" s="10" t="inlineStr">
        <is>
          <t>≥500</t>
        </is>
      </c>
      <c r="F18" s="10" t="inlineStr"/>
      <c r="G18" s="10" t="inlineStr"/>
      <c r="H18" s="10" t="inlineStr">
        <is>
          <t>On Track</t>
        </is>
      </c>
      <c r="I18" s="9" t="inlineStr"/>
    </row>
    <row r="19" ht="22" customHeight="1">
      <c r="B19" s="67" t="n">
        <v>3</v>
      </c>
      <c r="C19" s="68" t="inlineStr">
        <is>
          <t>Swachh Bharat activities conducted</t>
        </is>
      </c>
      <c r="D19" s="69" t="inlineStr">
        <is>
          <t>No. per year</t>
        </is>
      </c>
      <c r="E19" s="69" t="inlineStr">
        <is>
          <t>≥6</t>
        </is>
      </c>
      <c r="F19" s="69" t="inlineStr"/>
      <c r="G19" s="69" t="inlineStr"/>
      <c r="H19" s="69" t="inlineStr">
        <is>
          <t>On Track</t>
        </is>
      </c>
      <c r="I19" s="68" t="inlineStr"/>
    </row>
    <row r="20" ht="22" customHeight="1">
      <c r="B20" s="8" t="n">
        <v>4</v>
      </c>
      <c r="C20" s="9" t="inlineStr">
        <is>
          <t>Tree plantation (trees planted annually)</t>
        </is>
      </c>
      <c r="D20" s="10" t="inlineStr">
        <is>
          <t>No. of trees</t>
        </is>
      </c>
      <c r="E20" s="10" t="inlineStr">
        <is>
          <t>≥100</t>
        </is>
      </c>
      <c r="F20" s="10" t="inlineStr"/>
      <c r="G20" s="10" t="inlineStr"/>
      <c r="H20" s="10" t="inlineStr">
        <is>
          <t>On Track</t>
        </is>
      </c>
      <c r="I20" s="9" t="inlineStr"/>
    </row>
    <row r="21" ht="22" customHeight="1">
      <c r="B21" s="67" t="n">
        <v>5</v>
      </c>
      <c r="C21" s="68" t="inlineStr">
        <is>
          <t>Health / medical camps conducted</t>
        </is>
      </c>
      <c r="D21" s="69" t="inlineStr">
        <is>
          <t>No. per year</t>
        </is>
      </c>
      <c r="E21" s="69" t="inlineStr">
        <is>
          <t>≥4</t>
        </is>
      </c>
      <c r="F21" s="69" t="inlineStr"/>
      <c r="G21" s="69" t="inlineStr"/>
      <c r="H21" s="69" t="inlineStr">
        <is>
          <t>On Track</t>
        </is>
      </c>
      <c r="I21" s="68" t="inlineStr"/>
    </row>
    <row r="22" ht="22" customHeight="1">
      <c r="B22" s="8" t="n">
        <v>6</v>
      </c>
      <c r="C22" s="9" t="inlineStr">
        <is>
          <t>Awareness campaigns (all themes)</t>
        </is>
      </c>
      <c r="D22" s="10" t="inlineStr">
        <is>
          <t>No. per year</t>
        </is>
      </c>
      <c r="E22" s="10" t="inlineStr">
        <is>
          <t>≥12</t>
        </is>
      </c>
      <c r="F22" s="10" t="inlineStr"/>
      <c r="G22" s="10" t="inlineStr"/>
      <c r="H22" s="10" t="inlineStr">
        <is>
          <t>On Track</t>
        </is>
      </c>
      <c r="I22" s="9" t="inlineStr"/>
    </row>
    <row r="23" ht="22" customHeight="1"/>
    <row r="24" ht="24" customHeight="1">
      <c r="B24" s="60" t="inlineStr">
        <is>
          <t>NCC — PROGRAMME KPIs</t>
        </is>
      </c>
    </row>
    <row r="25" ht="22" customHeight="1">
      <c r="B25" s="52" t="inlineStr">
        <is>
          <t>Sl.</t>
        </is>
      </c>
      <c r="C25" s="52" t="inlineStr">
        <is>
          <t>Key Performance Indicator</t>
        </is>
      </c>
      <c r="D25" s="52" t="inlineStr">
        <is>
          <t>Unit</t>
        </is>
      </c>
      <c r="E25" s="52" t="inlineStr">
        <is>
          <t>Target</t>
        </is>
      </c>
      <c r="F25" s="52" t="inlineStr">
        <is>
          <t>Prev. Year Actual</t>
        </is>
      </c>
      <c r="G25" s="52" t="inlineStr">
        <is>
          <t>Current Year Actual</t>
        </is>
      </c>
      <c r="H25" s="52" t="inlineStr">
        <is>
          <t>Status</t>
        </is>
      </c>
      <c r="I25" s="52" t="inlineStr">
        <is>
          <t>Action Required</t>
        </is>
      </c>
    </row>
    <row r="26" ht="22" customHeight="1">
      <c r="B26" s="53" t="n">
        <v>1</v>
      </c>
      <c r="C26" s="54" t="inlineStr">
        <is>
          <t>NCC cadet enrolment</t>
        </is>
      </c>
      <c r="D26" s="55" t="inlineStr">
        <is>
          <t>No.</t>
        </is>
      </c>
      <c r="E26" s="55" t="inlineStr">
        <is>
          <t>As per sanctioned strength</t>
        </is>
      </c>
      <c r="F26" s="55" t="inlineStr"/>
      <c r="G26" s="55" t="inlineStr"/>
      <c r="H26" s="55" t="inlineStr">
        <is>
          <t>On Track</t>
        </is>
      </c>
      <c r="I26" s="54" t="inlineStr"/>
    </row>
    <row r="27" ht="22" customHeight="1">
      <c r="B27" s="8" t="n">
        <v>2</v>
      </c>
      <c r="C27" s="9" t="inlineStr">
        <is>
          <t>Parade attendance rate (% of cadets)</t>
        </is>
      </c>
      <c r="D27" s="10" t="inlineStr">
        <is>
          <t>% cadets ≥75%</t>
        </is>
      </c>
      <c r="E27" s="10" t="inlineStr">
        <is>
          <t>≥80% cadets</t>
        </is>
      </c>
      <c r="F27" s="10" t="inlineStr"/>
      <c r="G27" s="10" t="inlineStr"/>
      <c r="H27" s="10" t="inlineStr">
        <is>
          <t>On Track</t>
        </is>
      </c>
      <c r="I27" s="9" t="inlineStr"/>
    </row>
    <row r="28" ht="22" customHeight="1">
      <c r="B28" s="53" t="n">
        <v>3</v>
      </c>
      <c r="C28" s="54" t="inlineStr">
        <is>
          <t>Annual Training Camp (ATC) conducted</t>
        </is>
      </c>
      <c r="D28" s="55" t="inlineStr">
        <is>
          <t>Y/N</t>
        </is>
      </c>
      <c r="E28" s="55" t="inlineStr">
        <is>
          <t>Yes annually</t>
        </is>
      </c>
      <c r="F28" s="55" t="inlineStr"/>
      <c r="G28" s="55" t="inlineStr"/>
      <c r="H28" s="55" t="inlineStr">
        <is>
          <t>On Track</t>
        </is>
      </c>
      <c r="I28" s="54" t="inlineStr"/>
    </row>
    <row r="29" ht="22" customHeight="1">
      <c r="B29" s="8" t="n">
        <v>4</v>
      </c>
      <c r="C29" s="9" t="inlineStr">
        <is>
          <t>B Certificate examination pass rate</t>
        </is>
      </c>
      <c r="D29" s="10" t="inlineStr">
        <is>
          <t>% pass</t>
        </is>
      </c>
      <c r="E29" s="10" t="inlineStr">
        <is>
          <t>≥80%</t>
        </is>
      </c>
      <c r="F29" s="10" t="inlineStr"/>
      <c r="G29" s="10" t="inlineStr"/>
      <c r="H29" s="10" t="inlineStr">
        <is>
          <t>On Track</t>
        </is>
      </c>
      <c r="I29" s="9" t="inlineStr"/>
    </row>
    <row r="30" ht="22" customHeight="1">
      <c r="B30" s="53" t="n">
        <v>5</v>
      </c>
      <c r="C30" s="54" t="inlineStr">
        <is>
          <t>C Certificate examination pass rate</t>
        </is>
      </c>
      <c r="D30" s="55" t="inlineStr">
        <is>
          <t>% pass</t>
        </is>
      </c>
      <c r="E30" s="55" t="inlineStr">
        <is>
          <t>≥70%</t>
        </is>
      </c>
      <c r="F30" s="55" t="inlineStr"/>
      <c r="G30" s="55" t="inlineStr"/>
      <c r="H30" s="55" t="inlineStr">
        <is>
          <t>On Track</t>
        </is>
      </c>
      <c r="I30" s="54" t="inlineStr"/>
    </row>
    <row r="31" ht="22" customHeight="1">
      <c r="B31" s="8" t="n">
        <v>6</v>
      </c>
      <c r="C31" s="9" t="inlineStr">
        <is>
          <t>Monthly report submitted to District HQ</t>
        </is>
      </c>
      <c r="D31" s="10" t="inlineStr">
        <is>
          <t>% on time</t>
        </is>
      </c>
      <c r="E31" s="10" t="inlineStr">
        <is>
          <t>100%</t>
        </is>
      </c>
      <c r="F31" s="10" t="inlineStr"/>
      <c r="G31" s="10" t="inlineStr"/>
      <c r="H31" s="10" t="inlineStr">
        <is>
          <t>On Track</t>
        </is>
      </c>
      <c r="I31" s="9" t="inlineStr"/>
    </row>
    <row r="32" ht="22" customHeight="1"/>
    <row r="33" ht="24" customHeight="1">
      <c r="B33" s="77" t="inlineStr">
        <is>
          <t>NCC — ACHIEVEMENT KPIs</t>
        </is>
      </c>
    </row>
    <row r="34" ht="22" customHeight="1">
      <c r="B34" s="78" t="inlineStr">
        <is>
          <t>Sl.</t>
        </is>
      </c>
      <c r="C34" s="78" t="inlineStr">
        <is>
          <t>Key Performance Indicator</t>
        </is>
      </c>
      <c r="D34" s="78" t="inlineStr">
        <is>
          <t>Unit</t>
        </is>
      </c>
      <c r="E34" s="78" t="inlineStr">
        <is>
          <t>Target</t>
        </is>
      </c>
      <c r="F34" s="78" t="inlineStr">
        <is>
          <t>Prev. Year Actual</t>
        </is>
      </c>
      <c r="G34" s="78" t="inlineStr">
        <is>
          <t>Current Year Actual</t>
        </is>
      </c>
      <c r="H34" s="78" t="inlineStr">
        <is>
          <t>Status</t>
        </is>
      </c>
      <c r="I34" s="78" t="inlineStr">
        <is>
          <t>Action Required</t>
        </is>
      </c>
    </row>
    <row r="35" ht="22" customHeight="1">
      <c r="B35" s="79" t="n">
        <v>1</v>
      </c>
      <c r="C35" s="80" t="inlineStr">
        <is>
          <t>Cadets in Republic Day / Independence Day Parade</t>
        </is>
      </c>
      <c r="D35" s="81" t="inlineStr">
        <is>
          <t>No.</t>
        </is>
      </c>
      <c r="E35" s="81" t="inlineStr">
        <is>
          <t>≥5</t>
        </is>
      </c>
      <c r="F35" s="81" t="inlineStr"/>
      <c r="G35" s="81" t="inlineStr"/>
      <c r="H35" s="81" t="inlineStr">
        <is>
          <t>On Track</t>
        </is>
      </c>
      <c r="I35" s="80" t="inlineStr"/>
    </row>
    <row r="36" ht="22" customHeight="1">
      <c r="B36" s="8" t="n">
        <v>2</v>
      </c>
      <c r="C36" s="9" t="inlineStr">
        <is>
          <t>State / National NCC competitions participated</t>
        </is>
      </c>
      <c r="D36" s="10" t="inlineStr">
        <is>
          <t>No. per year</t>
        </is>
      </c>
      <c r="E36" s="10" t="inlineStr">
        <is>
          <t>≥4</t>
        </is>
      </c>
      <c r="F36" s="10" t="inlineStr"/>
      <c r="G36" s="10" t="inlineStr"/>
      <c r="H36" s="10" t="inlineStr">
        <is>
          <t>On Track</t>
        </is>
      </c>
      <c r="I36" s="9" t="inlineStr"/>
    </row>
    <row r="37" ht="22" customHeight="1">
      <c r="B37" s="79" t="n">
        <v>3</v>
      </c>
      <c r="C37" s="80" t="inlineStr">
        <is>
          <t>National / State level awards won</t>
        </is>
      </c>
      <c r="D37" s="81" t="inlineStr">
        <is>
          <t>No.</t>
        </is>
      </c>
      <c r="E37" s="81" t="inlineStr">
        <is>
          <t>≥1</t>
        </is>
      </c>
      <c r="F37" s="81" t="inlineStr"/>
      <c r="G37" s="81" t="inlineStr"/>
      <c r="H37" s="81" t="inlineStr">
        <is>
          <t>On Track</t>
        </is>
      </c>
      <c r="I37" s="80" t="inlineStr"/>
    </row>
    <row r="38" ht="22" customHeight="1">
      <c r="B38" s="8" t="n">
        <v>4</v>
      </c>
      <c r="C38" s="9" t="inlineStr">
        <is>
          <t>Rajya Puraskar / DG Commendation recipients</t>
        </is>
      </c>
      <c r="D38" s="10" t="inlineStr">
        <is>
          <t>No.</t>
        </is>
      </c>
      <c r="E38" s="10" t="inlineStr">
        <is>
          <t>≥1</t>
        </is>
      </c>
      <c r="F38" s="10" t="inlineStr"/>
      <c r="G38" s="10" t="inlineStr"/>
      <c r="H38" s="10" t="inlineStr">
        <is>
          <t>On Track</t>
        </is>
      </c>
      <c r="I38" s="9" t="inlineStr"/>
    </row>
    <row r="39" ht="22" customHeight="1">
      <c r="B39" s="79" t="n">
        <v>5</v>
      </c>
      <c r="C39" s="80" t="inlineStr">
        <is>
          <t>PM's Rally / NCC Directorate events participated</t>
        </is>
      </c>
      <c r="D39" s="81" t="inlineStr">
        <is>
          <t>No.</t>
        </is>
      </c>
      <c r="E39" s="81" t="inlineStr">
        <is>
          <t>Tracked</t>
        </is>
      </c>
      <c r="F39" s="81" t="inlineStr"/>
      <c r="G39" s="81" t="inlineStr"/>
      <c r="H39" s="81" t="inlineStr">
        <is>
          <t>On Track</t>
        </is>
      </c>
      <c r="I39" s="80" t="inlineStr"/>
    </row>
    <row r="40" ht="22" customHeight="1"/>
    <row r="41" ht="24" customHeight="1">
      <c r="B41" s="34" t="inlineStr">
        <is>
          <t>JOINT &amp; ACCREDITATION KPIs</t>
        </is>
      </c>
    </row>
    <row r="42" ht="22" customHeight="1">
      <c r="B42" s="30" t="inlineStr">
        <is>
          <t>Sl.</t>
        </is>
      </c>
      <c r="C42" s="30" t="inlineStr">
        <is>
          <t>Key Performance Indicator</t>
        </is>
      </c>
      <c r="D42" s="30" t="inlineStr">
        <is>
          <t>Unit</t>
        </is>
      </c>
      <c r="E42" s="30" t="inlineStr">
        <is>
          <t>Target</t>
        </is>
      </c>
      <c r="F42" s="30" t="inlineStr">
        <is>
          <t>Prev. Year Actual</t>
        </is>
      </c>
      <c r="G42" s="30" t="inlineStr">
        <is>
          <t>Current Year Actual</t>
        </is>
      </c>
      <c r="H42" s="30" t="inlineStr">
        <is>
          <t>Status</t>
        </is>
      </c>
      <c r="I42" s="30" t="inlineStr">
        <is>
          <t>Action Required</t>
        </is>
      </c>
    </row>
    <row r="43" ht="22" customHeight="1">
      <c r="B43" s="31" t="n">
        <v>1</v>
      </c>
      <c r="C43" s="32" t="inlineStr">
        <is>
          <t>Joint NSS-NCC activities conducted</t>
        </is>
      </c>
      <c r="D43" s="33" t="inlineStr">
        <is>
          <t>No. per year</t>
        </is>
      </c>
      <c r="E43" s="33" t="inlineStr">
        <is>
          <t>≥4</t>
        </is>
      </c>
      <c r="F43" s="33" t="inlineStr"/>
      <c r="G43" s="33" t="inlineStr"/>
      <c r="H43" s="33" t="inlineStr">
        <is>
          <t>On Track</t>
        </is>
      </c>
      <c r="I43" s="32" t="inlineStr"/>
    </row>
    <row r="44" ht="22" customHeight="1">
      <c r="B44" s="8" t="n">
        <v>2</v>
      </c>
      <c r="C44" s="9" t="inlineStr">
        <is>
          <t>Environment / Green activities (NSS+NCC)</t>
        </is>
      </c>
      <c r="D44" s="10" t="inlineStr">
        <is>
          <t>No. per year</t>
        </is>
      </c>
      <c r="E44" s="10" t="inlineStr">
        <is>
          <t>≥6</t>
        </is>
      </c>
      <c r="F44" s="10" t="inlineStr"/>
      <c r="G44" s="10" t="inlineStr"/>
      <c r="H44" s="10" t="inlineStr">
        <is>
          <t>On Track</t>
        </is>
      </c>
      <c r="I44" s="9" t="inlineStr"/>
    </row>
    <row r="45" ht="22" customHeight="1">
      <c r="B45" s="31" t="n">
        <v>3</v>
      </c>
      <c r="C45" s="32" t="inlineStr">
        <is>
          <t>NAAC evidence compiled (NSS/NCC data)</t>
        </is>
      </c>
      <c r="D45" s="33" t="inlineStr">
        <is>
          <t>Y/N</t>
        </is>
      </c>
      <c r="E45" s="33" t="inlineStr">
        <is>
          <t>Yes by Jul 31</t>
        </is>
      </c>
      <c r="F45" s="33" t="inlineStr"/>
      <c r="G45" s="33" t="inlineStr"/>
      <c r="H45" s="33" t="inlineStr">
        <is>
          <t>On Track</t>
        </is>
      </c>
      <c r="I45" s="32" t="inlineStr"/>
    </row>
    <row r="46" ht="22" customHeight="1">
      <c r="B46" s="8" t="n">
        <v>4</v>
      </c>
      <c r="C46" s="9" t="inlineStr">
        <is>
          <t>NIRF outreach data submitted</t>
        </is>
      </c>
      <c r="D46" s="10" t="inlineStr">
        <is>
          <t>Y/N</t>
        </is>
      </c>
      <c r="E46" s="10" t="inlineStr">
        <is>
          <t>Yes annually</t>
        </is>
      </c>
      <c r="F46" s="10" t="inlineStr"/>
      <c r="G46" s="10" t="inlineStr"/>
      <c r="H46" s="10" t="inlineStr">
        <is>
          <t>On Track</t>
        </is>
      </c>
      <c r="I46" s="9" t="inlineStr"/>
    </row>
    <row r="47" ht="22" customHeight="1">
      <c r="B47" s="31" t="n">
        <v>5</v>
      </c>
      <c r="C47" s="32" t="inlineStr">
        <is>
          <t>Student satisfaction score (/5)</t>
        </is>
      </c>
      <c r="D47" s="33" t="inlineStr">
        <is>
          <t>Score</t>
        </is>
      </c>
      <c r="E47" s="33" t="inlineStr">
        <is>
          <t>≥3.5</t>
        </is>
      </c>
      <c r="F47" s="33" t="inlineStr"/>
      <c r="G47" s="33" t="inlineStr"/>
      <c r="H47" s="33" t="inlineStr">
        <is>
          <t>On Track</t>
        </is>
      </c>
      <c r="I47" s="32" t="inlineStr"/>
    </row>
    <row r="48" ht="22" customHeight="1">
      <c r="B48" s="8" t="n">
        <v>6</v>
      </c>
      <c r="C48" s="9" t="inlineStr">
        <is>
          <t>Budget utilisation — NSS (%)</t>
        </is>
      </c>
      <c r="D48" s="10" t="inlineStr">
        <is>
          <t>% utilised</t>
        </is>
      </c>
      <c r="E48" s="10" t="inlineStr">
        <is>
          <t>85–100%</t>
        </is>
      </c>
      <c r="F48" s="10" t="inlineStr"/>
      <c r="G48" s="10" t="inlineStr"/>
      <c r="H48" s="10" t="inlineStr">
        <is>
          <t>On Track</t>
        </is>
      </c>
      <c r="I48" s="9" t="inlineStr"/>
    </row>
    <row r="49" ht="22" customHeight="1">
      <c r="B49" s="31" t="n">
        <v>7</v>
      </c>
      <c r="C49" s="32" t="inlineStr">
        <is>
          <t>Budget utilisation — NCC (%)</t>
        </is>
      </c>
      <c r="D49" s="33" t="inlineStr">
        <is>
          <t>% utilised</t>
        </is>
      </c>
      <c r="E49" s="33" t="inlineStr">
        <is>
          <t>85–100%</t>
        </is>
      </c>
      <c r="F49" s="33" t="inlineStr"/>
      <c r="G49" s="33" t="inlineStr"/>
      <c r="H49" s="33" t="inlineStr">
        <is>
          <t>On Track</t>
        </is>
      </c>
      <c r="I49" s="32" t="inlineStr"/>
    </row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</sheetData>
  <mergeCells count="7">
    <mergeCell ref="B15:I15"/>
    <mergeCell ref="B33:I33"/>
    <mergeCell ref="B24:I24"/>
    <mergeCell ref="B2:I2"/>
    <mergeCell ref="B3:I3"/>
    <mergeCell ref="B41:I41"/>
    <mergeCell ref="B4:I4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0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3" customWidth="1" min="9" max="9"/>
  </cols>
  <sheetData>
    <row r="1" ht="10" customHeight="1"/>
    <row r="2" ht="48" customHeight="1">
      <c r="B2" s="12" t="inlineStr">
        <is>
          <t>NNCC-32: NSS / NCC ANNUAL REPORT COMPILATION FORM</t>
        </is>
      </c>
    </row>
    <row r="3" ht="25" customHeight="1">
      <c r="B3" s="2" t="inlineStr">
        <is>
          <t>A.Y.: _______  NSS PO / NCC ANO: ___________________  Submitted to: Management / IQAC / Govt.  Date: _______</t>
        </is>
      </c>
    </row>
    <row r="4" ht="24" customHeight="1">
      <c r="B4" s="19" t="inlineStr">
        <is>
          <t>SECTION 1 — NSS PROGRAMME</t>
        </is>
      </c>
    </row>
    <row r="5" ht="22" customHeight="1">
      <c r="B5" s="13" t="inlineStr">
        <is>
          <t>Sl.</t>
        </is>
      </c>
      <c r="C5" s="13" t="inlineStr">
        <is>
          <t>Performance Metric</t>
        </is>
      </c>
      <c r="D5" s="13" t="inlineStr">
        <is>
          <t>Unit</t>
        </is>
      </c>
      <c r="E5" s="13" t="inlineStr">
        <is>
          <t>Current A.Y.</t>
        </is>
      </c>
      <c r="F5" s="13" t="inlineStr">
        <is>
          <t>Previous A.Y.</t>
        </is>
      </c>
      <c r="G5" s="13" t="inlineStr">
        <is>
          <t>Growth %</t>
        </is>
      </c>
      <c r="H5" s="13" t="inlineStr">
        <is>
          <t>Target Next Year</t>
        </is>
      </c>
    </row>
    <row r="6" ht="22" customHeight="1">
      <c r="B6" s="14" t="n">
        <v>1</v>
      </c>
      <c r="C6" s="15" t="inlineStr">
        <is>
          <t>NSS volunteers enrolled</t>
        </is>
      </c>
      <c r="D6" s="16" t="inlineStr">
        <is>
          <t>No.</t>
        </is>
      </c>
      <c r="E6" s="16" t="inlineStr"/>
      <c r="F6" s="16" t="inlineStr"/>
      <c r="G6" s="16">
        <f>IFERROR(ROUND((E6-F6)/IF(F6=0,1,F6)*100,1),"")</f>
        <v/>
      </c>
      <c r="H6" s="16" t="inlineStr"/>
    </row>
    <row r="7" ht="22" customHeight="1">
      <c r="B7" s="8" t="n">
        <v>2</v>
      </c>
      <c r="C7" s="9" t="inlineStr">
        <is>
          <t>Programme completion (240 hrs) — No.</t>
        </is>
      </c>
      <c r="D7" s="10" t="inlineStr">
        <is>
          <t>No. / %</t>
        </is>
      </c>
      <c r="E7" s="10" t="inlineStr"/>
      <c r="F7" s="10" t="inlineStr"/>
      <c r="G7" s="10">
        <f>IFERROR(ROUND((E7-F7)/IF(F7=0,1,F7)*100,1),"")</f>
        <v/>
      </c>
      <c r="H7" s="10" t="inlineStr"/>
    </row>
    <row r="8" ht="22" customHeight="1">
      <c r="B8" s="14" t="n">
        <v>3</v>
      </c>
      <c r="C8" s="15" t="inlineStr">
        <is>
          <t>Regular activities conducted</t>
        </is>
      </c>
      <c r="D8" s="16" t="inlineStr">
        <is>
          <t>No.</t>
        </is>
      </c>
      <c r="E8" s="16" t="inlineStr"/>
      <c r="F8" s="16" t="inlineStr"/>
      <c r="G8" s="16">
        <f>IFERROR(ROUND((E8-F8)/IF(F8=0,1,F8)*100,1),"")</f>
        <v/>
      </c>
      <c r="H8" s="16" t="inlineStr"/>
    </row>
    <row r="9" ht="22" customHeight="1">
      <c r="B9" s="8" t="n">
        <v>4</v>
      </c>
      <c r="C9" s="9" t="inlineStr">
        <is>
          <t>Special Camp conducted</t>
        </is>
      </c>
      <c r="D9" s="10" t="inlineStr">
        <is>
          <t>Y/N</t>
        </is>
      </c>
      <c r="E9" s="10" t="inlineStr"/>
      <c r="F9" s="10" t="inlineStr"/>
      <c r="G9" s="10">
        <f>IFERROR(ROUND((E9-F9)/IF(F9=0,1,F9)*100,1),"")</f>
        <v/>
      </c>
      <c r="H9" s="10" t="inlineStr"/>
    </row>
    <row r="10" ht="22" customHeight="1">
      <c r="B10" s="14" t="n">
        <v>5</v>
      </c>
      <c r="C10" s="15" t="inlineStr">
        <is>
          <t>Special Camp volunteers attended</t>
        </is>
      </c>
      <c r="D10" s="16" t="inlineStr">
        <is>
          <t>No.</t>
        </is>
      </c>
      <c r="E10" s="16" t="inlineStr"/>
      <c r="F10" s="16" t="inlineStr"/>
      <c r="G10" s="16">
        <f>IFERROR(ROUND((E10-F10)/IF(F10=0,1,F10)*100,1),"")</f>
        <v/>
      </c>
      <c r="H10" s="16" t="inlineStr"/>
    </row>
    <row r="11" ht="22" customHeight="1">
      <c r="B11" s="8" t="n">
        <v>6</v>
      </c>
      <c r="C11" s="9" t="inlineStr">
        <is>
          <t>Total volunteer hours (cumulative)</t>
        </is>
      </c>
      <c r="D11" s="10" t="inlineStr">
        <is>
          <t>Hours</t>
        </is>
      </c>
      <c r="E11" s="10" t="inlineStr"/>
      <c r="F11" s="10" t="inlineStr"/>
      <c r="G11" s="10">
        <f>IFERROR(ROUND((E11-F11)/IF(F11=0,1,F11)*100,1),"")</f>
        <v/>
      </c>
      <c r="H11" s="10" t="inlineStr"/>
    </row>
    <row r="12" ht="22" customHeight="1"/>
    <row r="13" ht="24" customHeight="1">
      <c r="B13" s="65" t="inlineStr">
        <is>
          <t>SECTION 2 — NSS SOCIAL IMPACT</t>
        </is>
      </c>
    </row>
    <row r="14" ht="22" customHeight="1">
      <c r="B14" s="66" t="inlineStr">
        <is>
          <t>Sl.</t>
        </is>
      </c>
      <c r="C14" s="66" t="inlineStr">
        <is>
          <t>Performance Metric</t>
        </is>
      </c>
      <c r="D14" s="66" t="inlineStr">
        <is>
          <t>Unit</t>
        </is>
      </c>
      <c r="E14" s="66" t="inlineStr">
        <is>
          <t>Current A.Y.</t>
        </is>
      </c>
      <c r="F14" s="66" t="inlineStr">
        <is>
          <t>Previous A.Y.</t>
        </is>
      </c>
      <c r="G14" s="66" t="inlineStr">
        <is>
          <t>Growth %</t>
        </is>
      </c>
      <c r="H14" s="66" t="inlineStr">
        <is>
          <t>Target Next Year</t>
        </is>
      </c>
    </row>
    <row r="15" ht="22" customHeight="1">
      <c r="B15" s="67" t="n">
        <v>1</v>
      </c>
      <c r="C15" s="68" t="inlineStr">
        <is>
          <t>Communities / villages served</t>
        </is>
      </c>
      <c r="D15" s="69" t="inlineStr">
        <is>
          <t>No.</t>
        </is>
      </c>
      <c r="E15" s="69" t="inlineStr"/>
      <c r="F15" s="69" t="inlineStr"/>
      <c r="G15" s="69">
        <f>IFERROR(ROUND((E15-F15)/IF(F15=0,1,F15)*100,1),"")</f>
        <v/>
      </c>
      <c r="H15" s="69" t="inlineStr"/>
    </row>
    <row r="16" ht="22" customHeight="1">
      <c r="B16" s="8" t="n">
        <v>2</v>
      </c>
      <c r="C16" s="9" t="inlineStr">
        <is>
          <t>Total beneficiaries reached</t>
        </is>
      </c>
      <c r="D16" s="10" t="inlineStr">
        <is>
          <t>No.</t>
        </is>
      </c>
      <c r="E16" s="10" t="inlineStr"/>
      <c r="F16" s="10" t="inlineStr"/>
      <c r="G16" s="10">
        <f>IFERROR(ROUND((E16-F16)/IF(F16=0,1,F16)*100,1),"")</f>
        <v/>
      </c>
      <c r="H16" s="10" t="inlineStr"/>
    </row>
    <row r="17" ht="22" customHeight="1">
      <c r="B17" s="67" t="n">
        <v>3</v>
      </c>
      <c r="C17" s="68" t="inlineStr">
        <is>
          <t>Blood units donated</t>
        </is>
      </c>
      <c r="D17" s="69" t="inlineStr">
        <is>
          <t>No.</t>
        </is>
      </c>
      <c r="E17" s="69" t="inlineStr"/>
      <c r="F17" s="69" t="inlineStr"/>
      <c r="G17" s="69">
        <f>IFERROR(ROUND((E17-F17)/IF(F17=0,1,F17)*100,1),"")</f>
        <v/>
      </c>
      <c r="H17" s="69" t="inlineStr"/>
    </row>
    <row r="18" ht="22" customHeight="1">
      <c r="B18" s="8" t="n">
        <v>4</v>
      </c>
      <c r="C18" s="9" t="inlineStr">
        <is>
          <t>Health camps conducted</t>
        </is>
      </c>
      <c r="D18" s="10" t="inlineStr">
        <is>
          <t>No.</t>
        </is>
      </c>
      <c r="E18" s="10" t="inlineStr"/>
      <c r="F18" s="10" t="inlineStr"/>
      <c r="G18" s="10">
        <f>IFERROR(ROUND((E18-F18)/IF(F18=0,1,F18)*100,1),"")</f>
        <v/>
      </c>
      <c r="H18" s="10" t="inlineStr"/>
    </row>
    <row r="19" ht="22" customHeight="1">
      <c r="B19" s="67" t="n">
        <v>5</v>
      </c>
      <c r="C19" s="68" t="inlineStr">
        <is>
          <t>Trees planted</t>
        </is>
      </c>
      <c r="D19" s="69" t="inlineStr">
        <is>
          <t>No.</t>
        </is>
      </c>
      <c r="E19" s="69" t="inlineStr"/>
      <c r="F19" s="69" t="inlineStr"/>
      <c r="G19" s="69">
        <f>IFERROR(ROUND((E19-F19)/IF(F19=0,1,F19)*100,1),"")</f>
        <v/>
      </c>
      <c r="H19" s="69" t="inlineStr"/>
    </row>
    <row r="20" ht="22" customHeight="1">
      <c r="B20" s="8" t="n">
        <v>6</v>
      </c>
      <c r="C20" s="9" t="inlineStr">
        <is>
          <t>Awareness campaigns conducted</t>
        </is>
      </c>
      <c r="D20" s="10" t="inlineStr">
        <is>
          <t>No.</t>
        </is>
      </c>
      <c r="E20" s="10" t="inlineStr"/>
      <c r="F20" s="10" t="inlineStr"/>
      <c r="G20" s="10">
        <f>IFERROR(ROUND((E20-F20)/IF(F20=0,1,F20)*100,1),"")</f>
        <v/>
      </c>
      <c r="H20" s="10" t="inlineStr"/>
    </row>
    <row r="21" ht="22" customHeight="1"/>
    <row r="22" ht="24" customHeight="1">
      <c r="B22" s="60" t="inlineStr">
        <is>
          <t>SECTION 3 — NCC PROGRAMME</t>
        </is>
      </c>
    </row>
    <row r="23" ht="22" customHeight="1">
      <c r="B23" s="52" t="inlineStr">
        <is>
          <t>Sl.</t>
        </is>
      </c>
      <c r="C23" s="52" t="inlineStr">
        <is>
          <t>Performance Metric</t>
        </is>
      </c>
      <c r="D23" s="52" t="inlineStr">
        <is>
          <t>Unit</t>
        </is>
      </c>
      <c r="E23" s="52" t="inlineStr">
        <is>
          <t>Current A.Y.</t>
        </is>
      </c>
      <c r="F23" s="52" t="inlineStr">
        <is>
          <t>Previous A.Y.</t>
        </is>
      </c>
      <c r="G23" s="52" t="inlineStr">
        <is>
          <t>Growth %</t>
        </is>
      </c>
      <c r="H23" s="52" t="inlineStr">
        <is>
          <t>Target Next Year</t>
        </is>
      </c>
    </row>
    <row r="24" ht="22" customHeight="1">
      <c r="B24" s="53" t="n">
        <v>1</v>
      </c>
      <c r="C24" s="54" t="inlineStr">
        <is>
          <t>NCC cadets enrolled</t>
        </is>
      </c>
      <c r="D24" s="55" t="inlineStr">
        <is>
          <t>No.</t>
        </is>
      </c>
      <c r="E24" s="55" t="inlineStr"/>
      <c r="F24" s="55" t="inlineStr"/>
      <c r="G24" s="55">
        <f>IFERROR(ROUND((E24-F24)/IF(F24=0,1,F24)*100,1),"")</f>
        <v/>
      </c>
      <c r="H24" s="55" t="inlineStr"/>
    </row>
    <row r="25" ht="22" customHeight="1">
      <c r="B25" s="8" t="n">
        <v>2</v>
      </c>
      <c r="C25" s="9" t="inlineStr">
        <is>
          <t>Annual Training Camp conducted</t>
        </is>
      </c>
      <c r="D25" s="10" t="inlineStr">
        <is>
          <t>Y/N</t>
        </is>
      </c>
      <c r="E25" s="10" t="inlineStr"/>
      <c r="F25" s="10" t="inlineStr"/>
      <c r="G25" s="10">
        <f>IFERROR(ROUND((E25-F25)/IF(F25=0,1,F25)*100,1),"")</f>
        <v/>
      </c>
      <c r="H25" s="10" t="inlineStr"/>
    </row>
    <row r="26" ht="22" customHeight="1">
      <c r="B26" s="53" t="n">
        <v>3</v>
      </c>
      <c r="C26" s="54" t="inlineStr">
        <is>
          <t>Cadets with ≥75% parade attendance</t>
        </is>
      </c>
      <c r="D26" s="55" t="inlineStr">
        <is>
          <t>No. / %</t>
        </is>
      </c>
      <c r="E26" s="55" t="inlineStr"/>
      <c r="F26" s="55" t="inlineStr"/>
      <c r="G26" s="55">
        <f>IFERROR(ROUND((E26-F26)/IF(F26=0,1,F26)*100,1),"")</f>
        <v/>
      </c>
      <c r="H26" s="55" t="inlineStr"/>
    </row>
    <row r="27" ht="22" customHeight="1">
      <c r="B27" s="8" t="n">
        <v>4</v>
      </c>
      <c r="C27" s="9" t="inlineStr">
        <is>
          <t>B Certificate — appeared / passed</t>
        </is>
      </c>
      <c r="D27" s="10" t="inlineStr">
        <is>
          <t>No.</t>
        </is>
      </c>
      <c r="E27" s="10" t="inlineStr"/>
      <c r="F27" s="10" t="inlineStr"/>
      <c r="G27" s="10">
        <f>IFERROR(ROUND((E27-F27)/IF(F27=0,1,F27)*100,1),"")</f>
        <v/>
      </c>
      <c r="H27" s="10" t="inlineStr"/>
    </row>
    <row r="28" ht="22" customHeight="1">
      <c r="B28" s="53" t="n">
        <v>5</v>
      </c>
      <c r="C28" s="54" t="inlineStr">
        <is>
          <t>C Certificate — appeared / passed</t>
        </is>
      </c>
      <c r="D28" s="55" t="inlineStr">
        <is>
          <t>No.</t>
        </is>
      </c>
      <c r="E28" s="55" t="inlineStr"/>
      <c r="F28" s="55" t="inlineStr"/>
      <c r="G28" s="55">
        <f>IFERROR(ROUND((E28-F28)/IF(F28=0,1,F28)*100,1),"")</f>
        <v/>
      </c>
      <c r="H28" s="55" t="inlineStr"/>
    </row>
    <row r="29" ht="22" customHeight="1">
      <c r="B29" s="8" t="n">
        <v>6</v>
      </c>
      <c r="C29" s="9" t="inlineStr">
        <is>
          <t>Republic Day / ID Parade cadets</t>
        </is>
      </c>
      <c r="D29" s="10" t="inlineStr">
        <is>
          <t>No.</t>
        </is>
      </c>
      <c r="E29" s="10" t="inlineStr"/>
      <c r="F29" s="10" t="inlineStr"/>
      <c r="G29" s="10">
        <f>IFERROR(ROUND((E29-F29)/IF(F29=0,1,F29)*100,1),"")</f>
        <v/>
      </c>
      <c r="H29" s="10" t="inlineStr"/>
    </row>
    <row r="30" ht="22" customHeight="1"/>
    <row r="31" ht="24" customHeight="1">
      <c r="B31" s="77" t="inlineStr">
        <is>
          <t>SECTION 4 — NCC ACHIEVEMENTS</t>
        </is>
      </c>
    </row>
    <row r="32" ht="22" customHeight="1">
      <c r="B32" s="78" t="inlineStr">
        <is>
          <t>Sl.</t>
        </is>
      </c>
      <c r="C32" s="78" t="inlineStr">
        <is>
          <t>Performance Metric</t>
        </is>
      </c>
      <c r="D32" s="78" t="inlineStr">
        <is>
          <t>Unit</t>
        </is>
      </c>
      <c r="E32" s="78" t="inlineStr">
        <is>
          <t>Current A.Y.</t>
        </is>
      </c>
      <c r="F32" s="78" t="inlineStr">
        <is>
          <t>Previous A.Y.</t>
        </is>
      </c>
      <c r="G32" s="78" t="inlineStr">
        <is>
          <t>Growth %</t>
        </is>
      </c>
      <c r="H32" s="78" t="inlineStr">
        <is>
          <t>Target Next Year</t>
        </is>
      </c>
    </row>
    <row r="33" ht="22" customHeight="1">
      <c r="B33" s="79" t="n">
        <v>1</v>
      </c>
      <c r="C33" s="80" t="inlineStr">
        <is>
          <t>State / National competitions participated</t>
        </is>
      </c>
      <c r="D33" s="81" t="inlineStr">
        <is>
          <t>No.</t>
        </is>
      </c>
      <c r="E33" s="81" t="inlineStr"/>
      <c r="F33" s="81" t="inlineStr"/>
      <c r="G33" s="81">
        <f>IFERROR(ROUND((E33-F33)/IF(F33=0,1,F33)*100,1),"")</f>
        <v/>
      </c>
      <c r="H33" s="81" t="inlineStr"/>
    </row>
    <row r="34" ht="22" customHeight="1">
      <c r="B34" s="8" t="n">
        <v>2</v>
      </c>
      <c r="C34" s="9" t="inlineStr">
        <is>
          <t>Awards / positions won</t>
        </is>
      </c>
      <c r="D34" s="10" t="inlineStr">
        <is>
          <t>No.</t>
        </is>
      </c>
      <c r="E34" s="10" t="inlineStr"/>
      <c r="F34" s="10" t="inlineStr"/>
      <c r="G34" s="10">
        <f>IFERROR(ROUND((E34-F34)/IF(F34=0,1,F34)*100,1),"")</f>
        <v/>
      </c>
      <c r="H34" s="10" t="inlineStr"/>
    </row>
    <row r="35" ht="22" customHeight="1">
      <c r="B35" s="79" t="n">
        <v>3</v>
      </c>
      <c r="C35" s="80" t="inlineStr">
        <is>
          <t>Rajya Puraskar recipients</t>
        </is>
      </c>
      <c r="D35" s="81" t="inlineStr">
        <is>
          <t>No.</t>
        </is>
      </c>
      <c r="E35" s="81" t="inlineStr"/>
      <c r="F35" s="81" t="inlineStr"/>
      <c r="G35" s="81">
        <f>IFERROR(ROUND((E35-F35)/IF(F35=0,1,F35)*100,1),"")</f>
        <v/>
      </c>
      <c r="H35" s="81" t="inlineStr"/>
    </row>
    <row r="36" ht="22" customHeight="1">
      <c r="B36" s="8" t="n">
        <v>4</v>
      </c>
      <c r="C36" s="9" t="inlineStr">
        <is>
          <t>PM's Rally participants</t>
        </is>
      </c>
      <c r="D36" s="10" t="inlineStr">
        <is>
          <t>No.</t>
        </is>
      </c>
      <c r="E36" s="10" t="inlineStr"/>
      <c r="F36" s="10" t="inlineStr"/>
      <c r="G36" s="10">
        <f>IFERROR(ROUND((E36-F36)/IF(F36=0,1,F36)*100,1),"")</f>
        <v/>
      </c>
      <c r="H36" s="10" t="inlineStr"/>
    </row>
    <row r="37" ht="22" customHeight="1">
      <c r="B37" s="79" t="n">
        <v>5</v>
      </c>
      <c r="C37" s="80" t="inlineStr">
        <is>
          <t>Youth Exchange Programme participants</t>
        </is>
      </c>
      <c r="D37" s="81" t="inlineStr">
        <is>
          <t>No.</t>
        </is>
      </c>
      <c r="E37" s="81" t="inlineStr"/>
      <c r="F37" s="81" t="inlineStr"/>
      <c r="G37" s="81">
        <f>IFERROR(ROUND((E37-F37)/IF(F37=0,1,F37)*100,1),"")</f>
        <v/>
      </c>
      <c r="H37" s="81" t="inlineStr"/>
    </row>
    <row r="38" ht="22" customHeight="1">
      <c r="B38" s="8" t="n">
        <v>6</v>
      </c>
      <c r="C38" s="9" t="inlineStr">
        <is>
          <t>Best Cadet award winners</t>
        </is>
      </c>
      <c r="D38" s="10" t="inlineStr">
        <is>
          <t>No.</t>
        </is>
      </c>
      <c r="E38" s="10" t="inlineStr"/>
      <c r="F38" s="10" t="inlineStr"/>
      <c r="G38" s="10">
        <f>IFERROR(ROUND((E38-F38)/IF(F38=0,1,F38)*100,1),"")</f>
        <v/>
      </c>
      <c r="H38" s="10" t="inlineStr"/>
    </row>
    <row r="39" ht="22" customHeight="1"/>
    <row r="40" ht="24" customHeight="1">
      <c r="B40" s="34" t="inlineStr">
        <is>
          <t>SECTION 5 — JOINT ACTIVITIES &amp; COMPLIANCE</t>
        </is>
      </c>
    </row>
    <row r="41" ht="22" customHeight="1">
      <c r="B41" s="30" t="inlineStr">
        <is>
          <t>Sl.</t>
        </is>
      </c>
      <c r="C41" s="30" t="inlineStr">
        <is>
          <t>Performance Metric</t>
        </is>
      </c>
      <c r="D41" s="30" t="inlineStr">
        <is>
          <t>Unit</t>
        </is>
      </c>
      <c r="E41" s="30" t="inlineStr">
        <is>
          <t>Current A.Y.</t>
        </is>
      </c>
      <c r="F41" s="30" t="inlineStr">
        <is>
          <t>Previous A.Y.</t>
        </is>
      </c>
      <c r="G41" s="30" t="inlineStr">
        <is>
          <t>Growth %</t>
        </is>
      </c>
      <c r="H41" s="30" t="inlineStr">
        <is>
          <t>Target Next Year</t>
        </is>
      </c>
    </row>
    <row r="42" ht="22" customHeight="1">
      <c r="B42" s="31" t="n">
        <v>1</v>
      </c>
      <c r="C42" s="32" t="inlineStr">
        <is>
          <t>Joint NSS-NCC activities</t>
        </is>
      </c>
      <c r="D42" s="33" t="inlineStr">
        <is>
          <t>No.</t>
        </is>
      </c>
      <c r="E42" s="33" t="inlineStr"/>
      <c r="F42" s="33" t="inlineStr"/>
      <c r="G42" s="33">
        <f>IFERROR(ROUND((E42-F42)/IF(F42=0,1,F42)*100,1),"")</f>
        <v/>
      </c>
      <c r="H42" s="33" t="inlineStr"/>
    </row>
    <row r="43" ht="22" customHeight="1">
      <c r="B43" s="8" t="n">
        <v>2</v>
      </c>
      <c r="C43" s="9" t="inlineStr">
        <is>
          <t>Environment / plantation activities</t>
        </is>
      </c>
      <c r="D43" s="10" t="inlineStr">
        <is>
          <t>No.</t>
        </is>
      </c>
      <c r="E43" s="10" t="inlineStr"/>
      <c r="F43" s="10" t="inlineStr"/>
      <c r="G43" s="10">
        <f>IFERROR(ROUND((E43-F43)/IF(F43=0,1,F43)*100,1),"")</f>
        <v/>
      </c>
      <c r="H43" s="10" t="inlineStr"/>
    </row>
    <row r="44" ht="22" customHeight="1">
      <c r="B44" s="31" t="n">
        <v>3</v>
      </c>
      <c r="C44" s="32" t="inlineStr">
        <is>
          <t>National Day celebrations</t>
        </is>
      </c>
      <c r="D44" s="33" t="inlineStr">
        <is>
          <t>No.</t>
        </is>
      </c>
      <c r="E44" s="33" t="inlineStr"/>
      <c r="F44" s="33" t="inlineStr"/>
      <c r="G44" s="33">
        <f>IFERROR(ROUND((E44-F44)/IF(F44=0,1,F44)*100,1),"")</f>
        <v/>
      </c>
      <c r="H44" s="33" t="inlineStr"/>
    </row>
    <row r="45" ht="22" customHeight="1">
      <c r="B45" s="8" t="n">
        <v>4</v>
      </c>
      <c r="C45" s="9" t="inlineStr">
        <is>
          <t>NSS monthly reports submitted (%)</t>
        </is>
      </c>
      <c r="D45" s="10" t="inlineStr">
        <is>
          <t>% on time</t>
        </is>
      </c>
      <c r="E45" s="10" t="inlineStr"/>
      <c r="F45" s="10" t="inlineStr"/>
      <c r="G45" s="10">
        <f>IFERROR(ROUND((E45-F45)/IF(F45=0,1,F45)*100,1),"")</f>
        <v/>
      </c>
      <c r="H45" s="10" t="inlineStr"/>
    </row>
    <row r="46" ht="22" customHeight="1">
      <c r="B46" s="31" t="n">
        <v>5</v>
      </c>
      <c r="C46" s="32" t="inlineStr">
        <is>
          <t>Student satisfaction score (/5)</t>
        </is>
      </c>
      <c r="D46" s="33" t="inlineStr">
        <is>
          <t>Score</t>
        </is>
      </c>
      <c r="E46" s="33" t="inlineStr"/>
      <c r="F46" s="33" t="inlineStr"/>
      <c r="G46" s="33">
        <f>IFERROR(ROUND((E46-F46)/IF(F46=0,1,F46)*100,1),"")</f>
        <v/>
      </c>
      <c r="H46" s="33" t="inlineStr"/>
    </row>
    <row r="47" ht="22" customHeight="1">
      <c r="B47" s="8" t="n">
        <v>6</v>
      </c>
      <c r="C47" s="9" t="inlineStr">
        <is>
          <t>NAAC data submitted</t>
        </is>
      </c>
      <c r="D47" s="10" t="inlineStr">
        <is>
          <t>Y/N</t>
        </is>
      </c>
      <c r="E47" s="10" t="inlineStr"/>
      <c r="F47" s="10" t="inlineStr"/>
      <c r="G47" s="10">
        <f>IFERROR(ROUND((E47-F47)/IF(F47=0,1,F47)*100,1),"")</f>
        <v/>
      </c>
      <c r="H47" s="10" t="inlineStr"/>
    </row>
    <row r="48" ht="22" customHeight="1"/>
    <row r="49" ht="20" customHeight="1">
      <c r="B49" s="17" t="inlineStr">
        <is>
          <t>Annual Report submitted to: Management, IQAC (AQAR Criterion III.4, V.3, VII.2), NAAC SSR, NIRF (Outreach), NSS Regional Director (annual report), NCC District HQ (annual report), State Govt., Governing Body.</t>
        </is>
      </c>
    </row>
    <row r="50" ht="22" customHeight="1">
      <c r="B50" s="29" t="inlineStr">
        <is>
          <t>NSS PO: ___________________    NCC ANO: ___________________    NNCC Chairperson: ___________________    IQAC Coordinator: ___________________    Date: ___________________</t>
        </is>
      </c>
    </row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</sheetData>
  <mergeCells count="9">
    <mergeCell ref="B22:H22"/>
    <mergeCell ref="B50:H50"/>
    <mergeCell ref="B40:H40"/>
    <mergeCell ref="B13:H13"/>
    <mergeCell ref="B49:H49"/>
    <mergeCell ref="B4:H4"/>
    <mergeCell ref="B2:H2"/>
    <mergeCell ref="B3:H3"/>
    <mergeCell ref="B31:H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2026-04-25T13:31:36Z</dcterms:created>
  <dcterms:modified xmlns:dcterms="http://purl.org/dc/terms/" xmlns:xsi="http://www.w3.org/2001/XMLSchema-instance" xsi:type="dcterms:W3CDTF">2026-04-25T13:31:47Z</dcterms:modified>
</cp:coreProperties>
</file>