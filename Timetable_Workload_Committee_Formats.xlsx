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WC-00 Composition" sheetId="2" state="visible" r:id="rId2"/>
    <sheet xmlns:r="http://schemas.openxmlformats.org/officeDocument/2006/relationships" name="TWC-NA Notice &amp; Agenda" sheetId="3" state="visible" r:id="rId3"/>
    <sheet xmlns:r="http://schemas.openxmlformats.org/officeDocument/2006/relationships" name="TWC-AT Attendance" sheetId="4" state="visible" r:id="rId4"/>
    <sheet xmlns:r="http://schemas.openxmlformats.org/officeDocument/2006/relationships" name="TWC-MM Minutes" sheetId="5" state="visible" r:id="rId5"/>
    <sheet xmlns:r="http://schemas.openxmlformats.org/officeDocument/2006/relationships" name="TWC-ATR Action Report" sheetId="6" state="visible" r:id="rId6"/>
    <sheet xmlns:r="http://schemas.openxmlformats.org/officeDocument/2006/relationships" name="TWC-02 Teaching Norms" sheetId="7" state="visible" r:id="rId7"/>
    <sheet xmlns:r="http://schemas.openxmlformats.org/officeDocument/2006/relationships" name="TWC-04 Workload Assignment" sheetId="8" state="visible" r:id="rId8"/>
    <sheet xmlns:r="http://schemas.openxmlformats.org/officeDocument/2006/relationships" name="TWC-05 Dept Workload Register" sheetId="9" state="visible" r:id="rId9"/>
    <sheet xmlns:r="http://schemas.openxmlformats.org/officeDocument/2006/relationships" name="TWC-06 Institution Workload" sheetId="10" state="visible" r:id="rId10"/>
    <sheet xmlns:r="http://schemas.openxmlformats.org/officeDocument/2006/relationships" name="TWC-09 Substitute Classes" sheetId="11" state="visible" r:id="rId11"/>
    <sheet xmlns:r="http://schemas.openxmlformats.org/officeDocument/2006/relationships" name="TWC-11 Course-Faculty Alloc" sheetId="12" state="visible" r:id="rId12"/>
    <sheet xmlns:r="http://schemas.openxmlformats.org/officeDocument/2006/relationships" name="TWC-16 Room &amp; Lab Inventory" sheetId="13" state="visible" r:id="rId13"/>
    <sheet xmlns:r="http://schemas.openxmlformats.org/officeDocument/2006/relationships" name="TWC-19 Dept Timetable Grid" sheetId="14" state="visible" r:id="rId14"/>
    <sheet xmlns:r="http://schemas.openxmlformats.org/officeDocument/2006/relationships" name="TWC-20 Conflict Register" sheetId="15" state="visible" r:id="rId15"/>
    <sheet xmlns:r="http://schemas.openxmlformats.org/officeDocument/2006/relationships" name="TWC-22 Timetable Revision" sheetId="16" state="visible" r:id="rId16"/>
    <sheet xmlns:r="http://schemas.openxmlformats.org/officeDocument/2006/relationships" name="TWC-28 Lecture Completion" sheetId="17" state="visible" r:id="rId17"/>
    <sheet xmlns:r="http://schemas.openxmlformats.org/officeDocument/2006/relationships" name="TWC-29-30 Feedback Surveys" sheetId="18" state="visible" r:id="rId18"/>
    <sheet xmlns:r="http://schemas.openxmlformats.org/officeDocument/2006/relationships" name="TWC-31 KPI Dashboard" sheetId="19" state="visible" r:id="rId19"/>
    <sheet xmlns:r="http://schemas.openxmlformats.org/officeDocument/2006/relationships" name="TWC-32 Semester Repor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6B1F1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6B1F1F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0F172A"/>
      <sz val="9"/>
    </font>
    <font>
      <name val="Arial"/>
      <b val="1"/>
      <color rgb="001A0A0A"/>
      <sz val="10"/>
    </font>
    <font>
      <name val="Arial"/>
      <b val="1"/>
      <color rgb="003F2000"/>
      <sz val="10"/>
    </font>
  </fonts>
  <fills count="20">
    <fill>
      <patternFill/>
    </fill>
    <fill>
      <patternFill patternType="gray125"/>
    </fill>
    <fill>
      <patternFill patternType="solid">
        <fgColor rgb="001A0A0A"/>
      </patternFill>
    </fill>
    <fill>
      <patternFill patternType="solid">
        <fgColor rgb="00FEE2E2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6B1F1F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92400E"/>
      </patternFill>
    </fill>
    <fill>
      <patternFill patternType="solid">
        <fgColor rgb="007C3AED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14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15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3" fillId="3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TIMETABLE &amp; WORKLOAD COMMITTEE (TWC)
Data Collection Formats — Master Workbook</t>
        </is>
      </c>
    </row>
    <row r="3" ht="28" customHeight="1">
      <c r="B3" s="2" t="inlineStr">
        <is>
          <t>Institution: _________________________  TWC Coordinator: _____________  A.Y.: _______  Semester: _______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TWC-00</t>
        </is>
      </c>
      <c r="C6" s="6" t="inlineStr">
        <is>
          <t>Committee Composition &amp; Members Register</t>
        </is>
      </c>
      <c r="D6" s="6" t="inlineStr">
        <is>
          <t>Record TWC members, HoDs &amp; student reps</t>
        </is>
      </c>
      <c r="E6" s="7" t="inlineStr">
        <is>
          <t>Annual</t>
        </is>
      </c>
    </row>
    <row r="7" ht="20" customHeight="1">
      <c r="B7" s="8" t="inlineStr">
        <is>
          <t>TWC-NA</t>
        </is>
      </c>
      <c r="C7" s="9" t="inlineStr">
        <is>
          <t>Meeting Notice, Agenda &amp; Dispatch Record</t>
        </is>
      </c>
      <c r="D7" s="9" t="inlineStr">
        <is>
          <t>Formal notice and agenda for TWC meetings</t>
        </is>
      </c>
      <c r="E7" s="10" t="inlineStr">
        <is>
          <t>Each Meeting</t>
        </is>
      </c>
    </row>
    <row r="8" ht="20" customHeight="1">
      <c r="B8" s="5" t="inlineStr">
        <is>
          <t>TWC-AT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TWC-MM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TWC-ATR</t>
        </is>
      </c>
      <c r="C10" s="6" t="inlineStr">
        <is>
          <t>Action Taken Report</t>
        </is>
      </c>
      <c r="D10" s="6" t="inlineStr">
        <is>
          <t>Track implementation of TWC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NORMS ──</t>
        </is>
      </c>
    </row>
    <row r="12" ht="20" customHeight="1">
      <c r="B12" s="5" t="inlineStr">
        <is>
          <t>TWC-01</t>
        </is>
      </c>
      <c r="C12" s="6" t="inlineStr">
        <is>
          <t>Timetable &amp; Workload Policy Document</t>
        </is>
      </c>
      <c r="D12" s="6" t="inlineStr">
        <is>
          <t>Define timetable rules, workload norms &amp; credit system</t>
        </is>
      </c>
      <c r="E12" s="7" t="inlineStr">
        <is>
          <t>Annual</t>
        </is>
      </c>
    </row>
    <row r="13" ht="20" customHeight="1">
      <c r="B13" s="8" t="inlineStr">
        <is>
          <t>TWC-02</t>
        </is>
      </c>
      <c r="C13" s="9" t="inlineStr">
        <is>
          <t>Teaching Hours Norms Register</t>
        </is>
      </c>
      <c r="D13" s="9" t="inlineStr">
        <is>
          <t>Document UGC/AICTE/university norms for teaching load</t>
        </is>
      </c>
      <c r="E13" s="10" t="inlineStr">
        <is>
          <t>Annual</t>
        </is>
      </c>
    </row>
    <row r="14" ht="20" customHeight="1">
      <c r="B14" s="5" t="inlineStr">
        <is>
          <t>TWC-03</t>
        </is>
      </c>
      <c r="C14" s="6" t="inlineStr">
        <is>
          <t>Academic Calendar Register</t>
        </is>
      </c>
      <c r="D14" s="6" t="inlineStr">
        <is>
          <t>Map all teaching weeks, exams, holidays &amp; events</t>
        </is>
      </c>
      <c r="E14" s="7" t="inlineStr">
        <is>
          <t>Each Semester</t>
        </is>
      </c>
    </row>
    <row r="15" ht="20" customHeight="1">
      <c r="B15" s="4" t="inlineStr">
        <is>
          <t>── FACULTY WORKLOAD ──</t>
        </is>
      </c>
    </row>
    <row r="16" ht="20" customHeight="1">
      <c r="B16" s="5" t="inlineStr">
        <is>
          <t>TWC-04</t>
        </is>
      </c>
      <c r="C16" s="6" t="inlineStr">
        <is>
          <t>Faculty Workload Assignment Form</t>
        </is>
      </c>
      <c r="D16" s="6" t="inlineStr">
        <is>
          <t>Assign theory, practical, tutorial &amp; other duties</t>
        </is>
      </c>
      <c r="E16" s="7" t="inlineStr">
        <is>
          <t>Each Semester</t>
        </is>
      </c>
    </row>
    <row r="17" ht="20" customHeight="1">
      <c r="B17" s="8" t="inlineStr">
        <is>
          <t>TWC-05</t>
        </is>
      </c>
      <c r="C17" s="9" t="inlineStr">
        <is>
          <t>Faculty Workload Register — Department-wise</t>
        </is>
      </c>
      <c r="D17" s="9" t="inlineStr">
        <is>
          <t>Consolidated dept. workload for all faculty</t>
        </is>
      </c>
      <c r="E17" s="10" t="inlineStr">
        <is>
          <t>Each Semester</t>
        </is>
      </c>
    </row>
    <row r="18" ht="20" customHeight="1">
      <c r="B18" s="5" t="inlineStr">
        <is>
          <t>TWC-06</t>
        </is>
      </c>
      <c r="C18" s="6" t="inlineStr">
        <is>
          <t>Faculty Workload Summary &amp; Compliance Register</t>
        </is>
      </c>
      <c r="D18" s="6" t="inlineStr">
        <is>
          <t>Verify workload compliance vs. norms for each faculty</t>
        </is>
      </c>
      <c r="E18" s="7" t="inlineStr">
        <is>
          <t>Each Semester</t>
        </is>
      </c>
    </row>
    <row r="19" ht="20" customHeight="1">
      <c r="B19" s="8" t="inlineStr">
        <is>
          <t>TWC-07</t>
        </is>
      </c>
      <c r="C19" s="9" t="inlineStr">
        <is>
          <t>Excess / Deficit Workload Register</t>
        </is>
      </c>
      <c r="D19" s="9" t="inlineStr">
        <is>
          <t>Track faculty with excess or deficit teaching load</t>
        </is>
      </c>
      <c r="E19" s="10" t="inlineStr">
        <is>
          <t>Each Semester</t>
        </is>
      </c>
    </row>
    <row r="20" ht="20" customHeight="1">
      <c r="B20" s="5" t="inlineStr">
        <is>
          <t>TWC-08</t>
        </is>
      </c>
      <c r="C20" s="6" t="inlineStr">
        <is>
          <t>Workload Adjustment &amp; Redistribution Register</t>
        </is>
      </c>
      <c r="D20" s="6" t="inlineStr">
        <is>
          <t>Document workload rebalancing decisions</t>
        </is>
      </c>
      <c r="E20" s="7" t="inlineStr">
        <is>
          <t>Per Revision</t>
        </is>
      </c>
    </row>
    <row r="21" ht="20" customHeight="1">
      <c r="B21" s="8" t="inlineStr">
        <is>
          <t>TWC-09</t>
        </is>
      </c>
      <c r="C21" s="9" t="inlineStr">
        <is>
          <t>Substitute / Relief Class Register</t>
        </is>
      </c>
      <c r="D21" s="9" t="inlineStr">
        <is>
          <t>Track substitute classes arranged for absent faculty</t>
        </is>
      </c>
      <c r="E21" s="10" t="inlineStr">
        <is>
          <t>Continuous</t>
        </is>
      </c>
    </row>
    <row r="22" ht="20" customHeight="1">
      <c r="B22" s="5" t="inlineStr">
        <is>
          <t>TWC-10</t>
        </is>
      </c>
      <c r="C22" s="6" t="inlineStr">
        <is>
          <t>Guest / Visiting Faculty Engagement Register</t>
        </is>
      </c>
      <c r="D22" s="6" t="inlineStr">
        <is>
          <t>Track guest / visiting faculty assigned for shortfall</t>
        </is>
      </c>
      <c r="E22" s="7" t="inlineStr">
        <is>
          <t>Per Engagement</t>
        </is>
      </c>
    </row>
    <row r="23" ht="20" customHeight="1">
      <c r="B23" s="4" t="inlineStr">
        <is>
          <t>── COURSE ALLOCATION ──</t>
        </is>
      </c>
    </row>
    <row r="24" ht="20" customHeight="1">
      <c r="B24" s="5" t="inlineStr">
        <is>
          <t>TWC-11</t>
        </is>
      </c>
      <c r="C24" s="6" t="inlineStr">
        <is>
          <t>Course–Faculty Allocation Register</t>
        </is>
      </c>
      <c r="D24" s="6" t="inlineStr">
        <is>
          <t>Map each course to the assigned faculty for the semester</t>
        </is>
      </c>
      <c r="E24" s="7" t="inlineStr">
        <is>
          <t>Each Semester</t>
        </is>
      </c>
    </row>
    <row r="25" ht="20" customHeight="1">
      <c r="B25" s="8" t="inlineStr">
        <is>
          <t>TWC-12</t>
        </is>
      </c>
      <c r="C25" s="9" t="inlineStr">
        <is>
          <t>Theory Course Allocation Register</t>
        </is>
      </c>
      <c r="D25" s="9" t="inlineStr">
        <is>
          <t>Detail theory course assignments with credits and sections</t>
        </is>
      </c>
      <c r="E25" s="10" t="inlineStr">
        <is>
          <t>Each Semester</t>
        </is>
      </c>
    </row>
    <row r="26" ht="20" customHeight="1">
      <c r="B26" s="5" t="inlineStr">
        <is>
          <t>TWC-13</t>
        </is>
      </c>
      <c r="C26" s="6" t="inlineStr">
        <is>
          <t>Practical / Lab Course Allocation Register</t>
        </is>
      </c>
      <c r="D26" s="6" t="inlineStr">
        <is>
          <t>Detail lab and practical assignment with batch details</t>
        </is>
      </c>
      <c r="E26" s="7" t="inlineStr">
        <is>
          <t>Each Semester</t>
        </is>
      </c>
    </row>
    <row r="27" ht="20" customHeight="1">
      <c r="B27" s="8" t="inlineStr">
        <is>
          <t>TWC-14</t>
        </is>
      </c>
      <c r="C27" s="9" t="inlineStr">
        <is>
          <t>Tutorial / Extra Class Allocation Register</t>
        </is>
      </c>
      <c r="D27" s="9" t="inlineStr">
        <is>
          <t>Assign and track tutorial and extra coaching sessions</t>
        </is>
      </c>
      <c r="E27" s="10" t="inlineStr">
        <is>
          <t>Each Semester</t>
        </is>
      </c>
    </row>
    <row r="28" ht="20" customHeight="1">
      <c r="B28" s="5" t="inlineStr">
        <is>
          <t>TWC-15</t>
        </is>
      </c>
      <c r="C28" s="6" t="inlineStr">
        <is>
          <t>New Course / Elective Introduction Register</t>
        </is>
      </c>
      <c r="D28" s="6" t="inlineStr">
        <is>
          <t>Document new course proposals and faculty assignments</t>
        </is>
      </c>
      <c r="E28" s="7" t="inlineStr">
        <is>
          <t>As Required</t>
        </is>
      </c>
    </row>
    <row r="29" ht="20" customHeight="1">
      <c r="B29" s="4" t="inlineStr">
        <is>
          <t>── TIMETABLE PREPARATION ──</t>
        </is>
      </c>
    </row>
    <row r="30" ht="20" customHeight="1">
      <c r="B30" s="5" t="inlineStr">
        <is>
          <t>TWC-16</t>
        </is>
      </c>
      <c r="C30" s="6" t="inlineStr">
        <is>
          <t>Classroom &amp; Lab Resource Inventory</t>
        </is>
      </c>
      <c r="D30" s="6" t="inlineStr">
        <is>
          <t>Inventory rooms, labs, capacities and AV resources</t>
        </is>
      </c>
      <c r="E30" s="7" t="inlineStr">
        <is>
          <t>Annual / Per Semester</t>
        </is>
      </c>
    </row>
    <row r="31" ht="20" customHeight="1">
      <c r="B31" s="8" t="inlineStr">
        <is>
          <t>TWC-17</t>
        </is>
      </c>
      <c r="C31" s="9" t="inlineStr">
        <is>
          <t>Room Allocation Register</t>
        </is>
      </c>
      <c r="D31" s="9" t="inlineStr">
        <is>
          <t>Allocate classrooms and labs to sections and courses</t>
        </is>
      </c>
      <c r="E31" s="10" t="inlineStr">
        <is>
          <t>Each Semester</t>
        </is>
      </c>
    </row>
    <row r="32" ht="20" customHeight="1">
      <c r="B32" s="5" t="inlineStr">
        <is>
          <t>TWC-18</t>
        </is>
      </c>
      <c r="C32" s="6" t="inlineStr">
        <is>
          <t>Master Timetable Preparation Checklist</t>
        </is>
      </c>
      <c r="D32" s="6" t="inlineStr">
        <is>
          <t>Step-by-step checklist for preparing the master timetable</t>
        </is>
      </c>
      <c r="E32" s="7" t="inlineStr">
        <is>
          <t>Each Semester</t>
        </is>
      </c>
    </row>
    <row r="33" ht="20" customHeight="1">
      <c r="B33" s="8" t="inlineStr">
        <is>
          <t>TWC-19</t>
        </is>
      </c>
      <c r="C33" s="9" t="inlineStr">
        <is>
          <t>Department-wise Timetable Register</t>
        </is>
      </c>
      <c r="D33" s="9" t="inlineStr">
        <is>
          <t>Timetable grid for each department and section</t>
        </is>
      </c>
      <c r="E33" s="10" t="inlineStr">
        <is>
          <t>Each Semester</t>
        </is>
      </c>
    </row>
    <row r="34" ht="20" customHeight="1">
      <c r="B34" s="5" t="inlineStr">
        <is>
          <t>TWC-20</t>
        </is>
      </c>
      <c r="C34" s="6" t="inlineStr">
        <is>
          <t>Time Slot Conflict Detection Register</t>
        </is>
      </c>
      <c r="D34" s="6" t="inlineStr">
        <is>
          <t>Identify and resolve timetable clashes before publishing</t>
        </is>
      </c>
      <c r="E34" s="7" t="inlineStr">
        <is>
          <t>Pre-Semester</t>
        </is>
      </c>
    </row>
    <row r="35" ht="20" customHeight="1">
      <c r="B35" s="8" t="inlineStr">
        <is>
          <t>TWC-21</t>
        </is>
      </c>
      <c r="C35" s="9" t="inlineStr">
        <is>
          <t>Timetable Approval &amp; Publication Register</t>
        </is>
      </c>
      <c r="D35" s="9" t="inlineStr">
        <is>
          <t>Track approval and official publication of timetable</t>
        </is>
      </c>
      <c r="E35" s="10" t="inlineStr">
        <is>
          <t>Each Semester</t>
        </is>
      </c>
    </row>
    <row r="36" ht="20" customHeight="1">
      <c r="B36" s="5" t="inlineStr">
        <is>
          <t>TWC-22</t>
        </is>
      </c>
      <c r="C36" s="6" t="inlineStr">
        <is>
          <t>Timetable Revision Register</t>
        </is>
      </c>
      <c r="D36" s="6" t="inlineStr">
        <is>
          <t>Track mid-semester changes with reasons and approvals</t>
        </is>
      </c>
      <c r="E36" s="7" t="inlineStr">
        <is>
          <t>Per Revision</t>
        </is>
      </c>
    </row>
    <row r="37" ht="20" customHeight="1">
      <c r="B37" s="4" t="inlineStr">
        <is>
          <t>── STUDENT COURSE LOAD ──</t>
        </is>
      </c>
    </row>
    <row r="38" ht="20" customHeight="1">
      <c r="B38" s="5" t="inlineStr">
        <is>
          <t>TWC-23</t>
        </is>
      </c>
      <c r="C38" s="6" t="inlineStr">
        <is>
          <t>Student Course Registration Register</t>
        </is>
      </c>
      <c r="D38" s="6" t="inlineStr">
        <is>
          <t>Track courses registered per student per semester</t>
        </is>
      </c>
      <c r="E38" s="7" t="inlineStr">
        <is>
          <t>Each Semester</t>
        </is>
      </c>
    </row>
    <row r="39" ht="20" customHeight="1">
      <c r="B39" s="8" t="inlineStr">
        <is>
          <t>TWC-24</t>
        </is>
      </c>
      <c r="C39" s="9" t="inlineStr">
        <is>
          <t>Student Academic Load Analysis</t>
        </is>
      </c>
      <c r="D39" s="9" t="inlineStr">
        <is>
          <t>Analyse credit load, contact hours and balance per student</t>
        </is>
      </c>
      <c r="E39" s="10" t="inlineStr">
        <is>
          <t>Each Semester</t>
        </is>
      </c>
    </row>
    <row r="40" ht="20" customHeight="1">
      <c r="B40" s="5" t="inlineStr">
        <is>
          <t>TWC-25</t>
        </is>
      </c>
      <c r="C40" s="6" t="inlineStr">
        <is>
          <t>Elective Course Demand Register</t>
        </is>
      </c>
      <c r="D40" s="6" t="inlineStr">
        <is>
          <t>Track student preferences and demand for elective courses</t>
        </is>
      </c>
      <c r="E40" s="7" t="inlineStr">
        <is>
          <t>Each Semester</t>
        </is>
      </c>
    </row>
    <row r="41" ht="20" customHeight="1">
      <c r="B41" s="4" t="inlineStr">
        <is>
          <t>── ATTENDANCE MONITORING SUPPORT ──</t>
        </is>
      </c>
    </row>
    <row r="42" ht="20" customHeight="1">
      <c r="B42" s="5" t="inlineStr">
        <is>
          <t>TWC-26</t>
        </is>
      </c>
      <c r="C42" s="6" t="inlineStr">
        <is>
          <t>Teaching Day / Contact Hour Tracker</t>
        </is>
      </c>
      <c r="D42" s="6" t="inlineStr">
        <is>
          <t>Track actual teaching days vs. academic calendar plan</t>
        </is>
      </c>
      <c r="E42" s="7" t="inlineStr">
        <is>
          <t>Each Week</t>
        </is>
      </c>
    </row>
    <row r="43" ht="20" customHeight="1">
      <c r="B43" s="8" t="inlineStr">
        <is>
          <t>TWC-27</t>
        </is>
      </c>
      <c r="C43" s="9" t="inlineStr">
        <is>
          <t>Make-up Class / Compensatory Class Register</t>
        </is>
      </c>
      <c r="D43" s="9" t="inlineStr">
        <is>
          <t>Track extra classes to compensate for lost teaching days</t>
        </is>
      </c>
      <c r="E43" s="10" t="inlineStr">
        <is>
          <t>Per Event</t>
        </is>
      </c>
    </row>
    <row r="44" ht="20" customHeight="1">
      <c r="B44" s="5" t="inlineStr">
        <is>
          <t>TWC-28</t>
        </is>
      </c>
      <c r="C44" s="6" t="inlineStr">
        <is>
          <t>Faculty Lecture Completion Tracker</t>
        </is>
      </c>
      <c r="D44" s="6" t="inlineStr">
        <is>
          <t>Track % of syllabus covered per course per faculty</t>
        </is>
      </c>
      <c r="E44" s="7" t="inlineStr">
        <is>
          <t>Monthly / End of Sem</t>
        </is>
      </c>
    </row>
    <row r="45" ht="20" customHeight="1">
      <c r="B45" s="4" t="inlineStr">
        <is>
          <t>── QUALITY &amp; FEEDBACK ──</t>
        </is>
      </c>
    </row>
    <row r="46" ht="20" customHeight="1">
      <c r="B46" s="5" t="inlineStr">
        <is>
          <t>TWC-29</t>
        </is>
      </c>
      <c r="C46" s="6" t="inlineStr">
        <is>
          <t>Faculty Timetable &amp; Workload Feedback Survey</t>
        </is>
      </c>
      <c r="D46" s="6" t="inlineStr">
        <is>
          <t>Annual faculty feedback on timetable quality and workload</t>
        </is>
      </c>
      <c r="E46" s="7" t="inlineStr">
        <is>
          <t>Each Semester</t>
        </is>
      </c>
    </row>
    <row r="47" ht="20" customHeight="1">
      <c r="B47" s="8" t="inlineStr">
        <is>
          <t>TWC-30</t>
        </is>
      </c>
      <c r="C47" s="9" t="inlineStr">
        <is>
          <t>Student Timetable Satisfaction Survey</t>
        </is>
      </c>
      <c r="D47" s="9" t="inlineStr">
        <is>
          <t>Student feedback on timetable structure and free periods</t>
        </is>
      </c>
      <c r="E47" s="10" t="inlineStr">
        <is>
          <t>Each Semester</t>
        </is>
      </c>
    </row>
    <row r="48" ht="20" customHeight="1">
      <c r="B48" s="4" t="inlineStr">
        <is>
          <t>── MONITORING &amp; REPORTING ──</t>
        </is>
      </c>
    </row>
    <row r="49" ht="20" customHeight="1">
      <c r="B49" s="8" t="inlineStr">
        <is>
          <t>TWC-31</t>
        </is>
      </c>
      <c r="C49" s="9" t="inlineStr">
        <is>
          <t>TWC KPI Dashboard</t>
        </is>
      </c>
      <c r="D49" s="9" t="inlineStr">
        <is>
          <t>Track all timetable and workload KPIs</t>
        </is>
      </c>
      <c r="E49" s="10" t="inlineStr">
        <is>
          <t>Monthly / Semester</t>
        </is>
      </c>
    </row>
    <row r="50" ht="20" customHeight="1">
      <c r="B50" s="5" t="inlineStr">
        <is>
          <t>TWC-32</t>
        </is>
      </c>
      <c r="C50" s="6" t="inlineStr">
        <is>
          <t>TWC Semester / Annual Report Compilation Form</t>
        </is>
      </c>
      <c r="D50" s="6" t="inlineStr">
        <is>
          <t>End-of-semester report for management, NAAC, NBA</t>
        </is>
      </c>
      <c r="E50" s="7" t="inlineStr">
        <is>
          <t>Each Semester</t>
        </is>
      </c>
    </row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104">
      <c r="B104" s="11" t="inlineStr">
        <is>
          <t>• TWC = Timetable &amp; Workload Committee — responsible for equitable workload distribution and timetable preparation.</t>
        </is>
      </c>
    </row>
    <row r="105">
      <c r="B105" s="11" t="inlineStr">
        <is>
          <t>• UGC/AICTE norm: Faculty teaching load = 16 contact hours/week (Professor: 14, Associate Prof: 16, Asst. Prof: 16).</t>
        </is>
      </c>
    </row>
    <row r="106">
      <c r="B106" s="11" t="inlineStr">
        <is>
          <t>• AICTE: Max. 5 theory courses per faculty per semester; practical/lab counted separately at 0.5x credit.</t>
        </is>
      </c>
    </row>
    <row r="107">
      <c r="B107" s="11" t="inlineStr">
        <is>
          <t>• Timetable must be published minimum 7 days before semester commencement — students and faculty must receive it.</t>
        </is>
      </c>
    </row>
    <row r="108">
      <c r="B108" s="11" t="inlineStr">
        <is>
          <t>• Workload must be equitably distributed — no faculty to have &gt; 20 hours/week without TWC/Principal approval.</t>
        </is>
      </c>
    </row>
    <row r="109">
      <c r="B109" s="11" t="inlineStr">
        <is>
          <t>• TWC data feeds into: NAAC AQAR Criterion II.1 (Curriculum), II.2 (Teaching-Learning), II.3 (Evaluation).</t>
        </is>
      </c>
    </row>
    <row r="110">
      <c r="B110" s="11" t="inlineStr">
        <is>
          <t>• NBA Criterion 2 requires teaching load compliance documentation — maintain semester-wise workload registers.</t>
        </is>
      </c>
    </row>
    <row r="111">
      <c r="B111" s="11" t="inlineStr">
        <is>
          <t>• All timetable changes (mid-semester revisions) must be approved by TWC Chairperson before implementation.</t>
        </is>
      </c>
    </row>
    <row r="112">
      <c r="B112" s="11" t="inlineStr">
        <is>
          <t>• Substitute / relief class data to be forwarded to CoE for attendance records and compensation tracking.</t>
        </is>
      </c>
    </row>
    <row r="113">
      <c r="B113" s="11" t="inlineStr">
        <is>
          <t>• Lecture completion tracking (% syllabus covered) is mandatory evidence for NAAC Criterion II.3.</t>
        </is>
      </c>
    </row>
  </sheetData>
  <mergeCells count="21">
    <mergeCell ref="B108:E108"/>
    <mergeCell ref="B15:E15"/>
    <mergeCell ref="B104:E104"/>
    <mergeCell ref="B5:E5"/>
    <mergeCell ref="B45:E45"/>
    <mergeCell ref="B110:E110"/>
    <mergeCell ref="B41:E41"/>
    <mergeCell ref="B106:E106"/>
    <mergeCell ref="B113:E113"/>
    <mergeCell ref="B109:E109"/>
    <mergeCell ref="B3:E3"/>
    <mergeCell ref="B105:E105"/>
    <mergeCell ref="B48:E48"/>
    <mergeCell ref="B11:E11"/>
    <mergeCell ref="B2:E2"/>
    <mergeCell ref="B111:E111"/>
    <mergeCell ref="B107:E107"/>
    <mergeCell ref="B23:E23"/>
    <mergeCell ref="B29:E29"/>
    <mergeCell ref="B112:E112"/>
    <mergeCell ref="B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TWC-00: TIMETABLE &amp; WORKLOAD COMMITTEE — COMPOSITION REGISTER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TWC</t>
        </is>
      </c>
      <c r="F4" s="13" t="inlineStr">
        <is>
          <t>Department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Dean Academics</t>
        </is>
      </c>
      <c r="E5" s="14" t="inlineStr">
        <is>
          <t>Chairperson</t>
        </is>
      </c>
      <c r="F5" s="16" t="inlineStr">
        <is>
          <t>TWC Leadership &amp; Approval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Senior Faculty / Academic Coordinator</t>
        </is>
      </c>
      <c r="E6" s="8" t="inlineStr">
        <is>
          <t>TWC Coordinator</t>
        </is>
      </c>
      <c r="F6" s="10" t="inlineStr">
        <is>
          <t>Overall Timetable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Head, Dept. of Computer Science</t>
        </is>
      </c>
      <c r="E7" s="14" t="inlineStr">
        <is>
          <t>HoD — CSE</t>
        </is>
      </c>
      <c r="F7" s="16" t="inlineStr">
        <is>
          <t>CSE Timetable &amp; Workload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Head, Dept. of Electronics</t>
        </is>
      </c>
      <c r="E8" s="8" t="inlineStr">
        <is>
          <t>HoD — ECE</t>
        </is>
      </c>
      <c r="F8" s="10" t="inlineStr">
        <is>
          <t>ECE Timetable &amp; Workload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Head, Dept. of Electrical Engineering</t>
        </is>
      </c>
      <c r="E9" s="14" t="inlineStr">
        <is>
          <t>HoD — EEE</t>
        </is>
      </c>
      <c r="F9" s="16" t="inlineStr">
        <is>
          <t>EEE Timetable &amp; Workload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Head, Dept. of Mechanical Engineering</t>
        </is>
      </c>
      <c r="E10" s="8" t="inlineStr">
        <is>
          <t>HoD — Mechanical</t>
        </is>
      </c>
      <c r="F10" s="10" t="inlineStr">
        <is>
          <t>Mech. Timetable &amp; Workload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Head, Dept. of Civil Engineering</t>
        </is>
      </c>
      <c r="E11" s="14" t="inlineStr">
        <is>
          <t>HoD — Civil</t>
        </is>
      </c>
      <c r="F11" s="16" t="inlineStr">
        <is>
          <t>Civil Timetable &amp; Workload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Head, Sciences &amp; Humanities</t>
        </is>
      </c>
      <c r="E12" s="8" t="inlineStr">
        <is>
          <t>HoD — S&amp;H</t>
        </is>
      </c>
      <c r="F12" s="10" t="inlineStr">
        <is>
          <t>S&amp;H Workload (Service Courses)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Head, Dept. of Management Studies</t>
        </is>
      </c>
      <c r="E13" s="14" t="inlineStr">
        <is>
          <t>HoD — MBA</t>
        </is>
      </c>
      <c r="F13" s="16" t="inlineStr">
        <is>
          <t>MBA Timetable &amp; Workload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Head, Dept. of Computer Applications</t>
        </is>
      </c>
      <c r="E14" s="8" t="inlineStr">
        <is>
          <t>HoD — MCA</t>
        </is>
      </c>
      <c r="F14" s="10" t="inlineStr">
        <is>
          <t>MCA Timetable &amp; Workload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Senior Faculty Member (Elected)</t>
        </is>
      </c>
      <c r="E15" s="14" t="inlineStr">
        <is>
          <t>Faculty Rep — Senior</t>
        </is>
      </c>
      <c r="F15" s="16" t="inlineStr">
        <is>
          <t>Faculty Workload Concerns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Controller of Examinations / Registrar</t>
        </is>
      </c>
      <c r="E16" s="8" t="inlineStr">
        <is>
          <t>CoE / Registrar</t>
        </is>
      </c>
      <c r="F16" s="10" t="inlineStr">
        <is>
          <t>Exam Schedule Coordination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ERP System Admin / IT In-charge</t>
        </is>
      </c>
      <c r="E17" s="14" t="inlineStr">
        <is>
          <t>IT / ERP Coordinator</t>
        </is>
      </c>
      <c r="F17" s="16" t="inlineStr">
        <is>
          <t>Timetable Software &amp; Upload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Student Council — Academic Secretary</t>
        </is>
      </c>
      <c r="E18" s="8" t="inlineStr">
        <is>
          <t>Student Rep</t>
        </is>
      </c>
      <c r="F18" s="10" t="inlineStr">
        <is>
          <t>Student Schedule Feedback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IQAC In-charge</t>
        </is>
      </c>
      <c r="E19" s="14" t="inlineStr">
        <is>
          <t>IQAC Coordinator (Ex-off.)</t>
        </is>
      </c>
      <c r="F19" s="16" t="inlineStr">
        <is>
          <t>Quality &amp; Accreditation</t>
        </is>
      </c>
      <c r="G19" s="15" t="inlineStr"/>
      <c r="H19" s="16" t="inlineStr"/>
      <c r="I19" s="16" t="inlineStr"/>
    </row>
    <row r="20" ht="22" customHeight="1"/>
    <row r="21" ht="20" customHeight="1">
      <c r="B21" s="17" t="inlineStr">
        <is>
          <t>TWC meets before each semester (for planning) and mid-semester (for review). All HoDs are core members — their department workload data feeds into TWC. Student rep raises timetable concerns.</t>
        </is>
      </c>
    </row>
    <row r="22" ht="22" customHeight="1"/>
    <row r="23" ht="22" customHeight="1"/>
    <row r="24" ht="22" customHeight="1"/>
    <row r="25" ht="22" customHeight="1"/>
  </sheetData>
  <mergeCells count="3">
    <mergeCell ref="B3:I3"/>
    <mergeCell ref="B21:I21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TIMETABLE &amp; WORKLOAD COMMITTEE: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 / Semester: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TWC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Academic calendar — teaching weeks, exam dates, holidays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Course allocation — department-wise distribution of courses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Faculty workload assignment — review of each department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Workload compliance check — UGC/AICTE norms verification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Excess / deficit workload — resolution plan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Guest / visiting faculty engagement — shortfall coverage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Classroom and lab resource allocation — room assignments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Master timetable preparation — status and clashes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Department timetables — HoD submissions and review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Time slot conflict resolution — pending conflicts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Student course registration — oversubscribed electives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Substitute class data — review of last period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Make-up / compensatory class schedule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Syllabus coverage tracking — faculty-wise update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Mid-semester timetable revisions — approvals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Faculty and student feedback on timetable — highlights</t>
        </is>
      </c>
      <c r="D30" s="10" t="inlineStr"/>
      <c r="E30" s="10" t="inlineStr"/>
    </row>
    <row r="31" ht="24" customHeight="1">
      <c r="B31" s="14" t="n">
        <v>19</v>
      </c>
      <c r="C31" s="15" t="inlineStr">
        <is>
          <t>NAAC / NBA workload data — compilation status</t>
        </is>
      </c>
      <c r="D31" s="16" t="inlineStr"/>
      <c r="E31" s="16" t="inlineStr"/>
    </row>
    <row r="32" ht="24" customHeight="1">
      <c r="B32" s="8" t="n">
        <v>20</v>
      </c>
      <c r="C32" s="9" t="inlineStr">
        <is>
          <t>Any Other Matter with Permission of Chairperson (AOMPC)</t>
        </is>
      </c>
      <c r="D32" s="10" t="inlineStr"/>
      <c r="E32" s="10" t="inlineStr"/>
    </row>
    <row r="33" ht="24" customHeight="1"/>
    <row r="34" ht="24" customHeight="1">
      <c r="B34" s="20" t="inlineStr">
        <is>
          <t>DISPATCH RECORD</t>
        </is>
      </c>
    </row>
    <row r="35" ht="24" customHeight="1">
      <c r="B35" s="21" t="inlineStr">
        <is>
          <t>Sl.</t>
        </is>
      </c>
      <c r="C35" s="21" t="inlineStr">
        <is>
          <t>Member Name &amp; Role</t>
        </is>
      </c>
      <c r="D35" s="21" t="inlineStr">
        <is>
          <t>Mode</t>
        </is>
      </c>
      <c r="E35" s="21" t="inlineStr">
        <is>
          <t>Date &amp; Acknowledgement</t>
        </is>
      </c>
    </row>
    <row r="36" ht="22" customHeight="1">
      <c r="B36" s="22" t="n"/>
      <c r="C36" s="22" t="n"/>
      <c r="D36" s="22" t="n"/>
      <c r="E36" s="22" t="n"/>
    </row>
    <row r="37" ht="22" customHeight="1">
      <c r="B37" s="10" t="n"/>
      <c r="C37" s="10" t="n"/>
      <c r="D37" s="10" t="n"/>
      <c r="E37" s="10" t="n"/>
    </row>
    <row r="38" ht="22" customHeight="1">
      <c r="B38" s="22" t="n"/>
      <c r="C38" s="22" t="n"/>
      <c r="D38" s="22" t="n"/>
      <c r="E38" s="22" t="n"/>
    </row>
    <row r="39" ht="22" customHeight="1">
      <c r="B39" s="10" t="n"/>
      <c r="C39" s="10" t="n"/>
      <c r="D39" s="10" t="n"/>
      <c r="E39" s="10" t="n"/>
    </row>
  </sheetData>
  <mergeCells count="11">
    <mergeCell ref="C5:E5"/>
    <mergeCell ref="C8:E8"/>
    <mergeCell ref="C9:E9"/>
    <mergeCell ref="C4:E4"/>
    <mergeCell ref="C3:E3"/>
    <mergeCell ref="B11:E11"/>
    <mergeCell ref="B2:E2"/>
    <mergeCell ref="B34:E34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TWC: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 / Dept.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/>
    <row r="23" ht="24" customHeight="1">
      <c r="B23" s="20" t="inlineStr">
        <is>
          <t>QUORUM VERIFICATION</t>
        </is>
      </c>
    </row>
    <row r="24" ht="22" customHeight="1">
      <c r="B24" s="23" t="inlineStr">
        <is>
          <t>Total TWC Members</t>
        </is>
      </c>
      <c r="G24" s="24" t="inlineStr"/>
    </row>
    <row r="25" ht="22" customHeight="1">
      <c r="B25" s="25" t="inlineStr">
        <is>
          <t>Present (Physical)</t>
        </is>
      </c>
      <c r="G25" s="24">
        <f>COUNTIF(F5:F21,"P")</f>
        <v/>
      </c>
    </row>
    <row r="26" ht="22" customHeight="1">
      <c r="B26" s="23" t="inlineStr">
        <is>
          <t>Present (VC)</t>
        </is>
      </c>
      <c r="G26" s="24" t="inlineStr"/>
    </row>
    <row r="27" ht="22" customHeight="1">
      <c r="B27" s="25" t="inlineStr">
        <is>
          <t>Total Effective</t>
        </is>
      </c>
      <c r="G27" s="24">
        <f>IFERROR(C25+C26,"")</f>
        <v/>
      </c>
    </row>
    <row r="28">
      <c r="B28" s="23" t="inlineStr">
        <is>
          <t>Quorum Required (50%)</t>
        </is>
      </c>
      <c r="G28" s="24" t="inlineStr"/>
    </row>
    <row r="29">
      <c r="B29" s="25" t="inlineStr">
        <is>
          <t>Quorum Achieved?</t>
        </is>
      </c>
      <c r="G29" s="26">
        <f>IFERROR(IF(C27&gt;=C28,"YES — Meeting Valid","NO — Adjourned"),"")</f>
        <v/>
      </c>
    </row>
  </sheetData>
  <mergeCells count="15">
    <mergeCell ref="G24:I24"/>
    <mergeCell ref="B29:F29"/>
    <mergeCell ref="G28:I28"/>
    <mergeCell ref="B24:F24"/>
    <mergeCell ref="G27:I27"/>
    <mergeCell ref="B2:I2"/>
    <mergeCell ref="B25:F25"/>
    <mergeCell ref="B28:F28"/>
    <mergeCell ref="B3:I3"/>
    <mergeCell ref="G26:I26"/>
    <mergeCell ref="B23:I23"/>
    <mergeCell ref="G29:I29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TWC: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0" customHeight="1">
      <c r="B6" s="14" t="inlineStr">
        <is>
          <t>TWC/RES/001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TWC/RES/002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TWC/RES/003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TWC/RES/004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TWC/RES/005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TWC/RES/006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TWC/RES/007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TWC/RES/008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TWC/RES/009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TWC/RES/010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TWC/RES/011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TWC/RES/012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/>
    <row r="19" ht="30" customHeight="1">
      <c r="B19" s="29" t="inlineStr">
        <is>
          <t>Next Meeting: _______    Chairperson: ___________________    TWC Coordinator: ___________________</t>
        </is>
      </c>
    </row>
    <row r="20" ht="30" customHeight="1"/>
    <row r="21" ht="30" customHeight="1"/>
  </sheetData>
  <mergeCells count="4">
    <mergeCell ref="B3:G3"/>
    <mergeCell ref="B2:G2"/>
    <mergeCell ref="B4:G4"/>
    <mergeCell ref="B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TWC: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</t>
        </is>
      </c>
    </row>
    <row r="5" ht="26" customHeight="1">
      <c r="B5" s="31" t="inlineStr">
        <is>
          <t>TWC/RES/001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TWC/RES/002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TWC/RES/003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TWC/RES/004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TWC/RES/005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TWC/RES/006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TWC/RES/007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TWC/RES/008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TWC/RES/009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TWC/RES/010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TWC/RES/011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TWC/RES/012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TWC/RES/013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In Progress</t>
        </is>
      </c>
    </row>
    <row r="18" ht="26" customHeight="1"/>
    <row r="19" ht="24" customHeight="1">
      <c r="B19" s="34" t="inlineStr">
        <is>
          <t>ATR SUMMARY</t>
        </is>
      </c>
    </row>
    <row r="20" ht="26" customHeight="1">
      <c r="B20" s="35" t="inlineStr">
        <is>
          <t>Total Resolutions Under Review</t>
        </is>
      </c>
      <c r="F20" s="36">
        <f>COUNTA(B5:B17)</f>
        <v/>
      </c>
    </row>
    <row r="21" ht="26" customHeight="1">
      <c r="B21" s="25" t="inlineStr">
        <is>
          <t>Implemented</t>
        </is>
      </c>
      <c r="F21" s="37">
        <f>COUNTIF(H5:H17,"Implemented")</f>
        <v/>
      </c>
    </row>
    <row r="22" ht="26" customHeight="1">
      <c r="B22" s="35" t="inlineStr">
        <is>
          <t>In Progress</t>
        </is>
      </c>
      <c r="F22" s="36">
        <f>COUNTIF(H5:H17,"In Progress")</f>
        <v/>
      </c>
    </row>
    <row r="23" ht="26" customHeight="1">
      <c r="B23" s="25" t="inlineStr">
        <is>
          <t>Pending</t>
        </is>
      </c>
      <c r="F23" s="37">
        <f>COUNTIF(H5:H17,"Pending")</f>
        <v/>
      </c>
    </row>
    <row r="24">
      <c r="B24" s="35" t="inlineStr">
        <is>
          <t>Deferred</t>
        </is>
      </c>
      <c r="F24" s="36">
        <f>COUNTIF(H5:H17,"Deferred")</f>
        <v/>
      </c>
    </row>
    <row r="25">
      <c r="B25" s="25" t="inlineStr">
        <is>
          <t>Implementation Rate (%)</t>
        </is>
      </c>
      <c r="F25" s="37">
        <f>IFERROR(ROUND(C21/C20*100,1),"")</f>
        <v/>
      </c>
    </row>
  </sheetData>
  <mergeCells count="15">
    <mergeCell ref="F20:H20"/>
    <mergeCell ref="F23:H23"/>
    <mergeCell ref="B23:E23"/>
    <mergeCell ref="F21:H21"/>
    <mergeCell ref="F22:H22"/>
    <mergeCell ref="B21:E21"/>
    <mergeCell ref="B2:H2"/>
    <mergeCell ref="B25:E25"/>
    <mergeCell ref="B24:E24"/>
    <mergeCell ref="B20:E20"/>
    <mergeCell ref="B3:H3"/>
    <mergeCell ref="B19:H19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TWC-02: TEACHING HOURS NORMS — UGC / AICTE / UNIVERSITY STANDARDS</t>
        </is>
      </c>
    </row>
    <row r="3" ht="25" customHeight="1">
      <c r="B3" s="2" t="inlineStr">
        <is>
          <t>Authority: UGC Regulations / AICTE Norms / University Statutes  A.Y.: _______  Approved by: Principal  Date: _______</t>
        </is>
      </c>
    </row>
    <row r="4" ht="24" customHeight="1">
      <c r="B4" s="19" t="inlineStr">
        <is>
          <t>SECTION A — UGC / AICTE WORKLOAD NORMS (DIRECT TEACHING HOURS / WEEK)</t>
        </is>
      </c>
    </row>
    <row r="5" ht="24" customHeight="1">
      <c r="B5" s="13" t="inlineStr">
        <is>
          <t>Designation</t>
        </is>
      </c>
      <c r="C5" s="13" t="inlineStr">
        <is>
          <t>Min. Teaching
Hours / Week</t>
        </is>
      </c>
      <c r="D5" s="13" t="inlineStr">
        <is>
          <t>Max Teaching
Hours / Week</t>
        </is>
      </c>
      <c r="E5" s="13" t="inlineStr">
        <is>
          <t>Tutorial /
Practical (add.)</t>
        </is>
      </c>
      <c r="F5" s="13" t="inlineStr">
        <is>
          <t>Max Total
Contact Hours</t>
        </is>
      </c>
      <c r="G5" s="13" t="inlineStr">
        <is>
          <t>Preparation
Time Norm</t>
        </is>
      </c>
      <c r="H5" s="13" t="inlineStr">
        <is>
          <t>Admin / Research
Time Norm</t>
        </is>
      </c>
      <c r="I5" s="13" t="inlineStr">
        <is>
          <t>Institutional
Norm (This A.Y.)</t>
        </is>
      </c>
    </row>
    <row r="6" ht="24" customHeight="1">
      <c r="B6" s="38" t="inlineStr">
        <is>
          <t>Professor</t>
        </is>
      </c>
      <c r="C6" s="16" t="inlineStr">
        <is>
          <t>12–14</t>
        </is>
      </c>
      <c r="D6" s="16" t="inlineStr">
        <is>
          <t>16</t>
        </is>
      </c>
      <c r="E6" s="16" t="inlineStr">
        <is>
          <t>2–4 practical</t>
        </is>
      </c>
      <c r="F6" s="16" t="inlineStr">
        <is>
          <t>16+4=20</t>
        </is>
      </c>
      <c r="G6" s="16" t="inlineStr">
        <is>
          <t>1.5x per lecture</t>
        </is>
      </c>
      <c r="H6" s="16" t="inlineStr">
        <is>
          <t>Research — 40%</t>
        </is>
      </c>
      <c r="I6" s="16" t="inlineStr"/>
    </row>
    <row r="7" ht="24" customHeight="1">
      <c r="B7" s="25" t="inlineStr">
        <is>
          <t>Associate Professor</t>
        </is>
      </c>
      <c r="C7" s="10" t="inlineStr">
        <is>
          <t>14</t>
        </is>
      </c>
      <c r="D7" s="10" t="inlineStr">
        <is>
          <t>16</t>
        </is>
      </c>
      <c r="E7" s="10" t="inlineStr">
        <is>
          <t>2–4 practical</t>
        </is>
      </c>
      <c r="F7" s="10" t="inlineStr">
        <is>
          <t>16+4=20</t>
        </is>
      </c>
      <c r="G7" s="10" t="inlineStr">
        <is>
          <t>1.5x per lecture</t>
        </is>
      </c>
      <c r="H7" s="10" t="inlineStr">
        <is>
          <t>Research — 30%</t>
        </is>
      </c>
      <c r="I7" s="10" t="inlineStr"/>
    </row>
    <row r="8" ht="24" customHeight="1">
      <c r="B8" s="38" t="inlineStr">
        <is>
          <t>Assistant Professor</t>
        </is>
      </c>
      <c r="C8" s="16" t="inlineStr">
        <is>
          <t>16</t>
        </is>
      </c>
      <c r="D8" s="16" t="inlineStr">
        <is>
          <t>20</t>
        </is>
      </c>
      <c r="E8" s="16" t="inlineStr">
        <is>
          <t>2–4 practical</t>
        </is>
      </c>
      <c r="F8" s="16" t="inlineStr">
        <is>
          <t>16+4=20</t>
        </is>
      </c>
      <c r="G8" s="16" t="inlineStr">
        <is>
          <t>1.5x per lecture</t>
        </is>
      </c>
      <c r="H8" s="16" t="inlineStr">
        <is>
          <t>Research — 20%</t>
        </is>
      </c>
      <c r="I8" s="16" t="inlineStr"/>
    </row>
    <row r="9" ht="24" customHeight="1">
      <c r="B9" s="25" t="inlineStr">
        <is>
          <t>Senior Lecturer (if applicable)</t>
        </is>
      </c>
      <c r="C9" s="10" t="inlineStr">
        <is>
          <t>16</t>
        </is>
      </c>
      <c r="D9" s="10" t="inlineStr">
        <is>
          <t>20</t>
        </is>
      </c>
      <c r="E9" s="10" t="inlineStr">
        <is>
          <t>2–4 practical</t>
        </is>
      </c>
      <c r="F9" s="10" t="inlineStr">
        <is>
          <t>20+4=24</t>
        </is>
      </c>
      <c r="G9" s="10" t="inlineStr">
        <is>
          <t>1.5x per lecture</t>
        </is>
      </c>
      <c r="H9" s="10" t="inlineStr">
        <is>
          <t>Admin — 10%</t>
        </is>
      </c>
      <c r="I9" s="10" t="inlineStr"/>
    </row>
    <row r="10" ht="24" customHeight="1">
      <c r="B10" s="38" t="inlineStr">
        <is>
          <t>Visiting / Guest Faculty</t>
        </is>
      </c>
      <c r="C10" s="16" t="inlineStr">
        <is>
          <t>As contracted</t>
        </is>
      </c>
      <c r="D10" s="16" t="inlineStr">
        <is>
          <t>As contracted</t>
        </is>
      </c>
      <c r="E10" s="16" t="inlineStr">
        <is>
          <t>As assigned</t>
        </is>
      </c>
      <c r="F10" s="16" t="inlineStr">
        <is>
          <t>As contracted</t>
        </is>
      </c>
      <c r="G10" s="16" t="inlineStr">
        <is>
          <t>N/A</t>
        </is>
      </c>
      <c r="H10" s="16" t="inlineStr">
        <is>
          <t>N/A</t>
        </is>
      </c>
      <c r="I10" s="16" t="inlineStr"/>
    </row>
    <row r="11" ht="24" customHeight="1">
      <c r="B11" s="25" t="inlineStr">
        <is>
          <t>Physical Education Director</t>
        </is>
      </c>
      <c r="C11" s="10" t="inlineStr">
        <is>
          <t>12</t>
        </is>
      </c>
      <c r="D11" s="10" t="inlineStr">
        <is>
          <t>16</t>
        </is>
      </c>
      <c r="E11" s="10" t="inlineStr">
        <is>
          <t>Practical / Sports</t>
        </is>
      </c>
      <c r="F11" s="10" t="inlineStr">
        <is>
          <t>16</t>
        </is>
      </c>
      <c r="G11" s="10" t="inlineStr">
        <is>
          <t>As required</t>
        </is>
      </c>
      <c r="H11" s="10" t="inlineStr">
        <is>
          <t>Sports admin</t>
        </is>
      </c>
      <c r="I11" s="10" t="inlineStr"/>
    </row>
    <row r="12" ht="24" customHeight="1">
      <c r="B12" s="38" t="inlineStr">
        <is>
          <t>Librarian</t>
        </is>
      </c>
      <c r="C12" s="16" t="inlineStr">
        <is>
          <t>As per duties</t>
        </is>
      </c>
      <c r="D12" s="16" t="inlineStr">
        <is>
          <t>As per duties</t>
        </is>
      </c>
      <c r="E12" s="16" t="inlineStr">
        <is>
          <t>N/A</t>
        </is>
      </c>
      <c r="F12" s="16" t="inlineStr">
        <is>
          <t>N/A</t>
        </is>
      </c>
      <c r="G12" s="16" t="inlineStr">
        <is>
          <t>N/A</t>
        </is>
      </c>
      <c r="H12" s="16" t="inlineStr">
        <is>
          <t>Library admin</t>
        </is>
      </c>
      <c r="I12" s="16" t="inlineStr"/>
    </row>
    <row r="13" ht="24" customHeight="1"/>
    <row r="14" ht="24" customHeight="1">
      <c r="B14" s="34" t="inlineStr">
        <is>
          <t>SECTION B — WORKLOAD CALCULATION WEIGHTAGE</t>
        </is>
      </c>
    </row>
    <row r="15" ht="24" customHeight="1">
      <c r="B15" s="30" t="inlineStr">
        <is>
          <t>Activity Type</t>
        </is>
      </c>
      <c r="C15" s="30" t="inlineStr">
        <is>
          <t>Credit Value
(per hour)</t>
        </is>
      </c>
      <c r="D15" s="30" t="inlineStr">
        <is>
          <t>Calculation Method</t>
        </is>
      </c>
      <c r="E15" s="30" t="inlineStr">
        <is>
          <t>Example</t>
        </is>
      </c>
    </row>
    <row r="16" ht="24" customHeight="1">
      <c r="B16" s="39" t="inlineStr">
        <is>
          <t>Theory Lecture (L)</t>
        </is>
      </c>
      <c r="C16" s="40" t="inlineStr">
        <is>
          <t>1.0</t>
        </is>
      </c>
      <c r="D16" s="41" t="inlineStr">
        <is>
          <t>1 hr lecture = 1 workload hour</t>
        </is>
      </c>
      <c r="E16" s="41" t="inlineStr">
        <is>
          <t>3 hr/week course = 3 units</t>
        </is>
      </c>
      <c r="F16" s="42" t="n"/>
      <c r="G16" s="42" t="n"/>
      <c r="H16" s="42" t="n"/>
      <c r="I16" s="42" t="n"/>
    </row>
    <row r="17" ht="24" customHeight="1">
      <c r="B17" s="43" t="inlineStr">
        <is>
          <t>Tutorial (T)</t>
        </is>
      </c>
      <c r="C17" s="44" t="inlineStr">
        <is>
          <t>1.0</t>
        </is>
      </c>
      <c r="D17" s="45" t="inlineStr">
        <is>
          <t>1 hr tutorial = 1 workload hour</t>
        </is>
      </c>
      <c r="E17" s="45" t="inlineStr">
        <is>
          <t>1 hr/week = 1 unit</t>
        </is>
      </c>
      <c r="F17" s="46" t="n"/>
      <c r="G17" s="46" t="n"/>
      <c r="H17" s="46" t="n"/>
      <c r="I17" s="46" t="n"/>
    </row>
    <row r="18" ht="24" customHeight="1">
      <c r="B18" s="39" t="inlineStr">
        <is>
          <t>Laboratory / Practical (P)</t>
        </is>
      </c>
      <c r="C18" s="40" t="inlineStr">
        <is>
          <t>0.5</t>
        </is>
      </c>
      <c r="D18" s="41" t="inlineStr">
        <is>
          <t>2 hrs lab = 1 workload unit</t>
        </is>
      </c>
      <c r="E18" s="41" t="inlineStr">
        <is>
          <t>3 hr lab session = 1.5 units</t>
        </is>
      </c>
      <c r="F18" s="42" t="n"/>
      <c r="G18" s="42" t="n"/>
      <c r="H18" s="42" t="n"/>
      <c r="I18" s="42" t="n"/>
    </row>
    <row r="19" ht="24" customHeight="1">
      <c r="B19" s="43" t="inlineStr">
        <is>
          <t>Project Supervision (Final Year)</t>
        </is>
      </c>
      <c r="C19" s="44" t="inlineStr">
        <is>
          <t>0.5 per batch</t>
        </is>
      </c>
      <c r="D19" s="45" t="inlineStr">
        <is>
          <t>Counted per batch of 5–6 students</t>
        </is>
      </c>
      <c r="E19" s="45" t="inlineStr">
        <is>
          <t>2 batches = 1 unit</t>
        </is>
      </c>
      <c r="F19" s="46" t="n"/>
      <c r="G19" s="46" t="n"/>
      <c r="H19" s="46" t="n"/>
      <c r="I19" s="46" t="n"/>
    </row>
    <row r="20" ht="24" customHeight="1">
      <c r="B20" s="39" t="inlineStr">
        <is>
          <t>Dissertation / Thesis Guidance</t>
        </is>
      </c>
      <c r="C20" s="40" t="inlineStr">
        <is>
          <t>0.5 per student</t>
        </is>
      </c>
      <c r="D20" s="41" t="inlineStr">
        <is>
          <t>As per university norm</t>
        </is>
      </c>
      <c r="E20" s="41" t="inlineStr">
        <is>
          <t>4 students = 2 units</t>
        </is>
      </c>
      <c r="F20" s="42" t="n"/>
      <c r="G20" s="42" t="n"/>
      <c r="H20" s="42" t="n"/>
      <c r="I20" s="42" t="n"/>
    </row>
    <row r="21" ht="24" customHeight="1">
      <c r="B21" s="43" t="inlineStr">
        <is>
          <t>Co-curricular / Admin duties</t>
        </is>
      </c>
      <c r="C21" s="44" t="inlineStr">
        <is>
          <t>0.5–1.0</t>
        </is>
      </c>
      <c r="D21" s="45" t="inlineStr">
        <is>
          <t>As approved by TWC</t>
        </is>
      </c>
      <c r="E21" s="45" t="inlineStr">
        <is>
          <t>Club advisor = 0.5 units</t>
        </is>
      </c>
      <c r="F21" s="46" t="n"/>
      <c r="G21" s="46" t="n"/>
      <c r="H21" s="46" t="n"/>
      <c r="I21" s="46" t="n"/>
    </row>
    <row r="22" ht="24" customHeight="1">
      <c r="B22" s="39" t="inlineStr">
        <is>
          <t>Research / Development duty</t>
        </is>
      </c>
      <c r="C22" s="40" t="inlineStr">
        <is>
          <t>Excluded from teaching load</t>
        </is>
      </c>
      <c r="D22" s="41" t="inlineStr">
        <is>
          <t>Not counted in contact hours</t>
        </is>
      </c>
      <c r="E22" s="41" t="inlineStr">
        <is>
          <t>Research % as per designation</t>
        </is>
      </c>
      <c r="F22" s="42" t="n"/>
      <c r="G22" s="42" t="n"/>
      <c r="H22" s="42" t="n"/>
      <c r="I22" s="42" t="n"/>
    </row>
    <row r="23" ht="24" customHeight="1">
      <c r="B23" s="43" t="inlineStr">
        <is>
          <t>New course preparation</t>
        </is>
      </c>
      <c r="C23" s="44" t="inlineStr">
        <is>
          <t>+0.5 per new course (first time)</t>
        </is>
      </c>
      <c r="D23" s="45" t="inlineStr">
        <is>
          <t>Added for first-time teaching</t>
        </is>
      </c>
      <c r="E23" s="45" t="inlineStr">
        <is>
          <t>New subject bonus</t>
        </is>
      </c>
      <c r="F23" s="46" t="n"/>
      <c r="G23" s="46" t="n"/>
      <c r="H23" s="46" t="n"/>
      <c r="I23" s="46" t="n"/>
    </row>
    <row r="24" ht="24" customHeight="1"/>
    <row r="25" ht="20" customHeight="1">
      <c r="B25" s="17" t="inlineStr">
        <is>
          <t>Institutional workload norm approved by Academic Council / Principal. Any deviation requires TWC recommendation and Principal approval. NBA/NAAC inspection may ask for workload registers.</t>
        </is>
      </c>
    </row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</sheetData>
  <mergeCells count="5">
    <mergeCell ref="B25:I25"/>
    <mergeCell ref="B2:I2"/>
    <mergeCell ref="B3:I3"/>
    <mergeCell ref="B14:I14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TWC-04: FACULTY WORKLOAD ASSIGNMENT FORM</t>
        </is>
      </c>
    </row>
    <row r="3" ht="25" customHeight="1">
      <c r="B3" s="2" t="inlineStr">
        <is>
          <t>Semester: _______  A.Y.: _______  Department: _______  TWC Coordinator: ___________________</t>
        </is>
      </c>
    </row>
    <row r="4" ht="24" customHeight="1">
      <c r="B4" s="19" t="inlineStr">
        <is>
          <t>SECTION A — FACULTY DETAILS</t>
        </is>
      </c>
    </row>
    <row r="5" ht="26" customHeight="1">
      <c r="B5" s="47" t="inlineStr">
        <is>
          <t>Faculty Name:</t>
        </is>
      </c>
      <c r="C5" s="9" t="n"/>
    </row>
    <row r="6" ht="26" customHeight="1">
      <c r="B6" s="47" t="inlineStr">
        <is>
          <t>Employee ID:</t>
        </is>
      </c>
      <c r="C6" s="9" t="n"/>
    </row>
    <row r="7" ht="26" customHeight="1">
      <c r="B7" s="47" t="inlineStr">
        <is>
          <t>Designation:</t>
        </is>
      </c>
      <c r="C7" s="48" t="inlineStr">
        <is>
          <t>[ ] Professor  [ ] Associate Prof.  [ ] Asst. Prof.  [ ] Lecturer  [ ] Visiting</t>
        </is>
      </c>
    </row>
    <row r="8" ht="26" customHeight="1">
      <c r="B8" s="47" t="inlineStr">
        <is>
          <t>Department:</t>
        </is>
      </c>
      <c r="C8" s="9" t="n"/>
    </row>
    <row r="9" ht="26" customHeight="1">
      <c r="B9" s="47" t="inlineStr">
        <is>
          <t>Highest Qualification:</t>
        </is>
      </c>
      <c r="C9" s="9" t="n"/>
    </row>
    <row r="10" ht="26" customHeight="1">
      <c r="B10" s="47" t="inlineStr">
        <is>
          <t>Date of Joining:</t>
        </is>
      </c>
      <c r="C10" s="9" t="n"/>
    </row>
    <row r="11" ht="26" customHeight="1">
      <c r="B11" s="47" t="inlineStr">
        <is>
          <t>Nature of Appointment:</t>
        </is>
      </c>
      <c r="C11" s="48" t="inlineStr">
        <is>
          <t>[ ] Regular / Permanent  [ ] Contract  [ ] Visiting / Guest  [ ] Adjunct</t>
        </is>
      </c>
    </row>
    <row r="12" ht="28" customHeight="1"/>
    <row r="13" ht="24" customHeight="1">
      <c r="B13" s="34" t="inlineStr">
        <is>
          <t>SECTION B — THEORY COURSE ASSIGNMENT</t>
        </is>
      </c>
    </row>
    <row r="14" ht="28" customHeight="1">
      <c r="B14" s="30" t="inlineStr">
        <is>
          <t>Course Code</t>
        </is>
      </c>
      <c r="C14" s="30" t="inlineStr">
        <is>
          <t>Course Name</t>
        </is>
      </c>
      <c r="D14" s="30" t="inlineStr">
        <is>
          <t>Class / Section</t>
        </is>
      </c>
      <c r="E14" s="30" t="inlineStr">
        <is>
          <t>Hrs / Week (L-T-P)</t>
        </is>
      </c>
    </row>
    <row r="15" ht="28" customHeight="1">
      <c r="B15" s="31" t="inlineStr"/>
      <c r="C15" s="32" t="inlineStr"/>
      <c r="D15" s="33" t="inlineStr"/>
      <c r="E15" s="33" t="inlineStr"/>
    </row>
    <row r="16" ht="28" customHeight="1">
      <c r="B16" s="8" t="inlineStr"/>
      <c r="C16" s="9" t="inlineStr"/>
      <c r="D16" s="10" t="inlineStr"/>
      <c r="E16" s="10" t="inlineStr"/>
    </row>
    <row r="17" ht="28" customHeight="1">
      <c r="B17" s="31" t="inlineStr"/>
      <c r="C17" s="32" t="inlineStr"/>
      <c r="D17" s="33" t="inlineStr"/>
      <c r="E17" s="33" t="inlineStr"/>
    </row>
    <row r="18" ht="28" customHeight="1">
      <c r="B18" s="8" t="inlineStr"/>
      <c r="C18" s="9" t="inlineStr"/>
      <c r="D18" s="10" t="inlineStr"/>
      <c r="E18" s="10" t="inlineStr"/>
    </row>
    <row r="19" ht="28" customHeight="1">
      <c r="B19" s="31" t="inlineStr"/>
      <c r="C19" s="32" t="inlineStr"/>
      <c r="D19" s="33" t="inlineStr"/>
      <c r="E19" s="33" t="inlineStr"/>
    </row>
    <row r="20" ht="28" customHeight="1">
      <c r="B20" s="8" t="inlineStr"/>
      <c r="C20" s="9" t="inlineStr"/>
      <c r="D20" s="10" t="inlineStr"/>
      <c r="E20" s="10" t="inlineStr"/>
    </row>
    <row r="21" ht="28" customHeight="1"/>
    <row r="22" ht="24" customHeight="1">
      <c r="B22" s="49" t="inlineStr">
        <is>
          <t>SECTION C — PRACTICAL / LAB ASSIGNMENT</t>
        </is>
      </c>
    </row>
    <row r="23" ht="28" customHeight="1">
      <c r="B23" s="50" t="inlineStr">
        <is>
          <t>Lab / Course Code</t>
        </is>
      </c>
      <c r="C23" s="50" t="inlineStr">
        <is>
          <t>Lab Name</t>
        </is>
      </c>
      <c r="D23" s="50" t="inlineStr">
        <is>
          <t>Batch / Section</t>
        </is>
      </c>
      <c r="E23" s="50" t="inlineStr">
        <is>
          <t>Hrs / Week</t>
        </is>
      </c>
    </row>
    <row r="24" ht="28" customHeight="1">
      <c r="B24" s="51" t="inlineStr"/>
      <c r="C24" s="52" t="inlineStr"/>
      <c r="D24" s="51" t="inlineStr"/>
      <c r="E24" s="51" t="inlineStr"/>
    </row>
    <row r="25" ht="28" customHeight="1">
      <c r="B25" s="10" t="inlineStr"/>
      <c r="C25" s="9" t="inlineStr"/>
      <c r="D25" s="10" t="inlineStr"/>
      <c r="E25" s="10" t="inlineStr"/>
    </row>
    <row r="26" ht="28" customHeight="1">
      <c r="B26" s="51" t="inlineStr"/>
      <c r="C26" s="52" t="inlineStr"/>
      <c r="D26" s="51" t="inlineStr"/>
      <c r="E26" s="51" t="inlineStr"/>
    </row>
    <row r="27" ht="28" customHeight="1">
      <c r="B27" s="10" t="inlineStr"/>
      <c r="C27" s="9" t="inlineStr"/>
      <c r="D27" s="10" t="inlineStr"/>
      <c r="E27" s="10" t="inlineStr"/>
    </row>
    <row r="28" ht="28" customHeight="1"/>
    <row r="29" ht="24" customHeight="1">
      <c r="B29" s="53" t="inlineStr">
        <is>
          <t>SECTION D — ADDITIONAL DUTIES</t>
        </is>
      </c>
    </row>
    <row r="30" ht="28" customHeight="1">
      <c r="B30" s="54" t="inlineStr">
        <is>
          <t>Duty Type</t>
        </is>
      </c>
      <c r="C30" s="54" t="inlineStr">
        <is>
          <t>Description</t>
        </is>
      </c>
      <c r="D30" s="54" t="inlineStr">
        <is>
          <t>Hours / Week</t>
        </is>
      </c>
      <c r="E30" s="54" t="inlineStr">
        <is>
          <t>Remarks</t>
        </is>
      </c>
    </row>
    <row r="31" ht="28" customHeight="1">
      <c r="B31" s="23" t="inlineStr">
        <is>
          <t>Tutorial Sessions</t>
        </is>
      </c>
      <c r="C31" s="55" t="inlineStr"/>
      <c r="D31" s="22" t="inlineStr"/>
      <c r="E31" s="55" t="inlineStr"/>
    </row>
    <row r="32" ht="28" customHeight="1">
      <c r="B32" s="25" t="inlineStr">
        <is>
          <t>Project Supervision (Final Year)</t>
        </is>
      </c>
      <c r="C32" s="9" t="inlineStr"/>
      <c r="D32" s="10" t="inlineStr"/>
      <c r="E32" s="9" t="inlineStr"/>
    </row>
    <row r="33" ht="28" customHeight="1">
      <c r="B33" s="23" t="inlineStr">
        <is>
          <t>Thesis / Dissertation Guidance</t>
        </is>
      </c>
      <c r="C33" s="55" t="inlineStr"/>
      <c r="D33" s="22" t="inlineStr"/>
      <c r="E33" s="55" t="inlineStr"/>
    </row>
    <row r="34" ht="28" customHeight="1">
      <c r="B34" s="25" t="inlineStr">
        <is>
          <t>Lab In-charge Duty</t>
        </is>
      </c>
      <c r="C34" s="9" t="inlineStr"/>
      <c r="D34" s="10" t="inlineStr"/>
      <c r="E34" s="9" t="inlineStr"/>
    </row>
    <row r="35" ht="28" customHeight="1">
      <c r="B35" s="23" t="inlineStr">
        <is>
          <t>Class Coordinator</t>
        </is>
      </c>
      <c r="C35" s="55" t="inlineStr"/>
      <c r="D35" s="22" t="inlineStr"/>
      <c r="E35" s="55" t="inlineStr"/>
    </row>
    <row r="36" ht="28" customHeight="1">
      <c r="B36" s="25" t="inlineStr">
        <is>
          <t>Club / Society Advisor</t>
        </is>
      </c>
      <c r="C36" s="9" t="inlineStr"/>
      <c r="D36" s="10" t="inlineStr"/>
      <c r="E36" s="9" t="inlineStr"/>
    </row>
    <row r="37" ht="28" customHeight="1">
      <c r="B37" s="23" t="inlineStr">
        <is>
          <t>Research Activity</t>
        </is>
      </c>
      <c r="C37" s="55" t="inlineStr"/>
      <c r="D37" s="22" t="inlineStr"/>
      <c r="E37" s="55" t="inlineStr"/>
    </row>
    <row r="38" ht="28" customHeight="1">
      <c r="B38" s="25" t="inlineStr">
        <is>
          <t>Administrative Duty</t>
        </is>
      </c>
      <c r="C38" s="9" t="inlineStr"/>
      <c r="D38" s="10" t="inlineStr"/>
      <c r="E38" s="9" t="inlineStr"/>
    </row>
    <row r="39" ht="28" customHeight="1">
      <c r="B39" s="23" t="inlineStr">
        <is>
          <t>Any Other</t>
        </is>
      </c>
      <c r="C39" s="55" t="inlineStr"/>
      <c r="D39" s="22" t="inlineStr"/>
      <c r="E39" s="55" t="inlineStr"/>
    </row>
    <row r="40" ht="28" customHeight="1"/>
    <row r="41" ht="24" customHeight="1">
      <c r="B41" s="19" t="inlineStr">
        <is>
          <t>SECTION E — WORKLOAD SUMMARY</t>
        </is>
      </c>
    </row>
    <row r="42" ht="26" customHeight="1">
      <c r="B42" s="38" t="inlineStr">
        <is>
          <t>Total Theory Hours / Week</t>
        </is>
      </c>
      <c r="D42" s="16" t="inlineStr"/>
    </row>
    <row r="43" ht="26" customHeight="1">
      <c r="B43" s="25" t="inlineStr">
        <is>
          <t>Total Lab Hours / Week (× 0.5)</t>
        </is>
      </c>
      <c r="D43" s="10" t="inlineStr"/>
    </row>
    <row r="44" ht="26" customHeight="1">
      <c r="B44" s="38" t="inlineStr">
        <is>
          <t>Total Tutorial Hours / Week</t>
        </is>
      </c>
      <c r="D44" s="16" t="inlineStr"/>
    </row>
    <row r="45" ht="26" customHeight="1">
      <c r="B45" s="25" t="inlineStr">
        <is>
          <t>Total Additional Duty Hours</t>
        </is>
      </c>
      <c r="D45" s="10" t="inlineStr"/>
    </row>
    <row r="46" ht="26" customHeight="1">
      <c r="B46" s="38" t="inlineStr">
        <is>
          <t>TOTAL WORKLOAD (UNITS / WEEK)</t>
        </is>
      </c>
      <c r="D46" s="56" t="inlineStr"/>
    </row>
    <row r="47" ht="26" customHeight="1">
      <c r="B47" s="25" t="inlineStr">
        <is>
          <t>UGC/AICTE Norm (units/week)</t>
        </is>
      </c>
      <c r="D47" s="10" t="inlineStr">
        <is>
          <t>16</t>
        </is>
      </c>
    </row>
    <row r="48" ht="26" customHeight="1">
      <c r="B48" s="38" t="inlineStr">
        <is>
          <t>Status</t>
        </is>
      </c>
      <c r="D48" s="16" t="inlineStr">
        <is>
          <t>[ ] Within Norm  [ ] Excess  [ ] Deficit</t>
        </is>
      </c>
    </row>
    <row r="49" ht="28" customHeight="1"/>
    <row r="50">
      <c r="B50" s="29" t="inlineStr">
        <is>
          <t>Faculty Signature: ___________________    HoD Signature: ___________________    TWC Coordinator: ___________________    Date: ___________________</t>
        </is>
      </c>
    </row>
  </sheetData>
  <mergeCells count="29">
    <mergeCell ref="B47:C47"/>
    <mergeCell ref="C9:E9"/>
    <mergeCell ref="B46:C46"/>
    <mergeCell ref="D46:E46"/>
    <mergeCell ref="D45:E45"/>
    <mergeCell ref="B43:C43"/>
    <mergeCell ref="B41:E41"/>
    <mergeCell ref="C11:E11"/>
    <mergeCell ref="B48:C48"/>
    <mergeCell ref="B4:E4"/>
    <mergeCell ref="B50:E50"/>
    <mergeCell ref="C8:E8"/>
    <mergeCell ref="B42:C42"/>
    <mergeCell ref="B3:E3"/>
    <mergeCell ref="C7:E7"/>
    <mergeCell ref="D48:E48"/>
    <mergeCell ref="B22:E22"/>
    <mergeCell ref="D47:E47"/>
    <mergeCell ref="B44:C44"/>
    <mergeCell ref="D43:E43"/>
    <mergeCell ref="B2:E2"/>
    <mergeCell ref="C6:E6"/>
    <mergeCell ref="C5:E5"/>
    <mergeCell ref="D42:E42"/>
    <mergeCell ref="B13:E13"/>
    <mergeCell ref="B45:C45"/>
    <mergeCell ref="B29:E29"/>
    <mergeCell ref="D44:E44"/>
    <mergeCell ref="C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TWC-05: DEPARTMENT-WISE FACULTY WORKLOAD REGISTER</t>
        </is>
      </c>
    </row>
    <row r="3" ht="20" customHeight="1">
      <c r="B3" s="2" t="inlineStr">
        <is>
          <t>Department: _______  Semester: _______  A.Y.: _______  HoD: ___________________  TWC Coordinator: ___________________</t>
        </is>
      </c>
    </row>
    <row r="4" ht="25" customHeight="1">
      <c r="B4" s="13" t="inlineStr">
        <is>
          <t>Sl.</t>
        </is>
      </c>
      <c r="C4" s="13" t="inlineStr">
        <is>
          <t>Faculty Name</t>
        </is>
      </c>
      <c r="D4" s="13" t="inlineStr">
        <is>
          <t>Designation</t>
        </is>
      </c>
      <c r="E4" s="13" t="inlineStr">
        <is>
          <t>Theory
Hrs/Wk</t>
        </is>
      </c>
      <c r="F4" s="13" t="inlineStr">
        <is>
          <t>Lab
Hrs/Wk</t>
        </is>
      </c>
      <c r="G4" s="13" t="inlineStr">
        <is>
          <t>Tutorial
Hrs/Wk</t>
        </is>
      </c>
      <c r="H4" s="13" t="inlineStr">
        <is>
          <t>Other
Duty</t>
        </is>
      </c>
      <c r="I4" s="13" t="inlineStr">
        <is>
          <t>Total
Workload</t>
        </is>
      </c>
      <c r="J4" s="13" t="inlineStr">
        <is>
          <t>UGC
Norm</t>
        </is>
      </c>
      <c r="K4" s="13" t="inlineStr">
        <is>
          <t>Excess /
Deficit</t>
        </is>
      </c>
      <c r="L4" s="13" t="inlineStr">
        <is>
          <t>Compliance
Status</t>
        </is>
      </c>
    </row>
    <row r="5" ht="22" customHeight="1">
      <c r="B5" s="14" t="n">
        <v>1</v>
      </c>
      <c r="C5" s="15" t="inlineStr"/>
      <c r="D5" s="16" t="inlineStr">
        <is>
          <t>Professor</t>
        </is>
      </c>
      <c r="E5" s="16" t="inlineStr"/>
      <c r="F5" s="16" t="inlineStr"/>
      <c r="G5" s="16" t="inlineStr"/>
      <c r="H5" s="16" t="inlineStr"/>
      <c r="I5" s="57">
        <f>IFERROR(E5+(F5*0.5)+G5+H5,"")</f>
        <v/>
      </c>
      <c r="J5" s="16" t="n">
        <v>14</v>
      </c>
      <c r="K5" s="16">
        <f>IFERROR(I5-J5,"")</f>
        <v/>
      </c>
      <c r="L5" s="16">
        <f>IFERROR(IF(I5&gt;J5,"Excess",IF(I5&lt;J5,"Deficit","Compliant")),"")</f>
        <v/>
      </c>
    </row>
    <row r="6" ht="22" customHeight="1">
      <c r="B6" s="8" t="n">
        <v>2</v>
      </c>
      <c r="C6" s="9" t="inlineStr"/>
      <c r="D6" s="10" t="inlineStr">
        <is>
          <t>Associate Prof</t>
        </is>
      </c>
      <c r="E6" s="10" t="inlineStr"/>
      <c r="F6" s="10" t="inlineStr"/>
      <c r="G6" s="10" t="inlineStr"/>
      <c r="H6" s="10" t="inlineStr"/>
      <c r="I6" s="37">
        <f>IFERROR(E6+(F6*0.5)+G6+H6,"")</f>
        <v/>
      </c>
      <c r="J6" s="10" t="n">
        <v>16</v>
      </c>
      <c r="K6" s="10">
        <f>IFERROR(I6-J6,"")</f>
        <v/>
      </c>
      <c r="L6" s="10">
        <f>IFERROR(IF(I6&gt;J6,"Excess",IF(I6&lt;J6,"Deficit","Compliant")),"")</f>
        <v/>
      </c>
    </row>
    <row r="7" ht="22" customHeight="1">
      <c r="B7" s="14" t="n">
        <v>3</v>
      </c>
      <c r="C7" s="15" t="inlineStr"/>
      <c r="D7" s="16" t="inlineStr">
        <is>
          <t>Asst. Prof</t>
        </is>
      </c>
      <c r="E7" s="16" t="inlineStr"/>
      <c r="F7" s="16" t="inlineStr"/>
      <c r="G7" s="16" t="inlineStr"/>
      <c r="H7" s="16" t="inlineStr"/>
      <c r="I7" s="57">
        <f>IFERROR(E7+(F7*0.5)+G7+H7,"")</f>
        <v/>
      </c>
      <c r="J7" s="16" t="n">
        <v>16</v>
      </c>
      <c r="K7" s="16">
        <f>IFERROR(I7-J7,"")</f>
        <v/>
      </c>
      <c r="L7" s="16">
        <f>IFERROR(IF(I7&gt;J7,"Excess",IF(I7&lt;J7,"Deficit","Compliant")),"")</f>
        <v/>
      </c>
    </row>
    <row r="8" ht="22" customHeight="1">
      <c r="B8" s="8" t="n">
        <v>4</v>
      </c>
      <c r="C8" s="9" t="inlineStr"/>
      <c r="D8" s="10" t="inlineStr">
        <is>
          <t>Lecturer</t>
        </is>
      </c>
      <c r="E8" s="10" t="inlineStr"/>
      <c r="F8" s="10" t="inlineStr"/>
      <c r="G8" s="10" t="inlineStr"/>
      <c r="H8" s="10" t="inlineStr"/>
      <c r="I8" s="37">
        <f>IFERROR(E8+(F8*0.5)+G8+H8,"")</f>
        <v/>
      </c>
      <c r="J8" s="10" t="n">
        <v>18</v>
      </c>
      <c r="K8" s="10">
        <f>IFERROR(I8-J8,"")</f>
        <v/>
      </c>
      <c r="L8" s="10">
        <f>IFERROR(IF(I8&gt;J8,"Excess",IF(I8&lt;J8,"Deficit","Compliant")),"")</f>
        <v/>
      </c>
    </row>
    <row r="9" ht="22" customHeight="1">
      <c r="B9" s="14" t="n">
        <v>5</v>
      </c>
      <c r="C9" s="15" t="inlineStr"/>
      <c r="D9" s="16" t="inlineStr">
        <is>
          <t>Visiting</t>
        </is>
      </c>
      <c r="E9" s="16" t="inlineStr"/>
      <c r="F9" s="16" t="inlineStr"/>
      <c r="G9" s="16" t="inlineStr"/>
      <c r="H9" s="16" t="inlineStr"/>
      <c r="I9" s="57">
        <f>IFERROR(E9+(F9*0.5)+G9+H9,"")</f>
        <v/>
      </c>
      <c r="J9" s="16" t="n">
        <v>12</v>
      </c>
      <c r="K9" s="16">
        <f>IFERROR(I9-J9,"")</f>
        <v/>
      </c>
      <c r="L9" s="16">
        <f>IFERROR(IF(I9&gt;J9,"Excess",IF(I9&lt;J9,"Deficit","Compliant")),"")</f>
        <v/>
      </c>
    </row>
    <row r="10" ht="22" customHeight="1">
      <c r="B10" s="8" t="n">
        <v>6</v>
      </c>
      <c r="C10" s="9" t="inlineStr"/>
      <c r="D10" s="10" t="inlineStr">
        <is>
          <t>Professor</t>
        </is>
      </c>
      <c r="E10" s="10" t="inlineStr"/>
      <c r="F10" s="10" t="inlineStr"/>
      <c r="G10" s="10" t="inlineStr"/>
      <c r="H10" s="10" t="inlineStr"/>
      <c r="I10" s="37">
        <f>IFERROR(E10+(F10*0.5)+G10+H10,"")</f>
        <v/>
      </c>
      <c r="J10" s="10" t="n">
        <v>14</v>
      </c>
      <c r="K10" s="10">
        <f>IFERROR(I10-J10,"")</f>
        <v/>
      </c>
      <c r="L10" s="10">
        <f>IFERROR(IF(I10&gt;J10,"Excess",IF(I10&lt;J10,"Deficit","Compliant")),"")</f>
        <v/>
      </c>
    </row>
    <row r="11" ht="22" customHeight="1">
      <c r="B11" s="14" t="n">
        <v>7</v>
      </c>
      <c r="C11" s="15" t="inlineStr"/>
      <c r="D11" s="16" t="inlineStr">
        <is>
          <t>Associate Prof</t>
        </is>
      </c>
      <c r="E11" s="16" t="inlineStr"/>
      <c r="F11" s="16" t="inlineStr"/>
      <c r="G11" s="16" t="inlineStr"/>
      <c r="H11" s="16" t="inlineStr"/>
      <c r="I11" s="57">
        <f>IFERROR(E11+(F11*0.5)+G11+H11,"")</f>
        <v/>
      </c>
      <c r="J11" s="16" t="n">
        <v>16</v>
      </c>
      <c r="K11" s="16">
        <f>IFERROR(I11-J11,"")</f>
        <v/>
      </c>
      <c r="L11" s="16">
        <f>IFERROR(IF(I11&gt;J11,"Excess",IF(I11&lt;J11,"Deficit","Compliant")),"")</f>
        <v/>
      </c>
    </row>
    <row r="12" ht="22" customHeight="1">
      <c r="B12" s="8" t="n">
        <v>8</v>
      </c>
      <c r="C12" s="9" t="inlineStr"/>
      <c r="D12" s="10" t="inlineStr">
        <is>
          <t>Asst. Prof</t>
        </is>
      </c>
      <c r="E12" s="10" t="inlineStr"/>
      <c r="F12" s="10" t="inlineStr"/>
      <c r="G12" s="10" t="inlineStr"/>
      <c r="H12" s="10" t="inlineStr"/>
      <c r="I12" s="37">
        <f>IFERROR(E12+(F12*0.5)+G12+H12,"")</f>
        <v/>
      </c>
      <c r="J12" s="10" t="n">
        <v>16</v>
      </c>
      <c r="K12" s="10">
        <f>IFERROR(I12-J12,"")</f>
        <v/>
      </c>
      <c r="L12" s="10">
        <f>IFERROR(IF(I12&gt;J12,"Excess",IF(I12&lt;J12,"Deficit","Compliant")),"")</f>
        <v/>
      </c>
    </row>
    <row r="13" ht="22" customHeight="1">
      <c r="B13" s="14" t="n">
        <v>9</v>
      </c>
      <c r="C13" s="15" t="inlineStr"/>
      <c r="D13" s="16" t="inlineStr">
        <is>
          <t>Lecturer</t>
        </is>
      </c>
      <c r="E13" s="16" t="inlineStr"/>
      <c r="F13" s="16" t="inlineStr"/>
      <c r="G13" s="16" t="inlineStr"/>
      <c r="H13" s="16" t="inlineStr"/>
      <c r="I13" s="57">
        <f>IFERROR(E13+(F13*0.5)+G13+H13,"")</f>
        <v/>
      </c>
      <c r="J13" s="16" t="n">
        <v>18</v>
      </c>
      <c r="K13" s="16">
        <f>IFERROR(I13-J13,"")</f>
        <v/>
      </c>
      <c r="L13" s="16">
        <f>IFERROR(IF(I13&gt;J13,"Excess",IF(I13&lt;J13,"Deficit","Compliant")),"")</f>
        <v/>
      </c>
    </row>
    <row r="14" ht="22" customHeight="1">
      <c r="B14" s="8" t="n">
        <v>10</v>
      </c>
      <c r="C14" s="9" t="inlineStr"/>
      <c r="D14" s="10" t="inlineStr">
        <is>
          <t>Visiting</t>
        </is>
      </c>
      <c r="E14" s="10" t="inlineStr"/>
      <c r="F14" s="10" t="inlineStr"/>
      <c r="G14" s="10" t="inlineStr"/>
      <c r="H14" s="10" t="inlineStr"/>
      <c r="I14" s="37">
        <f>IFERROR(E14+(F14*0.5)+G14+H14,"")</f>
        <v/>
      </c>
      <c r="J14" s="10" t="n">
        <v>12</v>
      </c>
      <c r="K14" s="10">
        <f>IFERROR(I14-J14,"")</f>
        <v/>
      </c>
      <c r="L14" s="10">
        <f>IFERROR(IF(I14&gt;J14,"Excess",IF(I14&lt;J14,"Deficit","Compliant")),"")</f>
        <v/>
      </c>
    </row>
    <row r="15" ht="22" customHeight="1">
      <c r="B15" s="14" t="n">
        <v>11</v>
      </c>
      <c r="C15" s="15" t="inlineStr"/>
      <c r="D15" s="16" t="inlineStr">
        <is>
          <t>Professor</t>
        </is>
      </c>
      <c r="E15" s="16" t="inlineStr"/>
      <c r="F15" s="16" t="inlineStr"/>
      <c r="G15" s="16" t="inlineStr"/>
      <c r="H15" s="16" t="inlineStr"/>
      <c r="I15" s="57">
        <f>IFERROR(E15+(F15*0.5)+G15+H15,"")</f>
        <v/>
      </c>
      <c r="J15" s="16" t="n">
        <v>14</v>
      </c>
      <c r="K15" s="16">
        <f>IFERROR(I15-J15,"")</f>
        <v/>
      </c>
      <c r="L15" s="16">
        <f>IFERROR(IF(I15&gt;J15,"Excess",IF(I15&lt;J15,"Deficit","Compliant")),"")</f>
        <v/>
      </c>
    </row>
    <row r="16" ht="22" customHeight="1">
      <c r="B16" s="8" t="n">
        <v>12</v>
      </c>
      <c r="C16" s="9" t="inlineStr"/>
      <c r="D16" s="10" t="inlineStr">
        <is>
          <t>Associate Prof</t>
        </is>
      </c>
      <c r="E16" s="10" t="inlineStr"/>
      <c r="F16" s="10" t="inlineStr"/>
      <c r="G16" s="10" t="inlineStr"/>
      <c r="H16" s="10" t="inlineStr"/>
      <c r="I16" s="37">
        <f>IFERROR(E16+(F16*0.5)+G16+H16,"")</f>
        <v/>
      </c>
      <c r="J16" s="10" t="n">
        <v>16</v>
      </c>
      <c r="K16" s="10">
        <f>IFERROR(I16-J16,"")</f>
        <v/>
      </c>
      <c r="L16" s="10">
        <f>IFERROR(IF(I16&gt;J16,"Excess",IF(I16&lt;J16,"Deficit","Compliant")),"")</f>
        <v/>
      </c>
    </row>
    <row r="17" ht="22" customHeight="1">
      <c r="B17" s="14" t="n">
        <v>13</v>
      </c>
      <c r="C17" s="15" t="inlineStr"/>
      <c r="D17" s="16" t="inlineStr">
        <is>
          <t>Asst. Prof</t>
        </is>
      </c>
      <c r="E17" s="16" t="inlineStr"/>
      <c r="F17" s="16" t="inlineStr"/>
      <c r="G17" s="16" t="inlineStr"/>
      <c r="H17" s="16" t="inlineStr"/>
      <c r="I17" s="57">
        <f>IFERROR(E17+(F17*0.5)+G17+H17,"")</f>
        <v/>
      </c>
      <c r="J17" s="16" t="n">
        <v>16</v>
      </c>
      <c r="K17" s="16">
        <f>IFERROR(I17-J17,"")</f>
        <v/>
      </c>
      <c r="L17" s="16">
        <f>IFERROR(IF(I17&gt;J17,"Excess",IF(I17&lt;J17,"Deficit","Compliant")),"")</f>
        <v/>
      </c>
    </row>
    <row r="18" ht="22" customHeight="1">
      <c r="B18" s="8" t="n">
        <v>14</v>
      </c>
      <c r="C18" s="9" t="inlineStr"/>
      <c r="D18" s="10" t="inlineStr">
        <is>
          <t>Lecturer</t>
        </is>
      </c>
      <c r="E18" s="10" t="inlineStr"/>
      <c r="F18" s="10" t="inlineStr"/>
      <c r="G18" s="10" t="inlineStr"/>
      <c r="H18" s="10" t="inlineStr"/>
      <c r="I18" s="37">
        <f>IFERROR(E18+(F18*0.5)+G18+H18,"")</f>
        <v/>
      </c>
      <c r="J18" s="10" t="n">
        <v>18</v>
      </c>
      <c r="K18" s="10">
        <f>IFERROR(I18-J18,"")</f>
        <v/>
      </c>
      <c r="L18" s="10">
        <f>IFERROR(IF(I18&gt;J18,"Excess",IF(I18&lt;J18,"Deficit","Compliant")),"")</f>
        <v/>
      </c>
    </row>
    <row r="19" ht="22" customHeight="1">
      <c r="B19" s="14" t="n">
        <v>15</v>
      </c>
      <c r="C19" s="15" t="inlineStr"/>
      <c r="D19" s="16" t="inlineStr">
        <is>
          <t>Visiting</t>
        </is>
      </c>
      <c r="E19" s="16" t="inlineStr"/>
      <c r="F19" s="16" t="inlineStr"/>
      <c r="G19" s="16" t="inlineStr"/>
      <c r="H19" s="16" t="inlineStr"/>
      <c r="I19" s="57">
        <f>IFERROR(E19+(F19*0.5)+G19+H19,"")</f>
        <v/>
      </c>
      <c r="J19" s="16" t="n">
        <v>12</v>
      </c>
      <c r="K19" s="16">
        <f>IFERROR(I19-J19,"")</f>
        <v/>
      </c>
      <c r="L19" s="16">
        <f>IFERROR(IF(I19&gt;J19,"Excess",IF(I19&lt;J19,"Deficit","Compliant")),"")</f>
        <v/>
      </c>
    </row>
    <row r="20" ht="22" customHeight="1">
      <c r="B20" s="8" t="n">
        <v>16</v>
      </c>
      <c r="C20" s="9" t="inlineStr"/>
      <c r="D20" s="10" t="inlineStr">
        <is>
          <t>Professor</t>
        </is>
      </c>
      <c r="E20" s="10" t="inlineStr"/>
      <c r="F20" s="10" t="inlineStr"/>
      <c r="G20" s="10" t="inlineStr"/>
      <c r="H20" s="10" t="inlineStr"/>
      <c r="I20" s="37">
        <f>IFERROR(E20+(F20*0.5)+G20+H20,"")</f>
        <v/>
      </c>
      <c r="J20" s="10" t="n">
        <v>14</v>
      </c>
      <c r="K20" s="10">
        <f>IFERROR(I20-J20,"")</f>
        <v/>
      </c>
      <c r="L20" s="10">
        <f>IFERROR(IF(I20&gt;J20,"Excess",IF(I20&lt;J20,"Deficit","Compliant")),"")</f>
        <v/>
      </c>
    </row>
    <row r="21" ht="22" customHeight="1">
      <c r="B21" s="14" t="n">
        <v>17</v>
      </c>
      <c r="C21" s="15" t="inlineStr"/>
      <c r="D21" s="16" t="inlineStr">
        <is>
          <t>Associate Prof</t>
        </is>
      </c>
      <c r="E21" s="16" t="inlineStr"/>
      <c r="F21" s="16" t="inlineStr"/>
      <c r="G21" s="16" t="inlineStr"/>
      <c r="H21" s="16" t="inlineStr"/>
      <c r="I21" s="57">
        <f>IFERROR(E21+(F21*0.5)+G21+H21,"")</f>
        <v/>
      </c>
      <c r="J21" s="16" t="n">
        <v>16</v>
      </c>
      <c r="K21" s="16">
        <f>IFERROR(I21-J21,"")</f>
        <v/>
      </c>
      <c r="L21" s="16">
        <f>IFERROR(IF(I21&gt;J21,"Excess",IF(I21&lt;J21,"Deficit","Compliant")),"")</f>
        <v/>
      </c>
    </row>
    <row r="22" ht="22" customHeight="1">
      <c r="B22" s="8" t="n">
        <v>18</v>
      </c>
      <c r="C22" s="9" t="inlineStr"/>
      <c r="D22" s="10" t="inlineStr">
        <is>
          <t>Asst. Prof</t>
        </is>
      </c>
      <c r="E22" s="10" t="inlineStr"/>
      <c r="F22" s="10" t="inlineStr"/>
      <c r="G22" s="10" t="inlineStr"/>
      <c r="H22" s="10" t="inlineStr"/>
      <c r="I22" s="37">
        <f>IFERROR(E22+(F22*0.5)+G22+H22,"")</f>
        <v/>
      </c>
      <c r="J22" s="10" t="n">
        <v>16</v>
      </c>
      <c r="K22" s="10">
        <f>IFERROR(I22-J22,"")</f>
        <v/>
      </c>
      <c r="L22" s="10">
        <f>IFERROR(IF(I22&gt;J22,"Excess",IF(I22&lt;J22,"Deficit","Compliant")),"")</f>
        <v/>
      </c>
    </row>
    <row r="23" ht="22" customHeight="1">
      <c r="B23" s="14" t="n">
        <v>19</v>
      </c>
      <c r="C23" s="15" t="inlineStr"/>
      <c r="D23" s="16" t="inlineStr">
        <is>
          <t>Lecturer</t>
        </is>
      </c>
      <c r="E23" s="16" t="inlineStr"/>
      <c r="F23" s="16" t="inlineStr"/>
      <c r="G23" s="16" t="inlineStr"/>
      <c r="H23" s="16" t="inlineStr"/>
      <c r="I23" s="57">
        <f>IFERROR(E23+(F23*0.5)+G23+H23,"")</f>
        <v/>
      </c>
      <c r="J23" s="16" t="n">
        <v>18</v>
      </c>
      <c r="K23" s="16">
        <f>IFERROR(I23-J23,"")</f>
        <v/>
      </c>
      <c r="L23" s="16">
        <f>IFERROR(IF(I23&gt;J23,"Excess",IF(I23&lt;J23,"Deficit","Compliant")),"")</f>
        <v/>
      </c>
    </row>
    <row r="24" ht="22" customHeight="1">
      <c r="B24" s="8" t="n">
        <v>20</v>
      </c>
      <c r="C24" s="9" t="inlineStr"/>
      <c r="D24" s="10" t="inlineStr">
        <is>
          <t>Visiting</t>
        </is>
      </c>
      <c r="E24" s="10" t="inlineStr"/>
      <c r="F24" s="10" t="inlineStr"/>
      <c r="G24" s="10" t="inlineStr"/>
      <c r="H24" s="10" t="inlineStr"/>
      <c r="I24" s="37">
        <f>IFERROR(E24+(F24*0.5)+G24+H24,"")</f>
        <v/>
      </c>
      <c r="J24" s="10" t="n">
        <v>12</v>
      </c>
      <c r="K24" s="10">
        <f>IFERROR(I24-J24,"")</f>
        <v/>
      </c>
      <c r="L24" s="10">
        <f>IFERROR(IF(I24&gt;J24,"Excess",IF(I24&lt;J24,"Deficit","Compliant")),"")</f>
        <v/>
      </c>
    </row>
    <row r="25" ht="22" customHeight="1">
      <c r="B25" s="14" t="n">
        <v>21</v>
      </c>
      <c r="C25" s="15" t="inlineStr"/>
      <c r="D25" s="16" t="inlineStr">
        <is>
          <t>Professor</t>
        </is>
      </c>
      <c r="E25" s="16" t="inlineStr"/>
      <c r="F25" s="16" t="inlineStr"/>
      <c r="G25" s="16" t="inlineStr"/>
      <c r="H25" s="16" t="inlineStr"/>
      <c r="I25" s="57">
        <f>IFERROR(E25+(F25*0.5)+G25+H25,"")</f>
        <v/>
      </c>
      <c r="J25" s="16" t="n">
        <v>14</v>
      </c>
      <c r="K25" s="16">
        <f>IFERROR(I25-J25,"")</f>
        <v/>
      </c>
      <c r="L25" s="16">
        <f>IFERROR(IF(I25&gt;J25,"Excess",IF(I25&lt;J25,"Deficit","Compliant")),"")</f>
        <v/>
      </c>
    </row>
    <row r="26" ht="22" customHeight="1">
      <c r="B26" s="8" t="n">
        <v>22</v>
      </c>
      <c r="C26" s="9" t="inlineStr"/>
      <c r="D26" s="10" t="inlineStr">
        <is>
          <t>Associate Prof</t>
        </is>
      </c>
      <c r="E26" s="10" t="inlineStr"/>
      <c r="F26" s="10" t="inlineStr"/>
      <c r="G26" s="10" t="inlineStr"/>
      <c r="H26" s="10" t="inlineStr"/>
      <c r="I26" s="37">
        <f>IFERROR(E26+(F26*0.5)+G26+H26,"")</f>
        <v/>
      </c>
      <c r="J26" s="10" t="n">
        <v>16</v>
      </c>
      <c r="K26" s="10">
        <f>IFERROR(I26-J26,"")</f>
        <v/>
      </c>
      <c r="L26" s="10">
        <f>IFERROR(IF(I26&gt;J26,"Excess",IF(I26&lt;J26,"Deficit","Compliant")),"")</f>
        <v/>
      </c>
    </row>
    <row r="27" ht="22" customHeight="1"/>
    <row r="28" ht="24" customHeight="1">
      <c r="B28" s="34" t="inlineStr">
        <is>
          <t>DEPARTMENT WORKLOAD SUMMARY</t>
        </is>
      </c>
    </row>
    <row r="29" ht="22" customHeight="1">
      <c r="B29" s="38" t="inlineStr">
        <is>
          <t>Total Faculty in Department</t>
        </is>
      </c>
      <c r="F29" s="36">
        <f>COUNTA(B5:B26)</f>
        <v/>
      </c>
    </row>
    <row r="30" ht="22" customHeight="1">
      <c r="B30" s="25" t="inlineStr">
        <is>
          <t>Faculty Compliant with Norm</t>
        </is>
      </c>
      <c r="F30" s="37">
        <f>COUNTIF(L5:L26,"Compliant")</f>
        <v/>
      </c>
    </row>
    <row r="31" ht="22" customHeight="1">
      <c r="B31" s="38" t="inlineStr">
        <is>
          <t>Faculty with Excess Load</t>
        </is>
      </c>
      <c r="F31" s="36">
        <f>COUNTIF(L5:L26,"Excess")</f>
        <v/>
      </c>
    </row>
    <row r="32" ht="22" customHeight="1">
      <c r="B32" s="25" t="inlineStr">
        <is>
          <t>Faculty with Deficit Load</t>
        </is>
      </c>
      <c r="F32" s="37">
        <f>COUNTIF(L5:L26,"Deficit")</f>
        <v/>
      </c>
    </row>
    <row r="33" ht="22" customHeight="1">
      <c r="B33" s="38" t="inlineStr">
        <is>
          <t>Total Theory Hours (Dept.)</t>
        </is>
      </c>
      <c r="F33" s="36">
        <f>IFERROR(SUM(E5:E26),"")</f>
        <v/>
      </c>
    </row>
    <row r="34" ht="22" customHeight="1">
      <c r="B34" s="25" t="inlineStr">
        <is>
          <t>Average Workload per Faculty</t>
        </is>
      </c>
      <c r="F34" s="37">
        <f>IFERROR(ROUND(AVERAGE(I5:I26),1),"")</f>
        <v/>
      </c>
    </row>
    <row r="35" ht="22" customHeight="1"/>
    <row r="36" ht="22" customHeight="1"/>
    <row r="37" ht="22" customHeight="1"/>
    <row r="38" ht="22" customHeight="1"/>
    <row r="39" ht="22" customHeight="1"/>
  </sheetData>
  <mergeCells count="15">
    <mergeCell ref="F31:L31"/>
    <mergeCell ref="B31:E31"/>
    <mergeCell ref="F32:L32"/>
    <mergeCell ref="F30:L30"/>
    <mergeCell ref="B30:E30"/>
    <mergeCell ref="B3:L3"/>
    <mergeCell ref="B2:L2"/>
    <mergeCell ref="B29:E29"/>
    <mergeCell ref="F29:L29"/>
    <mergeCell ref="B33:E33"/>
    <mergeCell ref="B28:L28"/>
    <mergeCell ref="F34:L34"/>
    <mergeCell ref="B34:E34"/>
    <mergeCell ref="F33:L33"/>
    <mergeCell ref="B32:E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TWC-06: INSTITUTION-WIDE FACULTY WORKLOAD SUMMARY &amp; COMPLIANCE REGISTER</t>
        </is>
      </c>
    </row>
    <row r="3" ht="20" customHeight="1">
      <c r="B3" s="2" t="inlineStr">
        <is>
          <t>Semester: _______  A.Y.: _______  TWC Coordinator: ___________________  Approved by: Principal  Date: _______</t>
        </is>
      </c>
    </row>
    <row r="4" ht="25" customHeight="1">
      <c r="B4" s="13" t="inlineStr">
        <is>
          <t>Department</t>
        </is>
      </c>
      <c r="C4" s="13" t="inlineStr">
        <is>
          <t>Total
Faculty</t>
        </is>
      </c>
      <c r="D4" s="13" t="inlineStr">
        <is>
          <t>Theory
Hrs (Dept.)</t>
        </is>
      </c>
      <c r="E4" s="13" t="inlineStr">
        <is>
          <t>Lab Hrs
(Dept.)</t>
        </is>
      </c>
      <c r="F4" s="13" t="inlineStr">
        <is>
          <t>Avg.
Workload</t>
        </is>
      </c>
      <c r="G4" s="13" t="inlineStr">
        <is>
          <t>Compliant
Faculty</t>
        </is>
      </c>
      <c r="H4" s="13" t="inlineStr">
        <is>
          <t>Excess
Load</t>
        </is>
      </c>
      <c r="I4" s="13" t="inlineStr">
        <is>
          <t>Deficit
Load</t>
        </is>
      </c>
      <c r="J4" s="13" t="inlineStr">
        <is>
          <t>Compliance
Rate %</t>
        </is>
      </c>
      <c r="K4" s="13" t="inlineStr">
        <is>
          <t>Remarks</t>
        </is>
      </c>
    </row>
    <row r="5" ht="22" customHeight="1">
      <c r="B5" s="38" t="inlineStr">
        <is>
          <t>CSE</t>
        </is>
      </c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57">
        <f>IFERROR(ROUND(G5/C5*100,1),"")</f>
        <v/>
      </c>
      <c r="K5" s="15" t="inlineStr"/>
    </row>
    <row r="6" ht="22" customHeight="1">
      <c r="B6" s="25" t="inlineStr">
        <is>
          <t>ECE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37">
        <f>IFERROR(ROUND(G6/C6*100,1),"")</f>
        <v/>
      </c>
      <c r="K6" s="9" t="inlineStr"/>
    </row>
    <row r="7" ht="22" customHeight="1">
      <c r="B7" s="38" t="inlineStr">
        <is>
          <t>EEE</t>
        </is>
      </c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57">
        <f>IFERROR(ROUND(G7/C7*100,1),"")</f>
        <v/>
      </c>
      <c r="K7" s="15" t="inlineStr"/>
    </row>
    <row r="8" ht="22" customHeight="1">
      <c r="B8" s="25" t="inlineStr">
        <is>
          <t>Mechanical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37">
        <f>IFERROR(ROUND(G8/C8*100,1),"")</f>
        <v/>
      </c>
      <c r="K8" s="9" t="inlineStr"/>
    </row>
    <row r="9" ht="22" customHeight="1">
      <c r="B9" s="38" t="inlineStr">
        <is>
          <t>Civil</t>
        </is>
      </c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57">
        <f>IFERROR(ROUND(G9/C9*100,1),"")</f>
        <v/>
      </c>
      <c r="K9" s="15" t="inlineStr"/>
    </row>
    <row r="10" ht="22" customHeight="1">
      <c r="B10" s="25" t="inlineStr">
        <is>
          <t>S&amp;H (Service)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37">
        <f>IFERROR(ROUND(G10/C10*100,1),"")</f>
        <v/>
      </c>
      <c r="K10" s="9" t="inlineStr"/>
    </row>
    <row r="11" ht="22" customHeight="1">
      <c r="B11" s="38" t="inlineStr">
        <is>
          <t>MBA</t>
        </is>
      </c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57">
        <f>IFERROR(ROUND(G11/C11*100,1),"")</f>
        <v/>
      </c>
      <c r="K11" s="15" t="inlineStr"/>
    </row>
    <row r="12" ht="22" customHeight="1">
      <c r="B12" s="25" t="inlineStr">
        <is>
          <t>MCA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37">
        <f>IFERROR(ROUND(G12/C12*100,1),"")</f>
        <v/>
      </c>
      <c r="K12" s="9" t="inlineStr"/>
    </row>
    <row r="13" ht="22" customHeight="1">
      <c r="B13" s="38" t="inlineStr">
        <is>
          <t>Pharmacy</t>
        </is>
      </c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57">
        <f>IFERROR(ROUND(G13/C13*100,1),"")</f>
        <v/>
      </c>
      <c r="K13" s="15" t="inlineStr"/>
    </row>
    <row r="14" ht="22" customHeight="1">
      <c r="B14" s="25" t="inlineStr">
        <is>
          <t>Architecture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37">
        <f>IFERROR(ROUND(G14/C14*100,1),"")</f>
        <v/>
      </c>
      <c r="K14" s="9" t="inlineStr"/>
    </row>
    <row r="15" ht="22" customHeight="1"/>
    <row r="16" ht="26" customHeight="1">
      <c r="B16" s="58" t="inlineStr">
        <is>
          <t>INSTITUTION</t>
        </is>
      </c>
      <c r="C16" s="56">
        <f>IFERROR(SUM(C5:C14),"")</f>
        <v/>
      </c>
      <c r="D16" s="56">
        <f>IFERROR(SUM(D5:D14),"")</f>
        <v/>
      </c>
      <c r="E16" s="56">
        <f>IFERROR(SUM(E5:E14),"")</f>
        <v/>
      </c>
      <c r="F16" s="56">
        <f>IFERROR(SUM(F5:F14),"")</f>
        <v/>
      </c>
      <c r="G16" s="56">
        <f>IFERROR(SUM(G5:G14),"")</f>
        <v/>
      </c>
      <c r="H16" s="56">
        <f>IFERROR(SUM(H5:H14),"")</f>
        <v/>
      </c>
      <c r="I16" s="56">
        <f>IFERROR(SUM(I5:I14),"")</f>
        <v/>
      </c>
      <c r="J16" s="56">
        <f>IFERROR(ROUND(G16/C16*100,1),"")</f>
        <v/>
      </c>
      <c r="K16" s="59" t="n"/>
    </row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mergeCells count="2">
    <mergeCell ref="B3:K3"/>
    <mergeCell ref="B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TWC-09: SUBSTITUTE / RELIEF CLASS REGISTER</t>
        </is>
      </c>
    </row>
    <row r="3" ht="20" customHeight="1">
      <c r="B3" s="17" t="inlineStr">
        <is>
          <t>Substitute classes are mandatory when a faculty is absent. Arrange substitute within 30 minutes of absence. Record in this register and forward to CoE for attendance records and compensation tracking.</t>
        </is>
      </c>
    </row>
    <row r="4" ht="25" customHeight="1">
      <c r="B4" s="13" t="inlineStr">
        <is>
          <t>Sub.
Ref.</t>
        </is>
      </c>
      <c r="C4" s="13" t="inlineStr">
        <is>
          <t>Date</t>
        </is>
      </c>
      <c r="D4" s="13" t="inlineStr">
        <is>
          <t>Period /
Time Slot</t>
        </is>
      </c>
      <c r="E4" s="13" t="inlineStr">
        <is>
          <t>Absent Faculty
(Name / Dept.)</t>
        </is>
      </c>
      <c r="F4" s="13" t="inlineStr">
        <is>
          <t>Reason
for Absence</t>
        </is>
      </c>
      <c r="G4" s="13" t="inlineStr">
        <is>
          <t>Course /
Subject</t>
        </is>
      </c>
      <c r="H4" s="13" t="inlineStr">
        <is>
          <t>Class /
Section</t>
        </is>
      </c>
      <c r="I4" s="13" t="inlineStr">
        <is>
          <t>Substitute
Faculty</t>
        </is>
      </c>
      <c r="J4" s="13" t="inlineStr">
        <is>
          <t>HoD
Approval</t>
        </is>
      </c>
    </row>
    <row r="5" ht="22" customHeight="1">
      <c r="B5" s="14" t="inlineStr">
        <is>
          <t>SUB/0001</t>
        </is>
      </c>
      <c r="C5" s="16" t="inlineStr"/>
      <c r="D5" s="16" t="inlineStr"/>
      <c r="E5" s="15" t="inlineStr"/>
      <c r="F5" s="16" t="inlineStr">
        <is>
          <t>Leave (CL / PL)</t>
        </is>
      </c>
      <c r="G5" s="15" t="inlineStr"/>
      <c r="H5" s="16" t="inlineStr"/>
      <c r="I5" s="15" t="inlineStr"/>
      <c r="J5" s="16" t="inlineStr">
        <is>
          <t>Y</t>
        </is>
      </c>
    </row>
    <row r="6" ht="22" customHeight="1">
      <c r="B6" s="8" t="inlineStr">
        <is>
          <t>SUB/0002</t>
        </is>
      </c>
      <c r="C6" s="10" t="inlineStr"/>
      <c r="D6" s="10" t="inlineStr"/>
      <c r="E6" s="9" t="inlineStr"/>
      <c r="F6" s="10" t="inlineStr">
        <is>
          <t>Medical Leave</t>
        </is>
      </c>
      <c r="G6" s="9" t="inlineStr"/>
      <c r="H6" s="10" t="inlineStr"/>
      <c r="I6" s="9" t="inlineStr"/>
      <c r="J6" s="10" t="inlineStr">
        <is>
          <t>Y</t>
        </is>
      </c>
    </row>
    <row r="7" ht="22" customHeight="1">
      <c r="B7" s="14" t="inlineStr">
        <is>
          <t>SUB/0003</t>
        </is>
      </c>
      <c r="C7" s="16" t="inlineStr"/>
      <c r="D7" s="16" t="inlineStr"/>
      <c r="E7" s="15" t="inlineStr"/>
      <c r="F7" s="16" t="inlineStr">
        <is>
          <t>Deputation / Duty Leave</t>
        </is>
      </c>
      <c r="G7" s="15" t="inlineStr"/>
      <c r="H7" s="16" t="inlineStr"/>
      <c r="I7" s="15" t="inlineStr"/>
      <c r="J7" s="16" t="inlineStr">
        <is>
          <t>Y</t>
        </is>
      </c>
    </row>
    <row r="8" ht="22" customHeight="1">
      <c r="B8" s="8" t="inlineStr">
        <is>
          <t>SUB/0004</t>
        </is>
      </c>
      <c r="C8" s="10" t="inlineStr"/>
      <c r="D8" s="10" t="inlineStr"/>
      <c r="E8" s="9" t="inlineStr"/>
      <c r="F8" s="10" t="inlineStr">
        <is>
          <t>Official Work</t>
        </is>
      </c>
      <c r="G8" s="9" t="inlineStr"/>
      <c r="H8" s="10" t="inlineStr"/>
      <c r="I8" s="9" t="inlineStr"/>
      <c r="J8" s="10" t="inlineStr">
        <is>
          <t>Y</t>
        </is>
      </c>
    </row>
    <row r="9" ht="22" customHeight="1">
      <c r="B9" s="14" t="inlineStr">
        <is>
          <t>SUB/0005</t>
        </is>
      </c>
      <c r="C9" s="16" t="inlineStr"/>
      <c r="D9" s="16" t="inlineStr"/>
      <c r="E9" s="15" t="inlineStr"/>
      <c r="F9" s="16" t="inlineStr">
        <is>
          <t>Conference / Seminar</t>
        </is>
      </c>
      <c r="G9" s="15" t="inlineStr"/>
      <c r="H9" s="16" t="inlineStr"/>
      <c r="I9" s="15" t="inlineStr"/>
      <c r="J9" s="16" t="inlineStr">
        <is>
          <t>Y</t>
        </is>
      </c>
    </row>
    <row r="10" ht="22" customHeight="1">
      <c r="B10" s="8" t="inlineStr">
        <is>
          <t>SUB/0006</t>
        </is>
      </c>
      <c r="C10" s="10" t="inlineStr"/>
      <c r="D10" s="10" t="inlineStr"/>
      <c r="E10" s="9" t="inlineStr"/>
      <c r="F10" s="10" t="inlineStr">
        <is>
          <t>FDP / Training</t>
        </is>
      </c>
      <c r="G10" s="9" t="inlineStr"/>
      <c r="H10" s="10" t="inlineStr"/>
      <c r="I10" s="9" t="inlineStr"/>
      <c r="J10" s="10" t="inlineStr">
        <is>
          <t>Y</t>
        </is>
      </c>
    </row>
    <row r="11" ht="22" customHeight="1">
      <c r="B11" s="14" t="inlineStr">
        <is>
          <t>SUB/0007</t>
        </is>
      </c>
      <c r="C11" s="16" t="inlineStr"/>
      <c r="D11" s="16" t="inlineStr"/>
      <c r="E11" s="15" t="inlineStr"/>
      <c r="F11" s="16" t="inlineStr">
        <is>
          <t>Late arrival</t>
        </is>
      </c>
      <c r="G11" s="15" t="inlineStr"/>
      <c r="H11" s="16" t="inlineStr"/>
      <c r="I11" s="15" t="inlineStr"/>
      <c r="J11" s="16" t="inlineStr">
        <is>
          <t>Y</t>
        </is>
      </c>
    </row>
    <row r="12" ht="22" customHeight="1">
      <c r="B12" s="8" t="inlineStr">
        <is>
          <t>SUB/0008</t>
        </is>
      </c>
      <c r="C12" s="10" t="inlineStr"/>
      <c r="D12" s="10" t="inlineStr"/>
      <c r="E12" s="9" t="inlineStr"/>
      <c r="F12" s="10" t="inlineStr">
        <is>
          <t>Any other</t>
        </is>
      </c>
      <c r="G12" s="9" t="inlineStr"/>
      <c r="H12" s="10" t="inlineStr"/>
      <c r="I12" s="9" t="inlineStr"/>
      <c r="J12" s="10" t="inlineStr">
        <is>
          <t>Y</t>
        </is>
      </c>
    </row>
    <row r="13" ht="22" customHeight="1">
      <c r="B13" s="14" t="inlineStr">
        <is>
          <t>SUB/0009</t>
        </is>
      </c>
      <c r="C13" s="16" t="inlineStr"/>
      <c r="D13" s="16" t="inlineStr"/>
      <c r="E13" s="15" t="inlineStr"/>
      <c r="F13" s="16" t="inlineStr">
        <is>
          <t>Leave (CL / PL)</t>
        </is>
      </c>
      <c r="G13" s="15" t="inlineStr"/>
      <c r="H13" s="16" t="inlineStr"/>
      <c r="I13" s="15" t="inlineStr"/>
      <c r="J13" s="16" t="inlineStr">
        <is>
          <t>Y</t>
        </is>
      </c>
    </row>
    <row r="14" ht="22" customHeight="1">
      <c r="B14" s="8" t="inlineStr">
        <is>
          <t>SUB/0010</t>
        </is>
      </c>
      <c r="C14" s="10" t="inlineStr"/>
      <c r="D14" s="10" t="inlineStr"/>
      <c r="E14" s="9" t="inlineStr"/>
      <c r="F14" s="10" t="inlineStr">
        <is>
          <t>Medical Leave</t>
        </is>
      </c>
      <c r="G14" s="9" t="inlineStr"/>
      <c r="H14" s="10" t="inlineStr"/>
      <c r="I14" s="9" t="inlineStr"/>
      <c r="J14" s="10" t="inlineStr">
        <is>
          <t>Y</t>
        </is>
      </c>
    </row>
    <row r="15" ht="22" customHeight="1">
      <c r="B15" s="14" t="inlineStr">
        <is>
          <t>SUB/0011</t>
        </is>
      </c>
      <c r="C15" s="16" t="inlineStr"/>
      <c r="D15" s="16" t="inlineStr"/>
      <c r="E15" s="15" t="inlineStr"/>
      <c r="F15" s="16" t="inlineStr">
        <is>
          <t>Deputation / Duty Leave</t>
        </is>
      </c>
      <c r="G15" s="15" t="inlineStr"/>
      <c r="H15" s="16" t="inlineStr"/>
      <c r="I15" s="15" t="inlineStr"/>
      <c r="J15" s="16" t="inlineStr">
        <is>
          <t>Y</t>
        </is>
      </c>
    </row>
    <row r="16" ht="22" customHeight="1">
      <c r="B16" s="8" t="inlineStr">
        <is>
          <t>SUB/0012</t>
        </is>
      </c>
      <c r="C16" s="10" t="inlineStr"/>
      <c r="D16" s="10" t="inlineStr"/>
      <c r="E16" s="9" t="inlineStr"/>
      <c r="F16" s="10" t="inlineStr">
        <is>
          <t>Official Work</t>
        </is>
      </c>
      <c r="G16" s="9" t="inlineStr"/>
      <c r="H16" s="10" t="inlineStr"/>
      <c r="I16" s="9" t="inlineStr"/>
      <c r="J16" s="10" t="inlineStr">
        <is>
          <t>Y</t>
        </is>
      </c>
    </row>
    <row r="17" ht="22" customHeight="1">
      <c r="B17" s="14" t="inlineStr">
        <is>
          <t>SUB/0013</t>
        </is>
      </c>
      <c r="C17" s="16" t="inlineStr"/>
      <c r="D17" s="16" t="inlineStr"/>
      <c r="E17" s="15" t="inlineStr"/>
      <c r="F17" s="16" t="inlineStr">
        <is>
          <t>Conference / Seminar</t>
        </is>
      </c>
      <c r="G17" s="15" t="inlineStr"/>
      <c r="H17" s="16" t="inlineStr"/>
      <c r="I17" s="15" t="inlineStr"/>
      <c r="J17" s="16" t="inlineStr">
        <is>
          <t>Y</t>
        </is>
      </c>
    </row>
    <row r="18" ht="22" customHeight="1">
      <c r="B18" s="8" t="inlineStr">
        <is>
          <t>SUB/0014</t>
        </is>
      </c>
      <c r="C18" s="10" t="inlineStr"/>
      <c r="D18" s="10" t="inlineStr"/>
      <c r="E18" s="9" t="inlineStr"/>
      <c r="F18" s="10" t="inlineStr">
        <is>
          <t>FDP / Training</t>
        </is>
      </c>
      <c r="G18" s="9" t="inlineStr"/>
      <c r="H18" s="10" t="inlineStr"/>
      <c r="I18" s="9" t="inlineStr"/>
      <c r="J18" s="10" t="inlineStr">
        <is>
          <t>Y</t>
        </is>
      </c>
    </row>
    <row r="19" ht="22" customHeight="1">
      <c r="B19" s="14" t="inlineStr">
        <is>
          <t>SUB/0015</t>
        </is>
      </c>
      <c r="C19" s="16" t="inlineStr"/>
      <c r="D19" s="16" t="inlineStr"/>
      <c r="E19" s="15" t="inlineStr"/>
      <c r="F19" s="16" t="inlineStr">
        <is>
          <t>Late arrival</t>
        </is>
      </c>
      <c r="G19" s="15" t="inlineStr"/>
      <c r="H19" s="16" t="inlineStr"/>
      <c r="I19" s="15" t="inlineStr"/>
      <c r="J19" s="16" t="inlineStr">
        <is>
          <t>Y</t>
        </is>
      </c>
    </row>
    <row r="20" ht="22" customHeight="1">
      <c r="B20" s="8" t="inlineStr">
        <is>
          <t>SUB/0016</t>
        </is>
      </c>
      <c r="C20" s="10" t="inlineStr"/>
      <c r="D20" s="10" t="inlineStr"/>
      <c r="E20" s="9" t="inlineStr"/>
      <c r="F20" s="10" t="inlineStr">
        <is>
          <t>Any other</t>
        </is>
      </c>
      <c r="G20" s="9" t="inlineStr"/>
      <c r="H20" s="10" t="inlineStr"/>
      <c r="I20" s="9" t="inlineStr"/>
      <c r="J20" s="10" t="inlineStr">
        <is>
          <t>Y</t>
        </is>
      </c>
    </row>
    <row r="21" ht="22" customHeight="1">
      <c r="B21" s="14" t="inlineStr">
        <is>
          <t>SUB/0017</t>
        </is>
      </c>
      <c r="C21" s="16" t="inlineStr"/>
      <c r="D21" s="16" t="inlineStr"/>
      <c r="E21" s="15" t="inlineStr"/>
      <c r="F21" s="16" t="inlineStr">
        <is>
          <t>Leave (CL / PL)</t>
        </is>
      </c>
      <c r="G21" s="15" t="inlineStr"/>
      <c r="H21" s="16" t="inlineStr"/>
      <c r="I21" s="15" t="inlineStr"/>
      <c r="J21" s="16" t="inlineStr">
        <is>
          <t>Y</t>
        </is>
      </c>
    </row>
    <row r="22" ht="22" customHeight="1">
      <c r="B22" s="8" t="inlineStr">
        <is>
          <t>SUB/0018</t>
        </is>
      </c>
      <c r="C22" s="10" t="inlineStr"/>
      <c r="D22" s="10" t="inlineStr"/>
      <c r="E22" s="9" t="inlineStr"/>
      <c r="F22" s="10" t="inlineStr">
        <is>
          <t>Medical Leave</t>
        </is>
      </c>
      <c r="G22" s="9" t="inlineStr"/>
      <c r="H22" s="10" t="inlineStr"/>
      <c r="I22" s="9" t="inlineStr"/>
      <c r="J22" s="10" t="inlineStr">
        <is>
          <t>Y</t>
        </is>
      </c>
    </row>
    <row r="23" ht="22" customHeight="1">
      <c r="B23" s="14" t="inlineStr">
        <is>
          <t>SUB/0019</t>
        </is>
      </c>
      <c r="C23" s="16" t="inlineStr"/>
      <c r="D23" s="16" t="inlineStr"/>
      <c r="E23" s="15" t="inlineStr"/>
      <c r="F23" s="16" t="inlineStr">
        <is>
          <t>Deputation / Duty Leave</t>
        </is>
      </c>
      <c r="G23" s="15" t="inlineStr"/>
      <c r="H23" s="16" t="inlineStr"/>
      <c r="I23" s="15" t="inlineStr"/>
      <c r="J23" s="16" t="inlineStr">
        <is>
          <t>Y</t>
        </is>
      </c>
    </row>
    <row r="24" ht="22" customHeight="1">
      <c r="B24" s="8" t="inlineStr">
        <is>
          <t>SUB/0020</t>
        </is>
      </c>
      <c r="C24" s="10" t="inlineStr"/>
      <c r="D24" s="10" t="inlineStr"/>
      <c r="E24" s="9" t="inlineStr"/>
      <c r="F24" s="10" t="inlineStr">
        <is>
          <t>Official Work</t>
        </is>
      </c>
      <c r="G24" s="9" t="inlineStr"/>
      <c r="H24" s="10" t="inlineStr"/>
      <c r="I24" s="9" t="inlineStr"/>
      <c r="J24" s="10" t="inlineStr">
        <is>
          <t>Y</t>
        </is>
      </c>
    </row>
    <row r="25" ht="22" customHeight="1">
      <c r="B25" s="14" t="inlineStr">
        <is>
          <t>SUB/0021</t>
        </is>
      </c>
      <c r="C25" s="16" t="inlineStr"/>
      <c r="D25" s="16" t="inlineStr"/>
      <c r="E25" s="15" t="inlineStr"/>
      <c r="F25" s="16" t="inlineStr">
        <is>
          <t>Conference / Seminar</t>
        </is>
      </c>
      <c r="G25" s="15" t="inlineStr"/>
      <c r="H25" s="16" t="inlineStr"/>
      <c r="I25" s="15" t="inlineStr"/>
      <c r="J25" s="16" t="inlineStr">
        <is>
          <t>Y</t>
        </is>
      </c>
    </row>
    <row r="26" ht="22" customHeight="1">
      <c r="B26" s="8" t="inlineStr">
        <is>
          <t>SUB/0022</t>
        </is>
      </c>
      <c r="C26" s="10" t="inlineStr"/>
      <c r="D26" s="10" t="inlineStr"/>
      <c r="E26" s="9" t="inlineStr"/>
      <c r="F26" s="10" t="inlineStr">
        <is>
          <t>FDP / Training</t>
        </is>
      </c>
      <c r="G26" s="9" t="inlineStr"/>
      <c r="H26" s="10" t="inlineStr"/>
      <c r="I26" s="9" t="inlineStr"/>
      <c r="J26" s="10" t="inlineStr">
        <is>
          <t>Y</t>
        </is>
      </c>
    </row>
    <row r="27" ht="22" customHeight="1">
      <c r="B27" s="14" t="inlineStr">
        <is>
          <t>SUB/0023</t>
        </is>
      </c>
      <c r="C27" s="16" t="inlineStr"/>
      <c r="D27" s="16" t="inlineStr"/>
      <c r="E27" s="15" t="inlineStr"/>
      <c r="F27" s="16" t="inlineStr">
        <is>
          <t>Late arrival</t>
        </is>
      </c>
      <c r="G27" s="15" t="inlineStr"/>
      <c r="H27" s="16" t="inlineStr"/>
      <c r="I27" s="15" t="inlineStr"/>
      <c r="J27" s="16" t="inlineStr">
        <is>
          <t>Y</t>
        </is>
      </c>
    </row>
    <row r="28" ht="22" customHeight="1">
      <c r="B28" s="8" t="inlineStr">
        <is>
          <t>SUB/0024</t>
        </is>
      </c>
      <c r="C28" s="10" t="inlineStr"/>
      <c r="D28" s="10" t="inlineStr"/>
      <c r="E28" s="9" t="inlineStr"/>
      <c r="F28" s="10" t="inlineStr">
        <is>
          <t>Any other</t>
        </is>
      </c>
      <c r="G28" s="9" t="inlineStr"/>
      <c r="H28" s="10" t="inlineStr"/>
      <c r="I28" s="9" t="inlineStr"/>
      <c r="J28" s="10" t="inlineStr">
        <is>
          <t>Y</t>
        </is>
      </c>
    </row>
    <row r="29" ht="22" customHeight="1">
      <c r="B29" s="14" t="inlineStr">
        <is>
          <t>SUB/0025</t>
        </is>
      </c>
      <c r="C29" s="16" t="inlineStr"/>
      <c r="D29" s="16" t="inlineStr"/>
      <c r="E29" s="15" t="inlineStr"/>
      <c r="F29" s="16" t="inlineStr">
        <is>
          <t>Leave (CL / PL)</t>
        </is>
      </c>
      <c r="G29" s="15" t="inlineStr"/>
      <c r="H29" s="16" t="inlineStr"/>
      <c r="I29" s="15" t="inlineStr"/>
      <c r="J29" s="16" t="inlineStr">
        <is>
          <t>Y</t>
        </is>
      </c>
    </row>
    <row r="30" ht="22" customHeight="1">
      <c r="B30" s="8" t="inlineStr">
        <is>
          <t>SUB/0026</t>
        </is>
      </c>
      <c r="C30" s="10" t="inlineStr"/>
      <c r="D30" s="10" t="inlineStr"/>
      <c r="E30" s="9" t="inlineStr"/>
      <c r="F30" s="10" t="inlineStr">
        <is>
          <t>Medical Leave</t>
        </is>
      </c>
      <c r="G30" s="9" t="inlineStr"/>
      <c r="H30" s="10" t="inlineStr"/>
      <c r="I30" s="9" t="inlineStr"/>
      <c r="J30" s="10" t="inlineStr">
        <is>
          <t>Y</t>
        </is>
      </c>
    </row>
    <row r="31" ht="22" customHeight="1"/>
    <row r="32" ht="24" customHeight="1">
      <c r="B32" s="34" t="inlineStr">
        <is>
          <t>SUBSTITUTE CLASS STATISTICS</t>
        </is>
      </c>
    </row>
    <row r="33" ht="22" customHeight="1">
      <c r="B33" s="38" t="inlineStr">
        <is>
          <t>Total Substitute Classes Arranged</t>
        </is>
      </c>
      <c r="F33" s="36">
        <f>COUNTA(B5:B30)</f>
        <v/>
      </c>
    </row>
    <row r="34" ht="22" customHeight="1">
      <c r="B34" s="25" t="inlineStr">
        <is>
          <t>Medical / Genuine Leave Cases</t>
        </is>
      </c>
      <c r="F34" s="37">
        <f>COUNTIF(F5:F30,"Medical Leave")</f>
        <v/>
      </c>
    </row>
    <row r="35" ht="22" customHeight="1">
      <c r="B35" s="38" t="inlineStr">
        <is>
          <t>Unplanned Absence Cases</t>
        </is>
      </c>
      <c r="F35" s="36">
        <f>COUNTIF(F5:F30,"Late arrival")</f>
        <v/>
      </c>
    </row>
    <row r="36">
      <c r="B36" s="25" t="inlineStr">
        <is>
          <t>Faculty with Most Absence</t>
        </is>
      </c>
      <c r="F36" s="37" t="inlineStr"/>
    </row>
    <row r="37">
      <c r="B37" s="38" t="inlineStr">
        <is>
          <t>Substitute Classes Without Replacement</t>
        </is>
      </c>
      <c r="F37" s="36" t="inlineStr"/>
    </row>
    <row r="38">
      <c r="B38" s="25" t="inlineStr">
        <is>
          <t>% Classes Successfully Covered</t>
        </is>
      </c>
      <c r="F38" s="37">
        <f>IFERROR(ROUND(COUNTIF(I5:I30,"&lt;&gt;"&amp;"")/COUNTA(B5:B30)*100,1),"")</f>
        <v/>
      </c>
    </row>
  </sheetData>
  <mergeCells count="15">
    <mergeCell ref="B3:J3"/>
    <mergeCell ref="B35:E35"/>
    <mergeCell ref="F37:J37"/>
    <mergeCell ref="F34:J34"/>
    <mergeCell ref="B37:E37"/>
    <mergeCell ref="F38:J38"/>
    <mergeCell ref="B32:J32"/>
    <mergeCell ref="B38:E38"/>
    <mergeCell ref="F36:J36"/>
    <mergeCell ref="B33:E33"/>
    <mergeCell ref="F33:J33"/>
    <mergeCell ref="B34:E34"/>
    <mergeCell ref="F35:J35"/>
    <mergeCell ref="B36:E36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TWC-11: COURSE–FACULTY ALLOCATION REGISTER</t>
        </is>
      </c>
    </row>
    <row r="3" ht="20" customHeight="1">
      <c r="B3" s="2" t="inlineStr">
        <is>
          <t>Department: _______  Semester: _______  A.Y.: _______  HoD: ___________________</t>
        </is>
      </c>
    </row>
    <row r="4" ht="25" customHeight="1">
      <c r="B4" s="13" t="inlineStr">
        <is>
          <t>Course
Code</t>
        </is>
      </c>
      <c r="C4" s="13" t="inlineStr">
        <is>
          <t>Course Name</t>
        </is>
      </c>
      <c r="D4" s="13" t="inlineStr">
        <is>
          <t>Type
(T/P/T+P)</t>
        </is>
      </c>
      <c r="E4" s="13" t="inlineStr">
        <is>
          <t>Credits
(L-T-P)</t>
        </is>
      </c>
      <c r="F4" s="13" t="inlineStr">
        <is>
          <t>Sections</t>
        </is>
      </c>
      <c r="G4" s="13" t="inlineStr">
        <is>
          <t>Assigned
Faculty</t>
        </is>
      </c>
      <c r="H4" s="13" t="inlineStr">
        <is>
          <t>Hrs /
Week</t>
        </is>
      </c>
      <c r="I4" s="13" t="inlineStr">
        <is>
          <t>Total
Students</t>
        </is>
      </c>
      <c r="J4" s="13" t="inlineStr">
        <is>
          <t>Room /
Lab</t>
        </is>
      </c>
      <c r="K4" s="13" t="inlineStr">
        <is>
          <t>Allocation
Status</t>
        </is>
      </c>
    </row>
    <row r="5" ht="22" customHeight="1">
      <c r="B5" s="14" t="inlineStr">
        <is>
          <t>CS3000</t>
        </is>
      </c>
      <c r="C5" s="15" t="inlineStr"/>
      <c r="D5" s="16" t="inlineStr">
        <is>
          <t>Theory (T)</t>
        </is>
      </c>
      <c r="E5" s="16" t="inlineStr"/>
      <c r="F5" s="16" t="inlineStr"/>
      <c r="G5" s="15" t="inlineStr"/>
      <c r="H5" s="16" t="inlineStr"/>
      <c r="I5" s="16" t="inlineStr"/>
      <c r="J5" s="16" t="inlineStr"/>
      <c r="K5" s="16" t="inlineStr">
        <is>
          <t>Allocated</t>
        </is>
      </c>
    </row>
    <row r="6" ht="22" customHeight="1">
      <c r="B6" s="8" t="inlineStr">
        <is>
          <t>CS3010</t>
        </is>
      </c>
      <c r="C6" s="9" t="inlineStr"/>
      <c r="D6" s="10" t="inlineStr">
        <is>
          <t>Practical (P)</t>
        </is>
      </c>
      <c r="E6" s="10" t="inlineStr"/>
      <c r="F6" s="10" t="inlineStr"/>
      <c r="G6" s="9" t="inlineStr"/>
      <c r="H6" s="10" t="inlineStr"/>
      <c r="I6" s="10" t="inlineStr"/>
      <c r="J6" s="10" t="inlineStr"/>
      <c r="K6" s="10" t="inlineStr">
        <is>
          <t>Allocated</t>
        </is>
      </c>
    </row>
    <row r="7" ht="22" customHeight="1">
      <c r="B7" s="14" t="inlineStr">
        <is>
          <t>CS3020</t>
        </is>
      </c>
      <c r="C7" s="15" t="inlineStr"/>
      <c r="D7" s="16" t="inlineStr">
        <is>
          <t>Theory + Practical</t>
        </is>
      </c>
      <c r="E7" s="16" t="inlineStr"/>
      <c r="F7" s="16" t="inlineStr"/>
      <c r="G7" s="15" t="inlineStr"/>
      <c r="H7" s="16" t="inlineStr"/>
      <c r="I7" s="16" t="inlineStr"/>
      <c r="J7" s="16" t="inlineStr"/>
      <c r="K7" s="16" t="inlineStr">
        <is>
          <t>Allocated</t>
        </is>
      </c>
    </row>
    <row r="8" ht="22" customHeight="1">
      <c r="B8" s="8" t="inlineStr">
        <is>
          <t>CS3030</t>
        </is>
      </c>
      <c r="C8" s="9" t="inlineStr"/>
      <c r="D8" s="10" t="inlineStr">
        <is>
          <t>Tutorial</t>
        </is>
      </c>
      <c r="E8" s="10" t="inlineStr"/>
      <c r="F8" s="10" t="inlineStr"/>
      <c r="G8" s="9" t="inlineStr"/>
      <c r="H8" s="10" t="inlineStr"/>
      <c r="I8" s="10" t="inlineStr"/>
      <c r="J8" s="10" t="inlineStr"/>
      <c r="K8" s="10" t="inlineStr">
        <is>
          <t>Allocated</t>
        </is>
      </c>
    </row>
    <row r="9" ht="22" customHeight="1">
      <c r="B9" s="14" t="inlineStr">
        <is>
          <t>CS3040</t>
        </is>
      </c>
      <c r="C9" s="15" t="inlineStr"/>
      <c r="D9" s="16" t="inlineStr">
        <is>
          <t>Elective (T)</t>
        </is>
      </c>
      <c r="E9" s="16" t="inlineStr"/>
      <c r="F9" s="16" t="inlineStr"/>
      <c r="G9" s="15" t="inlineStr"/>
      <c r="H9" s="16" t="inlineStr"/>
      <c r="I9" s="16" t="inlineStr"/>
      <c r="J9" s="16" t="inlineStr"/>
      <c r="K9" s="16" t="inlineStr">
        <is>
          <t>Allocated</t>
        </is>
      </c>
    </row>
    <row r="10" ht="22" customHeight="1">
      <c r="B10" s="8" t="inlineStr">
        <is>
          <t>CS3050</t>
        </is>
      </c>
      <c r="C10" s="9" t="inlineStr"/>
      <c r="D10" s="10" t="inlineStr">
        <is>
          <t>Elective (P)</t>
        </is>
      </c>
      <c r="E10" s="10" t="inlineStr"/>
      <c r="F10" s="10" t="inlineStr"/>
      <c r="G10" s="9" t="inlineStr"/>
      <c r="H10" s="10" t="inlineStr"/>
      <c r="I10" s="10" t="inlineStr"/>
      <c r="J10" s="10" t="inlineStr"/>
      <c r="K10" s="10" t="inlineStr">
        <is>
          <t>Allocated</t>
        </is>
      </c>
    </row>
    <row r="11" ht="22" customHeight="1">
      <c r="B11" s="14" t="inlineStr">
        <is>
          <t>CS3060</t>
        </is>
      </c>
      <c r="C11" s="15" t="inlineStr"/>
      <c r="D11" s="16" t="inlineStr">
        <is>
          <t>Open Elective</t>
        </is>
      </c>
      <c r="E11" s="16" t="inlineStr"/>
      <c r="F11" s="16" t="inlineStr"/>
      <c r="G11" s="15" t="inlineStr"/>
      <c r="H11" s="16" t="inlineStr"/>
      <c r="I11" s="16" t="inlineStr"/>
      <c r="J11" s="16" t="inlineStr"/>
      <c r="K11" s="16" t="inlineStr">
        <is>
          <t>Allocated</t>
        </is>
      </c>
    </row>
    <row r="12" ht="22" customHeight="1">
      <c r="B12" s="8" t="inlineStr">
        <is>
          <t>CS3070</t>
        </is>
      </c>
      <c r="C12" s="9" t="inlineStr"/>
      <c r="D12" s="10" t="inlineStr">
        <is>
          <t>MOOC / Online</t>
        </is>
      </c>
      <c r="E12" s="10" t="inlineStr"/>
      <c r="F12" s="10" t="inlineStr"/>
      <c r="G12" s="9" t="inlineStr"/>
      <c r="H12" s="10" t="inlineStr"/>
      <c r="I12" s="10" t="inlineStr"/>
      <c r="J12" s="10" t="inlineStr"/>
      <c r="K12" s="10" t="inlineStr">
        <is>
          <t>Allocated</t>
        </is>
      </c>
    </row>
    <row r="13" ht="22" customHeight="1">
      <c r="B13" s="14" t="inlineStr">
        <is>
          <t>CS3080</t>
        </is>
      </c>
      <c r="C13" s="15" t="inlineStr"/>
      <c r="D13" s="16" t="inlineStr">
        <is>
          <t>Project</t>
        </is>
      </c>
      <c r="E13" s="16" t="inlineStr"/>
      <c r="F13" s="16" t="inlineStr"/>
      <c r="G13" s="15" t="inlineStr"/>
      <c r="H13" s="16" t="inlineStr"/>
      <c r="I13" s="16" t="inlineStr"/>
      <c r="J13" s="16" t="inlineStr"/>
      <c r="K13" s="16" t="inlineStr">
        <is>
          <t>Allocated</t>
        </is>
      </c>
    </row>
    <row r="14" ht="22" customHeight="1">
      <c r="B14" s="8" t="inlineStr">
        <is>
          <t>CS3090</t>
        </is>
      </c>
      <c r="C14" s="9" t="inlineStr"/>
      <c r="D14" s="10" t="inlineStr">
        <is>
          <t>Seminar</t>
        </is>
      </c>
      <c r="E14" s="10" t="inlineStr"/>
      <c r="F14" s="10" t="inlineStr"/>
      <c r="G14" s="9" t="inlineStr"/>
      <c r="H14" s="10" t="inlineStr"/>
      <c r="I14" s="10" t="inlineStr"/>
      <c r="J14" s="10" t="inlineStr"/>
      <c r="K14" s="10" t="inlineStr">
        <is>
          <t>Allocated</t>
        </is>
      </c>
    </row>
    <row r="15" ht="22" customHeight="1">
      <c r="B15" s="14" t="inlineStr">
        <is>
          <t>CS3100</t>
        </is>
      </c>
      <c r="C15" s="15" t="inlineStr"/>
      <c r="D15" s="16" t="inlineStr">
        <is>
          <t>Theory (T)</t>
        </is>
      </c>
      <c r="E15" s="16" t="inlineStr"/>
      <c r="F15" s="16" t="inlineStr"/>
      <c r="G15" s="15" t="inlineStr"/>
      <c r="H15" s="16" t="inlineStr"/>
      <c r="I15" s="16" t="inlineStr"/>
      <c r="J15" s="16" t="inlineStr"/>
      <c r="K15" s="16" t="inlineStr">
        <is>
          <t>Allocated</t>
        </is>
      </c>
    </row>
    <row r="16" ht="22" customHeight="1">
      <c r="B16" s="8" t="inlineStr">
        <is>
          <t>CS3110</t>
        </is>
      </c>
      <c r="C16" s="9" t="inlineStr"/>
      <c r="D16" s="10" t="inlineStr">
        <is>
          <t>Practical (P)</t>
        </is>
      </c>
      <c r="E16" s="10" t="inlineStr"/>
      <c r="F16" s="10" t="inlineStr"/>
      <c r="G16" s="9" t="inlineStr"/>
      <c r="H16" s="10" t="inlineStr"/>
      <c r="I16" s="10" t="inlineStr"/>
      <c r="J16" s="10" t="inlineStr"/>
      <c r="K16" s="10" t="inlineStr">
        <is>
          <t>Allocated</t>
        </is>
      </c>
    </row>
    <row r="17" ht="22" customHeight="1">
      <c r="B17" s="14" t="inlineStr">
        <is>
          <t>CS3120</t>
        </is>
      </c>
      <c r="C17" s="15" t="inlineStr"/>
      <c r="D17" s="16" t="inlineStr">
        <is>
          <t>Theory + Practical</t>
        </is>
      </c>
      <c r="E17" s="16" t="inlineStr"/>
      <c r="F17" s="16" t="inlineStr"/>
      <c r="G17" s="15" t="inlineStr"/>
      <c r="H17" s="16" t="inlineStr"/>
      <c r="I17" s="16" t="inlineStr"/>
      <c r="J17" s="16" t="inlineStr"/>
      <c r="K17" s="16" t="inlineStr">
        <is>
          <t>Allocated</t>
        </is>
      </c>
    </row>
    <row r="18" ht="22" customHeight="1">
      <c r="B18" s="8" t="inlineStr">
        <is>
          <t>CS3130</t>
        </is>
      </c>
      <c r="C18" s="9" t="inlineStr"/>
      <c r="D18" s="10" t="inlineStr">
        <is>
          <t>Tutorial</t>
        </is>
      </c>
      <c r="E18" s="10" t="inlineStr"/>
      <c r="F18" s="10" t="inlineStr"/>
      <c r="G18" s="9" t="inlineStr"/>
      <c r="H18" s="10" t="inlineStr"/>
      <c r="I18" s="10" t="inlineStr"/>
      <c r="J18" s="10" t="inlineStr"/>
      <c r="K18" s="10" t="inlineStr">
        <is>
          <t>Allocated</t>
        </is>
      </c>
    </row>
    <row r="19" ht="22" customHeight="1">
      <c r="B19" s="14" t="inlineStr">
        <is>
          <t>CS3140</t>
        </is>
      </c>
      <c r="C19" s="15" t="inlineStr"/>
      <c r="D19" s="16" t="inlineStr">
        <is>
          <t>Elective (T)</t>
        </is>
      </c>
      <c r="E19" s="16" t="inlineStr"/>
      <c r="F19" s="16" t="inlineStr"/>
      <c r="G19" s="15" t="inlineStr"/>
      <c r="H19" s="16" t="inlineStr"/>
      <c r="I19" s="16" t="inlineStr"/>
      <c r="J19" s="16" t="inlineStr"/>
      <c r="K19" s="16" t="inlineStr">
        <is>
          <t>Allocated</t>
        </is>
      </c>
    </row>
    <row r="20" ht="22" customHeight="1">
      <c r="B20" s="8" t="inlineStr">
        <is>
          <t>CS3150</t>
        </is>
      </c>
      <c r="C20" s="9" t="inlineStr"/>
      <c r="D20" s="10" t="inlineStr">
        <is>
          <t>Elective (P)</t>
        </is>
      </c>
      <c r="E20" s="10" t="inlineStr"/>
      <c r="F20" s="10" t="inlineStr"/>
      <c r="G20" s="9" t="inlineStr"/>
      <c r="H20" s="10" t="inlineStr"/>
      <c r="I20" s="10" t="inlineStr"/>
      <c r="J20" s="10" t="inlineStr"/>
      <c r="K20" s="10" t="inlineStr">
        <is>
          <t>Allocated</t>
        </is>
      </c>
    </row>
    <row r="21" ht="22" customHeight="1">
      <c r="B21" s="14" t="inlineStr">
        <is>
          <t>CS3160</t>
        </is>
      </c>
      <c r="C21" s="15" t="inlineStr"/>
      <c r="D21" s="16" t="inlineStr">
        <is>
          <t>Open Elective</t>
        </is>
      </c>
      <c r="E21" s="16" t="inlineStr"/>
      <c r="F21" s="16" t="inlineStr"/>
      <c r="G21" s="15" t="inlineStr"/>
      <c r="H21" s="16" t="inlineStr"/>
      <c r="I21" s="16" t="inlineStr"/>
      <c r="J21" s="16" t="inlineStr"/>
      <c r="K21" s="16" t="inlineStr">
        <is>
          <t>Allocated</t>
        </is>
      </c>
    </row>
    <row r="22" ht="22" customHeight="1">
      <c r="B22" s="8" t="inlineStr">
        <is>
          <t>CS3170</t>
        </is>
      </c>
      <c r="C22" s="9" t="inlineStr"/>
      <c r="D22" s="10" t="inlineStr">
        <is>
          <t>MOOC / Online</t>
        </is>
      </c>
      <c r="E22" s="10" t="inlineStr"/>
      <c r="F22" s="10" t="inlineStr"/>
      <c r="G22" s="9" t="inlineStr"/>
      <c r="H22" s="10" t="inlineStr"/>
      <c r="I22" s="10" t="inlineStr"/>
      <c r="J22" s="10" t="inlineStr"/>
      <c r="K22" s="10" t="inlineStr">
        <is>
          <t>Allocated</t>
        </is>
      </c>
    </row>
    <row r="23" ht="22" customHeight="1">
      <c r="B23" s="14" t="inlineStr">
        <is>
          <t>CS3180</t>
        </is>
      </c>
      <c r="C23" s="15" t="inlineStr"/>
      <c r="D23" s="16" t="inlineStr">
        <is>
          <t>Project</t>
        </is>
      </c>
      <c r="E23" s="16" t="inlineStr"/>
      <c r="F23" s="16" t="inlineStr"/>
      <c r="G23" s="15" t="inlineStr"/>
      <c r="H23" s="16" t="inlineStr"/>
      <c r="I23" s="16" t="inlineStr"/>
      <c r="J23" s="16" t="inlineStr"/>
      <c r="K23" s="16" t="inlineStr">
        <is>
          <t>Allocated</t>
        </is>
      </c>
    </row>
    <row r="24" ht="22" customHeight="1">
      <c r="B24" s="8" t="inlineStr">
        <is>
          <t>CS3190</t>
        </is>
      </c>
      <c r="C24" s="9" t="inlineStr"/>
      <c r="D24" s="10" t="inlineStr">
        <is>
          <t>Seminar</t>
        </is>
      </c>
      <c r="E24" s="10" t="inlineStr"/>
      <c r="F24" s="10" t="inlineStr"/>
      <c r="G24" s="9" t="inlineStr"/>
      <c r="H24" s="10" t="inlineStr"/>
      <c r="I24" s="10" t="inlineStr"/>
      <c r="J24" s="10" t="inlineStr"/>
      <c r="K24" s="10" t="inlineStr">
        <is>
          <t>Allocated</t>
        </is>
      </c>
    </row>
    <row r="25" ht="22" customHeight="1">
      <c r="B25" s="14" t="inlineStr">
        <is>
          <t>CS3200</t>
        </is>
      </c>
      <c r="C25" s="15" t="inlineStr"/>
      <c r="D25" s="16" t="inlineStr">
        <is>
          <t>Theory (T)</t>
        </is>
      </c>
      <c r="E25" s="16" t="inlineStr"/>
      <c r="F25" s="16" t="inlineStr"/>
      <c r="G25" s="15" t="inlineStr"/>
      <c r="H25" s="16" t="inlineStr"/>
      <c r="I25" s="16" t="inlineStr"/>
      <c r="J25" s="16" t="inlineStr"/>
      <c r="K25" s="16" t="inlineStr">
        <is>
          <t>Allocated</t>
        </is>
      </c>
    </row>
    <row r="26" ht="22" customHeight="1">
      <c r="B26" s="8" t="inlineStr">
        <is>
          <t>CS3210</t>
        </is>
      </c>
      <c r="C26" s="9" t="inlineStr"/>
      <c r="D26" s="10" t="inlineStr">
        <is>
          <t>Practical (P)</t>
        </is>
      </c>
      <c r="E26" s="10" t="inlineStr"/>
      <c r="F26" s="10" t="inlineStr"/>
      <c r="G26" s="9" t="inlineStr"/>
      <c r="H26" s="10" t="inlineStr"/>
      <c r="I26" s="10" t="inlineStr"/>
      <c r="J26" s="10" t="inlineStr"/>
      <c r="K26" s="10" t="inlineStr">
        <is>
          <t>Allocated</t>
        </is>
      </c>
    </row>
    <row r="27" ht="22" customHeight="1">
      <c r="B27" s="14" t="inlineStr">
        <is>
          <t>CS3220</t>
        </is>
      </c>
      <c r="C27" s="15" t="inlineStr"/>
      <c r="D27" s="16" t="inlineStr">
        <is>
          <t>Theory + Practical</t>
        </is>
      </c>
      <c r="E27" s="16" t="inlineStr"/>
      <c r="F27" s="16" t="inlineStr"/>
      <c r="G27" s="15" t="inlineStr"/>
      <c r="H27" s="16" t="inlineStr"/>
      <c r="I27" s="16" t="inlineStr"/>
      <c r="J27" s="16" t="inlineStr"/>
      <c r="K27" s="16" t="inlineStr">
        <is>
          <t>Allocated</t>
        </is>
      </c>
    </row>
    <row r="28" ht="22" customHeight="1">
      <c r="B28" s="8" t="inlineStr">
        <is>
          <t>CS3230</t>
        </is>
      </c>
      <c r="C28" s="9" t="inlineStr"/>
      <c r="D28" s="10" t="inlineStr">
        <is>
          <t>Tutorial</t>
        </is>
      </c>
      <c r="E28" s="10" t="inlineStr"/>
      <c r="F28" s="10" t="inlineStr"/>
      <c r="G28" s="9" t="inlineStr"/>
      <c r="H28" s="10" t="inlineStr"/>
      <c r="I28" s="10" t="inlineStr"/>
      <c r="J28" s="10" t="inlineStr"/>
      <c r="K28" s="10" t="inlineStr">
        <is>
          <t>Allocated</t>
        </is>
      </c>
    </row>
    <row r="29" ht="22" customHeight="1">
      <c r="B29" s="14" t="inlineStr">
        <is>
          <t>CS3240</t>
        </is>
      </c>
      <c r="C29" s="15" t="inlineStr"/>
      <c r="D29" s="16" t="inlineStr">
        <is>
          <t>Elective (T)</t>
        </is>
      </c>
      <c r="E29" s="16" t="inlineStr"/>
      <c r="F29" s="16" t="inlineStr"/>
      <c r="G29" s="15" t="inlineStr"/>
      <c r="H29" s="16" t="inlineStr"/>
      <c r="I29" s="16" t="inlineStr"/>
      <c r="J29" s="16" t="inlineStr"/>
      <c r="K29" s="16" t="inlineStr">
        <is>
          <t>Allocated</t>
        </is>
      </c>
    </row>
    <row r="30" ht="22" customHeight="1">
      <c r="B30" s="8" t="inlineStr">
        <is>
          <t>CS3250</t>
        </is>
      </c>
      <c r="C30" s="9" t="inlineStr"/>
      <c r="D30" s="10" t="inlineStr">
        <is>
          <t>Elective (P)</t>
        </is>
      </c>
      <c r="E30" s="10" t="inlineStr"/>
      <c r="F30" s="10" t="inlineStr"/>
      <c r="G30" s="9" t="inlineStr"/>
      <c r="H30" s="10" t="inlineStr"/>
      <c r="I30" s="10" t="inlineStr"/>
      <c r="J30" s="10" t="inlineStr"/>
      <c r="K30" s="10" t="inlineStr">
        <is>
          <t>Allocated</t>
        </is>
      </c>
    </row>
    <row r="31" ht="22" customHeight="1">
      <c r="B31" s="14" t="inlineStr">
        <is>
          <t>CS3260</t>
        </is>
      </c>
      <c r="C31" s="15" t="inlineStr"/>
      <c r="D31" s="16" t="inlineStr">
        <is>
          <t>Open Elective</t>
        </is>
      </c>
      <c r="E31" s="16" t="inlineStr"/>
      <c r="F31" s="16" t="inlineStr"/>
      <c r="G31" s="15" t="inlineStr"/>
      <c r="H31" s="16" t="inlineStr"/>
      <c r="I31" s="16" t="inlineStr"/>
      <c r="J31" s="16" t="inlineStr"/>
      <c r="K31" s="16" t="inlineStr">
        <is>
          <t>Allocated</t>
        </is>
      </c>
    </row>
    <row r="32" ht="22" customHeight="1">
      <c r="B32" s="8" t="inlineStr">
        <is>
          <t>CS3270</t>
        </is>
      </c>
      <c r="C32" s="9" t="inlineStr"/>
      <c r="D32" s="10" t="inlineStr">
        <is>
          <t>MOOC / Online</t>
        </is>
      </c>
      <c r="E32" s="10" t="inlineStr"/>
      <c r="F32" s="10" t="inlineStr"/>
      <c r="G32" s="9" t="inlineStr"/>
      <c r="H32" s="10" t="inlineStr"/>
      <c r="I32" s="10" t="inlineStr"/>
      <c r="J32" s="10" t="inlineStr"/>
      <c r="K32" s="10" t="inlineStr">
        <is>
          <t>Allocated</t>
        </is>
      </c>
    </row>
    <row r="33" ht="22" customHeight="1">
      <c r="B33" s="14" t="inlineStr">
        <is>
          <t>CS3280</t>
        </is>
      </c>
      <c r="C33" s="15" t="inlineStr"/>
      <c r="D33" s="16" t="inlineStr">
        <is>
          <t>Project</t>
        </is>
      </c>
      <c r="E33" s="16" t="inlineStr"/>
      <c r="F33" s="16" t="inlineStr"/>
      <c r="G33" s="15" t="inlineStr"/>
      <c r="H33" s="16" t="inlineStr"/>
      <c r="I33" s="16" t="inlineStr"/>
      <c r="J33" s="16" t="inlineStr"/>
      <c r="K33" s="16" t="inlineStr">
        <is>
          <t>Allocated</t>
        </is>
      </c>
    </row>
    <row r="34" ht="22" customHeight="1">
      <c r="B34" s="8" t="inlineStr">
        <is>
          <t>CS3290</t>
        </is>
      </c>
      <c r="C34" s="9" t="inlineStr"/>
      <c r="D34" s="10" t="inlineStr">
        <is>
          <t>Seminar</t>
        </is>
      </c>
      <c r="E34" s="10" t="inlineStr"/>
      <c r="F34" s="10" t="inlineStr"/>
      <c r="G34" s="9" t="inlineStr"/>
      <c r="H34" s="10" t="inlineStr"/>
      <c r="I34" s="10" t="inlineStr"/>
      <c r="J34" s="10" t="inlineStr"/>
      <c r="K34" s="10" t="inlineStr">
        <is>
          <t>Allocated</t>
        </is>
      </c>
    </row>
    <row r="35" ht="22" customHeight="1"/>
    <row r="36" ht="24" customHeight="1">
      <c r="B36" s="34" t="inlineStr">
        <is>
          <t>COURSE ALLOCATION SUMMARY</t>
        </is>
      </c>
    </row>
    <row r="37" ht="22" customHeight="1">
      <c r="B37" s="38" t="inlineStr">
        <is>
          <t>Total Courses This Semester</t>
        </is>
      </c>
      <c r="F37" s="36">
        <f>COUNTA(B5:B34)</f>
        <v/>
      </c>
    </row>
    <row r="38" ht="22" customHeight="1">
      <c r="B38" s="25" t="inlineStr">
        <is>
          <t>Theory Courses</t>
        </is>
      </c>
      <c r="F38" s="37">
        <f>COUNTIF(D5:D34,"Theory (T)")</f>
        <v/>
      </c>
    </row>
    <row r="39" ht="22" customHeight="1">
      <c r="B39" s="38" t="inlineStr">
        <is>
          <t>Practical Courses</t>
        </is>
      </c>
      <c r="F39" s="36">
        <f>COUNTIF(D5:D34,"Practical (P)")</f>
        <v/>
      </c>
    </row>
    <row r="40" ht="22" customHeight="1">
      <c r="B40" s="25" t="inlineStr">
        <is>
          <t>Courses Allocated</t>
        </is>
      </c>
      <c r="F40" s="37">
        <f>COUNTIF(K5:K34,"Allocated")</f>
        <v/>
      </c>
    </row>
    <row r="41" ht="22" customHeight="1">
      <c r="B41" s="38" t="inlineStr">
        <is>
          <t>Courses Pending Faculty</t>
        </is>
      </c>
      <c r="F41" s="36">
        <f>COUNTIF(K5:K34,"Pending")</f>
        <v/>
      </c>
    </row>
    <row r="42">
      <c r="B42" s="25" t="inlineStr">
        <is>
          <t>Elective Courses</t>
        </is>
      </c>
      <c r="F42" s="37">
        <f>COUNTIF(D5:D34,"Elective (T)")+COUNTIF(D5:D34,"Elective (P)")</f>
        <v/>
      </c>
    </row>
  </sheetData>
  <mergeCells count="15">
    <mergeCell ref="B40:E40"/>
    <mergeCell ref="B41:E41"/>
    <mergeCell ref="F38:K38"/>
    <mergeCell ref="F42:K42"/>
    <mergeCell ref="B38:E38"/>
    <mergeCell ref="F40:K40"/>
    <mergeCell ref="F41:K41"/>
    <mergeCell ref="B2:K2"/>
    <mergeCell ref="B39:E39"/>
    <mergeCell ref="B37:E37"/>
    <mergeCell ref="F39:K39"/>
    <mergeCell ref="B42:E42"/>
    <mergeCell ref="B3:K3"/>
    <mergeCell ref="B36:K36"/>
    <mergeCell ref="F37:K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TWC-16: CLASSROOM &amp; LABORATORY RESOURCE INVENTORY</t>
        </is>
      </c>
    </row>
    <row r="3" ht="25" customHeight="1">
      <c r="B3" s="2" t="inlineStr">
        <is>
          <t>Institution: _________________________  A.Y.: _______  TWC Coordinator: ___________________  Last Verified: _______</t>
        </is>
      </c>
    </row>
    <row r="4" ht="25" customHeight="1">
      <c r="B4" s="13" t="inlineStr">
        <is>
          <t>Room /
Lab Ref.</t>
        </is>
      </c>
      <c r="C4" s="13" t="inlineStr">
        <is>
          <t>Room Name /
Number</t>
        </is>
      </c>
      <c r="D4" s="13" t="inlineStr">
        <is>
          <t>Location /
Block</t>
        </is>
      </c>
      <c r="E4" s="13" t="inlineStr">
        <is>
          <t>Type</t>
        </is>
      </c>
      <c r="F4" s="13" t="inlineStr">
        <is>
          <t>Seating
Capacity</t>
        </is>
      </c>
      <c r="G4" s="13" t="inlineStr">
        <is>
          <t>Projector
(Y/N)</t>
        </is>
      </c>
      <c r="H4" s="13" t="inlineStr">
        <is>
          <t>AC
(Y/N)</t>
        </is>
      </c>
      <c r="I4" s="13" t="inlineStr">
        <is>
          <t>Internet /
LAN</t>
        </is>
      </c>
      <c r="J4" s="13" t="inlineStr">
        <is>
          <t>Dedicated
Dept.</t>
        </is>
      </c>
      <c r="K4" s="13" t="inlineStr">
        <is>
          <t>Status</t>
        </is>
      </c>
    </row>
    <row r="5" ht="22" customHeight="1">
      <c r="B5" s="14" t="inlineStr">
        <is>
          <t>ROOM-001</t>
        </is>
      </c>
      <c r="C5" s="15" t="inlineStr"/>
      <c r="D5" s="16" t="inlineStr"/>
      <c r="E5" s="16" t="inlineStr">
        <is>
          <t>Lecture Hall (Large)</t>
        </is>
      </c>
      <c r="F5" s="16" t="inlineStr"/>
      <c r="G5" s="16" t="inlineStr">
        <is>
          <t>Y</t>
        </is>
      </c>
      <c r="H5" s="16" t="inlineStr">
        <is>
          <t>Y</t>
        </is>
      </c>
      <c r="I5" s="16" t="inlineStr">
        <is>
          <t>Y</t>
        </is>
      </c>
      <c r="J5" s="16" t="inlineStr"/>
      <c r="K5" s="16" t="inlineStr">
        <is>
          <t>Available</t>
        </is>
      </c>
    </row>
    <row r="6" ht="22" customHeight="1">
      <c r="B6" s="8" t="inlineStr">
        <is>
          <t>ROOM-002</t>
        </is>
      </c>
      <c r="C6" s="9" t="inlineStr"/>
      <c r="D6" s="10" t="inlineStr"/>
      <c r="E6" s="10" t="inlineStr">
        <is>
          <t>Lecture Hall (Medium)</t>
        </is>
      </c>
      <c r="F6" s="10" t="inlineStr"/>
      <c r="G6" s="10" t="inlineStr">
        <is>
          <t>Y</t>
        </is>
      </c>
      <c r="H6" s="10" t="inlineStr">
        <is>
          <t>Y</t>
        </is>
      </c>
      <c r="I6" s="10" t="inlineStr">
        <is>
          <t>Y</t>
        </is>
      </c>
      <c r="J6" s="10" t="inlineStr"/>
      <c r="K6" s="10" t="inlineStr">
        <is>
          <t>Available</t>
        </is>
      </c>
    </row>
    <row r="7" ht="22" customHeight="1">
      <c r="B7" s="14" t="inlineStr">
        <is>
          <t>ROOM-003</t>
        </is>
      </c>
      <c r="C7" s="15" t="inlineStr"/>
      <c r="D7" s="16" t="inlineStr"/>
      <c r="E7" s="16" t="inlineStr">
        <is>
          <t>Classroom (Small)</t>
        </is>
      </c>
      <c r="F7" s="16" t="inlineStr"/>
      <c r="G7" s="16" t="inlineStr">
        <is>
          <t>Y</t>
        </is>
      </c>
      <c r="H7" s="16" t="inlineStr">
        <is>
          <t>Y</t>
        </is>
      </c>
      <c r="I7" s="16" t="inlineStr">
        <is>
          <t>Y</t>
        </is>
      </c>
      <c r="J7" s="16" t="inlineStr"/>
      <c r="K7" s="16" t="inlineStr">
        <is>
          <t>Available</t>
        </is>
      </c>
    </row>
    <row r="8" ht="22" customHeight="1">
      <c r="B8" s="8" t="inlineStr">
        <is>
          <t>ROOM-004</t>
        </is>
      </c>
      <c r="C8" s="9" t="inlineStr"/>
      <c r="D8" s="10" t="inlineStr"/>
      <c r="E8" s="10" t="inlineStr">
        <is>
          <t>Tutorial Room</t>
        </is>
      </c>
      <c r="F8" s="10" t="inlineStr"/>
      <c r="G8" s="10" t="inlineStr">
        <is>
          <t>Y</t>
        </is>
      </c>
      <c r="H8" s="10" t="inlineStr">
        <is>
          <t>Y</t>
        </is>
      </c>
      <c r="I8" s="10" t="inlineStr">
        <is>
          <t>Y</t>
        </is>
      </c>
      <c r="J8" s="10" t="inlineStr"/>
      <c r="K8" s="10" t="inlineStr">
        <is>
          <t>Available</t>
        </is>
      </c>
    </row>
    <row r="9" ht="22" customHeight="1">
      <c r="B9" s="14" t="inlineStr">
        <is>
          <t>ROOM-005</t>
        </is>
      </c>
      <c r="C9" s="15" t="inlineStr"/>
      <c r="D9" s="16" t="inlineStr"/>
      <c r="E9" s="16" t="inlineStr">
        <is>
          <t>Seminar Room</t>
        </is>
      </c>
      <c r="F9" s="16" t="inlineStr"/>
      <c r="G9" s="16" t="inlineStr">
        <is>
          <t>Y</t>
        </is>
      </c>
      <c r="H9" s="16" t="inlineStr">
        <is>
          <t>Y</t>
        </is>
      </c>
      <c r="I9" s="16" t="inlineStr">
        <is>
          <t>Y</t>
        </is>
      </c>
      <c r="J9" s="16" t="inlineStr"/>
      <c r="K9" s="16" t="inlineStr">
        <is>
          <t>Available</t>
        </is>
      </c>
    </row>
    <row r="10" ht="22" customHeight="1">
      <c r="B10" s="8" t="inlineStr">
        <is>
          <t>ROOM-006</t>
        </is>
      </c>
      <c r="C10" s="9" t="inlineStr"/>
      <c r="D10" s="10" t="inlineStr"/>
      <c r="E10" s="10" t="inlineStr">
        <is>
          <t>Conference Room</t>
        </is>
      </c>
      <c r="F10" s="10" t="inlineStr"/>
      <c r="G10" s="10" t="inlineStr">
        <is>
          <t>Y</t>
        </is>
      </c>
      <c r="H10" s="10" t="inlineStr">
        <is>
          <t>Y</t>
        </is>
      </c>
      <c r="I10" s="10" t="inlineStr">
        <is>
          <t>Y</t>
        </is>
      </c>
      <c r="J10" s="10" t="inlineStr"/>
      <c r="K10" s="10" t="inlineStr">
        <is>
          <t>Available</t>
        </is>
      </c>
    </row>
    <row r="11" ht="22" customHeight="1">
      <c r="B11" s="14" t="inlineStr">
        <is>
          <t>ROOM-007</t>
        </is>
      </c>
      <c r="C11" s="15" t="inlineStr"/>
      <c r="D11" s="16" t="inlineStr"/>
      <c r="E11" s="16" t="inlineStr">
        <is>
          <t>Computer Lab</t>
        </is>
      </c>
      <c r="F11" s="16" t="inlineStr"/>
      <c r="G11" s="16" t="inlineStr">
        <is>
          <t>Y</t>
        </is>
      </c>
      <c r="H11" s="16" t="inlineStr">
        <is>
          <t>Y</t>
        </is>
      </c>
      <c r="I11" s="16" t="inlineStr">
        <is>
          <t>Y</t>
        </is>
      </c>
      <c r="J11" s="16" t="inlineStr"/>
      <c r="K11" s="16" t="inlineStr">
        <is>
          <t>Available</t>
        </is>
      </c>
    </row>
    <row r="12" ht="22" customHeight="1">
      <c r="B12" s="8" t="inlineStr">
        <is>
          <t>ROOM-008</t>
        </is>
      </c>
      <c r="C12" s="9" t="inlineStr"/>
      <c r="D12" s="10" t="inlineStr"/>
      <c r="E12" s="10" t="inlineStr">
        <is>
          <t>Electronics Lab</t>
        </is>
      </c>
      <c r="F12" s="10" t="inlineStr"/>
      <c r="G12" s="10" t="inlineStr">
        <is>
          <t>Y</t>
        </is>
      </c>
      <c r="H12" s="10" t="inlineStr">
        <is>
          <t>Y</t>
        </is>
      </c>
      <c r="I12" s="10" t="inlineStr">
        <is>
          <t>Y</t>
        </is>
      </c>
      <c r="J12" s="10" t="inlineStr"/>
      <c r="K12" s="10" t="inlineStr">
        <is>
          <t>Available</t>
        </is>
      </c>
    </row>
    <row r="13" ht="22" customHeight="1">
      <c r="B13" s="14" t="inlineStr">
        <is>
          <t>ROOM-009</t>
        </is>
      </c>
      <c r="C13" s="15" t="inlineStr"/>
      <c r="D13" s="16" t="inlineStr"/>
      <c r="E13" s="16" t="inlineStr">
        <is>
          <t>Electrical Lab</t>
        </is>
      </c>
      <c r="F13" s="16" t="inlineStr"/>
      <c r="G13" s="16" t="inlineStr">
        <is>
          <t>Y</t>
        </is>
      </c>
      <c r="H13" s="16" t="inlineStr">
        <is>
          <t>Y</t>
        </is>
      </c>
      <c r="I13" s="16" t="inlineStr">
        <is>
          <t>Y</t>
        </is>
      </c>
      <c r="J13" s="16" t="inlineStr"/>
      <c r="K13" s="16" t="inlineStr">
        <is>
          <t>Available</t>
        </is>
      </c>
    </row>
    <row r="14" ht="22" customHeight="1">
      <c r="B14" s="8" t="inlineStr">
        <is>
          <t>ROOM-010</t>
        </is>
      </c>
      <c r="C14" s="9" t="inlineStr"/>
      <c r="D14" s="10" t="inlineStr"/>
      <c r="E14" s="10" t="inlineStr">
        <is>
          <t>Mechanical Workshop</t>
        </is>
      </c>
      <c r="F14" s="10" t="inlineStr"/>
      <c r="G14" s="10" t="inlineStr">
        <is>
          <t>Y</t>
        </is>
      </c>
      <c r="H14" s="10" t="inlineStr">
        <is>
          <t>Y</t>
        </is>
      </c>
      <c r="I14" s="10" t="inlineStr">
        <is>
          <t>Y</t>
        </is>
      </c>
      <c r="J14" s="10" t="inlineStr"/>
      <c r="K14" s="10" t="inlineStr">
        <is>
          <t>Available</t>
        </is>
      </c>
    </row>
    <row r="15" ht="22" customHeight="1">
      <c r="B15" s="14" t="inlineStr">
        <is>
          <t>ROOM-011</t>
        </is>
      </c>
      <c r="C15" s="15" t="inlineStr"/>
      <c r="D15" s="16" t="inlineStr"/>
      <c r="E15" s="16" t="inlineStr">
        <is>
          <t>Civil / Drawing Room</t>
        </is>
      </c>
      <c r="F15" s="16" t="inlineStr"/>
      <c r="G15" s="16" t="inlineStr">
        <is>
          <t>Y</t>
        </is>
      </c>
      <c r="H15" s="16" t="inlineStr">
        <is>
          <t>Y</t>
        </is>
      </c>
      <c r="I15" s="16" t="inlineStr">
        <is>
          <t>Y</t>
        </is>
      </c>
      <c r="J15" s="16" t="inlineStr"/>
      <c r="K15" s="16" t="inlineStr">
        <is>
          <t>Available</t>
        </is>
      </c>
    </row>
    <row r="16" ht="22" customHeight="1">
      <c r="B16" s="8" t="inlineStr">
        <is>
          <t>ROOM-012</t>
        </is>
      </c>
      <c r="C16" s="9" t="inlineStr"/>
      <c r="D16" s="10" t="inlineStr"/>
      <c r="E16" s="10" t="inlineStr">
        <is>
          <t>Chemistry Lab</t>
        </is>
      </c>
      <c r="F16" s="10" t="inlineStr"/>
      <c r="G16" s="10" t="inlineStr">
        <is>
          <t>Y</t>
        </is>
      </c>
      <c r="H16" s="10" t="inlineStr">
        <is>
          <t>Y</t>
        </is>
      </c>
      <c r="I16" s="10" t="inlineStr">
        <is>
          <t>Y</t>
        </is>
      </c>
      <c r="J16" s="10" t="inlineStr"/>
      <c r="K16" s="10" t="inlineStr">
        <is>
          <t>Available</t>
        </is>
      </c>
    </row>
    <row r="17" ht="22" customHeight="1">
      <c r="B17" s="14" t="inlineStr">
        <is>
          <t>ROOM-013</t>
        </is>
      </c>
      <c r="C17" s="15" t="inlineStr"/>
      <c r="D17" s="16" t="inlineStr"/>
      <c r="E17" s="16" t="inlineStr">
        <is>
          <t>Physics Lab</t>
        </is>
      </c>
      <c r="F17" s="16" t="inlineStr"/>
      <c r="G17" s="16" t="inlineStr">
        <is>
          <t>Y</t>
        </is>
      </c>
      <c r="H17" s="16" t="inlineStr">
        <is>
          <t>Y</t>
        </is>
      </c>
      <c r="I17" s="16" t="inlineStr">
        <is>
          <t>Y</t>
        </is>
      </c>
      <c r="J17" s="16" t="inlineStr"/>
      <c r="K17" s="16" t="inlineStr">
        <is>
          <t>Available</t>
        </is>
      </c>
    </row>
    <row r="18" ht="22" customHeight="1">
      <c r="B18" s="8" t="inlineStr">
        <is>
          <t>ROOM-014</t>
        </is>
      </c>
      <c r="C18" s="9" t="inlineStr"/>
      <c r="D18" s="10" t="inlineStr"/>
      <c r="E18" s="10" t="inlineStr">
        <is>
          <t>Biotechnology Lab</t>
        </is>
      </c>
      <c r="F18" s="10" t="inlineStr"/>
      <c r="G18" s="10" t="inlineStr">
        <is>
          <t>Y</t>
        </is>
      </c>
      <c r="H18" s="10" t="inlineStr">
        <is>
          <t>Y</t>
        </is>
      </c>
      <c r="I18" s="10" t="inlineStr">
        <is>
          <t>Y</t>
        </is>
      </c>
      <c r="J18" s="10" t="inlineStr"/>
      <c r="K18" s="10" t="inlineStr">
        <is>
          <t>Available</t>
        </is>
      </c>
    </row>
    <row r="19" ht="22" customHeight="1">
      <c r="B19" s="14" t="inlineStr">
        <is>
          <t>ROOM-015</t>
        </is>
      </c>
      <c r="C19" s="15" t="inlineStr"/>
      <c r="D19" s="16" t="inlineStr"/>
      <c r="E19" s="16" t="inlineStr">
        <is>
          <t>Fabrication / Advanced Lab</t>
        </is>
      </c>
      <c r="F19" s="16" t="inlineStr"/>
      <c r="G19" s="16" t="inlineStr">
        <is>
          <t>Y</t>
        </is>
      </c>
      <c r="H19" s="16" t="inlineStr">
        <is>
          <t>Y</t>
        </is>
      </c>
      <c r="I19" s="16" t="inlineStr">
        <is>
          <t>Y</t>
        </is>
      </c>
      <c r="J19" s="16" t="inlineStr"/>
      <c r="K19" s="16" t="inlineStr">
        <is>
          <t>Available</t>
        </is>
      </c>
    </row>
    <row r="20" ht="22" customHeight="1">
      <c r="B20" s="8" t="inlineStr">
        <is>
          <t>ROOM-016</t>
        </is>
      </c>
      <c r="C20" s="9" t="inlineStr"/>
      <c r="D20" s="10" t="inlineStr"/>
      <c r="E20" s="10" t="inlineStr">
        <is>
          <t>Library / Reading Room</t>
        </is>
      </c>
      <c r="F20" s="10" t="inlineStr"/>
      <c r="G20" s="10" t="inlineStr">
        <is>
          <t>Y</t>
        </is>
      </c>
      <c r="H20" s="10" t="inlineStr">
        <is>
          <t>Y</t>
        </is>
      </c>
      <c r="I20" s="10" t="inlineStr">
        <is>
          <t>Y</t>
        </is>
      </c>
      <c r="J20" s="10" t="inlineStr"/>
      <c r="K20" s="10" t="inlineStr">
        <is>
          <t>Available</t>
        </is>
      </c>
    </row>
    <row r="21" ht="22" customHeight="1">
      <c r="B21" s="14" t="inlineStr">
        <is>
          <t>ROOM-017</t>
        </is>
      </c>
      <c r="C21" s="15" t="inlineStr"/>
      <c r="D21" s="16" t="inlineStr"/>
      <c r="E21" s="16" t="inlineStr">
        <is>
          <t>Examination Hall</t>
        </is>
      </c>
      <c r="F21" s="16" t="inlineStr"/>
      <c r="G21" s="16" t="inlineStr">
        <is>
          <t>Y</t>
        </is>
      </c>
      <c r="H21" s="16" t="inlineStr">
        <is>
          <t>Y</t>
        </is>
      </c>
      <c r="I21" s="16" t="inlineStr">
        <is>
          <t>Y</t>
        </is>
      </c>
      <c r="J21" s="16" t="inlineStr"/>
      <c r="K21" s="16" t="inlineStr">
        <is>
          <t>Available</t>
        </is>
      </c>
    </row>
    <row r="22" ht="22" customHeight="1">
      <c r="B22" s="8" t="inlineStr">
        <is>
          <t>ROOM-018</t>
        </is>
      </c>
      <c r="C22" s="9" t="inlineStr"/>
      <c r="D22" s="10" t="inlineStr"/>
      <c r="E22" s="10" t="inlineStr">
        <is>
          <t>Lecture Hall (Large)</t>
        </is>
      </c>
      <c r="F22" s="10" t="inlineStr"/>
      <c r="G22" s="10" t="inlineStr">
        <is>
          <t>Y</t>
        </is>
      </c>
      <c r="H22" s="10" t="inlineStr">
        <is>
          <t>Y</t>
        </is>
      </c>
      <c r="I22" s="10" t="inlineStr">
        <is>
          <t>Y</t>
        </is>
      </c>
      <c r="J22" s="10" t="inlineStr"/>
      <c r="K22" s="10" t="inlineStr">
        <is>
          <t>Available</t>
        </is>
      </c>
    </row>
    <row r="23" ht="22" customHeight="1">
      <c r="B23" s="14" t="inlineStr">
        <is>
          <t>ROOM-019</t>
        </is>
      </c>
      <c r="C23" s="15" t="inlineStr"/>
      <c r="D23" s="16" t="inlineStr"/>
      <c r="E23" s="16" t="inlineStr">
        <is>
          <t>Lecture Hall (Medium)</t>
        </is>
      </c>
      <c r="F23" s="16" t="inlineStr"/>
      <c r="G23" s="16" t="inlineStr">
        <is>
          <t>Y</t>
        </is>
      </c>
      <c r="H23" s="16" t="inlineStr">
        <is>
          <t>Y</t>
        </is>
      </c>
      <c r="I23" s="16" t="inlineStr">
        <is>
          <t>Y</t>
        </is>
      </c>
      <c r="J23" s="16" t="inlineStr"/>
      <c r="K23" s="16" t="inlineStr">
        <is>
          <t>Available</t>
        </is>
      </c>
    </row>
    <row r="24" ht="22" customHeight="1">
      <c r="B24" s="8" t="inlineStr">
        <is>
          <t>ROOM-020</t>
        </is>
      </c>
      <c r="C24" s="9" t="inlineStr"/>
      <c r="D24" s="10" t="inlineStr"/>
      <c r="E24" s="10" t="inlineStr">
        <is>
          <t>Classroom (Small)</t>
        </is>
      </c>
      <c r="F24" s="10" t="inlineStr"/>
      <c r="G24" s="10" t="inlineStr">
        <is>
          <t>Y</t>
        </is>
      </c>
      <c r="H24" s="10" t="inlineStr">
        <is>
          <t>Y</t>
        </is>
      </c>
      <c r="I24" s="10" t="inlineStr">
        <is>
          <t>Y</t>
        </is>
      </c>
      <c r="J24" s="10" t="inlineStr"/>
      <c r="K24" s="10" t="inlineStr">
        <is>
          <t>Available</t>
        </is>
      </c>
    </row>
    <row r="25" ht="22" customHeight="1">
      <c r="B25" s="14" t="inlineStr">
        <is>
          <t>ROOM-021</t>
        </is>
      </c>
      <c r="C25" s="15" t="inlineStr"/>
      <c r="D25" s="16" t="inlineStr"/>
      <c r="E25" s="16" t="inlineStr">
        <is>
          <t>Tutorial Room</t>
        </is>
      </c>
      <c r="F25" s="16" t="inlineStr"/>
      <c r="G25" s="16" t="inlineStr">
        <is>
          <t>Y</t>
        </is>
      </c>
      <c r="H25" s="16" t="inlineStr">
        <is>
          <t>Y</t>
        </is>
      </c>
      <c r="I25" s="16" t="inlineStr">
        <is>
          <t>Y</t>
        </is>
      </c>
      <c r="J25" s="16" t="inlineStr"/>
      <c r="K25" s="16" t="inlineStr">
        <is>
          <t>Available</t>
        </is>
      </c>
    </row>
    <row r="26" ht="22" customHeight="1">
      <c r="B26" s="8" t="inlineStr">
        <is>
          <t>ROOM-022</t>
        </is>
      </c>
      <c r="C26" s="9" t="inlineStr"/>
      <c r="D26" s="10" t="inlineStr"/>
      <c r="E26" s="10" t="inlineStr">
        <is>
          <t>Seminar Room</t>
        </is>
      </c>
      <c r="F26" s="10" t="inlineStr"/>
      <c r="G26" s="10" t="inlineStr">
        <is>
          <t>Y</t>
        </is>
      </c>
      <c r="H26" s="10" t="inlineStr">
        <is>
          <t>Y</t>
        </is>
      </c>
      <c r="I26" s="10" t="inlineStr">
        <is>
          <t>Y</t>
        </is>
      </c>
      <c r="J26" s="10" t="inlineStr"/>
      <c r="K26" s="10" t="inlineStr">
        <is>
          <t>Available</t>
        </is>
      </c>
    </row>
    <row r="27" ht="22" customHeight="1">
      <c r="B27" s="14" t="inlineStr">
        <is>
          <t>ROOM-023</t>
        </is>
      </c>
      <c r="C27" s="15" t="inlineStr"/>
      <c r="D27" s="16" t="inlineStr"/>
      <c r="E27" s="16" t="inlineStr">
        <is>
          <t>Conference Room</t>
        </is>
      </c>
      <c r="F27" s="16" t="inlineStr"/>
      <c r="G27" s="16" t="inlineStr">
        <is>
          <t>Y</t>
        </is>
      </c>
      <c r="H27" s="16" t="inlineStr">
        <is>
          <t>Y</t>
        </is>
      </c>
      <c r="I27" s="16" t="inlineStr">
        <is>
          <t>Y</t>
        </is>
      </c>
      <c r="J27" s="16" t="inlineStr"/>
      <c r="K27" s="16" t="inlineStr">
        <is>
          <t>Available</t>
        </is>
      </c>
    </row>
    <row r="28" ht="22" customHeight="1">
      <c r="B28" s="8" t="inlineStr">
        <is>
          <t>ROOM-024</t>
        </is>
      </c>
      <c r="C28" s="9" t="inlineStr"/>
      <c r="D28" s="10" t="inlineStr"/>
      <c r="E28" s="10" t="inlineStr">
        <is>
          <t>Computer Lab</t>
        </is>
      </c>
      <c r="F28" s="10" t="inlineStr"/>
      <c r="G28" s="10" t="inlineStr">
        <is>
          <t>Y</t>
        </is>
      </c>
      <c r="H28" s="10" t="inlineStr">
        <is>
          <t>Y</t>
        </is>
      </c>
      <c r="I28" s="10" t="inlineStr">
        <is>
          <t>Y</t>
        </is>
      </c>
      <c r="J28" s="10" t="inlineStr"/>
      <c r="K28" s="10" t="inlineStr">
        <is>
          <t>Available</t>
        </is>
      </c>
    </row>
    <row r="29" ht="22" customHeight="1">
      <c r="B29" s="14" t="inlineStr">
        <is>
          <t>ROOM-025</t>
        </is>
      </c>
      <c r="C29" s="15" t="inlineStr"/>
      <c r="D29" s="16" t="inlineStr"/>
      <c r="E29" s="16" t="inlineStr">
        <is>
          <t>Electronics Lab</t>
        </is>
      </c>
      <c r="F29" s="16" t="inlineStr"/>
      <c r="G29" s="16" t="inlineStr">
        <is>
          <t>Y</t>
        </is>
      </c>
      <c r="H29" s="16" t="inlineStr">
        <is>
          <t>Y</t>
        </is>
      </c>
      <c r="I29" s="16" t="inlineStr">
        <is>
          <t>Y</t>
        </is>
      </c>
      <c r="J29" s="16" t="inlineStr"/>
      <c r="K29" s="16" t="inlineStr">
        <is>
          <t>Available</t>
        </is>
      </c>
    </row>
    <row r="30" ht="22" customHeight="1">
      <c r="B30" s="8" t="inlineStr">
        <is>
          <t>ROOM-026</t>
        </is>
      </c>
      <c r="C30" s="9" t="inlineStr"/>
      <c r="D30" s="10" t="inlineStr"/>
      <c r="E30" s="10" t="inlineStr">
        <is>
          <t>Electrical Lab</t>
        </is>
      </c>
      <c r="F30" s="10" t="inlineStr"/>
      <c r="G30" s="10" t="inlineStr">
        <is>
          <t>Y</t>
        </is>
      </c>
      <c r="H30" s="10" t="inlineStr">
        <is>
          <t>Y</t>
        </is>
      </c>
      <c r="I30" s="10" t="inlineStr">
        <is>
          <t>Y</t>
        </is>
      </c>
      <c r="J30" s="10" t="inlineStr"/>
      <c r="K30" s="10" t="inlineStr">
        <is>
          <t>Available</t>
        </is>
      </c>
    </row>
    <row r="31" ht="22" customHeight="1">
      <c r="B31" s="14" t="inlineStr">
        <is>
          <t>ROOM-027</t>
        </is>
      </c>
      <c r="C31" s="15" t="inlineStr"/>
      <c r="D31" s="16" t="inlineStr"/>
      <c r="E31" s="16" t="inlineStr">
        <is>
          <t>Mechanical Workshop</t>
        </is>
      </c>
      <c r="F31" s="16" t="inlineStr"/>
      <c r="G31" s="16" t="inlineStr">
        <is>
          <t>Y</t>
        </is>
      </c>
      <c r="H31" s="16" t="inlineStr">
        <is>
          <t>Y</t>
        </is>
      </c>
      <c r="I31" s="16" t="inlineStr">
        <is>
          <t>Y</t>
        </is>
      </c>
      <c r="J31" s="16" t="inlineStr"/>
      <c r="K31" s="16" t="inlineStr">
        <is>
          <t>Available</t>
        </is>
      </c>
    </row>
    <row r="32" ht="22" customHeight="1">
      <c r="B32" s="8" t="inlineStr">
        <is>
          <t>ROOM-028</t>
        </is>
      </c>
      <c r="C32" s="9" t="inlineStr"/>
      <c r="D32" s="10" t="inlineStr"/>
      <c r="E32" s="10" t="inlineStr">
        <is>
          <t>Civil / Drawing Room</t>
        </is>
      </c>
      <c r="F32" s="10" t="inlineStr"/>
      <c r="G32" s="10" t="inlineStr">
        <is>
          <t>Y</t>
        </is>
      </c>
      <c r="H32" s="10" t="inlineStr">
        <is>
          <t>Y</t>
        </is>
      </c>
      <c r="I32" s="10" t="inlineStr">
        <is>
          <t>Y</t>
        </is>
      </c>
      <c r="J32" s="10" t="inlineStr"/>
      <c r="K32" s="10" t="inlineStr">
        <is>
          <t>Available</t>
        </is>
      </c>
    </row>
    <row r="33" ht="22" customHeight="1"/>
    <row r="34" ht="24" customHeight="1">
      <c r="B34" s="34" t="inlineStr">
        <is>
          <t>ROOM INVENTORY SUMMARY</t>
        </is>
      </c>
    </row>
    <row r="35" ht="22" customHeight="1">
      <c r="B35" s="38" t="inlineStr">
        <is>
          <t>Total Rooms / Labs</t>
        </is>
      </c>
      <c r="F35" s="36">
        <f>COUNTA(B5:B32)</f>
        <v/>
      </c>
    </row>
    <row r="36" ht="22" customHeight="1">
      <c r="B36" s="25" t="inlineStr">
        <is>
          <t>Available for Timetable</t>
        </is>
      </c>
      <c r="F36" s="37">
        <f>COUNTIF(K5:K32,"Available")</f>
        <v/>
      </c>
    </row>
    <row r="37" ht="22" customHeight="1">
      <c r="B37" s="38" t="inlineStr">
        <is>
          <t>Under Maintenance / Unavailable</t>
        </is>
      </c>
      <c r="F37" s="36">
        <f>COUNTIF(K5:K32,"Unavailable")</f>
        <v/>
      </c>
    </row>
    <row r="38">
      <c r="B38" s="25" t="inlineStr">
        <is>
          <t>Total Seating Capacity</t>
        </is>
      </c>
      <c r="F38" s="37">
        <f>IFERROR(SUM(F5:F32),"")</f>
        <v/>
      </c>
    </row>
    <row r="39">
      <c r="B39" s="38" t="inlineStr">
        <is>
          <t>Rooms with Projector</t>
        </is>
      </c>
      <c r="F39" s="36">
        <f>COUNTIF(G5:G32,"Y")</f>
        <v/>
      </c>
    </row>
    <row r="40">
      <c r="B40" s="25" t="inlineStr">
        <is>
          <t>Labs (Computer + Science)</t>
        </is>
      </c>
      <c r="F40" s="37" t="inlineStr"/>
    </row>
  </sheetData>
  <mergeCells count="15">
    <mergeCell ref="B36:E36"/>
    <mergeCell ref="B40:E40"/>
    <mergeCell ref="F38:K38"/>
    <mergeCell ref="B35:E35"/>
    <mergeCell ref="F36:K36"/>
    <mergeCell ref="B37:E37"/>
    <mergeCell ref="B38:E38"/>
    <mergeCell ref="F40:K40"/>
    <mergeCell ref="B39:E39"/>
    <mergeCell ref="F35:K35"/>
    <mergeCell ref="B2:K2"/>
    <mergeCell ref="B34:K34"/>
    <mergeCell ref="F39:K39"/>
    <mergeCell ref="B3:K3"/>
    <mergeCell ref="F37:K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TWC-19: DEPARTMENT-WISE CLASS TIMETABLE GRID</t>
        </is>
      </c>
    </row>
    <row r="3" ht="20" customHeight="1">
      <c r="B3" s="2" t="inlineStr">
        <is>
          <t>Department: _______  Class / Section: _______  Semester: _______  A.Y.: _______  Effective from: _______</t>
        </is>
      </c>
    </row>
    <row r="4" ht="25" customHeight="1">
      <c r="B4" s="13" t="inlineStr">
        <is>
          <t>Period →
Day ↓</t>
        </is>
      </c>
      <c r="C4" s="13" t="inlineStr">
        <is>
          <t>Period 1
(08:30–09:20)</t>
        </is>
      </c>
      <c r="D4" s="13" t="inlineStr">
        <is>
          <t>Period 2
(09:20–10:10)</t>
        </is>
      </c>
      <c r="E4" s="13" t="inlineStr">
        <is>
          <t>Period 3
(10:10–11:00)</t>
        </is>
      </c>
      <c r="F4" s="13" t="inlineStr">
        <is>
          <t>Period 4
(11:15–12:05)</t>
        </is>
      </c>
      <c r="G4" s="13" t="inlineStr">
        <is>
          <t>Period 5
(12:05–12:55)</t>
        </is>
      </c>
      <c r="H4" s="13" t="inlineStr">
        <is>
          <t>Period 6
(13:45–14:35)</t>
        </is>
      </c>
      <c r="I4" s="13" t="inlineStr">
        <is>
          <t>Period 7
(14:35–15:25)</t>
        </is>
      </c>
      <c r="J4" s="13" t="inlineStr">
        <is>
          <t>Period 8
(15:25–16:15)</t>
        </is>
      </c>
    </row>
    <row r="5" ht="50" customHeight="1">
      <c r="B5" s="13" t="inlineStr">
        <is>
          <t>MONDAY</t>
        </is>
      </c>
      <c r="C5" s="60" t="n"/>
      <c r="D5" s="60" t="n"/>
      <c r="E5" s="60" t="n"/>
      <c r="F5" s="60" t="n"/>
      <c r="G5" s="60" t="n"/>
      <c r="H5" s="60" t="n"/>
      <c r="I5" s="60" t="n"/>
      <c r="J5" s="60" t="n"/>
    </row>
    <row r="6" ht="50" customHeight="1">
      <c r="B6" s="30" t="inlineStr">
        <is>
          <t>TUESDAY</t>
        </is>
      </c>
      <c r="C6" s="40" t="n"/>
      <c r="D6" s="40" t="n"/>
      <c r="E6" s="40" t="n"/>
      <c r="F6" s="40" t="n"/>
      <c r="G6" s="40" t="n"/>
      <c r="H6" s="40" t="n"/>
      <c r="I6" s="40" t="n"/>
      <c r="J6" s="40" t="n"/>
    </row>
    <row r="7" ht="50" customHeight="1">
      <c r="B7" s="50" t="inlineStr">
        <is>
          <t>WEDNESDAY</t>
        </is>
      </c>
      <c r="C7" s="61" t="n"/>
      <c r="D7" s="61" t="n"/>
      <c r="E7" s="61" t="n"/>
      <c r="F7" s="61" t="n"/>
      <c r="G7" s="61" t="n"/>
      <c r="H7" s="61" t="n"/>
      <c r="I7" s="61" t="n"/>
      <c r="J7" s="61" t="n"/>
    </row>
    <row r="8" ht="50" customHeight="1">
      <c r="B8" s="13" t="inlineStr">
        <is>
          <t>THURSDAY</t>
        </is>
      </c>
      <c r="C8" s="60" t="n"/>
      <c r="D8" s="60" t="n"/>
      <c r="E8" s="60" t="n"/>
      <c r="F8" s="60" t="n"/>
      <c r="G8" s="60" t="n"/>
      <c r="H8" s="60" t="n"/>
      <c r="I8" s="60" t="n"/>
      <c r="J8" s="60" t="n"/>
    </row>
    <row r="9" ht="50" customHeight="1">
      <c r="B9" s="30" t="inlineStr">
        <is>
          <t>FRIDAY</t>
        </is>
      </c>
      <c r="C9" s="40" t="n"/>
      <c r="D9" s="40" t="n"/>
      <c r="E9" s="40" t="n"/>
      <c r="F9" s="40" t="n"/>
      <c r="G9" s="40" t="n"/>
      <c r="H9" s="40" t="n"/>
      <c r="I9" s="40" t="n"/>
      <c r="J9" s="40" t="n"/>
    </row>
    <row r="10" ht="50" customHeight="1">
      <c r="B10" s="28" t="inlineStr">
        <is>
          <t>SATURDAY</t>
        </is>
      </c>
      <c r="C10" s="62" t="n"/>
      <c r="D10" s="62" t="n"/>
      <c r="E10" s="62" t="n"/>
      <c r="F10" s="62" t="n"/>
      <c r="G10" s="62" t="n"/>
      <c r="H10" s="62" t="n"/>
      <c r="I10" s="62" t="n"/>
      <c r="J10" s="62" t="n"/>
    </row>
    <row r="11" ht="28" customHeight="1"/>
    <row r="12" ht="20" customHeight="1">
      <c r="B12" s="17" t="inlineStr">
        <is>
          <t>Enter: Course Code + Faculty Initials + Room No. in each cell. Use colour coding by dept. or subject type. For lab sessions — merge consecutive period cells.</t>
        </is>
      </c>
    </row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</sheetData>
  <mergeCells count="3">
    <mergeCell ref="B12:J12"/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TWC-20: TIME SLOT CONFLICT DETECTION &amp; RESOLUTION REGISTER</t>
        </is>
      </c>
    </row>
    <row r="3" ht="20" customHeight="1">
      <c r="B3" s="17" t="inlineStr">
        <is>
          <t>Detect all conflicts before finalising the timetable. No timetable to be published with unresolved conflicts. Types: Faculty double-booking, Room clash, Student batch overlap, Lab/resource conflict.</t>
        </is>
      </c>
    </row>
    <row r="4" ht="25" customHeight="1">
      <c r="B4" s="13" t="inlineStr">
        <is>
          <t>Conflict
Ref.</t>
        </is>
      </c>
      <c r="C4" s="13" t="inlineStr">
        <is>
          <t>Conflict Description</t>
        </is>
      </c>
      <c r="D4" s="13" t="inlineStr">
        <is>
          <t>Day &amp;
Period</t>
        </is>
      </c>
      <c r="E4" s="13" t="inlineStr">
        <is>
          <t>Faculty
Involved</t>
        </is>
      </c>
      <c r="F4" s="13" t="inlineStr">
        <is>
          <t>Room /
Resource</t>
        </is>
      </c>
      <c r="G4" s="13" t="inlineStr">
        <is>
          <t>Conflict
Type</t>
        </is>
      </c>
      <c r="H4" s="13" t="inlineStr">
        <is>
          <t>Reported by</t>
        </is>
      </c>
      <c r="I4" s="13" t="inlineStr">
        <is>
          <t>Resolution
Action</t>
        </is>
      </c>
      <c r="J4" s="13" t="inlineStr">
        <is>
          <t>Status</t>
        </is>
      </c>
    </row>
    <row r="5" ht="24" customHeight="1">
      <c r="B5" s="14" t="inlineStr">
        <is>
          <t>CONF/001</t>
        </is>
      </c>
      <c r="C5" s="15" t="inlineStr"/>
      <c r="D5" s="16" t="inlineStr"/>
      <c r="E5" s="15" t="inlineStr"/>
      <c r="F5" s="16" t="inlineStr"/>
      <c r="G5" s="16" t="inlineStr">
        <is>
          <t>Faculty Double-booked</t>
        </is>
      </c>
      <c r="H5" s="16" t="inlineStr"/>
      <c r="I5" s="15" t="inlineStr"/>
      <c r="J5" s="16" t="inlineStr">
        <is>
          <t>Open</t>
        </is>
      </c>
    </row>
    <row r="6" ht="24" customHeight="1">
      <c r="B6" s="8" t="inlineStr">
        <is>
          <t>CONF/002</t>
        </is>
      </c>
      <c r="C6" s="9" t="inlineStr"/>
      <c r="D6" s="10" t="inlineStr"/>
      <c r="E6" s="9" t="inlineStr"/>
      <c r="F6" s="10" t="inlineStr"/>
      <c r="G6" s="10" t="inlineStr">
        <is>
          <t>Room / Hall Clash</t>
        </is>
      </c>
      <c r="H6" s="10" t="inlineStr"/>
      <c r="I6" s="9" t="inlineStr"/>
      <c r="J6" s="10" t="inlineStr">
        <is>
          <t>Open</t>
        </is>
      </c>
    </row>
    <row r="7" ht="24" customHeight="1">
      <c r="B7" s="14" t="inlineStr">
        <is>
          <t>CONF/003</t>
        </is>
      </c>
      <c r="C7" s="15" t="inlineStr"/>
      <c r="D7" s="16" t="inlineStr"/>
      <c r="E7" s="15" t="inlineStr"/>
      <c r="F7" s="16" t="inlineStr"/>
      <c r="G7" s="16" t="inlineStr">
        <is>
          <t>Lab Resource Conflict</t>
        </is>
      </c>
      <c r="H7" s="16" t="inlineStr"/>
      <c r="I7" s="15" t="inlineStr"/>
      <c r="J7" s="16" t="inlineStr">
        <is>
          <t>Open</t>
        </is>
      </c>
    </row>
    <row r="8" ht="24" customHeight="1">
      <c r="B8" s="8" t="inlineStr">
        <is>
          <t>CONF/004</t>
        </is>
      </c>
      <c r="C8" s="9" t="inlineStr"/>
      <c r="D8" s="10" t="inlineStr"/>
      <c r="E8" s="9" t="inlineStr"/>
      <c r="F8" s="10" t="inlineStr"/>
      <c r="G8" s="10" t="inlineStr">
        <is>
          <t>Student Batch Overlap</t>
        </is>
      </c>
      <c r="H8" s="10" t="inlineStr"/>
      <c r="I8" s="9" t="inlineStr"/>
      <c r="J8" s="10" t="inlineStr">
        <is>
          <t>Open</t>
        </is>
      </c>
    </row>
    <row r="9" ht="24" customHeight="1">
      <c r="B9" s="14" t="inlineStr">
        <is>
          <t>CONF/005</t>
        </is>
      </c>
      <c r="C9" s="15" t="inlineStr"/>
      <c r="D9" s="16" t="inlineStr"/>
      <c r="E9" s="15" t="inlineStr"/>
      <c r="F9" s="16" t="inlineStr"/>
      <c r="G9" s="16" t="inlineStr">
        <is>
          <t>Two Labs Same Time (same batch)</t>
        </is>
      </c>
      <c r="H9" s="16" t="inlineStr"/>
      <c r="I9" s="15" t="inlineStr"/>
      <c r="J9" s="16" t="inlineStr">
        <is>
          <t>Open</t>
        </is>
      </c>
    </row>
    <row r="10" ht="24" customHeight="1">
      <c r="B10" s="8" t="inlineStr">
        <is>
          <t>CONF/006</t>
        </is>
      </c>
      <c r="C10" s="9" t="inlineStr"/>
      <c r="D10" s="10" t="inlineStr"/>
      <c r="E10" s="9" t="inlineStr"/>
      <c r="F10" s="10" t="inlineStr"/>
      <c r="G10" s="10" t="inlineStr">
        <is>
          <t>External Duty vs. Teaching</t>
        </is>
      </c>
      <c r="H10" s="10" t="inlineStr"/>
      <c r="I10" s="9" t="inlineStr"/>
      <c r="J10" s="10" t="inlineStr">
        <is>
          <t>Open</t>
        </is>
      </c>
    </row>
    <row r="11" ht="24" customHeight="1">
      <c r="B11" s="14" t="inlineStr">
        <is>
          <t>CONF/007</t>
        </is>
      </c>
      <c r="C11" s="15" t="inlineStr"/>
      <c r="D11" s="16" t="inlineStr"/>
      <c r="E11" s="15" t="inlineStr"/>
      <c r="F11" s="16" t="inlineStr"/>
      <c r="G11" s="16" t="inlineStr">
        <is>
          <t>Exam vs. Class</t>
        </is>
      </c>
      <c r="H11" s="16" t="inlineStr"/>
      <c r="I11" s="15" t="inlineStr"/>
      <c r="J11" s="16" t="inlineStr">
        <is>
          <t>Open</t>
        </is>
      </c>
    </row>
    <row r="12" ht="24" customHeight="1">
      <c r="B12" s="8" t="inlineStr">
        <is>
          <t>CONF/008</t>
        </is>
      </c>
      <c r="C12" s="9" t="inlineStr"/>
      <c r="D12" s="10" t="inlineStr"/>
      <c r="E12" s="9" t="inlineStr"/>
      <c r="F12" s="10" t="inlineStr"/>
      <c r="G12" s="10" t="inlineStr">
        <is>
          <t>Other Conflict</t>
        </is>
      </c>
      <c r="H12" s="10" t="inlineStr"/>
      <c r="I12" s="9" t="inlineStr"/>
      <c r="J12" s="10" t="inlineStr">
        <is>
          <t>Open</t>
        </is>
      </c>
    </row>
    <row r="13" ht="24" customHeight="1">
      <c r="B13" s="14" t="inlineStr">
        <is>
          <t>CONF/009</t>
        </is>
      </c>
      <c r="C13" s="15" t="inlineStr"/>
      <c r="D13" s="16" t="inlineStr"/>
      <c r="E13" s="15" t="inlineStr"/>
      <c r="F13" s="16" t="inlineStr"/>
      <c r="G13" s="16" t="inlineStr">
        <is>
          <t>Faculty Double-booked</t>
        </is>
      </c>
      <c r="H13" s="16" t="inlineStr"/>
      <c r="I13" s="15" t="inlineStr"/>
      <c r="J13" s="16" t="inlineStr">
        <is>
          <t>Open</t>
        </is>
      </c>
    </row>
    <row r="14" ht="24" customHeight="1">
      <c r="B14" s="8" t="inlineStr">
        <is>
          <t>CONF/010</t>
        </is>
      </c>
      <c r="C14" s="9" t="inlineStr"/>
      <c r="D14" s="10" t="inlineStr"/>
      <c r="E14" s="9" t="inlineStr"/>
      <c r="F14" s="10" t="inlineStr"/>
      <c r="G14" s="10" t="inlineStr">
        <is>
          <t>Room / Hall Clash</t>
        </is>
      </c>
      <c r="H14" s="10" t="inlineStr"/>
      <c r="I14" s="9" t="inlineStr"/>
      <c r="J14" s="10" t="inlineStr">
        <is>
          <t>Open</t>
        </is>
      </c>
    </row>
    <row r="15" ht="24" customHeight="1">
      <c r="B15" s="14" t="inlineStr">
        <is>
          <t>CONF/011</t>
        </is>
      </c>
      <c r="C15" s="15" t="inlineStr"/>
      <c r="D15" s="16" t="inlineStr"/>
      <c r="E15" s="15" t="inlineStr"/>
      <c r="F15" s="16" t="inlineStr"/>
      <c r="G15" s="16" t="inlineStr">
        <is>
          <t>Lab Resource Conflict</t>
        </is>
      </c>
      <c r="H15" s="16" t="inlineStr"/>
      <c r="I15" s="15" t="inlineStr"/>
      <c r="J15" s="16" t="inlineStr">
        <is>
          <t>Open</t>
        </is>
      </c>
    </row>
    <row r="16" ht="24" customHeight="1">
      <c r="B16" s="8" t="inlineStr">
        <is>
          <t>CONF/012</t>
        </is>
      </c>
      <c r="C16" s="9" t="inlineStr"/>
      <c r="D16" s="10" t="inlineStr"/>
      <c r="E16" s="9" t="inlineStr"/>
      <c r="F16" s="10" t="inlineStr"/>
      <c r="G16" s="10" t="inlineStr">
        <is>
          <t>Student Batch Overlap</t>
        </is>
      </c>
      <c r="H16" s="10" t="inlineStr"/>
      <c r="I16" s="9" t="inlineStr"/>
      <c r="J16" s="10" t="inlineStr">
        <is>
          <t>Open</t>
        </is>
      </c>
    </row>
    <row r="17" ht="24" customHeight="1">
      <c r="B17" s="14" t="inlineStr">
        <is>
          <t>CONF/013</t>
        </is>
      </c>
      <c r="C17" s="15" t="inlineStr"/>
      <c r="D17" s="16" t="inlineStr"/>
      <c r="E17" s="15" t="inlineStr"/>
      <c r="F17" s="16" t="inlineStr"/>
      <c r="G17" s="16" t="inlineStr">
        <is>
          <t>Two Labs Same Time (same batch)</t>
        </is>
      </c>
      <c r="H17" s="16" t="inlineStr"/>
      <c r="I17" s="15" t="inlineStr"/>
      <c r="J17" s="16" t="inlineStr">
        <is>
          <t>Open</t>
        </is>
      </c>
    </row>
    <row r="18" ht="24" customHeight="1">
      <c r="B18" s="8" t="inlineStr">
        <is>
          <t>CONF/014</t>
        </is>
      </c>
      <c r="C18" s="9" t="inlineStr"/>
      <c r="D18" s="10" t="inlineStr"/>
      <c r="E18" s="9" t="inlineStr"/>
      <c r="F18" s="10" t="inlineStr"/>
      <c r="G18" s="10" t="inlineStr">
        <is>
          <t>External Duty vs. Teaching</t>
        </is>
      </c>
      <c r="H18" s="10" t="inlineStr"/>
      <c r="I18" s="9" t="inlineStr"/>
      <c r="J18" s="10" t="inlineStr">
        <is>
          <t>Open</t>
        </is>
      </c>
    </row>
    <row r="19" ht="24" customHeight="1">
      <c r="B19" s="14" t="inlineStr">
        <is>
          <t>CONF/015</t>
        </is>
      </c>
      <c r="C19" s="15" t="inlineStr"/>
      <c r="D19" s="16" t="inlineStr"/>
      <c r="E19" s="15" t="inlineStr"/>
      <c r="F19" s="16" t="inlineStr"/>
      <c r="G19" s="16" t="inlineStr">
        <is>
          <t>Exam vs. Class</t>
        </is>
      </c>
      <c r="H19" s="16" t="inlineStr"/>
      <c r="I19" s="15" t="inlineStr"/>
      <c r="J19" s="16" t="inlineStr">
        <is>
          <t>Open</t>
        </is>
      </c>
    </row>
    <row r="20" ht="24" customHeight="1">
      <c r="B20" s="8" t="inlineStr">
        <is>
          <t>CONF/016</t>
        </is>
      </c>
      <c r="C20" s="9" t="inlineStr"/>
      <c r="D20" s="10" t="inlineStr"/>
      <c r="E20" s="9" t="inlineStr"/>
      <c r="F20" s="10" t="inlineStr"/>
      <c r="G20" s="10" t="inlineStr">
        <is>
          <t>Other Conflict</t>
        </is>
      </c>
      <c r="H20" s="10" t="inlineStr"/>
      <c r="I20" s="9" t="inlineStr"/>
      <c r="J20" s="10" t="inlineStr">
        <is>
          <t>Open</t>
        </is>
      </c>
    </row>
    <row r="21" ht="24" customHeight="1">
      <c r="B21" s="14" t="inlineStr">
        <is>
          <t>CONF/017</t>
        </is>
      </c>
      <c r="C21" s="15" t="inlineStr"/>
      <c r="D21" s="16" t="inlineStr"/>
      <c r="E21" s="15" t="inlineStr"/>
      <c r="F21" s="16" t="inlineStr"/>
      <c r="G21" s="16" t="inlineStr">
        <is>
          <t>Faculty Double-booked</t>
        </is>
      </c>
      <c r="H21" s="16" t="inlineStr"/>
      <c r="I21" s="15" t="inlineStr"/>
      <c r="J21" s="16" t="inlineStr">
        <is>
          <t>Open</t>
        </is>
      </c>
    </row>
    <row r="22" ht="24" customHeight="1">
      <c r="B22" s="8" t="inlineStr">
        <is>
          <t>CONF/018</t>
        </is>
      </c>
      <c r="C22" s="9" t="inlineStr"/>
      <c r="D22" s="10" t="inlineStr"/>
      <c r="E22" s="9" t="inlineStr"/>
      <c r="F22" s="10" t="inlineStr"/>
      <c r="G22" s="10" t="inlineStr">
        <is>
          <t>Room / Hall Clash</t>
        </is>
      </c>
      <c r="H22" s="10" t="inlineStr"/>
      <c r="I22" s="9" t="inlineStr"/>
      <c r="J22" s="10" t="inlineStr">
        <is>
          <t>Open</t>
        </is>
      </c>
    </row>
    <row r="23" ht="24" customHeight="1"/>
    <row r="24" ht="24" customHeight="1">
      <c r="B24" s="34" t="inlineStr">
        <is>
          <t>CONFLICT RESOLUTION SUMMARY</t>
        </is>
      </c>
    </row>
    <row r="25" ht="24" customHeight="1">
      <c r="B25" s="38" t="inlineStr">
        <is>
          <t>Total Conflicts Detected</t>
        </is>
      </c>
      <c r="F25" s="36">
        <f>COUNTA(B5:B22)</f>
        <v/>
      </c>
    </row>
    <row r="26" ht="24" customHeight="1">
      <c r="B26" s="25" t="inlineStr">
        <is>
          <t>Faculty Double-booking</t>
        </is>
      </c>
      <c r="F26" s="37">
        <f>COUNTIF(G5:G22,"Faculty Double-booked")</f>
        <v/>
      </c>
    </row>
    <row r="27" ht="24" customHeight="1">
      <c r="B27" s="38" t="inlineStr">
        <is>
          <t>Room / Resource Clashes</t>
        </is>
      </c>
      <c r="F27" s="36">
        <f>COUNTIF(G5:G22,"Room / Hall Clash")</f>
        <v/>
      </c>
    </row>
    <row r="28">
      <c r="B28" s="25" t="inlineStr">
        <is>
          <t>Resolved Conflicts</t>
        </is>
      </c>
      <c r="F28" s="37">
        <f>COUNTIF(J5:J22,"Resolved")</f>
        <v/>
      </c>
    </row>
    <row r="29">
      <c r="B29" s="38" t="inlineStr">
        <is>
          <t>Open / Unresolved</t>
        </is>
      </c>
      <c r="F29" s="36">
        <f>COUNTIF(J5:J22,"Open")</f>
        <v/>
      </c>
    </row>
    <row r="30">
      <c r="B30" s="25" t="inlineStr">
        <is>
          <t>Timetable Published?</t>
        </is>
      </c>
      <c r="F30" s="37" t="inlineStr">
        <is>
          <t>[ ] Yes — only after all conflicts resolved   [ ] No</t>
        </is>
      </c>
    </row>
  </sheetData>
  <mergeCells count="15">
    <mergeCell ref="B26:E26"/>
    <mergeCell ref="B27:E27"/>
    <mergeCell ref="B3:J3"/>
    <mergeCell ref="F29:J29"/>
    <mergeCell ref="F30:J30"/>
    <mergeCell ref="F26:J26"/>
    <mergeCell ref="B30:E30"/>
    <mergeCell ref="F25:J25"/>
    <mergeCell ref="F27:J27"/>
    <mergeCell ref="B25:E25"/>
    <mergeCell ref="F28:J28"/>
    <mergeCell ref="B29:E29"/>
    <mergeCell ref="B28:E28"/>
    <mergeCell ref="B24:J24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TWC-22: TIMETABLE REVISION &amp; CHANGE REGISTER</t>
        </is>
      </c>
    </row>
    <row r="3" ht="20" customHeight="1">
      <c r="B3" s="17" t="inlineStr">
        <is>
          <t>All mid-semester timetable changes require TWC Chairperson approval before implementation. Communicate to affected faculty and students within 24 hours of approval.</t>
        </is>
      </c>
    </row>
    <row r="4" ht="25" customHeight="1">
      <c r="B4" s="13" t="inlineStr">
        <is>
          <t>Revision
Ref.</t>
        </is>
      </c>
      <c r="C4" s="13" t="inlineStr">
        <is>
          <t>Change Description</t>
        </is>
      </c>
      <c r="D4" s="13" t="inlineStr">
        <is>
          <t>Department /
Section</t>
        </is>
      </c>
      <c r="E4" s="13" t="inlineStr">
        <is>
          <t>Date of
Change</t>
        </is>
      </c>
      <c r="F4" s="13" t="inlineStr">
        <is>
          <t>Reason</t>
        </is>
      </c>
      <c r="G4" s="13" t="inlineStr">
        <is>
          <t>Requested by</t>
        </is>
      </c>
      <c r="H4" s="13" t="inlineStr">
        <is>
          <t>Approved by</t>
        </is>
      </c>
      <c r="I4" s="13" t="inlineStr">
        <is>
          <t>Communication
Date</t>
        </is>
      </c>
      <c r="J4" s="13" t="inlineStr">
        <is>
          <t>Status</t>
        </is>
      </c>
    </row>
    <row r="5" ht="24" customHeight="1">
      <c r="B5" s="14" t="inlineStr">
        <is>
          <t>REV/001</t>
        </is>
      </c>
      <c r="C5" s="15" t="inlineStr"/>
      <c r="D5" s="16" t="inlineStr"/>
      <c r="E5" s="16" t="inlineStr"/>
      <c r="F5" s="16" t="inlineStr">
        <is>
          <t>Faculty deputation / FDP</t>
        </is>
      </c>
      <c r="G5" s="15" t="inlineStr"/>
      <c r="H5" s="16" t="inlineStr">
        <is>
          <t>TWC Chairperson</t>
        </is>
      </c>
      <c r="I5" s="16" t="inlineStr"/>
      <c r="J5" s="16" t="inlineStr">
        <is>
          <t>Implemented</t>
        </is>
      </c>
    </row>
    <row r="6" ht="24" customHeight="1">
      <c r="B6" s="8" t="inlineStr">
        <is>
          <t>REV/002</t>
        </is>
      </c>
      <c r="C6" s="9" t="inlineStr"/>
      <c r="D6" s="10" t="inlineStr"/>
      <c r="E6" s="10" t="inlineStr"/>
      <c r="F6" s="10" t="inlineStr">
        <is>
          <t>Guest faculty addition</t>
        </is>
      </c>
      <c r="G6" s="9" t="inlineStr"/>
      <c r="H6" s="10" t="inlineStr">
        <is>
          <t>TWC Chairperson</t>
        </is>
      </c>
      <c r="I6" s="10" t="inlineStr"/>
      <c r="J6" s="10" t="inlineStr">
        <is>
          <t>Implemented</t>
        </is>
      </c>
    </row>
    <row r="7" ht="24" customHeight="1">
      <c r="B7" s="14" t="inlineStr">
        <is>
          <t>REV/003</t>
        </is>
      </c>
      <c r="C7" s="15" t="inlineStr"/>
      <c r="D7" s="16" t="inlineStr"/>
      <c r="E7" s="16" t="inlineStr"/>
      <c r="F7" s="16" t="inlineStr">
        <is>
          <t>Laboratory re-allotment</t>
        </is>
      </c>
      <c r="G7" s="15" t="inlineStr"/>
      <c r="H7" s="16" t="inlineStr">
        <is>
          <t>TWC Chairperson</t>
        </is>
      </c>
      <c r="I7" s="16" t="inlineStr"/>
      <c r="J7" s="16" t="inlineStr">
        <is>
          <t>Implemented</t>
        </is>
      </c>
    </row>
    <row r="8" ht="24" customHeight="1">
      <c r="B8" s="8" t="inlineStr">
        <is>
          <t>REV/004</t>
        </is>
      </c>
      <c r="C8" s="9" t="inlineStr"/>
      <c r="D8" s="10" t="inlineStr"/>
      <c r="E8" s="10" t="inlineStr"/>
      <c r="F8" s="10" t="inlineStr">
        <is>
          <t>Room change (maintenance)</t>
        </is>
      </c>
      <c r="G8" s="9" t="inlineStr"/>
      <c r="H8" s="10" t="inlineStr">
        <is>
          <t>TWC Chairperson</t>
        </is>
      </c>
      <c r="I8" s="10" t="inlineStr"/>
      <c r="J8" s="10" t="inlineStr">
        <is>
          <t>Implemented</t>
        </is>
      </c>
    </row>
    <row r="9" ht="24" customHeight="1">
      <c r="B9" s="14" t="inlineStr">
        <is>
          <t>REV/005</t>
        </is>
      </c>
      <c r="C9" s="15" t="inlineStr"/>
      <c r="D9" s="16" t="inlineStr"/>
      <c r="E9" s="16" t="inlineStr"/>
      <c r="F9" s="16" t="inlineStr">
        <is>
          <t>Holiday re-scheduling</t>
        </is>
      </c>
      <c r="G9" s="15" t="inlineStr"/>
      <c r="H9" s="16" t="inlineStr">
        <is>
          <t>TWC Chairperson</t>
        </is>
      </c>
      <c r="I9" s="16" t="inlineStr"/>
      <c r="J9" s="16" t="inlineStr">
        <is>
          <t>Implemented</t>
        </is>
      </c>
    </row>
    <row r="10" ht="24" customHeight="1">
      <c r="B10" s="8" t="inlineStr">
        <is>
          <t>REV/006</t>
        </is>
      </c>
      <c r="C10" s="9" t="inlineStr"/>
      <c r="D10" s="10" t="inlineStr"/>
      <c r="E10" s="10" t="inlineStr"/>
      <c r="F10" s="10" t="inlineStr">
        <is>
          <t>Exam timetable clash</t>
        </is>
      </c>
      <c r="G10" s="9" t="inlineStr"/>
      <c r="H10" s="10" t="inlineStr">
        <is>
          <t>TWC Chairperson</t>
        </is>
      </c>
      <c r="I10" s="10" t="inlineStr"/>
      <c r="J10" s="10" t="inlineStr">
        <is>
          <t>Implemented</t>
        </is>
      </c>
    </row>
    <row r="11" ht="24" customHeight="1">
      <c r="B11" s="14" t="inlineStr">
        <is>
          <t>REV/007</t>
        </is>
      </c>
      <c r="C11" s="15" t="inlineStr"/>
      <c r="D11" s="16" t="inlineStr"/>
      <c r="E11" s="16" t="inlineStr"/>
      <c r="F11" s="16" t="inlineStr">
        <is>
          <t>Faculty course change</t>
        </is>
      </c>
      <c r="G11" s="15" t="inlineStr"/>
      <c r="H11" s="16" t="inlineStr">
        <is>
          <t>TWC Chairperson</t>
        </is>
      </c>
      <c r="I11" s="16" t="inlineStr"/>
      <c r="J11" s="16" t="inlineStr">
        <is>
          <t>Implemented</t>
        </is>
      </c>
    </row>
    <row r="12" ht="24" customHeight="1">
      <c r="B12" s="8" t="inlineStr">
        <is>
          <t>REV/008</t>
        </is>
      </c>
      <c r="C12" s="9" t="inlineStr"/>
      <c r="D12" s="10" t="inlineStr"/>
      <c r="E12" s="10" t="inlineStr"/>
      <c r="F12" s="10" t="inlineStr">
        <is>
          <t>Batch split / merge</t>
        </is>
      </c>
      <c r="G12" s="9" t="inlineStr"/>
      <c r="H12" s="10" t="inlineStr">
        <is>
          <t>TWC Chairperson</t>
        </is>
      </c>
      <c r="I12" s="10" t="inlineStr"/>
      <c r="J12" s="10" t="inlineStr">
        <is>
          <t>Implemented</t>
        </is>
      </c>
    </row>
    <row r="13" ht="24" customHeight="1">
      <c r="B13" s="14" t="inlineStr">
        <is>
          <t>REV/009</t>
        </is>
      </c>
      <c r="C13" s="15" t="inlineStr"/>
      <c r="D13" s="16" t="inlineStr"/>
      <c r="E13" s="16" t="inlineStr"/>
      <c r="F13" s="16" t="inlineStr">
        <is>
          <t>New section added</t>
        </is>
      </c>
      <c r="G13" s="15" t="inlineStr"/>
      <c r="H13" s="16" t="inlineStr">
        <is>
          <t>TWC Chairperson</t>
        </is>
      </c>
      <c r="I13" s="16" t="inlineStr"/>
      <c r="J13" s="16" t="inlineStr">
        <is>
          <t>Implemented</t>
        </is>
      </c>
    </row>
    <row r="14" ht="24" customHeight="1">
      <c r="B14" s="8" t="inlineStr">
        <is>
          <t>REV/010</t>
        </is>
      </c>
      <c r="C14" s="9" t="inlineStr"/>
      <c r="D14" s="10" t="inlineStr"/>
      <c r="E14" s="10" t="inlineStr"/>
      <c r="F14" s="10" t="inlineStr">
        <is>
          <t>University directive</t>
        </is>
      </c>
      <c r="G14" s="9" t="inlineStr"/>
      <c r="H14" s="10" t="inlineStr">
        <is>
          <t>TWC Chairperson</t>
        </is>
      </c>
      <c r="I14" s="10" t="inlineStr"/>
      <c r="J14" s="10" t="inlineStr">
        <is>
          <t>Implemented</t>
        </is>
      </c>
    </row>
    <row r="15" ht="24" customHeight="1">
      <c r="B15" s="14" t="inlineStr">
        <is>
          <t>REV/011</t>
        </is>
      </c>
      <c r="C15" s="15" t="inlineStr"/>
      <c r="D15" s="16" t="inlineStr"/>
      <c r="E15" s="16" t="inlineStr"/>
      <c r="F15" s="16" t="inlineStr">
        <is>
          <t>Faculty deputation / FDP</t>
        </is>
      </c>
      <c r="G15" s="15" t="inlineStr"/>
      <c r="H15" s="16" t="inlineStr">
        <is>
          <t>TWC Chairperson</t>
        </is>
      </c>
      <c r="I15" s="16" t="inlineStr"/>
      <c r="J15" s="16" t="inlineStr">
        <is>
          <t>Implemented</t>
        </is>
      </c>
    </row>
    <row r="16" ht="24" customHeight="1">
      <c r="B16" s="8" t="inlineStr">
        <is>
          <t>REV/012</t>
        </is>
      </c>
      <c r="C16" s="9" t="inlineStr"/>
      <c r="D16" s="10" t="inlineStr"/>
      <c r="E16" s="10" t="inlineStr"/>
      <c r="F16" s="10" t="inlineStr">
        <is>
          <t>Guest faculty addition</t>
        </is>
      </c>
      <c r="G16" s="9" t="inlineStr"/>
      <c r="H16" s="10" t="inlineStr">
        <is>
          <t>TWC Chairperson</t>
        </is>
      </c>
      <c r="I16" s="10" t="inlineStr"/>
      <c r="J16" s="10" t="inlineStr">
        <is>
          <t>Implemented</t>
        </is>
      </c>
    </row>
    <row r="17" ht="24" customHeight="1">
      <c r="B17" s="14" t="inlineStr">
        <is>
          <t>REV/013</t>
        </is>
      </c>
      <c r="C17" s="15" t="inlineStr"/>
      <c r="D17" s="16" t="inlineStr"/>
      <c r="E17" s="16" t="inlineStr"/>
      <c r="F17" s="16" t="inlineStr">
        <is>
          <t>Laboratory re-allotment</t>
        </is>
      </c>
      <c r="G17" s="15" t="inlineStr"/>
      <c r="H17" s="16" t="inlineStr">
        <is>
          <t>TWC Chairperson</t>
        </is>
      </c>
      <c r="I17" s="16" t="inlineStr"/>
      <c r="J17" s="16" t="inlineStr">
        <is>
          <t>Implemented</t>
        </is>
      </c>
    </row>
    <row r="18" ht="24" customHeight="1">
      <c r="B18" s="8" t="inlineStr">
        <is>
          <t>REV/014</t>
        </is>
      </c>
      <c r="C18" s="9" t="inlineStr"/>
      <c r="D18" s="10" t="inlineStr"/>
      <c r="E18" s="10" t="inlineStr"/>
      <c r="F18" s="10" t="inlineStr">
        <is>
          <t>Room change (maintenance)</t>
        </is>
      </c>
      <c r="G18" s="9" t="inlineStr"/>
      <c r="H18" s="10" t="inlineStr">
        <is>
          <t>TWC Chairperson</t>
        </is>
      </c>
      <c r="I18" s="10" t="inlineStr"/>
      <c r="J18" s="10" t="inlineStr">
        <is>
          <t>Implemented</t>
        </is>
      </c>
    </row>
    <row r="19" ht="24" customHeight="1">
      <c r="B19" s="14" t="inlineStr">
        <is>
          <t>REV/015</t>
        </is>
      </c>
      <c r="C19" s="15" t="inlineStr"/>
      <c r="D19" s="16" t="inlineStr"/>
      <c r="E19" s="16" t="inlineStr"/>
      <c r="F19" s="16" t="inlineStr">
        <is>
          <t>Holiday re-scheduling</t>
        </is>
      </c>
      <c r="G19" s="15" t="inlineStr"/>
      <c r="H19" s="16" t="inlineStr">
        <is>
          <t>TWC Chairperson</t>
        </is>
      </c>
      <c r="I19" s="16" t="inlineStr"/>
      <c r="J19" s="16" t="inlineStr">
        <is>
          <t>Implemented</t>
        </is>
      </c>
    </row>
    <row r="20" ht="24" customHeight="1">
      <c r="B20" s="8" t="inlineStr">
        <is>
          <t>REV/016</t>
        </is>
      </c>
      <c r="C20" s="9" t="inlineStr"/>
      <c r="D20" s="10" t="inlineStr"/>
      <c r="E20" s="10" t="inlineStr"/>
      <c r="F20" s="10" t="inlineStr">
        <is>
          <t>Exam timetable clash</t>
        </is>
      </c>
      <c r="G20" s="9" t="inlineStr"/>
      <c r="H20" s="10" t="inlineStr">
        <is>
          <t>TWC Chairperson</t>
        </is>
      </c>
      <c r="I20" s="10" t="inlineStr"/>
      <c r="J20" s="10" t="inlineStr">
        <is>
          <t>Implemented</t>
        </is>
      </c>
    </row>
    <row r="21" ht="24" customHeight="1">
      <c r="B21" s="14" t="inlineStr">
        <is>
          <t>REV/017</t>
        </is>
      </c>
      <c r="C21" s="15" t="inlineStr"/>
      <c r="D21" s="16" t="inlineStr"/>
      <c r="E21" s="16" t="inlineStr"/>
      <c r="F21" s="16" t="inlineStr">
        <is>
          <t>Faculty course change</t>
        </is>
      </c>
      <c r="G21" s="15" t="inlineStr"/>
      <c r="H21" s="16" t="inlineStr">
        <is>
          <t>TWC Chairperson</t>
        </is>
      </c>
      <c r="I21" s="16" t="inlineStr"/>
      <c r="J21" s="16" t="inlineStr">
        <is>
          <t>Implemented</t>
        </is>
      </c>
    </row>
    <row r="22" ht="24" customHeight="1">
      <c r="B22" s="8" t="inlineStr">
        <is>
          <t>REV/018</t>
        </is>
      </c>
      <c r="C22" s="9" t="inlineStr"/>
      <c r="D22" s="10" t="inlineStr"/>
      <c r="E22" s="10" t="inlineStr"/>
      <c r="F22" s="10" t="inlineStr">
        <is>
          <t>Batch split / merge</t>
        </is>
      </c>
      <c r="G22" s="9" t="inlineStr"/>
      <c r="H22" s="10" t="inlineStr">
        <is>
          <t>TWC Chairperson</t>
        </is>
      </c>
      <c r="I22" s="10" t="inlineStr"/>
      <c r="J22" s="10" t="inlineStr">
        <is>
          <t>Implemented</t>
        </is>
      </c>
    </row>
    <row r="23" ht="24" customHeight="1"/>
    <row r="24" ht="24" customHeight="1">
      <c r="B24" s="34" t="inlineStr">
        <is>
          <t>REVISION SUMMARY</t>
        </is>
      </c>
    </row>
    <row r="25" ht="24" customHeight="1">
      <c r="B25" s="38" t="inlineStr">
        <is>
          <t>Total Revisions This Semester</t>
        </is>
      </c>
      <c r="F25" s="36">
        <f>COUNTA(B5:B22)</f>
        <v/>
      </c>
    </row>
    <row r="26" ht="24" customHeight="1">
      <c r="B26" s="25" t="inlineStr">
        <is>
          <t>Faculty-requested Changes</t>
        </is>
      </c>
      <c r="F26" s="37" t="inlineStr"/>
    </row>
    <row r="27" ht="24" customHeight="1">
      <c r="B27" s="38" t="inlineStr">
        <is>
          <t>Admin / Management Changes</t>
        </is>
      </c>
      <c r="F27" s="36" t="inlineStr"/>
    </row>
    <row r="28">
      <c r="B28" s="25" t="inlineStr">
        <is>
          <t>Implemented</t>
        </is>
      </c>
      <c r="F28" s="37">
        <f>COUNTIF(J5:J22,"Implemented")</f>
        <v/>
      </c>
    </row>
    <row r="29">
      <c r="B29" s="38" t="inlineStr">
        <is>
          <t>Pending</t>
        </is>
      </c>
      <c r="F29" s="36">
        <f>COUNTIF(J5:J22,"Pending")</f>
        <v/>
      </c>
    </row>
    <row r="30">
      <c r="B30" s="25" t="inlineStr">
        <is>
          <t>Average Time to Implement (days)</t>
        </is>
      </c>
      <c r="F30" s="37" t="inlineStr"/>
    </row>
  </sheetData>
  <mergeCells count="15">
    <mergeCell ref="B26:E26"/>
    <mergeCell ref="B27:E27"/>
    <mergeCell ref="B3:J3"/>
    <mergeCell ref="F29:J29"/>
    <mergeCell ref="F30:J30"/>
    <mergeCell ref="F26:J26"/>
    <mergeCell ref="B30:E30"/>
    <mergeCell ref="F25:J25"/>
    <mergeCell ref="F27:J27"/>
    <mergeCell ref="B25:E25"/>
    <mergeCell ref="F28:J28"/>
    <mergeCell ref="B29:E29"/>
    <mergeCell ref="B28:E28"/>
    <mergeCell ref="B24:J24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TWC-28: FACULTY LECTURE COMPLETION &amp; SYLLABUS COVERAGE TRACKER</t>
        </is>
      </c>
    </row>
    <row r="3" ht="20" customHeight="1">
      <c r="B3" s="17" t="inlineStr">
        <is>
          <t>NAAC Criterion II.3 requires evidence of syllabus completion. Faculty must submit completion status by Week 12. Shortfall must be addressed through extra/make-up classes before SEE.</t>
        </is>
      </c>
    </row>
    <row r="4" ht="25" customHeight="1">
      <c r="B4" s="13" t="inlineStr">
        <is>
          <t>Sl.</t>
        </is>
      </c>
      <c r="C4" s="13" t="inlineStr">
        <is>
          <t>Faculty Name</t>
        </is>
      </c>
      <c r="D4" s="13" t="inlineStr">
        <is>
          <t>Course
Code</t>
        </is>
      </c>
      <c r="E4" s="13" t="inlineStr">
        <is>
          <t>Total
Topics
Planned</t>
        </is>
      </c>
      <c r="F4" s="13" t="inlineStr">
        <is>
          <t>Topics
Covered
(Wk 8)</t>
        </is>
      </c>
      <c r="G4" s="13" t="inlineStr">
        <is>
          <t>Coverage
% (Wk 8)</t>
        </is>
      </c>
      <c r="H4" s="13" t="inlineStr">
        <is>
          <t>Topics
Covered
(Wk 14)</t>
        </is>
      </c>
      <c r="I4" s="13" t="inlineStr">
        <is>
          <t>Final
Coverage %</t>
        </is>
      </c>
      <c r="J4" s="13" t="inlineStr">
        <is>
          <t>Shortfall
Topics</t>
        </is>
      </c>
      <c r="K4" s="13" t="inlineStr">
        <is>
          <t>Status</t>
        </is>
      </c>
    </row>
    <row r="5" ht="22" customHeight="1">
      <c r="B5" s="57" t="n">
        <v>1</v>
      </c>
      <c r="C5" s="15" t="inlineStr"/>
      <c r="D5" s="16" t="inlineStr"/>
      <c r="E5" s="16" t="inlineStr"/>
      <c r="F5" s="16" t="inlineStr"/>
      <c r="G5" s="57">
        <f>IFERROR(ROUND(F5/E5*100,1),"")</f>
        <v/>
      </c>
      <c r="H5" s="16" t="inlineStr"/>
      <c r="I5" s="57">
        <f>IFERROR(ROUND(H5/E5*100,1),"")</f>
        <v/>
      </c>
      <c r="J5" s="16">
        <f>IFERROR(E5-H5,"")</f>
        <v/>
      </c>
      <c r="K5" s="16">
        <f>IFERROR(IF(I5&gt;=90,"Completed",IF(I5&gt;=75,"On Track","Behind — Action Needed")),"")</f>
        <v/>
      </c>
    </row>
    <row r="6" ht="22" customHeight="1">
      <c r="B6" s="37" t="n">
        <v>2</v>
      </c>
      <c r="C6" s="9" t="inlineStr"/>
      <c r="D6" s="10" t="inlineStr"/>
      <c r="E6" s="10" t="inlineStr"/>
      <c r="F6" s="10" t="inlineStr"/>
      <c r="G6" s="37">
        <f>IFERROR(ROUND(F6/E6*100,1),"")</f>
        <v/>
      </c>
      <c r="H6" s="10" t="inlineStr"/>
      <c r="I6" s="37">
        <f>IFERROR(ROUND(H6/E6*100,1),"")</f>
        <v/>
      </c>
      <c r="J6" s="10">
        <f>IFERROR(E6-H6,"")</f>
        <v/>
      </c>
      <c r="K6" s="10">
        <f>IFERROR(IF(I6&gt;=90,"Completed",IF(I6&gt;=75,"On Track","Behind — Action Needed")),"")</f>
        <v/>
      </c>
    </row>
    <row r="7" ht="22" customHeight="1">
      <c r="B7" s="57" t="n">
        <v>3</v>
      </c>
      <c r="C7" s="15" t="inlineStr"/>
      <c r="D7" s="16" t="inlineStr"/>
      <c r="E7" s="16" t="inlineStr"/>
      <c r="F7" s="16" t="inlineStr"/>
      <c r="G7" s="57">
        <f>IFERROR(ROUND(F7/E7*100,1),"")</f>
        <v/>
      </c>
      <c r="H7" s="16" t="inlineStr"/>
      <c r="I7" s="57">
        <f>IFERROR(ROUND(H7/E7*100,1),"")</f>
        <v/>
      </c>
      <c r="J7" s="16">
        <f>IFERROR(E7-H7,"")</f>
        <v/>
      </c>
      <c r="K7" s="16">
        <f>IFERROR(IF(I7&gt;=90,"Completed",IF(I7&gt;=75,"On Track","Behind — Action Needed")),"")</f>
        <v/>
      </c>
    </row>
    <row r="8" ht="22" customHeight="1">
      <c r="B8" s="37" t="n">
        <v>4</v>
      </c>
      <c r="C8" s="9" t="inlineStr"/>
      <c r="D8" s="10" t="inlineStr"/>
      <c r="E8" s="10" t="inlineStr"/>
      <c r="F8" s="10" t="inlineStr"/>
      <c r="G8" s="37">
        <f>IFERROR(ROUND(F8/E8*100,1),"")</f>
        <v/>
      </c>
      <c r="H8" s="10" t="inlineStr"/>
      <c r="I8" s="37">
        <f>IFERROR(ROUND(H8/E8*100,1),"")</f>
        <v/>
      </c>
      <c r="J8" s="10">
        <f>IFERROR(E8-H8,"")</f>
        <v/>
      </c>
      <c r="K8" s="10">
        <f>IFERROR(IF(I8&gt;=90,"Completed",IF(I8&gt;=75,"On Track","Behind — Action Needed")),"")</f>
        <v/>
      </c>
    </row>
    <row r="9" ht="22" customHeight="1">
      <c r="B9" s="57" t="n">
        <v>5</v>
      </c>
      <c r="C9" s="15" t="inlineStr"/>
      <c r="D9" s="16" t="inlineStr"/>
      <c r="E9" s="16" t="inlineStr"/>
      <c r="F9" s="16" t="inlineStr"/>
      <c r="G9" s="57">
        <f>IFERROR(ROUND(F9/E9*100,1),"")</f>
        <v/>
      </c>
      <c r="H9" s="16" t="inlineStr"/>
      <c r="I9" s="57">
        <f>IFERROR(ROUND(H9/E9*100,1),"")</f>
        <v/>
      </c>
      <c r="J9" s="16">
        <f>IFERROR(E9-H9,"")</f>
        <v/>
      </c>
      <c r="K9" s="16">
        <f>IFERROR(IF(I9&gt;=90,"Completed",IF(I9&gt;=75,"On Track","Behind — Action Needed")),"")</f>
        <v/>
      </c>
    </row>
    <row r="10" ht="22" customHeight="1">
      <c r="B10" s="37" t="n">
        <v>6</v>
      </c>
      <c r="C10" s="9" t="inlineStr"/>
      <c r="D10" s="10" t="inlineStr"/>
      <c r="E10" s="10" t="inlineStr"/>
      <c r="F10" s="10" t="inlineStr"/>
      <c r="G10" s="37">
        <f>IFERROR(ROUND(F10/E10*100,1),"")</f>
        <v/>
      </c>
      <c r="H10" s="10" t="inlineStr"/>
      <c r="I10" s="37">
        <f>IFERROR(ROUND(H10/E10*100,1),"")</f>
        <v/>
      </c>
      <c r="J10" s="10">
        <f>IFERROR(E10-H10,"")</f>
        <v/>
      </c>
      <c r="K10" s="10">
        <f>IFERROR(IF(I10&gt;=90,"Completed",IF(I10&gt;=75,"On Track","Behind — Action Needed")),"")</f>
        <v/>
      </c>
    </row>
    <row r="11" ht="22" customHeight="1">
      <c r="B11" s="57" t="n">
        <v>7</v>
      </c>
      <c r="C11" s="15" t="inlineStr"/>
      <c r="D11" s="16" t="inlineStr"/>
      <c r="E11" s="16" t="inlineStr"/>
      <c r="F11" s="16" t="inlineStr"/>
      <c r="G11" s="57">
        <f>IFERROR(ROUND(F11/E11*100,1),"")</f>
        <v/>
      </c>
      <c r="H11" s="16" t="inlineStr"/>
      <c r="I11" s="57">
        <f>IFERROR(ROUND(H11/E11*100,1),"")</f>
        <v/>
      </c>
      <c r="J11" s="16">
        <f>IFERROR(E11-H11,"")</f>
        <v/>
      </c>
      <c r="K11" s="16">
        <f>IFERROR(IF(I11&gt;=90,"Completed",IF(I11&gt;=75,"On Track","Behind — Action Needed")),"")</f>
        <v/>
      </c>
    </row>
    <row r="12" ht="22" customHeight="1">
      <c r="B12" s="37" t="n">
        <v>8</v>
      </c>
      <c r="C12" s="9" t="inlineStr"/>
      <c r="D12" s="10" t="inlineStr"/>
      <c r="E12" s="10" t="inlineStr"/>
      <c r="F12" s="10" t="inlineStr"/>
      <c r="G12" s="37">
        <f>IFERROR(ROUND(F12/E12*100,1),"")</f>
        <v/>
      </c>
      <c r="H12" s="10" t="inlineStr"/>
      <c r="I12" s="37">
        <f>IFERROR(ROUND(H12/E12*100,1),"")</f>
        <v/>
      </c>
      <c r="J12" s="10">
        <f>IFERROR(E12-H12,"")</f>
        <v/>
      </c>
      <c r="K12" s="10">
        <f>IFERROR(IF(I12&gt;=90,"Completed",IF(I12&gt;=75,"On Track","Behind — Action Needed")),"")</f>
        <v/>
      </c>
    </row>
    <row r="13" ht="22" customHeight="1">
      <c r="B13" s="57" t="n">
        <v>9</v>
      </c>
      <c r="C13" s="15" t="inlineStr"/>
      <c r="D13" s="16" t="inlineStr"/>
      <c r="E13" s="16" t="inlineStr"/>
      <c r="F13" s="16" t="inlineStr"/>
      <c r="G13" s="57">
        <f>IFERROR(ROUND(F13/E13*100,1),"")</f>
        <v/>
      </c>
      <c r="H13" s="16" t="inlineStr"/>
      <c r="I13" s="57">
        <f>IFERROR(ROUND(H13/E13*100,1),"")</f>
        <v/>
      </c>
      <c r="J13" s="16">
        <f>IFERROR(E13-H13,"")</f>
        <v/>
      </c>
      <c r="K13" s="16">
        <f>IFERROR(IF(I13&gt;=90,"Completed",IF(I13&gt;=75,"On Track","Behind — Action Needed")),"")</f>
        <v/>
      </c>
    </row>
    <row r="14" ht="22" customHeight="1">
      <c r="B14" s="37" t="n">
        <v>10</v>
      </c>
      <c r="C14" s="9" t="inlineStr"/>
      <c r="D14" s="10" t="inlineStr"/>
      <c r="E14" s="10" t="inlineStr"/>
      <c r="F14" s="10" t="inlineStr"/>
      <c r="G14" s="37">
        <f>IFERROR(ROUND(F14/E14*100,1),"")</f>
        <v/>
      </c>
      <c r="H14" s="10" t="inlineStr"/>
      <c r="I14" s="37">
        <f>IFERROR(ROUND(H14/E14*100,1),"")</f>
        <v/>
      </c>
      <c r="J14" s="10">
        <f>IFERROR(E14-H14,"")</f>
        <v/>
      </c>
      <c r="K14" s="10">
        <f>IFERROR(IF(I14&gt;=90,"Completed",IF(I14&gt;=75,"On Track","Behind — Action Needed")),"")</f>
        <v/>
      </c>
    </row>
    <row r="15" ht="22" customHeight="1">
      <c r="B15" s="57" t="n">
        <v>11</v>
      </c>
      <c r="C15" s="15" t="inlineStr"/>
      <c r="D15" s="16" t="inlineStr"/>
      <c r="E15" s="16" t="inlineStr"/>
      <c r="F15" s="16" t="inlineStr"/>
      <c r="G15" s="57">
        <f>IFERROR(ROUND(F15/E15*100,1),"")</f>
        <v/>
      </c>
      <c r="H15" s="16" t="inlineStr"/>
      <c r="I15" s="57">
        <f>IFERROR(ROUND(H15/E15*100,1),"")</f>
        <v/>
      </c>
      <c r="J15" s="16">
        <f>IFERROR(E15-H15,"")</f>
        <v/>
      </c>
      <c r="K15" s="16">
        <f>IFERROR(IF(I15&gt;=90,"Completed",IF(I15&gt;=75,"On Track","Behind — Action Needed")),"")</f>
        <v/>
      </c>
    </row>
    <row r="16" ht="22" customHeight="1">
      <c r="B16" s="37" t="n">
        <v>12</v>
      </c>
      <c r="C16" s="9" t="inlineStr"/>
      <c r="D16" s="10" t="inlineStr"/>
      <c r="E16" s="10" t="inlineStr"/>
      <c r="F16" s="10" t="inlineStr"/>
      <c r="G16" s="37">
        <f>IFERROR(ROUND(F16/E16*100,1),"")</f>
        <v/>
      </c>
      <c r="H16" s="10" t="inlineStr"/>
      <c r="I16" s="37">
        <f>IFERROR(ROUND(H16/E16*100,1),"")</f>
        <v/>
      </c>
      <c r="J16" s="10">
        <f>IFERROR(E16-H16,"")</f>
        <v/>
      </c>
      <c r="K16" s="10">
        <f>IFERROR(IF(I16&gt;=90,"Completed",IF(I16&gt;=75,"On Track","Behind — Action Needed")),"")</f>
        <v/>
      </c>
    </row>
    <row r="17" ht="22" customHeight="1">
      <c r="B17" s="57" t="n">
        <v>13</v>
      </c>
      <c r="C17" s="15" t="inlineStr"/>
      <c r="D17" s="16" t="inlineStr"/>
      <c r="E17" s="16" t="inlineStr"/>
      <c r="F17" s="16" t="inlineStr"/>
      <c r="G17" s="57">
        <f>IFERROR(ROUND(F17/E17*100,1),"")</f>
        <v/>
      </c>
      <c r="H17" s="16" t="inlineStr"/>
      <c r="I17" s="57">
        <f>IFERROR(ROUND(H17/E17*100,1),"")</f>
        <v/>
      </c>
      <c r="J17" s="16">
        <f>IFERROR(E17-H17,"")</f>
        <v/>
      </c>
      <c r="K17" s="16">
        <f>IFERROR(IF(I17&gt;=90,"Completed",IF(I17&gt;=75,"On Track","Behind — Action Needed")),"")</f>
        <v/>
      </c>
    </row>
    <row r="18" ht="22" customHeight="1">
      <c r="B18" s="37" t="n">
        <v>14</v>
      </c>
      <c r="C18" s="9" t="inlineStr"/>
      <c r="D18" s="10" t="inlineStr"/>
      <c r="E18" s="10" t="inlineStr"/>
      <c r="F18" s="10" t="inlineStr"/>
      <c r="G18" s="37">
        <f>IFERROR(ROUND(F18/E18*100,1),"")</f>
        <v/>
      </c>
      <c r="H18" s="10" t="inlineStr"/>
      <c r="I18" s="37">
        <f>IFERROR(ROUND(H18/E18*100,1),"")</f>
        <v/>
      </c>
      <c r="J18" s="10">
        <f>IFERROR(E18-H18,"")</f>
        <v/>
      </c>
      <c r="K18" s="10">
        <f>IFERROR(IF(I18&gt;=90,"Completed",IF(I18&gt;=75,"On Track","Behind — Action Needed")),"")</f>
        <v/>
      </c>
    </row>
    <row r="19" ht="22" customHeight="1">
      <c r="B19" s="57" t="n">
        <v>15</v>
      </c>
      <c r="C19" s="15" t="inlineStr"/>
      <c r="D19" s="16" t="inlineStr"/>
      <c r="E19" s="16" t="inlineStr"/>
      <c r="F19" s="16" t="inlineStr"/>
      <c r="G19" s="57">
        <f>IFERROR(ROUND(F19/E19*100,1),"")</f>
        <v/>
      </c>
      <c r="H19" s="16" t="inlineStr"/>
      <c r="I19" s="57">
        <f>IFERROR(ROUND(H19/E19*100,1),"")</f>
        <v/>
      </c>
      <c r="J19" s="16">
        <f>IFERROR(E19-H19,"")</f>
        <v/>
      </c>
      <c r="K19" s="16">
        <f>IFERROR(IF(I19&gt;=90,"Completed",IF(I19&gt;=75,"On Track","Behind — Action Needed")),"")</f>
        <v/>
      </c>
    </row>
    <row r="20" ht="22" customHeight="1">
      <c r="B20" s="37" t="n">
        <v>16</v>
      </c>
      <c r="C20" s="9" t="inlineStr"/>
      <c r="D20" s="10" t="inlineStr"/>
      <c r="E20" s="10" t="inlineStr"/>
      <c r="F20" s="10" t="inlineStr"/>
      <c r="G20" s="37">
        <f>IFERROR(ROUND(F20/E20*100,1),"")</f>
        <v/>
      </c>
      <c r="H20" s="10" t="inlineStr"/>
      <c r="I20" s="37">
        <f>IFERROR(ROUND(H20/E20*100,1),"")</f>
        <v/>
      </c>
      <c r="J20" s="10">
        <f>IFERROR(E20-H20,"")</f>
        <v/>
      </c>
      <c r="K20" s="10">
        <f>IFERROR(IF(I20&gt;=90,"Completed",IF(I20&gt;=75,"On Track","Behind — Action Needed")),"")</f>
        <v/>
      </c>
    </row>
    <row r="21" ht="22" customHeight="1">
      <c r="B21" s="57" t="n">
        <v>17</v>
      </c>
      <c r="C21" s="15" t="inlineStr"/>
      <c r="D21" s="16" t="inlineStr"/>
      <c r="E21" s="16" t="inlineStr"/>
      <c r="F21" s="16" t="inlineStr"/>
      <c r="G21" s="57">
        <f>IFERROR(ROUND(F21/E21*100,1),"")</f>
        <v/>
      </c>
      <c r="H21" s="16" t="inlineStr"/>
      <c r="I21" s="57">
        <f>IFERROR(ROUND(H21/E21*100,1),"")</f>
        <v/>
      </c>
      <c r="J21" s="16">
        <f>IFERROR(E21-H21,"")</f>
        <v/>
      </c>
      <c r="K21" s="16">
        <f>IFERROR(IF(I21&gt;=90,"Completed",IF(I21&gt;=75,"On Track","Behind — Action Needed")),"")</f>
        <v/>
      </c>
    </row>
    <row r="22" ht="22" customHeight="1">
      <c r="B22" s="37" t="n">
        <v>18</v>
      </c>
      <c r="C22" s="9" t="inlineStr"/>
      <c r="D22" s="10" t="inlineStr"/>
      <c r="E22" s="10" t="inlineStr"/>
      <c r="F22" s="10" t="inlineStr"/>
      <c r="G22" s="37">
        <f>IFERROR(ROUND(F22/E22*100,1),"")</f>
        <v/>
      </c>
      <c r="H22" s="10" t="inlineStr"/>
      <c r="I22" s="37">
        <f>IFERROR(ROUND(H22/E22*100,1),"")</f>
        <v/>
      </c>
      <c r="J22" s="10">
        <f>IFERROR(E22-H22,"")</f>
        <v/>
      </c>
      <c r="K22" s="10">
        <f>IFERROR(IF(I22&gt;=90,"Completed",IF(I22&gt;=75,"On Track","Behind — Action Needed")),"")</f>
        <v/>
      </c>
    </row>
    <row r="23" ht="22" customHeight="1">
      <c r="B23" s="57" t="n">
        <v>19</v>
      </c>
      <c r="C23" s="15" t="inlineStr"/>
      <c r="D23" s="16" t="inlineStr"/>
      <c r="E23" s="16" t="inlineStr"/>
      <c r="F23" s="16" t="inlineStr"/>
      <c r="G23" s="57">
        <f>IFERROR(ROUND(F23/E23*100,1),"")</f>
        <v/>
      </c>
      <c r="H23" s="16" t="inlineStr"/>
      <c r="I23" s="57">
        <f>IFERROR(ROUND(H23/E23*100,1),"")</f>
        <v/>
      </c>
      <c r="J23" s="16">
        <f>IFERROR(E23-H23,"")</f>
        <v/>
      </c>
      <c r="K23" s="16">
        <f>IFERROR(IF(I23&gt;=90,"Completed",IF(I23&gt;=75,"On Track","Behind — Action Needed")),"")</f>
        <v/>
      </c>
    </row>
    <row r="24" ht="22" customHeight="1">
      <c r="B24" s="37" t="n">
        <v>20</v>
      </c>
      <c r="C24" s="9" t="inlineStr"/>
      <c r="D24" s="10" t="inlineStr"/>
      <c r="E24" s="10" t="inlineStr"/>
      <c r="F24" s="10" t="inlineStr"/>
      <c r="G24" s="37">
        <f>IFERROR(ROUND(F24/E24*100,1),"")</f>
        <v/>
      </c>
      <c r="H24" s="10" t="inlineStr"/>
      <c r="I24" s="37">
        <f>IFERROR(ROUND(H24/E24*100,1),"")</f>
        <v/>
      </c>
      <c r="J24" s="10">
        <f>IFERROR(E24-H24,"")</f>
        <v/>
      </c>
      <c r="K24" s="10">
        <f>IFERROR(IF(I24&gt;=90,"Completed",IF(I24&gt;=75,"On Track","Behind — Action Needed")),"")</f>
        <v/>
      </c>
    </row>
    <row r="25" ht="22" customHeight="1">
      <c r="B25" s="57" t="n">
        <v>21</v>
      </c>
      <c r="C25" s="15" t="inlineStr"/>
      <c r="D25" s="16" t="inlineStr"/>
      <c r="E25" s="16" t="inlineStr"/>
      <c r="F25" s="16" t="inlineStr"/>
      <c r="G25" s="57">
        <f>IFERROR(ROUND(F25/E25*100,1),"")</f>
        <v/>
      </c>
      <c r="H25" s="16" t="inlineStr"/>
      <c r="I25" s="57">
        <f>IFERROR(ROUND(H25/E25*100,1),"")</f>
        <v/>
      </c>
      <c r="J25" s="16">
        <f>IFERROR(E25-H25,"")</f>
        <v/>
      </c>
      <c r="K25" s="16">
        <f>IFERROR(IF(I25&gt;=90,"Completed",IF(I25&gt;=75,"On Track","Behind — Action Needed")),"")</f>
        <v/>
      </c>
    </row>
    <row r="26" ht="22" customHeight="1">
      <c r="B26" s="37" t="n">
        <v>22</v>
      </c>
      <c r="C26" s="9" t="inlineStr"/>
      <c r="D26" s="10" t="inlineStr"/>
      <c r="E26" s="10" t="inlineStr"/>
      <c r="F26" s="10" t="inlineStr"/>
      <c r="G26" s="37">
        <f>IFERROR(ROUND(F26/E26*100,1),"")</f>
        <v/>
      </c>
      <c r="H26" s="10" t="inlineStr"/>
      <c r="I26" s="37">
        <f>IFERROR(ROUND(H26/E26*100,1),"")</f>
        <v/>
      </c>
      <c r="J26" s="10">
        <f>IFERROR(E26-H26,"")</f>
        <v/>
      </c>
      <c r="K26" s="10">
        <f>IFERROR(IF(I26&gt;=90,"Completed",IF(I26&gt;=75,"On Track","Behind — Action Needed")),"")</f>
        <v/>
      </c>
    </row>
    <row r="27" ht="22" customHeight="1">
      <c r="B27" s="57" t="n">
        <v>23</v>
      </c>
      <c r="C27" s="15" t="inlineStr"/>
      <c r="D27" s="16" t="inlineStr"/>
      <c r="E27" s="16" t="inlineStr"/>
      <c r="F27" s="16" t="inlineStr"/>
      <c r="G27" s="57">
        <f>IFERROR(ROUND(F27/E27*100,1),"")</f>
        <v/>
      </c>
      <c r="H27" s="16" t="inlineStr"/>
      <c r="I27" s="57">
        <f>IFERROR(ROUND(H27/E27*100,1),"")</f>
        <v/>
      </c>
      <c r="J27" s="16">
        <f>IFERROR(E27-H27,"")</f>
        <v/>
      </c>
      <c r="K27" s="16">
        <f>IFERROR(IF(I27&gt;=90,"Completed",IF(I27&gt;=75,"On Track","Behind — Action Needed")),"")</f>
        <v/>
      </c>
    </row>
    <row r="28" ht="22" customHeight="1">
      <c r="B28" s="37" t="n">
        <v>24</v>
      </c>
      <c r="C28" s="9" t="inlineStr"/>
      <c r="D28" s="10" t="inlineStr"/>
      <c r="E28" s="10" t="inlineStr"/>
      <c r="F28" s="10" t="inlineStr"/>
      <c r="G28" s="37">
        <f>IFERROR(ROUND(F28/E28*100,1),"")</f>
        <v/>
      </c>
      <c r="H28" s="10" t="inlineStr"/>
      <c r="I28" s="37">
        <f>IFERROR(ROUND(H28/E28*100,1),"")</f>
        <v/>
      </c>
      <c r="J28" s="10">
        <f>IFERROR(E28-H28,"")</f>
        <v/>
      </c>
      <c r="K28" s="10">
        <f>IFERROR(IF(I28&gt;=90,"Completed",IF(I28&gt;=75,"On Track","Behind — Action Needed")),"")</f>
        <v/>
      </c>
    </row>
    <row r="29" ht="22" customHeight="1">
      <c r="B29" s="57" t="n">
        <v>25</v>
      </c>
      <c r="C29" s="15" t="inlineStr"/>
      <c r="D29" s="16" t="inlineStr"/>
      <c r="E29" s="16" t="inlineStr"/>
      <c r="F29" s="16" t="inlineStr"/>
      <c r="G29" s="57">
        <f>IFERROR(ROUND(F29/E29*100,1),"")</f>
        <v/>
      </c>
      <c r="H29" s="16" t="inlineStr"/>
      <c r="I29" s="57">
        <f>IFERROR(ROUND(H29/E29*100,1),"")</f>
        <v/>
      </c>
      <c r="J29" s="16">
        <f>IFERROR(E29-H29,"")</f>
        <v/>
      </c>
      <c r="K29" s="16">
        <f>IFERROR(IF(I29&gt;=90,"Completed",IF(I29&gt;=75,"On Track","Behind — Action Needed")),"")</f>
        <v/>
      </c>
    </row>
    <row r="30" ht="22" customHeight="1">
      <c r="B30" s="37" t="n">
        <v>26</v>
      </c>
      <c r="C30" s="9" t="inlineStr"/>
      <c r="D30" s="10" t="inlineStr"/>
      <c r="E30" s="10" t="inlineStr"/>
      <c r="F30" s="10" t="inlineStr"/>
      <c r="G30" s="37">
        <f>IFERROR(ROUND(F30/E30*100,1),"")</f>
        <v/>
      </c>
      <c r="H30" s="10" t="inlineStr"/>
      <c r="I30" s="37">
        <f>IFERROR(ROUND(H30/E30*100,1),"")</f>
        <v/>
      </c>
      <c r="J30" s="10">
        <f>IFERROR(E30-H30,"")</f>
        <v/>
      </c>
      <c r="K30" s="10">
        <f>IFERROR(IF(I30&gt;=90,"Completed",IF(I30&gt;=75,"On Track","Behind — Action Needed")),"")</f>
        <v/>
      </c>
    </row>
    <row r="31" ht="22" customHeight="1">
      <c r="B31" s="57" t="n">
        <v>27</v>
      </c>
      <c r="C31" s="15" t="inlineStr"/>
      <c r="D31" s="16" t="inlineStr"/>
      <c r="E31" s="16" t="inlineStr"/>
      <c r="F31" s="16" t="inlineStr"/>
      <c r="G31" s="57">
        <f>IFERROR(ROUND(F31/E31*100,1),"")</f>
        <v/>
      </c>
      <c r="H31" s="16" t="inlineStr"/>
      <c r="I31" s="57">
        <f>IFERROR(ROUND(H31/E31*100,1),"")</f>
        <v/>
      </c>
      <c r="J31" s="16">
        <f>IFERROR(E31-H31,"")</f>
        <v/>
      </c>
      <c r="K31" s="16">
        <f>IFERROR(IF(I31&gt;=90,"Completed",IF(I31&gt;=75,"On Track","Behind — Action Needed")),"")</f>
        <v/>
      </c>
    </row>
    <row r="32" ht="22" customHeight="1">
      <c r="B32" s="37" t="n">
        <v>28</v>
      </c>
      <c r="C32" s="9" t="inlineStr"/>
      <c r="D32" s="10" t="inlineStr"/>
      <c r="E32" s="10" t="inlineStr"/>
      <c r="F32" s="10" t="inlineStr"/>
      <c r="G32" s="37">
        <f>IFERROR(ROUND(F32/E32*100,1),"")</f>
        <v/>
      </c>
      <c r="H32" s="10" t="inlineStr"/>
      <c r="I32" s="37">
        <f>IFERROR(ROUND(H32/E32*100,1),"")</f>
        <v/>
      </c>
      <c r="J32" s="10">
        <f>IFERROR(E32-H32,"")</f>
        <v/>
      </c>
      <c r="K32" s="10">
        <f>IFERROR(IF(I32&gt;=90,"Completed",IF(I32&gt;=75,"On Track","Behind — Action Needed")),"")</f>
        <v/>
      </c>
    </row>
    <row r="33" ht="22" customHeight="1"/>
    <row r="34" ht="24" customHeight="1">
      <c r="B34" s="34" t="inlineStr">
        <is>
          <t>SYLLABUS COVERAGE SUMMARY</t>
        </is>
      </c>
    </row>
    <row r="35" ht="22" customHeight="1">
      <c r="B35" s="38" t="inlineStr">
        <is>
          <t>Total Courses Tracked</t>
        </is>
      </c>
      <c r="F35" s="36">
        <f>COUNTA(B5:B32)</f>
        <v/>
      </c>
    </row>
    <row r="36" ht="22" customHeight="1">
      <c r="B36" s="25" t="inlineStr">
        <is>
          <t>Completed (≥90% coverage)</t>
        </is>
      </c>
      <c r="F36" s="37">
        <f>COUNTIF(K5:K32,"Completed")</f>
        <v/>
      </c>
    </row>
    <row r="37" ht="22" customHeight="1">
      <c r="B37" s="38" t="inlineStr">
        <is>
          <t>On Track (75–89%)</t>
        </is>
      </c>
      <c r="F37" s="36">
        <f>COUNTIF(K5:K32,"On Track")</f>
        <v/>
      </c>
    </row>
    <row r="38">
      <c r="B38" s="25" t="inlineStr">
        <is>
          <t>Behind — Action Needed (&lt; 75%)</t>
        </is>
      </c>
      <c r="F38" s="37">
        <f>COUNTIF(K5:K32,"Behind — Action Needed")</f>
        <v/>
      </c>
    </row>
    <row r="39">
      <c r="B39" s="38" t="inlineStr">
        <is>
          <t>Institution Average Coverage %</t>
        </is>
      </c>
      <c r="F39" s="36">
        <f>IFERROR(ROUND(AVERAGE(I5:I32),1),"")</f>
        <v/>
      </c>
    </row>
    <row r="40">
      <c r="B40" s="25" t="inlineStr">
        <is>
          <t>Courses Needing Extra Classes</t>
        </is>
      </c>
      <c r="F40" s="37">
        <f>COUNTIF(J5:J32,"&gt;"&amp;0)</f>
        <v/>
      </c>
    </row>
  </sheetData>
  <mergeCells count="15">
    <mergeCell ref="B36:E36"/>
    <mergeCell ref="B40:E40"/>
    <mergeCell ref="F38:K38"/>
    <mergeCell ref="B35:E35"/>
    <mergeCell ref="F36:K36"/>
    <mergeCell ref="B37:E37"/>
    <mergeCell ref="B38:E38"/>
    <mergeCell ref="F40:K40"/>
    <mergeCell ref="B39:E39"/>
    <mergeCell ref="F35:K35"/>
    <mergeCell ref="B2:K2"/>
    <mergeCell ref="B34:K34"/>
    <mergeCell ref="F39:K39"/>
    <mergeCell ref="B3:K3"/>
    <mergeCell ref="F37:K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2" t="inlineStr">
        <is>
          <t>TWC-29 &amp; TWC-30: FACULTY &amp; STUDENT TIMETABLE / WORKLOAD FEEDBACK SURVEY</t>
        </is>
      </c>
    </row>
    <row r="3" ht="25" customHeight="1">
      <c r="B3" s="2" t="inlineStr">
        <is>
          <t>Semester: _______  A.Y.: _______  Respondents: Faculty: _______  Students: _______  Date: _______</t>
        </is>
      </c>
    </row>
    <row r="4" ht="22" customHeight="1">
      <c r="B4" s="63" t="inlineStr">
        <is>
          <t>Scale: 1 = Very Poor  |  2 = Poor  |  3 = Average  |  4 = Good  |  5 = Excellent</t>
        </is>
      </c>
    </row>
    <row r="5" ht="24" customHeight="1">
      <c r="B5" s="19" t="inlineStr">
        <is>
          <t>A. FACULTY FEEDBACK — WORKLOAD FAIRNESS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Excellent
(5)</t>
        </is>
      </c>
      <c r="E6" s="13" t="inlineStr">
        <is>
          <t>Good
(4)</t>
        </is>
      </c>
      <c r="F6" s="13" t="inlineStr">
        <is>
          <t>Average
(3)</t>
        </is>
      </c>
      <c r="G6" s="13" t="inlineStr">
        <is>
          <t>Poor
(2)</t>
        </is>
      </c>
      <c r="H6" s="13" t="inlineStr">
        <is>
          <t>Very Poor
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Fairness of teaching load distribution in your department</t>
        </is>
      </c>
      <c r="D7" s="16" t="inlineStr"/>
      <c r="E7" s="16" t="inlineStr"/>
      <c r="F7" s="16" t="inlineStr"/>
      <c r="G7" s="16" t="inlineStr"/>
      <c r="H7" s="16" t="inlineStr"/>
      <c r="I7" s="57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Equity in course allocation across faculty members</t>
        </is>
      </c>
      <c r="D8" s="10" t="inlineStr"/>
      <c r="E8" s="10" t="inlineStr"/>
      <c r="F8" s="10" t="inlineStr"/>
      <c r="G8" s="10" t="inlineStr"/>
      <c r="H8" s="10" t="inlineStr"/>
      <c r="I8" s="37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Clarity of workload norms communicated by TWC</t>
        </is>
      </c>
      <c r="D9" s="16" t="inlineStr"/>
      <c r="E9" s="16" t="inlineStr"/>
      <c r="F9" s="16" t="inlineStr"/>
      <c r="G9" s="16" t="inlineStr"/>
      <c r="H9" s="16" t="inlineStr"/>
      <c r="I9" s="57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TWC responsiveness to workload grievances</t>
        </is>
      </c>
      <c r="D10" s="10" t="inlineStr"/>
      <c r="E10" s="10" t="inlineStr"/>
      <c r="F10" s="10" t="inlineStr"/>
      <c r="G10" s="10" t="inlineStr"/>
      <c r="H10" s="10" t="inlineStr"/>
      <c r="I10" s="37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Adequacy of time for research and professional development</t>
        </is>
      </c>
      <c r="D11" s="16" t="inlineStr"/>
      <c r="E11" s="16" t="inlineStr"/>
      <c r="F11" s="16" t="inlineStr"/>
      <c r="G11" s="16" t="inlineStr"/>
      <c r="H11" s="16" t="inlineStr"/>
      <c r="I11" s="57">
        <f>IFERROR(ROUND((D11*5+E11*4+F11*3+G11*2+H11)/SUM(D11:H11),2),"")</f>
        <v/>
      </c>
    </row>
    <row r="12" ht="22" customHeight="1">
      <c r="B12" s="8" t="inlineStr">
        <is>
          <t>Q6</t>
        </is>
      </c>
      <c r="C12" s="9" t="inlineStr">
        <is>
          <t>Balance between teaching, admin and other duties</t>
        </is>
      </c>
      <c r="D12" s="10" t="inlineStr"/>
      <c r="E12" s="10" t="inlineStr"/>
      <c r="F12" s="10" t="inlineStr"/>
      <c r="G12" s="10" t="inlineStr"/>
      <c r="H12" s="10" t="inlineStr"/>
      <c r="I12" s="37">
        <f>IFERROR(ROUND((D12*5+E12*4+F12*3+G12*2+H12)/SUM(D12:H12),2),"")</f>
        <v/>
      </c>
    </row>
    <row r="13" ht="22" customHeight="1"/>
    <row r="14" ht="24" customHeight="1">
      <c r="B14" s="49" t="inlineStr">
        <is>
          <t>B. FACULTY FEEDBACK — TIMETABLE QUALITY</t>
        </is>
      </c>
    </row>
    <row r="15" ht="22" customHeight="1">
      <c r="B15" s="50" t="inlineStr">
        <is>
          <t>Q.</t>
        </is>
      </c>
      <c r="C15" s="50" t="inlineStr">
        <is>
          <t>Survey Statement</t>
        </is>
      </c>
      <c r="D15" s="50" t="inlineStr">
        <is>
          <t>Excellent
(5)</t>
        </is>
      </c>
      <c r="E15" s="50" t="inlineStr">
        <is>
          <t>Good
(4)</t>
        </is>
      </c>
      <c r="F15" s="50" t="inlineStr">
        <is>
          <t>Average
(3)</t>
        </is>
      </c>
      <c r="G15" s="50" t="inlineStr">
        <is>
          <t>Poor
(2)</t>
        </is>
      </c>
      <c r="H15" s="50" t="inlineStr">
        <is>
          <t>Very Poor
(1)</t>
        </is>
      </c>
      <c r="I15" s="50" t="inlineStr">
        <is>
          <t>Avg Score</t>
        </is>
      </c>
    </row>
    <row r="16" ht="22" customHeight="1">
      <c r="B16" s="64" t="inlineStr">
        <is>
          <t>Q7</t>
        </is>
      </c>
      <c r="C16" s="52" t="inlineStr">
        <is>
          <t>Overall quality and structure of the class timetable</t>
        </is>
      </c>
      <c r="D16" s="51" t="inlineStr"/>
      <c r="E16" s="51" t="inlineStr"/>
      <c r="F16" s="51" t="inlineStr"/>
      <c r="G16" s="51" t="inlineStr"/>
      <c r="H16" s="51" t="inlineStr"/>
      <c r="I16" s="65">
        <f>IFERROR(ROUND((D16*5+E16*4+F16*3+G16*2+H16)/SUM(D16:H16),2),"")</f>
        <v/>
      </c>
    </row>
    <row r="17" ht="22" customHeight="1">
      <c r="B17" s="8" t="inlineStr">
        <is>
          <t>Q8</t>
        </is>
      </c>
      <c r="C17" s="9" t="inlineStr">
        <is>
          <t>Adequate gaps between consecutive lectures</t>
        </is>
      </c>
      <c r="D17" s="10" t="inlineStr"/>
      <c r="E17" s="10" t="inlineStr"/>
      <c r="F17" s="10" t="inlineStr"/>
      <c r="G17" s="10" t="inlineStr"/>
      <c r="H17" s="10" t="inlineStr"/>
      <c r="I17" s="37">
        <f>IFERROR(ROUND((D17*5+E17*4+F17*3+G17*2+H17)/SUM(D17:H17),2),"")</f>
        <v/>
      </c>
    </row>
    <row r="18" ht="22" customHeight="1">
      <c r="B18" s="64" t="inlineStr">
        <is>
          <t>Q9</t>
        </is>
      </c>
      <c r="C18" s="52" t="inlineStr">
        <is>
          <t>Timely publication of the timetable before semester</t>
        </is>
      </c>
      <c r="D18" s="51" t="inlineStr"/>
      <c r="E18" s="51" t="inlineStr"/>
      <c r="F18" s="51" t="inlineStr"/>
      <c r="G18" s="51" t="inlineStr"/>
      <c r="H18" s="51" t="inlineStr"/>
      <c r="I18" s="65">
        <f>IFERROR(ROUND((D18*5+E18*4+F18*3+G18*2+H18)/SUM(D18:H18),2),"")</f>
        <v/>
      </c>
    </row>
    <row r="19" ht="22" customHeight="1">
      <c r="B19" s="8" t="inlineStr">
        <is>
          <t>Q10</t>
        </is>
      </c>
      <c r="C19" s="9" t="inlineStr">
        <is>
          <t>Minimal disruptions / revisions during the semester</t>
        </is>
      </c>
      <c r="D19" s="10" t="inlineStr"/>
      <c r="E19" s="10" t="inlineStr"/>
      <c r="F19" s="10" t="inlineStr"/>
      <c r="G19" s="10" t="inlineStr"/>
      <c r="H19" s="10" t="inlineStr"/>
      <c r="I19" s="37">
        <f>IFERROR(ROUND((D19*5+E19*4+F19*3+G19*2+H19)/SUM(D19:H19),2),"")</f>
        <v/>
      </c>
    </row>
    <row r="20" ht="22" customHeight="1">
      <c r="B20" s="64" t="inlineStr">
        <is>
          <t>Q11</t>
        </is>
      </c>
      <c r="C20" s="52" t="inlineStr">
        <is>
          <t>Availability of adequate classrooms and labs</t>
        </is>
      </c>
      <c r="D20" s="51" t="inlineStr"/>
      <c r="E20" s="51" t="inlineStr"/>
      <c r="F20" s="51" t="inlineStr"/>
      <c r="G20" s="51" t="inlineStr"/>
      <c r="H20" s="51" t="inlineStr"/>
      <c r="I20" s="65">
        <f>IFERROR(ROUND((D20*5+E20*4+F20*3+G20*2+H20)/SUM(D20:H20),2),"")</f>
        <v/>
      </c>
    </row>
    <row r="21" ht="22" customHeight="1">
      <c r="B21" s="8" t="inlineStr">
        <is>
          <t>Q12</t>
        </is>
      </c>
      <c r="C21" s="9" t="inlineStr">
        <is>
          <t>ERP / digital timetable access and accuracy</t>
        </is>
      </c>
      <c r="D21" s="10" t="inlineStr"/>
      <c r="E21" s="10" t="inlineStr"/>
      <c r="F21" s="10" t="inlineStr"/>
      <c r="G21" s="10" t="inlineStr"/>
      <c r="H21" s="10" t="inlineStr"/>
      <c r="I21" s="37">
        <f>IFERROR(ROUND((D21*5+E21*4+F21*3+G21*2+H21)/SUM(D21:H21),2),"")</f>
        <v/>
      </c>
    </row>
    <row r="22" ht="22" customHeight="1"/>
    <row r="23" ht="24" customHeight="1">
      <c r="B23" s="34" t="inlineStr">
        <is>
          <t>C. STUDENT FEEDBACK — TIMETABLE STRUCTURE</t>
        </is>
      </c>
    </row>
    <row r="24" ht="22" customHeight="1">
      <c r="B24" s="30" t="inlineStr">
        <is>
          <t>Q.</t>
        </is>
      </c>
      <c r="C24" s="30" t="inlineStr">
        <is>
          <t>Survey Statement</t>
        </is>
      </c>
      <c r="D24" s="30" t="inlineStr">
        <is>
          <t>Excellent
(5)</t>
        </is>
      </c>
      <c r="E24" s="30" t="inlineStr">
        <is>
          <t>Good
(4)</t>
        </is>
      </c>
      <c r="F24" s="30" t="inlineStr">
        <is>
          <t>Average
(3)</t>
        </is>
      </c>
      <c r="G24" s="30" t="inlineStr">
        <is>
          <t>Poor
(2)</t>
        </is>
      </c>
      <c r="H24" s="30" t="inlineStr">
        <is>
          <t>Very Poor
(1)</t>
        </is>
      </c>
      <c r="I24" s="30" t="inlineStr">
        <is>
          <t>Avg Score</t>
        </is>
      </c>
    </row>
    <row r="25" ht="22" customHeight="1">
      <c r="B25" s="31" t="inlineStr">
        <is>
          <t>Q13</t>
        </is>
      </c>
      <c r="C25" s="32" t="inlineStr">
        <is>
          <t>Overall satisfaction with class timetable structure</t>
        </is>
      </c>
      <c r="D25" s="33" t="inlineStr"/>
      <c r="E25" s="33" t="inlineStr"/>
      <c r="F25" s="33" t="inlineStr"/>
      <c r="G25" s="33" t="inlineStr"/>
      <c r="H25" s="33" t="inlineStr"/>
      <c r="I25" s="66">
        <f>IFERROR(ROUND((D25*5+E25*4+F25*3+G25*2+H25)/SUM(D25:H25),2),"")</f>
        <v/>
      </c>
    </row>
    <row r="26" ht="22" customHeight="1">
      <c r="B26" s="8" t="inlineStr">
        <is>
          <t>Q14</t>
        </is>
      </c>
      <c r="C26" s="9" t="inlineStr">
        <is>
          <t>Adequate free periods / breaks during the day</t>
        </is>
      </c>
      <c r="D26" s="10" t="inlineStr"/>
      <c r="E26" s="10" t="inlineStr"/>
      <c r="F26" s="10" t="inlineStr"/>
      <c r="G26" s="10" t="inlineStr"/>
      <c r="H26" s="10" t="inlineStr"/>
      <c r="I26" s="37">
        <f>IFERROR(ROUND((D26*5+E26*4+F26*3+G26*2+H26)/SUM(D26:H26),2),"")</f>
        <v/>
      </c>
    </row>
    <row r="27" ht="22" customHeight="1">
      <c r="B27" s="31" t="inlineStr">
        <is>
          <t>Q15</t>
        </is>
      </c>
      <c r="C27" s="32" t="inlineStr">
        <is>
          <t>No excessive back-to-back classes or labs</t>
        </is>
      </c>
      <c r="D27" s="33" t="inlineStr"/>
      <c r="E27" s="33" t="inlineStr"/>
      <c r="F27" s="33" t="inlineStr"/>
      <c r="G27" s="33" t="inlineStr"/>
      <c r="H27" s="33" t="inlineStr"/>
      <c r="I27" s="66">
        <f>IFERROR(ROUND((D27*5+E27*4+F27*3+G27*2+H27)/SUM(D27:H27),2),"")</f>
        <v/>
      </c>
    </row>
    <row r="28" ht="22" customHeight="1">
      <c r="B28" s="8" t="inlineStr">
        <is>
          <t>Q16</t>
        </is>
      </c>
      <c r="C28" s="9" t="inlineStr">
        <is>
          <t>Timely availability of timetable before semester</t>
        </is>
      </c>
      <c r="D28" s="10" t="inlineStr"/>
      <c r="E28" s="10" t="inlineStr"/>
      <c r="F28" s="10" t="inlineStr"/>
      <c r="G28" s="10" t="inlineStr"/>
      <c r="H28" s="10" t="inlineStr"/>
      <c r="I28" s="37">
        <f>IFERROR(ROUND((D28*5+E28*4+F28*3+G28*2+H28)/SUM(D28:H28),2),"")</f>
        <v/>
      </c>
    </row>
    <row r="29" ht="22" customHeight="1">
      <c r="B29" s="31" t="inlineStr">
        <is>
          <t>Q17</t>
        </is>
      </c>
      <c r="C29" s="32" t="inlineStr">
        <is>
          <t>Consistency — no frequent changes or disruptions</t>
        </is>
      </c>
      <c r="D29" s="33" t="inlineStr"/>
      <c r="E29" s="33" t="inlineStr"/>
      <c r="F29" s="33" t="inlineStr"/>
      <c r="G29" s="33" t="inlineStr"/>
      <c r="H29" s="33" t="inlineStr"/>
      <c r="I29" s="66">
        <f>IFERROR(ROUND((D29*5+E29*4+F29*3+G29*2+H29)/SUM(D29:H29),2),"")</f>
        <v/>
      </c>
    </row>
    <row r="30" ht="22" customHeight="1">
      <c r="B30" s="8" t="inlineStr">
        <is>
          <t>Q18</t>
        </is>
      </c>
      <c r="C30" s="9" t="inlineStr">
        <is>
          <t>Timetable accessible on ERP / app</t>
        </is>
      </c>
      <c r="D30" s="10" t="inlineStr"/>
      <c r="E30" s="10" t="inlineStr"/>
      <c r="F30" s="10" t="inlineStr"/>
      <c r="G30" s="10" t="inlineStr"/>
      <c r="H30" s="10" t="inlineStr"/>
      <c r="I30" s="37">
        <f>IFERROR(ROUND((D30*5+E30*4+F30*3+G30*2+H30)/SUM(D30:H30),2),"")</f>
        <v/>
      </c>
    </row>
    <row r="31" ht="22" customHeight="1"/>
    <row r="32" ht="24" customHeight="1">
      <c r="B32" s="67" t="inlineStr">
        <is>
          <t>D. STUDENT FEEDBACK — CLASS DELIVERY</t>
        </is>
      </c>
    </row>
    <row r="33" ht="22" customHeight="1">
      <c r="B33" s="68" t="inlineStr">
        <is>
          <t>Q.</t>
        </is>
      </c>
      <c r="C33" s="68" t="inlineStr">
        <is>
          <t>Survey Statement</t>
        </is>
      </c>
      <c r="D33" s="68" t="inlineStr">
        <is>
          <t>Excellent
(5)</t>
        </is>
      </c>
      <c r="E33" s="68" t="inlineStr">
        <is>
          <t>Good
(4)</t>
        </is>
      </c>
      <c r="F33" s="68" t="inlineStr">
        <is>
          <t>Average
(3)</t>
        </is>
      </c>
      <c r="G33" s="68" t="inlineStr">
        <is>
          <t>Poor
(2)</t>
        </is>
      </c>
      <c r="H33" s="68" t="inlineStr">
        <is>
          <t>Very Poor
(1)</t>
        </is>
      </c>
      <c r="I33" s="68" t="inlineStr">
        <is>
          <t>Avg Score</t>
        </is>
      </c>
    </row>
    <row r="34" ht="22" customHeight="1">
      <c r="B34" s="69" t="inlineStr">
        <is>
          <t>Q19</t>
        </is>
      </c>
      <c r="C34" s="70" t="inlineStr">
        <is>
          <t>Faculty attendance and punctuality for scheduled classes</t>
        </is>
      </c>
      <c r="D34" s="71" t="inlineStr"/>
      <c r="E34" s="71" t="inlineStr"/>
      <c r="F34" s="71" t="inlineStr"/>
      <c r="G34" s="71" t="inlineStr"/>
      <c r="H34" s="71" t="inlineStr"/>
      <c r="I34" s="72">
        <f>IFERROR(ROUND((D34*5+E34*4+F34*3+G34*2+H34)/SUM(D34:H34),2),"")</f>
        <v/>
      </c>
    </row>
    <row r="35" ht="22" customHeight="1">
      <c r="B35" s="8" t="inlineStr">
        <is>
          <t>Q20</t>
        </is>
      </c>
      <c r="C35" s="9" t="inlineStr">
        <is>
          <t>Substitute classes arranged when faculty is absent</t>
        </is>
      </c>
      <c r="D35" s="10" t="inlineStr"/>
      <c r="E35" s="10" t="inlineStr"/>
      <c r="F35" s="10" t="inlineStr"/>
      <c r="G35" s="10" t="inlineStr"/>
      <c r="H35" s="10" t="inlineStr"/>
      <c r="I35" s="37">
        <f>IFERROR(ROUND((D35*5+E35*4+F35*3+G35*2+H35)/SUM(D35:H35),2),"")</f>
        <v/>
      </c>
    </row>
    <row r="36" ht="22" customHeight="1">
      <c r="B36" s="69" t="inlineStr">
        <is>
          <t>Q21</t>
        </is>
      </c>
      <c r="C36" s="70" t="inlineStr">
        <is>
          <t>Syllabus completed within scheduled time</t>
        </is>
      </c>
      <c r="D36" s="71" t="inlineStr"/>
      <c r="E36" s="71" t="inlineStr"/>
      <c r="F36" s="71" t="inlineStr"/>
      <c r="G36" s="71" t="inlineStr"/>
      <c r="H36" s="71" t="inlineStr"/>
      <c r="I36" s="72">
        <f>IFERROR(ROUND((D36*5+E36*4+F36*3+G36*2+H36)/SUM(D36:H36),2),"")</f>
        <v/>
      </c>
    </row>
    <row r="37" ht="22" customHeight="1">
      <c r="B37" s="8" t="inlineStr">
        <is>
          <t>Q22</t>
        </is>
      </c>
      <c r="C37" s="9" t="inlineStr">
        <is>
          <t>Make-up classes conducted for missed sessions</t>
        </is>
      </c>
      <c r="D37" s="10" t="inlineStr"/>
      <c r="E37" s="10" t="inlineStr"/>
      <c r="F37" s="10" t="inlineStr"/>
      <c r="G37" s="10" t="inlineStr"/>
      <c r="H37" s="10" t="inlineStr"/>
      <c r="I37" s="37">
        <f>IFERROR(ROUND((D37*5+E37*4+F37*3+G37*2+H37)/SUM(D37:H37),2),"")</f>
        <v/>
      </c>
    </row>
    <row r="38" ht="22" customHeight="1">
      <c r="B38" s="69" t="inlineStr">
        <is>
          <t>Q23</t>
        </is>
      </c>
      <c r="C38" s="70" t="inlineStr">
        <is>
          <t>Adequate lab sessions relative to theory</t>
        </is>
      </c>
      <c r="D38" s="71" t="inlineStr"/>
      <c r="E38" s="71" t="inlineStr"/>
      <c r="F38" s="71" t="inlineStr"/>
      <c r="G38" s="71" t="inlineStr"/>
      <c r="H38" s="71" t="inlineStr"/>
      <c r="I38" s="72">
        <f>IFERROR(ROUND((D38*5+E38*4+F38*3+G38*2+H38)/SUM(D38:H38),2),"")</f>
        <v/>
      </c>
    </row>
    <row r="39" ht="22" customHeight="1"/>
    <row r="40" ht="24" customHeight="1">
      <c r="B40" s="27" t="inlineStr">
        <is>
          <t>SURVEY SUMMARY &amp; ACTION PLAN</t>
        </is>
      </c>
    </row>
    <row r="41" ht="22" customHeight="1">
      <c r="B41" s="28" t="inlineStr">
        <is>
          <t>Section</t>
        </is>
      </c>
      <c r="C41" s="28" t="inlineStr">
        <is>
          <t>Avg Score (/5)</t>
        </is>
      </c>
      <c r="D41" s="28" t="inlineStr">
        <is>
          <t>Satisfaction %</t>
        </is>
      </c>
      <c r="E41" s="28" t="inlineStr">
        <is>
          <t>Benchmark
(≥3.5)</t>
        </is>
      </c>
      <c r="F41" s="28" t="inlineStr">
        <is>
          <t>Gap</t>
        </is>
      </c>
      <c r="G41" s="28" t="inlineStr">
        <is>
          <t>Status</t>
        </is>
      </c>
      <c r="H41" s="28" t="inlineStr">
        <is>
          <t>Priority Action</t>
        </is>
      </c>
    </row>
    <row r="42" ht="22" customHeight="1">
      <c r="B42" s="38" t="inlineStr">
        <is>
          <t>A. FACULTY FEEDBACK</t>
        </is>
      </c>
      <c r="C42" s="16" t="inlineStr"/>
      <c r="D42" s="16">
        <f>IFERROR(ROUND(C42/5*100,1),"")</f>
        <v/>
      </c>
      <c r="E42" s="16" t="n">
        <v>3.5</v>
      </c>
      <c r="F42" s="16">
        <f>IFERROR(ROUND(C42-E42,2),"")</f>
        <v/>
      </c>
      <c r="G42" s="16">
        <f>IFERROR(IF(C42&gt;=3.5,"Satisfactory","Needs Attention"),"")</f>
        <v/>
      </c>
      <c r="H42" s="15" t="inlineStr"/>
      <c r="I42" s="73" t="n"/>
    </row>
    <row r="43" ht="22" customHeight="1">
      <c r="B43" s="25" t="inlineStr">
        <is>
          <t>B. FACULTY FEEDBACK</t>
        </is>
      </c>
      <c r="C43" s="10" t="inlineStr"/>
      <c r="D43" s="10">
        <f>IFERROR(ROUND(C43/5*100,1),"")</f>
        <v/>
      </c>
      <c r="E43" s="10" t="n">
        <v>3.5</v>
      </c>
      <c r="F43" s="10">
        <f>IFERROR(ROUND(C43-E43,2),"")</f>
        <v/>
      </c>
      <c r="G43" s="10">
        <f>IFERROR(IF(C43&gt;=3.5,"Satisfactory","Needs Attention"),"")</f>
        <v/>
      </c>
      <c r="H43" s="9" t="inlineStr"/>
      <c r="I43" s="46" t="n"/>
    </row>
    <row r="44" ht="22" customHeight="1">
      <c r="B44" s="38" t="inlineStr">
        <is>
          <t>C. STUDENT FEEDBACK</t>
        </is>
      </c>
      <c r="C44" s="16" t="inlineStr"/>
      <c r="D44" s="16">
        <f>IFERROR(ROUND(C44/5*100,1),"")</f>
        <v/>
      </c>
      <c r="E44" s="16" t="n">
        <v>3.5</v>
      </c>
      <c r="F44" s="16">
        <f>IFERROR(ROUND(C44-E44,2),"")</f>
        <v/>
      </c>
      <c r="G44" s="16">
        <f>IFERROR(IF(C44&gt;=3.5,"Satisfactory","Needs Attention"),"")</f>
        <v/>
      </c>
      <c r="H44" s="15" t="inlineStr"/>
      <c r="I44" s="73" t="n"/>
    </row>
    <row r="45" ht="22" customHeight="1">
      <c r="B45" s="25" t="inlineStr">
        <is>
          <t>D. STUDENT FEEDBACK</t>
        </is>
      </c>
      <c r="C45" s="10" t="inlineStr"/>
      <c r="D45" s="10">
        <f>IFERROR(ROUND(C45/5*100,1),"")</f>
        <v/>
      </c>
      <c r="E45" s="10" t="n">
        <v>3.5</v>
      </c>
      <c r="F45" s="10">
        <f>IFERROR(ROUND(C45-E45,2),"")</f>
        <v/>
      </c>
      <c r="G45" s="10">
        <f>IFERROR(IF(C45&gt;=3.5,"Satisfactory","Needs Attention"),"")</f>
        <v/>
      </c>
      <c r="H45" s="9" t="inlineStr"/>
      <c r="I45" s="46" t="n"/>
    </row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</sheetData>
  <mergeCells count="8">
    <mergeCell ref="B2:I2"/>
    <mergeCell ref="B3:I3"/>
    <mergeCell ref="B5:I5"/>
    <mergeCell ref="B14:I14"/>
    <mergeCell ref="B23:I23"/>
    <mergeCell ref="B32:I32"/>
    <mergeCell ref="B4:I4"/>
    <mergeCell ref="B40:I4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TWC-31: TIMETABLE &amp; WORKLOAD COMMITTEE KPI DASHBOARD</t>
        </is>
      </c>
    </row>
    <row r="3" ht="25" customHeight="1">
      <c r="B3" s="2" t="inlineStr">
        <is>
          <t>Semester: _______  A.Y.: _______  TWC Coordinator: ___________________  Date: _______</t>
        </is>
      </c>
    </row>
    <row r="4" ht="24" customHeight="1">
      <c r="B4" s="19" t="inlineStr">
        <is>
          <t>WORKLOAD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Target</t>
        </is>
      </c>
      <c r="F5" s="13" t="inlineStr">
        <is>
          <t>Prev. Sem.
Actual</t>
        </is>
      </c>
      <c r="G5" s="13" t="inlineStr">
        <is>
          <t>Current Sem.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Faculty workload compliance rate (% within norm)</t>
        </is>
      </c>
      <c r="D6" s="16" t="inlineStr">
        <is>
          <t>% compliant</t>
        </is>
      </c>
      <c r="E6" s="16" t="inlineStr">
        <is>
          <t>≥95%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Faculty with excess load (&gt; 20 hrs/week)</t>
        </is>
      </c>
      <c r="D7" s="10" t="inlineStr">
        <is>
          <t>No.</t>
        </is>
      </c>
      <c r="E7" s="10" t="inlineStr">
        <is>
          <t>0 target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Faculty with deficit load (&lt; 14 hrs/week)</t>
        </is>
      </c>
      <c r="D8" s="16" t="inlineStr">
        <is>
          <t>No.</t>
        </is>
      </c>
      <c r="E8" s="16" t="inlineStr">
        <is>
          <t>&lt; 5%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Guest / visiting faculty engaged (shortfall coverage)</t>
        </is>
      </c>
      <c r="D9" s="10" t="inlineStr">
        <is>
          <t>No.</t>
        </is>
      </c>
      <c r="E9" s="10" t="inlineStr">
        <is>
          <t>As needed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Workload register submitted by all HoDs</t>
        </is>
      </c>
      <c r="D10" s="16" t="inlineStr">
        <is>
          <t>% submitted</t>
        </is>
      </c>
      <c r="E10" s="16" t="inlineStr">
        <is>
          <t>100% before sem start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Equitable distribution across designations</t>
        </is>
      </c>
      <c r="D11" s="10" t="inlineStr">
        <is>
          <t>Gini coefficient / range</t>
        </is>
      </c>
      <c r="E11" s="10" t="inlineStr">
        <is>
          <t>Tracked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34" t="inlineStr">
        <is>
          <t>TIMETABLE PREPARATION KPIs</t>
        </is>
      </c>
    </row>
    <row r="14" ht="22" customHeight="1">
      <c r="B14" s="30" t="inlineStr">
        <is>
          <t>Sl.</t>
        </is>
      </c>
      <c r="C14" s="30" t="inlineStr">
        <is>
          <t>Key Performance Indicator</t>
        </is>
      </c>
      <c r="D14" s="30" t="inlineStr">
        <is>
          <t>Unit</t>
        </is>
      </c>
      <c r="E14" s="30" t="inlineStr">
        <is>
          <t>Target</t>
        </is>
      </c>
      <c r="F14" s="30" t="inlineStr">
        <is>
          <t>Prev. Sem.
Actual</t>
        </is>
      </c>
      <c r="G14" s="30" t="inlineStr">
        <is>
          <t>Current Sem.
Actual</t>
        </is>
      </c>
      <c r="H14" s="30" t="inlineStr">
        <is>
          <t>Status</t>
        </is>
      </c>
      <c r="I14" s="30" t="inlineStr">
        <is>
          <t>Action Required</t>
        </is>
      </c>
    </row>
    <row r="15" ht="22" customHeight="1">
      <c r="B15" s="31" t="n">
        <v>1</v>
      </c>
      <c r="C15" s="32" t="inlineStr">
        <is>
          <t>Timetable published before semester start</t>
        </is>
      </c>
      <c r="D15" s="33" t="inlineStr">
        <is>
          <t>Days before</t>
        </is>
      </c>
      <c r="E15" s="33" t="inlineStr">
        <is>
          <t>≥7 days</t>
        </is>
      </c>
      <c r="F15" s="33" t="inlineStr"/>
      <c r="G15" s="33" t="inlineStr"/>
      <c r="H15" s="33" t="inlineStr">
        <is>
          <t>On Track</t>
        </is>
      </c>
      <c r="I15" s="32" t="inlineStr"/>
    </row>
    <row r="16" ht="22" customHeight="1">
      <c r="B16" s="8" t="n">
        <v>2</v>
      </c>
      <c r="C16" s="9" t="inlineStr">
        <is>
          <t>Timetable conflicts detected and resolved</t>
        </is>
      </c>
      <c r="D16" s="10" t="inlineStr">
        <is>
          <t>% resolved</t>
        </is>
      </c>
      <c r="E16" s="10" t="inlineStr">
        <is>
          <t>100% before publication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31" t="n">
        <v>3</v>
      </c>
      <c r="C17" s="32" t="inlineStr">
        <is>
          <t>Mid-semester revisions (minimal is better)</t>
        </is>
      </c>
      <c r="D17" s="33" t="inlineStr">
        <is>
          <t>No. of revisions</t>
        </is>
      </c>
      <c r="E17" s="33" t="inlineStr">
        <is>
          <t>≤5 per semester</t>
        </is>
      </c>
      <c r="F17" s="33" t="inlineStr"/>
      <c r="G17" s="33" t="inlineStr"/>
      <c r="H17" s="33" t="inlineStr">
        <is>
          <t>On Track</t>
        </is>
      </c>
      <c r="I17" s="32" t="inlineStr"/>
    </row>
    <row r="18" ht="22" customHeight="1">
      <c r="B18" s="8" t="n">
        <v>4</v>
      </c>
      <c r="C18" s="9" t="inlineStr">
        <is>
          <t>Revisions approved within 24 hours</t>
        </is>
      </c>
      <c r="D18" s="10" t="inlineStr">
        <is>
          <t>% on time</t>
        </is>
      </c>
      <c r="E18" s="10" t="inlineStr">
        <is>
          <t>≥90%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31" t="n">
        <v>5</v>
      </c>
      <c r="C19" s="32" t="inlineStr">
        <is>
          <t>All sections with timetable on ERP/LMS</t>
        </is>
      </c>
      <c r="D19" s="33" t="inlineStr">
        <is>
          <t>% uploaded</t>
        </is>
      </c>
      <c r="E19" s="33" t="inlineStr">
        <is>
          <t>100%</t>
        </is>
      </c>
      <c r="F19" s="33" t="inlineStr"/>
      <c r="G19" s="33" t="inlineStr"/>
      <c r="H19" s="33" t="inlineStr">
        <is>
          <t>On Track</t>
        </is>
      </c>
      <c r="I19" s="32" t="inlineStr"/>
    </row>
    <row r="20" ht="22" customHeight="1">
      <c r="B20" s="8" t="n">
        <v>6</v>
      </c>
      <c r="C20" s="9" t="inlineStr">
        <is>
          <t>Rooms / labs utilisation rate</t>
        </is>
      </c>
      <c r="D20" s="10" t="inlineStr">
        <is>
          <t>% utilised</t>
        </is>
      </c>
      <c r="E20" s="10" t="inlineStr">
        <is>
          <t>≥80%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/>
    <row r="22" ht="24" customHeight="1">
      <c r="B22" s="49" t="inlineStr">
        <is>
          <t>COURSE COVERAGE KPIs</t>
        </is>
      </c>
    </row>
    <row r="23" ht="22" customHeight="1">
      <c r="B23" s="50" t="inlineStr">
        <is>
          <t>Sl.</t>
        </is>
      </c>
      <c r="C23" s="50" t="inlineStr">
        <is>
          <t>Key Performance Indicator</t>
        </is>
      </c>
      <c r="D23" s="50" t="inlineStr">
        <is>
          <t>Unit</t>
        </is>
      </c>
      <c r="E23" s="50" t="inlineStr">
        <is>
          <t>Target</t>
        </is>
      </c>
      <c r="F23" s="50" t="inlineStr">
        <is>
          <t>Prev. Sem.
Actual</t>
        </is>
      </c>
      <c r="G23" s="50" t="inlineStr">
        <is>
          <t>Current Sem.
Actual</t>
        </is>
      </c>
      <c r="H23" s="50" t="inlineStr">
        <is>
          <t>Status</t>
        </is>
      </c>
      <c r="I23" s="50" t="inlineStr">
        <is>
          <t>Action Required</t>
        </is>
      </c>
    </row>
    <row r="24" ht="22" customHeight="1">
      <c r="B24" s="64" t="n">
        <v>1</v>
      </c>
      <c r="C24" s="52" t="inlineStr">
        <is>
          <t>Courses with ≥90% syllabus coverage (end of sem)</t>
        </is>
      </c>
      <c r="D24" s="51" t="inlineStr">
        <is>
          <t>% of courses</t>
        </is>
      </c>
      <c r="E24" s="51" t="inlineStr">
        <is>
          <t>≥90%</t>
        </is>
      </c>
      <c r="F24" s="51" t="inlineStr"/>
      <c r="G24" s="51" t="inlineStr"/>
      <c r="H24" s="51" t="inlineStr">
        <is>
          <t>On Track</t>
        </is>
      </c>
      <c r="I24" s="52" t="inlineStr"/>
    </row>
    <row r="25" ht="22" customHeight="1">
      <c r="B25" s="8" t="n">
        <v>2</v>
      </c>
      <c r="C25" s="9" t="inlineStr">
        <is>
          <t>Substitute classes arranged on time</t>
        </is>
      </c>
      <c r="D25" s="10" t="inlineStr">
        <is>
          <t>% of absences covered</t>
        </is>
      </c>
      <c r="E25" s="10" t="inlineStr">
        <is>
          <t>≥95%</t>
        </is>
      </c>
      <c r="F25" s="10" t="inlineStr"/>
      <c r="G25" s="10" t="inlineStr"/>
      <c r="H25" s="10" t="inlineStr">
        <is>
          <t>On Track</t>
        </is>
      </c>
      <c r="I25" s="9" t="inlineStr"/>
    </row>
    <row r="26" ht="22" customHeight="1">
      <c r="B26" s="64" t="n">
        <v>3</v>
      </c>
      <c r="C26" s="52" t="inlineStr">
        <is>
          <t>Make-up classes conducted for holidays</t>
        </is>
      </c>
      <c r="D26" s="51" t="inlineStr">
        <is>
          <t>% of pending</t>
        </is>
      </c>
      <c r="E26" s="51" t="inlineStr">
        <is>
          <t>100%</t>
        </is>
      </c>
      <c r="F26" s="51" t="inlineStr"/>
      <c r="G26" s="51" t="inlineStr"/>
      <c r="H26" s="51" t="inlineStr">
        <is>
          <t>On Track</t>
        </is>
      </c>
      <c r="I26" s="52" t="inlineStr"/>
    </row>
    <row r="27" ht="22" customHeight="1">
      <c r="B27" s="8" t="n">
        <v>4</v>
      </c>
      <c r="C27" s="9" t="inlineStr">
        <is>
          <t>Lecture completion tracker submitted by faculty</t>
        </is>
      </c>
      <c r="D27" s="10" t="inlineStr">
        <is>
          <t>% on time</t>
        </is>
      </c>
      <c r="E27" s="10" t="inlineStr">
        <is>
          <t>100% by Wk 12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64" t="n">
        <v>5</v>
      </c>
      <c r="C28" s="52" t="inlineStr">
        <is>
          <t>Courses with &lt; 75% coverage — action taken</t>
        </is>
      </c>
      <c r="D28" s="51" t="inlineStr">
        <is>
          <t>% addressed</t>
        </is>
      </c>
      <c r="E28" s="51" t="inlineStr">
        <is>
          <t>100%</t>
        </is>
      </c>
      <c r="F28" s="51" t="inlineStr"/>
      <c r="G28" s="51" t="inlineStr"/>
      <c r="H28" s="51" t="inlineStr">
        <is>
          <t>On Track</t>
        </is>
      </c>
      <c r="I28" s="52" t="inlineStr"/>
    </row>
    <row r="29" ht="22" customHeight="1"/>
    <row r="30" ht="24" customHeight="1">
      <c r="B30" s="67" t="inlineStr">
        <is>
          <t>QUALITY &amp; SATISFACTION KPIs</t>
        </is>
      </c>
    </row>
    <row r="31" ht="22" customHeight="1">
      <c r="B31" s="68" t="inlineStr">
        <is>
          <t>Sl.</t>
        </is>
      </c>
      <c r="C31" s="68" t="inlineStr">
        <is>
          <t>Key Performance Indicator</t>
        </is>
      </c>
      <c r="D31" s="68" t="inlineStr">
        <is>
          <t>Unit</t>
        </is>
      </c>
      <c r="E31" s="68" t="inlineStr">
        <is>
          <t>Target</t>
        </is>
      </c>
      <c r="F31" s="68" t="inlineStr">
        <is>
          <t>Prev. Sem.
Actual</t>
        </is>
      </c>
      <c r="G31" s="68" t="inlineStr">
        <is>
          <t>Current Sem.
Actual</t>
        </is>
      </c>
      <c r="H31" s="68" t="inlineStr">
        <is>
          <t>Status</t>
        </is>
      </c>
      <c r="I31" s="68" t="inlineStr">
        <is>
          <t>Action Required</t>
        </is>
      </c>
    </row>
    <row r="32" ht="22" customHeight="1">
      <c r="B32" s="69" t="n">
        <v>1</v>
      </c>
      <c r="C32" s="70" t="inlineStr">
        <is>
          <t>Faculty satisfaction — timetable quality (/5)</t>
        </is>
      </c>
      <c r="D32" s="71" t="inlineStr">
        <is>
          <t>Score</t>
        </is>
      </c>
      <c r="E32" s="71" t="inlineStr">
        <is>
          <t>≥3.5</t>
        </is>
      </c>
      <c r="F32" s="71" t="inlineStr"/>
      <c r="G32" s="71" t="inlineStr"/>
      <c r="H32" s="71" t="inlineStr">
        <is>
          <t>On Track</t>
        </is>
      </c>
      <c r="I32" s="70" t="inlineStr"/>
    </row>
    <row r="33" ht="22" customHeight="1">
      <c r="B33" s="8" t="n">
        <v>2</v>
      </c>
      <c r="C33" s="9" t="inlineStr">
        <is>
          <t>Student satisfaction — timetable structure (/5)</t>
        </is>
      </c>
      <c r="D33" s="10" t="inlineStr">
        <is>
          <t>Score</t>
        </is>
      </c>
      <c r="E33" s="10" t="inlineStr">
        <is>
          <t>≥3.5</t>
        </is>
      </c>
      <c r="F33" s="10" t="inlineStr"/>
      <c r="G33" s="10" t="inlineStr"/>
      <c r="H33" s="10" t="inlineStr">
        <is>
          <t>On Track</t>
        </is>
      </c>
      <c r="I33" s="9" t="inlineStr"/>
    </row>
    <row r="34" ht="22" customHeight="1">
      <c r="B34" s="69" t="n">
        <v>3</v>
      </c>
      <c r="C34" s="70" t="inlineStr">
        <is>
          <t>NAAC workload data compiled (Criterion II)</t>
        </is>
      </c>
      <c r="D34" s="71" t="inlineStr">
        <is>
          <t>Y/N</t>
        </is>
      </c>
      <c r="E34" s="71" t="inlineStr">
        <is>
          <t>Yes by Jul 31</t>
        </is>
      </c>
      <c r="F34" s="71" t="inlineStr"/>
      <c r="G34" s="71" t="inlineStr"/>
      <c r="H34" s="71" t="inlineStr">
        <is>
          <t>On Track</t>
        </is>
      </c>
      <c r="I34" s="70" t="inlineStr"/>
    </row>
    <row r="35" ht="22" customHeight="1">
      <c r="B35" s="8" t="n">
        <v>4</v>
      </c>
      <c r="C35" s="9" t="inlineStr">
        <is>
          <t>NBA workload documentation ready</t>
        </is>
      </c>
      <c r="D35" s="10" t="inlineStr">
        <is>
          <t>Y/N</t>
        </is>
      </c>
      <c r="E35" s="10" t="inlineStr">
        <is>
          <t>Yes per accreditation cycle</t>
        </is>
      </c>
      <c r="F35" s="10" t="inlineStr"/>
      <c r="G35" s="10" t="inlineStr"/>
      <c r="H35" s="10" t="inlineStr">
        <is>
          <t>On Track</t>
        </is>
      </c>
      <c r="I35" s="9" t="inlineStr"/>
    </row>
    <row r="36" ht="22" customHeight="1">
      <c r="B36" s="69" t="n">
        <v>5</v>
      </c>
      <c r="C36" s="70" t="inlineStr">
        <is>
          <t>TWC meetings held per semester</t>
        </is>
      </c>
      <c r="D36" s="71" t="inlineStr">
        <is>
          <t>No.</t>
        </is>
      </c>
      <c r="E36" s="71" t="inlineStr">
        <is>
          <t>≥2 per semester</t>
        </is>
      </c>
      <c r="F36" s="71" t="inlineStr"/>
      <c r="G36" s="71" t="inlineStr"/>
      <c r="H36" s="71" t="inlineStr">
        <is>
          <t>On Track</t>
        </is>
      </c>
      <c r="I36" s="70" t="inlineStr"/>
    </row>
    <row r="37" ht="22" customHeight="1">
      <c r="B37" s="8" t="n">
        <v>6</v>
      </c>
      <c r="C37" s="9" t="inlineStr">
        <is>
          <t>HoD workload submission compliance</t>
        </is>
      </c>
      <c r="D37" s="10" t="inlineStr">
        <is>
          <t>% on time</t>
        </is>
      </c>
      <c r="E37" s="10" t="inlineStr">
        <is>
          <t>100%</t>
        </is>
      </c>
      <c r="F37" s="10" t="inlineStr"/>
      <c r="G37" s="10" t="inlineStr"/>
      <c r="H37" s="10" t="inlineStr">
        <is>
          <t>On Track</t>
        </is>
      </c>
      <c r="I37" s="9" t="inlineStr"/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6">
    <mergeCell ref="B13:I13"/>
    <mergeCell ref="B30:I30"/>
    <mergeCell ref="B2:I2"/>
    <mergeCell ref="B3:I3"/>
    <mergeCell ref="B22:I22"/>
    <mergeCell ref="B4:I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TWC-32: TIMETABLE &amp; WORKLOAD SEMESTER / ANNUAL REPORT</t>
        </is>
      </c>
    </row>
    <row r="3" ht="25" customHeight="1">
      <c r="B3" s="2" t="inlineStr">
        <is>
          <t>Semester: _______  A.Y.: _______  TWC Coordinator: ___________________  Submitted to: Academic Council / IQAC  Date: _______</t>
        </is>
      </c>
    </row>
    <row r="4" ht="24" customHeight="1">
      <c r="B4" s="19" t="inlineStr">
        <is>
          <t>SECTION 1 — FACULTY WORKLOAD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Sem.</t>
        </is>
      </c>
      <c r="F5" s="13" t="inlineStr">
        <is>
          <t>Previous Sem.</t>
        </is>
      </c>
      <c r="G5" s="13" t="inlineStr">
        <is>
          <t>Growth %</t>
        </is>
      </c>
      <c r="H5" s="13" t="inlineStr">
        <is>
          <t>Target Next Sem.</t>
        </is>
      </c>
    </row>
    <row r="6" ht="22" customHeight="1">
      <c r="B6" s="14" t="n">
        <v>1</v>
      </c>
      <c r="C6" s="15" t="inlineStr">
        <is>
          <t>Total faculty (all departments)</t>
        </is>
      </c>
      <c r="D6" s="16" t="inlineStr">
        <is>
          <t>No.</t>
        </is>
      </c>
      <c r="E6" s="16" t="inlineStr"/>
      <c r="F6" s="16" t="inlineStr"/>
      <c r="G6" s="16">
        <f>IFERROR(ROUND((E6-F6)/IF(F6=0,1,F6)*100,1),"")</f>
        <v/>
      </c>
      <c r="H6" s="16" t="inlineStr"/>
    </row>
    <row r="7" ht="22" customHeight="1">
      <c r="B7" s="8" t="n">
        <v>2</v>
      </c>
      <c r="C7" s="9" t="inlineStr">
        <is>
          <t>Faculty within UGC/AICTE workload norm (%)</t>
        </is>
      </c>
      <c r="D7" s="10" t="inlineStr">
        <is>
          <t>% compliant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14" t="n">
        <v>3</v>
      </c>
      <c r="C8" s="15" t="inlineStr">
        <is>
          <t>Faculty with excess load</t>
        </is>
      </c>
      <c r="D8" s="16" t="inlineStr">
        <is>
          <t>No.</t>
        </is>
      </c>
      <c r="E8" s="16" t="inlineStr"/>
      <c r="F8" s="16" t="inlineStr"/>
      <c r="G8" s="16">
        <f>IFERROR(ROUND((E8-F8)/IF(F8=0,1,F8)*100,1),"")</f>
        <v/>
      </c>
      <c r="H8" s="16" t="inlineStr"/>
    </row>
    <row r="9" ht="22" customHeight="1">
      <c r="B9" s="8" t="n">
        <v>4</v>
      </c>
      <c r="C9" s="9" t="inlineStr">
        <is>
          <t>Faculty with deficit load</t>
        </is>
      </c>
      <c r="D9" s="10" t="inlineStr">
        <is>
          <t>No.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14" t="n">
        <v>5</v>
      </c>
      <c r="C10" s="15" t="inlineStr">
        <is>
          <t>Guest / visiting faculty engaged</t>
        </is>
      </c>
      <c r="D10" s="16" t="inlineStr">
        <is>
          <t>No.</t>
        </is>
      </c>
      <c r="E10" s="16" t="inlineStr"/>
      <c r="F10" s="16" t="inlineStr"/>
      <c r="G10" s="16">
        <f>IFERROR(ROUND((E10-F10)/IF(F10=0,1,F10)*100,1),"")</f>
        <v/>
      </c>
      <c r="H10" s="16" t="inlineStr"/>
    </row>
    <row r="11" ht="22" customHeight="1">
      <c r="B11" s="8" t="n">
        <v>6</v>
      </c>
      <c r="C11" s="9" t="inlineStr">
        <is>
          <t>Total theory courses assigned</t>
        </is>
      </c>
      <c r="D11" s="10" t="inlineStr">
        <is>
          <t>No.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34" t="inlineStr">
        <is>
          <t>SECTION 2 — COURSE ALLOCATION</t>
        </is>
      </c>
    </row>
    <row r="14" ht="22" customHeight="1">
      <c r="B14" s="30" t="inlineStr">
        <is>
          <t>Sl.</t>
        </is>
      </c>
      <c r="C14" s="30" t="inlineStr">
        <is>
          <t>Performance Metric</t>
        </is>
      </c>
      <c r="D14" s="30" t="inlineStr">
        <is>
          <t>Unit</t>
        </is>
      </c>
      <c r="E14" s="30" t="inlineStr">
        <is>
          <t>Current Sem.</t>
        </is>
      </c>
      <c r="F14" s="30" t="inlineStr">
        <is>
          <t>Previous Sem.</t>
        </is>
      </c>
      <c r="G14" s="30" t="inlineStr">
        <is>
          <t>Growth %</t>
        </is>
      </c>
      <c r="H14" s="30" t="inlineStr">
        <is>
          <t>Target Next Sem.</t>
        </is>
      </c>
    </row>
    <row r="15" ht="22" customHeight="1">
      <c r="B15" s="31" t="n">
        <v>1</v>
      </c>
      <c r="C15" s="32" t="inlineStr">
        <is>
          <t>Total courses offered (all departments)</t>
        </is>
      </c>
      <c r="D15" s="33" t="inlineStr">
        <is>
          <t>No.</t>
        </is>
      </c>
      <c r="E15" s="33" t="inlineStr"/>
      <c r="F15" s="33" t="inlineStr"/>
      <c r="G15" s="33">
        <f>IFERROR(ROUND((E15-F15)/IF(F15=0,1,F15)*100,1),"")</f>
        <v/>
      </c>
      <c r="H15" s="33" t="inlineStr"/>
    </row>
    <row r="16" ht="22" customHeight="1">
      <c r="B16" s="8" t="n">
        <v>2</v>
      </c>
      <c r="C16" s="9" t="inlineStr">
        <is>
          <t>Theory courses</t>
        </is>
      </c>
      <c r="D16" s="10" t="inlineStr">
        <is>
          <t>No.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31" t="n">
        <v>3</v>
      </c>
      <c r="C17" s="32" t="inlineStr">
        <is>
          <t>Practical / lab courses</t>
        </is>
      </c>
      <c r="D17" s="33" t="inlineStr">
        <is>
          <t>No.</t>
        </is>
      </c>
      <c r="E17" s="33" t="inlineStr"/>
      <c r="F17" s="33" t="inlineStr"/>
      <c r="G17" s="33">
        <f>IFERROR(ROUND((E17-F17)/IF(F17=0,1,F17)*100,1),"")</f>
        <v/>
      </c>
      <c r="H17" s="33" t="inlineStr"/>
    </row>
    <row r="18" ht="22" customHeight="1">
      <c r="B18" s="8" t="n">
        <v>4</v>
      </c>
      <c r="C18" s="9" t="inlineStr">
        <is>
          <t>Elective courses offered</t>
        </is>
      </c>
      <c r="D18" s="10" t="inlineStr">
        <is>
          <t>No.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31" t="n">
        <v>5</v>
      </c>
      <c r="C19" s="32" t="inlineStr">
        <is>
          <t>New courses introduced</t>
        </is>
      </c>
      <c r="D19" s="33" t="inlineStr">
        <is>
          <t>No.</t>
        </is>
      </c>
      <c r="E19" s="33" t="inlineStr"/>
      <c r="F19" s="33" t="inlineStr"/>
      <c r="G19" s="33">
        <f>IFERROR(ROUND((E19-F19)/IF(F19=0,1,F19)*100,1),"")</f>
        <v/>
      </c>
      <c r="H19" s="33" t="inlineStr"/>
    </row>
    <row r="20" ht="22" customHeight="1">
      <c r="B20" s="8" t="n">
        <v>6</v>
      </c>
      <c r="C20" s="9" t="inlineStr">
        <is>
          <t>Courses allocated to guest faculty</t>
        </is>
      </c>
      <c r="D20" s="10" t="inlineStr">
        <is>
          <t>No.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49" t="inlineStr">
        <is>
          <t>SECTION 3 — TIMETABLE OPERATIONS</t>
        </is>
      </c>
    </row>
    <row r="23" ht="22" customHeight="1">
      <c r="B23" s="50" t="inlineStr">
        <is>
          <t>Sl.</t>
        </is>
      </c>
      <c r="C23" s="50" t="inlineStr">
        <is>
          <t>Performance Metric</t>
        </is>
      </c>
      <c r="D23" s="50" t="inlineStr">
        <is>
          <t>Unit</t>
        </is>
      </c>
      <c r="E23" s="50" t="inlineStr">
        <is>
          <t>Current Sem.</t>
        </is>
      </c>
      <c r="F23" s="50" t="inlineStr">
        <is>
          <t>Previous Sem.</t>
        </is>
      </c>
      <c r="G23" s="50" t="inlineStr">
        <is>
          <t>Growth %</t>
        </is>
      </c>
      <c r="H23" s="50" t="inlineStr">
        <is>
          <t>Target Next Sem.</t>
        </is>
      </c>
    </row>
    <row r="24" ht="22" customHeight="1">
      <c r="B24" s="64" t="n">
        <v>1</v>
      </c>
      <c r="C24" s="52" t="inlineStr">
        <is>
          <t>Timetable published (days before sem start)</t>
        </is>
      </c>
      <c r="D24" s="51" t="inlineStr">
        <is>
          <t>Days</t>
        </is>
      </c>
      <c r="E24" s="51" t="inlineStr"/>
      <c r="F24" s="51" t="inlineStr"/>
      <c r="G24" s="51">
        <f>IFERROR(ROUND((E24-F24)/IF(F24=0,1,F24)*100,1),"")</f>
        <v/>
      </c>
      <c r="H24" s="51" t="inlineStr"/>
    </row>
    <row r="25" ht="22" customHeight="1">
      <c r="B25" s="8" t="n">
        <v>2</v>
      </c>
      <c r="C25" s="9" t="inlineStr">
        <is>
          <t>Conflicts detected pre-publication</t>
        </is>
      </c>
      <c r="D25" s="10" t="inlineStr">
        <is>
          <t>No.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64" t="n">
        <v>3</v>
      </c>
      <c r="C26" s="52" t="inlineStr">
        <is>
          <t>Conflicts resolved before publication</t>
        </is>
      </c>
      <c r="D26" s="51" t="inlineStr">
        <is>
          <t>No. / %</t>
        </is>
      </c>
      <c r="E26" s="51" t="inlineStr"/>
      <c r="F26" s="51" t="inlineStr"/>
      <c r="G26" s="51">
        <f>IFERROR(ROUND((E26-F26)/IF(F26=0,1,F26)*100,1),"")</f>
        <v/>
      </c>
      <c r="H26" s="51" t="inlineStr"/>
    </row>
    <row r="27" ht="22" customHeight="1">
      <c r="B27" s="8" t="n">
        <v>4</v>
      </c>
      <c r="C27" s="9" t="inlineStr">
        <is>
          <t>Mid-semester revisions</t>
        </is>
      </c>
      <c r="D27" s="10" t="inlineStr">
        <is>
          <t>No.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64" t="n">
        <v>5</v>
      </c>
      <c r="C28" s="52" t="inlineStr">
        <is>
          <t>Substitute classes arranged</t>
        </is>
      </c>
      <c r="D28" s="51" t="inlineStr">
        <is>
          <t>No.</t>
        </is>
      </c>
      <c r="E28" s="51" t="inlineStr"/>
      <c r="F28" s="51" t="inlineStr"/>
      <c r="G28" s="51">
        <f>IFERROR(ROUND((E28-F28)/IF(F28=0,1,F28)*100,1),"")</f>
        <v/>
      </c>
      <c r="H28" s="51" t="inlineStr"/>
    </row>
    <row r="29" ht="22" customHeight="1">
      <c r="B29" s="8" t="n">
        <v>6</v>
      </c>
      <c r="C29" s="9" t="inlineStr">
        <is>
          <t>Make-up classes conducted</t>
        </is>
      </c>
      <c r="D29" s="10" t="inlineStr">
        <is>
          <t>No.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67" t="inlineStr">
        <is>
          <t>SECTION 4 — SYLLABUS COVERAGE</t>
        </is>
      </c>
    </row>
    <row r="32" ht="22" customHeight="1">
      <c r="B32" s="68" t="inlineStr">
        <is>
          <t>Sl.</t>
        </is>
      </c>
      <c r="C32" s="68" t="inlineStr">
        <is>
          <t>Performance Metric</t>
        </is>
      </c>
      <c r="D32" s="68" t="inlineStr">
        <is>
          <t>Unit</t>
        </is>
      </c>
      <c r="E32" s="68" t="inlineStr">
        <is>
          <t>Current Sem.</t>
        </is>
      </c>
      <c r="F32" s="68" t="inlineStr">
        <is>
          <t>Previous Sem.</t>
        </is>
      </c>
      <c r="G32" s="68" t="inlineStr">
        <is>
          <t>Growth %</t>
        </is>
      </c>
      <c r="H32" s="68" t="inlineStr">
        <is>
          <t>Target Next Sem.</t>
        </is>
      </c>
    </row>
    <row r="33" ht="22" customHeight="1">
      <c r="B33" s="69" t="n">
        <v>1</v>
      </c>
      <c r="C33" s="70" t="inlineStr">
        <is>
          <t>Courses with ≥90% coverage</t>
        </is>
      </c>
      <c r="D33" s="71" t="inlineStr">
        <is>
          <t>No. / %</t>
        </is>
      </c>
      <c r="E33" s="71" t="inlineStr"/>
      <c r="F33" s="71" t="inlineStr"/>
      <c r="G33" s="71">
        <f>IFERROR(ROUND((E33-F33)/IF(F33=0,1,F33)*100,1),"")</f>
        <v/>
      </c>
      <c r="H33" s="71" t="inlineStr"/>
    </row>
    <row r="34" ht="22" customHeight="1">
      <c r="B34" s="8" t="n">
        <v>2</v>
      </c>
      <c r="C34" s="9" t="inlineStr">
        <is>
          <t>Courses with 75–89% coverage</t>
        </is>
      </c>
      <c r="D34" s="10" t="inlineStr">
        <is>
          <t>No.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69" t="n">
        <v>3</v>
      </c>
      <c r="C35" s="70" t="inlineStr">
        <is>
          <t>Courses with &lt; 75% coverage</t>
        </is>
      </c>
      <c r="D35" s="71" t="inlineStr">
        <is>
          <t>No.</t>
        </is>
      </c>
      <c r="E35" s="71" t="inlineStr"/>
      <c r="F35" s="71" t="inlineStr"/>
      <c r="G35" s="71">
        <f>IFERROR(ROUND((E35-F35)/IF(F35=0,1,F35)*100,1),"")</f>
        <v/>
      </c>
      <c r="H35" s="71" t="inlineStr"/>
    </row>
    <row r="36" ht="22" customHeight="1">
      <c r="B36" s="8" t="n">
        <v>4</v>
      </c>
      <c r="C36" s="9" t="inlineStr">
        <is>
          <t>Extra classes conducted for shortfall</t>
        </is>
      </c>
      <c r="D36" s="10" t="inlineStr">
        <is>
          <t>No.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69" t="n">
        <v>5</v>
      </c>
      <c r="C37" s="70" t="inlineStr">
        <is>
          <t>Faculty submitting completion tracker on time</t>
        </is>
      </c>
      <c r="D37" s="71" t="inlineStr">
        <is>
          <t>% on time</t>
        </is>
      </c>
      <c r="E37" s="71" t="inlineStr"/>
      <c r="F37" s="71" t="inlineStr"/>
      <c r="G37" s="71">
        <f>IFERROR(ROUND((E37-F37)/IF(F37=0,1,F37)*100,1),"")</f>
        <v/>
      </c>
      <c r="H37" s="71" t="inlineStr"/>
    </row>
    <row r="38" ht="22" customHeight="1">
      <c r="B38" s="8" t="n">
        <v>6</v>
      </c>
      <c r="C38" s="9" t="inlineStr">
        <is>
          <t>Institution average coverage</t>
        </is>
      </c>
      <c r="D38" s="10" t="inlineStr">
        <is>
          <t>% coverage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4" customHeight="1">
      <c r="B40" s="27" t="inlineStr">
        <is>
          <t>SECTION 5 — QUALITY &amp; COMPLIANCE</t>
        </is>
      </c>
    </row>
    <row r="41" ht="22" customHeight="1">
      <c r="B41" s="28" t="inlineStr">
        <is>
          <t>Sl.</t>
        </is>
      </c>
      <c r="C41" s="28" t="inlineStr">
        <is>
          <t>Performance Metric</t>
        </is>
      </c>
      <c r="D41" s="28" t="inlineStr">
        <is>
          <t>Unit</t>
        </is>
      </c>
      <c r="E41" s="28" t="inlineStr">
        <is>
          <t>Current Sem.</t>
        </is>
      </c>
      <c r="F41" s="28" t="inlineStr">
        <is>
          <t>Previous Sem.</t>
        </is>
      </c>
      <c r="G41" s="28" t="inlineStr">
        <is>
          <t>Growth %</t>
        </is>
      </c>
      <c r="H41" s="28" t="inlineStr">
        <is>
          <t>Target Next Sem.</t>
        </is>
      </c>
    </row>
    <row r="42" ht="22" customHeight="1">
      <c r="B42" s="74" t="n">
        <v>1</v>
      </c>
      <c r="C42" s="75" t="inlineStr">
        <is>
          <t>Faculty satisfaction score (/5)</t>
        </is>
      </c>
      <c r="D42" s="76" t="inlineStr">
        <is>
          <t>Score</t>
        </is>
      </c>
      <c r="E42" s="76" t="inlineStr"/>
      <c r="F42" s="76" t="inlineStr"/>
      <c r="G42" s="76">
        <f>IFERROR(ROUND((E42-F42)/IF(F42=0,1,F42)*100,1),"")</f>
        <v/>
      </c>
      <c r="H42" s="76" t="inlineStr"/>
    </row>
    <row r="43" ht="22" customHeight="1">
      <c r="B43" s="8" t="n">
        <v>2</v>
      </c>
      <c r="C43" s="9" t="inlineStr">
        <is>
          <t>Student satisfaction score (/5)</t>
        </is>
      </c>
      <c r="D43" s="10" t="inlineStr">
        <is>
          <t>Score</t>
        </is>
      </c>
      <c r="E43" s="10" t="inlineStr"/>
      <c r="F43" s="10" t="inlineStr"/>
      <c r="G43" s="10">
        <f>IFERROR(ROUND((E43-F43)/IF(F43=0,1,F43)*100,1),"")</f>
        <v/>
      </c>
      <c r="H43" s="10" t="inlineStr"/>
    </row>
    <row r="44" ht="22" customHeight="1">
      <c r="B44" s="74" t="n">
        <v>3</v>
      </c>
      <c r="C44" s="75" t="inlineStr">
        <is>
          <t>NAAC workload data submitted</t>
        </is>
      </c>
      <c r="D44" s="76" t="inlineStr">
        <is>
          <t>Y/N</t>
        </is>
      </c>
      <c r="E44" s="76" t="inlineStr"/>
      <c r="F44" s="76" t="inlineStr"/>
      <c r="G44" s="76">
        <f>IFERROR(ROUND((E44-F44)/IF(F44=0,1,F44)*100,1),"")</f>
        <v/>
      </c>
      <c r="H44" s="76" t="inlineStr"/>
    </row>
    <row r="45" ht="22" customHeight="1">
      <c r="B45" s="8" t="n">
        <v>4</v>
      </c>
      <c r="C45" s="9" t="inlineStr">
        <is>
          <t>NBA documentation prepared</t>
        </is>
      </c>
      <c r="D45" s="10" t="inlineStr">
        <is>
          <t>Y/N</t>
        </is>
      </c>
      <c r="E45" s="10" t="inlineStr"/>
      <c r="F45" s="10" t="inlineStr"/>
      <c r="G45" s="10">
        <f>IFERROR(ROUND((E45-F45)/IF(F45=0,1,F45)*100,1),"")</f>
        <v/>
      </c>
      <c r="H45" s="10" t="inlineStr"/>
    </row>
    <row r="46" ht="22" customHeight="1">
      <c r="B46" s="74" t="n">
        <v>5</v>
      </c>
      <c r="C46" s="75" t="inlineStr">
        <is>
          <t>Room utilisation rate</t>
        </is>
      </c>
      <c r="D46" s="76" t="inlineStr">
        <is>
          <t>% utilised</t>
        </is>
      </c>
      <c r="E46" s="76" t="inlineStr"/>
      <c r="F46" s="76" t="inlineStr"/>
      <c r="G46" s="76">
        <f>IFERROR(ROUND((E46-F46)/IF(F46=0,1,F46)*100,1),"")</f>
        <v/>
      </c>
      <c r="H46" s="76" t="inlineStr"/>
    </row>
    <row r="47" ht="22" customHeight="1">
      <c r="B47" s="8" t="n">
        <v>6</v>
      </c>
      <c r="C47" s="9" t="inlineStr">
        <is>
          <t>TWC meetings conducted</t>
        </is>
      </c>
      <c r="D47" s="10" t="inlineStr">
        <is>
          <t>No.</t>
        </is>
      </c>
      <c r="E47" s="10" t="inlineStr"/>
      <c r="F47" s="10" t="inlineStr"/>
      <c r="G47" s="10">
        <f>IFERROR(ROUND((E47-F47)/IF(F47=0,1,F47)*100,1),"")</f>
        <v/>
      </c>
      <c r="H47" s="10" t="inlineStr"/>
    </row>
    <row r="48" ht="22" customHeight="1"/>
    <row r="49" ht="20" customHeight="1">
      <c r="B49" s="17" t="inlineStr">
        <is>
          <t>Report submitted to: Principal, Academic Council, IQAC (NAAC AQAR Criterion II.1, II.2, II.3), NBA accreditation team, Governing Body. Faculty workload registers to be retained for 5 years.</t>
        </is>
      </c>
    </row>
    <row r="50" ht="22" customHeight="1">
      <c r="B50" s="29" t="inlineStr">
        <is>
          <t>TWC Coordinator: ___________________    Chairperson (Principal): ___________________    IQAC Coordinator: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2026-04-26T08:45:31Z</dcterms:created>
  <dcterms:modified xmlns:dcterms="http://purl.org/dc/terms/" xmlns:xsi="http://www.w3.org/2001/XMLSchema-instance" xsi:type="dcterms:W3CDTF">2026-04-26T08:45:32Z</dcterms:modified>
</cp:coreProperties>
</file>