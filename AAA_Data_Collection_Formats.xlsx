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AA-00 Composition" sheetId="2" state="visible" r:id="rId2"/>
    <sheet xmlns:r="http://schemas.openxmlformats.org/officeDocument/2006/relationships" name="AAA-NA Notice &amp; Agenda" sheetId="3" state="visible" r:id="rId3"/>
    <sheet xmlns:r="http://schemas.openxmlformats.org/officeDocument/2006/relationships" name="AAA-AT Attendance" sheetId="4" state="visible" r:id="rId4"/>
    <sheet xmlns:r="http://schemas.openxmlformats.org/officeDocument/2006/relationships" name="AAA-MM Minutes" sheetId="5" state="visible" r:id="rId5"/>
    <sheet xmlns:r="http://schemas.openxmlformats.org/officeDocument/2006/relationships" name="AAA-ATR Action Report" sheetId="6" state="visible" r:id="rId6"/>
    <sheet xmlns:r="http://schemas.openxmlformats.org/officeDocument/2006/relationships" name="AAA-01 Annual Audit Plan" sheetId="7" state="visible" r:id="rId7"/>
    <sheet xmlns:r="http://schemas.openxmlformats.org/officeDocument/2006/relationships" name="AAA-05 Self-Appraisal Form" sheetId="8" state="visible" r:id="rId8"/>
    <sheet xmlns:r="http://schemas.openxmlformats.org/officeDocument/2006/relationships" name="AAA-06 Curriculum Audit" sheetId="9" state="visible" r:id="rId9"/>
    <sheet xmlns:r="http://schemas.openxmlformats.org/officeDocument/2006/relationships" name="AAA-07 Teaching-Learning Audit" sheetId="10" state="visible" r:id="rId10"/>
    <sheet xmlns:r="http://schemas.openxmlformats.org/officeDocument/2006/relationships" name="AAA-08 Assessment Audit" sheetId="11" state="visible" r:id="rId11"/>
    <sheet xmlns:r="http://schemas.openxmlformats.org/officeDocument/2006/relationships" name="AAA-09 Student Outcomes Audit" sheetId="12" state="visible" r:id="rId12"/>
    <sheet xmlns:r="http://schemas.openxmlformats.org/officeDocument/2006/relationships" name="AAA-10 Faculty Audit" sheetId="13" state="visible" r:id="rId13"/>
    <sheet xmlns:r="http://schemas.openxmlformats.org/officeDocument/2006/relationships" name="AAA-13 Governance Audit" sheetId="14" state="visible" r:id="rId14"/>
    <sheet xmlns:r="http://schemas.openxmlformats.org/officeDocument/2006/relationships" name="AAA-14 HR Audit" sheetId="15" state="visible" r:id="rId15"/>
    <sheet xmlns:r="http://schemas.openxmlformats.org/officeDocument/2006/relationships" name="AAA-15 Finance Audit" sheetId="16" state="visible" r:id="rId16"/>
    <sheet xmlns:r="http://schemas.openxmlformats.org/officeDocument/2006/relationships" name="AAA-16 Infrastructure Audit" sheetId="17" state="visible" r:id="rId17"/>
    <sheet xmlns:r="http://schemas.openxmlformats.org/officeDocument/2006/relationships" name="AAA-21 Audit Observation Sheet" sheetId="18" state="visible" r:id="rId18"/>
    <sheet xmlns:r="http://schemas.openxmlformats.org/officeDocument/2006/relationships" name="AAA-22 NCR Form" sheetId="19" state="visible" r:id="rId19"/>
    <sheet xmlns:r="http://schemas.openxmlformats.org/officeDocument/2006/relationships" name="AAA-26 CAP Register" sheetId="20" state="visible" r:id="rId20"/>
    <sheet xmlns:r="http://schemas.openxmlformats.org/officeDocument/2006/relationships" name="AAA-29 Dept Scorecard" sheetId="21" state="visible" r:id="rId21"/>
    <sheet xmlns:r="http://schemas.openxmlformats.org/officeDocument/2006/relationships" name="AAA-30 KPI Dashboard" sheetId="22" state="visible" r:id="rId22"/>
    <sheet xmlns:r="http://schemas.openxmlformats.org/officeDocument/2006/relationships" name="AAA-31 Annual Repor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E3A5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1E3A5F"/>
      <sz val="10"/>
    </font>
    <font>
      <name val="Arial"/>
      <b val="1"/>
      <color rgb="00334155"/>
      <sz val="10"/>
    </font>
    <font>
      <name val="Arial"/>
      <b val="1"/>
      <color rgb="0015803D"/>
      <sz val="10"/>
    </font>
    <font>
      <name val="Arial"/>
      <color rgb="000F172A"/>
      <sz val="9"/>
    </font>
    <font>
      <name val="Arial"/>
      <b val="1"/>
      <color rgb="000A1628"/>
      <sz val="10"/>
    </font>
    <font>
      <name val="Arial"/>
      <b val="1"/>
      <color rgb="00042F2E"/>
      <sz val="10"/>
    </font>
    <font>
      <name val="Arial"/>
      <b val="1"/>
      <color rgb="001E1B4B"/>
      <sz val="9"/>
    </font>
    <font>
      <name val="Arial"/>
      <b val="1"/>
      <color rgb="003F2000"/>
      <sz val="14"/>
    </font>
    <font>
      <name val="Arial"/>
      <b val="1"/>
      <color rgb="000F172A"/>
      <sz val="9"/>
    </font>
    <font>
      <name val="Arial"/>
      <b val="1"/>
      <color rgb="00BE123C"/>
      <sz val="9"/>
    </font>
    <font>
      <name val="Arial"/>
      <b val="1"/>
      <color rgb="00500000"/>
      <sz val="10"/>
    </font>
    <font>
      <name val="Arial"/>
      <b val="1"/>
      <color rgb="001A3A2A"/>
      <sz val="10"/>
    </font>
    <font>
      <name val="Arial"/>
      <b val="1"/>
      <color rgb="003F2000"/>
      <sz val="10"/>
    </font>
    <font>
      <name val="Arial"/>
      <color rgb="0015803D"/>
      <sz val="10"/>
    </font>
    <font>
      <name val="Arial"/>
      <b val="1"/>
      <color rgb="000D9488"/>
      <sz val="10"/>
    </font>
    <font>
      <name val="Arial"/>
      <color rgb="000D9488"/>
      <sz val="10"/>
    </font>
    <font>
      <name val="Arial"/>
      <b val="1"/>
      <color rgb="00B45309"/>
      <sz val="10"/>
    </font>
    <font>
      <name val="Arial"/>
      <color rgb="00B45309"/>
      <sz val="10"/>
    </font>
    <font>
      <name val="Arial"/>
      <b val="1"/>
      <color rgb="0092400E"/>
      <sz val="10"/>
    </font>
    <font>
      <name val="Arial"/>
      <color rgb="0092400E"/>
      <sz val="10"/>
    </font>
    <font>
      <name val="Arial"/>
      <b val="1"/>
      <color rgb="00BE123C"/>
      <sz val="10"/>
    </font>
    <font>
      <name val="Arial"/>
      <color rgb="00BE123C"/>
      <sz val="10"/>
    </font>
  </fonts>
  <fills count="23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BEAFE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4338CA"/>
      </patternFill>
    </fill>
    <fill>
      <patternFill patternType="solid">
        <fgColor rgb="00E0E7FF"/>
      </patternFill>
    </fill>
    <fill>
      <patternFill patternType="solid">
        <fgColor rgb="0092400E"/>
      </patternFill>
    </fill>
    <fill>
      <patternFill patternType="solid">
        <fgColor rgb="00166534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FFE4E6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17" fillId="9" borderId="1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21" borderId="0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left" vertical="center" wrapText="1"/>
    </xf>
    <xf numFmtId="0" fontId="20" fillId="22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left" vertical="center" wrapText="1"/>
    </xf>
    <xf numFmtId="0" fontId="24" fillId="14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left" vertical="center" wrapText="1"/>
    </xf>
    <xf numFmtId="0" fontId="26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30" fillId="21" borderId="1" applyAlignment="1" pivotButton="0" quotePrefix="0" xfId="0">
      <alignment horizontal="center" vertical="center" wrapText="1"/>
    </xf>
    <xf numFmtId="0" fontId="31" fillId="21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ACADEMIC &amp; ADMINISTRATIVE AUDIT (AAA) COMMITTEE
Data Collection Formats — Master Workbook</t>
        </is>
      </c>
    </row>
    <row r="3" ht="28" customHeight="1">
      <c r="B3" s="2" t="inlineStr">
        <is>
          <t>Institution: _________________________  AAA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Cycle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AAA-00</t>
        </is>
      </c>
      <c r="C6" s="6" t="inlineStr">
        <is>
          <t>AAA Committee Composition &amp; Members Register</t>
        </is>
      </c>
      <c r="D6" s="6" t="inlineStr">
        <is>
          <t>Record auditors, members, roles &amp; expertise</t>
        </is>
      </c>
      <c r="E6" s="7" t="inlineStr">
        <is>
          <t>Annual</t>
        </is>
      </c>
    </row>
    <row r="7" ht="20" customHeight="1">
      <c r="B7" s="8" t="inlineStr">
        <is>
          <t>AAA-NA</t>
        </is>
      </c>
      <c r="C7" s="9" t="inlineStr">
        <is>
          <t>Meeting Notice, Agenda &amp; Dispatch Record</t>
        </is>
      </c>
      <c r="D7" s="9" t="inlineStr">
        <is>
          <t>Formal notice and agenda for committee meetings</t>
        </is>
      </c>
      <c r="E7" s="10" t="inlineStr">
        <is>
          <t>Each Meeting</t>
        </is>
      </c>
    </row>
    <row r="8" ht="20" customHeight="1">
      <c r="B8" s="5" t="inlineStr">
        <is>
          <t>AAA-AT</t>
        </is>
      </c>
      <c r="C8" s="6" t="inlineStr">
        <is>
          <t>Attendance &amp; Quorum Register</t>
        </is>
      </c>
      <c r="D8" s="6" t="inlineStr">
        <is>
          <t>Confirm attendance and quorum validity</t>
        </is>
      </c>
      <c r="E8" s="7" t="inlineStr">
        <is>
          <t>Each Meeting</t>
        </is>
      </c>
    </row>
    <row r="9" ht="20" customHeight="1">
      <c r="B9" s="8" t="inlineStr">
        <is>
          <t>AAA-MM</t>
        </is>
      </c>
      <c r="C9" s="9" t="inlineStr">
        <is>
          <t>Meeting Minutes &amp; Resolutions</t>
        </is>
      </c>
      <c r="D9" s="9" t="inlineStr">
        <is>
          <t>Record decisions, resolutions &amp; audit directives</t>
        </is>
      </c>
      <c r="E9" s="10" t="inlineStr">
        <is>
          <t>Each Meeting</t>
        </is>
      </c>
    </row>
    <row r="10" ht="20" customHeight="1">
      <c r="B10" s="5" t="inlineStr">
        <is>
          <t>AAA-ATR</t>
        </is>
      </c>
      <c r="C10" s="6" t="inlineStr">
        <is>
          <t>Action Taken Report on Audit Observations</t>
        </is>
      </c>
      <c r="D10" s="6" t="inlineStr">
        <is>
          <t>Track implementation of audit recommendations</t>
        </is>
      </c>
      <c r="E10" s="7" t="inlineStr">
        <is>
          <t>Each Cycle</t>
        </is>
      </c>
    </row>
    <row r="11" ht="20" customHeight="1">
      <c r="B11" s="4" t="inlineStr">
        <is>
          <t>── AUDIT PLANNING &amp; MANAGEMENT ──</t>
        </is>
      </c>
    </row>
    <row r="12" ht="20" customHeight="1">
      <c r="B12" s="5" t="inlineStr">
        <is>
          <t>AAA-01</t>
        </is>
      </c>
      <c r="C12" s="6" t="inlineStr">
        <is>
          <t>Annual Audit Plan &amp; Schedule</t>
        </is>
      </c>
      <c r="D12" s="6" t="inlineStr">
        <is>
          <t>Plan audit cycle — departments, dates, auditors, scope</t>
        </is>
      </c>
      <c r="E12" s="7" t="inlineStr">
        <is>
          <t>Annual</t>
        </is>
      </c>
    </row>
    <row r="13" ht="20" customHeight="1">
      <c r="B13" s="8" t="inlineStr">
        <is>
          <t>AAA-02</t>
        </is>
      </c>
      <c r="C13" s="9" t="inlineStr">
        <is>
          <t>Audit Instrument &amp; Checklist Preparation</t>
        </is>
      </c>
      <c r="D13" s="9" t="inlineStr">
        <is>
          <t>Design or review audit checklists per domain</t>
        </is>
      </c>
      <c r="E13" s="10" t="inlineStr">
        <is>
          <t>Pre-Audit</t>
        </is>
      </c>
    </row>
    <row r="14" ht="20" customHeight="1">
      <c r="B14" s="5" t="inlineStr">
        <is>
          <t>AAA-03</t>
        </is>
      </c>
      <c r="C14" s="6" t="inlineStr">
        <is>
          <t>Auditor Assignment &amp; Briefing Record</t>
        </is>
      </c>
      <c r="D14" s="6" t="inlineStr">
        <is>
          <t>Assign auditors and record pre-audit briefing</t>
        </is>
      </c>
      <c r="E14" s="7" t="inlineStr">
        <is>
          <t>Pre-Audit</t>
        </is>
      </c>
    </row>
    <row r="15" ht="20" customHeight="1">
      <c r="B15" s="8" t="inlineStr">
        <is>
          <t>AAA-04</t>
        </is>
      </c>
      <c r="C15" s="9" t="inlineStr">
        <is>
          <t>Auditee Notification &amp; Self-Appraisal Dispatch</t>
        </is>
      </c>
      <c r="D15" s="9" t="inlineStr">
        <is>
          <t>Notify departments and issue self-appraisal forms</t>
        </is>
      </c>
      <c r="E15" s="10" t="inlineStr">
        <is>
          <t>Pre-Audit</t>
        </is>
      </c>
    </row>
    <row r="16" ht="20" customHeight="1">
      <c r="B16" s="5" t="inlineStr">
        <is>
          <t>AAA-05</t>
        </is>
      </c>
      <c r="C16" s="6" t="inlineStr">
        <is>
          <t>Auditee Self-Appraisal Form</t>
        </is>
      </c>
      <c r="D16" s="6" t="inlineStr">
        <is>
          <t>Departments complete pre-audit self-assessment</t>
        </is>
      </c>
      <c r="E16" s="7" t="inlineStr">
        <is>
          <t>Pre-Audit</t>
        </is>
      </c>
    </row>
    <row r="17" ht="20" customHeight="1">
      <c r="B17" s="4" t="inlineStr">
        <is>
          <t>── ACADEMIC AUDIT INSTRUMENTS ──</t>
        </is>
      </c>
    </row>
    <row r="18" ht="20" customHeight="1">
      <c r="B18" s="5" t="inlineStr">
        <is>
          <t>AAA-06</t>
        </is>
      </c>
      <c r="C18" s="6" t="inlineStr">
        <is>
          <t>Academic Audit Checklist — Curriculum &amp; Syllabus</t>
        </is>
      </c>
      <c r="D18" s="6" t="inlineStr">
        <is>
          <t>Audit curriculum design, CO/PO alignment &amp; review cycles</t>
        </is>
      </c>
      <c r="E18" s="7" t="inlineStr">
        <is>
          <t>Annual</t>
        </is>
      </c>
    </row>
    <row r="19" ht="20" customHeight="1">
      <c r="B19" s="8" t="inlineStr">
        <is>
          <t>AAA-07</t>
        </is>
      </c>
      <c r="C19" s="9" t="inlineStr">
        <is>
          <t>Academic Audit — Teaching &amp; Learning Process</t>
        </is>
      </c>
      <c r="D19" s="9" t="inlineStr">
        <is>
          <t>Audit pedagogy, content delivery, active learning &amp; ICT</t>
        </is>
      </c>
      <c r="E19" s="10" t="inlineStr">
        <is>
          <t>Annual / Semester</t>
        </is>
      </c>
    </row>
    <row r="20" ht="20" customHeight="1">
      <c r="B20" s="5" t="inlineStr">
        <is>
          <t>AAA-08</t>
        </is>
      </c>
      <c r="C20" s="6" t="inlineStr">
        <is>
          <t>Academic Audit — Assessment &amp; Examination</t>
        </is>
      </c>
      <c r="D20" s="6" t="inlineStr">
        <is>
          <t>Audit CIE, SEE, CO attainment &amp; results analysis</t>
        </is>
      </c>
      <c r="E20" s="7" t="inlineStr">
        <is>
          <t>Each Semester</t>
        </is>
      </c>
    </row>
    <row r="21" ht="20" customHeight="1">
      <c r="B21" s="8" t="inlineStr">
        <is>
          <t>AAA-09</t>
        </is>
      </c>
      <c r="C21" s="9" t="inlineStr">
        <is>
          <t>Academic Audit — Student Performance &amp; Outcomes</t>
        </is>
      </c>
      <c r="D21" s="9" t="inlineStr">
        <is>
          <t>Audit pass %, CGPA trends, dropouts &amp; placements</t>
        </is>
      </c>
      <c r="E21" s="10" t="inlineStr">
        <is>
          <t>Annual</t>
        </is>
      </c>
    </row>
    <row r="22" ht="20" customHeight="1">
      <c r="B22" s="5" t="inlineStr">
        <is>
          <t>AAA-10</t>
        </is>
      </c>
      <c r="C22" s="6" t="inlineStr">
        <is>
          <t>Academic Audit — Faculty Performance Review</t>
        </is>
      </c>
      <c r="D22" s="6" t="inlineStr">
        <is>
          <t>Audit faculty qualifications, workload, FDP &amp; appraisals</t>
        </is>
      </c>
      <c r="E22" s="7" t="inlineStr">
        <is>
          <t>Annual</t>
        </is>
      </c>
    </row>
    <row r="23" ht="20" customHeight="1">
      <c r="B23" s="8" t="inlineStr">
        <is>
          <t>AAA-11</t>
        </is>
      </c>
      <c r="C23" s="9" t="inlineStr">
        <is>
          <t>Academic Audit — Research &amp; Innovation</t>
        </is>
      </c>
      <c r="D23" s="9" t="inlineStr">
        <is>
          <t>Audit publications, grants, patents &amp; PhD guidance</t>
        </is>
      </c>
      <c r="E23" s="10" t="inlineStr">
        <is>
          <t>Annual</t>
        </is>
      </c>
    </row>
    <row r="24" ht="20" customHeight="1">
      <c r="B24" s="5" t="inlineStr">
        <is>
          <t>AAA-12</t>
        </is>
      </c>
      <c r="C24" s="6" t="inlineStr">
        <is>
          <t>Academic Audit — Student Support &amp; Mentoring</t>
        </is>
      </c>
      <c r="D24" s="6" t="inlineStr">
        <is>
          <t>Audit mentoring, counselling, slow learners &amp; enrichment</t>
        </is>
      </c>
      <c r="E24" s="7" t="inlineStr">
        <is>
          <t>Each Semester</t>
        </is>
      </c>
    </row>
    <row r="25" ht="20" customHeight="1">
      <c r="B25" s="4" t="inlineStr">
        <is>
          <t>── ADMINISTRATIVE AUDIT INSTRUMENTS ──</t>
        </is>
      </c>
    </row>
    <row r="26" ht="20" customHeight="1">
      <c r="B26" s="5" t="inlineStr">
        <is>
          <t>AAA-13</t>
        </is>
      </c>
      <c r="C26" s="6" t="inlineStr">
        <is>
          <t>Administrative Audit — Governance &amp; Leadership</t>
        </is>
      </c>
      <c r="D26" s="6" t="inlineStr">
        <is>
          <t>Audit Governing Body, policy compliance &amp; e-governance</t>
        </is>
      </c>
      <c r="E26" s="7" t="inlineStr">
        <is>
          <t>Annual</t>
        </is>
      </c>
    </row>
    <row r="27" ht="20" customHeight="1">
      <c r="B27" s="8" t="inlineStr">
        <is>
          <t>AAA-14</t>
        </is>
      </c>
      <c r="C27" s="9" t="inlineStr">
        <is>
          <t>Administrative Audit — HR &amp; Staffing</t>
        </is>
      </c>
      <c r="D27" s="9" t="inlineStr">
        <is>
          <t>Audit recruitment, service records, appraisals &amp; norms</t>
        </is>
      </c>
      <c r="E27" s="10" t="inlineStr">
        <is>
          <t>Annual</t>
        </is>
      </c>
    </row>
    <row r="28" ht="20" customHeight="1">
      <c r="B28" s="5" t="inlineStr">
        <is>
          <t>AAA-15</t>
        </is>
      </c>
      <c r="C28" s="6" t="inlineStr">
        <is>
          <t>Administrative Audit — Finance &amp; Accounts</t>
        </is>
      </c>
      <c r="D28" s="6" t="inlineStr">
        <is>
          <t>Audit income, expenditure, fee, grants &amp; statutory filings</t>
        </is>
      </c>
      <c r="E28" s="7" t="inlineStr">
        <is>
          <t>Annual</t>
        </is>
      </c>
    </row>
    <row r="29" ht="20" customHeight="1">
      <c r="B29" s="8" t="inlineStr">
        <is>
          <t>AAA-16</t>
        </is>
      </c>
      <c r="C29" s="9" t="inlineStr">
        <is>
          <t>Administrative Audit — Infrastructure &amp; Safety</t>
        </is>
      </c>
      <c r="D29" s="9" t="inlineStr">
        <is>
          <t>Audit buildings, labs, library, safety &amp; green campus</t>
        </is>
      </c>
      <c r="E29" s="10" t="inlineStr">
        <is>
          <t>Annual</t>
        </is>
      </c>
    </row>
    <row r="30" ht="20" customHeight="1">
      <c r="B30" s="5" t="inlineStr">
        <is>
          <t>AAA-17</t>
        </is>
      </c>
      <c r="C30" s="6" t="inlineStr">
        <is>
          <t>Administrative Audit — Admissions &amp; Registrar</t>
        </is>
      </c>
      <c r="D30" s="6" t="inlineStr">
        <is>
          <t>Audit admission processes, records, compliance &amp; data</t>
        </is>
      </c>
      <c r="E30" s="7" t="inlineStr">
        <is>
          <t>Annual</t>
        </is>
      </c>
    </row>
    <row r="31" ht="20" customHeight="1">
      <c r="B31" s="8" t="inlineStr">
        <is>
          <t>AAA-18</t>
        </is>
      </c>
      <c r="C31" s="9" t="inlineStr">
        <is>
          <t>Administrative Audit — ICT &amp; Digital Governance</t>
        </is>
      </c>
      <c r="D31" s="9" t="inlineStr">
        <is>
          <t>Audit ERP, website, LMS, cybersecurity &amp; digital systems</t>
        </is>
      </c>
      <c r="E31" s="10" t="inlineStr">
        <is>
          <t>Annual</t>
        </is>
      </c>
    </row>
    <row r="32" ht="20" customHeight="1">
      <c r="B32" s="5" t="inlineStr">
        <is>
          <t>AAA-19</t>
        </is>
      </c>
      <c r="C32" s="6" t="inlineStr">
        <is>
          <t>Administrative Audit — Welfare &amp; Student Services</t>
        </is>
      </c>
      <c r="D32" s="6" t="inlineStr">
        <is>
          <t>Audit student welfare, anti-ragging, grievance &amp; clubs</t>
        </is>
      </c>
      <c r="E32" s="7" t="inlineStr">
        <is>
          <t>Annual</t>
        </is>
      </c>
    </row>
    <row r="33" ht="20" customHeight="1">
      <c r="B33" s="8" t="inlineStr">
        <is>
          <t>AAA-20</t>
        </is>
      </c>
      <c r="C33" s="9" t="inlineStr">
        <is>
          <t>Administrative Audit — Outreach &amp; Extension</t>
        </is>
      </c>
      <c r="D33" s="9" t="inlineStr">
        <is>
          <t>Audit extension, NSS, NCC, social responsibility activities</t>
        </is>
      </c>
      <c r="E33" s="10" t="inlineStr">
        <is>
          <t>Annual</t>
        </is>
      </c>
    </row>
    <row r="34" ht="20" customHeight="1">
      <c r="B34" s="4" t="inlineStr">
        <is>
          <t>── AUDIT REPORT &amp; FINDINGS ──</t>
        </is>
      </c>
    </row>
    <row r="35" ht="20" customHeight="1">
      <c r="B35" s="8" t="inlineStr">
        <is>
          <t>AAA-21</t>
        </is>
      </c>
      <c r="C35" s="9" t="inlineStr">
        <is>
          <t>Departmental Audit Observation Sheet</t>
        </is>
      </c>
      <c r="D35" s="9" t="inlineStr">
        <is>
          <t>Record observations, non-conformances and commendations</t>
        </is>
      </c>
      <c r="E35" s="10" t="inlineStr">
        <is>
          <t>Each Audit</t>
        </is>
      </c>
    </row>
    <row r="36" ht="20" customHeight="1">
      <c r="B36" s="5" t="inlineStr">
        <is>
          <t>AAA-22</t>
        </is>
      </c>
      <c r="C36" s="6" t="inlineStr">
        <is>
          <t>Non-Conformance Report (NCR)</t>
        </is>
      </c>
      <c r="D36" s="6" t="inlineStr">
        <is>
          <t>Formally record non-conformances for corrective action</t>
        </is>
      </c>
      <c r="E36" s="7" t="inlineStr">
        <is>
          <t>Each Audit</t>
        </is>
      </c>
    </row>
    <row r="37" ht="20" customHeight="1">
      <c r="B37" s="8" t="inlineStr">
        <is>
          <t>AAA-23</t>
        </is>
      </c>
      <c r="C37" s="9" t="inlineStr">
        <is>
          <t>Commendation &amp; Best Practice Record</t>
        </is>
      </c>
      <c r="D37" s="9" t="inlineStr">
        <is>
          <t>Document outstanding practices for institutional sharing</t>
        </is>
      </c>
      <c r="E37" s="10" t="inlineStr">
        <is>
          <t>Each Audit</t>
        </is>
      </c>
    </row>
    <row r="38" ht="20" customHeight="1">
      <c r="B38" s="5" t="inlineStr">
        <is>
          <t>AAA-24</t>
        </is>
      </c>
      <c r="C38" s="6" t="inlineStr">
        <is>
          <t>Departmental Audit Report (Consolidated)</t>
        </is>
      </c>
      <c r="D38" s="6" t="inlineStr">
        <is>
          <t>Compile department-wise audit findings &amp; ratings</t>
        </is>
      </c>
      <c r="E38" s="7" t="inlineStr">
        <is>
          <t>Each Audit</t>
        </is>
      </c>
    </row>
    <row r="39" ht="20" customHeight="1">
      <c r="B39" s="8" t="inlineStr">
        <is>
          <t>AAA-25</t>
        </is>
      </c>
      <c r="C39" s="9" t="inlineStr">
        <is>
          <t>Institutional AAA Consolidated Report</t>
        </is>
      </c>
      <c r="D39" s="9" t="inlineStr">
        <is>
          <t>Compile institution-wide audit results &amp; recommendations</t>
        </is>
      </c>
      <c r="E39" s="10" t="inlineStr">
        <is>
          <t>Annual</t>
        </is>
      </c>
    </row>
    <row r="40" ht="20" customHeight="1">
      <c r="B40" s="4" t="inlineStr">
        <is>
          <t>── COMPLIANCE &amp; FOLLOW-UP ──</t>
        </is>
      </c>
    </row>
    <row r="41" ht="20" customHeight="1">
      <c r="B41" s="8" t="inlineStr">
        <is>
          <t>AAA-26</t>
        </is>
      </c>
      <c r="C41" s="9" t="inlineStr">
        <is>
          <t>Corrective Action Plan (CAP) Register</t>
        </is>
      </c>
      <c r="D41" s="9" t="inlineStr">
        <is>
          <t>Departments record and implement corrective actions</t>
        </is>
      </c>
      <c r="E41" s="10" t="inlineStr">
        <is>
          <t>Post-Audit</t>
        </is>
      </c>
    </row>
    <row r="42" ht="20" customHeight="1">
      <c r="B42" s="5" t="inlineStr">
        <is>
          <t>AAA-27</t>
        </is>
      </c>
      <c r="C42" s="6" t="inlineStr">
        <is>
          <t>Follow-up Audit &amp; Closure Register</t>
        </is>
      </c>
      <c r="D42" s="6" t="inlineStr">
        <is>
          <t>Verify implementation and close NCRs</t>
        </is>
      </c>
      <c r="E42" s="7" t="inlineStr">
        <is>
          <t>Post-Audit</t>
        </is>
      </c>
    </row>
    <row r="43" ht="20" customHeight="1">
      <c r="B43" s="8" t="inlineStr">
        <is>
          <t>AAA-28</t>
        </is>
      </c>
      <c r="C43" s="9" t="inlineStr">
        <is>
          <t>Re-Audit Register</t>
        </is>
      </c>
      <c r="D43" s="9" t="inlineStr">
        <is>
          <t>Conduct re-audit for unresolved / critical NCRs</t>
        </is>
      </c>
      <c r="E43" s="10" t="inlineStr">
        <is>
          <t>As Required</t>
        </is>
      </c>
    </row>
    <row r="44" ht="20" customHeight="1">
      <c r="B44" s="4" t="inlineStr">
        <is>
          <t>── MONITORING &amp; REPORTING ──</t>
        </is>
      </c>
    </row>
    <row r="45" ht="20" customHeight="1">
      <c r="B45" s="8" t="inlineStr">
        <is>
          <t>AAA-29</t>
        </is>
      </c>
      <c r="C45" s="9" t="inlineStr">
        <is>
          <t>Department Audit Scorecard &amp; Ranking</t>
        </is>
      </c>
      <c r="D45" s="9" t="inlineStr">
        <is>
          <t>Score and rank departments across audit parameters</t>
        </is>
      </c>
      <c r="E45" s="10" t="inlineStr">
        <is>
          <t>Annual</t>
        </is>
      </c>
    </row>
    <row r="46" ht="20" customHeight="1">
      <c r="B46" s="5" t="inlineStr">
        <is>
          <t>AAA-30</t>
        </is>
      </c>
      <c r="C46" s="6" t="inlineStr">
        <is>
          <t>AAA KPI Dashboard</t>
        </is>
      </c>
      <c r="D46" s="6" t="inlineStr">
        <is>
          <t>Track all AAA KPIs — compliance, improvement, coverage</t>
        </is>
      </c>
      <c r="E46" s="7" t="inlineStr">
        <is>
          <t>Annual / Cycle</t>
        </is>
      </c>
    </row>
    <row r="47" ht="20" customHeight="1">
      <c r="B47" s="8" t="inlineStr">
        <is>
          <t>AAA-31</t>
        </is>
      </c>
      <c r="C47" s="9" t="inlineStr">
        <is>
          <t>AAA Annual Report Compilation Form</t>
        </is>
      </c>
      <c r="D47" s="9" t="inlineStr">
        <is>
          <t>Year-end audit report for management &amp; Governing Body</t>
        </is>
      </c>
      <c r="E47" s="10" t="inlineStr">
        <is>
          <t>Annual</t>
        </is>
      </c>
    </row>
    <row r="48" ht="21" customHeight="1"/>
    <row r="49" ht="21" customHeight="1"/>
    <row r="50" ht="21" customHeight="1"/>
    <row r="51" ht="21" customHeight="1"/>
    <row r="98">
      <c r="B98" s="11" t="inlineStr">
        <is>
          <t>• AAA = Academic &amp; Administrative Audit — a systematic internal quality review conducted annually across all academic departments and administrative units.</t>
        </is>
      </c>
    </row>
    <row r="99">
      <c r="B99" s="11" t="inlineStr">
        <is>
          <t>• AAA findings feed directly into: NAAC AQAR (all Criteria), NAAC SSR, NBA SAR (Criterion 1, 2, 3), NIRF, AICTE data &amp; Governing Body annual report.</t>
        </is>
      </c>
    </row>
    <row r="100">
      <c r="B100" s="11" t="inlineStr">
        <is>
          <t>• Auditors must be trained and impartial — no auditor should audit their own department (cross-audit principle).</t>
        </is>
      </c>
    </row>
    <row r="101">
      <c r="B101" s="11" t="inlineStr">
        <is>
          <t>• Rating scale: 1 = Very Poor (Major NCR) | 2 = Poor (Minor NCR) | 3 = Average (OFI) | 4 = Good | 5 = Excellent (Commendation).</t>
        </is>
      </c>
    </row>
    <row r="102">
      <c r="B102" s="11" t="inlineStr">
        <is>
          <t>• Non-Conformances (NCRs) must be formally recorded, corrective action taken within 30 days, and verified by follow-up audit.</t>
        </is>
      </c>
    </row>
    <row r="103">
      <c r="B103" s="11" t="inlineStr">
        <is>
          <t>• The AAA report must be presented to the Governing Body / Executive Council annually for approval and action.</t>
        </is>
      </c>
    </row>
    <row r="104">
      <c r="B104" s="11" t="inlineStr">
        <is>
          <t>• Self-appraisal forms must be completed by auditees before the audit visit to enable document-based verification.</t>
        </is>
      </c>
    </row>
    <row r="105">
      <c r="B105" s="11" t="inlineStr">
        <is>
          <t>• AAA integrates academic (teaching-learning-assessment) and administrative (governance, finance, HR, infra) domains in one cycle.</t>
        </is>
      </c>
    </row>
  </sheetData>
  <mergeCells count="17">
    <mergeCell ref="B17:E17"/>
    <mergeCell ref="B40:E40"/>
    <mergeCell ref="B102:E102"/>
    <mergeCell ref="B105:E105"/>
    <mergeCell ref="B44:E44"/>
    <mergeCell ref="B100:E100"/>
    <mergeCell ref="B11:E11"/>
    <mergeCell ref="B25:E25"/>
    <mergeCell ref="B3:E3"/>
    <mergeCell ref="B5:E5"/>
    <mergeCell ref="B2:E2"/>
    <mergeCell ref="B103:E103"/>
    <mergeCell ref="B104:E104"/>
    <mergeCell ref="B99:E99"/>
    <mergeCell ref="B101:E101"/>
    <mergeCell ref="B98:E98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AAA-00: ACADEMIC &amp; ADMINISTRATIVE AUDIT COMMITTEE — COMPOSITION REGISTER</t>
        </is>
      </c>
    </row>
    <row r="3" ht="25" customHeight="1">
      <c r="B3" s="2" t="inlineStr">
        <is>
          <t>Institution: _________________________  A.Y.: _______  Constituted on: _______  Ref.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AAA</t>
        </is>
      </c>
      <c r="F4" s="13" t="inlineStr">
        <is>
          <t>Audit Domain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Audit Leadership &amp; Final Report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IQAC Coordinator / Dean Academic Affairs</t>
        </is>
      </c>
      <c r="E6" s="8" t="inlineStr">
        <is>
          <t>Audit Coordinator</t>
        </is>
      </c>
      <c r="F6" s="10" t="inlineStr">
        <is>
          <t>AAA Planning &amp;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Registrar / Senior Administrative Officer</t>
        </is>
      </c>
      <c r="E7" s="14" t="inlineStr">
        <is>
          <t>Member Secretary</t>
        </is>
      </c>
      <c r="F7" s="16" t="inlineStr">
        <is>
          <t>AAA Administration &amp; Records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Senior Professor (Engineering)</t>
        </is>
      </c>
      <c r="E8" s="8" t="inlineStr">
        <is>
          <t>Academic Auditor – 1</t>
        </is>
      </c>
      <c r="F8" s="10" t="inlineStr">
        <is>
          <t>Teaching-Learning &amp; Assessment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Senior Professor (Sciences / Management)</t>
        </is>
      </c>
      <c r="E9" s="14" t="inlineStr">
        <is>
          <t>Academic Auditor – 2</t>
        </is>
      </c>
      <c r="F9" s="16" t="inlineStr">
        <is>
          <t>Curriculum &amp; Research Audit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Senior Administrative Officer / CA</t>
        </is>
      </c>
      <c r="E10" s="8" t="inlineStr">
        <is>
          <t>Administrative Auditor – 1</t>
        </is>
      </c>
      <c r="F10" s="10" t="inlineStr">
        <is>
          <t>Finance &amp; Governance Audit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HR / Registrar (from another institution)</t>
        </is>
      </c>
      <c r="E11" s="14" t="inlineStr">
        <is>
          <t>Administrative Auditor – 2</t>
        </is>
      </c>
      <c r="F11" s="16" t="inlineStr">
        <is>
          <t>HR &amp; Staffing Audit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Civil / Estate Officer</t>
        </is>
      </c>
      <c r="E12" s="8" t="inlineStr">
        <is>
          <t>Infrastructure Auditor</t>
        </is>
      </c>
      <c r="F12" s="10" t="inlineStr">
        <is>
          <t>Infrastructure &amp; Safety Audit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IT Head / External ICT Expert</t>
        </is>
      </c>
      <c r="E13" s="14" t="inlineStr">
        <is>
          <t>ICT Auditor</t>
        </is>
      </c>
      <c r="F13" s="16" t="inlineStr">
        <is>
          <t>Digital &amp; ICT Audit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Eminent Faculty from Another Institution</t>
        </is>
      </c>
      <c r="E14" s="8" t="inlineStr">
        <is>
          <t>External Academic Expert</t>
        </is>
      </c>
      <c r="F14" s="10" t="inlineStr">
        <is>
          <t>Academic Domain Expert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Industry / Government Representative</t>
        </is>
      </c>
      <c r="E15" s="14" t="inlineStr">
        <is>
          <t>External Admin Expert</t>
        </is>
      </c>
      <c r="F15" s="16" t="inlineStr">
        <is>
          <t>Governance Best Practices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IQAC Member</t>
        </is>
      </c>
      <c r="E16" s="8" t="inlineStr">
        <is>
          <t>IQAC Representative</t>
        </is>
      </c>
      <c r="F16" s="10" t="inlineStr">
        <is>
          <t>Quality Systems Linkage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Student Council President (Observer)</t>
        </is>
      </c>
      <c r="E17" s="14" t="inlineStr">
        <is>
          <t>Student Representative</t>
        </is>
      </c>
      <c r="F17" s="16" t="inlineStr">
        <is>
          <t>Student Perspective</t>
        </is>
      </c>
      <c r="G17" s="15" t="inlineStr"/>
      <c r="H17" s="16" t="inlineStr"/>
      <c r="I17" s="16" t="inlineStr"/>
    </row>
    <row r="18" ht="22" customHeight="1"/>
    <row r="19" ht="20" customHeight="1">
      <c r="B19" s="17" t="inlineStr">
        <is>
          <t>External auditors bring objectivity and national perspective. At least one academic and one administrative auditor should be from outside the institution per cycle.</t>
        </is>
      </c>
    </row>
    <row r="20" ht="22" customHeight="1"/>
    <row r="21" ht="22" customHeight="1"/>
    <row r="22" ht="22" customHeight="1"/>
    <row r="23" ht="22" customHeight="1"/>
    <row r="24" ht="22" customHeight="1"/>
    <row r="25" ht="22" customHeight="1"/>
  </sheetData>
  <mergeCells count="3">
    <mergeCell ref="B3:I3"/>
    <mergeCell ref="B19:I19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AAA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Presenter / 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AAA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AAA recommendations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Annual Audit Plan review — schedule, coverage, auditor assignments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Self-appraisal submission status — department-wise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Academic audit findings — curriculum, teaching-learning, assessment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Academic audit findings — student performance, faculty, research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Administrative audit findings — governance, HR, finance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Administrative audit findings — infrastructure, ICT, welfare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Non-conformances (NCRs) — new NCRs raised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NCR closure — corrective action plan review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Best practices and commendations to share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Department audit scores and ranking — review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Re-audit recommendations — departments with critical NCRs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NAAC / NIRF / NBA data linkage — audit evidence compilation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Audit instruments review — update checklists for next cycle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Auditor training and calibration needs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AAA Annual Report — preparation status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Any Other Matter with Permission of Chairperson (AOMPC)</t>
        </is>
      </c>
      <c r="D30" s="10" t="inlineStr"/>
      <c r="E30" s="10" t="inlineStr"/>
    </row>
    <row r="31" ht="24" customHeight="1"/>
    <row r="32" ht="24" customHeight="1">
      <c r="B32" s="20" t="inlineStr">
        <is>
          <t>DISPATCH RECORD</t>
        </is>
      </c>
    </row>
    <row r="33" ht="24" customHeight="1">
      <c r="B33" s="21" t="inlineStr">
        <is>
          <t>Sl.</t>
        </is>
      </c>
      <c r="C33" s="21" t="inlineStr">
        <is>
          <t>Member Name &amp; Role</t>
        </is>
      </c>
      <c r="D33" s="21" t="inlineStr">
        <is>
          <t>Mode of Dispatch</t>
        </is>
      </c>
      <c r="E33" s="21" t="inlineStr">
        <is>
          <t>Date &amp; Acknowledgement</t>
        </is>
      </c>
    </row>
    <row r="34" ht="22" customHeight="1">
      <c r="B34" s="22" t="n"/>
      <c r="C34" s="22" t="n"/>
      <c r="D34" s="22" t="n"/>
      <c r="E34" s="22" t="n"/>
    </row>
    <row r="35" ht="22" customHeight="1">
      <c r="B35" s="10" t="n"/>
      <c r="C35" s="10" t="n"/>
      <c r="D35" s="10" t="n"/>
      <c r="E35" s="10" t="n"/>
    </row>
    <row r="36" ht="22" customHeight="1">
      <c r="B36" s="22" t="n"/>
      <c r="C36" s="22" t="n"/>
      <c r="D36" s="22" t="n"/>
      <c r="E36" s="22" t="n"/>
    </row>
    <row r="37" ht="22" customHeight="1">
      <c r="B37" s="10" t="n"/>
      <c r="C37" s="10" t="n"/>
      <c r="D37" s="10" t="n"/>
      <c r="E37" s="10" t="n"/>
    </row>
  </sheetData>
  <mergeCells count="11">
    <mergeCell ref="C5:E5"/>
    <mergeCell ref="C8:E8"/>
    <mergeCell ref="C9:E9"/>
    <mergeCell ref="C4:E4"/>
    <mergeCell ref="B32:E32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AAA COMMITTEE: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 / Designation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/>
    <row r="21" ht="24" customHeight="1">
      <c r="B21" s="20" t="inlineStr">
        <is>
          <t>QUORUM VERIFICATION</t>
        </is>
      </c>
    </row>
    <row r="22" ht="22" customHeight="1">
      <c r="B22" s="23" t="inlineStr">
        <is>
          <t>Total AAA Members</t>
        </is>
      </c>
      <c r="G22" s="24" t="inlineStr"/>
    </row>
    <row r="23" ht="22" customHeight="1">
      <c r="B23" s="25" t="inlineStr">
        <is>
          <t>Present (Physical)</t>
        </is>
      </c>
      <c r="G23" s="24">
        <f>COUNTIF(F5:F19,"P")</f>
        <v/>
      </c>
    </row>
    <row r="24" ht="22" customHeight="1">
      <c r="B24" s="23" t="inlineStr">
        <is>
          <t>Present (VC)</t>
        </is>
      </c>
      <c r="G24" s="24" t="inlineStr"/>
    </row>
    <row r="25" ht="22" customHeight="1">
      <c r="B25" s="25" t="inlineStr">
        <is>
          <t>Total Effective</t>
        </is>
      </c>
      <c r="G25" s="24">
        <f>IFERROR(C23+C24,"")</f>
        <v/>
      </c>
    </row>
    <row r="26" ht="22" customHeight="1">
      <c r="B26" s="23" t="inlineStr">
        <is>
          <t>Quorum Required (50%)</t>
        </is>
      </c>
      <c r="G26" s="24" t="inlineStr"/>
    </row>
    <row r="27" ht="22" customHeight="1">
      <c r="B27" s="25" t="inlineStr">
        <is>
          <t>Quorum Achieved?</t>
        </is>
      </c>
      <c r="G27" s="26">
        <f>IFERROR(IF(C25&gt;=C26,"YES — Meeting Valid","NO — Adjourned"),"")</f>
        <v/>
      </c>
    </row>
    <row r="28" ht="22" customHeight="1"/>
    <row r="29" ht="22" customHeight="1"/>
  </sheetData>
  <mergeCells count="15">
    <mergeCell ref="G24:I24"/>
    <mergeCell ref="B21:I21"/>
    <mergeCell ref="B24:F24"/>
    <mergeCell ref="G27:I27"/>
    <mergeCell ref="G22:I22"/>
    <mergeCell ref="B2:I2"/>
    <mergeCell ref="B25:F25"/>
    <mergeCell ref="G23:I23"/>
    <mergeCell ref="B3:I3"/>
    <mergeCell ref="B23:F23"/>
    <mergeCell ref="G26:I26"/>
    <mergeCell ref="B22:F22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AAA COMMITTEE: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2" customHeight="1">
      <c r="B6" s="14" t="inlineStr">
        <is>
          <t>AAA/RES/001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2" customHeight="1">
      <c r="B7" s="8" t="inlineStr">
        <is>
          <t>AAA/RES/002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2" customHeight="1">
      <c r="B8" s="14" t="inlineStr">
        <is>
          <t>AAA/RES/003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2" customHeight="1">
      <c r="B9" s="8" t="inlineStr">
        <is>
          <t>AAA/RES/004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2" customHeight="1">
      <c r="B10" s="14" t="inlineStr">
        <is>
          <t>AAA/RES/005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2" customHeight="1">
      <c r="B11" s="8" t="inlineStr">
        <is>
          <t>AAA/RES/006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2" customHeight="1">
      <c r="B12" s="14" t="inlineStr">
        <is>
          <t>AAA/RES/007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2" customHeight="1">
      <c r="B13" s="8" t="inlineStr">
        <is>
          <t>AAA/RES/008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2" customHeight="1">
      <c r="B14" s="14" t="inlineStr">
        <is>
          <t>AAA/RES/009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2" customHeight="1">
      <c r="B15" s="8" t="inlineStr">
        <is>
          <t>AAA/RES/010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2" customHeight="1">
      <c r="B16" s="14" t="inlineStr">
        <is>
          <t>AAA/RES/011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2" customHeight="1">
      <c r="B17" s="8" t="inlineStr">
        <is>
          <t>AAA/RES/012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2" customHeight="1">
      <c r="B18" s="14" t="inlineStr">
        <is>
          <t>AAA/RES/013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2" customHeight="1">
      <c r="B19" s="8" t="inlineStr">
        <is>
          <t>AAA/RES/014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Meeting: _______    Chairperson: ___________________    Audit Coordinator: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AAA: ACTION TAKEN REPORT (ATR) ON AUDIT RECOMMENDATIONS</t>
        </is>
      </c>
    </row>
    <row r="3" ht="25" customHeight="1">
      <c r="B3" s="2" t="inlineStr">
        <is>
          <t>Current Audit Cycle: _______  Previous Cycle Ref.: _______  Date: _______</t>
        </is>
      </c>
    </row>
    <row r="4" ht="25" customHeight="1">
      <c r="B4" s="30" t="inlineStr">
        <is>
          <t>Recommendation
Ref.</t>
        </is>
      </c>
      <c r="C4" s="30" t="inlineStr">
        <is>
          <t>Audit Recommendation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 &amp; Evidence</t>
        </is>
      </c>
    </row>
    <row r="5" ht="26" customHeight="1">
      <c r="B5" s="31" t="inlineStr">
        <is>
          <t>AAA/REC/001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Implemented</t>
        </is>
      </c>
    </row>
    <row r="6" ht="26" customHeight="1">
      <c r="B6" s="8" t="inlineStr">
        <is>
          <t>AAA/REC/002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AAA/REC/003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Pending</t>
        </is>
      </c>
    </row>
    <row r="8" ht="26" customHeight="1">
      <c r="B8" s="8" t="inlineStr">
        <is>
          <t>AAA/REC/004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Deferred</t>
        </is>
      </c>
    </row>
    <row r="9" ht="26" customHeight="1">
      <c r="B9" s="31" t="inlineStr">
        <is>
          <t>AAA/REC/005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Referred to Management</t>
        </is>
      </c>
    </row>
    <row r="10" ht="26" customHeight="1">
      <c r="B10" s="8" t="inlineStr">
        <is>
          <t>AAA/REC/006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Implemented</t>
        </is>
      </c>
    </row>
    <row r="11" ht="26" customHeight="1">
      <c r="B11" s="31" t="inlineStr">
        <is>
          <t>AAA/REC/007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AAA/REC/008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Pending</t>
        </is>
      </c>
    </row>
    <row r="13" ht="26" customHeight="1">
      <c r="B13" s="31" t="inlineStr">
        <is>
          <t>AAA/REC/009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Deferred</t>
        </is>
      </c>
    </row>
    <row r="14" ht="26" customHeight="1">
      <c r="B14" s="8" t="inlineStr">
        <is>
          <t>AAA/REC/010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Referred to Management</t>
        </is>
      </c>
    </row>
    <row r="15" ht="26" customHeight="1">
      <c r="B15" s="31" t="inlineStr">
        <is>
          <t>AAA/REC/011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Implemented</t>
        </is>
      </c>
    </row>
    <row r="16" ht="26" customHeight="1">
      <c r="B16" s="8" t="inlineStr">
        <is>
          <t>AAA/REC/012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AAA/REC/013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Pending</t>
        </is>
      </c>
    </row>
    <row r="18" ht="26" customHeight="1">
      <c r="B18" s="8" t="inlineStr">
        <is>
          <t>AAA/REC/014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Deferred</t>
        </is>
      </c>
    </row>
    <row r="19" ht="26" customHeight="1">
      <c r="B19" s="31" t="inlineStr">
        <is>
          <t>AAA/REC/015</t>
        </is>
      </c>
      <c r="C19" s="32" t="inlineStr"/>
      <c r="D19" s="32" t="inlineStr"/>
      <c r="E19" s="33" t="inlineStr"/>
      <c r="F19" s="33" t="inlineStr"/>
      <c r="G19" s="33" t="inlineStr"/>
      <c r="H19" s="32" t="inlineStr">
        <is>
          <t>Referred to Management</t>
        </is>
      </c>
    </row>
    <row r="20" ht="26" customHeight="1">
      <c r="B20" s="8" t="inlineStr">
        <is>
          <t>AAA/REC/016</t>
        </is>
      </c>
      <c r="C20" s="9" t="inlineStr"/>
      <c r="D20" s="9" t="inlineStr"/>
      <c r="E20" s="10" t="inlineStr"/>
      <c r="F20" s="10" t="inlineStr"/>
      <c r="G20" s="10" t="inlineStr"/>
      <c r="H20" s="9" t="inlineStr">
        <is>
          <t>Implemented</t>
        </is>
      </c>
    </row>
    <row r="21" ht="26" customHeight="1">
      <c r="B21" s="31" t="inlineStr">
        <is>
          <t>AAA/REC/017</t>
        </is>
      </c>
      <c r="C21" s="32" t="inlineStr"/>
      <c r="D21" s="32" t="inlineStr"/>
      <c r="E21" s="33" t="inlineStr"/>
      <c r="F21" s="33" t="inlineStr"/>
      <c r="G21" s="33" t="inlineStr"/>
      <c r="H21" s="32" t="inlineStr">
        <is>
          <t>In Progress</t>
        </is>
      </c>
    </row>
    <row r="22" ht="26" customHeight="1">
      <c r="B22" s="8" t="inlineStr">
        <is>
          <t>AAA/REC/018</t>
        </is>
      </c>
      <c r="C22" s="9" t="inlineStr"/>
      <c r="D22" s="9" t="inlineStr"/>
      <c r="E22" s="10" t="inlineStr"/>
      <c r="F22" s="10" t="inlineStr"/>
      <c r="G22" s="10" t="inlineStr"/>
      <c r="H22" s="9" t="inlineStr">
        <is>
          <t>Pending</t>
        </is>
      </c>
    </row>
    <row r="23" ht="26" customHeight="1"/>
    <row r="24" ht="24" customHeight="1">
      <c r="B24" s="34" t="inlineStr">
        <is>
          <t>ATR SUMMARY</t>
        </is>
      </c>
    </row>
    <row r="25" ht="26" customHeight="1">
      <c r="B25" s="35" t="inlineStr">
        <is>
          <t>Total Recommendations Under Review</t>
        </is>
      </c>
      <c r="F25" s="36">
        <f>COUNTA(B5:B22)</f>
        <v/>
      </c>
    </row>
    <row r="26" ht="26" customHeight="1">
      <c r="B26" s="25" t="inlineStr">
        <is>
          <t>Implemented</t>
        </is>
      </c>
      <c r="F26" s="37">
        <f>COUNTIF(H5:H22,"Implemented")</f>
        <v/>
      </c>
    </row>
    <row r="27" ht="26" customHeight="1">
      <c r="B27" s="35" t="inlineStr">
        <is>
          <t>In Progress</t>
        </is>
      </c>
      <c r="F27" s="36">
        <f>COUNTIF(H5:H22,"In Progress")</f>
        <v/>
      </c>
    </row>
    <row r="28">
      <c r="B28" s="25" t="inlineStr">
        <is>
          <t>Pending</t>
        </is>
      </c>
      <c r="F28" s="37">
        <f>COUNTIF(H5:H22,"Pending")</f>
        <v/>
      </c>
    </row>
    <row r="29">
      <c r="B29" s="35" t="inlineStr">
        <is>
          <t>Deferred / Referred</t>
        </is>
      </c>
      <c r="F29" s="36" t="inlineStr"/>
    </row>
    <row r="30">
      <c r="B30" s="25" t="inlineStr">
        <is>
          <t>Implementation Rate (%)</t>
        </is>
      </c>
      <c r="F30" s="37">
        <f>IFERROR(ROUND(C26/C25*100,1),"")</f>
        <v/>
      </c>
    </row>
  </sheetData>
  <mergeCells count="15">
    <mergeCell ref="B26:E26"/>
    <mergeCell ref="B27:E27"/>
    <mergeCell ref="F28:H28"/>
    <mergeCell ref="F27:H27"/>
    <mergeCell ref="B30:E30"/>
    <mergeCell ref="F29:H29"/>
    <mergeCell ref="B29:E29"/>
    <mergeCell ref="B24:H24"/>
    <mergeCell ref="B2:H2"/>
    <mergeCell ref="B25:E25"/>
    <mergeCell ref="F26:H26"/>
    <mergeCell ref="F30:H30"/>
    <mergeCell ref="B3:H3"/>
    <mergeCell ref="B28:E28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AAA-01: ANNUAL AUDIT PLAN &amp; SCHEDULE</t>
        </is>
      </c>
    </row>
    <row r="3" ht="25" customHeight="1">
      <c r="B3" s="2" t="inlineStr">
        <is>
          <t>A.Y.: _______  Audit Cycle: _______  AAA Coordinator: ___________________  Approved by: ___________________  Date: _______</t>
        </is>
      </c>
    </row>
    <row r="4" ht="24" customHeight="1">
      <c r="B4" s="19" t="inlineStr">
        <is>
          <t>DEPARTMENT-WISE AUDIT SCHEDULE</t>
        </is>
      </c>
    </row>
    <row r="5" ht="22" customHeight="1">
      <c r="B5" s="13" t="inlineStr">
        <is>
          <t>Dept.
Code</t>
        </is>
      </c>
      <c r="C5" s="13" t="inlineStr">
        <is>
          <t>Department / Unit Name</t>
        </is>
      </c>
      <c r="D5" s="13" t="inlineStr">
        <is>
          <t>Audit Type
(Acad/Admin/Both)</t>
        </is>
      </c>
      <c r="E5" s="13" t="inlineStr">
        <is>
          <t>Planned
Date</t>
        </is>
      </c>
      <c r="F5" s="13" t="inlineStr">
        <is>
          <t>Lead
Auditor</t>
        </is>
      </c>
      <c r="G5" s="13" t="inlineStr">
        <is>
          <t>Co-Auditor</t>
        </is>
      </c>
      <c r="H5" s="13" t="inlineStr">
        <is>
          <t>Self-Appraisal
Due</t>
        </is>
      </c>
      <c r="I5" s="13" t="inlineStr">
        <is>
          <t>Audit
Done</t>
        </is>
      </c>
      <c r="J5" s="13" t="inlineStr">
        <is>
          <t>Report
Issued</t>
        </is>
      </c>
      <c r="K5" s="13" t="inlineStr">
        <is>
          <t>NCR
Status</t>
        </is>
      </c>
    </row>
    <row r="6" ht="22" customHeight="1">
      <c r="B6" s="14" t="inlineStr">
        <is>
          <t>DEPT/01</t>
        </is>
      </c>
      <c r="C6" s="15" t="inlineStr">
        <is>
          <t>CSE</t>
        </is>
      </c>
      <c r="D6" s="16" t="inlineStr">
        <is>
          <t>Academic + Administrative</t>
        </is>
      </c>
      <c r="E6" s="16" t="inlineStr"/>
      <c r="F6" s="16" t="inlineStr"/>
      <c r="G6" s="16" t="inlineStr"/>
      <c r="H6" s="16" t="inlineStr"/>
      <c r="I6" s="16" t="inlineStr"/>
      <c r="J6" s="16" t="inlineStr"/>
      <c r="K6" s="16" t="inlineStr">
        <is>
          <t>Pending</t>
        </is>
      </c>
    </row>
    <row r="7" ht="22" customHeight="1">
      <c r="B7" s="8" t="inlineStr">
        <is>
          <t>DEPT/02</t>
        </is>
      </c>
      <c r="C7" s="9" t="inlineStr">
        <is>
          <t>ECE</t>
        </is>
      </c>
      <c r="D7" s="10" t="inlineStr">
        <is>
          <t>Academic + Administrative</t>
        </is>
      </c>
      <c r="E7" s="10" t="inlineStr"/>
      <c r="F7" s="10" t="inlineStr"/>
      <c r="G7" s="10" t="inlineStr"/>
      <c r="H7" s="10" t="inlineStr"/>
      <c r="I7" s="10" t="inlineStr"/>
      <c r="J7" s="10" t="inlineStr"/>
      <c r="K7" s="10" t="inlineStr">
        <is>
          <t>Pending</t>
        </is>
      </c>
    </row>
    <row r="8" ht="22" customHeight="1">
      <c r="B8" s="14" t="inlineStr">
        <is>
          <t>DEPT/03</t>
        </is>
      </c>
      <c r="C8" s="15" t="inlineStr">
        <is>
          <t>EEE</t>
        </is>
      </c>
      <c r="D8" s="16" t="inlineStr">
        <is>
          <t>Academic + Administrative</t>
        </is>
      </c>
      <c r="E8" s="16" t="inlineStr"/>
      <c r="F8" s="16" t="inlineStr"/>
      <c r="G8" s="16" t="inlineStr"/>
      <c r="H8" s="16" t="inlineStr"/>
      <c r="I8" s="16" t="inlineStr"/>
      <c r="J8" s="16" t="inlineStr"/>
      <c r="K8" s="16" t="inlineStr">
        <is>
          <t>Pending</t>
        </is>
      </c>
    </row>
    <row r="9" ht="22" customHeight="1">
      <c r="B9" s="8" t="inlineStr">
        <is>
          <t>DEPT/04</t>
        </is>
      </c>
      <c r="C9" s="9" t="inlineStr">
        <is>
          <t>MECH</t>
        </is>
      </c>
      <c r="D9" s="10" t="inlineStr">
        <is>
          <t>Academic + Administrative</t>
        </is>
      </c>
      <c r="E9" s="10" t="inlineStr"/>
      <c r="F9" s="10" t="inlineStr"/>
      <c r="G9" s="10" t="inlineStr"/>
      <c r="H9" s="10" t="inlineStr"/>
      <c r="I9" s="10" t="inlineStr"/>
      <c r="J9" s="10" t="inlineStr"/>
      <c r="K9" s="10" t="inlineStr">
        <is>
          <t>Pending</t>
        </is>
      </c>
    </row>
    <row r="10" ht="22" customHeight="1">
      <c r="B10" s="14" t="inlineStr">
        <is>
          <t>DEPT/05</t>
        </is>
      </c>
      <c r="C10" s="15" t="inlineStr">
        <is>
          <t>CIVIL</t>
        </is>
      </c>
      <c r="D10" s="16" t="inlineStr">
        <is>
          <t>Academic + Administrative</t>
        </is>
      </c>
      <c r="E10" s="16" t="inlineStr"/>
      <c r="F10" s="16" t="inlineStr"/>
      <c r="G10" s="16" t="inlineStr"/>
      <c r="H10" s="16" t="inlineStr"/>
      <c r="I10" s="16" t="inlineStr"/>
      <c r="J10" s="16" t="inlineStr"/>
      <c r="K10" s="16" t="inlineStr">
        <is>
          <t>Pending</t>
        </is>
      </c>
    </row>
    <row r="11" ht="22" customHeight="1">
      <c r="B11" s="8" t="inlineStr">
        <is>
          <t>DEPT/06</t>
        </is>
      </c>
      <c r="C11" s="9" t="inlineStr">
        <is>
          <t>S&amp;H (Sciences &amp; Humanities)</t>
        </is>
      </c>
      <c r="D11" s="10" t="inlineStr">
        <is>
          <t>Academic + Administrative</t>
        </is>
      </c>
      <c r="E11" s="10" t="inlineStr"/>
      <c r="F11" s="10" t="inlineStr"/>
      <c r="G11" s="10" t="inlineStr"/>
      <c r="H11" s="10" t="inlineStr"/>
      <c r="I11" s="10" t="inlineStr"/>
      <c r="J11" s="10" t="inlineStr"/>
      <c r="K11" s="10" t="inlineStr">
        <is>
          <t>Pending</t>
        </is>
      </c>
    </row>
    <row r="12" ht="22" customHeight="1">
      <c r="B12" s="14" t="inlineStr">
        <is>
          <t>DEPT/07</t>
        </is>
      </c>
      <c r="C12" s="15" t="inlineStr">
        <is>
          <t>MBA</t>
        </is>
      </c>
      <c r="D12" s="16" t="inlineStr">
        <is>
          <t>Academic + Administrative</t>
        </is>
      </c>
      <c r="E12" s="16" t="inlineStr"/>
      <c r="F12" s="16" t="inlineStr"/>
      <c r="G12" s="16" t="inlineStr"/>
      <c r="H12" s="16" t="inlineStr"/>
      <c r="I12" s="16" t="inlineStr"/>
      <c r="J12" s="16" t="inlineStr"/>
      <c r="K12" s="16" t="inlineStr">
        <is>
          <t>Pending</t>
        </is>
      </c>
    </row>
    <row r="13" ht="22" customHeight="1">
      <c r="B13" s="8" t="inlineStr">
        <is>
          <t>DEPT/08</t>
        </is>
      </c>
      <c r="C13" s="9" t="inlineStr">
        <is>
          <t>MCA</t>
        </is>
      </c>
      <c r="D13" s="10" t="inlineStr">
        <is>
          <t>Academic + Administrative</t>
        </is>
      </c>
      <c r="E13" s="10" t="inlineStr"/>
      <c r="F13" s="10" t="inlineStr"/>
      <c r="G13" s="10" t="inlineStr"/>
      <c r="H13" s="10" t="inlineStr"/>
      <c r="I13" s="10" t="inlineStr"/>
      <c r="J13" s="10" t="inlineStr"/>
      <c r="K13" s="10" t="inlineStr">
        <is>
          <t>Pending</t>
        </is>
      </c>
    </row>
    <row r="14" ht="22" customHeight="1">
      <c r="B14" s="14" t="inlineStr">
        <is>
          <t>DEPT/09</t>
        </is>
      </c>
      <c r="C14" s="15" t="inlineStr">
        <is>
          <t>Principal's Office</t>
        </is>
      </c>
      <c r="D14" s="16" t="inlineStr">
        <is>
          <t>Administrative</t>
        </is>
      </c>
      <c r="E14" s="16" t="inlineStr"/>
      <c r="F14" s="16" t="inlineStr"/>
      <c r="G14" s="16" t="inlineStr"/>
      <c r="H14" s="16" t="inlineStr"/>
      <c r="I14" s="16" t="inlineStr"/>
      <c r="J14" s="16" t="inlineStr"/>
      <c r="K14" s="16" t="inlineStr">
        <is>
          <t>Pending</t>
        </is>
      </c>
    </row>
    <row r="15" ht="22" customHeight="1">
      <c r="B15" s="8" t="inlineStr">
        <is>
          <t>DEPT/10</t>
        </is>
      </c>
      <c r="C15" s="9" t="inlineStr">
        <is>
          <t>Academic Cell / Registrar</t>
        </is>
      </c>
      <c r="D15" s="10" t="inlineStr">
        <is>
          <t>Academic + Administrative</t>
        </is>
      </c>
      <c r="E15" s="10" t="inlineStr"/>
      <c r="F15" s="10" t="inlineStr"/>
      <c r="G15" s="10" t="inlineStr"/>
      <c r="H15" s="10" t="inlineStr"/>
      <c r="I15" s="10" t="inlineStr"/>
      <c r="J15" s="10" t="inlineStr"/>
      <c r="K15" s="10" t="inlineStr">
        <is>
          <t>Pending</t>
        </is>
      </c>
    </row>
    <row r="16" ht="22" customHeight="1">
      <c r="B16" s="14" t="inlineStr">
        <is>
          <t>DEPT/11</t>
        </is>
      </c>
      <c r="C16" s="15" t="inlineStr">
        <is>
          <t>Finance &amp; Accounts</t>
        </is>
      </c>
      <c r="D16" s="16" t="inlineStr">
        <is>
          <t>Administrative</t>
        </is>
      </c>
      <c r="E16" s="16" t="inlineStr"/>
      <c r="F16" s="16" t="inlineStr"/>
      <c r="G16" s="16" t="inlineStr"/>
      <c r="H16" s="16" t="inlineStr"/>
      <c r="I16" s="16" t="inlineStr"/>
      <c r="J16" s="16" t="inlineStr"/>
      <c r="K16" s="16" t="inlineStr">
        <is>
          <t>Pending</t>
        </is>
      </c>
    </row>
    <row r="17" ht="22" customHeight="1">
      <c r="B17" s="8" t="inlineStr">
        <is>
          <t>DEPT/12</t>
        </is>
      </c>
      <c r="C17" s="9" t="inlineStr">
        <is>
          <t>HR &amp; Administration</t>
        </is>
      </c>
      <c r="D17" s="10" t="inlineStr">
        <is>
          <t>Administrative</t>
        </is>
      </c>
      <c r="E17" s="10" t="inlineStr"/>
      <c r="F17" s="10" t="inlineStr"/>
      <c r="G17" s="10" t="inlineStr"/>
      <c r="H17" s="10" t="inlineStr"/>
      <c r="I17" s="10" t="inlineStr"/>
      <c r="J17" s="10" t="inlineStr"/>
      <c r="K17" s="10" t="inlineStr">
        <is>
          <t>Pending</t>
        </is>
      </c>
    </row>
    <row r="18" ht="22" customHeight="1">
      <c r="B18" s="14" t="inlineStr">
        <is>
          <t>DEPT/13</t>
        </is>
      </c>
      <c r="C18" s="15" t="inlineStr">
        <is>
          <t>Library</t>
        </is>
      </c>
      <c r="D18" s="16" t="inlineStr">
        <is>
          <t>Administrative</t>
        </is>
      </c>
      <c r="E18" s="16" t="inlineStr"/>
      <c r="F18" s="16" t="inlineStr"/>
      <c r="G18" s="16" t="inlineStr"/>
      <c r="H18" s="16" t="inlineStr"/>
      <c r="I18" s="16" t="inlineStr"/>
      <c r="J18" s="16" t="inlineStr"/>
      <c r="K18" s="16" t="inlineStr">
        <is>
          <t>Pending</t>
        </is>
      </c>
    </row>
    <row r="19" ht="22" customHeight="1">
      <c r="B19" s="8" t="inlineStr">
        <is>
          <t>DEPT/14</t>
        </is>
      </c>
      <c r="C19" s="9" t="inlineStr">
        <is>
          <t>Computer Centre (ECAP)</t>
        </is>
      </c>
      <c r="D19" s="10" t="inlineStr">
        <is>
          <t>Administrative</t>
        </is>
      </c>
      <c r="E19" s="10" t="inlineStr"/>
      <c r="F19" s="10" t="inlineStr"/>
      <c r="G19" s="10" t="inlineStr"/>
      <c r="H19" s="10" t="inlineStr"/>
      <c r="I19" s="10" t="inlineStr"/>
      <c r="J19" s="10" t="inlineStr"/>
      <c r="K19" s="10" t="inlineStr">
        <is>
          <t>Pending</t>
        </is>
      </c>
    </row>
    <row r="20" ht="22" customHeight="1">
      <c r="B20" s="14" t="inlineStr">
        <is>
          <t>DEPT/15</t>
        </is>
      </c>
      <c r="C20" s="15" t="inlineStr">
        <is>
          <t>Student Affairs</t>
        </is>
      </c>
      <c r="D20" s="16" t="inlineStr">
        <is>
          <t>Administrative</t>
        </is>
      </c>
      <c r="E20" s="16" t="inlineStr"/>
      <c r="F20" s="16" t="inlineStr"/>
      <c r="G20" s="16" t="inlineStr"/>
      <c r="H20" s="16" t="inlineStr"/>
      <c r="I20" s="16" t="inlineStr"/>
      <c r="J20" s="16" t="inlineStr"/>
      <c r="K20" s="16" t="inlineStr">
        <is>
          <t>Pending</t>
        </is>
      </c>
    </row>
    <row r="21" ht="22" customHeight="1">
      <c r="B21" s="8" t="inlineStr">
        <is>
          <t>DEPT/16</t>
        </is>
      </c>
      <c r="C21" s="9" t="inlineStr">
        <is>
          <t>Training &amp; Placement Cell</t>
        </is>
      </c>
      <c r="D21" s="10" t="inlineStr">
        <is>
          <t>Administrative</t>
        </is>
      </c>
      <c r="E21" s="10" t="inlineStr"/>
      <c r="F21" s="10" t="inlineStr"/>
      <c r="G21" s="10" t="inlineStr"/>
      <c r="H21" s="10" t="inlineStr"/>
      <c r="I21" s="10" t="inlineStr"/>
      <c r="J21" s="10" t="inlineStr"/>
      <c r="K21" s="10" t="inlineStr">
        <is>
          <t>Pending</t>
        </is>
      </c>
    </row>
    <row r="22" ht="22" customHeight="1">
      <c r="B22" s="14" t="inlineStr">
        <is>
          <t>DEPT/17</t>
        </is>
      </c>
      <c r="C22" s="15" t="inlineStr">
        <is>
          <t>Research &amp; Development Cell</t>
        </is>
      </c>
      <c r="D22" s="16" t="inlineStr">
        <is>
          <t>Academic</t>
        </is>
      </c>
      <c r="E22" s="16" t="inlineStr"/>
      <c r="F22" s="16" t="inlineStr"/>
      <c r="G22" s="16" t="inlineStr"/>
      <c r="H22" s="16" t="inlineStr"/>
      <c r="I22" s="16" t="inlineStr"/>
      <c r="J22" s="16" t="inlineStr"/>
      <c r="K22" s="16" t="inlineStr">
        <is>
          <t>Pending</t>
        </is>
      </c>
    </row>
    <row r="23" ht="22" customHeight="1">
      <c r="B23" s="8" t="inlineStr">
        <is>
          <t>DEPT/18</t>
        </is>
      </c>
      <c r="C23" s="9" t="inlineStr">
        <is>
          <t>Alumni Cell</t>
        </is>
      </c>
      <c r="D23" s="10" t="inlineStr">
        <is>
          <t>Administrative</t>
        </is>
      </c>
      <c r="E23" s="10" t="inlineStr"/>
      <c r="F23" s="10" t="inlineStr"/>
      <c r="G23" s="10" t="inlineStr"/>
      <c r="H23" s="10" t="inlineStr"/>
      <c r="I23" s="10" t="inlineStr"/>
      <c r="J23" s="10" t="inlineStr"/>
      <c r="K23" s="10" t="inlineStr">
        <is>
          <t>Pending</t>
        </is>
      </c>
    </row>
    <row r="24" ht="22" customHeight="1">
      <c r="B24" s="14" t="inlineStr">
        <is>
          <t>DEPT/19</t>
        </is>
      </c>
      <c r="C24" s="15" t="inlineStr">
        <is>
          <t>Hostel Administration</t>
        </is>
      </c>
      <c r="D24" s="16" t="inlineStr">
        <is>
          <t>Administrative</t>
        </is>
      </c>
      <c r="E24" s="16" t="inlineStr"/>
      <c r="F24" s="16" t="inlineStr"/>
      <c r="G24" s="16" t="inlineStr"/>
      <c r="H24" s="16" t="inlineStr"/>
      <c r="I24" s="16" t="inlineStr"/>
      <c r="J24" s="16" t="inlineStr"/>
      <c r="K24" s="16" t="inlineStr">
        <is>
          <t>Pending</t>
        </is>
      </c>
    </row>
    <row r="25" ht="22" customHeight="1">
      <c r="B25" s="8" t="inlineStr">
        <is>
          <t>DEPT/20</t>
        </is>
      </c>
      <c r="C25" s="9" t="inlineStr">
        <is>
          <t>Sports &amp; Cultural</t>
        </is>
      </c>
      <c r="D25" s="10" t="inlineStr">
        <is>
          <t>Administrative</t>
        </is>
      </c>
      <c r="E25" s="10" t="inlineStr"/>
      <c r="F25" s="10" t="inlineStr"/>
      <c r="G25" s="10" t="inlineStr"/>
      <c r="H25" s="10" t="inlineStr"/>
      <c r="I25" s="10" t="inlineStr"/>
      <c r="J25" s="10" t="inlineStr"/>
      <c r="K25" s="10" t="inlineStr">
        <is>
          <t>Pending</t>
        </is>
      </c>
    </row>
    <row r="26" ht="22" customHeight="1">
      <c r="B26" s="14" t="inlineStr">
        <is>
          <t>DEPT/21</t>
        </is>
      </c>
      <c r="C26" s="15" t="inlineStr">
        <is>
          <t>NSS / NCC</t>
        </is>
      </c>
      <c r="D26" s="16" t="inlineStr">
        <is>
          <t>Administrative</t>
        </is>
      </c>
      <c r="E26" s="16" t="inlineStr"/>
      <c r="F26" s="16" t="inlineStr"/>
      <c r="G26" s="16" t="inlineStr"/>
      <c r="H26" s="16" t="inlineStr"/>
      <c r="I26" s="16" t="inlineStr"/>
      <c r="J26" s="16" t="inlineStr"/>
      <c r="K26" s="16" t="inlineStr">
        <is>
          <t>Pending</t>
        </is>
      </c>
    </row>
    <row r="27" ht="22" customHeight="1">
      <c r="B27" s="8" t="inlineStr">
        <is>
          <t>DEPT/22</t>
        </is>
      </c>
      <c r="C27" s="9" t="inlineStr">
        <is>
          <t>Estate / Works</t>
        </is>
      </c>
      <c r="D27" s="10" t="inlineStr">
        <is>
          <t>Administrative</t>
        </is>
      </c>
      <c r="E27" s="10" t="inlineStr"/>
      <c r="F27" s="10" t="inlineStr"/>
      <c r="G27" s="10" t="inlineStr"/>
      <c r="H27" s="10" t="inlineStr"/>
      <c r="I27" s="10" t="inlineStr"/>
      <c r="J27" s="10" t="inlineStr"/>
      <c r="K27" s="10" t="inlineStr">
        <is>
          <t>Pending</t>
        </is>
      </c>
    </row>
    <row r="28" ht="22" customHeight="1"/>
    <row r="29" ht="24" customHeight="1">
      <c r="B29" s="34" t="inlineStr">
        <is>
          <t>AUDIT COVERAGE SUMMARY</t>
        </is>
      </c>
    </row>
    <row r="30" ht="22" customHeight="1">
      <c r="B30" s="30" t="inlineStr">
        <is>
          <t>Audit Type</t>
        </is>
      </c>
      <c r="C30" s="30" t="inlineStr">
        <is>
          <t>Departments
Covered</t>
        </is>
      </c>
      <c r="D30" s="30" t="inlineStr">
        <is>
          <t>% Coverage</t>
        </is>
      </c>
      <c r="E30" s="30" t="inlineStr">
        <is>
          <t>Audits
Completed</t>
        </is>
      </c>
      <c r="F30" s="30" t="inlineStr">
        <is>
          <t>% Completed</t>
        </is>
      </c>
      <c r="G30" s="30" t="inlineStr">
        <is>
          <t>NCRs
Raised</t>
        </is>
      </c>
      <c r="H30" s="30" t="inlineStr">
        <is>
          <t>NCRs
Closed</t>
        </is>
      </c>
      <c r="I30" s="30" t="inlineStr">
        <is>
          <t>Commendations</t>
        </is>
      </c>
      <c r="J30" s="30" t="inlineStr">
        <is>
          <t>Average
Score (/5)</t>
        </is>
      </c>
      <c r="K30" s="30" t="inlineStr">
        <is>
          <t>Status</t>
        </is>
      </c>
    </row>
    <row r="31" ht="22" customHeight="1">
      <c r="B31" s="32" t="inlineStr">
        <is>
          <t>Academic Audit</t>
        </is>
      </c>
      <c r="C31" s="33" t="inlineStr"/>
      <c r="D31" s="33" t="inlineStr"/>
      <c r="E31" s="33" t="inlineStr"/>
      <c r="F31" s="33" t="inlineStr"/>
      <c r="G31" s="33" t="inlineStr"/>
      <c r="H31" s="33" t="inlineStr"/>
      <c r="I31" s="33" t="inlineStr"/>
      <c r="J31" s="33" t="inlineStr"/>
      <c r="K31" s="33" t="inlineStr"/>
    </row>
    <row r="32" ht="22" customHeight="1">
      <c r="B32" s="9" t="inlineStr">
        <is>
          <t>Administrative Audit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</row>
    <row r="33" ht="22" customHeight="1">
      <c r="B33" s="32" t="inlineStr">
        <is>
          <t>Combined (Both)</t>
        </is>
      </c>
      <c r="C33" s="33" t="inlineStr"/>
      <c r="D33" s="33" t="inlineStr"/>
      <c r="E33" s="33" t="inlineStr"/>
      <c r="F33" s="33" t="inlineStr"/>
      <c r="G33" s="33" t="inlineStr"/>
      <c r="H33" s="33" t="inlineStr"/>
      <c r="I33" s="33" t="inlineStr"/>
      <c r="J33" s="33" t="inlineStr"/>
      <c r="K33" s="33" t="inlineStr"/>
    </row>
    <row r="34" ht="22" customHeight="1">
      <c r="B34" s="23" t="inlineStr">
        <is>
          <t>INSTITUTION TOTAL</t>
        </is>
      </c>
      <c r="C34" s="38" t="inlineStr"/>
      <c r="D34" s="38" t="inlineStr"/>
      <c r="E34" s="38" t="inlineStr"/>
      <c r="F34" s="38" t="inlineStr"/>
      <c r="G34" s="38" t="inlineStr"/>
      <c r="H34" s="38" t="inlineStr"/>
      <c r="I34" s="38" t="inlineStr"/>
      <c r="J34" s="38" t="inlineStr"/>
      <c r="K34" s="38" t="inlineStr"/>
    </row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mergeCells count="4">
    <mergeCell ref="B4:K4"/>
    <mergeCell ref="B29:K29"/>
    <mergeCell ref="B3:K3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AAA-05: AUDITEE SELF-APPRAISAL FORM</t>
        </is>
      </c>
    </row>
    <row r="3" ht="25" customHeight="1">
      <c r="B3" s="2" t="inlineStr">
        <is>
          <t>Department / Unit: ___________________  HoD / Head: ___________________  Date: _______  Audit Cycle: _______</t>
        </is>
      </c>
    </row>
    <row r="4" ht="20" customHeight="1">
      <c r="B4" s="17" t="inlineStr">
        <is>
          <t>Complete this form BEFORE the audit visit. Attach supporting documents for each item. This enables documentary verification during the audit.</t>
        </is>
      </c>
    </row>
    <row r="5" ht="24" customHeight="1">
      <c r="B5" s="19" t="inlineStr">
        <is>
          <t>SECTION A — ACADEMIC OVERVIEW (for Academic Departments)</t>
        </is>
      </c>
    </row>
    <row r="6" ht="28" customHeight="1">
      <c r="B6" s="39" t="inlineStr">
        <is>
          <t>Programmes offered (name, level, intake):</t>
        </is>
      </c>
      <c r="C6" s="9" t="n"/>
    </row>
    <row r="7" ht="28" customHeight="1">
      <c r="B7" s="39" t="inlineStr">
        <is>
          <t>Faculty strength — sanctioned vs. actual:</t>
        </is>
      </c>
      <c r="C7" s="9" t="n"/>
    </row>
    <row r="8" ht="28" customHeight="1">
      <c r="B8" s="39" t="inlineStr">
        <is>
          <t>Student intake — sanctioned vs. actual (current A.Y.):</t>
        </is>
      </c>
      <c r="C8" s="9" t="n"/>
    </row>
    <row r="9" ht="28" customHeight="1">
      <c r="B9" s="39" t="inlineStr">
        <is>
          <t>Overall pass % (last 2 semesters):</t>
        </is>
      </c>
      <c r="C9" s="9" t="n"/>
    </row>
    <row r="10" ht="28" customHeight="1">
      <c r="B10" s="39" t="inlineStr">
        <is>
          <t>Average CGPA / marks (last 2 semesters):</t>
        </is>
      </c>
      <c r="C10" s="9" t="n"/>
    </row>
    <row r="11" ht="28" customHeight="1">
      <c r="B11" s="39" t="inlineStr">
        <is>
          <t>CO attainment level achieved (avg):</t>
        </is>
      </c>
      <c r="C11" s="9" t="n"/>
    </row>
    <row r="12" ht="28" customHeight="1">
      <c r="B12" s="39" t="inlineStr">
        <is>
          <t>No. of courses with CO-PO attainment computed:</t>
        </is>
      </c>
      <c r="C12" s="9" t="n"/>
    </row>
    <row r="13" ht="28" customHeight="1">
      <c r="B13" s="39" t="inlineStr">
        <is>
          <t>No. of curriculum revisions in last 3 years:</t>
        </is>
      </c>
      <c r="C13" s="9" t="n"/>
    </row>
    <row r="14" ht="28" customHeight="1">
      <c r="B14" s="39" t="inlineStr">
        <is>
          <t>Research publications (last year):</t>
        </is>
      </c>
      <c r="C14" s="9" t="n"/>
    </row>
    <row r="15" ht="28" customHeight="1">
      <c r="B15" s="39" t="inlineStr">
        <is>
          <t>Funded research projects (active):</t>
        </is>
      </c>
      <c r="C15" s="9" t="n"/>
    </row>
    <row r="16" ht="28" customHeight="1">
      <c r="B16" s="39" t="inlineStr">
        <is>
          <t>Industry internship placements (last year):</t>
        </is>
      </c>
      <c r="C16" s="9" t="n"/>
    </row>
    <row r="17" ht="28" customHeight="1">
      <c r="B17" s="39" t="inlineStr">
        <is>
          <t>Placement rate (last graduating batch):</t>
        </is>
      </c>
      <c r="C17" s="9" t="n"/>
    </row>
    <row r="18" ht="30" customHeight="1"/>
    <row r="19" ht="24" customHeight="1">
      <c r="B19" s="34" t="inlineStr">
        <is>
          <t>SECTION B — ADMINISTRATIVE OVERVIEW</t>
        </is>
      </c>
    </row>
    <row r="20" ht="28" customHeight="1">
      <c r="B20" s="40" t="inlineStr">
        <is>
          <t>No. of staff (teaching + non-teaching):</t>
        </is>
      </c>
      <c r="C20" s="9" t="n"/>
    </row>
    <row r="21" ht="28" customHeight="1">
      <c r="B21" s="40" t="inlineStr">
        <is>
          <t>Sanctioned vs. filled posts:</t>
        </is>
      </c>
      <c r="C21" s="9" t="n"/>
    </row>
    <row r="22" ht="28" customHeight="1">
      <c r="B22" s="40" t="inlineStr">
        <is>
          <t>No. of new recruitments this year:</t>
        </is>
      </c>
      <c r="C22" s="9" t="n"/>
    </row>
    <row r="23" ht="28" customHeight="1">
      <c r="B23" s="40" t="inlineStr">
        <is>
          <t>No. of faculty with Ph.D.:</t>
        </is>
      </c>
      <c r="C23" s="9" t="n"/>
    </row>
    <row r="24" ht="28" customHeight="1">
      <c r="B24" s="40" t="inlineStr">
        <is>
          <t>No. of FDP / training attended this year:</t>
        </is>
      </c>
      <c r="C24" s="9" t="n"/>
    </row>
    <row r="25" ht="28" customHeight="1">
      <c r="B25" s="40" t="inlineStr">
        <is>
          <t>Budget allocated vs. utilised (% utilisation):</t>
        </is>
      </c>
      <c r="C25" s="9" t="n"/>
    </row>
    <row r="26" ht="28" customHeight="1">
      <c r="B26" s="40" t="inlineStr">
        <is>
          <t>Status of annual accounts and audit:</t>
        </is>
      </c>
      <c r="C26" s="9" t="n"/>
    </row>
    <row r="27" ht="28" customHeight="1">
      <c r="B27" s="40" t="inlineStr">
        <is>
          <t>No. of student grievances received:</t>
        </is>
      </c>
      <c r="C27" s="9" t="n"/>
    </row>
    <row r="28" ht="28" customHeight="1">
      <c r="B28" s="40" t="inlineStr">
        <is>
          <t>Grievances resolved within 30 days (%):</t>
        </is>
      </c>
      <c r="C28" s="9" t="n"/>
    </row>
    <row r="29" ht="28" customHeight="1">
      <c r="B29" s="40" t="inlineStr">
        <is>
          <t>Status of mandatory compliance / statutory filings:</t>
        </is>
      </c>
      <c r="C29" s="9" t="n"/>
    </row>
    <row r="30" ht="28" customHeight="1">
      <c r="B30" s="40" t="inlineStr">
        <is>
          <t>No. of items pending from last AAA recommendations:</t>
        </is>
      </c>
      <c r="C30" s="9" t="n"/>
    </row>
    <row r="31" ht="28" customHeight="1">
      <c r="B31" s="40" t="inlineStr">
        <is>
          <t>ISO / NAAC / NBA certifications current:</t>
        </is>
      </c>
      <c r="C31" s="9" t="n"/>
    </row>
    <row r="32" ht="30" customHeight="1"/>
    <row r="33" ht="24" customHeight="1">
      <c r="B33" s="41" t="inlineStr">
        <is>
          <t>SECTION C — BEST PRACTICES &amp; INNOVATIONS</t>
        </is>
      </c>
    </row>
    <row r="34" ht="30" customHeight="1">
      <c r="B34" s="42" t="inlineStr">
        <is>
          <t>Describe 2–3 innovations, improvements or best practices initiated by your department this year:</t>
        </is>
      </c>
    </row>
    <row r="35" ht="200" customHeight="1">
      <c r="B35" s="43" t="inlineStr"/>
    </row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24" customHeight="1">
      <c r="B42" s="41" t="inlineStr">
        <is>
          <t>SECTION D — CHALLENGES &amp; RESOURCE REQUIREMENTS</t>
        </is>
      </c>
    </row>
    <row r="43" ht="30" customHeight="1">
      <c r="B43" s="42" t="inlineStr">
        <is>
          <t>Describe key challenges and any resource requirements that should be addressed:</t>
        </is>
      </c>
    </row>
    <row r="44" ht="150" customHeight="1">
      <c r="B44" s="43" t="inlineStr"/>
    </row>
    <row r="45" ht="30" customHeight="1"/>
    <row r="46" ht="30" customHeight="1"/>
    <row r="47" ht="30" customHeight="1"/>
    <row r="48" ht="30" customHeight="1"/>
    <row r="49" ht="30" customHeight="1"/>
    <row r="50" ht="24" customHeight="1">
      <c r="B50" s="27" t="inlineStr">
        <is>
          <t>DOCUMENTS TO BE KEPT READY FOR AUDIT VISIT</t>
        </is>
      </c>
    </row>
    <row r="51" ht="22" customHeight="1">
      <c r="B51" s="44" t="inlineStr">
        <is>
          <t>[ ]  Faculty service records and qualification certificates</t>
        </is>
      </c>
    </row>
    <row r="52" ht="22" customHeight="1">
      <c r="B52" s="45" t="inlineStr">
        <is>
          <t>[ ]  Time-table and class conduct records</t>
        </is>
      </c>
    </row>
    <row r="53" ht="22" customHeight="1">
      <c r="B53" s="44" t="inlineStr">
        <is>
          <t>[ ]  CO attainment computation sheets</t>
        </is>
      </c>
    </row>
    <row r="54" ht="22" customHeight="1">
      <c r="B54" s="45" t="inlineStr">
        <is>
          <t>[ ]  Examination and assessment records</t>
        </is>
      </c>
    </row>
    <row r="55" ht="22" customHeight="1">
      <c r="B55" s="44" t="inlineStr">
        <is>
          <t>[ ]  Student feedback analysis</t>
        </is>
      </c>
    </row>
    <row r="56" ht="22" customHeight="1">
      <c r="B56" s="45" t="inlineStr">
        <is>
          <t>[ ]  Research publications list with proof</t>
        </is>
      </c>
    </row>
    <row r="57" ht="22" customHeight="1">
      <c r="B57" s="44" t="inlineStr">
        <is>
          <t>[ ]  Industry MoUs and internship records</t>
        </is>
      </c>
    </row>
    <row r="58" ht="22" customHeight="1">
      <c r="B58" s="45" t="inlineStr">
        <is>
          <t>[ ]  Financial statements and purchase approvals</t>
        </is>
      </c>
    </row>
    <row r="59" ht="22" customHeight="1">
      <c r="B59" s="44" t="inlineStr">
        <is>
          <t>[ ]  Maintenance logs and safety records</t>
        </is>
      </c>
    </row>
    <row r="60" ht="22" customHeight="1">
      <c r="B60" s="45" t="inlineStr">
        <is>
          <t>[ ]  Previous AAA report and action taken report</t>
        </is>
      </c>
    </row>
    <row r="62">
      <c r="B62" s="29" t="inlineStr">
        <is>
          <t>HoD / Unit Head Signature: ___________________    Date: ___________________    Submitted to AAA Committee: ___________________</t>
        </is>
      </c>
    </row>
  </sheetData>
  <mergeCells count="47">
    <mergeCell ref="C16:E16"/>
    <mergeCell ref="B35:E40"/>
    <mergeCell ref="B44:E48"/>
    <mergeCell ref="C31:E31"/>
    <mergeCell ref="B34:E34"/>
    <mergeCell ref="C22:E22"/>
    <mergeCell ref="C9:E9"/>
    <mergeCell ref="B33:E33"/>
    <mergeCell ref="B55:E55"/>
    <mergeCell ref="B5:E5"/>
    <mergeCell ref="B51:E51"/>
    <mergeCell ref="C21:E21"/>
    <mergeCell ref="C12:E12"/>
    <mergeCell ref="C11:E11"/>
    <mergeCell ref="C27:E27"/>
    <mergeCell ref="B4:E4"/>
    <mergeCell ref="B50:E50"/>
    <mergeCell ref="C23:E23"/>
    <mergeCell ref="C8:E8"/>
    <mergeCell ref="B54:E54"/>
    <mergeCell ref="B62:E62"/>
    <mergeCell ref="C17:E17"/>
    <mergeCell ref="B3:E3"/>
    <mergeCell ref="B59:E59"/>
    <mergeCell ref="C7:E7"/>
    <mergeCell ref="B56:E56"/>
    <mergeCell ref="C28:E28"/>
    <mergeCell ref="C13:E13"/>
    <mergeCell ref="B43:E43"/>
    <mergeCell ref="B58:E58"/>
    <mergeCell ref="B52:E52"/>
    <mergeCell ref="B2:E2"/>
    <mergeCell ref="C30:E30"/>
    <mergeCell ref="B42:E42"/>
    <mergeCell ref="C15:E15"/>
    <mergeCell ref="C6:E6"/>
    <mergeCell ref="C24:E24"/>
    <mergeCell ref="B60:E60"/>
    <mergeCell ref="C14:E14"/>
    <mergeCell ref="B57:E57"/>
    <mergeCell ref="B53:E53"/>
    <mergeCell ref="C26:E26"/>
    <mergeCell ref="B19:E19"/>
    <mergeCell ref="C29:E29"/>
    <mergeCell ref="C20:E20"/>
    <mergeCell ref="C25:E25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7" t="inlineStr">
        <is>
          <t>Rating: 5=Excellent | 4=Good | 3=Average (OFI) | 2=Poor (Minor NCR) | 1=Very Poor (Major NCR)</t>
        </is>
      </c>
    </row>
    <row r="3" ht="25" customHeight="1"/>
    <row r="4" ht="20" customHeight="1"/>
    <row r="5" ht="24" customHeight="1">
      <c r="B5" s="19" t="inlineStr">
        <is>
          <t>CURRICULUM DESIGN &amp; STRUCTURE</t>
        </is>
      </c>
    </row>
    <row r="6" ht="26" customHeight="1">
      <c r="B6" s="13" t="inlineStr">
        <is>
          <t>Sl.</t>
        </is>
      </c>
      <c r="C6" s="13" t="inlineStr">
        <is>
          <t>Audit Parameter / Criterion</t>
        </is>
      </c>
      <c r="D6" s="13" t="inlineStr">
        <is>
          <t>Documentary Evidence Required</t>
        </is>
      </c>
      <c r="E6" s="13" t="inlineStr">
        <is>
          <t>Rating
(1–5)</t>
        </is>
      </c>
      <c r="F6" s="13" t="inlineStr">
        <is>
          <t>Compliance
Status</t>
        </is>
      </c>
      <c r="G6" s="13" t="inlineStr">
        <is>
          <t>Observations</t>
        </is>
      </c>
      <c r="H6" s="13" t="inlineStr">
        <is>
          <t>Action Required</t>
        </is>
      </c>
    </row>
    <row r="7" ht="26" customHeight="1">
      <c r="B7" s="14" t="n">
        <v>1</v>
      </c>
      <c r="C7" s="15" t="inlineStr">
        <is>
          <t>Programme Educational Objectives (PEOs) defined and displayed</t>
        </is>
      </c>
      <c r="D7" s="15" t="inlineStr">
        <is>
          <t>PEO document, notices, website</t>
        </is>
      </c>
      <c r="E7" s="16" t="inlineStr"/>
      <c r="F7" s="16" t="inlineStr"/>
      <c r="G7" s="15" t="inlineStr"/>
      <c r="H7" s="15" t="inlineStr"/>
    </row>
    <row r="8" ht="26" customHeight="1">
      <c r="B8" s="8" t="n">
        <v>2</v>
      </c>
      <c r="C8" s="9" t="inlineStr">
        <is>
          <t>Programme Outcomes (POs) mapped to PEOs</t>
        </is>
      </c>
      <c r="D8" s="9" t="inlineStr">
        <is>
          <t>PEO-PO mapping matrix</t>
        </is>
      </c>
      <c r="E8" s="10" t="inlineStr"/>
      <c r="F8" s="10" t="inlineStr"/>
      <c r="G8" s="9" t="inlineStr"/>
      <c r="H8" s="9" t="inlineStr"/>
    </row>
    <row r="9" ht="26" customHeight="1">
      <c r="B9" s="14" t="n">
        <v>3</v>
      </c>
      <c r="C9" s="15" t="inlineStr">
        <is>
          <t>Course Outcomes (COs) defined for every course</t>
        </is>
      </c>
      <c r="D9" s="15" t="inlineStr">
        <is>
          <t>CO register / SAS</t>
        </is>
      </c>
      <c r="E9" s="16" t="inlineStr"/>
      <c r="F9" s="16" t="inlineStr"/>
      <c r="G9" s="15" t="inlineStr"/>
      <c r="H9" s="15" t="inlineStr"/>
    </row>
    <row r="10" ht="26" customHeight="1">
      <c r="B10" s="8" t="n">
        <v>4</v>
      </c>
      <c r="C10" s="9" t="inlineStr">
        <is>
          <t>CO-PO mapping matrix available and validated</t>
        </is>
      </c>
      <c r="D10" s="9" t="inlineStr">
        <is>
          <t>CO-PO mapping sheets</t>
        </is>
      </c>
      <c r="E10" s="10" t="inlineStr"/>
      <c r="F10" s="10" t="inlineStr"/>
      <c r="G10" s="9" t="inlineStr"/>
      <c r="H10" s="9" t="inlineStr"/>
    </row>
    <row r="11" ht="26" customHeight="1">
      <c r="B11" s="14" t="n">
        <v>5</v>
      </c>
      <c r="C11" s="15" t="inlineStr">
        <is>
          <t>Credit structure compliant with University / AICTE norms</t>
        </is>
      </c>
      <c r="D11" s="15" t="inlineStr">
        <is>
          <t>Scheme of instruction</t>
        </is>
      </c>
      <c r="E11" s="16" t="inlineStr"/>
      <c r="F11" s="16" t="inlineStr"/>
      <c r="G11" s="15" t="inlineStr"/>
      <c r="H11" s="15" t="inlineStr"/>
    </row>
    <row r="12" ht="26" customHeight="1">
      <c r="B12" s="8" t="n">
        <v>6</v>
      </c>
      <c r="C12" s="9" t="inlineStr">
        <is>
          <t>Minimum 60% core courses; elective basket offered</t>
        </is>
      </c>
      <c r="D12" s="9" t="inlineStr">
        <is>
          <t>Curriculum document</t>
        </is>
      </c>
      <c r="E12" s="10" t="inlineStr"/>
      <c r="F12" s="10" t="inlineStr"/>
      <c r="G12" s="9" t="inlineStr"/>
      <c r="H12" s="9" t="inlineStr"/>
    </row>
    <row r="13" ht="26" customHeight="1">
      <c r="B13" s="14" t="n">
        <v>7</v>
      </c>
      <c r="C13" s="15" t="inlineStr">
        <is>
          <t>Industry-aligned electives / MOOCs integrated</t>
        </is>
      </c>
      <c r="D13" s="15" t="inlineStr">
        <is>
          <t>Elective list, MOOC records</t>
        </is>
      </c>
      <c r="E13" s="16" t="inlineStr"/>
      <c r="F13" s="16" t="inlineStr"/>
      <c r="G13" s="15" t="inlineStr"/>
      <c r="H13" s="15" t="inlineStr"/>
    </row>
    <row r="14" ht="26" customHeight="1">
      <c r="B14" s="8" t="n">
        <v>8</v>
      </c>
      <c r="C14" s="9" t="inlineStr">
        <is>
          <t>Curriculum reviewed at least once in 3 years</t>
        </is>
      </c>
      <c r="D14" s="9" t="inlineStr">
        <is>
          <t>BoS minutes, revision record</t>
        </is>
      </c>
      <c r="E14" s="10" t="inlineStr"/>
      <c r="F14" s="10" t="inlineStr"/>
      <c r="G14" s="9" t="inlineStr"/>
      <c r="H14" s="9" t="inlineStr"/>
    </row>
    <row r="15" ht="26" customHeight="1">
      <c r="B15" s="14" t="n">
        <v>9</v>
      </c>
      <c r="C15" s="15" t="inlineStr">
        <is>
          <t>Industry / alumni inputs in curriculum revision</t>
        </is>
      </c>
      <c r="D15" s="15" t="inlineStr">
        <is>
          <t>BoS attendance, industry feedback</t>
        </is>
      </c>
      <c r="E15" s="16" t="inlineStr"/>
      <c r="F15" s="16" t="inlineStr"/>
      <c r="G15" s="15" t="inlineStr"/>
      <c r="H15" s="15" t="inlineStr"/>
    </row>
    <row r="16" ht="26" customHeight="1">
      <c r="B16" s="8" t="n">
        <v>10</v>
      </c>
      <c r="C16" s="9" t="inlineStr">
        <is>
          <t>Choice-Based Credit System (CBCS) implemented</t>
        </is>
      </c>
      <c r="D16" s="9" t="inlineStr">
        <is>
          <t>CBCS scheme</t>
        </is>
      </c>
      <c r="E16" s="10" t="inlineStr"/>
      <c r="F16" s="10" t="inlineStr"/>
      <c r="G16" s="9" t="inlineStr"/>
      <c r="H16" s="9" t="inlineStr"/>
    </row>
    <row r="17" ht="26" customHeight="1"/>
    <row r="18" ht="24" customHeight="1">
      <c r="B18" s="19" t="inlineStr">
        <is>
          <t>SYLLABUS &amp; TEACHING PLAN</t>
        </is>
      </c>
    </row>
    <row r="19" ht="26" customHeight="1">
      <c r="B19" s="13" t="inlineStr">
        <is>
          <t>Sl.</t>
        </is>
      </c>
      <c r="C19" s="13" t="inlineStr">
        <is>
          <t>Audit Parameter / Criterion</t>
        </is>
      </c>
      <c r="D19" s="13" t="inlineStr">
        <is>
          <t>Documentary Evidence Required</t>
        </is>
      </c>
      <c r="E19" s="13" t="inlineStr">
        <is>
          <t>Rating
(1–5)</t>
        </is>
      </c>
      <c r="F19" s="13" t="inlineStr">
        <is>
          <t>Compliance
Status</t>
        </is>
      </c>
      <c r="G19" s="13" t="inlineStr">
        <is>
          <t>Observations</t>
        </is>
      </c>
      <c r="H19" s="13" t="inlineStr">
        <is>
          <t>Action Required</t>
        </is>
      </c>
    </row>
    <row r="20" ht="26" customHeight="1">
      <c r="B20" s="14" t="n">
        <v>1</v>
      </c>
      <c r="C20" s="15" t="inlineStr">
        <is>
          <t>Detailed syllabus available for all courses</t>
        </is>
      </c>
      <c r="D20" s="15" t="inlineStr">
        <is>
          <t>Syllabus booklets / portal</t>
        </is>
      </c>
      <c r="E20" s="16" t="inlineStr"/>
      <c r="F20" s="16" t="inlineStr"/>
      <c r="G20" s="15" t="inlineStr"/>
      <c r="H20" s="15" t="inlineStr"/>
    </row>
    <row r="21" ht="26" customHeight="1">
      <c r="B21" s="8" t="n">
        <v>2</v>
      </c>
      <c r="C21" s="9" t="inlineStr">
        <is>
          <t>Course file maintained for every course</t>
        </is>
      </c>
      <c r="D21" s="9" t="inlineStr">
        <is>
          <t>Sample course files</t>
        </is>
      </c>
      <c r="E21" s="10" t="inlineStr"/>
      <c r="F21" s="10" t="inlineStr"/>
      <c r="G21" s="9" t="inlineStr"/>
      <c r="H21" s="9" t="inlineStr"/>
    </row>
    <row r="22" ht="26" customHeight="1">
      <c r="B22" s="14" t="n">
        <v>3</v>
      </c>
      <c r="C22" s="15" t="inlineStr">
        <is>
          <t>Lesson plan / teaching plan prepared before semester</t>
        </is>
      </c>
      <c r="D22" s="15" t="inlineStr">
        <is>
          <t>Lesson plan register</t>
        </is>
      </c>
      <c r="E22" s="16" t="inlineStr"/>
      <c r="F22" s="16" t="inlineStr"/>
      <c r="G22" s="15" t="inlineStr"/>
      <c r="H22" s="15" t="inlineStr"/>
    </row>
    <row r="23" ht="26" customHeight="1">
      <c r="B23" s="8" t="n">
        <v>4</v>
      </c>
      <c r="C23" s="9" t="inlineStr">
        <is>
          <t>CO-wise unit plan available in course file</t>
        </is>
      </c>
      <c r="D23" s="9" t="inlineStr">
        <is>
          <t>CO-unit mapping in course file</t>
        </is>
      </c>
      <c r="E23" s="10" t="inlineStr"/>
      <c r="F23" s="10" t="inlineStr"/>
      <c r="G23" s="9" t="inlineStr"/>
      <c r="H23" s="9" t="inlineStr"/>
    </row>
    <row r="24" ht="26" customHeight="1">
      <c r="B24" s="14" t="n">
        <v>5</v>
      </c>
      <c r="C24" s="15" t="inlineStr">
        <is>
          <t>Syllabus coverage tracked and recorded</t>
        </is>
      </c>
      <c r="D24" s="15" t="inlineStr">
        <is>
          <t>Coverage report / register</t>
        </is>
      </c>
      <c r="E24" s="16" t="inlineStr"/>
      <c r="F24" s="16" t="inlineStr"/>
      <c r="G24" s="15" t="inlineStr"/>
      <c r="H24" s="15" t="inlineStr"/>
    </row>
    <row r="25" ht="26" customHeight="1">
      <c r="B25" s="8" t="n">
        <v>6</v>
      </c>
      <c r="C25" s="9" t="inlineStr">
        <is>
          <t>Guest lectures to supplement syllabus coverage</t>
        </is>
      </c>
      <c r="D25" s="9" t="inlineStr">
        <is>
          <t>Guest lecture records</t>
        </is>
      </c>
      <c r="E25" s="10" t="inlineStr"/>
      <c r="F25" s="10" t="inlineStr"/>
      <c r="G25" s="9" t="inlineStr"/>
      <c r="H25" s="9" t="inlineStr"/>
    </row>
    <row r="26" ht="26" customHeight="1">
      <c r="B26" s="14" t="n">
        <v>7</v>
      </c>
      <c r="C26" s="15" t="inlineStr">
        <is>
          <t>Innovative teaching methods documented</t>
        </is>
      </c>
      <c r="D26" s="15" t="inlineStr">
        <is>
          <t>Pedagogy log in course file</t>
        </is>
      </c>
      <c r="E26" s="16" t="inlineStr"/>
      <c r="F26" s="16" t="inlineStr"/>
      <c r="G26" s="15" t="inlineStr"/>
      <c r="H26" s="15" t="inlineStr"/>
    </row>
    <row r="27" ht="26" customHeight="1"/>
    <row r="28" ht="24" customHeight="1">
      <c r="B28" s="19" t="inlineStr">
        <is>
          <t>OBE IMPLEMENTATION</t>
        </is>
      </c>
    </row>
    <row r="29" ht="26" customHeight="1">
      <c r="B29" s="13" t="inlineStr">
        <is>
          <t>Sl.</t>
        </is>
      </c>
      <c r="C29" s="13" t="inlineStr">
        <is>
          <t>Audit Parameter / Criterion</t>
        </is>
      </c>
      <c r="D29" s="13" t="inlineStr">
        <is>
          <t>Documentary Evidence Required</t>
        </is>
      </c>
      <c r="E29" s="13" t="inlineStr">
        <is>
          <t>Rating
(1–5)</t>
        </is>
      </c>
      <c r="F29" s="13" t="inlineStr">
        <is>
          <t>Compliance
Status</t>
        </is>
      </c>
      <c r="G29" s="13" t="inlineStr">
        <is>
          <t>Observations</t>
        </is>
      </c>
      <c r="H29" s="13" t="inlineStr">
        <is>
          <t>Action Required</t>
        </is>
      </c>
    </row>
    <row r="30" ht="26" customHeight="1">
      <c r="B30" s="14" t="n">
        <v>1</v>
      </c>
      <c r="C30" s="15" t="inlineStr">
        <is>
          <t>CO attainment computed each semester</t>
        </is>
      </c>
      <c r="D30" s="15" t="inlineStr">
        <is>
          <t>CO attainment sheets</t>
        </is>
      </c>
      <c r="E30" s="16" t="inlineStr"/>
      <c r="F30" s="16" t="inlineStr"/>
      <c r="G30" s="15" t="inlineStr"/>
      <c r="H30" s="15" t="inlineStr"/>
    </row>
    <row r="31" ht="26" customHeight="1">
      <c r="B31" s="8" t="n">
        <v>2</v>
      </c>
      <c r="C31" s="9" t="inlineStr">
        <is>
          <t>PO attainment computed annually</t>
        </is>
      </c>
      <c r="D31" s="9" t="inlineStr">
        <is>
          <t>PO attainment report</t>
        </is>
      </c>
      <c r="E31" s="10" t="inlineStr"/>
      <c r="F31" s="10" t="inlineStr"/>
      <c r="G31" s="9" t="inlineStr"/>
      <c r="H31" s="9" t="inlineStr"/>
    </row>
    <row r="32" ht="26" customHeight="1">
      <c r="B32" s="14" t="n">
        <v>3</v>
      </c>
      <c r="C32" s="15" t="inlineStr">
        <is>
          <t>Direct attainment (≥60% from internal assessment)</t>
        </is>
      </c>
      <c r="D32" s="15" t="inlineStr">
        <is>
          <t>Marks analysis</t>
        </is>
      </c>
      <c r="E32" s="16" t="inlineStr"/>
      <c r="F32" s="16" t="inlineStr"/>
      <c r="G32" s="15" t="inlineStr"/>
      <c r="H32" s="15" t="inlineStr"/>
    </row>
    <row r="33" ht="26" customHeight="1">
      <c r="B33" s="8" t="n">
        <v>4</v>
      </c>
      <c r="C33" s="9" t="inlineStr">
        <is>
          <t>Indirect attainment (student survey, exit survey)</t>
        </is>
      </c>
      <c r="D33" s="9" t="inlineStr">
        <is>
          <t>Survey data</t>
        </is>
      </c>
      <c r="E33" s="10" t="inlineStr"/>
      <c r="F33" s="10" t="inlineStr"/>
      <c r="G33" s="9" t="inlineStr"/>
      <c r="H33" s="9" t="inlineStr"/>
    </row>
    <row r="34" ht="26" customHeight="1">
      <c r="B34" s="14" t="n">
        <v>5</v>
      </c>
      <c r="C34" s="15" t="inlineStr">
        <is>
          <t>Gap analysis done and corrective actions taken</t>
        </is>
      </c>
      <c r="D34" s="15" t="inlineStr">
        <is>
          <t>Gap analysis report</t>
        </is>
      </c>
      <c r="E34" s="16" t="inlineStr"/>
      <c r="F34" s="16" t="inlineStr"/>
      <c r="G34" s="15" t="inlineStr"/>
      <c r="H34" s="15" t="inlineStr"/>
    </row>
    <row r="35" ht="26" customHeight="1">
      <c r="B35" s="8" t="n">
        <v>6</v>
      </c>
      <c r="C35" s="9" t="inlineStr">
        <is>
          <t>CO attainment targets set and tracked vs. actuals</t>
        </is>
      </c>
      <c r="D35" s="9" t="inlineStr">
        <is>
          <t>Target vs. actual CO levels</t>
        </is>
      </c>
      <c r="E35" s="10" t="inlineStr"/>
      <c r="F35" s="10" t="inlineStr"/>
      <c r="G35" s="9" t="inlineStr"/>
      <c r="H35" s="9" t="inlineStr"/>
    </row>
    <row r="36" ht="26" customHeight="1"/>
    <row r="37" ht="24" customHeight="1">
      <c r="B37" s="27" t="inlineStr">
        <is>
          <t>SECTION RATING SUMMARY</t>
        </is>
      </c>
    </row>
    <row r="38" ht="26" customHeight="1">
      <c r="B38" s="28" t="inlineStr">
        <is>
          <t>Section</t>
        </is>
      </c>
      <c r="C38" s="28" t="inlineStr">
        <is>
          <t>Parameters Audited</t>
        </is>
      </c>
      <c r="D38" s="28" t="inlineStr">
        <is>
          <t>Excellent
(5)</t>
        </is>
      </c>
      <c r="E38" s="28" t="inlineStr">
        <is>
          <t>Good
(4)</t>
        </is>
      </c>
      <c r="F38" s="28" t="inlineStr">
        <is>
          <t>Average
(3)</t>
        </is>
      </c>
      <c r="G38" s="28" t="inlineStr">
        <is>
          <t>Poor
(1–2)</t>
        </is>
      </c>
      <c r="H38" s="28" t="inlineStr">
        <is>
          <t>Avg Section Score</t>
        </is>
      </c>
    </row>
    <row r="39" ht="26" customHeight="1">
      <c r="B39" s="46" t="inlineStr">
        <is>
          <t>Curriculum Design &amp; Structure</t>
        </is>
      </c>
      <c r="C39" s="16" t="inlineStr"/>
      <c r="D39" s="16" t="inlineStr"/>
      <c r="E39" s="16" t="inlineStr"/>
      <c r="F39" s="16" t="inlineStr"/>
      <c r="G39" s="16" t="inlineStr"/>
      <c r="H39" s="16" t="inlineStr"/>
    </row>
    <row r="40" ht="26" customHeight="1">
      <c r="B40" s="25" t="inlineStr">
        <is>
          <t>Syllabus &amp; Teaching Plan</t>
        </is>
      </c>
      <c r="C40" s="10" t="inlineStr"/>
      <c r="D40" s="10" t="inlineStr"/>
      <c r="E40" s="10" t="inlineStr"/>
      <c r="F40" s="10" t="inlineStr"/>
      <c r="G40" s="10" t="inlineStr"/>
      <c r="H40" s="10" t="inlineStr"/>
    </row>
    <row r="41" ht="26" customHeight="1">
      <c r="B41" s="46" t="inlineStr">
        <is>
          <t>OBE Implementation</t>
        </is>
      </c>
      <c r="C41" s="16" t="inlineStr"/>
      <c r="D41" s="16" t="inlineStr"/>
      <c r="E41" s="16" t="inlineStr"/>
      <c r="F41" s="16" t="inlineStr"/>
      <c r="G41" s="16" t="inlineStr"/>
      <c r="H41" s="16" t="inlineStr"/>
    </row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  <row r="60" ht="26" customHeight="1"/>
    <row r="61" ht="26" customHeight="1"/>
    <row r="62" ht="26" customHeight="1"/>
    <row r="63" ht="26" customHeight="1"/>
    <row r="64" ht="26" customHeight="1"/>
    <row r="65" ht="26" customHeight="1"/>
    <row r="66" ht="26" customHeight="1"/>
    <row r="67" ht="26" customHeight="1"/>
  </sheetData>
  <mergeCells count="7">
    <mergeCell ref="B18:H18"/>
    <mergeCell ref="B2:H2"/>
    <mergeCell ref="B2:H4"/>
    <mergeCell ref="B3:H3"/>
    <mergeCell ref="B5:H5"/>
    <mergeCell ref="B37:H37"/>
    <mergeCell ref="B28:H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AAA-07: ACADEMIC AUDIT CHECKLIST — TEACHING &amp; LEARNING PROCESS</t>
        </is>
      </c>
    </row>
    <row r="3" ht="25" customHeight="1">
      <c r="B3" s="2" t="inlineStr">
        <is>
          <t>Department: ___________________  Programme: ___________________  Auditor: ___________________  Date: _______</t>
        </is>
      </c>
    </row>
    <row r="4" ht="25" customHeight="1"/>
    <row r="5" ht="24" customHeight="1">
      <c r="B5" s="19" t="inlineStr">
        <is>
          <t>CLASSROOM TEACHING &amp; DELIVERY</t>
        </is>
      </c>
    </row>
    <row r="6" ht="26" customHeight="1">
      <c r="B6" s="13" t="inlineStr">
        <is>
          <t>Sl.</t>
        </is>
      </c>
      <c r="C6" s="13" t="inlineStr">
        <is>
          <t>Audit Parameter / Criterion</t>
        </is>
      </c>
      <c r="D6" s="13" t="inlineStr">
        <is>
          <t>Documentary Evidence Required</t>
        </is>
      </c>
      <c r="E6" s="13" t="inlineStr">
        <is>
          <t>Rating
(1–5)</t>
        </is>
      </c>
      <c r="F6" s="13" t="inlineStr">
        <is>
          <t>Compliance
Status</t>
        </is>
      </c>
      <c r="G6" s="13" t="inlineStr">
        <is>
          <t>Observations</t>
        </is>
      </c>
      <c r="H6" s="13" t="inlineStr">
        <is>
          <t>Action Required</t>
        </is>
      </c>
    </row>
    <row r="7" ht="26" customHeight="1">
      <c r="B7" s="14" t="n">
        <v>1</v>
      </c>
      <c r="C7" s="15" t="inlineStr">
        <is>
          <t>Faculty are present and classes conducted as per timetable</t>
        </is>
      </c>
      <c r="D7" s="15" t="inlineStr">
        <is>
          <t>Class conduct register / CCTV log</t>
        </is>
      </c>
      <c r="E7" s="16" t="inlineStr"/>
      <c r="F7" s="16" t="inlineStr"/>
      <c r="G7" s="15" t="inlineStr"/>
      <c r="H7" s="15" t="inlineStr"/>
    </row>
    <row r="8" ht="26" customHeight="1">
      <c r="B8" s="8" t="n">
        <v>2</v>
      </c>
      <c r="C8" s="9" t="inlineStr">
        <is>
          <t>Lecture notes / slides shared with students before/after class</t>
        </is>
      </c>
      <c r="D8" s="9" t="inlineStr">
        <is>
          <t>Course file, LMS upload dates</t>
        </is>
      </c>
      <c r="E8" s="10" t="inlineStr"/>
      <c r="F8" s="10" t="inlineStr"/>
      <c r="G8" s="9" t="inlineStr"/>
      <c r="H8" s="9" t="inlineStr"/>
    </row>
    <row r="9" ht="26" customHeight="1">
      <c r="B9" s="14" t="n">
        <v>3</v>
      </c>
      <c r="C9" s="15" t="inlineStr">
        <is>
          <t>Chalk &amp; talk / lecture method complemented with ICT</t>
        </is>
      </c>
      <c r="D9" s="15" t="inlineStr">
        <is>
          <t>Observation reports, photos</t>
        </is>
      </c>
      <c r="E9" s="16" t="inlineStr"/>
      <c r="F9" s="16" t="inlineStr"/>
      <c r="G9" s="15" t="inlineStr"/>
      <c r="H9" s="15" t="inlineStr"/>
    </row>
    <row r="10" ht="26" customHeight="1">
      <c r="B10" s="8" t="n">
        <v>4</v>
      </c>
      <c r="C10" s="9" t="inlineStr">
        <is>
          <t>Active learning strategies used (PBL, flipped, case study)</t>
        </is>
      </c>
      <c r="D10" s="9" t="inlineStr">
        <is>
          <t>Lesson plans, reflective logs</t>
        </is>
      </c>
      <c r="E10" s="10" t="inlineStr"/>
      <c r="F10" s="10" t="inlineStr"/>
      <c r="G10" s="9" t="inlineStr"/>
      <c r="H10" s="9" t="inlineStr"/>
    </row>
    <row r="11" ht="26" customHeight="1">
      <c r="B11" s="14" t="n">
        <v>5</v>
      </c>
      <c r="C11" s="15" t="inlineStr">
        <is>
          <t>Industrial visit / field trip integrated in courses</t>
        </is>
      </c>
      <c r="D11" s="15" t="inlineStr">
        <is>
          <t>Visit report, attendance</t>
        </is>
      </c>
      <c r="E11" s="16" t="inlineStr"/>
      <c r="F11" s="16" t="inlineStr"/>
      <c r="G11" s="15" t="inlineStr"/>
      <c r="H11" s="15" t="inlineStr"/>
    </row>
    <row r="12" ht="26" customHeight="1">
      <c r="B12" s="8" t="n">
        <v>6</v>
      </c>
      <c r="C12" s="9" t="inlineStr">
        <is>
          <t>Student seminars / presentations conducted</t>
        </is>
      </c>
      <c r="D12" s="9" t="inlineStr">
        <is>
          <t>Presentation schedule</t>
        </is>
      </c>
      <c r="E12" s="10" t="inlineStr"/>
      <c r="F12" s="10" t="inlineStr"/>
      <c r="G12" s="9" t="inlineStr"/>
      <c r="H12" s="9" t="inlineStr"/>
    </row>
    <row r="13" ht="26" customHeight="1">
      <c r="B13" s="14" t="n">
        <v>7</v>
      </c>
      <c r="C13" s="15" t="inlineStr">
        <is>
          <t>Assignments linked to COs and industry scenarios</t>
        </is>
      </c>
      <c r="D13" s="15" t="inlineStr">
        <is>
          <t>Assignment register</t>
        </is>
      </c>
      <c r="E13" s="16" t="inlineStr"/>
      <c r="F13" s="16" t="inlineStr"/>
      <c r="G13" s="15" t="inlineStr"/>
      <c r="H13" s="15" t="inlineStr"/>
    </row>
    <row r="14" ht="26" customHeight="1">
      <c r="B14" s="8" t="n">
        <v>8</v>
      </c>
      <c r="C14" s="9" t="inlineStr">
        <is>
          <t>Minimum class contact hours met (≥90% scheduled)</t>
        </is>
      </c>
      <c r="D14" s="9" t="inlineStr">
        <is>
          <t>Timetable vs. actual report</t>
        </is>
      </c>
      <c r="E14" s="10" t="inlineStr"/>
      <c r="F14" s="10" t="inlineStr"/>
      <c r="G14" s="9" t="inlineStr"/>
      <c r="H14" s="9" t="inlineStr"/>
    </row>
    <row r="15" ht="26" customHeight="1"/>
    <row r="16" ht="24" customHeight="1">
      <c r="B16" s="19" t="inlineStr">
        <is>
          <t>ICT-ENABLED LEARNING</t>
        </is>
      </c>
    </row>
    <row r="17" ht="26" customHeight="1">
      <c r="B17" s="13" t="inlineStr">
        <is>
          <t>Sl.</t>
        </is>
      </c>
      <c r="C17" s="13" t="inlineStr">
        <is>
          <t>Audit Parameter / Criterion</t>
        </is>
      </c>
      <c r="D17" s="13" t="inlineStr">
        <is>
          <t>Documentary Evidence Required</t>
        </is>
      </c>
      <c r="E17" s="13" t="inlineStr">
        <is>
          <t>Rating
(1–5)</t>
        </is>
      </c>
      <c r="F17" s="13" t="inlineStr">
        <is>
          <t>Compliance
Status</t>
        </is>
      </c>
      <c r="G17" s="13" t="inlineStr">
        <is>
          <t>Observations</t>
        </is>
      </c>
      <c r="H17" s="13" t="inlineStr">
        <is>
          <t>Action Required</t>
        </is>
      </c>
    </row>
    <row r="18" ht="26" customHeight="1">
      <c r="B18" s="14" t="n">
        <v>1</v>
      </c>
      <c r="C18" s="15" t="inlineStr">
        <is>
          <t>Course materials uploaded to LMS</t>
        </is>
      </c>
      <c r="D18" s="15" t="inlineStr">
        <is>
          <t>LMS admin report</t>
        </is>
      </c>
      <c r="E18" s="16" t="inlineStr"/>
      <c r="F18" s="16" t="inlineStr"/>
      <c r="G18" s="15" t="inlineStr"/>
      <c r="H18" s="15" t="inlineStr"/>
    </row>
    <row r="19" ht="26" customHeight="1">
      <c r="B19" s="8" t="n">
        <v>2</v>
      </c>
      <c r="C19" s="9" t="inlineStr">
        <is>
          <t>Videos / recorded lectures available</t>
        </is>
      </c>
      <c r="D19" s="9" t="inlineStr">
        <is>
          <t>LMS content list</t>
        </is>
      </c>
      <c r="E19" s="10" t="inlineStr"/>
      <c r="F19" s="10" t="inlineStr"/>
      <c r="G19" s="9" t="inlineStr"/>
      <c r="H19" s="9" t="inlineStr"/>
    </row>
    <row r="20" ht="26" customHeight="1">
      <c r="B20" s="14" t="n">
        <v>3</v>
      </c>
      <c r="C20" s="15" t="inlineStr">
        <is>
          <t>Online quizzes / assessments used</t>
        </is>
      </c>
      <c r="D20" s="15" t="inlineStr">
        <is>
          <t>LMS quiz report</t>
        </is>
      </c>
      <c r="E20" s="16" t="inlineStr"/>
      <c r="F20" s="16" t="inlineStr"/>
      <c r="G20" s="15" t="inlineStr"/>
      <c r="H20" s="15" t="inlineStr"/>
    </row>
    <row r="21" ht="26" customHeight="1">
      <c r="B21" s="8" t="n">
        <v>4</v>
      </c>
      <c r="C21" s="9" t="inlineStr">
        <is>
          <t>MOOC / NPTEL courses integrated in curriculum</t>
        </is>
      </c>
      <c r="D21" s="9" t="inlineStr">
        <is>
          <t>SWAYAM enrolment records</t>
        </is>
      </c>
      <c r="E21" s="10" t="inlineStr"/>
      <c r="F21" s="10" t="inlineStr"/>
      <c r="G21" s="9" t="inlineStr"/>
      <c r="H21" s="9" t="inlineStr"/>
    </row>
    <row r="22" ht="26" customHeight="1">
      <c r="B22" s="14" t="n">
        <v>5</v>
      </c>
      <c r="C22" s="15" t="inlineStr">
        <is>
          <t>Virtual labs / simulation tools used</t>
        </is>
      </c>
      <c r="D22" s="15" t="inlineStr">
        <is>
          <t>Usage logs</t>
        </is>
      </c>
      <c r="E22" s="16" t="inlineStr"/>
      <c r="F22" s="16" t="inlineStr"/>
      <c r="G22" s="15" t="inlineStr"/>
      <c r="H22" s="15" t="inlineStr"/>
    </row>
    <row r="23" ht="26" customHeight="1">
      <c r="B23" s="8" t="n">
        <v>6</v>
      </c>
      <c r="C23" s="9" t="inlineStr">
        <is>
          <t>Student LMS usage data monitored</t>
        </is>
      </c>
      <c r="D23" s="9" t="inlineStr">
        <is>
          <t>LMS analytics</t>
        </is>
      </c>
      <c r="E23" s="10" t="inlineStr"/>
      <c r="F23" s="10" t="inlineStr"/>
      <c r="G23" s="9" t="inlineStr"/>
      <c r="H23" s="9" t="inlineStr"/>
    </row>
    <row r="24" ht="26" customHeight="1"/>
    <row r="25" ht="24" customHeight="1">
      <c r="B25" s="19" t="inlineStr">
        <is>
          <t>SLOW LEARNER &amp; ADVANCED LEARNER SUPPORT</t>
        </is>
      </c>
    </row>
    <row r="26" ht="26" customHeight="1">
      <c r="B26" s="13" t="inlineStr">
        <is>
          <t>Sl.</t>
        </is>
      </c>
      <c r="C26" s="13" t="inlineStr">
        <is>
          <t>Audit Parameter / Criterion</t>
        </is>
      </c>
      <c r="D26" s="13" t="inlineStr">
        <is>
          <t>Documentary Evidence Required</t>
        </is>
      </c>
      <c r="E26" s="13" t="inlineStr">
        <is>
          <t>Rating
(1–5)</t>
        </is>
      </c>
      <c r="F26" s="13" t="inlineStr">
        <is>
          <t>Compliance
Status</t>
        </is>
      </c>
      <c r="G26" s="13" t="inlineStr">
        <is>
          <t>Observations</t>
        </is>
      </c>
      <c r="H26" s="13" t="inlineStr">
        <is>
          <t>Action Required</t>
        </is>
      </c>
    </row>
    <row r="27" ht="26" customHeight="1">
      <c r="B27" s="14" t="n">
        <v>1</v>
      </c>
      <c r="C27" s="15" t="inlineStr">
        <is>
          <t>Slow learners identified each semester</t>
        </is>
      </c>
      <c r="D27" s="15" t="inlineStr">
        <is>
          <t>Marks analysis, mentor reports</t>
        </is>
      </c>
      <c r="E27" s="16" t="inlineStr"/>
      <c r="F27" s="16" t="inlineStr"/>
      <c r="G27" s="15" t="inlineStr"/>
      <c r="H27" s="15" t="inlineStr"/>
    </row>
    <row r="28" ht="26" customHeight="1">
      <c r="B28" s="8" t="n">
        <v>2</v>
      </c>
      <c r="C28" s="9" t="inlineStr">
        <is>
          <t>Remedial / bridge classes conducted for slow learners</t>
        </is>
      </c>
      <c r="D28" s="9" t="inlineStr">
        <is>
          <t>Remedial class register</t>
        </is>
      </c>
      <c r="E28" s="10" t="inlineStr"/>
      <c r="F28" s="10" t="inlineStr"/>
      <c r="G28" s="9" t="inlineStr"/>
      <c r="H28" s="9" t="inlineStr"/>
    </row>
    <row r="29" ht="26" customHeight="1">
      <c r="B29" s="14" t="n">
        <v>3</v>
      </c>
      <c r="C29" s="15" t="inlineStr">
        <is>
          <t>Additional assignments / tutorials for slow learners</t>
        </is>
      </c>
      <c r="D29" s="15" t="inlineStr">
        <is>
          <t>Extra assignment records</t>
        </is>
      </c>
      <c r="E29" s="16" t="inlineStr"/>
      <c r="F29" s="16" t="inlineStr"/>
      <c r="G29" s="15" t="inlineStr"/>
      <c r="H29" s="15" t="inlineStr"/>
    </row>
    <row r="30" ht="26" customHeight="1">
      <c r="B30" s="8" t="n">
        <v>4</v>
      </c>
      <c r="C30" s="9" t="inlineStr">
        <is>
          <t>Advanced learners identified and challenged</t>
        </is>
      </c>
      <c r="D30" s="9" t="inlineStr">
        <is>
          <t>Honours / add-on records</t>
        </is>
      </c>
      <c r="E30" s="10" t="inlineStr"/>
      <c r="F30" s="10" t="inlineStr"/>
      <c r="G30" s="9" t="inlineStr"/>
      <c r="H30" s="9" t="inlineStr"/>
    </row>
    <row r="31" ht="26" customHeight="1">
      <c r="B31" s="14" t="n">
        <v>5</v>
      </c>
      <c r="C31" s="15" t="inlineStr">
        <is>
          <t>Add-on / certificate courses offered</t>
        </is>
      </c>
      <c r="D31" s="15" t="inlineStr">
        <is>
          <t>Add-on course register</t>
        </is>
      </c>
      <c r="E31" s="16" t="inlineStr"/>
      <c r="F31" s="16" t="inlineStr"/>
      <c r="G31" s="15" t="inlineStr"/>
      <c r="H31" s="15" t="inlineStr"/>
    </row>
    <row r="32" ht="26" customHeight="1">
      <c r="B32" s="8" t="n">
        <v>6</v>
      </c>
      <c r="C32" s="9" t="inlineStr">
        <is>
          <t>Student mentoring linked to academic performance</t>
        </is>
      </c>
      <c r="D32" s="9" t="inlineStr">
        <is>
          <t>Mentoring session logs</t>
        </is>
      </c>
      <c r="E32" s="10" t="inlineStr"/>
      <c r="F32" s="10" t="inlineStr"/>
      <c r="G32" s="9" t="inlineStr"/>
      <c r="H32" s="9" t="inlineStr"/>
    </row>
    <row r="33" ht="26" customHeight="1"/>
    <row r="34" ht="24" customHeight="1">
      <c r="B34" s="19" t="inlineStr">
        <is>
          <t>STUDENT ENGAGEMENT &amp; FEEDBACK</t>
        </is>
      </c>
    </row>
    <row r="35" ht="26" customHeight="1">
      <c r="B35" s="13" t="inlineStr">
        <is>
          <t>Sl.</t>
        </is>
      </c>
      <c r="C35" s="13" t="inlineStr">
        <is>
          <t>Audit Parameter / Criterion</t>
        </is>
      </c>
      <c r="D35" s="13" t="inlineStr">
        <is>
          <t>Documentary Evidence Required</t>
        </is>
      </c>
      <c r="E35" s="13" t="inlineStr">
        <is>
          <t>Rating
(1–5)</t>
        </is>
      </c>
      <c r="F35" s="13" t="inlineStr">
        <is>
          <t>Compliance
Status</t>
        </is>
      </c>
      <c r="G35" s="13" t="inlineStr">
        <is>
          <t>Observations</t>
        </is>
      </c>
      <c r="H35" s="13" t="inlineStr">
        <is>
          <t>Action Required</t>
        </is>
      </c>
    </row>
    <row r="36" ht="26" customHeight="1">
      <c r="B36" s="14" t="n">
        <v>1</v>
      </c>
      <c r="C36" s="15" t="inlineStr">
        <is>
          <t>Student feedback on faculty collected each semester</t>
        </is>
      </c>
      <c r="D36" s="15" t="inlineStr">
        <is>
          <t>Feedback register, analysis</t>
        </is>
      </c>
      <c r="E36" s="16" t="inlineStr"/>
      <c r="F36" s="16" t="inlineStr"/>
      <c r="G36" s="15" t="inlineStr"/>
      <c r="H36" s="15" t="inlineStr"/>
    </row>
    <row r="37" ht="26" customHeight="1">
      <c r="B37" s="8" t="n">
        <v>2</v>
      </c>
      <c r="C37" s="9" t="inlineStr">
        <is>
          <t>Feedback results shared with faculty and HoD</t>
        </is>
      </c>
      <c r="D37" s="9" t="inlineStr">
        <is>
          <t>Feedback dissemination record</t>
        </is>
      </c>
      <c r="E37" s="10" t="inlineStr"/>
      <c r="F37" s="10" t="inlineStr"/>
      <c r="G37" s="9" t="inlineStr"/>
      <c r="H37" s="9" t="inlineStr"/>
    </row>
    <row r="38" ht="26" customHeight="1">
      <c r="B38" s="14" t="n">
        <v>3</v>
      </c>
      <c r="C38" s="15" t="inlineStr">
        <is>
          <t>Corrective action taken based on negative feedback</t>
        </is>
      </c>
      <c r="D38" s="15" t="inlineStr">
        <is>
          <t>Action taken on feedback</t>
        </is>
      </c>
      <c r="E38" s="16" t="inlineStr"/>
      <c r="F38" s="16" t="inlineStr"/>
      <c r="G38" s="15" t="inlineStr"/>
      <c r="H38" s="15" t="inlineStr"/>
    </row>
    <row r="39" ht="26" customHeight="1">
      <c r="B39" s="8" t="n">
        <v>4</v>
      </c>
      <c r="C39" s="9" t="inlineStr">
        <is>
          <t>Exit survey / alumni feedback on curriculum used</t>
        </is>
      </c>
      <c r="D39" s="9" t="inlineStr">
        <is>
          <t>Exit survey data</t>
        </is>
      </c>
      <c r="E39" s="10" t="inlineStr"/>
      <c r="F39" s="10" t="inlineStr"/>
      <c r="G39" s="9" t="inlineStr"/>
      <c r="H39" s="9" t="inlineStr"/>
    </row>
    <row r="40" ht="26" customHeight="1">
      <c r="B40" s="14" t="n">
        <v>5</v>
      </c>
      <c r="C40" s="15" t="inlineStr">
        <is>
          <t>Student satisfaction score tracked</t>
        </is>
      </c>
      <c r="D40" s="15" t="inlineStr">
        <is>
          <t>SSS report</t>
        </is>
      </c>
      <c r="E40" s="16" t="inlineStr"/>
      <c r="F40" s="16" t="inlineStr"/>
      <c r="G40" s="15" t="inlineStr"/>
      <c r="H40" s="15" t="inlineStr"/>
    </row>
    <row r="41" ht="26" customHeight="1">
      <c r="B41" s="8" t="n">
        <v>6</v>
      </c>
      <c r="C41" s="9" t="inlineStr">
        <is>
          <t>Curricular and co-curricular participation tracked</t>
        </is>
      </c>
      <c r="D41" s="9" t="inlineStr">
        <is>
          <t>Participation register</t>
        </is>
      </c>
      <c r="E41" s="10" t="inlineStr"/>
      <c r="F41" s="10" t="inlineStr"/>
      <c r="G41" s="9" t="inlineStr"/>
      <c r="H41" s="9" t="inlineStr"/>
    </row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  <row r="60" ht="26" customHeight="1"/>
    <row r="61" ht="26" customHeight="1"/>
    <row r="62" ht="26" customHeight="1"/>
    <row r="63" ht="26" customHeight="1"/>
    <row r="64" ht="26" customHeight="1"/>
    <row r="65" ht="26" customHeight="1"/>
    <row r="66" ht="26" customHeight="1"/>
    <row r="67" ht="26" customHeight="1"/>
    <row r="68" ht="26" customHeight="1"/>
    <row r="69" ht="26" customHeight="1"/>
    <row r="70" ht="26" customHeight="1"/>
    <row r="71" ht="26" customHeight="1"/>
    <row r="72" ht="26" customHeight="1"/>
    <row r="73" ht="26" customHeight="1"/>
    <row r="74" ht="26" customHeight="1"/>
    <row r="75" ht="26" customHeight="1"/>
    <row r="76" ht="26" customHeight="1"/>
    <row r="77" ht="26" customHeight="1"/>
    <row r="78" ht="26" customHeight="1"/>
    <row r="79" ht="26" customHeight="1"/>
  </sheetData>
  <mergeCells count="6">
    <mergeCell ref="B16:H16"/>
    <mergeCell ref="B2:H2"/>
    <mergeCell ref="B25:H25"/>
    <mergeCell ref="B3:H3"/>
    <mergeCell ref="B5:H5"/>
    <mergeCell ref="B34:H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AAA-08: ACADEMIC AUDIT CHECKLIST — ASSESSMENT &amp; EXAMINATION</t>
        </is>
      </c>
    </row>
    <row r="3" ht="25" customHeight="1">
      <c r="B3" s="2" t="inlineStr">
        <is>
          <t>Department: ___________________  Semester: _______  Auditor: ___________________  Date: _______</t>
        </is>
      </c>
    </row>
    <row r="4" ht="25" customHeight="1"/>
    <row r="5" ht="24" customHeight="1">
      <c r="B5" s="19" t="inlineStr">
        <is>
          <t>CONTINUOUS INTERNAL EVALUATION (CIE)</t>
        </is>
      </c>
    </row>
    <row r="6" ht="26" customHeight="1">
      <c r="B6" s="13" t="inlineStr">
        <is>
          <t>Sl.</t>
        </is>
      </c>
      <c r="C6" s="13" t="inlineStr">
        <is>
          <t>Audit Parameter / Criterion</t>
        </is>
      </c>
      <c r="D6" s="13" t="inlineStr">
        <is>
          <t>Documentary Evidence Required</t>
        </is>
      </c>
      <c r="E6" s="13" t="inlineStr">
        <is>
          <t>Rating
(1–5)</t>
        </is>
      </c>
      <c r="F6" s="13" t="inlineStr">
        <is>
          <t>Compliance
Status</t>
        </is>
      </c>
      <c r="G6" s="13" t="inlineStr">
        <is>
          <t>Observations</t>
        </is>
      </c>
      <c r="H6" s="13" t="inlineStr">
        <is>
          <t>Action Required</t>
        </is>
      </c>
    </row>
    <row r="7" ht="26" customHeight="1">
      <c r="B7" s="14" t="n">
        <v>1</v>
      </c>
      <c r="C7" s="15" t="inlineStr">
        <is>
          <t>CIE schedule published and adhered to</t>
        </is>
      </c>
      <c r="D7" s="15" t="inlineStr">
        <is>
          <t>CIE schedule, class records</t>
        </is>
      </c>
      <c r="E7" s="16" t="inlineStr"/>
      <c r="F7" s="16" t="inlineStr"/>
      <c r="G7" s="15" t="inlineStr"/>
      <c r="H7" s="15" t="inlineStr"/>
    </row>
    <row r="8" ht="26" customHeight="1">
      <c r="B8" s="8" t="n">
        <v>2</v>
      </c>
      <c r="C8" s="9" t="inlineStr">
        <is>
          <t>CIE marks uploaded in ERP / portal within 5 days</t>
        </is>
      </c>
      <c r="D8" s="9" t="inlineStr">
        <is>
          <t>ERP records</t>
        </is>
      </c>
      <c r="E8" s="10" t="inlineStr"/>
      <c r="F8" s="10" t="inlineStr"/>
      <c r="G8" s="9" t="inlineStr"/>
      <c r="H8" s="9" t="inlineStr"/>
    </row>
    <row r="9" ht="26" customHeight="1">
      <c r="B9" s="14" t="n">
        <v>3</v>
      </c>
      <c r="C9" s="15" t="inlineStr">
        <is>
          <t>Question papers mapped to Blooms' Taxonomy levels</t>
        </is>
      </c>
      <c r="D9" s="15" t="inlineStr">
        <is>
          <t>QP with BT level marks</t>
        </is>
      </c>
      <c r="E9" s="16" t="inlineStr"/>
      <c r="F9" s="16" t="inlineStr"/>
      <c r="G9" s="15" t="inlineStr"/>
      <c r="H9" s="15" t="inlineStr"/>
    </row>
    <row r="10" ht="26" customHeight="1">
      <c r="B10" s="8" t="n">
        <v>4</v>
      </c>
      <c r="C10" s="9" t="inlineStr">
        <is>
          <t>CO-wise question paper mapping available</t>
        </is>
      </c>
      <c r="D10" s="9" t="inlineStr">
        <is>
          <t>QP with CO tagging</t>
        </is>
      </c>
      <c r="E10" s="10" t="inlineStr"/>
      <c r="F10" s="10" t="inlineStr"/>
      <c r="G10" s="9" t="inlineStr"/>
      <c r="H10" s="9" t="inlineStr"/>
    </row>
    <row r="11" ht="26" customHeight="1">
      <c r="B11" s="14" t="n">
        <v>5</v>
      </c>
      <c r="C11" s="15" t="inlineStr">
        <is>
          <t>Answer scripts evaluated within stipulated time</t>
        </is>
      </c>
      <c r="D11" s="15" t="inlineStr">
        <is>
          <t>Evaluation register</t>
        </is>
      </c>
      <c r="E11" s="16" t="inlineStr"/>
      <c r="F11" s="16" t="inlineStr"/>
      <c r="G11" s="15" t="inlineStr"/>
      <c r="H11" s="15" t="inlineStr"/>
    </row>
    <row r="12" ht="26" customHeight="1">
      <c r="B12" s="8" t="n">
        <v>6</v>
      </c>
      <c r="C12" s="9" t="inlineStr">
        <is>
          <t>Answer scripts returned to students with feedback</t>
        </is>
      </c>
      <c r="D12" s="9" t="inlineStr">
        <is>
          <t>Student acknowledgement</t>
        </is>
      </c>
      <c r="E12" s="10" t="inlineStr"/>
      <c r="F12" s="10" t="inlineStr"/>
      <c r="G12" s="9" t="inlineStr"/>
      <c r="H12" s="9" t="inlineStr"/>
    </row>
    <row r="13" ht="26" customHeight="1">
      <c r="B13" s="14" t="n">
        <v>7</v>
      </c>
      <c r="C13" s="15" t="inlineStr">
        <is>
          <t>Make-up / re-test policy defined and implemented</t>
        </is>
      </c>
      <c r="D13" s="15" t="inlineStr">
        <is>
          <t>Policy document, re-test records</t>
        </is>
      </c>
      <c r="E13" s="16" t="inlineStr"/>
      <c r="F13" s="16" t="inlineStr"/>
      <c r="G13" s="15" t="inlineStr"/>
      <c r="H13" s="15" t="inlineStr"/>
    </row>
    <row r="14" ht="26" customHeight="1">
      <c r="B14" s="8" t="n">
        <v>8</v>
      </c>
      <c r="C14" s="9" t="inlineStr">
        <is>
          <t>CIE marks verified by second evaluator (20% sample)</t>
        </is>
      </c>
      <c r="D14" s="9" t="inlineStr">
        <is>
          <t>Cross-checking register</t>
        </is>
      </c>
      <c r="E14" s="10" t="inlineStr"/>
      <c r="F14" s="10" t="inlineStr"/>
      <c r="G14" s="9" t="inlineStr"/>
      <c r="H14" s="9" t="inlineStr"/>
    </row>
    <row r="15" ht="26" customHeight="1"/>
    <row r="16" ht="24" customHeight="1">
      <c r="B16" s="19" t="inlineStr">
        <is>
          <t>SEMESTER END EXAMINATION (SEE)</t>
        </is>
      </c>
    </row>
    <row r="17" ht="26" customHeight="1">
      <c r="B17" s="13" t="inlineStr">
        <is>
          <t>Sl.</t>
        </is>
      </c>
      <c r="C17" s="13" t="inlineStr">
        <is>
          <t>Audit Parameter / Criterion</t>
        </is>
      </c>
      <c r="D17" s="13" t="inlineStr">
        <is>
          <t>Documentary Evidence Required</t>
        </is>
      </c>
      <c r="E17" s="13" t="inlineStr">
        <is>
          <t>Rating
(1–5)</t>
        </is>
      </c>
      <c r="F17" s="13" t="inlineStr">
        <is>
          <t>Compliance
Status</t>
        </is>
      </c>
      <c r="G17" s="13" t="inlineStr">
        <is>
          <t>Observations</t>
        </is>
      </c>
      <c r="H17" s="13" t="inlineStr">
        <is>
          <t>Action Required</t>
        </is>
      </c>
    </row>
    <row r="18" ht="26" customHeight="1">
      <c r="B18" s="14" t="n">
        <v>1</v>
      </c>
      <c r="C18" s="15" t="inlineStr">
        <is>
          <t>SEE schedule published well in advance</t>
        </is>
      </c>
      <c r="D18" s="15" t="inlineStr">
        <is>
          <t>Exam notification</t>
        </is>
      </c>
      <c r="E18" s="16" t="inlineStr"/>
      <c r="F18" s="16" t="inlineStr"/>
      <c r="G18" s="15" t="inlineStr"/>
      <c r="H18" s="15" t="inlineStr"/>
    </row>
    <row r="19" ht="26" customHeight="1">
      <c r="B19" s="8" t="n">
        <v>2</v>
      </c>
      <c r="C19" s="9" t="inlineStr">
        <is>
          <t>Hall tickets / admit cards issued without irregularities</t>
        </is>
      </c>
      <c r="D19" s="9" t="inlineStr">
        <is>
          <t>Hall ticket records</t>
        </is>
      </c>
      <c r="E19" s="10" t="inlineStr"/>
      <c r="F19" s="10" t="inlineStr"/>
      <c r="G19" s="9" t="inlineStr"/>
      <c r="H19" s="9" t="inlineStr"/>
    </row>
    <row r="20" ht="26" customHeight="1">
      <c r="B20" s="14" t="n">
        <v>3</v>
      </c>
      <c r="C20" s="15" t="inlineStr">
        <is>
          <t>Invigilation duty chart prepared and followed</t>
        </is>
      </c>
      <c r="D20" s="15" t="inlineStr">
        <is>
          <t>Invigilation duty chart</t>
        </is>
      </c>
      <c r="E20" s="16" t="inlineStr"/>
      <c r="F20" s="16" t="inlineStr"/>
      <c r="G20" s="15" t="inlineStr"/>
      <c r="H20" s="15" t="inlineStr"/>
    </row>
    <row r="21" ht="26" customHeight="1">
      <c r="B21" s="8" t="n">
        <v>4</v>
      </c>
      <c r="C21" s="9" t="inlineStr">
        <is>
          <t>Answer scripts evaluated within 10 working days</t>
        </is>
      </c>
      <c r="D21" s="9" t="inlineStr">
        <is>
          <t>Results declaration record</t>
        </is>
      </c>
      <c r="E21" s="10" t="inlineStr"/>
      <c r="F21" s="10" t="inlineStr"/>
      <c r="G21" s="9" t="inlineStr"/>
      <c r="H21" s="9" t="inlineStr"/>
    </row>
    <row r="22" ht="26" customHeight="1">
      <c r="B22" s="14" t="n">
        <v>5</v>
      </c>
      <c r="C22" s="15" t="inlineStr">
        <is>
          <t>Results moderated and approved by university</t>
        </is>
      </c>
      <c r="D22" s="15" t="inlineStr">
        <is>
          <t>Moderation meeting minutes</t>
        </is>
      </c>
      <c r="E22" s="16" t="inlineStr"/>
      <c r="F22" s="16" t="inlineStr"/>
      <c r="G22" s="15" t="inlineStr"/>
      <c r="H22" s="15" t="inlineStr"/>
    </row>
    <row r="23" ht="26" customHeight="1">
      <c r="B23" s="8" t="n">
        <v>6</v>
      </c>
      <c r="C23" s="9" t="inlineStr">
        <is>
          <t>Students with results anomalies handled per policy</t>
        </is>
      </c>
      <c r="D23" s="9" t="inlineStr">
        <is>
          <t>Re-evaluation register</t>
        </is>
      </c>
      <c r="E23" s="10" t="inlineStr"/>
      <c r="F23" s="10" t="inlineStr"/>
      <c r="G23" s="9" t="inlineStr"/>
      <c r="H23" s="9" t="inlineStr"/>
    </row>
    <row r="24" ht="26" customHeight="1">
      <c r="B24" s="14" t="n">
        <v>7</v>
      </c>
      <c r="C24" s="15" t="inlineStr">
        <is>
          <t>Malpractice cases handled per university norms</t>
        </is>
      </c>
      <c r="D24" s="15" t="inlineStr">
        <is>
          <t>Malpractice register</t>
        </is>
      </c>
      <c r="E24" s="16" t="inlineStr"/>
      <c r="F24" s="16" t="inlineStr"/>
      <c r="G24" s="15" t="inlineStr"/>
      <c r="H24" s="15" t="inlineStr"/>
    </row>
    <row r="25" ht="26" customHeight="1"/>
    <row r="26" ht="24" customHeight="1">
      <c r="B26" s="19" t="inlineStr">
        <is>
          <t>RESULTS ANALYSIS &amp; CO ATTAINMENT</t>
        </is>
      </c>
    </row>
    <row r="27" ht="26" customHeight="1">
      <c r="B27" s="13" t="inlineStr">
        <is>
          <t>Sl.</t>
        </is>
      </c>
      <c r="C27" s="13" t="inlineStr">
        <is>
          <t>Audit Parameter / Criterion</t>
        </is>
      </c>
      <c r="D27" s="13" t="inlineStr">
        <is>
          <t>Documentary Evidence Required</t>
        </is>
      </c>
      <c r="E27" s="13" t="inlineStr">
        <is>
          <t>Rating
(1–5)</t>
        </is>
      </c>
      <c r="F27" s="13" t="inlineStr">
        <is>
          <t>Compliance
Status</t>
        </is>
      </c>
      <c r="G27" s="13" t="inlineStr">
        <is>
          <t>Observations</t>
        </is>
      </c>
      <c r="H27" s="13" t="inlineStr">
        <is>
          <t>Action Required</t>
        </is>
      </c>
    </row>
    <row r="28" ht="26" customHeight="1">
      <c r="B28" s="14" t="n">
        <v>1</v>
      </c>
      <c r="C28" s="15" t="inlineStr">
        <is>
          <t>Result analysis (pass %, first class %, distinctions) done</t>
        </is>
      </c>
      <c r="D28" s="15" t="inlineStr">
        <is>
          <t>Result analysis report</t>
        </is>
      </c>
      <c r="E28" s="16" t="inlineStr"/>
      <c r="F28" s="16" t="inlineStr"/>
      <c r="G28" s="15" t="inlineStr"/>
      <c r="H28" s="15" t="inlineStr"/>
    </row>
    <row r="29" ht="26" customHeight="1">
      <c r="B29" s="8" t="n">
        <v>2</v>
      </c>
      <c r="C29" s="9" t="inlineStr">
        <is>
          <t>Year-on-year result comparison done</t>
        </is>
      </c>
      <c r="D29" s="9" t="inlineStr">
        <is>
          <t>Trend analysis</t>
        </is>
      </c>
      <c r="E29" s="10" t="inlineStr"/>
      <c r="F29" s="10" t="inlineStr"/>
      <c r="G29" s="9" t="inlineStr"/>
      <c r="H29" s="9" t="inlineStr"/>
    </row>
    <row r="30" ht="26" customHeight="1">
      <c r="B30" s="14" t="n">
        <v>3</v>
      </c>
      <c r="C30" s="15" t="inlineStr">
        <is>
          <t>CO attainment computed from CIE + SEE combined</t>
        </is>
      </c>
      <c r="D30" s="15" t="inlineStr">
        <is>
          <t>CO attainment sheets</t>
        </is>
      </c>
      <c r="E30" s="16" t="inlineStr"/>
      <c r="F30" s="16" t="inlineStr"/>
      <c r="G30" s="15" t="inlineStr"/>
      <c r="H30" s="15" t="inlineStr"/>
    </row>
    <row r="31" ht="26" customHeight="1">
      <c r="B31" s="8" t="n">
        <v>4</v>
      </c>
      <c r="C31" s="9" t="inlineStr">
        <is>
          <t>Courses with CO attainment &lt; target identified</t>
        </is>
      </c>
      <c r="D31" s="9" t="inlineStr">
        <is>
          <t>Gap analysis</t>
        </is>
      </c>
      <c r="E31" s="10" t="inlineStr"/>
      <c r="F31" s="10" t="inlineStr"/>
      <c r="G31" s="9" t="inlineStr"/>
      <c r="H31" s="9" t="inlineStr"/>
    </row>
    <row r="32" ht="26" customHeight="1">
      <c r="B32" s="14" t="n">
        <v>5</v>
      </c>
      <c r="C32" s="15" t="inlineStr">
        <is>
          <t>Corrective actions taken for low-attainment courses</t>
        </is>
      </c>
      <c r="D32" s="15" t="inlineStr">
        <is>
          <t>Remedial plan</t>
        </is>
      </c>
      <c r="E32" s="16" t="inlineStr"/>
      <c r="F32" s="16" t="inlineStr"/>
      <c r="G32" s="15" t="inlineStr"/>
      <c r="H32" s="15" t="inlineStr"/>
    </row>
    <row r="33" ht="26" customHeight="1">
      <c r="B33" s="8" t="n">
        <v>6</v>
      </c>
      <c r="C33" s="9" t="inlineStr">
        <is>
          <t>Department-level PO attainment assessed</t>
        </is>
      </c>
      <c r="D33" s="9" t="inlineStr">
        <is>
          <t>PO attainment report</t>
        </is>
      </c>
      <c r="E33" s="10" t="inlineStr"/>
      <c r="F33" s="10" t="inlineStr"/>
      <c r="G33" s="9" t="inlineStr"/>
      <c r="H33" s="9" t="inlineStr"/>
    </row>
    <row r="34" ht="26" customHeight="1"/>
    <row r="35" ht="24" customHeight="1">
      <c r="B35" s="19" t="inlineStr">
        <is>
          <t>QUESTION PAPER QUALITY</t>
        </is>
      </c>
    </row>
    <row r="36" ht="26" customHeight="1">
      <c r="B36" s="13" t="inlineStr">
        <is>
          <t>Sl.</t>
        </is>
      </c>
      <c r="C36" s="13" t="inlineStr">
        <is>
          <t>Audit Parameter / Criterion</t>
        </is>
      </c>
      <c r="D36" s="13" t="inlineStr">
        <is>
          <t>Documentary Evidence Required</t>
        </is>
      </c>
      <c r="E36" s="13" t="inlineStr">
        <is>
          <t>Rating
(1–5)</t>
        </is>
      </c>
      <c r="F36" s="13" t="inlineStr">
        <is>
          <t>Compliance
Status</t>
        </is>
      </c>
      <c r="G36" s="13" t="inlineStr">
        <is>
          <t>Observations</t>
        </is>
      </c>
      <c r="H36" s="13" t="inlineStr">
        <is>
          <t>Action Required</t>
        </is>
      </c>
    </row>
    <row r="37" ht="26" customHeight="1">
      <c r="B37" s="14" t="n">
        <v>1</v>
      </c>
      <c r="C37" s="15" t="inlineStr">
        <is>
          <t>Question paper bank maintained and updated</t>
        </is>
      </c>
      <c r="D37" s="15" t="inlineStr">
        <is>
          <t>QP bank</t>
        </is>
      </c>
      <c r="E37" s="16" t="inlineStr"/>
      <c r="F37" s="16" t="inlineStr"/>
      <c r="G37" s="15" t="inlineStr"/>
      <c r="H37" s="15" t="inlineStr"/>
    </row>
    <row r="38" ht="26" customHeight="1">
      <c r="B38" s="8" t="n">
        <v>2</v>
      </c>
      <c r="C38" s="9" t="inlineStr">
        <is>
          <t>Questions cover all units as per syllabus</t>
        </is>
      </c>
      <c r="D38" s="9" t="inlineStr">
        <is>
          <t>Coverage map</t>
        </is>
      </c>
      <c r="E38" s="10" t="inlineStr"/>
      <c r="F38" s="10" t="inlineStr"/>
      <c r="G38" s="9" t="inlineStr"/>
      <c r="H38" s="9" t="inlineStr"/>
    </row>
    <row r="39" ht="26" customHeight="1">
      <c r="B39" s="14" t="n">
        <v>3</v>
      </c>
      <c r="C39" s="15" t="inlineStr">
        <is>
          <t>Higher-order questions (HOTS) included (≥30%)</t>
        </is>
      </c>
      <c r="D39" s="15" t="inlineStr">
        <is>
          <t>BT level analysis</t>
        </is>
      </c>
      <c r="E39" s="16" t="inlineStr"/>
      <c r="F39" s="16" t="inlineStr"/>
      <c r="G39" s="15" t="inlineStr"/>
      <c r="H39" s="15" t="inlineStr"/>
    </row>
    <row r="40" ht="26" customHeight="1">
      <c r="B40" s="8" t="n">
        <v>4</v>
      </c>
      <c r="C40" s="9" t="inlineStr">
        <is>
          <t>Question paper reviewed by second faculty before use</t>
        </is>
      </c>
      <c r="D40" s="9" t="inlineStr">
        <is>
          <t>Review record</t>
        </is>
      </c>
      <c r="E40" s="10" t="inlineStr"/>
      <c r="F40" s="10" t="inlineStr"/>
      <c r="G40" s="9" t="inlineStr"/>
      <c r="H40" s="9" t="inlineStr"/>
    </row>
    <row r="41" ht="26" customHeight="1">
      <c r="B41" s="14" t="n">
        <v>5</v>
      </c>
      <c r="C41" s="15" t="inlineStr">
        <is>
          <t>Previous year papers available to students</t>
        </is>
      </c>
      <c r="D41" s="15" t="inlineStr">
        <is>
          <t>QP portal</t>
        </is>
      </c>
      <c r="E41" s="16" t="inlineStr"/>
      <c r="F41" s="16" t="inlineStr"/>
      <c r="G41" s="15" t="inlineStr"/>
      <c r="H41" s="15" t="inlineStr"/>
    </row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  <row r="60" ht="26" customHeight="1"/>
    <row r="61" ht="26" customHeight="1"/>
    <row r="62" ht="26" customHeight="1"/>
    <row r="63" ht="26" customHeight="1"/>
    <row r="64" ht="26" customHeight="1"/>
    <row r="65" ht="26" customHeight="1"/>
    <row r="66" ht="26" customHeight="1"/>
    <row r="67" ht="26" customHeight="1"/>
    <row r="68" ht="26" customHeight="1"/>
    <row r="69" ht="26" customHeight="1"/>
    <row r="70" ht="26" customHeight="1"/>
    <row r="71" ht="26" customHeight="1"/>
    <row r="72" ht="26" customHeight="1"/>
    <row r="73" ht="26" customHeight="1"/>
    <row r="74" ht="26" customHeight="1"/>
  </sheetData>
  <mergeCells count="6">
    <mergeCell ref="B26:H26"/>
    <mergeCell ref="B35:H35"/>
    <mergeCell ref="B16:H16"/>
    <mergeCell ref="B2:H2"/>
    <mergeCell ref="B3:H3"/>
    <mergeCell ref="B5:H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AAA-09: ACADEMIC AUDIT CHECKLIST — STUDENT PERFORMANCE &amp; OUTCOMES</t>
        </is>
      </c>
    </row>
    <row r="3" ht="25" customHeight="1">
      <c r="B3" s="2" t="inlineStr">
        <is>
          <t>Department: ___________________  Programme: ___________________  Auditor: ___________________  Date: _______</t>
        </is>
      </c>
    </row>
    <row r="4" ht="25" customHeight="1"/>
    <row r="5" ht="24" customHeight="1">
      <c r="B5" s="19" t="inlineStr">
        <is>
          <t>STUDENT PERFORMANCE METRICS</t>
        </is>
      </c>
    </row>
    <row r="6" ht="26" customHeight="1">
      <c r="B6" s="13" t="inlineStr">
        <is>
          <t>Sl.</t>
        </is>
      </c>
      <c r="C6" s="13" t="inlineStr">
        <is>
          <t>Audit Parameter / Criterion</t>
        </is>
      </c>
      <c r="D6" s="13" t="inlineStr">
        <is>
          <t>Documentary Evidence Required</t>
        </is>
      </c>
      <c r="E6" s="13" t="inlineStr">
        <is>
          <t>Rating
(1–5)</t>
        </is>
      </c>
      <c r="F6" s="13" t="inlineStr">
        <is>
          <t>Compliance
Status</t>
        </is>
      </c>
      <c r="G6" s="13" t="inlineStr">
        <is>
          <t>Observations</t>
        </is>
      </c>
      <c r="H6" s="13" t="inlineStr">
        <is>
          <t>Action Required</t>
        </is>
      </c>
    </row>
    <row r="7" ht="26" customHeight="1">
      <c r="B7" s="14" t="n">
        <v>1</v>
      </c>
      <c r="C7" s="15" t="inlineStr">
        <is>
          <t>Pass percentage maintained ≥ 75% overall</t>
        </is>
      </c>
      <c r="D7" s="15" t="inlineStr">
        <is>
          <t>Results register</t>
        </is>
      </c>
      <c r="E7" s="16" t="inlineStr"/>
      <c r="F7" s="16" t="inlineStr"/>
      <c r="G7" s="15" t="inlineStr"/>
      <c r="H7" s="15" t="inlineStr"/>
    </row>
    <row r="8" ht="26" customHeight="1">
      <c r="B8" s="8" t="n">
        <v>2</v>
      </c>
      <c r="C8" s="9" t="inlineStr">
        <is>
          <t>First class and above: ≥ 60% of appeared</t>
        </is>
      </c>
      <c r="D8" s="9" t="inlineStr">
        <is>
          <t>Results analysis</t>
        </is>
      </c>
      <c r="E8" s="10" t="inlineStr"/>
      <c r="F8" s="10" t="inlineStr"/>
      <c r="G8" s="9" t="inlineStr"/>
      <c r="H8" s="9" t="inlineStr"/>
    </row>
    <row r="9" ht="26" customHeight="1">
      <c r="B9" s="14" t="n">
        <v>3</v>
      </c>
      <c r="C9" s="15" t="inlineStr">
        <is>
          <t>Year-on-year improvement in average CGPA</t>
        </is>
      </c>
      <c r="D9" s="15" t="inlineStr">
        <is>
          <t>CGPA trend report</t>
        </is>
      </c>
      <c r="E9" s="16" t="inlineStr"/>
      <c r="F9" s="16" t="inlineStr"/>
      <c r="G9" s="15" t="inlineStr"/>
      <c r="H9" s="15" t="inlineStr"/>
    </row>
    <row r="10" ht="26" customHeight="1">
      <c r="B10" s="8" t="n">
        <v>4</v>
      </c>
      <c r="C10" s="9" t="inlineStr">
        <is>
          <t>Student dropout rate ≤ 5%</t>
        </is>
      </c>
      <c r="D10" s="9" t="inlineStr">
        <is>
          <t>Enrolment vs. completion data</t>
        </is>
      </c>
      <c r="E10" s="10" t="inlineStr"/>
      <c r="F10" s="10" t="inlineStr"/>
      <c r="G10" s="9" t="inlineStr"/>
      <c r="H10" s="9" t="inlineStr"/>
    </row>
    <row r="11" ht="26" customHeight="1">
      <c r="B11" s="14" t="n">
        <v>5</v>
      </c>
      <c r="C11" s="15" t="inlineStr">
        <is>
          <t>Students with backlogs monitored and supported</t>
        </is>
      </c>
      <c r="D11" s="15" t="inlineStr">
        <is>
          <t>Backlog register, mentor log</t>
        </is>
      </c>
      <c r="E11" s="16" t="inlineStr"/>
      <c r="F11" s="16" t="inlineStr"/>
      <c r="G11" s="15" t="inlineStr"/>
      <c r="H11" s="15" t="inlineStr"/>
    </row>
    <row r="12" ht="26" customHeight="1">
      <c r="B12" s="8" t="n">
        <v>6</v>
      </c>
      <c r="C12" s="9" t="inlineStr">
        <is>
          <t>Slow learner programme effectiveness measured</t>
        </is>
      </c>
      <c r="D12" s="9" t="inlineStr">
        <is>
          <t>Pre/post test records</t>
        </is>
      </c>
      <c r="E12" s="10" t="inlineStr"/>
      <c r="F12" s="10" t="inlineStr"/>
      <c r="G12" s="9" t="inlineStr"/>
      <c r="H12" s="9" t="inlineStr"/>
    </row>
    <row r="13" ht="26" customHeight="1">
      <c r="B13" s="14" t="n">
        <v>7</v>
      </c>
      <c r="C13" s="15" t="inlineStr">
        <is>
          <t>Advanced learner outcomes tracked</t>
        </is>
      </c>
      <c r="D13" s="15" t="inlineStr">
        <is>
          <t>Achievements log</t>
        </is>
      </c>
      <c r="E13" s="16" t="inlineStr"/>
      <c r="F13" s="16" t="inlineStr"/>
      <c r="G13" s="15" t="inlineStr"/>
      <c r="H13" s="15" t="inlineStr"/>
    </row>
    <row r="14" ht="26" customHeight="1">
      <c r="B14" s="8" t="n">
        <v>8</v>
      </c>
      <c r="C14" s="9" t="inlineStr">
        <is>
          <t>Academic calendar adhered to (≥ 90%)</t>
        </is>
      </c>
      <c r="D14" s="9" t="inlineStr">
        <is>
          <t>Calendar vs. actual</t>
        </is>
      </c>
      <c r="E14" s="10" t="inlineStr"/>
      <c r="F14" s="10" t="inlineStr"/>
      <c r="G14" s="9" t="inlineStr"/>
      <c r="H14" s="9" t="inlineStr"/>
    </row>
    <row r="15" ht="26" customHeight="1"/>
    <row r="16" ht="24" customHeight="1">
      <c r="B16" s="19" t="inlineStr">
        <is>
          <t>PLACEMENTS &amp; CAREER OUTCOMES</t>
        </is>
      </c>
    </row>
    <row r="17" ht="26" customHeight="1">
      <c r="B17" s="13" t="inlineStr">
        <is>
          <t>Sl.</t>
        </is>
      </c>
      <c r="C17" s="13" t="inlineStr">
        <is>
          <t>Audit Parameter / Criterion</t>
        </is>
      </c>
      <c r="D17" s="13" t="inlineStr">
        <is>
          <t>Documentary Evidence Required</t>
        </is>
      </c>
      <c r="E17" s="13" t="inlineStr">
        <is>
          <t>Rating
(1–5)</t>
        </is>
      </c>
      <c r="F17" s="13" t="inlineStr">
        <is>
          <t>Compliance
Status</t>
        </is>
      </c>
      <c r="G17" s="13" t="inlineStr">
        <is>
          <t>Observations</t>
        </is>
      </c>
      <c r="H17" s="13" t="inlineStr">
        <is>
          <t>Action Required</t>
        </is>
      </c>
    </row>
    <row r="18" ht="26" customHeight="1">
      <c r="B18" s="14" t="n">
        <v>1</v>
      </c>
      <c r="C18" s="15" t="inlineStr">
        <is>
          <t>Placement rate ≥ 70% of eligible students</t>
        </is>
      </c>
      <c r="D18" s="15" t="inlineStr">
        <is>
          <t>Placement register</t>
        </is>
      </c>
      <c r="E18" s="16" t="inlineStr"/>
      <c r="F18" s="16" t="inlineStr"/>
      <c r="G18" s="15" t="inlineStr"/>
      <c r="H18" s="15" t="inlineStr"/>
    </row>
    <row r="19" ht="26" customHeight="1">
      <c r="B19" s="8" t="n">
        <v>2</v>
      </c>
      <c r="C19" s="9" t="inlineStr">
        <is>
          <t>Average CTC (₹L) of placed students</t>
        </is>
      </c>
      <c r="D19" s="9" t="inlineStr">
        <is>
          <t>Offer letter copies</t>
        </is>
      </c>
      <c r="E19" s="10" t="inlineStr"/>
      <c r="F19" s="10" t="inlineStr"/>
      <c r="G19" s="9" t="inlineStr"/>
      <c r="H19" s="9" t="inlineStr"/>
    </row>
    <row r="20" ht="26" customHeight="1">
      <c r="B20" s="14" t="n">
        <v>3</v>
      </c>
      <c r="C20" s="15" t="inlineStr">
        <is>
          <t>Students in top-100 companies tracked</t>
        </is>
      </c>
      <c r="D20" s="15" t="inlineStr">
        <is>
          <t>Placement list</t>
        </is>
      </c>
      <c r="E20" s="16" t="inlineStr"/>
      <c r="F20" s="16" t="inlineStr"/>
      <c r="G20" s="15" t="inlineStr"/>
      <c r="H20" s="15" t="inlineStr"/>
    </row>
    <row r="21" ht="26" customHeight="1">
      <c r="B21" s="8" t="n">
        <v>4</v>
      </c>
      <c r="C21" s="9" t="inlineStr">
        <is>
          <t>Students pursuing higher studies tracked</t>
        </is>
      </c>
      <c r="D21" s="9" t="inlineStr">
        <is>
          <t>Admission proof</t>
        </is>
      </c>
      <c r="E21" s="10" t="inlineStr"/>
      <c r="F21" s="10" t="inlineStr"/>
      <c r="G21" s="9" t="inlineStr"/>
      <c r="H21" s="9" t="inlineStr"/>
    </row>
    <row r="22" ht="26" customHeight="1">
      <c r="B22" s="14" t="n">
        <v>5</v>
      </c>
      <c r="C22" s="15" t="inlineStr">
        <is>
          <t>Students qualifying competitive exams (GATE/UPSC/NET)</t>
        </is>
      </c>
      <c r="D22" s="15" t="inlineStr">
        <is>
          <t>Score card / rank</t>
        </is>
      </c>
      <c r="E22" s="16" t="inlineStr"/>
      <c r="F22" s="16" t="inlineStr"/>
      <c r="G22" s="15" t="inlineStr"/>
      <c r="H22" s="15" t="inlineStr"/>
    </row>
    <row r="23" ht="26" customHeight="1">
      <c r="B23" s="8" t="n">
        <v>6</v>
      </c>
      <c r="C23" s="9" t="inlineStr">
        <is>
          <t>Entrepreneurship outcomes tracked</t>
        </is>
      </c>
      <c r="D23" s="9" t="inlineStr">
        <is>
          <t>DPIIT / EDC register</t>
        </is>
      </c>
      <c r="E23" s="10" t="inlineStr"/>
      <c r="F23" s="10" t="inlineStr"/>
      <c r="G23" s="9" t="inlineStr"/>
      <c r="H23" s="9" t="inlineStr"/>
    </row>
    <row r="24" ht="26" customHeight="1">
      <c r="B24" s="14" t="n">
        <v>7</v>
      </c>
      <c r="C24" s="15" t="inlineStr">
        <is>
          <t>Alumni outcomes data available for last 5 batches</t>
        </is>
      </c>
      <c r="D24" s="15" t="inlineStr">
        <is>
          <t>Alumni database</t>
        </is>
      </c>
      <c r="E24" s="16" t="inlineStr"/>
      <c r="F24" s="16" t="inlineStr"/>
      <c r="G24" s="15" t="inlineStr"/>
      <c r="H24" s="15" t="inlineStr"/>
    </row>
    <row r="25" ht="26" customHeight="1"/>
    <row r="26" ht="24" customHeight="1">
      <c r="B26" s="19" t="inlineStr">
        <is>
          <t>STUDENT AWARDS &amp; RECOGNITIONS</t>
        </is>
      </c>
    </row>
    <row r="27" ht="26" customHeight="1">
      <c r="B27" s="13" t="inlineStr">
        <is>
          <t>Sl.</t>
        </is>
      </c>
      <c r="C27" s="13" t="inlineStr">
        <is>
          <t>Audit Parameter / Criterion</t>
        </is>
      </c>
      <c r="D27" s="13" t="inlineStr">
        <is>
          <t>Documentary Evidence Required</t>
        </is>
      </c>
      <c r="E27" s="13" t="inlineStr">
        <is>
          <t>Rating
(1–5)</t>
        </is>
      </c>
      <c r="F27" s="13" t="inlineStr">
        <is>
          <t>Compliance
Status</t>
        </is>
      </c>
      <c r="G27" s="13" t="inlineStr">
        <is>
          <t>Observations</t>
        </is>
      </c>
      <c r="H27" s="13" t="inlineStr">
        <is>
          <t>Action Required</t>
        </is>
      </c>
    </row>
    <row r="28" ht="26" customHeight="1">
      <c r="B28" s="14" t="n">
        <v>1</v>
      </c>
      <c r="C28" s="15" t="inlineStr">
        <is>
          <t>Merit scholarships and awards given annually</t>
        </is>
      </c>
      <c r="D28" s="15" t="inlineStr">
        <is>
          <t>Award register</t>
        </is>
      </c>
      <c r="E28" s="16" t="inlineStr"/>
      <c r="F28" s="16" t="inlineStr"/>
      <c r="G28" s="15" t="inlineStr"/>
      <c r="H28" s="15" t="inlineStr"/>
    </row>
    <row r="29" ht="26" customHeight="1">
      <c r="B29" s="8" t="n">
        <v>2</v>
      </c>
      <c r="C29" s="9" t="inlineStr">
        <is>
          <t>Students participating in national competitions</t>
        </is>
      </c>
      <c r="D29" s="9" t="inlineStr">
        <is>
          <t>Competition register</t>
        </is>
      </c>
      <c r="E29" s="10" t="inlineStr"/>
      <c r="F29" s="10" t="inlineStr"/>
      <c r="G29" s="9" t="inlineStr"/>
      <c r="H29" s="9" t="inlineStr"/>
    </row>
    <row r="30" ht="26" customHeight="1">
      <c r="B30" s="14" t="n">
        <v>3</v>
      </c>
      <c r="C30" s="15" t="inlineStr">
        <is>
          <t>Student publications / patents</t>
        </is>
      </c>
      <c r="D30" s="15" t="inlineStr">
        <is>
          <t>Publication list</t>
        </is>
      </c>
      <c r="E30" s="16" t="inlineStr"/>
      <c r="F30" s="16" t="inlineStr"/>
      <c r="G30" s="15" t="inlineStr"/>
      <c r="H30" s="15" t="inlineStr"/>
    </row>
    <row r="31" ht="26" customHeight="1">
      <c r="B31" s="8" t="n">
        <v>4</v>
      </c>
      <c r="C31" s="9" t="inlineStr">
        <is>
          <t>Sports and cultural achievements tracked</t>
        </is>
      </c>
      <c r="D31" s="9" t="inlineStr">
        <is>
          <t>Achievement register</t>
        </is>
      </c>
      <c r="E31" s="10" t="inlineStr"/>
      <c r="F31" s="10" t="inlineStr"/>
      <c r="G31" s="9" t="inlineStr"/>
      <c r="H31" s="9" t="inlineStr"/>
    </row>
    <row r="32" ht="26" customHeight="1">
      <c r="B32" s="14" t="n">
        <v>5</v>
      </c>
      <c r="C32" s="15" t="inlineStr">
        <is>
          <t>Students with national / international recognition</t>
        </is>
      </c>
      <c r="D32" s="15" t="inlineStr">
        <is>
          <t>Special achievements log</t>
        </is>
      </c>
      <c r="E32" s="16" t="inlineStr"/>
      <c r="F32" s="16" t="inlineStr"/>
      <c r="G32" s="15" t="inlineStr"/>
      <c r="H32" s="15" t="inlineStr"/>
    </row>
    <row r="33" ht="26" customHeight="1"/>
    <row r="34" ht="26" customHeight="1"/>
    <row r="35" ht="26" customHeight="1"/>
    <row r="36" ht="26" customHeight="1"/>
    <row r="37" ht="26" customHeight="1"/>
    <row r="38" ht="26" customHeight="1"/>
    <row r="39" ht="26" customHeight="1"/>
    <row r="40" ht="26" customHeight="1"/>
    <row r="41" ht="26" customHeight="1"/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</sheetData>
  <mergeCells count="5">
    <mergeCell ref="B26:H26"/>
    <mergeCell ref="B16:H16"/>
    <mergeCell ref="B2:H2"/>
    <mergeCell ref="B3:H3"/>
    <mergeCell ref="B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AAA-10: ACADEMIC AUDIT CHECKLIST — FACULTY PERFORMANCE &amp; DEVELOPMENT</t>
        </is>
      </c>
    </row>
    <row r="3" ht="25" customHeight="1">
      <c r="B3" s="2" t="inlineStr">
        <is>
          <t>Department: ___________________  Auditor: ___________________  Date: _______  Faculty Audited: _______</t>
        </is>
      </c>
    </row>
    <row r="4" ht="25" customHeight="1"/>
    <row r="5" ht="24" customHeight="1">
      <c r="B5" s="19" t="inlineStr">
        <is>
          <t>FACULTY QUALIFICATIONS &amp; NORMS</t>
        </is>
      </c>
    </row>
    <row r="6" ht="26" customHeight="1">
      <c r="B6" s="13" t="inlineStr">
        <is>
          <t>Sl.</t>
        </is>
      </c>
      <c r="C6" s="13" t="inlineStr">
        <is>
          <t>Audit Parameter / Criterion</t>
        </is>
      </c>
      <c r="D6" s="13" t="inlineStr">
        <is>
          <t>Documentary Evidence Required</t>
        </is>
      </c>
      <c r="E6" s="13" t="inlineStr">
        <is>
          <t>Rating
(1–5)</t>
        </is>
      </c>
      <c r="F6" s="13" t="inlineStr">
        <is>
          <t>Compliance
Status</t>
        </is>
      </c>
      <c r="G6" s="13" t="inlineStr">
        <is>
          <t>Observations</t>
        </is>
      </c>
      <c r="H6" s="13" t="inlineStr">
        <is>
          <t>Action Required</t>
        </is>
      </c>
    </row>
    <row r="7" ht="26" customHeight="1">
      <c r="B7" s="14" t="n">
        <v>1</v>
      </c>
      <c r="C7" s="15" t="inlineStr">
        <is>
          <t>Faculty qualification meets AICTE/UGC norms</t>
        </is>
      </c>
      <c r="D7" s="15" t="inlineStr">
        <is>
          <t>Service records, certificates</t>
        </is>
      </c>
      <c r="E7" s="16" t="inlineStr"/>
      <c r="F7" s="16" t="inlineStr"/>
      <c r="G7" s="15" t="inlineStr"/>
      <c r="H7" s="15" t="inlineStr"/>
    </row>
    <row r="8" ht="26" customHeight="1">
      <c r="B8" s="8" t="n">
        <v>2</v>
      </c>
      <c r="C8" s="9" t="inlineStr">
        <is>
          <t>% of faculty with Ph.D.: ≥ 40%</t>
        </is>
      </c>
      <c r="D8" s="9" t="inlineStr">
        <is>
          <t>PhD certificates</t>
        </is>
      </c>
      <c r="E8" s="10" t="inlineStr"/>
      <c r="F8" s="10" t="inlineStr"/>
      <c r="G8" s="9" t="inlineStr"/>
      <c r="H8" s="9" t="inlineStr"/>
    </row>
    <row r="9" ht="26" customHeight="1">
      <c r="B9" s="14" t="n">
        <v>3</v>
      </c>
      <c r="C9" s="15" t="inlineStr">
        <is>
          <t>Faculty pursuing Ph.D. tracked</t>
        </is>
      </c>
      <c r="D9" s="15" t="inlineStr">
        <is>
          <t>PhD registration letters</t>
        </is>
      </c>
      <c r="E9" s="16" t="inlineStr"/>
      <c r="F9" s="16" t="inlineStr"/>
      <c r="G9" s="15" t="inlineStr"/>
      <c r="H9" s="15" t="inlineStr"/>
    </row>
    <row r="10" ht="26" customHeight="1">
      <c r="B10" s="8" t="n">
        <v>4</v>
      </c>
      <c r="C10" s="9" t="inlineStr">
        <is>
          <t>Student-faculty ratio maintained (≤ 15:1)</t>
        </is>
      </c>
      <c r="D10" s="9" t="inlineStr">
        <is>
          <t>Strength statement</t>
        </is>
      </c>
      <c r="E10" s="10" t="inlineStr"/>
      <c r="F10" s="10" t="inlineStr"/>
      <c r="G10" s="9" t="inlineStr"/>
      <c r="H10" s="9" t="inlineStr"/>
    </row>
    <row r="11" ht="26" customHeight="1">
      <c r="B11" s="14" t="n">
        <v>5</v>
      </c>
      <c r="C11" s="15" t="inlineStr">
        <is>
          <t>Faculty vacancy ≤ 10% of sanctioned strength</t>
        </is>
      </c>
      <c r="D11" s="15" t="inlineStr">
        <is>
          <t>Vacancy statement</t>
        </is>
      </c>
      <c r="E11" s="16" t="inlineStr"/>
      <c r="F11" s="16" t="inlineStr"/>
      <c r="G11" s="15" t="inlineStr"/>
      <c r="H11" s="15" t="inlineStr"/>
    </row>
    <row r="12" ht="26" customHeight="1">
      <c r="B12" s="8" t="n">
        <v>6</v>
      </c>
      <c r="C12" s="9" t="inlineStr">
        <is>
          <t>Guest faculty appointment follows norms</t>
        </is>
      </c>
      <c r="D12" s="9" t="inlineStr">
        <is>
          <t>Guest faculty register</t>
        </is>
      </c>
      <c r="E12" s="10" t="inlineStr"/>
      <c r="F12" s="10" t="inlineStr"/>
      <c r="G12" s="9" t="inlineStr"/>
      <c r="H12" s="9" t="inlineStr"/>
    </row>
    <row r="13" ht="26" customHeight="1"/>
    <row r="14" ht="24" customHeight="1">
      <c r="B14" s="19" t="inlineStr">
        <is>
          <t>WORKLOAD &amp; ACCOUNTABILITY</t>
        </is>
      </c>
    </row>
    <row r="15" ht="26" customHeight="1">
      <c r="B15" s="13" t="inlineStr">
        <is>
          <t>Sl.</t>
        </is>
      </c>
      <c r="C15" s="13" t="inlineStr">
        <is>
          <t>Audit Parameter / Criterion</t>
        </is>
      </c>
      <c r="D15" s="13" t="inlineStr">
        <is>
          <t>Documentary Evidence Required</t>
        </is>
      </c>
      <c r="E15" s="13" t="inlineStr">
        <is>
          <t>Rating
(1–5)</t>
        </is>
      </c>
      <c r="F15" s="13" t="inlineStr">
        <is>
          <t>Compliance
Status</t>
        </is>
      </c>
      <c r="G15" s="13" t="inlineStr">
        <is>
          <t>Observations</t>
        </is>
      </c>
      <c r="H15" s="13" t="inlineStr">
        <is>
          <t>Action Required</t>
        </is>
      </c>
    </row>
    <row r="16" ht="26" customHeight="1">
      <c r="B16" s="14" t="n">
        <v>1</v>
      </c>
      <c r="C16" s="15" t="inlineStr">
        <is>
          <t>Faculty workload allotted per UGC/AICTE norms</t>
        </is>
      </c>
      <c r="D16" s="15" t="inlineStr">
        <is>
          <t>Workload allocation sheet</t>
        </is>
      </c>
      <c r="E16" s="16" t="inlineStr"/>
      <c r="F16" s="16" t="inlineStr"/>
      <c r="G16" s="15" t="inlineStr"/>
      <c r="H16" s="15" t="inlineStr"/>
    </row>
    <row r="17" ht="26" customHeight="1">
      <c r="B17" s="8" t="n">
        <v>2</v>
      </c>
      <c r="C17" s="9" t="inlineStr">
        <is>
          <t>Time-table prepared and adhered to</t>
        </is>
      </c>
      <c r="D17" s="9" t="inlineStr">
        <is>
          <t>Timetable, class register</t>
        </is>
      </c>
      <c r="E17" s="10" t="inlineStr"/>
      <c r="F17" s="10" t="inlineStr"/>
      <c r="G17" s="9" t="inlineStr"/>
      <c r="H17" s="9" t="inlineStr"/>
    </row>
    <row r="18" ht="26" customHeight="1">
      <c r="B18" s="14" t="n">
        <v>3</v>
      </c>
      <c r="C18" s="15" t="inlineStr">
        <is>
          <t>Faculty duty register / biometric attendance maintained</t>
        </is>
      </c>
      <c r="D18" s="15" t="inlineStr">
        <is>
          <t>Attendance register</t>
        </is>
      </c>
      <c r="E18" s="16" t="inlineStr"/>
      <c r="F18" s="16" t="inlineStr"/>
      <c r="G18" s="15" t="inlineStr"/>
      <c r="H18" s="15" t="inlineStr"/>
    </row>
    <row r="19" ht="26" customHeight="1">
      <c r="B19" s="8" t="n">
        <v>4</v>
      </c>
      <c r="C19" s="9" t="inlineStr">
        <is>
          <t>Course files prepared and submitted each semester</t>
        </is>
      </c>
      <c r="D19" s="9" t="inlineStr">
        <is>
          <t>Course file checklist</t>
        </is>
      </c>
      <c r="E19" s="10" t="inlineStr"/>
      <c r="F19" s="10" t="inlineStr"/>
      <c r="G19" s="9" t="inlineStr"/>
      <c r="H19" s="9" t="inlineStr"/>
    </row>
    <row r="20" ht="26" customHeight="1">
      <c r="B20" s="14" t="n">
        <v>5</v>
      </c>
      <c r="C20" s="15" t="inlineStr">
        <is>
          <t>Faculty self-appraisal submitted annually</t>
        </is>
      </c>
      <c r="D20" s="15" t="inlineStr">
        <is>
          <t>PBAS / self-appraisal</t>
        </is>
      </c>
      <c r="E20" s="16" t="inlineStr"/>
      <c r="F20" s="16" t="inlineStr"/>
      <c r="G20" s="15" t="inlineStr"/>
      <c r="H20" s="15" t="inlineStr"/>
    </row>
    <row r="21" ht="26" customHeight="1">
      <c r="B21" s="8" t="n">
        <v>6</v>
      </c>
      <c r="C21" s="9" t="inlineStr">
        <is>
          <t>Performance appraisal conducted by HoD annually</t>
        </is>
      </c>
      <c r="D21" s="9" t="inlineStr">
        <is>
          <t>Appraisal records</t>
        </is>
      </c>
      <c r="E21" s="10" t="inlineStr"/>
      <c r="F21" s="10" t="inlineStr"/>
      <c r="G21" s="9" t="inlineStr"/>
      <c r="H21" s="9" t="inlineStr"/>
    </row>
    <row r="22" ht="26" customHeight="1">
      <c r="B22" s="14" t="n">
        <v>7</v>
      </c>
      <c r="C22" s="15" t="inlineStr">
        <is>
          <t>Faculty involved in administrative duties proportionately</t>
        </is>
      </c>
      <c r="D22" s="15" t="inlineStr">
        <is>
          <t>Duty allocation</t>
        </is>
      </c>
      <c r="E22" s="16" t="inlineStr"/>
      <c r="F22" s="16" t="inlineStr"/>
      <c r="G22" s="15" t="inlineStr"/>
      <c r="H22" s="15" t="inlineStr"/>
    </row>
    <row r="23" ht="26" customHeight="1"/>
    <row r="24" ht="24" customHeight="1">
      <c r="B24" s="19" t="inlineStr">
        <is>
          <t>FACULTY DEVELOPMENT &amp; RESEARCH</t>
        </is>
      </c>
    </row>
    <row r="25" ht="26" customHeight="1">
      <c r="B25" s="13" t="inlineStr">
        <is>
          <t>Sl.</t>
        </is>
      </c>
      <c r="C25" s="13" t="inlineStr">
        <is>
          <t>Audit Parameter / Criterion</t>
        </is>
      </c>
      <c r="D25" s="13" t="inlineStr">
        <is>
          <t>Documentary Evidence Required</t>
        </is>
      </c>
      <c r="E25" s="13" t="inlineStr">
        <is>
          <t>Rating
(1–5)</t>
        </is>
      </c>
      <c r="F25" s="13" t="inlineStr">
        <is>
          <t>Compliance
Status</t>
        </is>
      </c>
      <c r="G25" s="13" t="inlineStr">
        <is>
          <t>Observations</t>
        </is>
      </c>
      <c r="H25" s="13" t="inlineStr">
        <is>
          <t>Action Required</t>
        </is>
      </c>
    </row>
    <row r="26" ht="26" customHeight="1">
      <c r="B26" s="14" t="n">
        <v>1</v>
      </c>
      <c r="C26" s="15" t="inlineStr">
        <is>
          <t>Faculty attending ≥ 1 FDP / STTP per year</t>
        </is>
      </c>
      <c r="D26" s="15" t="inlineStr">
        <is>
          <t>FDP certificates</t>
        </is>
      </c>
      <c r="E26" s="16" t="inlineStr"/>
      <c r="F26" s="16" t="inlineStr"/>
      <c r="G26" s="15" t="inlineStr"/>
      <c r="H26" s="15" t="inlineStr"/>
    </row>
    <row r="27" ht="26" customHeight="1">
      <c r="B27" s="8" t="n">
        <v>2</v>
      </c>
      <c r="C27" s="9" t="inlineStr">
        <is>
          <t>FDP completion ≥ 80% of faculty</t>
        </is>
      </c>
      <c r="D27" s="9" t="inlineStr">
        <is>
          <t>FDP register</t>
        </is>
      </c>
      <c r="E27" s="10" t="inlineStr"/>
      <c r="F27" s="10" t="inlineStr"/>
      <c r="G27" s="9" t="inlineStr"/>
      <c r="H27" s="9" t="inlineStr"/>
    </row>
    <row r="28" ht="26" customHeight="1">
      <c r="B28" s="14" t="n">
        <v>3</v>
      </c>
      <c r="C28" s="15" t="inlineStr">
        <is>
          <t>Faculty publications per year (dept. average ≥ 0.5 / faculty)</t>
        </is>
      </c>
      <c r="D28" s="15" t="inlineStr">
        <is>
          <t>Publication list</t>
        </is>
      </c>
      <c r="E28" s="16" t="inlineStr"/>
      <c r="F28" s="16" t="inlineStr"/>
      <c r="G28" s="15" t="inlineStr"/>
      <c r="H28" s="15" t="inlineStr"/>
    </row>
    <row r="29" ht="26" customHeight="1">
      <c r="B29" s="8" t="n">
        <v>4</v>
      </c>
      <c r="C29" s="9" t="inlineStr">
        <is>
          <t>Faculty with funded research projects</t>
        </is>
      </c>
      <c r="D29" s="9" t="inlineStr">
        <is>
          <t>Research register</t>
        </is>
      </c>
      <c r="E29" s="10" t="inlineStr"/>
      <c r="F29" s="10" t="inlineStr"/>
      <c r="G29" s="9" t="inlineStr"/>
      <c r="H29" s="9" t="inlineStr"/>
    </row>
    <row r="30" ht="26" customHeight="1">
      <c r="B30" s="14" t="n">
        <v>5</v>
      </c>
      <c r="C30" s="15" t="inlineStr">
        <is>
          <t>Faculty presenting at national / international conferences</t>
        </is>
      </c>
      <c r="D30" s="15" t="inlineStr">
        <is>
          <t>Conference records</t>
        </is>
      </c>
      <c r="E30" s="16" t="inlineStr"/>
      <c r="F30" s="16" t="inlineStr"/>
      <c r="G30" s="15" t="inlineStr"/>
      <c r="H30" s="15" t="inlineStr"/>
    </row>
    <row r="31" ht="26" customHeight="1">
      <c r="B31" s="8" t="n">
        <v>6</v>
      </c>
      <c r="C31" s="9" t="inlineStr">
        <is>
          <t>Faculty with consultancy / industry projects</t>
        </is>
      </c>
      <c r="D31" s="9" t="inlineStr">
        <is>
          <t>Consultancy register</t>
        </is>
      </c>
      <c r="E31" s="10" t="inlineStr"/>
      <c r="F31" s="10" t="inlineStr"/>
      <c r="G31" s="9" t="inlineStr"/>
      <c r="H31" s="9" t="inlineStr"/>
    </row>
    <row r="32" ht="26" customHeight="1">
      <c r="B32" s="14" t="n">
        <v>7</v>
      </c>
      <c r="C32" s="15" t="inlineStr">
        <is>
          <t>Faculty innovations / patents / copyrights</t>
        </is>
      </c>
      <c r="D32" s="15" t="inlineStr">
        <is>
          <t>IPR register</t>
        </is>
      </c>
      <c r="E32" s="16" t="inlineStr"/>
      <c r="F32" s="16" t="inlineStr"/>
      <c r="G32" s="15" t="inlineStr"/>
      <c r="H32" s="15" t="inlineStr"/>
    </row>
    <row r="33" ht="26" customHeight="1">
      <c r="B33" s="8" t="n">
        <v>8</v>
      </c>
      <c r="C33" s="9" t="inlineStr">
        <is>
          <t>Faculty completing online certifications / MOOCs</t>
        </is>
      </c>
      <c r="D33" s="9" t="inlineStr">
        <is>
          <t>MOOC certificates</t>
        </is>
      </c>
      <c r="E33" s="10" t="inlineStr"/>
      <c r="F33" s="10" t="inlineStr"/>
      <c r="G33" s="9" t="inlineStr"/>
      <c r="H33" s="9" t="inlineStr"/>
    </row>
    <row r="34" ht="26" customHeight="1"/>
    <row r="35" ht="26" customHeight="1"/>
    <row r="36" ht="26" customHeight="1"/>
    <row r="37" ht="26" customHeight="1"/>
    <row r="38" ht="26" customHeight="1"/>
    <row r="39" ht="26" customHeight="1"/>
    <row r="40" ht="26" customHeight="1"/>
    <row r="41" ht="26" customHeight="1"/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  <row r="60" ht="26" customHeight="1"/>
    <row r="61" ht="26" customHeight="1"/>
    <row r="62" ht="26" customHeight="1"/>
    <row r="63" ht="26" customHeight="1"/>
    <row r="64" ht="26" customHeight="1"/>
  </sheetData>
  <mergeCells count="5">
    <mergeCell ref="B14:H14"/>
    <mergeCell ref="B24:H24"/>
    <mergeCell ref="B2:H2"/>
    <mergeCell ref="B3:H3"/>
    <mergeCell ref="B5:H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AAA-13: ADMINISTRATIVE AUDIT CHECKLIST — GOVERNANCE &amp; LEADERSHIP</t>
        </is>
      </c>
    </row>
    <row r="3" ht="25" customHeight="1">
      <c r="B3" s="2" t="inlineStr">
        <is>
          <t>Unit: Principal's Office / Registrar  Auditor: ___________________  Date: _______</t>
        </is>
      </c>
    </row>
    <row r="4" ht="25" customHeight="1"/>
    <row r="5" ht="24" customHeight="1">
      <c r="B5" s="34" t="inlineStr">
        <is>
          <t>GOVERNING BODY &amp; STATUTORY COMPLIANCE</t>
        </is>
      </c>
    </row>
    <row r="6" ht="26" customHeight="1">
      <c r="B6" s="30" t="inlineStr">
        <is>
          <t>Sl.</t>
        </is>
      </c>
      <c r="C6" s="30" t="inlineStr">
        <is>
          <t>Audit Parameter / Criterion</t>
        </is>
      </c>
      <c r="D6" s="30" t="inlineStr">
        <is>
          <t>Documentary Evidence Required</t>
        </is>
      </c>
      <c r="E6" s="30" t="inlineStr">
        <is>
          <t>Rating
(1–5)</t>
        </is>
      </c>
      <c r="F6" s="30" t="inlineStr">
        <is>
          <t>Compliance
Status</t>
        </is>
      </c>
      <c r="G6" s="30" t="inlineStr">
        <is>
          <t>Observations</t>
        </is>
      </c>
      <c r="H6" s="30" t="inlineStr">
        <is>
          <t>Action Required</t>
        </is>
      </c>
    </row>
    <row r="7" ht="26" customHeight="1">
      <c r="B7" s="31" t="n">
        <v>1</v>
      </c>
      <c r="C7" s="32" t="inlineStr">
        <is>
          <t>Governing Body constituted as per University / AICTE norms</t>
        </is>
      </c>
      <c r="D7" s="32" t="inlineStr">
        <is>
          <t>GB constitution order</t>
        </is>
      </c>
      <c r="E7" s="33" t="inlineStr"/>
      <c r="F7" s="33" t="inlineStr"/>
      <c r="G7" s="32" t="inlineStr"/>
      <c r="H7" s="32" t="inlineStr"/>
    </row>
    <row r="8" ht="26" customHeight="1">
      <c r="B8" s="8" t="n">
        <v>2</v>
      </c>
      <c r="C8" s="9" t="inlineStr">
        <is>
          <t>GB meetings held minimum twice per year</t>
        </is>
      </c>
      <c r="D8" s="9" t="inlineStr">
        <is>
          <t>GB meeting minutes</t>
        </is>
      </c>
      <c r="E8" s="10" t="inlineStr"/>
      <c r="F8" s="10" t="inlineStr"/>
      <c r="G8" s="9" t="inlineStr"/>
      <c r="H8" s="9" t="inlineStr"/>
    </row>
    <row r="9" ht="26" customHeight="1">
      <c r="B9" s="31" t="n">
        <v>3</v>
      </c>
      <c r="C9" s="32" t="inlineStr">
        <is>
          <t>GB decisions communicated and implemented</t>
        </is>
      </c>
      <c r="D9" s="32" t="inlineStr">
        <is>
          <t>ATR on GB decisions</t>
        </is>
      </c>
      <c r="E9" s="33" t="inlineStr"/>
      <c r="F9" s="33" t="inlineStr"/>
      <c r="G9" s="32" t="inlineStr"/>
      <c r="H9" s="32" t="inlineStr"/>
    </row>
    <row r="10" ht="26" customHeight="1">
      <c r="B10" s="8" t="n">
        <v>4</v>
      </c>
      <c r="C10" s="9" t="inlineStr">
        <is>
          <t>All statutory bodies (AC, EC, BoS, Finance) functional</t>
        </is>
      </c>
      <c r="D10" s="9" t="inlineStr">
        <is>
          <t>Meeting records</t>
        </is>
      </c>
      <c r="E10" s="10" t="inlineStr"/>
      <c r="F10" s="10" t="inlineStr"/>
      <c r="G10" s="9" t="inlineStr"/>
      <c r="H10" s="9" t="inlineStr"/>
    </row>
    <row r="11" ht="26" customHeight="1">
      <c r="B11" s="31" t="n">
        <v>5</v>
      </c>
      <c r="C11" s="32" t="inlineStr">
        <is>
          <t>Institutional Vision, Mission, Values documented &amp; displayed</t>
        </is>
      </c>
      <c r="D11" s="32" t="inlineStr">
        <is>
          <t>Notice boards, website</t>
        </is>
      </c>
      <c r="E11" s="33" t="inlineStr"/>
      <c r="F11" s="33" t="inlineStr"/>
      <c r="G11" s="32" t="inlineStr"/>
      <c r="H11" s="32" t="inlineStr"/>
    </row>
    <row r="12" ht="26" customHeight="1">
      <c r="B12" s="8" t="n">
        <v>6</v>
      </c>
      <c r="C12" s="9" t="inlineStr">
        <is>
          <t>Strategic plan (5-year) available and reviewed</t>
        </is>
      </c>
      <c r="D12" s="9" t="inlineStr">
        <is>
          <t>PMB strategic plan document</t>
        </is>
      </c>
      <c r="E12" s="10" t="inlineStr"/>
      <c r="F12" s="10" t="inlineStr"/>
      <c r="G12" s="9" t="inlineStr"/>
      <c r="H12" s="9" t="inlineStr"/>
    </row>
    <row r="13" ht="26" customHeight="1">
      <c r="B13" s="31" t="n">
        <v>7</v>
      </c>
      <c r="C13" s="32" t="inlineStr">
        <is>
          <t>Annual report submitted to University / AICTE on time</t>
        </is>
      </c>
      <c r="D13" s="32" t="inlineStr">
        <is>
          <t>Submission acknowledgement</t>
        </is>
      </c>
      <c r="E13" s="33" t="inlineStr"/>
      <c r="F13" s="33" t="inlineStr"/>
      <c r="G13" s="32" t="inlineStr"/>
      <c r="H13" s="32" t="inlineStr"/>
    </row>
    <row r="14" ht="26" customHeight="1"/>
    <row r="15" ht="24" customHeight="1">
      <c r="B15" s="34" t="inlineStr">
        <is>
          <t>POLICIES &amp; PROCEDURES</t>
        </is>
      </c>
    </row>
    <row r="16" ht="26" customHeight="1">
      <c r="B16" s="30" t="inlineStr">
        <is>
          <t>Sl.</t>
        </is>
      </c>
      <c r="C16" s="30" t="inlineStr">
        <is>
          <t>Audit Parameter / Criterion</t>
        </is>
      </c>
      <c r="D16" s="30" t="inlineStr">
        <is>
          <t>Documentary Evidence Required</t>
        </is>
      </c>
      <c r="E16" s="30" t="inlineStr">
        <is>
          <t>Rating
(1–5)</t>
        </is>
      </c>
      <c r="F16" s="30" t="inlineStr">
        <is>
          <t>Compliance
Status</t>
        </is>
      </c>
      <c r="G16" s="30" t="inlineStr">
        <is>
          <t>Observations</t>
        </is>
      </c>
      <c r="H16" s="30" t="inlineStr">
        <is>
          <t>Action Required</t>
        </is>
      </c>
    </row>
    <row r="17" ht="26" customHeight="1">
      <c r="B17" s="31" t="n">
        <v>1</v>
      </c>
      <c r="C17" s="32" t="inlineStr">
        <is>
          <t>All mandatory institutional policies documented</t>
        </is>
      </c>
      <c r="D17" s="32" t="inlineStr">
        <is>
          <t>Policy register</t>
        </is>
      </c>
      <c r="E17" s="33" t="inlineStr"/>
      <c r="F17" s="33" t="inlineStr"/>
      <c r="G17" s="32" t="inlineStr"/>
      <c r="H17" s="32" t="inlineStr"/>
    </row>
    <row r="18" ht="26" customHeight="1">
      <c r="B18" s="8" t="n">
        <v>2</v>
      </c>
      <c r="C18" s="9" t="inlineStr">
        <is>
          <t>Policies accessible to all stakeholders</t>
        </is>
      </c>
      <c r="D18" s="9" t="inlineStr">
        <is>
          <t>Website, intranet</t>
        </is>
      </c>
      <c r="E18" s="10" t="inlineStr"/>
      <c r="F18" s="10" t="inlineStr"/>
      <c r="G18" s="9" t="inlineStr"/>
      <c r="H18" s="9" t="inlineStr"/>
    </row>
    <row r="19" ht="26" customHeight="1">
      <c r="B19" s="31" t="n">
        <v>3</v>
      </c>
      <c r="C19" s="32" t="inlineStr">
        <is>
          <t>Policies reviewed and updated every 3 years</t>
        </is>
      </c>
      <c r="D19" s="32" t="inlineStr">
        <is>
          <t>Review log</t>
        </is>
      </c>
      <c r="E19" s="33" t="inlineStr"/>
      <c r="F19" s="33" t="inlineStr"/>
      <c r="G19" s="32" t="inlineStr"/>
      <c r="H19" s="32" t="inlineStr"/>
    </row>
    <row r="20" ht="26" customHeight="1">
      <c r="B20" s="8" t="n">
        <v>4</v>
      </c>
      <c r="C20" s="9" t="inlineStr">
        <is>
          <t>RTI provisions complied with (PIO designated)</t>
        </is>
      </c>
      <c r="D20" s="9" t="inlineStr">
        <is>
          <t>RTI records</t>
        </is>
      </c>
      <c r="E20" s="10" t="inlineStr"/>
      <c r="F20" s="10" t="inlineStr"/>
      <c r="G20" s="9" t="inlineStr"/>
      <c r="H20" s="9" t="inlineStr"/>
    </row>
    <row r="21" ht="26" customHeight="1">
      <c r="B21" s="31" t="n">
        <v>5</v>
      </c>
      <c r="C21" s="32" t="inlineStr">
        <is>
          <t>Anti-ragging committee functional and compliant</t>
        </is>
      </c>
      <c r="D21" s="32" t="inlineStr">
        <is>
          <t>Anti-ragging records</t>
        </is>
      </c>
      <c r="E21" s="33" t="inlineStr"/>
      <c r="F21" s="33" t="inlineStr"/>
      <c r="G21" s="32" t="inlineStr"/>
      <c r="H21" s="32" t="inlineStr"/>
    </row>
    <row r="22" ht="26" customHeight="1">
      <c r="B22" s="8" t="n">
        <v>6</v>
      </c>
      <c r="C22" s="9" t="inlineStr">
        <is>
          <t>ICC (POSH) committee functional</t>
        </is>
      </c>
      <c r="D22" s="9" t="inlineStr">
        <is>
          <t>ICC records</t>
        </is>
      </c>
      <c r="E22" s="10" t="inlineStr"/>
      <c r="F22" s="10" t="inlineStr"/>
      <c r="G22" s="9" t="inlineStr"/>
      <c r="H22" s="9" t="inlineStr"/>
    </row>
    <row r="23" ht="26" customHeight="1">
      <c r="B23" s="31" t="n">
        <v>7</v>
      </c>
      <c r="C23" s="32" t="inlineStr">
        <is>
          <t>Grievance redressal mechanism active</t>
        </is>
      </c>
      <c r="D23" s="32" t="inlineStr">
        <is>
          <t>Grievance register</t>
        </is>
      </c>
      <c r="E23" s="33" t="inlineStr"/>
      <c r="F23" s="33" t="inlineStr"/>
      <c r="G23" s="32" t="inlineStr"/>
      <c r="H23" s="32" t="inlineStr"/>
    </row>
    <row r="24" ht="26" customHeight="1"/>
    <row r="25" ht="24" customHeight="1">
      <c r="B25" s="34" t="inlineStr">
        <is>
          <t>E-GOVERNANCE &amp; DIGITAL ADMINISTRATION</t>
        </is>
      </c>
    </row>
    <row r="26" ht="26" customHeight="1">
      <c r="B26" s="30" t="inlineStr">
        <is>
          <t>Sl.</t>
        </is>
      </c>
      <c r="C26" s="30" t="inlineStr">
        <is>
          <t>Audit Parameter / Criterion</t>
        </is>
      </c>
      <c r="D26" s="30" t="inlineStr">
        <is>
          <t>Documentary Evidence Required</t>
        </is>
      </c>
      <c r="E26" s="30" t="inlineStr">
        <is>
          <t>Rating
(1–5)</t>
        </is>
      </c>
      <c r="F26" s="30" t="inlineStr">
        <is>
          <t>Compliance
Status</t>
        </is>
      </c>
      <c r="G26" s="30" t="inlineStr">
        <is>
          <t>Observations</t>
        </is>
      </c>
      <c r="H26" s="30" t="inlineStr">
        <is>
          <t>Action Required</t>
        </is>
      </c>
    </row>
    <row r="27" ht="26" customHeight="1">
      <c r="B27" s="31" t="n">
        <v>1</v>
      </c>
      <c r="C27" s="32" t="inlineStr">
        <is>
          <t>ERP / MIS deployed and operational</t>
        </is>
      </c>
      <c r="D27" s="32" t="inlineStr">
        <is>
          <t>ERP usage report</t>
        </is>
      </c>
      <c r="E27" s="33" t="inlineStr"/>
      <c r="F27" s="33" t="inlineStr"/>
      <c r="G27" s="32" t="inlineStr"/>
      <c r="H27" s="32" t="inlineStr"/>
    </row>
    <row r="28" ht="26" customHeight="1">
      <c r="B28" s="8" t="n">
        <v>2</v>
      </c>
      <c r="C28" s="9" t="inlineStr">
        <is>
          <t>Admissions managed digitally (ERP / AICTE portal)</t>
        </is>
      </c>
      <c r="D28" s="9" t="inlineStr">
        <is>
          <t>ERP / portal records</t>
        </is>
      </c>
      <c r="E28" s="10" t="inlineStr"/>
      <c r="F28" s="10" t="inlineStr"/>
      <c r="G28" s="9" t="inlineStr"/>
      <c r="H28" s="9" t="inlineStr"/>
    </row>
    <row r="29" ht="26" customHeight="1">
      <c r="B29" s="31" t="n">
        <v>3</v>
      </c>
      <c r="C29" s="32" t="inlineStr">
        <is>
          <t>Examination management on ERP</t>
        </is>
      </c>
      <c r="D29" s="32" t="inlineStr">
        <is>
          <t>ERP exam module report</t>
        </is>
      </c>
      <c r="E29" s="33" t="inlineStr"/>
      <c r="F29" s="33" t="inlineStr"/>
      <c r="G29" s="32" t="inlineStr"/>
      <c r="H29" s="32" t="inlineStr"/>
    </row>
    <row r="30" ht="26" customHeight="1">
      <c r="B30" s="8" t="n">
        <v>4</v>
      </c>
      <c r="C30" s="9" t="inlineStr">
        <is>
          <t>HR and payroll on ERP</t>
        </is>
      </c>
      <c r="D30" s="9" t="inlineStr">
        <is>
          <t>ERP HR module report</t>
        </is>
      </c>
      <c r="E30" s="10" t="inlineStr"/>
      <c r="F30" s="10" t="inlineStr"/>
      <c r="G30" s="9" t="inlineStr"/>
      <c r="H30" s="9" t="inlineStr"/>
    </row>
    <row r="31" ht="26" customHeight="1">
      <c r="B31" s="31" t="n">
        <v>5</v>
      </c>
      <c r="C31" s="32" t="inlineStr">
        <is>
          <t>AICTE mandatory disclosure updated annually</t>
        </is>
      </c>
      <c r="D31" s="32" t="inlineStr">
        <is>
          <t>Website screenshot</t>
        </is>
      </c>
      <c r="E31" s="33" t="inlineStr"/>
      <c r="F31" s="33" t="inlineStr"/>
      <c r="G31" s="32" t="inlineStr"/>
      <c r="H31" s="32" t="inlineStr"/>
    </row>
    <row r="32" ht="26" customHeight="1">
      <c r="B32" s="8" t="n">
        <v>6</v>
      </c>
      <c r="C32" s="9" t="inlineStr">
        <is>
          <t>NAAC / NIRF / NBA data portal updated</t>
        </is>
      </c>
      <c r="D32" s="9" t="inlineStr">
        <is>
          <t>Data submission records</t>
        </is>
      </c>
      <c r="E32" s="10" t="inlineStr"/>
      <c r="F32" s="10" t="inlineStr"/>
      <c r="G32" s="9" t="inlineStr"/>
      <c r="H32" s="9" t="inlineStr"/>
    </row>
    <row r="33" ht="26" customHeight="1">
      <c r="B33" s="31" t="n">
        <v>7</v>
      </c>
      <c r="C33" s="32" t="inlineStr">
        <is>
          <t>Paperless office initiatives implemented</t>
        </is>
      </c>
      <c r="D33" s="32" t="inlineStr">
        <is>
          <t>Workflow automation records</t>
        </is>
      </c>
      <c r="E33" s="33" t="inlineStr"/>
      <c r="F33" s="33" t="inlineStr"/>
      <c r="G33" s="32" t="inlineStr"/>
      <c r="H33" s="32" t="inlineStr"/>
    </row>
    <row r="34" ht="26" customHeight="1"/>
    <row r="35" ht="26" customHeight="1"/>
    <row r="36" ht="26" customHeight="1"/>
    <row r="37" ht="26" customHeight="1"/>
    <row r="38" ht="26" customHeight="1"/>
    <row r="39" ht="26" customHeight="1"/>
    <row r="40" ht="26" customHeight="1"/>
    <row r="41" ht="26" customHeight="1"/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  <row r="60" ht="26" customHeight="1"/>
    <row r="61" ht="26" customHeight="1"/>
    <row r="62" ht="26" customHeight="1"/>
    <row r="63" ht="26" customHeight="1"/>
    <row r="64" ht="26" customHeight="1"/>
  </sheetData>
  <mergeCells count="5">
    <mergeCell ref="B2:H2"/>
    <mergeCell ref="B15:H15"/>
    <mergeCell ref="B25:H25"/>
    <mergeCell ref="B3:H3"/>
    <mergeCell ref="B5:H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AAA-14: ADMINISTRATIVE AUDIT CHECKLIST — HR &amp; STAFFING</t>
        </is>
      </c>
    </row>
    <row r="3" ht="25" customHeight="1">
      <c r="B3" s="2" t="inlineStr">
        <is>
          <t>Unit: HR / Administration  Auditor: ___________________  Date: _______</t>
        </is>
      </c>
    </row>
    <row r="4" ht="25" customHeight="1"/>
    <row r="5" ht="24" customHeight="1">
      <c r="B5" s="47" t="inlineStr">
        <is>
          <t>RECRUITMENT &amp; SERVICE RECORDS</t>
        </is>
      </c>
    </row>
    <row r="6" ht="26" customHeight="1">
      <c r="B6" s="48" t="inlineStr">
        <is>
          <t>Sl.</t>
        </is>
      </c>
      <c r="C6" s="48" t="inlineStr">
        <is>
          <t>Audit Parameter / Criterion</t>
        </is>
      </c>
      <c r="D6" s="48" t="inlineStr">
        <is>
          <t>Documentary Evidence Required</t>
        </is>
      </c>
      <c r="E6" s="48" t="inlineStr">
        <is>
          <t>Rating
(1–5)</t>
        </is>
      </c>
      <c r="F6" s="48" t="inlineStr">
        <is>
          <t>Compliance
Status</t>
        </is>
      </c>
      <c r="G6" s="48" t="inlineStr">
        <is>
          <t>Observations</t>
        </is>
      </c>
      <c r="H6" s="48" t="inlineStr">
        <is>
          <t>Action Required</t>
        </is>
      </c>
    </row>
    <row r="7" ht="26" customHeight="1">
      <c r="B7" s="38" t="n">
        <v>1</v>
      </c>
      <c r="C7" s="49" t="inlineStr">
        <is>
          <t>Recruitment follows fair, advertised selection process</t>
        </is>
      </c>
      <c r="D7" s="49" t="inlineStr">
        <is>
          <t>Recruitment records</t>
        </is>
      </c>
      <c r="E7" s="22" t="inlineStr"/>
      <c r="F7" s="22" t="inlineStr"/>
      <c r="G7" s="49" t="inlineStr"/>
      <c r="H7" s="49" t="inlineStr"/>
    </row>
    <row r="8" ht="26" customHeight="1">
      <c r="B8" s="8" t="n">
        <v>2</v>
      </c>
      <c r="C8" s="9" t="inlineStr">
        <is>
          <t>Selection committee constituted as per norms</t>
        </is>
      </c>
      <c r="D8" s="9" t="inlineStr">
        <is>
          <t>Selection committee orders</t>
        </is>
      </c>
      <c r="E8" s="10" t="inlineStr"/>
      <c r="F8" s="10" t="inlineStr"/>
      <c r="G8" s="9" t="inlineStr"/>
      <c r="H8" s="9" t="inlineStr"/>
    </row>
    <row r="9" ht="26" customHeight="1">
      <c r="B9" s="38" t="n">
        <v>3</v>
      </c>
      <c r="C9" s="49" t="inlineStr">
        <is>
          <t>Appointment orders issued within 30 days of selection</t>
        </is>
      </c>
      <c r="D9" s="49" t="inlineStr">
        <is>
          <t>Appointment order register</t>
        </is>
      </c>
      <c r="E9" s="22" t="inlineStr"/>
      <c r="F9" s="22" t="inlineStr"/>
      <c r="G9" s="49" t="inlineStr"/>
      <c r="H9" s="49" t="inlineStr"/>
    </row>
    <row r="10" ht="26" customHeight="1">
      <c r="B10" s="8" t="n">
        <v>4</v>
      </c>
      <c r="C10" s="9" t="inlineStr">
        <is>
          <t>Service books / personal files maintained for all staff</t>
        </is>
      </c>
      <c r="D10" s="9" t="inlineStr">
        <is>
          <t>Service records audit</t>
        </is>
      </c>
      <c r="E10" s="10" t="inlineStr"/>
      <c r="F10" s="10" t="inlineStr"/>
      <c r="G10" s="9" t="inlineStr"/>
      <c r="H10" s="9" t="inlineStr"/>
    </row>
    <row r="11" ht="26" customHeight="1">
      <c r="B11" s="38" t="n">
        <v>5</v>
      </c>
      <c r="C11" s="49" t="inlineStr">
        <is>
          <t>Probation confirmations processed on time</t>
        </is>
      </c>
      <c r="D11" s="49" t="inlineStr">
        <is>
          <t>Confirmation orders</t>
        </is>
      </c>
      <c r="E11" s="22" t="inlineStr"/>
      <c r="F11" s="22" t="inlineStr"/>
      <c r="G11" s="49" t="inlineStr"/>
      <c r="H11" s="49" t="inlineStr"/>
    </row>
    <row r="12" ht="26" customHeight="1">
      <c r="B12" s="8" t="n">
        <v>6</v>
      </c>
      <c r="C12" s="9" t="inlineStr">
        <is>
          <t>Seniority list and promotion roster maintained</t>
        </is>
      </c>
      <c r="D12" s="9" t="inlineStr">
        <is>
          <t>Seniority list</t>
        </is>
      </c>
      <c r="E12" s="10" t="inlineStr"/>
      <c r="F12" s="10" t="inlineStr"/>
      <c r="G12" s="9" t="inlineStr"/>
      <c r="H12" s="9" t="inlineStr"/>
    </row>
    <row r="13" ht="26" customHeight="1">
      <c r="B13" s="38" t="n">
        <v>7</v>
      </c>
      <c r="C13" s="49" t="inlineStr">
        <is>
          <t>Leave records (CL, EL, medical) maintained accurately</t>
        </is>
      </c>
      <c r="D13" s="49" t="inlineStr">
        <is>
          <t>Leave register / ERP</t>
        </is>
      </c>
      <c r="E13" s="22" t="inlineStr"/>
      <c r="F13" s="22" t="inlineStr"/>
      <c r="G13" s="49" t="inlineStr"/>
      <c r="H13" s="49" t="inlineStr"/>
    </row>
    <row r="14" ht="26" customHeight="1"/>
    <row r="15" ht="24" customHeight="1">
      <c r="B15" s="47" t="inlineStr">
        <is>
          <t>PAY, BENEFITS &amp; COMPLIANCE</t>
        </is>
      </c>
    </row>
    <row r="16" ht="26" customHeight="1">
      <c r="B16" s="48" t="inlineStr">
        <is>
          <t>Sl.</t>
        </is>
      </c>
      <c r="C16" s="48" t="inlineStr">
        <is>
          <t>Audit Parameter / Criterion</t>
        </is>
      </c>
      <c r="D16" s="48" t="inlineStr">
        <is>
          <t>Documentary Evidence Required</t>
        </is>
      </c>
      <c r="E16" s="48" t="inlineStr">
        <is>
          <t>Rating
(1–5)</t>
        </is>
      </c>
      <c r="F16" s="48" t="inlineStr">
        <is>
          <t>Compliance
Status</t>
        </is>
      </c>
      <c r="G16" s="48" t="inlineStr">
        <is>
          <t>Observations</t>
        </is>
      </c>
      <c r="H16" s="48" t="inlineStr">
        <is>
          <t>Action Required</t>
        </is>
      </c>
    </row>
    <row r="17" ht="26" customHeight="1">
      <c r="B17" s="38" t="n">
        <v>1</v>
      </c>
      <c r="C17" s="49" t="inlineStr">
        <is>
          <t>Salaries paid on time (by 7th of following month)</t>
        </is>
      </c>
      <c r="D17" s="49" t="inlineStr">
        <is>
          <t>Salary register / bank transfers</t>
        </is>
      </c>
      <c r="E17" s="22" t="inlineStr"/>
      <c r="F17" s="22" t="inlineStr"/>
      <c r="G17" s="49" t="inlineStr"/>
      <c r="H17" s="49" t="inlineStr"/>
    </row>
    <row r="18" ht="26" customHeight="1">
      <c r="B18" s="8" t="n">
        <v>2</v>
      </c>
      <c r="C18" s="9" t="inlineStr">
        <is>
          <t>Pay scales comply with UGC / AICTE 7th Pay Commission</t>
        </is>
      </c>
      <c r="D18" s="9" t="inlineStr">
        <is>
          <t>Salary fixation orders</t>
        </is>
      </c>
      <c r="E18" s="10" t="inlineStr"/>
      <c r="F18" s="10" t="inlineStr"/>
      <c r="G18" s="9" t="inlineStr"/>
      <c r="H18" s="9" t="inlineStr"/>
    </row>
    <row r="19" ht="26" customHeight="1">
      <c r="B19" s="38" t="n">
        <v>3</v>
      </c>
      <c r="C19" s="49" t="inlineStr">
        <is>
          <t>PF / ESI contributions remitted on time</t>
        </is>
      </c>
      <c r="D19" s="49" t="inlineStr">
        <is>
          <t>PF / ESI challans</t>
        </is>
      </c>
      <c r="E19" s="22" t="inlineStr"/>
      <c r="F19" s="22" t="inlineStr"/>
      <c r="G19" s="49" t="inlineStr"/>
      <c r="H19" s="49" t="inlineStr"/>
    </row>
    <row r="20" ht="26" customHeight="1">
      <c r="B20" s="8" t="n">
        <v>4</v>
      </c>
      <c r="C20" s="9" t="inlineStr">
        <is>
          <t>Professional Tax, TDS filed as required</t>
        </is>
      </c>
      <c r="D20" s="9" t="inlineStr">
        <is>
          <t>Tax records</t>
        </is>
      </c>
      <c r="E20" s="10" t="inlineStr"/>
      <c r="F20" s="10" t="inlineStr"/>
      <c r="G20" s="9" t="inlineStr"/>
      <c r="H20" s="9" t="inlineStr"/>
    </row>
    <row r="21" ht="26" customHeight="1">
      <c r="B21" s="38" t="n">
        <v>5</v>
      </c>
      <c r="C21" s="49" t="inlineStr">
        <is>
          <t>Gratuity / leave encashment computed and provisioned</t>
        </is>
      </c>
      <c r="D21" s="49" t="inlineStr">
        <is>
          <t>Actuarial computation</t>
        </is>
      </c>
      <c r="E21" s="22" t="inlineStr"/>
      <c r="F21" s="22" t="inlineStr"/>
      <c r="G21" s="49" t="inlineStr"/>
      <c r="H21" s="49" t="inlineStr"/>
    </row>
    <row r="22" ht="26" customHeight="1">
      <c r="B22" s="8" t="n">
        <v>6</v>
      </c>
      <c r="C22" s="9" t="inlineStr">
        <is>
          <t>Medical / health insurance available for staff</t>
        </is>
      </c>
      <c r="D22" s="9" t="inlineStr">
        <is>
          <t>Insurance policy</t>
        </is>
      </c>
      <c r="E22" s="10" t="inlineStr"/>
      <c r="F22" s="10" t="inlineStr"/>
      <c r="G22" s="9" t="inlineStr"/>
      <c r="H22" s="9" t="inlineStr"/>
    </row>
    <row r="23" ht="26" customHeight="1">
      <c r="B23" s="38" t="n">
        <v>7</v>
      </c>
      <c r="C23" s="49" t="inlineStr">
        <is>
          <t>Maternity / paternity benefits granted per statute</t>
        </is>
      </c>
      <c r="D23" s="49" t="inlineStr">
        <is>
          <t>Benefit records</t>
        </is>
      </c>
      <c r="E23" s="22" t="inlineStr"/>
      <c r="F23" s="22" t="inlineStr"/>
      <c r="G23" s="49" t="inlineStr"/>
      <c r="H23" s="49" t="inlineStr"/>
    </row>
    <row r="24" ht="26" customHeight="1"/>
    <row r="25" ht="24" customHeight="1">
      <c r="B25" s="47" t="inlineStr">
        <is>
          <t>PERFORMANCE &amp; DEVELOPMENT</t>
        </is>
      </c>
    </row>
    <row r="26" ht="26" customHeight="1">
      <c r="B26" s="48" t="inlineStr">
        <is>
          <t>Sl.</t>
        </is>
      </c>
      <c r="C26" s="48" t="inlineStr">
        <is>
          <t>Audit Parameter / Criterion</t>
        </is>
      </c>
      <c r="D26" s="48" t="inlineStr">
        <is>
          <t>Documentary Evidence Required</t>
        </is>
      </c>
      <c r="E26" s="48" t="inlineStr">
        <is>
          <t>Rating
(1–5)</t>
        </is>
      </c>
      <c r="F26" s="48" t="inlineStr">
        <is>
          <t>Compliance
Status</t>
        </is>
      </c>
      <c r="G26" s="48" t="inlineStr">
        <is>
          <t>Observations</t>
        </is>
      </c>
      <c r="H26" s="48" t="inlineStr">
        <is>
          <t>Action Required</t>
        </is>
      </c>
    </row>
    <row r="27" ht="26" customHeight="1">
      <c r="B27" s="38" t="n">
        <v>1</v>
      </c>
      <c r="C27" s="49" t="inlineStr">
        <is>
          <t>Annual performance appraisal done for all staff</t>
        </is>
      </c>
      <c r="D27" s="49" t="inlineStr">
        <is>
          <t>Appraisal records</t>
        </is>
      </c>
      <c r="E27" s="22" t="inlineStr"/>
      <c r="F27" s="22" t="inlineStr"/>
      <c r="G27" s="49" t="inlineStr"/>
      <c r="H27" s="49" t="inlineStr"/>
    </row>
    <row r="28" ht="26" customHeight="1">
      <c r="B28" s="8" t="n">
        <v>2</v>
      </c>
      <c r="C28" s="9" t="inlineStr">
        <is>
          <t>Appraisal linked to increment / promotion</t>
        </is>
      </c>
      <c r="D28" s="9" t="inlineStr">
        <is>
          <t>Increment orders</t>
        </is>
      </c>
      <c r="E28" s="10" t="inlineStr"/>
      <c r="F28" s="10" t="inlineStr"/>
      <c r="G28" s="9" t="inlineStr"/>
      <c r="H28" s="9" t="inlineStr"/>
    </row>
    <row r="29" ht="26" customHeight="1">
      <c r="B29" s="38" t="n">
        <v>3</v>
      </c>
      <c r="C29" s="49" t="inlineStr">
        <is>
          <t>Training needs identified and training provided</t>
        </is>
      </c>
      <c r="D29" s="49" t="inlineStr">
        <is>
          <t>Training calendar</t>
        </is>
      </c>
      <c r="E29" s="22" t="inlineStr"/>
      <c r="F29" s="22" t="inlineStr"/>
      <c r="G29" s="49" t="inlineStr"/>
      <c r="H29" s="49" t="inlineStr"/>
    </row>
    <row r="30" ht="26" customHeight="1">
      <c r="B30" s="8" t="n">
        <v>4</v>
      </c>
      <c r="C30" s="9" t="inlineStr">
        <is>
          <t>Faculty FDP coverage ≥ 80%</t>
        </is>
      </c>
      <c r="D30" s="9" t="inlineStr">
        <is>
          <t>FDP register</t>
        </is>
      </c>
      <c r="E30" s="10" t="inlineStr"/>
      <c r="F30" s="10" t="inlineStr"/>
      <c r="G30" s="9" t="inlineStr"/>
      <c r="H30" s="9" t="inlineStr"/>
    </row>
    <row r="31" ht="26" customHeight="1">
      <c r="B31" s="38" t="n">
        <v>5</v>
      </c>
      <c r="C31" s="49" t="inlineStr">
        <is>
          <t>Non-teaching staff training tracked</t>
        </is>
      </c>
      <c r="D31" s="49" t="inlineStr">
        <is>
          <t>Staff training register</t>
        </is>
      </c>
      <c r="E31" s="22" t="inlineStr"/>
      <c r="F31" s="22" t="inlineStr"/>
      <c r="G31" s="49" t="inlineStr"/>
      <c r="H31" s="49" t="inlineStr"/>
    </row>
    <row r="32" ht="26" customHeight="1">
      <c r="B32" s="8" t="n">
        <v>6</v>
      </c>
      <c r="C32" s="9" t="inlineStr">
        <is>
          <t>Grievances of staff resolved within 30 days</t>
        </is>
      </c>
      <c r="D32" s="9" t="inlineStr">
        <is>
          <t>Staff grievance register</t>
        </is>
      </c>
      <c r="E32" s="10" t="inlineStr"/>
      <c r="F32" s="10" t="inlineStr"/>
      <c r="G32" s="9" t="inlineStr"/>
      <c r="H32" s="9" t="inlineStr"/>
    </row>
    <row r="33" ht="26" customHeight="1">
      <c r="B33" s="38" t="n">
        <v>7</v>
      </c>
      <c r="C33" s="49" t="inlineStr">
        <is>
          <t>Code of conduct / service rules communicated</t>
        </is>
      </c>
      <c r="D33" s="49" t="inlineStr">
        <is>
          <t>Employee handbook</t>
        </is>
      </c>
      <c r="E33" s="22" t="inlineStr"/>
      <c r="F33" s="22" t="inlineStr"/>
      <c r="G33" s="49" t="inlineStr"/>
      <c r="H33" s="49" t="inlineStr"/>
    </row>
    <row r="34" ht="26" customHeight="1"/>
    <row r="35" ht="26" customHeight="1"/>
    <row r="36" ht="26" customHeight="1"/>
    <row r="37" ht="26" customHeight="1"/>
    <row r="38" ht="26" customHeight="1"/>
    <row r="39" ht="26" customHeight="1"/>
    <row r="40" ht="26" customHeight="1"/>
    <row r="41" ht="26" customHeight="1"/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</sheetData>
  <mergeCells count="5">
    <mergeCell ref="B2:H2"/>
    <mergeCell ref="B15:H15"/>
    <mergeCell ref="B25:H25"/>
    <mergeCell ref="B3:H3"/>
    <mergeCell ref="B5:H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AAA-15: ADMINISTRATIVE AUDIT CHECKLIST — FINANCE &amp; ACCOUNTS</t>
        </is>
      </c>
    </row>
    <row r="3" ht="25" customHeight="1">
      <c r="B3" s="2" t="inlineStr">
        <is>
          <t>Unit: Finance &amp; Accounts  Auditor: ___________________  Date: _______</t>
        </is>
      </c>
    </row>
    <row r="4" ht="25" customHeight="1"/>
    <row r="5" ht="24" customHeight="1">
      <c r="B5" s="50" t="inlineStr">
        <is>
          <t>BUDGET &amp; FINANCIAL MANAGEMENT</t>
        </is>
      </c>
    </row>
    <row r="6" ht="26" customHeight="1">
      <c r="B6" s="51" t="inlineStr">
        <is>
          <t>Sl.</t>
        </is>
      </c>
      <c r="C6" s="51" t="inlineStr">
        <is>
          <t>Audit Parameter / Criterion</t>
        </is>
      </c>
      <c r="D6" s="51" t="inlineStr">
        <is>
          <t>Documentary Evidence Required</t>
        </is>
      </c>
      <c r="E6" s="51" t="inlineStr">
        <is>
          <t>Rating
(1–5)</t>
        </is>
      </c>
      <c r="F6" s="51" t="inlineStr">
        <is>
          <t>Compliance
Status</t>
        </is>
      </c>
      <c r="G6" s="51" t="inlineStr">
        <is>
          <t>Observations</t>
        </is>
      </c>
      <c r="H6" s="51" t="inlineStr">
        <is>
          <t>Action Required</t>
        </is>
      </c>
    </row>
    <row r="7" ht="26" customHeight="1">
      <c r="B7" s="52" t="n">
        <v>1</v>
      </c>
      <c r="C7" s="53" t="inlineStr">
        <is>
          <t>Annual budget prepared and approved by Finance Committee</t>
        </is>
      </c>
      <c r="D7" s="53" t="inlineStr">
        <is>
          <t>Budget document, FC minutes</t>
        </is>
      </c>
      <c r="E7" s="54" t="inlineStr"/>
      <c r="F7" s="54" t="inlineStr"/>
      <c r="G7" s="53" t="inlineStr"/>
      <c r="H7" s="53" t="inlineStr"/>
    </row>
    <row r="8" ht="26" customHeight="1">
      <c r="B8" s="8" t="n">
        <v>2</v>
      </c>
      <c r="C8" s="9" t="inlineStr">
        <is>
          <t>Budget utilisation monitored quarterly</t>
        </is>
      </c>
      <c r="D8" s="9" t="inlineStr">
        <is>
          <t>Quarterly utilisation report</t>
        </is>
      </c>
      <c r="E8" s="10" t="inlineStr"/>
      <c r="F8" s="10" t="inlineStr"/>
      <c r="G8" s="9" t="inlineStr"/>
      <c r="H8" s="9" t="inlineStr"/>
    </row>
    <row r="9" ht="26" customHeight="1">
      <c r="B9" s="52" t="n">
        <v>3</v>
      </c>
      <c r="C9" s="53" t="inlineStr">
        <is>
          <t>Reappropriation / re-budgeting follows approved procedure</t>
        </is>
      </c>
      <c r="D9" s="53" t="inlineStr">
        <is>
          <t>Reappropriation orders</t>
        </is>
      </c>
      <c r="E9" s="54" t="inlineStr"/>
      <c r="F9" s="54" t="inlineStr"/>
      <c r="G9" s="53" t="inlineStr"/>
      <c r="H9" s="53" t="inlineStr"/>
    </row>
    <row r="10" ht="26" customHeight="1">
      <c r="B10" s="8" t="n">
        <v>4</v>
      </c>
      <c r="C10" s="9" t="inlineStr">
        <is>
          <t>Department-wise budget allocated and communicated</t>
        </is>
      </c>
      <c r="D10" s="9" t="inlineStr">
        <is>
          <t>Budget allocation letter</t>
        </is>
      </c>
      <c r="E10" s="10" t="inlineStr"/>
      <c r="F10" s="10" t="inlineStr"/>
      <c r="G10" s="9" t="inlineStr"/>
      <c r="H10" s="9" t="inlineStr"/>
    </row>
    <row r="11" ht="26" customHeight="1">
      <c r="B11" s="52" t="n">
        <v>5</v>
      </c>
      <c r="C11" s="53" t="inlineStr">
        <is>
          <t>Surplus / deficit within acceptable range (±10%)</t>
        </is>
      </c>
      <c r="D11" s="53" t="inlineStr">
        <is>
          <t>Income-expenditure statement</t>
        </is>
      </c>
      <c r="E11" s="54" t="inlineStr"/>
      <c r="F11" s="54" t="inlineStr"/>
      <c r="G11" s="53" t="inlineStr"/>
      <c r="H11" s="53" t="inlineStr"/>
    </row>
    <row r="12" ht="26" customHeight="1">
      <c r="B12" s="8" t="n">
        <v>6</v>
      </c>
      <c r="C12" s="9" t="inlineStr">
        <is>
          <t>Financial statements prepared as per accounting standards</t>
        </is>
      </c>
      <c r="D12" s="9" t="inlineStr">
        <is>
          <t>Balance sheet, I&amp;E account</t>
        </is>
      </c>
      <c r="E12" s="10" t="inlineStr"/>
      <c r="F12" s="10" t="inlineStr"/>
      <c r="G12" s="9" t="inlineStr"/>
      <c r="H12" s="9" t="inlineStr"/>
    </row>
    <row r="13" ht="26" customHeight="1">
      <c r="B13" s="52" t="n">
        <v>7</v>
      </c>
      <c r="C13" s="53" t="inlineStr">
        <is>
          <t>Endowment / corpus fund managed per institutional policy</t>
        </is>
      </c>
      <c r="D13" s="53" t="inlineStr">
        <is>
          <t>Endowment statement</t>
        </is>
      </c>
      <c r="E13" s="54" t="inlineStr"/>
      <c r="F13" s="54" t="inlineStr"/>
      <c r="G13" s="53" t="inlineStr"/>
      <c r="H13" s="53" t="inlineStr"/>
    </row>
    <row r="14" ht="26" customHeight="1"/>
    <row r="15" ht="24" customHeight="1">
      <c r="B15" s="50" t="inlineStr">
        <is>
          <t>FEE COLLECTION &amp; STUDENT ACCOUNTS</t>
        </is>
      </c>
    </row>
    <row r="16" ht="26" customHeight="1">
      <c r="B16" s="51" t="inlineStr">
        <is>
          <t>Sl.</t>
        </is>
      </c>
      <c r="C16" s="51" t="inlineStr">
        <is>
          <t>Audit Parameter / Criterion</t>
        </is>
      </c>
      <c r="D16" s="51" t="inlineStr">
        <is>
          <t>Documentary Evidence Required</t>
        </is>
      </c>
      <c r="E16" s="51" t="inlineStr">
        <is>
          <t>Rating
(1–5)</t>
        </is>
      </c>
      <c r="F16" s="51" t="inlineStr">
        <is>
          <t>Compliance
Status</t>
        </is>
      </c>
      <c r="G16" s="51" t="inlineStr">
        <is>
          <t>Observations</t>
        </is>
      </c>
      <c r="H16" s="51" t="inlineStr">
        <is>
          <t>Action Required</t>
        </is>
      </c>
    </row>
    <row r="17" ht="26" customHeight="1">
      <c r="B17" s="52" t="n">
        <v>1</v>
      </c>
      <c r="C17" s="53" t="inlineStr">
        <is>
          <t>Fee structure approved and published as per AICTE / university</t>
        </is>
      </c>
      <c r="D17" s="53" t="inlineStr">
        <is>
          <t>Fee approval order</t>
        </is>
      </c>
      <c r="E17" s="54" t="inlineStr"/>
      <c r="F17" s="54" t="inlineStr"/>
      <c r="G17" s="53" t="inlineStr"/>
      <c r="H17" s="53" t="inlineStr"/>
    </row>
    <row r="18" ht="26" customHeight="1">
      <c r="B18" s="8" t="n">
        <v>2</v>
      </c>
      <c r="C18" s="9" t="inlineStr">
        <is>
          <t>Fee collected as per schedule; receipts issued</t>
        </is>
      </c>
      <c r="D18" s="9" t="inlineStr">
        <is>
          <t>Fee register, receipts</t>
        </is>
      </c>
      <c r="E18" s="10" t="inlineStr"/>
      <c r="F18" s="10" t="inlineStr"/>
      <c r="G18" s="9" t="inlineStr"/>
      <c r="H18" s="9" t="inlineStr"/>
    </row>
    <row r="19" ht="26" customHeight="1">
      <c r="B19" s="52" t="n">
        <v>3</v>
      </c>
      <c r="C19" s="53" t="inlineStr">
        <is>
          <t>Fee refund policy followed per UGC / AICTE guidelines</t>
        </is>
      </c>
      <c r="D19" s="53" t="inlineStr">
        <is>
          <t>Refund register</t>
        </is>
      </c>
      <c r="E19" s="54" t="inlineStr"/>
      <c r="F19" s="54" t="inlineStr"/>
      <c r="G19" s="53" t="inlineStr"/>
      <c r="H19" s="53" t="inlineStr"/>
    </row>
    <row r="20" ht="26" customHeight="1">
      <c r="B20" s="8" t="n">
        <v>4</v>
      </c>
      <c r="C20" s="9" t="inlineStr">
        <is>
          <t>Scholarships / fee reimbursements processed timely</t>
        </is>
      </c>
      <c r="D20" s="9" t="inlineStr">
        <is>
          <t>Scholarship disbursement</t>
        </is>
      </c>
      <c r="E20" s="10" t="inlineStr"/>
      <c r="F20" s="10" t="inlineStr"/>
      <c r="G20" s="9" t="inlineStr"/>
      <c r="H20" s="9" t="inlineStr"/>
    </row>
    <row r="21" ht="26" customHeight="1">
      <c r="B21" s="52" t="n">
        <v>5</v>
      </c>
      <c r="C21" s="53" t="inlineStr">
        <is>
          <t>Outstanding fee dues tracked and recovered</t>
        </is>
      </c>
      <c r="D21" s="53" t="inlineStr">
        <is>
          <t>Fee dues register</t>
        </is>
      </c>
      <c r="E21" s="54" t="inlineStr"/>
      <c r="F21" s="54" t="inlineStr"/>
      <c r="G21" s="53" t="inlineStr"/>
      <c r="H21" s="53" t="inlineStr"/>
    </row>
    <row r="22" ht="26" customHeight="1">
      <c r="B22" s="8" t="n">
        <v>6</v>
      </c>
      <c r="C22" s="9" t="inlineStr">
        <is>
          <t>Caution deposit maintained and refunded on time</t>
        </is>
      </c>
      <c r="D22" s="9" t="inlineStr">
        <is>
          <t>Caution deposit register</t>
        </is>
      </c>
      <c r="E22" s="10" t="inlineStr"/>
      <c r="F22" s="10" t="inlineStr"/>
      <c r="G22" s="9" t="inlineStr"/>
      <c r="H22" s="9" t="inlineStr"/>
    </row>
    <row r="23" ht="26" customHeight="1"/>
    <row r="24" ht="24" customHeight="1">
      <c r="B24" s="50" t="inlineStr">
        <is>
          <t>PROCUREMENT &amp; STATUTORY COMPLIANCE</t>
        </is>
      </c>
    </row>
    <row r="25" ht="26" customHeight="1">
      <c r="B25" s="51" t="inlineStr">
        <is>
          <t>Sl.</t>
        </is>
      </c>
      <c r="C25" s="51" t="inlineStr">
        <is>
          <t>Audit Parameter / Criterion</t>
        </is>
      </c>
      <c r="D25" s="51" t="inlineStr">
        <is>
          <t>Documentary Evidence Required</t>
        </is>
      </c>
      <c r="E25" s="51" t="inlineStr">
        <is>
          <t>Rating
(1–5)</t>
        </is>
      </c>
      <c r="F25" s="51" t="inlineStr">
        <is>
          <t>Compliance
Status</t>
        </is>
      </c>
      <c r="G25" s="51" t="inlineStr">
        <is>
          <t>Observations</t>
        </is>
      </c>
      <c r="H25" s="51" t="inlineStr">
        <is>
          <t>Action Required</t>
        </is>
      </c>
    </row>
    <row r="26" ht="26" customHeight="1">
      <c r="B26" s="52" t="n">
        <v>1</v>
      </c>
      <c r="C26" s="53" t="inlineStr">
        <is>
          <t>Procurement follows tender / quotation norms</t>
        </is>
      </c>
      <c r="D26" s="53" t="inlineStr">
        <is>
          <t>Purchase register, tender records</t>
        </is>
      </c>
      <c r="E26" s="54" t="inlineStr"/>
      <c r="F26" s="54" t="inlineStr"/>
      <c r="G26" s="53" t="inlineStr"/>
      <c r="H26" s="53" t="inlineStr"/>
    </row>
    <row r="27" ht="26" customHeight="1">
      <c r="B27" s="8" t="n">
        <v>2</v>
      </c>
      <c r="C27" s="9" t="inlineStr">
        <is>
          <t>Purchase committee constituted for high-value items</t>
        </is>
      </c>
      <c r="D27" s="9" t="inlineStr">
        <is>
          <t>PC meeting minutes</t>
        </is>
      </c>
      <c r="E27" s="10" t="inlineStr"/>
      <c r="F27" s="10" t="inlineStr"/>
      <c r="G27" s="9" t="inlineStr"/>
      <c r="H27" s="9" t="inlineStr"/>
    </row>
    <row r="28" ht="26" customHeight="1">
      <c r="B28" s="52" t="n">
        <v>3</v>
      </c>
      <c r="C28" s="53" t="inlineStr">
        <is>
          <t>Assets tagged, depreciated and recorded in register</t>
        </is>
      </c>
      <c r="D28" s="53" t="inlineStr">
        <is>
          <t>Asset register</t>
        </is>
      </c>
      <c r="E28" s="54" t="inlineStr"/>
      <c r="F28" s="54" t="inlineStr"/>
      <c r="G28" s="53" t="inlineStr"/>
      <c r="H28" s="53" t="inlineStr"/>
    </row>
    <row r="29" ht="26" customHeight="1">
      <c r="B29" s="8" t="n">
        <v>4</v>
      </c>
      <c r="C29" s="9" t="inlineStr">
        <is>
          <t>Statutory audit (CA) conducted annually</t>
        </is>
      </c>
      <c r="D29" s="9" t="inlineStr">
        <is>
          <t>Statutory audit report</t>
        </is>
      </c>
      <c r="E29" s="10" t="inlineStr"/>
      <c r="F29" s="10" t="inlineStr"/>
      <c r="G29" s="9" t="inlineStr"/>
      <c r="H29" s="9" t="inlineStr"/>
    </row>
    <row r="30" ht="26" customHeight="1">
      <c r="B30" s="52" t="n">
        <v>5</v>
      </c>
      <c r="C30" s="53" t="inlineStr">
        <is>
          <t>Income Tax / GST returns filed on time</t>
        </is>
      </c>
      <c r="D30" s="53" t="inlineStr">
        <is>
          <t>Tax filing acknowledgements</t>
        </is>
      </c>
      <c r="E30" s="54" t="inlineStr"/>
      <c r="F30" s="54" t="inlineStr"/>
      <c r="G30" s="53" t="inlineStr"/>
      <c r="H30" s="53" t="inlineStr"/>
    </row>
    <row r="31" ht="26" customHeight="1">
      <c r="B31" s="8" t="n">
        <v>6</v>
      </c>
      <c r="C31" s="9" t="inlineStr">
        <is>
          <t>Internal audit conducted at least once per year</t>
        </is>
      </c>
      <c r="D31" s="9" t="inlineStr">
        <is>
          <t>Internal audit report</t>
        </is>
      </c>
      <c r="E31" s="10" t="inlineStr"/>
      <c r="F31" s="10" t="inlineStr"/>
      <c r="G31" s="9" t="inlineStr"/>
      <c r="H31" s="9" t="inlineStr"/>
    </row>
    <row r="32" ht="26" customHeight="1">
      <c r="B32" s="52" t="n">
        <v>7</v>
      </c>
      <c r="C32" s="53" t="inlineStr">
        <is>
          <t>Audit observations complied with</t>
        </is>
      </c>
      <c r="D32" s="53" t="inlineStr">
        <is>
          <t>Audit compliance report</t>
        </is>
      </c>
      <c r="E32" s="54" t="inlineStr"/>
      <c r="F32" s="54" t="inlineStr"/>
      <c r="G32" s="53" t="inlineStr"/>
      <c r="H32" s="53" t="inlineStr"/>
    </row>
    <row r="33" ht="26" customHeight="1">
      <c r="B33" s="8" t="n">
        <v>8</v>
      </c>
      <c r="C33" s="9" t="inlineStr">
        <is>
          <t>Anti-corruption / vigilance mechanism in place</t>
        </is>
      </c>
      <c r="D33" s="9" t="inlineStr">
        <is>
          <t>Vigilance register</t>
        </is>
      </c>
      <c r="E33" s="10" t="inlineStr"/>
      <c r="F33" s="10" t="inlineStr"/>
      <c r="G33" s="9" t="inlineStr"/>
      <c r="H33" s="9" t="inlineStr"/>
    </row>
    <row r="34" ht="26" customHeight="1"/>
    <row r="35" ht="26" customHeight="1"/>
    <row r="36" ht="26" customHeight="1"/>
    <row r="37" ht="26" customHeight="1"/>
    <row r="38" ht="26" customHeight="1"/>
    <row r="39" ht="26" customHeight="1"/>
    <row r="40" ht="26" customHeight="1"/>
    <row r="41" ht="26" customHeight="1"/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</sheetData>
  <mergeCells count="5">
    <mergeCell ref="B24:H24"/>
    <mergeCell ref="B2:H2"/>
    <mergeCell ref="B15:H15"/>
    <mergeCell ref="B3:H3"/>
    <mergeCell ref="B5:H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H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AAA-16: ADMINISTRATIVE AUDIT CHECKLIST — INFRASTRUCTURE &amp; SAFETY</t>
        </is>
      </c>
    </row>
    <row r="3" ht="25" customHeight="1">
      <c r="B3" s="2" t="inlineStr">
        <is>
          <t>Unit: Estate / Works  Auditor: ___________________  Date: _______</t>
        </is>
      </c>
    </row>
    <row r="4" ht="25" customHeight="1"/>
    <row r="5" ht="24" customHeight="1">
      <c r="B5" s="55" t="inlineStr">
        <is>
          <t>ACADEMIC INFRASTRUCTURE</t>
        </is>
      </c>
    </row>
    <row r="6" ht="26" customHeight="1">
      <c r="B6" s="56" t="inlineStr">
        <is>
          <t>Sl.</t>
        </is>
      </c>
      <c r="C6" s="56" t="inlineStr">
        <is>
          <t>Audit Parameter / Criterion</t>
        </is>
      </c>
      <c r="D6" s="56" t="inlineStr">
        <is>
          <t>Documentary Evidence Required</t>
        </is>
      </c>
      <c r="E6" s="56" t="inlineStr">
        <is>
          <t>Rating
(1–5)</t>
        </is>
      </c>
      <c r="F6" s="56" t="inlineStr">
        <is>
          <t>Compliance
Status</t>
        </is>
      </c>
      <c r="G6" s="56" t="inlineStr">
        <is>
          <t>Observations</t>
        </is>
      </c>
      <c r="H6" s="56" t="inlineStr">
        <is>
          <t>Action Required</t>
        </is>
      </c>
    </row>
    <row r="7" ht="26" customHeight="1">
      <c r="B7" s="57" t="n">
        <v>1</v>
      </c>
      <c r="C7" s="58" t="inlineStr">
        <is>
          <t>Classrooms — adequate size, ventilation, furniture, AV</t>
        </is>
      </c>
      <c r="D7" s="58" t="inlineStr">
        <is>
          <t>Physical inspection</t>
        </is>
      </c>
      <c r="E7" s="59" t="inlineStr"/>
      <c r="F7" s="59" t="inlineStr"/>
      <c r="G7" s="58" t="inlineStr"/>
      <c r="H7" s="58" t="inlineStr"/>
    </row>
    <row r="8" ht="26" customHeight="1">
      <c r="B8" s="8" t="n">
        <v>2</v>
      </c>
      <c r="C8" s="9" t="inlineStr">
        <is>
          <t>Laboratories — equipment, safety, lab manuals, records</t>
        </is>
      </c>
      <c r="D8" s="9" t="inlineStr">
        <is>
          <t>Lab inspection</t>
        </is>
      </c>
      <c r="E8" s="10" t="inlineStr"/>
      <c r="F8" s="10" t="inlineStr"/>
      <c r="G8" s="9" t="inlineStr"/>
      <c r="H8" s="9" t="inlineStr"/>
    </row>
    <row r="9" ht="26" customHeight="1">
      <c r="B9" s="57" t="n">
        <v>3</v>
      </c>
      <c r="C9" s="58" t="inlineStr">
        <is>
          <t>Library — books, e-resources, reading space, OPAC</t>
        </is>
      </c>
      <c r="D9" s="58" t="inlineStr">
        <is>
          <t>Library report</t>
        </is>
      </c>
      <c r="E9" s="59" t="inlineStr"/>
      <c r="F9" s="59" t="inlineStr"/>
      <c r="G9" s="58" t="inlineStr"/>
      <c r="H9" s="58" t="inlineStr"/>
    </row>
    <row r="10" ht="26" customHeight="1">
      <c r="B10" s="8" t="n">
        <v>4</v>
      </c>
      <c r="C10" s="9" t="inlineStr">
        <is>
          <t>Computer labs — hardware, software, internet speed</t>
        </is>
      </c>
      <c r="D10" s="9" t="inlineStr">
        <is>
          <t>ECAP audit sheet</t>
        </is>
      </c>
      <c r="E10" s="10" t="inlineStr"/>
      <c r="F10" s="10" t="inlineStr"/>
      <c r="G10" s="9" t="inlineStr"/>
      <c r="H10" s="9" t="inlineStr"/>
    </row>
    <row r="11" ht="26" customHeight="1">
      <c r="B11" s="57" t="n">
        <v>5</v>
      </c>
      <c r="C11" s="58" t="inlineStr">
        <is>
          <t>Seminar halls / auditorium — functional and equipped</t>
        </is>
      </c>
      <c r="D11" s="58" t="inlineStr">
        <is>
          <t>Utilisation records</t>
        </is>
      </c>
      <c r="E11" s="59" t="inlineStr"/>
      <c r="F11" s="59" t="inlineStr"/>
      <c r="G11" s="58" t="inlineStr"/>
      <c r="H11" s="58" t="inlineStr"/>
    </row>
    <row r="12" ht="26" customHeight="1">
      <c r="B12" s="8" t="n">
        <v>6</v>
      </c>
      <c r="C12" s="9" t="inlineStr">
        <is>
          <t>Sports / gym facilities — functional and safe</t>
        </is>
      </c>
      <c r="D12" s="9" t="inlineStr">
        <is>
          <t>Sports register</t>
        </is>
      </c>
      <c r="E12" s="10" t="inlineStr"/>
      <c r="F12" s="10" t="inlineStr"/>
      <c r="G12" s="9" t="inlineStr"/>
      <c r="H12" s="9" t="inlineStr"/>
    </row>
    <row r="13" ht="26" customHeight="1">
      <c r="B13" s="57" t="n">
        <v>7</v>
      </c>
      <c r="C13" s="58" t="inlineStr">
        <is>
          <t>Canteen / cafeteria — hygienic and licensed</t>
        </is>
      </c>
      <c r="D13" s="58" t="inlineStr">
        <is>
          <t>FSSAI licence, inspection</t>
        </is>
      </c>
      <c r="E13" s="59" t="inlineStr"/>
      <c r="F13" s="59" t="inlineStr"/>
      <c r="G13" s="58" t="inlineStr"/>
      <c r="H13" s="58" t="inlineStr"/>
    </row>
    <row r="14" ht="26" customHeight="1">
      <c r="B14" s="8" t="n">
        <v>8</v>
      </c>
      <c r="C14" s="9" t="inlineStr">
        <is>
          <t>Hostel facilities — safe, hygienic, well-maintained</t>
        </is>
      </c>
      <c r="D14" s="9" t="inlineStr">
        <is>
          <t>Hostel inspection report</t>
        </is>
      </c>
      <c r="E14" s="10" t="inlineStr"/>
      <c r="F14" s="10" t="inlineStr"/>
      <c r="G14" s="9" t="inlineStr"/>
      <c r="H14" s="9" t="inlineStr"/>
    </row>
    <row r="15" ht="26" customHeight="1"/>
    <row r="16" ht="24" customHeight="1">
      <c r="B16" s="55" t="inlineStr">
        <is>
          <t>SAFETY &amp; COMPLIANCE</t>
        </is>
      </c>
    </row>
    <row r="17" ht="26" customHeight="1">
      <c r="B17" s="56" t="inlineStr">
        <is>
          <t>Sl.</t>
        </is>
      </c>
      <c r="C17" s="56" t="inlineStr">
        <is>
          <t>Audit Parameter / Criterion</t>
        </is>
      </c>
      <c r="D17" s="56" t="inlineStr">
        <is>
          <t>Documentary Evidence Required</t>
        </is>
      </c>
      <c r="E17" s="56" t="inlineStr">
        <is>
          <t>Rating
(1–5)</t>
        </is>
      </c>
      <c r="F17" s="56" t="inlineStr">
        <is>
          <t>Compliance
Status</t>
        </is>
      </c>
      <c r="G17" s="56" t="inlineStr">
        <is>
          <t>Observations</t>
        </is>
      </c>
      <c r="H17" s="56" t="inlineStr">
        <is>
          <t>Action Required</t>
        </is>
      </c>
    </row>
    <row r="18" ht="26" customHeight="1">
      <c r="B18" s="57" t="n">
        <v>1</v>
      </c>
      <c r="C18" s="58" t="inlineStr">
        <is>
          <t>Fire NOC obtained and renewed from Fire Department</t>
        </is>
      </c>
      <c r="D18" s="58" t="inlineStr">
        <is>
          <t>Fire NOC certificate</t>
        </is>
      </c>
      <c r="E18" s="59" t="inlineStr"/>
      <c r="F18" s="59" t="inlineStr"/>
      <c r="G18" s="58" t="inlineStr"/>
      <c r="H18" s="58" t="inlineStr"/>
    </row>
    <row r="19" ht="26" customHeight="1">
      <c r="B19" s="8" t="n">
        <v>2</v>
      </c>
      <c r="C19" s="9" t="inlineStr">
        <is>
          <t>Fire extinguishers placed and maintained (≤ 1 year)</t>
        </is>
      </c>
      <c r="D19" s="9" t="inlineStr">
        <is>
          <t>Fire extinguisher log</t>
        </is>
      </c>
      <c r="E19" s="10" t="inlineStr"/>
      <c r="F19" s="10" t="inlineStr"/>
      <c r="G19" s="9" t="inlineStr"/>
      <c r="H19" s="9" t="inlineStr"/>
    </row>
    <row r="20" ht="26" customHeight="1">
      <c r="B20" s="57" t="n">
        <v>3</v>
      </c>
      <c r="C20" s="58" t="inlineStr">
        <is>
          <t>Electrical safety audit conducted annually</t>
        </is>
      </c>
      <c r="D20" s="58" t="inlineStr">
        <is>
          <t>Electrical audit report</t>
        </is>
      </c>
      <c r="E20" s="59" t="inlineStr"/>
      <c r="F20" s="59" t="inlineStr"/>
      <c r="G20" s="58" t="inlineStr"/>
      <c r="H20" s="58" t="inlineStr"/>
    </row>
    <row r="21" ht="26" customHeight="1">
      <c r="B21" s="8" t="n">
        <v>4</v>
      </c>
      <c r="C21" s="9" t="inlineStr">
        <is>
          <t>CCTV surveillance operational on campus</t>
        </is>
      </c>
      <c r="D21" s="9" t="inlineStr">
        <is>
          <t>CCTV functional report</t>
        </is>
      </c>
      <c r="E21" s="10" t="inlineStr"/>
      <c r="F21" s="10" t="inlineStr"/>
      <c r="G21" s="9" t="inlineStr"/>
      <c r="H21" s="9" t="inlineStr"/>
    </row>
    <row r="22" ht="26" customHeight="1">
      <c r="B22" s="57" t="n">
        <v>5</v>
      </c>
      <c r="C22" s="58" t="inlineStr">
        <is>
          <t>First aid box available in all labs and hostels</t>
        </is>
      </c>
      <c r="D22" s="58" t="inlineStr">
        <is>
          <t>First aid register</t>
        </is>
      </c>
      <c r="E22" s="59" t="inlineStr"/>
      <c r="F22" s="59" t="inlineStr"/>
      <c r="G22" s="58" t="inlineStr"/>
      <c r="H22" s="58" t="inlineStr"/>
    </row>
    <row r="23" ht="26" customHeight="1">
      <c r="B23" s="8" t="n">
        <v>6</v>
      </c>
      <c r="C23" s="9" t="inlineStr">
        <is>
          <t>Emergency evacuation plan displayed and drilled</t>
        </is>
      </c>
      <c r="D23" s="9" t="inlineStr">
        <is>
          <t>Evacuation plan, drill records</t>
        </is>
      </c>
      <c r="E23" s="10" t="inlineStr"/>
      <c r="F23" s="10" t="inlineStr"/>
      <c r="G23" s="9" t="inlineStr"/>
      <c r="H23" s="9" t="inlineStr"/>
    </row>
    <row r="24" ht="26" customHeight="1">
      <c r="B24" s="57" t="n">
        <v>7</v>
      </c>
      <c r="C24" s="58" t="inlineStr">
        <is>
          <t>Ramps / accessible infrastructure for Divyangjan</t>
        </is>
      </c>
      <c r="D24" s="58" t="inlineStr">
        <is>
          <t>Accessibility audit</t>
        </is>
      </c>
      <c r="E24" s="59" t="inlineStr"/>
      <c r="F24" s="59" t="inlineStr"/>
      <c r="G24" s="58" t="inlineStr"/>
      <c r="H24" s="58" t="inlineStr"/>
    </row>
    <row r="25" ht="26" customHeight="1">
      <c r="B25" s="8" t="n">
        <v>8</v>
      </c>
      <c r="C25" s="9" t="inlineStr">
        <is>
          <t>Building completion certificate / occupancy certificate valid</t>
        </is>
      </c>
      <c r="D25" s="9" t="inlineStr">
        <is>
          <t>BCC / OC document</t>
        </is>
      </c>
      <c r="E25" s="10" t="inlineStr"/>
      <c r="F25" s="10" t="inlineStr"/>
      <c r="G25" s="9" t="inlineStr"/>
      <c r="H25" s="9" t="inlineStr"/>
    </row>
    <row r="26" ht="26" customHeight="1"/>
    <row r="27" ht="24" customHeight="1">
      <c r="B27" s="55" t="inlineStr">
        <is>
          <t>GREEN CAMPUS &amp; SUSTAINABILITY</t>
        </is>
      </c>
    </row>
    <row r="28" ht="26" customHeight="1">
      <c r="B28" s="56" t="inlineStr">
        <is>
          <t>Sl.</t>
        </is>
      </c>
      <c r="C28" s="56" t="inlineStr">
        <is>
          <t>Audit Parameter / Criterion</t>
        </is>
      </c>
      <c r="D28" s="56" t="inlineStr">
        <is>
          <t>Documentary Evidence Required</t>
        </is>
      </c>
      <c r="E28" s="56" t="inlineStr">
        <is>
          <t>Rating
(1–5)</t>
        </is>
      </c>
      <c r="F28" s="56" t="inlineStr">
        <is>
          <t>Compliance
Status</t>
        </is>
      </c>
      <c r="G28" s="56" t="inlineStr">
        <is>
          <t>Observations</t>
        </is>
      </c>
      <c r="H28" s="56" t="inlineStr">
        <is>
          <t>Action Required</t>
        </is>
      </c>
    </row>
    <row r="29" ht="26" customHeight="1">
      <c r="B29" s="57" t="n">
        <v>1</v>
      </c>
      <c r="C29" s="58" t="inlineStr">
        <is>
          <t>Energy audit conducted in last 3 years</t>
        </is>
      </c>
      <c r="D29" s="58" t="inlineStr">
        <is>
          <t>Energy audit report</t>
        </is>
      </c>
      <c r="E29" s="59" t="inlineStr"/>
      <c r="F29" s="59" t="inlineStr"/>
      <c r="G29" s="58" t="inlineStr"/>
      <c r="H29" s="58" t="inlineStr"/>
    </row>
    <row r="30" ht="26" customHeight="1">
      <c r="B30" s="8" t="n">
        <v>2</v>
      </c>
      <c r="C30" s="9" t="inlineStr">
        <is>
          <t>Renewable energy (solar / wind) installed</t>
        </is>
      </c>
      <c r="D30" s="9" t="inlineStr">
        <is>
          <t>Installation records</t>
        </is>
      </c>
      <c r="E30" s="10" t="inlineStr"/>
      <c r="F30" s="10" t="inlineStr"/>
      <c r="G30" s="9" t="inlineStr"/>
      <c r="H30" s="9" t="inlineStr"/>
    </row>
    <row r="31" ht="26" customHeight="1">
      <c r="B31" s="57" t="n">
        <v>3</v>
      </c>
      <c r="C31" s="58" t="inlineStr">
        <is>
          <t>Rainwater harvesting functional</t>
        </is>
      </c>
      <c r="D31" s="58" t="inlineStr">
        <is>
          <t>RWH inspection</t>
        </is>
      </c>
      <c r="E31" s="59" t="inlineStr"/>
      <c r="F31" s="59" t="inlineStr"/>
      <c r="G31" s="58" t="inlineStr"/>
      <c r="H31" s="58" t="inlineStr"/>
    </row>
    <row r="32" ht="26" customHeight="1">
      <c r="B32" s="8" t="n">
        <v>4</v>
      </c>
      <c r="C32" s="9" t="inlineStr">
        <is>
          <t>Waste management system in place (segregation, disposal)</t>
        </is>
      </c>
      <c r="D32" s="9" t="inlineStr">
        <is>
          <t>Waste management records</t>
        </is>
      </c>
      <c r="E32" s="10" t="inlineStr"/>
      <c r="F32" s="10" t="inlineStr"/>
      <c r="G32" s="9" t="inlineStr"/>
      <c r="H32" s="9" t="inlineStr"/>
    </row>
    <row r="33" ht="26" customHeight="1">
      <c r="B33" s="57" t="n">
        <v>5</v>
      </c>
      <c r="C33" s="58" t="inlineStr">
        <is>
          <t>e-Waste disposed via authorised recycler</t>
        </is>
      </c>
      <c r="D33" s="58" t="inlineStr">
        <is>
          <t>e-Waste disposal certificates</t>
        </is>
      </c>
      <c r="E33" s="59" t="inlineStr"/>
      <c r="F33" s="59" t="inlineStr"/>
      <c r="G33" s="58" t="inlineStr"/>
      <c r="H33" s="58" t="inlineStr"/>
    </row>
    <row r="34" ht="26" customHeight="1">
      <c r="B34" s="8" t="n">
        <v>6</v>
      </c>
      <c r="C34" s="9" t="inlineStr">
        <is>
          <t>Green cover / tree plantation maintained</t>
        </is>
      </c>
      <c r="D34" s="9" t="inlineStr">
        <is>
          <t>Green cover report</t>
        </is>
      </c>
      <c r="E34" s="10" t="inlineStr"/>
      <c r="F34" s="10" t="inlineStr"/>
      <c r="G34" s="9" t="inlineStr"/>
      <c r="H34" s="9" t="inlineStr"/>
    </row>
    <row r="35" ht="26" customHeight="1">
      <c r="B35" s="57" t="n">
        <v>7</v>
      </c>
      <c r="C35" s="58" t="inlineStr">
        <is>
          <t>Environmental compliance certificates current</t>
        </is>
      </c>
      <c r="D35" s="58" t="inlineStr">
        <is>
          <t>TNPCB / CPCB certificates</t>
        </is>
      </c>
      <c r="E35" s="59" t="inlineStr"/>
      <c r="F35" s="59" t="inlineStr"/>
      <c r="G35" s="58" t="inlineStr"/>
      <c r="H35" s="58" t="inlineStr"/>
    </row>
    <row r="36" ht="26" customHeight="1"/>
    <row r="37" ht="26" customHeight="1"/>
    <row r="38" ht="26" customHeight="1"/>
    <row r="39" ht="26" customHeight="1"/>
    <row r="40" ht="26" customHeight="1"/>
    <row r="41" ht="26" customHeight="1"/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</sheetData>
  <mergeCells count="5">
    <mergeCell ref="B27:H27"/>
    <mergeCell ref="B16:H16"/>
    <mergeCell ref="B2:H2"/>
    <mergeCell ref="B3:H3"/>
    <mergeCell ref="B5:H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H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AAA-21: DEPARTMENTAL AUDIT OBSERVATION SHEET</t>
        </is>
      </c>
    </row>
    <row r="3" ht="25" customHeight="1">
      <c r="B3" s="2" t="inlineStr">
        <is>
          <t>Department / Unit: ___________________  Audit Date: _______  Lead Auditor: ___________________  Audit Cycle: _______</t>
        </is>
      </c>
    </row>
    <row r="4" ht="24" customHeight="1">
      <c r="B4" s="19" t="inlineStr">
        <is>
          <t>AUDIT SUMMARY</t>
        </is>
      </c>
    </row>
    <row r="5" ht="28" customHeight="1">
      <c r="B5" s="39" t="inlineStr">
        <is>
          <t>Audit Type:</t>
        </is>
      </c>
      <c r="C5" s="60" t="inlineStr">
        <is>
          <t>[ ] Academic  [ ] Administrative  [ ] Both</t>
        </is>
      </c>
    </row>
    <row r="6" ht="28" customHeight="1">
      <c r="B6" s="39" t="inlineStr">
        <is>
          <t>Audit Mode:</t>
        </is>
      </c>
      <c r="C6" s="60" t="inlineStr">
        <is>
          <t>[ ] Document Review  [ ] Site Visit  [ ] Interview  [ ] All Three</t>
        </is>
      </c>
    </row>
    <row r="7" ht="28" customHeight="1">
      <c r="B7" s="39" t="inlineStr">
        <is>
          <t>Opening Meeting Held:</t>
        </is>
      </c>
      <c r="C7" s="60" t="inlineStr">
        <is>
          <t>[ ] Yes  [ ] No</t>
        </is>
      </c>
    </row>
    <row r="8" ht="28" customHeight="1">
      <c r="B8" s="39" t="inlineStr">
        <is>
          <t>Documents Reviewed:</t>
        </is>
      </c>
      <c r="C8" s="60" t="inlineStr">
        <is>
          <t>List attached</t>
        </is>
      </c>
    </row>
    <row r="9" ht="28" customHeight="1">
      <c r="B9" s="39" t="inlineStr">
        <is>
          <t>Faculty / Staff Interviewed:</t>
        </is>
      </c>
      <c r="C9" s="60" t="inlineStr">
        <is>
          <t>No. interviewed: _______</t>
        </is>
      </c>
    </row>
    <row r="10" ht="28" customHeight="1">
      <c r="B10" s="39" t="inlineStr">
        <is>
          <t>Closing Meeting Held:</t>
        </is>
      </c>
      <c r="C10" s="60" t="inlineStr">
        <is>
          <t>[ ] Yes  [ ] No</t>
        </is>
      </c>
    </row>
    <row r="11" ht="28" customHeight="1"/>
    <row r="12" ht="24" customHeight="1">
      <c r="B12" s="34" t="inlineStr">
        <is>
          <t>DOMAIN-WISE RATING SUMMARY</t>
        </is>
      </c>
    </row>
    <row r="13" ht="28" customHeight="1">
      <c r="B13" s="30" t="inlineStr">
        <is>
          <t>Audit Domain</t>
        </is>
      </c>
      <c r="C13" s="30" t="inlineStr">
        <is>
          <t>Parameters
Audited</t>
        </is>
      </c>
      <c r="D13" s="30" t="inlineStr">
        <is>
          <t>Avg Rating
(/5)</t>
        </is>
      </c>
      <c r="E13" s="30" t="inlineStr">
        <is>
          <t>NCRs
(Major)</t>
        </is>
      </c>
      <c r="F13" s="30" t="inlineStr">
        <is>
          <t>NCRs
(Minor)</t>
        </is>
      </c>
      <c r="G13" s="30" t="inlineStr">
        <is>
          <t>OFIs</t>
        </is>
      </c>
      <c r="H13" s="30" t="inlineStr">
        <is>
          <t>Commendations</t>
        </is>
      </c>
    </row>
    <row r="14" ht="28" customHeight="1">
      <c r="B14" s="35" t="inlineStr">
        <is>
          <t>Curriculum &amp; Syllabus</t>
        </is>
      </c>
      <c r="C14" s="33" t="inlineStr"/>
      <c r="D14" s="33" t="inlineStr"/>
      <c r="E14" s="33" t="inlineStr"/>
      <c r="F14" s="33" t="inlineStr"/>
      <c r="G14" s="33" t="inlineStr"/>
      <c r="H14" s="33" t="inlineStr"/>
    </row>
    <row r="15" ht="28" customHeight="1">
      <c r="B15" s="25" t="inlineStr">
        <is>
          <t>Teaching-Learning Process</t>
        </is>
      </c>
      <c r="C15" s="10" t="inlineStr"/>
      <c r="D15" s="10" t="inlineStr"/>
      <c r="E15" s="10" t="inlineStr"/>
      <c r="F15" s="10" t="inlineStr"/>
      <c r="G15" s="10" t="inlineStr"/>
      <c r="H15" s="10" t="inlineStr"/>
    </row>
    <row r="16" ht="28" customHeight="1">
      <c r="B16" s="35" t="inlineStr">
        <is>
          <t>Assessment &amp; Examination</t>
        </is>
      </c>
      <c r="C16" s="33" t="inlineStr"/>
      <c r="D16" s="33" t="inlineStr"/>
      <c r="E16" s="33" t="inlineStr"/>
      <c r="F16" s="33" t="inlineStr"/>
      <c r="G16" s="33" t="inlineStr"/>
      <c r="H16" s="33" t="inlineStr"/>
    </row>
    <row r="17" ht="28" customHeight="1">
      <c r="B17" s="25" t="inlineStr">
        <is>
          <t>Student Performance &amp; Outcomes</t>
        </is>
      </c>
      <c r="C17" s="10" t="inlineStr"/>
      <c r="D17" s="10" t="inlineStr"/>
      <c r="E17" s="10" t="inlineStr"/>
      <c r="F17" s="10" t="inlineStr"/>
      <c r="G17" s="10" t="inlineStr"/>
      <c r="H17" s="10" t="inlineStr"/>
    </row>
    <row r="18" ht="28" customHeight="1">
      <c r="B18" s="35" t="inlineStr">
        <is>
          <t>Faculty Performance &amp; Development</t>
        </is>
      </c>
      <c r="C18" s="33" t="inlineStr"/>
      <c r="D18" s="33" t="inlineStr"/>
      <c r="E18" s="33" t="inlineStr"/>
      <c r="F18" s="33" t="inlineStr"/>
      <c r="G18" s="33" t="inlineStr"/>
      <c r="H18" s="33" t="inlineStr"/>
    </row>
    <row r="19" ht="28" customHeight="1">
      <c r="B19" s="25" t="inlineStr">
        <is>
          <t>Research &amp; Innovation</t>
        </is>
      </c>
      <c r="C19" s="10" t="inlineStr"/>
      <c r="D19" s="10" t="inlineStr"/>
      <c r="E19" s="10" t="inlineStr"/>
      <c r="F19" s="10" t="inlineStr"/>
      <c r="G19" s="10" t="inlineStr"/>
      <c r="H19" s="10" t="inlineStr"/>
    </row>
    <row r="20" ht="28" customHeight="1">
      <c r="B20" s="35" t="inlineStr">
        <is>
          <t>Student Support &amp; Mentoring</t>
        </is>
      </c>
      <c r="C20" s="33" t="inlineStr"/>
      <c r="D20" s="33" t="inlineStr"/>
      <c r="E20" s="33" t="inlineStr"/>
      <c r="F20" s="33" t="inlineStr"/>
      <c r="G20" s="33" t="inlineStr"/>
      <c r="H20" s="33" t="inlineStr"/>
    </row>
    <row r="21" ht="28" customHeight="1">
      <c r="B21" s="25" t="inlineStr">
        <is>
          <t>Governance &amp; Leadership</t>
        </is>
      </c>
      <c r="C21" s="10" t="inlineStr"/>
      <c r="D21" s="10" t="inlineStr"/>
      <c r="E21" s="10" t="inlineStr"/>
      <c r="F21" s="10" t="inlineStr"/>
      <c r="G21" s="10" t="inlineStr"/>
      <c r="H21" s="10" t="inlineStr"/>
    </row>
    <row r="22" ht="28" customHeight="1">
      <c r="B22" s="35" t="inlineStr">
        <is>
          <t>HR &amp; Staffing</t>
        </is>
      </c>
      <c r="C22" s="33" t="inlineStr"/>
      <c r="D22" s="33" t="inlineStr"/>
      <c r="E22" s="33" t="inlineStr"/>
      <c r="F22" s="33" t="inlineStr"/>
      <c r="G22" s="33" t="inlineStr"/>
      <c r="H22" s="33" t="inlineStr"/>
    </row>
    <row r="23" ht="28" customHeight="1">
      <c r="B23" s="25" t="inlineStr">
        <is>
          <t>Finance &amp; Accounts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 ht="28" customHeight="1">
      <c r="B24" s="35" t="inlineStr">
        <is>
          <t>Infrastructure &amp; Safety</t>
        </is>
      </c>
      <c r="C24" s="33" t="inlineStr"/>
      <c r="D24" s="33" t="inlineStr"/>
      <c r="E24" s="33" t="inlineStr"/>
      <c r="F24" s="33" t="inlineStr"/>
      <c r="G24" s="33" t="inlineStr"/>
      <c r="H24" s="33" t="inlineStr"/>
    </row>
    <row r="25" ht="28" customHeight="1">
      <c r="B25" s="25" t="inlineStr">
        <is>
          <t>ICT &amp; Digital Governance</t>
        </is>
      </c>
      <c r="C25" s="10" t="inlineStr"/>
      <c r="D25" s="10" t="inlineStr"/>
      <c r="E25" s="10" t="inlineStr"/>
      <c r="F25" s="10" t="inlineStr"/>
      <c r="G25" s="10" t="inlineStr"/>
      <c r="H25" s="10" t="inlineStr"/>
    </row>
    <row r="26" ht="28" customHeight="1">
      <c r="B26" s="35" t="inlineStr">
        <is>
          <t>Welfare &amp; Student Services</t>
        </is>
      </c>
      <c r="C26" s="33" t="inlineStr"/>
      <c r="D26" s="33" t="inlineStr"/>
      <c r="E26" s="33" t="inlineStr"/>
      <c r="F26" s="33" t="inlineStr"/>
      <c r="G26" s="33" t="inlineStr"/>
      <c r="H26" s="33" t="inlineStr"/>
    </row>
    <row r="27" ht="28" customHeight="1"/>
    <row r="28" ht="32" customHeight="1">
      <c r="B28" s="61" t="inlineStr">
        <is>
          <t>OVERALL DEPARTMENT AUDIT SCORE</t>
        </is>
      </c>
      <c r="C28" s="62" t="n"/>
      <c r="D28" s="62" t="n"/>
      <c r="E28" s="63">
        <f>IFERROR(ROUND(AVERAGE(D14:D26),2),"")</f>
        <v/>
      </c>
      <c r="F28" s="62" t="n"/>
      <c r="G28" s="62" t="n"/>
      <c r="H28" s="62" t="n"/>
    </row>
    <row r="29" ht="28" customHeight="1"/>
    <row r="30" ht="24" customHeight="1">
      <c r="B30" s="27" t="inlineStr">
        <is>
          <t>KEY OBSERVATIONS (Strengths, Weaknesses, OFIs)</t>
        </is>
      </c>
    </row>
    <row r="31" ht="28" customHeight="1">
      <c r="B31" s="64" t="inlineStr">
        <is>
          <t>STRENGTHS (Commendations):</t>
        </is>
      </c>
    </row>
    <row r="32" ht="60" customHeight="1">
      <c r="B32" s="43" t="inlineStr"/>
    </row>
    <row r="33" ht="28" customHeight="1"/>
    <row r="34" ht="28" customHeight="1">
      <c r="B34" s="65" t="inlineStr">
        <is>
          <t>AREAS FOR IMPROVEMENT (OFIs):</t>
        </is>
      </c>
    </row>
    <row r="35" ht="60" customHeight="1">
      <c r="B35" s="43" t="inlineStr"/>
    </row>
    <row r="36" ht="28" customHeight="1"/>
    <row r="37" ht="28" customHeight="1">
      <c r="B37" s="66" t="inlineStr">
        <is>
          <t>NON-CONFORMANCES (NCRs):</t>
        </is>
      </c>
    </row>
    <row r="38" ht="60" customHeight="1">
      <c r="B38" s="43" t="inlineStr"/>
    </row>
    <row r="39" ht="28" customHeight="1"/>
    <row r="40" ht="28" customHeight="1">
      <c r="B40" s="67" t="inlineStr">
        <is>
          <t>RECOMMENDATIONS TO MANAGEMENT:</t>
        </is>
      </c>
    </row>
    <row r="41" ht="60" customHeight="1">
      <c r="B41" s="43" t="inlineStr"/>
    </row>
    <row r="42" ht="28" customHeight="1"/>
    <row r="43" ht="28" customHeight="1"/>
    <row r="44" ht="28" customHeight="1">
      <c r="B44" s="29" t="inlineStr">
        <is>
          <t>Lead Auditor: ___________________    Co-Auditor: ___________________    Auditee (HoD): ___________________    Date: ___________________</t>
        </is>
      </c>
    </row>
  </sheetData>
  <mergeCells count="20">
    <mergeCell ref="C10:H10"/>
    <mergeCell ref="B40:H40"/>
    <mergeCell ref="C9:H9"/>
    <mergeCell ref="B30:H30"/>
    <mergeCell ref="B37:H37"/>
    <mergeCell ref="B38:H39"/>
    <mergeCell ref="B4:H4"/>
    <mergeCell ref="C8:H8"/>
    <mergeCell ref="B3:H3"/>
    <mergeCell ref="C7:H7"/>
    <mergeCell ref="B31:H31"/>
    <mergeCell ref="B12:H12"/>
    <mergeCell ref="B2:H2"/>
    <mergeCell ref="C6:H6"/>
    <mergeCell ref="B32:H33"/>
    <mergeCell ref="C5:H5"/>
    <mergeCell ref="B44:H44"/>
    <mergeCell ref="B34:H34"/>
    <mergeCell ref="B41:H42"/>
    <mergeCell ref="B35:H3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AAA-22: NON-CONFORMANCE REPORT (NCR)</t>
        </is>
      </c>
    </row>
    <row r="3" ht="25" customHeight="1">
      <c r="B3" s="2" t="inlineStr">
        <is>
          <t>NCR Ref. No.: AAA/NCR/______/______   Audit Date: _______   Lead Auditor: ___________________</t>
        </is>
      </c>
    </row>
    <row r="4" ht="24" customHeight="1">
      <c r="B4" s="19" t="inlineStr">
        <is>
          <t>SECTION A — NCR DETAILS</t>
        </is>
      </c>
    </row>
    <row r="5" ht="32" customHeight="1">
      <c r="B5" s="68" t="inlineStr">
        <is>
          <t>NCR Classification:</t>
        </is>
      </c>
      <c r="C5" s="60" t="inlineStr">
        <is>
          <t>[ ] Major NCR (Rating: 1) — Systemic failure, immediate action required   [ ] Minor NCR (Rating: 2) — Isolated, corrective action needed</t>
        </is>
      </c>
    </row>
    <row r="6" ht="32" customHeight="1">
      <c r="B6" s="68" t="inlineStr">
        <is>
          <t>Department / Unit:</t>
        </is>
      </c>
      <c r="C6" s="9" t="n"/>
    </row>
    <row r="7" ht="32" customHeight="1">
      <c r="B7" s="68" t="inlineStr">
        <is>
          <t>Audit Domain:</t>
        </is>
      </c>
      <c r="C7" s="60" t="inlineStr">
        <is>
          <t>[ ] Academic  [ ] Administrative  [ ] Both</t>
        </is>
      </c>
    </row>
    <row r="8" ht="32" customHeight="1">
      <c r="B8" s="68" t="inlineStr">
        <is>
          <t>Audit Parameter Number:</t>
        </is>
      </c>
      <c r="C8" s="9" t="n"/>
    </row>
    <row r="9" ht="32" customHeight="1">
      <c r="B9" s="68" t="inlineStr">
        <is>
          <t>Non-conformance Description:</t>
        </is>
      </c>
      <c r="C9" s="9" t="n"/>
    </row>
    <row r="10" ht="32" customHeight="1">
      <c r="B10" s="68" t="inlineStr">
        <is>
          <t>Evidence / Observations supporting NCR:</t>
        </is>
      </c>
      <c r="C10" s="9" t="n"/>
    </row>
    <row r="11" ht="32" customHeight="1">
      <c r="B11" s="68" t="inlineStr">
        <is>
          <t>Reference Standard / Policy / Norm violated:</t>
        </is>
      </c>
      <c r="C11" s="60" t="inlineStr">
        <is>
          <t>[ ] AICTE norms  [ ] UGC norms  [ ] University regulation  [ ] NBA criterion  [ ] NAAC criterion  [ ] Institutional policy</t>
        </is>
      </c>
    </row>
    <row r="12" ht="32" customHeight="1">
      <c r="B12" s="68" t="inlineStr">
        <is>
          <t>Potential Impact (if not addressed):</t>
        </is>
      </c>
      <c r="C12" s="60" t="inlineStr">
        <is>
          <t>[ ] Critical — affects accreditation  [ ] Significant — affects operations  [ ] Moderate  [ ] Minor</t>
        </is>
      </c>
    </row>
    <row r="13" ht="30" customHeight="1"/>
    <row r="14" ht="24" customHeight="1">
      <c r="B14" s="34" t="inlineStr">
        <is>
          <t>SECTION B — CORRECTIVE ACTION PLAN (to be filled by auditee)</t>
        </is>
      </c>
    </row>
    <row r="15" ht="32" customHeight="1">
      <c r="B15" s="40" t="inlineStr">
        <is>
          <t>Root Cause Analysis:</t>
        </is>
      </c>
      <c r="C15" s="60" t="inlineStr">
        <is>
          <t>[ ] Lack of procedure  [ ] Procedure not followed  [ ] Resource constraint  [ ] Awareness gap  [ ] Other</t>
        </is>
      </c>
    </row>
    <row r="16" ht="32" customHeight="1">
      <c r="B16" s="40" t="inlineStr">
        <is>
          <t>Corrective Action Proposed:</t>
        </is>
      </c>
      <c r="C16" s="9" t="n"/>
    </row>
    <row r="17" ht="32" customHeight="1">
      <c r="B17" s="40" t="inlineStr">
        <is>
          <t>Preventive Action Proposed:</t>
        </is>
      </c>
      <c r="C17" s="9" t="n"/>
    </row>
    <row r="18" ht="32" customHeight="1">
      <c r="B18" s="40" t="inlineStr">
        <is>
          <t>Person Responsible:</t>
        </is>
      </c>
      <c r="C18" s="9" t="n"/>
    </row>
    <row r="19" ht="32" customHeight="1">
      <c r="B19" s="40" t="inlineStr">
        <is>
          <t>Target Date for Closure:</t>
        </is>
      </c>
      <c r="C19" s="9" t="n"/>
    </row>
    <row r="20" ht="32" customHeight="1">
      <c r="B20" s="40" t="inlineStr">
        <is>
          <t>Verification Method:</t>
        </is>
      </c>
      <c r="C20" s="9" t="n"/>
    </row>
    <row r="21" ht="30" customHeight="1"/>
    <row r="22" ht="24" customHeight="1">
      <c r="B22" s="55" t="inlineStr">
        <is>
          <t>SECTION C — CLOSURE &amp; VERIFICATION (to be filled by auditor)</t>
        </is>
      </c>
    </row>
    <row r="23" ht="30" customHeight="1">
      <c r="B23" s="69" t="inlineStr">
        <is>
          <t>Action Taken (auditee's report):</t>
        </is>
      </c>
      <c r="C23" s="9" t="n"/>
    </row>
    <row r="24" ht="30" customHeight="1">
      <c r="B24" s="69" t="inlineStr">
        <is>
          <t>Date Action Completed:</t>
        </is>
      </c>
      <c r="C24" s="9" t="n"/>
    </row>
    <row r="25" ht="30" customHeight="1">
      <c r="B25" s="69" t="inlineStr">
        <is>
          <t>Evidence of Closure:</t>
        </is>
      </c>
      <c r="C25" s="9" t="n"/>
    </row>
    <row r="26" ht="30" customHeight="1">
      <c r="B26" s="69" t="inlineStr">
        <is>
          <t>Auditor Verification Date:</t>
        </is>
      </c>
      <c r="C26" s="9" t="n"/>
    </row>
    <row r="27" ht="30" customHeight="1">
      <c r="B27" s="69" t="inlineStr">
        <is>
          <t>NCR Status:</t>
        </is>
      </c>
      <c r="C27" s="60" t="inlineStr">
        <is>
          <t>[ ] Closed — satisfactorily resolved   [ ] Partially closed — re-audit needed   [ ] Not closed — escalate</t>
        </is>
      </c>
    </row>
    <row r="28" ht="30" customHeight="1"/>
    <row r="29" ht="30" customHeight="1">
      <c r="B29" s="29" t="inlineStr">
        <is>
          <t>Auditor: ___________________    HoD / Unit Head: ___________________    AAA Coordinator: ___________________    Date Closed: ___________________</t>
        </is>
      </c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</sheetData>
  <mergeCells count="25">
    <mergeCell ref="C16:E16"/>
    <mergeCell ref="C9:E9"/>
    <mergeCell ref="C12:E12"/>
    <mergeCell ref="C11:E11"/>
    <mergeCell ref="C27:E27"/>
    <mergeCell ref="B4:E4"/>
    <mergeCell ref="C23:E23"/>
    <mergeCell ref="C8:E8"/>
    <mergeCell ref="C17:E17"/>
    <mergeCell ref="B3:E3"/>
    <mergeCell ref="C7:E7"/>
    <mergeCell ref="B22:E22"/>
    <mergeCell ref="C19:E19"/>
    <mergeCell ref="C18:E18"/>
    <mergeCell ref="B2:E2"/>
    <mergeCell ref="C15:E15"/>
    <mergeCell ref="B14:E14"/>
    <mergeCell ref="C6:E6"/>
    <mergeCell ref="C24:E24"/>
    <mergeCell ref="C5:E5"/>
    <mergeCell ref="B29:E29"/>
    <mergeCell ref="C26:E26"/>
    <mergeCell ref="C20:E20"/>
    <mergeCell ref="C25:E25"/>
    <mergeCell ref="C10:E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AAA-26: CORRECTIVE ACTION PLAN (CAP) REGISTER</t>
        </is>
      </c>
    </row>
    <row r="3" ht="25" customHeight="1">
      <c r="B3" s="2" t="inlineStr">
        <is>
          <t>Audit Cycle: _______  A.Y.: _______  AAA Coordinator: ___________________  Total NCRs: _______</t>
        </is>
      </c>
    </row>
    <row r="4" ht="25" customHeight="1">
      <c r="B4" s="13" t="inlineStr">
        <is>
          <t>NCR
Ref.</t>
        </is>
      </c>
      <c r="C4" s="13" t="inlineStr">
        <is>
          <t>Department</t>
        </is>
      </c>
      <c r="D4" s="13" t="inlineStr">
        <is>
          <t>NCR
Classification</t>
        </is>
      </c>
      <c r="E4" s="13" t="inlineStr">
        <is>
          <t>NCR Description
(Brief)</t>
        </is>
      </c>
      <c r="F4" s="13" t="inlineStr">
        <is>
          <t>Corrective
Action</t>
        </is>
      </c>
      <c r="G4" s="13" t="inlineStr">
        <is>
          <t>Responsible
Officer</t>
        </is>
      </c>
      <c r="H4" s="13" t="inlineStr">
        <is>
          <t>Target
Date</t>
        </is>
      </c>
      <c r="I4" s="13" t="inlineStr">
        <is>
          <t>Completion
Date</t>
        </is>
      </c>
      <c r="J4" s="13" t="inlineStr">
        <is>
          <t>Status</t>
        </is>
      </c>
    </row>
    <row r="5" ht="26" customHeight="1">
      <c r="B5" s="14" t="inlineStr">
        <is>
          <t>AAA/NCR/2024/001</t>
        </is>
      </c>
      <c r="C5" s="16" t="inlineStr"/>
      <c r="D5" s="14" t="inlineStr">
        <is>
          <t>Major NCR</t>
        </is>
      </c>
      <c r="E5" s="15" t="inlineStr"/>
      <c r="F5" s="15" t="inlineStr"/>
      <c r="G5" s="16" t="inlineStr"/>
      <c r="H5" s="16" t="inlineStr"/>
      <c r="I5" s="16" t="inlineStr"/>
      <c r="J5" s="16" t="inlineStr">
        <is>
          <t>Closed</t>
        </is>
      </c>
    </row>
    <row r="6" ht="26" customHeight="1">
      <c r="B6" s="8" t="inlineStr">
        <is>
          <t>AAA/NCR/2024/002</t>
        </is>
      </c>
      <c r="C6" s="10" t="inlineStr"/>
      <c r="D6" s="8" t="inlineStr">
        <is>
          <t>Minor NCR</t>
        </is>
      </c>
      <c r="E6" s="9" t="inlineStr"/>
      <c r="F6" s="9" t="inlineStr"/>
      <c r="G6" s="10" t="inlineStr"/>
      <c r="H6" s="10" t="inlineStr"/>
      <c r="I6" s="10" t="inlineStr"/>
      <c r="J6" s="10" t="inlineStr">
        <is>
          <t>In Progress</t>
        </is>
      </c>
    </row>
    <row r="7" ht="26" customHeight="1">
      <c r="B7" s="14" t="inlineStr">
        <is>
          <t>AAA/NCR/2024/003</t>
        </is>
      </c>
      <c r="C7" s="16" t="inlineStr"/>
      <c r="D7" s="14" t="inlineStr">
        <is>
          <t>Minor NCR</t>
        </is>
      </c>
      <c r="E7" s="15" t="inlineStr"/>
      <c r="F7" s="15" t="inlineStr"/>
      <c r="G7" s="16" t="inlineStr"/>
      <c r="H7" s="16" t="inlineStr"/>
      <c r="I7" s="16" t="inlineStr"/>
      <c r="J7" s="16" t="inlineStr">
        <is>
          <t>Pending</t>
        </is>
      </c>
    </row>
    <row r="8" ht="26" customHeight="1">
      <c r="B8" s="8" t="inlineStr">
        <is>
          <t>AAA/NCR/2024/004</t>
        </is>
      </c>
      <c r="C8" s="10" t="inlineStr"/>
      <c r="D8" s="8" t="inlineStr">
        <is>
          <t>Major NCR</t>
        </is>
      </c>
      <c r="E8" s="9" t="inlineStr"/>
      <c r="F8" s="9" t="inlineStr"/>
      <c r="G8" s="10" t="inlineStr"/>
      <c r="H8" s="10" t="inlineStr"/>
      <c r="I8" s="10" t="inlineStr"/>
      <c r="J8" s="10" t="inlineStr">
        <is>
          <t>Escalated — Re-audit</t>
        </is>
      </c>
    </row>
    <row r="9" ht="26" customHeight="1">
      <c r="B9" s="14" t="inlineStr">
        <is>
          <t>AAA/NCR/2024/005</t>
        </is>
      </c>
      <c r="C9" s="16" t="inlineStr"/>
      <c r="D9" s="14" t="inlineStr">
        <is>
          <t>Minor NCR</t>
        </is>
      </c>
      <c r="E9" s="15" t="inlineStr"/>
      <c r="F9" s="15" t="inlineStr"/>
      <c r="G9" s="16" t="inlineStr"/>
      <c r="H9" s="16" t="inlineStr"/>
      <c r="I9" s="16" t="inlineStr"/>
      <c r="J9" s="16" t="inlineStr">
        <is>
          <t>Overdue</t>
        </is>
      </c>
    </row>
    <row r="10" ht="26" customHeight="1">
      <c r="B10" s="8" t="inlineStr">
        <is>
          <t>AAA/NCR/2024/006</t>
        </is>
      </c>
      <c r="C10" s="10" t="inlineStr"/>
      <c r="D10" s="8" t="inlineStr">
        <is>
          <t>Minor NCR</t>
        </is>
      </c>
      <c r="E10" s="9" t="inlineStr"/>
      <c r="F10" s="9" t="inlineStr"/>
      <c r="G10" s="10" t="inlineStr"/>
      <c r="H10" s="10" t="inlineStr"/>
      <c r="I10" s="10" t="inlineStr"/>
      <c r="J10" s="10" t="inlineStr">
        <is>
          <t>Closed</t>
        </is>
      </c>
    </row>
    <row r="11" ht="26" customHeight="1">
      <c r="B11" s="14" t="inlineStr">
        <is>
          <t>AAA/NCR/2024/007</t>
        </is>
      </c>
      <c r="C11" s="16" t="inlineStr"/>
      <c r="D11" s="14" t="inlineStr">
        <is>
          <t>Major NCR</t>
        </is>
      </c>
      <c r="E11" s="15" t="inlineStr"/>
      <c r="F11" s="15" t="inlineStr"/>
      <c r="G11" s="16" t="inlineStr"/>
      <c r="H11" s="16" t="inlineStr"/>
      <c r="I11" s="16" t="inlineStr"/>
      <c r="J11" s="16" t="inlineStr">
        <is>
          <t>In Progress</t>
        </is>
      </c>
    </row>
    <row r="12" ht="26" customHeight="1">
      <c r="B12" s="8" t="inlineStr">
        <is>
          <t>AAA/NCR/2024/008</t>
        </is>
      </c>
      <c r="C12" s="10" t="inlineStr"/>
      <c r="D12" s="8" t="inlineStr">
        <is>
          <t>Minor NCR</t>
        </is>
      </c>
      <c r="E12" s="9" t="inlineStr"/>
      <c r="F12" s="9" t="inlineStr"/>
      <c r="G12" s="10" t="inlineStr"/>
      <c r="H12" s="10" t="inlineStr"/>
      <c r="I12" s="10" t="inlineStr"/>
      <c r="J12" s="10" t="inlineStr">
        <is>
          <t>Pending</t>
        </is>
      </c>
    </row>
    <row r="13" ht="26" customHeight="1">
      <c r="B13" s="14" t="inlineStr">
        <is>
          <t>AAA/NCR/2024/009</t>
        </is>
      </c>
      <c r="C13" s="16" t="inlineStr"/>
      <c r="D13" s="14" t="inlineStr">
        <is>
          <t>Minor NCR</t>
        </is>
      </c>
      <c r="E13" s="15" t="inlineStr"/>
      <c r="F13" s="15" t="inlineStr"/>
      <c r="G13" s="16" t="inlineStr"/>
      <c r="H13" s="16" t="inlineStr"/>
      <c r="I13" s="16" t="inlineStr"/>
      <c r="J13" s="16" t="inlineStr">
        <is>
          <t>Escalated — Re-audit</t>
        </is>
      </c>
    </row>
    <row r="14" ht="26" customHeight="1">
      <c r="B14" s="8" t="inlineStr">
        <is>
          <t>AAA/NCR/2024/010</t>
        </is>
      </c>
      <c r="C14" s="10" t="inlineStr"/>
      <c r="D14" s="8" t="inlineStr">
        <is>
          <t>Major NCR</t>
        </is>
      </c>
      <c r="E14" s="9" t="inlineStr"/>
      <c r="F14" s="9" t="inlineStr"/>
      <c r="G14" s="10" t="inlineStr"/>
      <c r="H14" s="10" t="inlineStr"/>
      <c r="I14" s="10" t="inlineStr"/>
      <c r="J14" s="10" t="inlineStr">
        <is>
          <t>Overdue</t>
        </is>
      </c>
    </row>
    <row r="15" ht="26" customHeight="1">
      <c r="B15" s="14" t="inlineStr">
        <is>
          <t>AAA/NCR/2024/011</t>
        </is>
      </c>
      <c r="C15" s="16" t="inlineStr"/>
      <c r="D15" s="14" t="inlineStr">
        <is>
          <t>Minor NCR</t>
        </is>
      </c>
      <c r="E15" s="15" t="inlineStr"/>
      <c r="F15" s="15" t="inlineStr"/>
      <c r="G15" s="16" t="inlineStr"/>
      <c r="H15" s="16" t="inlineStr"/>
      <c r="I15" s="16" t="inlineStr"/>
      <c r="J15" s="16" t="inlineStr">
        <is>
          <t>Closed</t>
        </is>
      </c>
    </row>
    <row r="16" ht="26" customHeight="1">
      <c r="B16" s="8" t="inlineStr">
        <is>
          <t>AAA/NCR/2024/012</t>
        </is>
      </c>
      <c r="C16" s="10" t="inlineStr"/>
      <c r="D16" s="8" t="inlineStr">
        <is>
          <t>Minor NCR</t>
        </is>
      </c>
      <c r="E16" s="9" t="inlineStr"/>
      <c r="F16" s="9" t="inlineStr"/>
      <c r="G16" s="10" t="inlineStr"/>
      <c r="H16" s="10" t="inlineStr"/>
      <c r="I16" s="10" t="inlineStr"/>
      <c r="J16" s="10" t="inlineStr">
        <is>
          <t>In Progress</t>
        </is>
      </c>
    </row>
    <row r="17" ht="26" customHeight="1">
      <c r="B17" s="14" t="inlineStr">
        <is>
          <t>AAA/NCR/2025/013</t>
        </is>
      </c>
      <c r="C17" s="16" t="inlineStr"/>
      <c r="D17" s="14" t="inlineStr">
        <is>
          <t>Major NCR</t>
        </is>
      </c>
      <c r="E17" s="15" t="inlineStr"/>
      <c r="F17" s="15" t="inlineStr"/>
      <c r="G17" s="16" t="inlineStr"/>
      <c r="H17" s="16" t="inlineStr"/>
      <c r="I17" s="16" t="inlineStr"/>
      <c r="J17" s="16" t="inlineStr">
        <is>
          <t>Pending</t>
        </is>
      </c>
    </row>
    <row r="18" ht="26" customHeight="1">
      <c r="B18" s="8" t="inlineStr">
        <is>
          <t>AAA/NCR/2025/014</t>
        </is>
      </c>
      <c r="C18" s="10" t="inlineStr"/>
      <c r="D18" s="8" t="inlineStr">
        <is>
          <t>Minor NCR</t>
        </is>
      </c>
      <c r="E18" s="9" t="inlineStr"/>
      <c r="F18" s="9" t="inlineStr"/>
      <c r="G18" s="10" t="inlineStr"/>
      <c r="H18" s="10" t="inlineStr"/>
      <c r="I18" s="10" t="inlineStr"/>
      <c r="J18" s="10" t="inlineStr">
        <is>
          <t>Escalated — Re-audit</t>
        </is>
      </c>
    </row>
    <row r="19" ht="26" customHeight="1">
      <c r="B19" s="14" t="inlineStr">
        <is>
          <t>AAA/NCR/2025/015</t>
        </is>
      </c>
      <c r="C19" s="16" t="inlineStr"/>
      <c r="D19" s="14" t="inlineStr">
        <is>
          <t>Minor NCR</t>
        </is>
      </c>
      <c r="E19" s="15" t="inlineStr"/>
      <c r="F19" s="15" t="inlineStr"/>
      <c r="G19" s="16" t="inlineStr"/>
      <c r="H19" s="16" t="inlineStr"/>
      <c r="I19" s="16" t="inlineStr"/>
      <c r="J19" s="16" t="inlineStr">
        <is>
          <t>Overdue</t>
        </is>
      </c>
    </row>
    <row r="20" ht="26" customHeight="1">
      <c r="B20" s="8" t="inlineStr">
        <is>
          <t>AAA/NCR/2025/016</t>
        </is>
      </c>
      <c r="C20" s="10" t="inlineStr"/>
      <c r="D20" s="8" t="inlineStr">
        <is>
          <t>Major NCR</t>
        </is>
      </c>
      <c r="E20" s="9" t="inlineStr"/>
      <c r="F20" s="9" t="inlineStr"/>
      <c r="G20" s="10" t="inlineStr"/>
      <c r="H20" s="10" t="inlineStr"/>
      <c r="I20" s="10" t="inlineStr"/>
      <c r="J20" s="10" t="inlineStr">
        <is>
          <t>Closed</t>
        </is>
      </c>
    </row>
    <row r="21" ht="26" customHeight="1">
      <c r="B21" s="14" t="inlineStr">
        <is>
          <t>AAA/NCR/2025/017</t>
        </is>
      </c>
      <c r="C21" s="16" t="inlineStr"/>
      <c r="D21" s="14" t="inlineStr">
        <is>
          <t>Minor NCR</t>
        </is>
      </c>
      <c r="E21" s="15" t="inlineStr"/>
      <c r="F21" s="15" t="inlineStr"/>
      <c r="G21" s="16" t="inlineStr"/>
      <c r="H21" s="16" t="inlineStr"/>
      <c r="I21" s="16" t="inlineStr"/>
      <c r="J21" s="16" t="inlineStr">
        <is>
          <t>In Progress</t>
        </is>
      </c>
    </row>
    <row r="22" ht="26" customHeight="1">
      <c r="B22" s="8" t="inlineStr">
        <is>
          <t>AAA/NCR/2025/018</t>
        </is>
      </c>
      <c r="C22" s="10" t="inlineStr"/>
      <c r="D22" s="8" t="inlineStr">
        <is>
          <t>Minor NCR</t>
        </is>
      </c>
      <c r="E22" s="9" t="inlineStr"/>
      <c r="F22" s="9" t="inlineStr"/>
      <c r="G22" s="10" t="inlineStr"/>
      <c r="H22" s="10" t="inlineStr"/>
      <c r="I22" s="10" t="inlineStr"/>
      <c r="J22" s="10" t="inlineStr">
        <is>
          <t>Pending</t>
        </is>
      </c>
    </row>
    <row r="23" ht="26" customHeight="1">
      <c r="B23" s="14" t="inlineStr">
        <is>
          <t>AAA/NCR/2025/019</t>
        </is>
      </c>
      <c r="C23" s="16" t="inlineStr"/>
      <c r="D23" s="14" t="inlineStr">
        <is>
          <t>Major NCR</t>
        </is>
      </c>
      <c r="E23" s="15" t="inlineStr"/>
      <c r="F23" s="15" t="inlineStr"/>
      <c r="G23" s="16" t="inlineStr"/>
      <c r="H23" s="16" t="inlineStr"/>
      <c r="I23" s="16" t="inlineStr"/>
      <c r="J23" s="16" t="inlineStr">
        <is>
          <t>Escalated — Re-audit</t>
        </is>
      </c>
    </row>
    <row r="24" ht="26" customHeight="1">
      <c r="B24" s="8" t="inlineStr">
        <is>
          <t>AAA/NCR/2025/020</t>
        </is>
      </c>
      <c r="C24" s="10" t="inlineStr"/>
      <c r="D24" s="8" t="inlineStr">
        <is>
          <t>Minor NCR</t>
        </is>
      </c>
      <c r="E24" s="9" t="inlineStr"/>
      <c r="F24" s="9" t="inlineStr"/>
      <c r="G24" s="10" t="inlineStr"/>
      <c r="H24" s="10" t="inlineStr"/>
      <c r="I24" s="10" t="inlineStr"/>
      <c r="J24" s="10" t="inlineStr">
        <is>
          <t>Overdue</t>
        </is>
      </c>
    </row>
    <row r="25" ht="26" customHeight="1">
      <c r="B25" s="14" t="inlineStr">
        <is>
          <t>AAA/NCR/2025/021</t>
        </is>
      </c>
      <c r="C25" s="16" t="inlineStr"/>
      <c r="D25" s="14" t="inlineStr">
        <is>
          <t>Minor NCR</t>
        </is>
      </c>
      <c r="E25" s="15" t="inlineStr"/>
      <c r="F25" s="15" t="inlineStr"/>
      <c r="G25" s="16" t="inlineStr"/>
      <c r="H25" s="16" t="inlineStr"/>
      <c r="I25" s="16" t="inlineStr"/>
      <c r="J25" s="16" t="inlineStr">
        <is>
          <t>Closed</t>
        </is>
      </c>
    </row>
    <row r="26" ht="26" customHeight="1">
      <c r="B26" s="8" t="inlineStr">
        <is>
          <t>AAA/NCR/2025/022</t>
        </is>
      </c>
      <c r="C26" s="10" t="inlineStr"/>
      <c r="D26" s="8" t="inlineStr">
        <is>
          <t>Major NCR</t>
        </is>
      </c>
      <c r="E26" s="9" t="inlineStr"/>
      <c r="F26" s="9" t="inlineStr"/>
      <c r="G26" s="10" t="inlineStr"/>
      <c r="H26" s="10" t="inlineStr"/>
      <c r="I26" s="10" t="inlineStr"/>
      <c r="J26" s="10" t="inlineStr">
        <is>
          <t>In Progress</t>
        </is>
      </c>
    </row>
    <row r="27" ht="26" customHeight="1">
      <c r="B27" s="14" t="inlineStr">
        <is>
          <t>AAA/NCR/2025/023</t>
        </is>
      </c>
      <c r="C27" s="16" t="inlineStr"/>
      <c r="D27" s="14" t="inlineStr">
        <is>
          <t>Minor NCR</t>
        </is>
      </c>
      <c r="E27" s="15" t="inlineStr"/>
      <c r="F27" s="15" t="inlineStr"/>
      <c r="G27" s="16" t="inlineStr"/>
      <c r="H27" s="16" t="inlineStr"/>
      <c r="I27" s="16" t="inlineStr"/>
      <c r="J27" s="16" t="inlineStr">
        <is>
          <t>Pending</t>
        </is>
      </c>
    </row>
    <row r="28" ht="26" customHeight="1">
      <c r="B28" s="8" t="inlineStr">
        <is>
          <t>AAA/NCR/2025/024</t>
        </is>
      </c>
      <c r="C28" s="10" t="inlineStr"/>
      <c r="D28" s="8" t="inlineStr">
        <is>
          <t>Minor NCR</t>
        </is>
      </c>
      <c r="E28" s="9" t="inlineStr"/>
      <c r="F28" s="9" t="inlineStr"/>
      <c r="G28" s="10" t="inlineStr"/>
      <c r="H28" s="10" t="inlineStr"/>
      <c r="I28" s="10" t="inlineStr"/>
      <c r="J28" s="10" t="inlineStr">
        <is>
          <t>Escalated — Re-audit</t>
        </is>
      </c>
    </row>
    <row r="29" ht="26" customHeight="1"/>
    <row r="30" ht="24" customHeight="1">
      <c r="B30" s="34" t="inlineStr">
        <is>
          <t>CAP IMPLEMENTATION DASHBOARD</t>
        </is>
      </c>
    </row>
    <row r="31" ht="26" customHeight="1">
      <c r="B31" s="46" t="inlineStr">
        <is>
          <t>Total NCRs Raised</t>
        </is>
      </c>
      <c r="F31" s="36">
        <f>COUNTA(B5:B28)</f>
        <v/>
      </c>
    </row>
    <row r="32" ht="26" customHeight="1">
      <c r="B32" s="25" t="inlineStr">
        <is>
          <t>Major NCRs</t>
        </is>
      </c>
      <c r="F32" s="37">
        <f>COUNTIF(D5:D28,"Major NCR")</f>
        <v/>
      </c>
    </row>
    <row r="33" ht="26" customHeight="1">
      <c r="B33" s="46" t="inlineStr">
        <is>
          <t>Minor NCRs</t>
        </is>
      </c>
      <c r="F33" s="36">
        <f>COUNTIF(D5:D28,"Minor NCR")</f>
        <v/>
      </c>
    </row>
    <row r="34" ht="26" customHeight="1">
      <c r="B34" s="25" t="inlineStr">
        <is>
          <t>Closed</t>
        </is>
      </c>
      <c r="F34" s="37">
        <f>COUNTIF(J5:J28,"Closed")</f>
        <v/>
      </c>
    </row>
    <row r="35" ht="26" customHeight="1">
      <c r="B35" s="46" t="inlineStr">
        <is>
          <t>In Progress</t>
        </is>
      </c>
      <c r="F35" s="36">
        <f>COUNTIF(J5:J28,"In Progress")</f>
        <v/>
      </c>
    </row>
    <row r="36" ht="26" customHeight="1">
      <c r="B36" s="25" t="inlineStr">
        <is>
          <t>Overdue</t>
        </is>
      </c>
      <c r="F36" s="37">
        <f>COUNTIF(J5:J28,"Overdue")</f>
        <v/>
      </c>
    </row>
    <row r="37" ht="26" customHeight="1">
      <c r="B37" s="46" t="inlineStr">
        <is>
          <t>Escalated for Re-Audit</t>
        </is>
      </c>
      <c r="F37" s="36">
        <f>COUNTIF(J5:J28,"Escalated — Re-audit")</f>
        <v/>
      </c>
    </row>
    <row r="38">
      <c r="B38" s="25" t="inlineStr">
        <is>
          <t>NCR Closure Rate (%)</t>
        </is>
      </c>
      <c r="F38" s="37">
        <f>IFERROR(ROUND(C34/C31*100,1),"")</f>
        <v/>
      </c>
    </row>
  </sheetData>
  <mergeCells count="19">
    <mergeCell ref="F34:J34"/>
    <mergeCell ref="B33:E33"/>
    <mergeCell ref="B36:E36"/>
    <mergeCell ref="B32:E32"/>
    <mergeCell ref="B35:E35"/>
    <mergeCell ref="F36:J36"/>
    <mergeCell ref="F33:J33"/>
    <mergeCell ref="F35:J35"/>
    <mergeCell ref="F32:J32"/>
    <mergeCell ref="B30:J30"/>
    <mergeCell ref="B31:E31"/>
    <mergeCell ref="F38:J38"/>
    <mergeCell ref="F31:J31"/>
    <mergeCell ref="B3:J3"/>
    <mergeCell ref="F37:J37"/>
    <mergeCell ref="B38:E38"/>
    <mergeCell ref="B37:E37"/>
    <mergeCell ref="B2:J2"/>
    <mergeCell ref="B34:E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3" customWidth="1" min="15" max="15"/>
  </cols>
  <sheetData>
    <row r="1" ht="10" customHeight="1"/>
    <row r="2" ht="48" customHeight="1">
      <c r="B2" s="12" t="inlineStr">
        <is>
          <t>AAA-29: DEPARTMENT AUDIT SCORECARD &amp; INSTITUTIONAL RANKING</t>
        </is>
      </c>
    </row>
    <row r="3" ht="25" customHeight="1">
      <c r="B3" s="2" t="inlineStr">
        <is>
          <t>Audit Cycle: _______  A.Y.: _______  AAA Coordinator: ___________________  Date: _______</t>
        </is>
      </c>
    </row>
    <row r="4" ht="30" customHeight="1">
      <c r="B4" s="13" t="inlineStr">
        <is>
          <t>Dept.</t>
        </is>
      </c>
      <c r="C4" s="13" t="inlineStr">
        <is>
          <t>Dept. Name</t>
        </is>
      </c>
      <c r="D4" s="13" t="inlineStr">
        <is>
          <t>Curriculum
&amp; Syllabus
(/5)</t>
        </is>
      </c>
      <c r="E4" s="13" t="inlineStr">
        <is>
          <t>Teaching-
Learning
(/5)</t>
        </is>
      </c>
      <c r="F4" s="13" t="inlineStr">
        <is>
          <t>Assessment
(/5)</t>
        </is>
      </c>
      <c r="G4" s="13" t="inlineStr">
        <is>
          <t>Student
Performance
(/5)</t>
        </is>
      </c>
      <c r="H4" s="13" t="inlineStr">
        <is>
          <t>Faculty
(/5)</t>
        </is>
      </c>
      <c r="I4" s="13" t="inlineStr">
        <is>
          <t>Research
(/5)</t>
        </is>
      </c>
      <c r="J4" s="13" t="inlineStr">
        <is>
          <t>Governance
(/5)</t>
        </is>
      </c>
      <c r="K4" s="13" t="inlineStr">
        <is>
          <t>HR &amp;
Finance
(/5)</t>
        </is>
      </c>
      <c r="L4" s="13" t="inlineStr">
        <is>
          <t>Infra &amp;
Safety
(/5)</t>
        </is>
      </c>
      <c r="M4" s="13" t="inlineStr">
        <is>
          <t>Avg Score
(/5)</t>
        </is>
      </c>
      <c r="N4" s="13" t="inlineStr">
        <is>
          <t>Rank</t>
        </is>
      </c>
    </row>
    <row r="5" ht="22" customHeight="1">
      <c r="B5" s="14" t="inlineStr">
        <is>
          <t>CSE</t>
        </is>
      </c>
      <c r="C5" s="15" t="inlineStr">
        <is>
          <t>Comp. Sc. &amp; Engg.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70">
        <f>IFERROR(ROUND(AVERAGE(D5:L5),2),"")</f>
        <v/>
      </c>
      <c r="N5" s="70">
        <f>IFERROR(RANK(M5,M$5:M$13,0),"")</f>
        <v/>
      </c>
    </row>
    <row r="6" ht="22" customHeight="1">
      <c r="B6" s="8" t="inlineStr">
        <is>
          <t>ECE</t>
        </is>
      </c>
      <c r="C6" s="9" t="inlineStr">
        <is>
          <t>Electronics &amp; Comm.</t>
        </is>
      </c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37">
        <f>IFERROR(ROUND(AVERAGE(D6:L6),2),"")</f>
        <v/>
      </c>
      <c r="N6" s="37">
        <f>IFERROR(RANK(M6,M$5:M$13,0),"")</f>
        <v/>
      </c>
    </row>
    <row r="7" ht="22" customHeight="1">
      <c r="B7" s="14" t="inlineStr">
        <is>
          <t>EEE</t>
        </is>
      </c>
      <c r="C7" s="15" t="inlineStr">
        <is>
          <t>Elect. &amp; Electronics</t>
        </is>
      </c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70">
        <f>IFERROR(ROUND(AVERAGE(D7:L7),2),"")</f>
        <v/>
      </c>
      <c r="N7" s="70">
        <f>IFERROR(RANK(M7,M$5:M$13,0),"")</f>
        <v/>
      </c>
    </row>
    <row r="8" ht="22" customHeight="1">
      <c r="B8" s="8" t="inlineStr">
        <is>
          <t>MECH</t>
        </is>
      </c>
      <c r="C8" s="9" t="inlineStr">
        <is>
          <t>Mechanical Engg.</t>
        </is>
      </c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37">
        <f>IFERROR(ROUND(AVERAGE(D8:L8),2),"")</f>
        <v/>
      </c>
      <c r="N8" s="37">
        <f>IFERROR(RANK(M8,M$5:M$13,0),"")</f>
        <v/>
      </c>
    </row>
    <row r="9" ht="22" customHeight="1">
      <c r="B9" s="14" t="inlineStr">
        <is>
          <t>CIVIL</t>
        </is>
      </c>
      <c r="C9" s="15" t="inlineStr">
        <is>
          <t>Civil Engg.</t>
        </is>
      </c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70">
        <f>IFERROR(ROUND(AVERAGE(D9:L9),2),"")</f>
        <v/>
      </c>
      <c r="N9" s="70">
        <f>IFERROR(RANK(M9,M$5:M$13,0),"")</f>
        <v/>
      </c>
    </row>
    <row r="10" ht="22" customHeight="1">
      <c r="B10" s="8" t="inlineStr">
        <is>
          <t>S&amp;H</t>
        </is>
      </c>
      <c r="C10" s="9" t="inlineStr">
        <is>
          <t>Sciences &amp; Humanities</t>
        </is>
      </c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37">
        <f>IFERROR(ROUND(AVERAGE(D10:L10),2),"")</f>
        <v/>
      </c>
      <c r="N10" s="37">
        <f>IFERROR(RANK(M10,M$5:M$13,0),"")</f>
        <v/>
      </c>
    </row>
    <row r="11" ht="22" customHeight="1">
      <c r="B11" s="14" t="inlineStr">
        <is>
          <t>MBA</t>
        </is>
      </c>
      <c r="C11" s="15" t="inlineStr">
        <is>
          <t>Business Admn.</t>
        </is>
      </c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70">
        <f>IFERROR(ROUND(AVERAGE(D11:L11),2),"")</f>
        <v/>
      </c>
      <c r="N11" s="70">
        <f>IFERROR(RANK(M11,M$5:M$13,0),"")</f>
        <v/>
      </c>
    </row>
    <row r="12" ht="22" customHeight="1">
      <c r="B12" s="8" t="inlineStr">
        <is>
          <t>MCA</t>
        </is>
      </c>
      <c r="C12" s="9" t="inlineStr">
        <is>
          <t>Computer Applications</t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37">
        <f>IFERROR(ROUND(AVERAGE(D12:L12),2),"")</f>
        <v/>
      </c>
      <c r="N12" s="37">
        <f>IFERROR(RANK(M12,M$5:M$13,0),"")</f>
        <v/>
      </c>
    </row>
    <row r="13" ht="22" customHeight="1">
      <c r="B13" s="14" t="inlineStr">
        <is>
          <t>Admin</t>
        </is>
      </c>
      <c r="C13" s="15" t="inlineStr">
        <is>
          <t>Administration</t>
        </is>
      </c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70">
        <f>IFERROR(ROUND(AVERAGE(D13:L13),2),"")</f>
        <v/>
      </c>
      <c r="N13" s="70">
        <f>IFERROR(RANK(M13,M$5:M$13,0),"")</f>
        <v/>
      </c>
    </row>
    <row r="14" ht="22" customHeight="1"/>
    <row r="15" ht="28" customHeight="1">
      <c r="B15" s="61" t="inlineStr">
        <is>
          <t>INSTITUTION AVG</t>
        </is>
      </c>
      <c r="C15" s="62" t="n"/>
      <c r="D15" s="71">
        <f>IFERROR(ROUND(AVERAGE(D5:D13),2),"")</f>
        <v/>
      </c>
      <c r="E15" s="71">
        <f>IFERROR(ROUND(AVERAGE(E5:E13),2),"")</f>
        <v/>
      </c>
      <c r="F15" s="71">
        <f>IFERROR(ROUND(AVERAGE(F5:F13),2),"")</f>
        <v/>
      </c>
      <c r="G15" s="71">
        <f>IFERROR(ROUND(AVERAGE(G5:G13),2),"")</f>
        <v/>
      </c>
      <c r="H15" s="71">
        <f>IFERROR(ROUND(AVERAGE(H5:H13),2),"")</f>
        <v/>
      </c>
      <c r="I15" s="71">
        <f>IFERROR(ROUND(AVERAGE(I5:I13),2),"")</f>
        <v/>
      </c>
      <c r="J15" s="71">
        <f>IFERROR(ROUND(AVERAGE(J5:J13),2),"")</f>
        <v/>
      </c>
      <c r="K15" s="71">
        <f>IFERROR(ROUND(AVERAGE(K5:K13),2),"")</f>
        <v/>
      </c>
      <c r="L15" s="71">
        <f>IFERROR(ROUND(AVERAGE(L5:L13),2),"")</f>
        <v/>
      </c>
      <c r="M15" s="71">
        <f>IFERROR(ROUND(AVERAGE(M5:M13),2),"")</f>
        <v/>
      </c>
      <c r="N15" s="62" t="n"/>
    </row>
    <row r="16" ht="22" customHeight="1"/>
    <row r="17" ht="24" customHeight="1">
      <c r="B17" s="27" t="inlineStr">
        <is>
          <t>PERFORMANCE GRADE LEGEND</t>
        </is>
      </c>
    </row>
    <row r="18" ht="22" customHeight="1">
      <c r="B18" s="28" t="inlineStr">
        <is>
          <t>Rating</t>
        </is>
      </c>
      <c r="C18" s="28" t="inlineStr">
        <is>
          <t>Score Range</t>
        </is>
      </c>
      <c r="D18" s="28" t="inlineStr">
        <is>
          <t>Grade</t>
        </is>
      </c>
      <c r="E18" s="28" t="inlineStr">
        <is>
          <t>Interpretation</t>
        </is>
      </c>
      <c r="F18" s="28" t="inlineStr"/>
      <c r="G18" s="28" t="inlineStr"/>
      <c r="H18" s="28" t="inlineStr"/>
      <c r="I18" s="28" t="inlineStr"/>
      <c r="J18" s="28" t="inlineStr"/>
      <c r="K18" s="28" t="inlineStr"/>
      <c r="L18" s="28" t="inlineStr"/>
      <c r="M18" s="28" t="inlineStr"/>
      <c r="N18" s="28" t="inlineStr"/>
    </row>
    <row r="19" ht="24" customHeight="1">
      <c r="B19" s="26" t="n">
        <v>5</v>
      </c>
      <c r="C19" s="26" t="inlineStr">
        <is>
          <t>4.5–5.0</t>
        </is>
      </c>
      <c r="D19" s="26" t="inlineStr">
        <is>
          <t>Excellent</t>
        </is>
      </c>
      <c r="E19" s="72" t="inlineStr">
        <is>
          <t>Commendation — Best Practice to Share</t>
        </is>
      </c>
    </row>
    <row r="20" ht="24" customHeight="1">
      <c r="B20" s="73" t="n">
        <v>4</v>
      </c>
      <c r="C20" s="73" t="inlineStr">
        <is>
          <t>3.5–4.4</t>
        </is>
      </c>
      <c r="D20" s="73" t="inlineStr">
        <is>
          <t>Good</t>
        </is>
      </c>
      <c r="E20" s="74" t="inlineStr">
        <is>
          <t>Satisfactory — Minor OFIs</t>
        </is>
      </c>
    </row>
    <row r="21" ht="24" customHeight="1">
      <c r="B21" s="75" t="n">
        <v>3</v>
      </c>
      <c r="C21" s="75" t="inlineStr">
        <is>
          <t>2.5–3.4</t>
        </is>
      </c>
      <c r="D21" s="75" t="inlineStr">
        <is>
          <t>Average</t>
        </is>
      </c>
      <c r="E21" s="76" t="inlineStr">
        <is>
          <t>Opportunity for Improvement (OFI)</t>
        </is>
      </c>
    </row>
    <row r="22" ht="24" customHeight="1">
      <c r="B22" s="77" t="n">
        <v>2</v>
      </c>
      <c r="C22" s="77" t="inlineStr">
        <is>
          <t>1.5–2.4</t>
        </is>
      </c>
      <c r="D22" s="77" t="inlineStr">
        <is>
          <t>Poor</t>
        </is>
      </c>
      <c r="E22" s="78" t="inlineStr">
        <is>
          <t>Minor NCR — Corrective Action Required</t>
        </is>
      </c>
    </row>
    <row r="23" ht="24" customHeight="1">
      <c r="B23" s="79" t="n">
        <v>1</v>
      </c>
      <c r="C23" s="79" t="inlineStr">
        <is>
          <t>1.0–1.4</t>
        </is>
      </c>
      <c r="D23" s="79" t="inlineStr">
        <is>
          <t>Very Poor</t>
        </is>
      </c>
      <c r="E23" s="80" t="inlineStr">
        <is>
          <t>Major NCR — Immediate Action Required</t>
        </is>
      </c>
    </row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8">
    <mergeCell ref="E19:N19"/>
    <mergeCell ref="E23:N23"/>
    <mergeCell ref="E22:N22"/>
    <mergeCell ref="B17:N17"/>
    <mergeCell ref="E21:N21"/>
    <mergeCell ref="E20:N20"/>
    <mergeCell ref="B3:N3"/>
    <mergeCell ref="B2:N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I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AAA-30: ACADEMIC &amp; ADMINISTRATIVE AUDIT COMMITTEE KPI DASHBOARD</t>
        </is>
      </c>
    </row>
    <row r="3" ht="25" customHeight="1">
      <c r="B3" s="2" t="inlineStr">
        <is>
          <t>A.Y.: _______  Audit Cycle: _______  Prepared by: AAA Coordinator  Date: _______</t>
        </is>
      </c>
    </row>
    <row r="4" ht="24" customHeight="1">
      <c r="B4" s="19" t="inlineStr">
        <is>
          <t>AUDIT COVERAGE &amp; PROCESS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Cycle
Actual</t>
        </is>
      </c>
      <c r="G5" s="13" t="inlineStr">
        <is>
          <t>Current Cycle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Departments audited (% of total)</t>
        </is>
      </c>
      <c r="D6" s="16" t="inlineStr">
        <is>
          <t>% coverage</t>
        </is>
      </c>
      <c r="E6" s="16" t="inlineStr">
        <is>
          <t>100%</t>
        </is>
      </c>
      <c r="F6" s="16" t="inlineStr"/>
      <c r="G6" s="16" t="inlineStr"/>
      <c r="H6" s="16" t="inlineStr">
        <is>
          <t>Met</t>
        </is>
      </c>
      <c r="I6" s="15" t="inlineStr"/>
    </row>
    <row r="7" ht="22" customHeight="1">
      <c r="B7" s="8" t="n">
        <v>2</v>
      </c>
      <c r="C7" s="9" t="inlineStr">
        <is>
          <t>Audit completed within planned schedule (% on time)</t>
        </is>
      </c>
      <c r="D7" s="10" t="inlineStr">
        <is>
          <t>% on-time</t>
        </is>
      </c>
      <c r="E7" s="10" t="inlineStr">
        <is>
          <t>≥90%</t>
        </is>
      </c>
      <c r="F7" s="10" t="inlineStr"/>
      <c r="G7" s="10" t="inlineStr"/>
      <c r="H7" s="10" t="inlineStr">
        <is>
          <t>Met</t>
        </is>
      </c>
      <c r="I7" s="9" t="inlineStr"/>
    </row>
    <row r="8" ht="22" customHeight="1">
      <c r="B8" s="14" t="n">
        <v>3</v>
      </c>
      <c r="C8" s="15" t="inlineStr">
        <is>
          <t>Self-appraisal forms submitted before audit</t>
        </is>
      </c>
      <c r="D8" s="16" t="inlineStr">
        <is>
          <t>% submission</t>
        </is>
      </c>
      <c r="E8" s="16" t="inlineStr">
        <is>
          <t>100%</t>
        </is>
      </c>
      <c r="F8" s="16" t="inlineStr"/>
      <c r="G8" s="16" t="inlineStr"/>
      <c r="H8" s="16" t="inlineStr">
        <is>
          <t>Met</t>
        </is>
      </c>
      <c r="I8" s="15" t="inlineStr"/>
    </row>
    <row r="9" ht="22" customHeight="1">
      <c r="B9" s="8" t="n">
        <v>4</v>
      </c>
      <c r="C9" s="9" t="inlineStr">
        <is>
          <t>Academic audit parameters covered (% of checklist)</t>
        </is>
      </c>
      <c r="D9" s="10" t="inlineStr">
        <is>
          <t>% of checklist</t>
        </is>
      </c>
      <c r="E9" s="10" t="inlineStr">
        <is>
          <t>100%</t>
        </is>
      </c>
      <c r="F9" s="10" t="inlineStr"/>
      <c r="G9" s="10" t="inlineStr"/>
      <c r="H9" s="10" t="inlineStr">
        <is>
          <t>Met</t>
        </is>
      </c>
      <c r="I9" s="9" t="inlineStr"/>
    </row>
    <row r="10" ht="22" customHeight="1">
      <c r="B10" s="14" t="n">
        <v>5</v>
      </c>
      <c r="C10" s="15" t="inlineStr">
        <is>
          <t>Administrative audit parameters covered (%)</t>
        </is>
      </c>
      <c r="D10" s="16" t="inlineStr">
        <is>
          <t>% of checklist</t>
        </is>
      </c>
      <c r="E10" s="16" t="inlineStr">
        <is>
          <t>100%</t>
        </is>
      </c>
      <c r="F10" s="16" t="inlineStr"/>
      <c r="G10" s="16" t="inlineStr"/>
      <c r="H10" s="16" t="inlineStr">
        <is>
          <t>Met</t>
        </is>
      </c>
      <c r="I10" s="15" t="inlineStr"/>
    </row>
    <row r="11" ht="22" customHeight="1">
      <c r="B11" s="8" t="n">
        <v>6</v>
      </c>
      <c r="C11" s="9" t="inlineStr">
        <is>
          <t>External auditors included (% of audit teams)</t>
        </is>
      </c>
      <c r="D11" s="10" t="inlineStr">
        <is>
          <t>% of teams</t>
        </is>
      </c>
      <c r="E11" s="10" t="inlineStr">
        <is>
          <t>≥30%</t>
        </is>
      </c>
      <c r="F11" s="10" t="inlineStr"/>
      <c r="G11" s="10" t="inlineStr"/>
      <c r="H11" s="10" t="inlineStr">
        <is>
          <t>Met</t>
        </is>
      </c>
      <c r="I11" s="9" t="inlineStr"/>
    </row>
    <row r="12" ht="22" customHeight="1"/>
    <row r="13" ht="24" customHeight="1">
      <c r="B13" s="34" t="inlineStr">
        <is>
          <t>QUALITY &amp; FINDINGS KPIs</t>
        </is>
      </c>
    </row>
    <row r="14" ht="22" customHeight="1">
      <c r="B14" s="30" t="inlineStr">
        <is>
          <t>Sl.</t>
        </is>
      </c>
      <c r="C14" s="30" t="inlineStr">
        <is>
          <t>Key Performance Indicator</t>
        </is>
      </c>
      <c r="D14" s="30" t="inlineStr">
        <is>
          <t>Unit</t>
        </is>
      </c>
      <c r="E14" s="30" t="inlineStr">
        <is>
          <t>Target</t>
        </is>
      </c>
      <c r="F14" s="30" t="inlineStr">
        <is>
          <t>Prev. Cycle
Actual</t>
        </is>
      </c>
      <c r="G14" s="30" t="inlineStr">
        <is>
          <t>Current Cycle
Actual</t>
        </is>
      </c>
      <c r="H14" s="30" t="inlineStr">
        <is>
          <t>Status</t>
        </is>
      </c>
      <c r="I14" s="30" t="inlineStr">
        <is>
          <t>Action Required</t>
        </is>
      </c>
    </row>
    <row r="15" ht="22" customHeight="1">
      <c r="B15" s="31" t="n">
        <v>1</v>
      </c>
      <c r="C15" s="32" t="inlineStr">
        <is>
          <t>Institution-wide average audit score (/5)</t>
        </is>
      </c>
      <c r="D15" s="33" t="inlineStr">
        <is>
          <t>Score</t>
        </is>
      </c>
      <c r="E15" s="33" t="inlineStr">
        <is>
          <t>≥3.5</t>
        </is>
      </c>
      <c r="F15" s="33" t="inlineStr"/>
      <c r="G15" s="33" t="inlineStr"/>
      <c r="H15" s="33" t="inlineStr">
        <is>
          <t>Met</t>
        </is>
      </c>
      <c r="I15" s="32" t="inlineStr"/>
    </row>
    <row r="16" ht="22" customHeight="1">
      <c r="B16" s="8" t="n">
        <v>2</v>
      </c>
      <c r="C16" s="9" t="inlineStr">
        <is>
          <t>Departments scoring ≥ 4.0 (Good or Excellent)</t>
        </is>
      </c>
      <c r="D16" s="10" t="inlineStr">
        <is>
          <t>No. / %</t>
        </is>
      </c>
      <c r="E16" s="10" t="inlineStr">
        <is>
          <t>≥60%</t>
        </is>
      </c>
      <c r="F16" s="10" t="inlineStr"/>
      <c r="G16" s="10" t="inlineStr"/>
      <c r="H16" s="10" t="inlineStr">
        <is>
          <t>Met</t>
        </is>
      </c>
      <c r="I16" s="9" t="inlineStr"/>
    </row>
    <row r="17" ht="22" customHeight="1">
      <c r="B17" s="31" t="n">
        <v>3</v>
      </c>
      <c r="C17" s="32" t="inlineStr">
        <is>
          <t>Departments with Major NCRs</t>
        </is>
      </c>
      <c r="D17" s="33" t="inlineStr">
        <is>
          <t>No.</t>
        </is>
      </c>
      <c r="E17" s="33" t="inlineStr">
        <is>
          <t>Decreasing</t>
        </is>
      </c>
      <c r="F17" s="33" t="inlineStr"/>
      <c r="G17" s="33" t="inlineStr"/>
      <c r="H17" s="33" t="inlineStr">
        <is>
          <t>Met</t>
        </is>
      </c>
      <c r="I17" s="32" t="inlineStr"/>
    </row>
    <row r="18" ht="22" customHeight="1">
      <c r="B18" s="8" t="n">
        <v>4</v>
      </c>
      <c r="C18" s="9" t="inlineStr">
        <is>
          <t>Total NCRs raised</t>
        </is>
      </c>
      <c r="D18" s="10" t="inlineStr">
        <is>
          <t>No. per cycle</t>
        </is>
      </c>
      <c r="E18" s="10" t="inlineStr">
        <is>
          <t>Tracked</t>
        </is>
      </c>
      <c r="F18" s="10" t="inlineStr"/>
      <c r="G18" s="10" t="inlineStr"/>
      <c r="H18" s="10" t="inlineStr">
        <is>
          <t>Met</t>
        </is>
      </c>
      <c r="I18" s="9" t="inlineStr"/>
    </row>
    <row r="19" ht="22" customHeight="1">
      <c r="B19" s="31" t="n">
        <v>5</v>
      </c>
      <c r="C19" s="32" t="inlineStr">
        <is>
          <t>NCR closure rate within 30 days (%)</t>
        </is>
      </c>
      <c r="D19" s="33" t="inlineStr">
        <is>
          <t>% closed</t>
        </is>
      </c>
      <c r="E19" s="33" t="inlineStr">
        <is>
          <t>≥80%</t>
        </is>
      </c>
      <c r="F19" s="33" t="inlineStr"/>
      <c r="G19" s="33" t="inlineStr"/>
      <c r="H19" s="33" t="inlineStr">
        <is>
          <t>Met</t>
        </is>
      </c>
      <c r="I19" s="32" t="inlineStr"/>
    </row>
    <row r="20" ht="22" customHeight="1">
      <c r="B20" s="8" t="n">
        <v>6</v>
      </c>
      <c r="C20" s="9" t="inlineStr">
        <is>
          <t>Repeat NCRs (same issue in consecutive cycles)</t>
        </is>
      </c>
      <c r="D20" s="10" t="inlineStr">
        <is>
          <t>No.</t>
        </is>
      </c>
      <c r="E20" s="10" t="inlineStr">
        <is>
          <t>0 target</t>
        </is>
      </c>
      <c r="F20" s="10" t="inlineStr"/>
      <c r="G20" s="10" t="inlineStr"/>
      <c r="H20" s="10" t="inlineStr">
        <is>
          <t>Met</t>
        </is>
      </c>
      <c r="I20" s="9" t="inlineStr"/>
    </row>
    <row r="21" ht="22" customHeight="1">
      <c r="B21" s="31" t="n">
        <v>7</v>
      </c>
      <c r="C21" s="32" t="inlineStr">
        <is>
          <t>Best practices identified and shared</t>
        </is>
      </c>
      <c r="D21" s="33" t="inlineStr">
        <is>
          <t>No.</t>
        </is>
      </c>
      <c r="E21" s="33" t="inlineStr">
        <is>
          <t>≥5</t>
        </is>
      </c>
      <c r="F21" s="33" t="inlineStr"/>
      <c r="G21" s="33" t="inlineStr"/>
      <c r="H21" s="33" t="inlineStr">
        <is>
          <t>Met</t>
        </is>
      </c>
      <c r="I21" s="32" t="inlineStr"/>
    </row>
    <row r="22" ht="22" customHeight="1">
      <c r="B22" s="8" t="n">
        <v>8</v>
      </c>
      <c r="C22" s="9" t="inlineStr">
        <is>
          <t>OFI-to-improvement conversion rate (%)</t>
        </is>
      </c>
      <c r="D22" s="10" t="inlineStr">
        <is>
          <t>% implemented</t>
        </is>
      </c>
      <c r="E22" s="10" t="inlineStr">
        <is>
          <t>≥70%</t>
        </is>
      </c>
      <c r="F22" s="10" t="inlineStr"/>
      <c r="G22" s="10" t="inlineStr"/>
      <c r="H22" s="10" t="inlineStr">
        <is>
          <t>Met</t>
        </is>
      </c>
      <c r="I22" s="9" t="inlineStr"/>
    </row>
    <row r="23" ht="22" customHeight="1"/>
    <row r="24" ht="24" customHeight="1">
      <c r="B24" s="41" t="inlineStr">
        <is>
          <t>ACADEMIC PERFORMANCE KPIs (from Audit)</t>
        </is>
      </c>
    </row>
    <row r="25" ht="22" customHeight="1">
      <c r="B25" s="81" t="inlineStr">
        <is>
          <t>Sl.</t>
        </is>
      </c>
      <c r="C25" s="81" t="inlineStr">
        <is>
          <t>Key Performance Indicator</t>
        </is>
      </c>
      <c r="D25" s="81" t="inlineStr">
        <is>
          <t>Unit</t>
        </is>
      </c>
      <c r="E25" s="81" t="inlineStr">
        <is>
          <t>Target</t>
        </is>
      </c>
      <c r="F25" s="81" t="inlineStr">
        <is>
          <t>Prev. Cycle
Actual</t>
        </is>
      </c>
      <c r="G25" s="81" t="inlineStr">
        <is>
          <t>Current Cycle
Actual</t>
        </is>
      </c>
      <c r="H25" s="81" t="inlineStr">
        <is>
          <t>Status</t>
        </is>
      </c>
      <c r="I25" s="81" t="inlineStr">
        <is>
          <t>Action Required</t>
        </is>
      </c>
    </row>
    <row r="26" ht="22" customHeight="1">
      <c r="B26" s="82" t="n">
        <v>1</v>
      </c>
      <c r="C26" s="83" t="inlineStr">
        <is>
          <t>Institution-wide pass % (all programmes)</t>
        </is>
      </c>
      <c r="D26" s="84" t="inlineStr">
        <is>
          <t>% pass</t>
        </is>
      </c>
      <c r="E26" s="84" t="inlineStr">
        <is>
          <t>≥75%</t>
        </is>
      </c>
      <c r="F26" s="84" t="inlineStr"/>
      <c r="G26" s="84" t="inlineStr"/>
      <c r="H26" s="84" t="inlineStr">
        <is>
          <t>Met</t>
        </is>
      </c>
      <c r="I26" s="83" t="inlineStr"/>
    </row>
    <row r="27" ht="22" customHeight="1">
      <c r="B27" s="8" t="n">
        <v>2</v>
      </c>
      <c r="C27" s="9" t="inlineStr">
        <is>
          <t>CO attainment ≥ Level 2 (% of courses)</t>
        </is>
      </c>
      <c r="D27" s="10" t="inlineStr">
        <is>
          <t>% of courses</t>
        </is>
      </c>
      <c r="E27" s="10" t="inlineStr">
        <is>
          <t>≥70%</t>
        </is>
      </c>
      <c r="F27" s="10" t="inlineStr"/>
      <c r="G27" s="10" t="inlineStr"/>
      <c r="H27" s="10" t="inlineStr">
        <is>
          <t>Met</t>
        </is>
      </c>
      <c r="I27" s="9" t="inlineStr"/>
    </row>
    <row r="28" ht="22" customHeight="1">
      <c r="B28" s="82" t="n">
        <v>3</v>
      </c>
      <c r="C28" s="83" t="inlineStr">
        <is>
          <t>Faculty FDP completion (% of faculty)</t>
        </is>
      </c>
      <c r="D28" s="84" t="inlineStr">
        <is>
          <t>% trained</t>
        </is>
      </c>
      <c r="E28" s="84" t="inlineStr">
        <is>
          <t>≥80%</t>
        </is>
      </c>
      <c r="F28" s="84" t="inlineStr"/>
      <c r="G28" s="84" t="inlineStr"/>
      <c r="H28" s="84" t="inlineStr">
        <is>
          <t>Met</t>
        </is>
      </c>
      <c r="I28" s="83" t="inlineStr"/>
    </row>
    <row r="29" ht="22" customHeight="1">
      <c r="B29" s="8" t="n">
        <v>4</v>
      </c>
      <c r="C29" s="9" t="inlineStr">
        <is>
          <t>Placement rate (% of eligible students)</t>
        </is>
      </c>
      <c r="D29" s="10" t="inlineStr">
        <is>
          <t>% placed</t>
        </is>
      </c>
      <c r="E29" s="10" t="inlineStr">
        <is>
          <t>≥70%</t>
        </is>
      </c>
      <c r="F29" s="10" t="inlineStr"/>
      <c r="G29" s="10" t="inlineStr"/>
      <c r="H29" s="10" t="inlineStr">
        <is>
          <t>Met</t>
        </is>
      </c>
      <c r="I29" s="9" t="inlineStr"/>
    </row>
    <row r="30" ht="22" customHeight="1">
      <c r="B30" s="82" t="n">
        <v>5</v>
      </c>
      <c r="C30" s="83" t="inlineStr">
        <is>
          <t>Publications per faculty (institution avg)</t>
        </is>
      </c>
      <c r="D30" s="84" t="inlineStr">
        <is>
          <t>No. / faculty</t>
        </is>
      </c>
      <c r="E30" s="84" t="inlineStr">
        <is>
          <t>≥0.5</t>
        </is>
      </c>
      <c r="F30" s="84" t="inlineStr"/>
      <c r="G30" s="84" t="inlineStr"/>
      <c r="H30" s="84" t="inlineStr">
        <is>
          <t>Met</t>
        </is>
      </c>
      <c r="I30" s="83" t="inlineStr"/>
    </row>
    <row r="31" ht="22" customHeight="1">
      <c r="B31" s="8" t="n">
        <v>6</v>
      </c>
      <c r="C31" s="9" t="inlineStr">
        <is>
          <t>LMS adoption — faculty (%)</t>
        </is>
      </c>
      <c r="D31" s="10" t="inlineStr">
        <is>
          <t>% active</t>
        </is>
      </c>
      <c r="E31" s="10" t="inlineStr">
        <is>
          <t>≥80%</t>
        </is>
      </c>
      <c r="F31" s="10" t="inlineStr"/>
      <c r="G31" s="10" t="inlineStr"/>
      <c r="H31" s="10" t="inlineStr">
        <is>
          <t>Met</t>
        </is>
      </c>
      <c r="I31" s="9" t="inlineStr"/>
    </row>
    <row r="32" ht="22" customHeight="1"/>
    <row r="33" ht="24" customHeight="1">
      <c r="B33" s="55" t="inlineStr">
        <is>
          <t>ADMINISTRATIVE PERFORMANCE KPIs (from Audit)</t>
        </is>
      </c>
    </row>
    <row r="34" ht="22" customHeight="1">
      <c r="B34" s="56" t="inlineStr">
        <is>
          <t>Sl.</t>
        </is>
      </c>
      <c r="C34" s="56" t="inlineStr">
        <is>
          <t>Key Performance Indicator</t>
        </is>
      </c>
      <c r="D34" s="56" t="inlineStr">
        <is>
          <t>Unit</t>
        </is>
      </c>
      <c r="E34" s="56" t="inlineStr">
        <is>
          <t>Target</t>
        </is>
      </c>
      <c r="F34" s="56" t="inlineStr">
        <is>
          <t>Prev. Cycle
Actual</t>
        </is>
      </c>
      <c r="G34" s="56" t="inlineStr">
        <is>
          <t>Current Cycle
Actual</t>
        </is>
      </c>
      <c r="H34" s="56" t="inlineStr">
        <is>
          <t>Status</t>
        </is>
      </c>
      <c r="I34" s="56" t="inlineStr">
        <is>
          <t>Action Required</t>
        </is>
      </c>
    </row>
    <row r="35" ht="22" customHeight="1">
      <c r="B35" s="57" t="n">
        <v>1</v>
      </c>
      <c r="C35" s="58" t="inlineStr">
        <is>
          <t>Statutory filings — on time (% of required)</t>
        </is>
      </c>
      <c r="D35" s="59" t="inlineStr">
        <is>
          <t>% on-time</t>
        </is>
      </c>
      <c r="E35" s="59" t="inlineStr">
        <is>
          <t>100%</t>
        </is>
      </c>
      <c r="F35" s="59" t="inlineStr"/>
      <c r="G35" s="59" t="inlineStr"/>
      <c r="H35" s="59" t="inlineStr">
        <is>
          <t>Met</t>
        </is>
      </c>
      <c r="I35" s="58" t="inlineStr"/>
    </row>
    <row r="36" ht="22" customHeight="1">
      <c r="B36" s="8" t="n">
        <v>2</v>
      </c>
      <c r="C36" s="9" t="inlineStr">
        <is>
          <t>Budget utilisation rate (%)</t>
        </is>
      </c>
      <c r="D36" s="10" t="inlineStr">
        <is>
          <t>% utilised</t>
        </is>
      </c>
      <c r="E36" s="10" t="inlineStr">
        <is>
          <t>85–100%</t>
        </is>
      </c>
      <c r="F36" s="10" t="inlineStr"/>
      <c r="G36" s="10" t="inlineStr"/>
      <c r="H36" s="10" t="inlineStr">
        <is>
          <t>Met</t>
        </is>
      </c>
      <c r="I36" s="9" t="inlineStr"/>
    </row>
    <row r="37" ht="22" customHeight="1">
      <c r="B37" s="57" t="n">
        <v>3</v>
      </c>
      <c r="C37" s="58" t="inlineStr">
        <is>
          <t>Staff grievance resolution within 30 days (%)</t>
        </is>
      </c>
      <c r="D37" s="59" t="inlineStr">
        <is>
          <t>% on-time</t>
        </is>
      </c>
      <c r="E37" s="59" t="inlineStr">
        <is>
          <t>≥90%</t>
        </is>
      </c>
      <c r="F37" s="59" t="inlineStr"/>
      <c r="G37" s="59" t="inlineStr"/>
      <c r="H37" s="59" t="inlineStr">
        <is>
          <t>Met</t>
        </is>
      </c>
      <c r="I37" s="58" t="inlineStr"/>
    </row>
    <row r="38" ht="22" customHeight="1">
      <c r="B38" s="8" t="n">
        <v>4</v>
      </c>
      <c r="C38" s="9" t="inlineStr">
        <is>
          <t>Student grievance resolution within 30 days (%)</t>
        </is>
      </c>
      <c r="D38" s="10" t="inlineStr">
        <is>
          <t>% on-time</t>
        </is>
      </c>
      <c r="E38" s="10" t="inlineStr">
        <is>
          <t>≥90%</t>
        </is>
      </c>
      <c r="F38" s="10" t="inlineStr"/>
      <c r="G38" s="10" t="inlineStr"/>
      <c r="H38" s="10" t="inlineStr">
        <is>
          <t>Met</t>
        </is>
      </c>
      <c r="I38" s="9" t="inlineStr"/>
    </row>
    <row r="39" ht="22" customHeight="1">
      <c r="B39" s="57" t="n">
        <v>5</v>
      </c>
      <c r="C39" s="58" t="inlineStr">
        <is>
          <t>Mandatory compliance items — fully complied (%)</t>
        </is>
      </c>
      <c r="D39" s="59" t="inlineStr">
        <is>
          <t>% complied</t>
        </is>
      </c>
      <c r="E39" s="59" t="inlineStr">
        <is>
          <t>100%</t>
        </is>
      </c>
      <c r="F39" s="59" t="inlineStr"/>
      <c r="G39" s="59" t="inlineStr"/>
      <c r="H39" s="59" t="inlineStr">
        <is>
          <t>Met</t>
        </is>
      </c>
      <c r="I39" s="58" t="inlineStr"/>
    </row>
    <row r="40" ht="22" customHeight="1">
      <c r="B40" s="8" t="n">
        <v>6</v>
      </c>
      <c r="C40" s="9" t="inlineStr">
        <is>
          <t>Infrastructure adequacy score (from audit)</t>
        </is>
      </c>
      <c r="D40" s="10" t="inlineStr">
        <is>
          <t>Score /5</t>
        </is>
      </c>
      <c r="E40" s="10" t="inlineStr">
        <is>
          <t>≥4.0</t>
        </is>
      </c>
      <c r="F40" s="10" t="inlineStr"/>
      <c r="G40" s="10" t="inlineStr"/>
      <c r="H40" s="10" t="inlineStr">
        <is>
          <t>Met</t>
        </is>
      </c>
      <c r="I40" s="9" t="inlineStr"/>
    </row>
    <row r="41" ht="22" customHeight="1"/>
    <row r="42" ht="24" customHeight="1">
      <c r="B42" s="20" t="inlineStr">
        <is>
          <t>AAA PROGRAMME EFFECTIVENESS KPIs</t>
        </is>
      </c>
    </row>
    <row r="43" ht="22" customHeight="1">
      <c r="B43" s="21" t="inlineStr">
        <is>
          <t>Sl.</t>
        </is>
      </c>
      <c r="C43" s="21" t="inlineStr">
        <is>
          <t>Key Performance Indicator</t>
        </is>
      </c>
      <c r="D43" s="21" t="inlineStr">
        <is>
          <t>Unit</t>
        </is>
      </c>
      <c r="E43" s="21" t="inlineStr">
        <is>
          <t>Target</t>
        </is>
      </c>
      <c r="F43" s="21" t="inlineStr">
        <is>
          <t>Prev. Cycle
Actual</t>
        </is>
      </c>
      <c r="G43" s="21" t="inlineStr">
        <is>
          <t>Current Cycle
Actual</t>
        </is>
      </c>
      <c r="H43" s="21" t="inlineStr">
        <is>
          <t>Status</t>
        </is>
      </c>
      <c r="I43" s="21" t="inlineStr">
        <is>
          <t>Action Required</t>
        </is>
      </c>
    </row>
    <row r="44" ht="22" customHeight="1">
      <c r="B44" s="38" t="n">
        <v>1</v>
      </c>
      <c r="C44" s="49" t="inlineStr">
        <is>
          <t>NAAC / NBA audit evidence quality score</t>
        </is>
      </c>
      <c r="D44" s="22" t="inlineStr">
        <is>
          <t>Score /5</t>
        </is>
      </c>
      <c r="E44" s="22" t="inlineStr">
        <is>
          <t>≥4.0</t>
        </is>
      </c>
      <c r="F44" s="22" t="inlineStr"/>
      <c r="G44" s="22" t="inlineStr"/>
      <c r="H44" s="22" t="inlineStr">
        <is>
          <t>Met</t>
        </is>
      </c>
      <c r="I44" s="49" t="inlineStr"/>
    </row>
    <row r="45" ht="22" customHeight="1">
      <c r="B45" s="8" t="n">
        <v>2</v>
      </c>
      <c r="C45" s="9" t="inlineStr">
        <is>
          <t>Improvement in institution avg. audit score (% YoY)</t>
        </is>
      </c>
      <c r="D45" s="10" t="inlineStr">
        <is>
          <t>% change</t>
        </is>
      </c>
      <c r="E45" s="10" t="inlineStr">
        <is>
          <t>≥5%</t>
        </is>
      </c>
      <c r="F45" s="10" t="inlineStr"/>
      <c r="G45" s="10" t="inlineStr"/>
      <c r="H45" s="10" t="inlineStr">
        <is>
          <t>Met</t>
        </is>
      </c>
      <c r="I45" s="9" t="inlineStr"/>
    </row>
    <row r="46" ht="22" customHeight="1">
      <c r="B46" s="38" t="n">
        <v>3</v>
      </c>
      <c r="C46" s="49" t="inlineStr">
        <is>
          <t>Departments showing improvement over last cycle</t>
        </is>
      </c>
      <c r="D46" s="22" t="inlineStr">
        <is>
          <t>No.</t>
        </is>
      </c>
      <c r="E46" s="22" t="inlineStr">
        <is>
          <t>All departments</t>
        </is>
      </c>
      <c r="F46" s="22" t="inlineStr"/>
      <c r="G46" s="22" t="inlineStr"/>
      <c r="H46" s="22" t="inlineStr">
        <is>
          <t>Met</t>
        </is>
      </c>
      <c r="I46" s="49" t="inlineStr"/>
    </row>
    <row r="47" ht="22" customHeight="1">
      <c r="B47" s="8" t="n">
        <v>4</v>
      </c>
      <c r="C47" s="9" t="inlineStr">
        <is>
          <t>Management response to audit report (days)</t>
        </is>
      </c>
      <c r="D47" s="10" t="inlineStr">
        <is>
          <t>Working days</t>
        </is>
      </c>
      <c r="E47" s="10" t="inlineStr">
        <is>
          <t>≤15 days</t>
        </is>
      </c>
      <c r="F47" s="10" t="inlineStr"/>
      <c r="G47" s="10" t="inlineStr"/>
      <c r="H47" s="10" t="inlineStr">
        <is>
          <t>Met</t>
        </is>
      </c>
      <c r="I47" s="9" t="inlineStr"/>
    </row>
    <row r="48" ht="22" customHeight="1">
      <c r="B48" s="38" t="n">
        <v>5</v>
      </c>
      <c r="C48" s="49" t="inlineStr">
        <is>
          <t>AAA report presented to Governing Body</t>
        </is>
      </c>
      <c r="D48" s="22" t="inlineStr">
        <is>
          <t>Y/N</t>
        </is>
      </c>
      <c r="E48" s="22" t="inlineStr">
        <is>
          <t>Yes annually</t>
        </is>
      </c>
      <c r="F48" s="22" t="inlineStr"/>
      <c r="G48" s="22" t="inlineStr"/>
      <c r="H48" s="22" t="inlineStr">
        <is>
          <t>Met</t>
        </is>
      </c>
      <c r="I48" s="49" t="inlineStr"/>
    </row>
    <row r="49" ht="22" customHeight="1">
      <c r="B49" s="8" t="n">
        <v>6</v>
      </c>
      <c r="C49" s="9" t="inlineStr">
        <is>
          <t>AAA findings linked to IQAC AQAR (Y/N)</t>
        </is>
      </c>
      <c r="D49" s="10" t="inlineStr">
        <is>
          <t>Y/N</t>
        </is>
      </c>
      <c r="E49" s="10" t="inlineStr">
        <is>
          <t>Yes</t>
        </is>
      </c>
      <c r="F49" s="10" t="inlineStr"/>
      <c r="G49" s="10" t="inlineStr"/>
      <c r="H49" s="10" t="inlineStr">
        <is>
          <t>Met</t>
        </is>
      </c>
      <c r="I49" s="9" t="inlineStr"/>
    </row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13:I13"/>
    <mergeCell ref="B33:I33"/>
    <mergeCell ref="B24:I24"/>
    <mergeCell ref="B2:I2"/>
    <mergeCell ref="B42:I42"/>
    <mergeCell ref="B3:I3"/>
    <mergeCell ref="B4:I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H6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AAA-31: ACADEMIC &amp; ADMINISTRATIVE AUDIT — ANNUAL REPORT</t>
        </is>
      </c>
    </row>
    <row r="3" ht="25" customHeight="1">
      <c r="B3" s="2" t="inlineStr">
        <is>
          <t>A.Y.: _______  Audit Cycle: _______  Prepared by: AAA Committee  Submitted to: Governing Body / EC  Date: _______</t>
        </is>
      </c>
    </row>
    <row r="4" ht="24" customHeight="1">
      <c r="B4" s="19" t="inlineStr">
        <is>
          <t>SECTION 1 — AUDIT COVERAGE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Cycle</t>
        </is>
      </c>
      <c r="F5" s="13" t="inlineStr">
        <is>
          <t>Previous Cycle</t>
        </is>
      </c>
      <c r="G5" s="13" t="inlineStr">
        <is>
          <t>Change %</t>
        </is>
      </c>
      <c r="H5" s="13" t="inlineStr">
        <is>
          <t>Target Next Cycle</t>
        </is>
      </c>
    </row>
    <row r="6" ht="22" customHeight="1">
      <c r="B6" s="14" t="n">
        <v>1</v>
      </c>
      <c r="C6" s="15" t="inlineStr">
        <is>
          <t>Total departments / units audited</t>
        </is>
      </c>
      <c r="D6" s="16" t="inlineStr">
        <is>
          <t>No.</t>
        </is>
      </c>
      <c r="E6" s="16" t="inlineStr"/>
      <c r="F6" s="16" t="inlineStr"/>
      <c r="G6" s="16">
        <f>IFERROR(ROUND((E6-F6)/F6*100,1),"")</f>
        <v/>
      </c>
      <c r="H6" s="16" t="inlineStr"/>
    </row>
    <row r="7" ht="22" customHeight="1">
      <c r="B7" s="8" t="n">
        <v>2</v>
      </c>
      <c r="C7" s="9" t="inlineStr">
        <is>
          <t>Academic audits conducted</t>
        </is>
      </c>
      <c r="D7" s="10" t="inlineStr">
        <is>
          <t>No.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14" t="n">
        <v>3</v>
      </c>
      <c r="C8" s="15" t="inlineStr">
        <is>
          <t>Administrative audits conducted</t>
        </is>
      </c>
      <c r="D8" s="16" t="inlineStr">
        <is>
          <t>No.</t>
        </is>
      </c>
      <c r="E8" s="16" t="inlineStr"/>
      <c r="F8" s="16" t="inlineStr"/>
      <c r="G8" s="16">
        <f>IFERROR(ROUND((E8-F8)/F8*100,1),"")</f>
        <v/>
      </c>
      <c r="H8" s="16" t="inlineStr"/>
    </row>
    <row r="9" ht="22" customHeight="1">
      <c r="B9" s="8" t="n">
        <v>4</v>
      </c>
      <c r="C9" s="9" t="inlineStr">
        <is>
          <t>Departments with full audit (academic + admin)</t>
        </is>
      </c>
      <c r="D9" s="10" t="inlineStr">
        <is>
          <t>No.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14" t="n">
        <v>5</v>
      </c>
      <c r="C10" s="15" t="inlineStr">
        <is>
          <t>External auditors participated</t>
        </is>
      </c>
      <c r="D10" s="16" t="inlineStr">
        <is>
          <t>No.</t>
        </is>
      </c>
      <c r="E10" s="16" t="inlineStr"/>
      <c r="F10" s="16" t="inlineStr"/>
      <c r="G10" s="16">
        <f>IFERROR(ROUND((E10-F10)/F10*100,1),"")</f>
        <v/>
      </c>
      <c r="H10" s="16" t="inlineStr"/>
    </row>
    <row r="11" ht="22" customHeight="1">
      <c r="B11" s="8" t="n">
        <v>6</v>
      </c>
      <c r="C11" s="9" t="inlineStr">
        <is>
          <t>Total audit person-days</t>
        </is>
      </c>
      <c r="D11" s="10" t="inlineStr">
        <is>
          <t>Person-days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>
      <c r="B12" s="14" t="n">
        <v>7</v>
      </c>
      <c r="C12" s="15" t="inlineStr">
        <is>
          <t>% departments covered</t>
        </is>
      </c>
      <c r="D12" s="16" t="inlineStr">
        <is>
          <t>% of total</t>
        </is>
      </c>
      <c r="E12" s="16" t="inlineStr"/>
      <c r="F12" s="16" t="inlineStr"/>
      <c r="G12" s="16">
        <f>IFERROR(ROUND((E12-F12)/F12*100,1),"")</f>
        <v/>
      </c>
      <c r="H12" s="16" t="inlineStr"/>
    </row>
    <row r="13" ht="22" customHeight="1">
      <c r="B13" s="8" t="n">
        <v>8</v>
      </c>
      <c r="C13" s="9" t="inlineStr">
        <is>
          <t>Audit cycle completed within schedule</t>
        </is>
      </c>
      <c r="D13" s="10" t="inlineStr">
        <is>
          <t>Y/N</t>
        </is>
      </c>
      <c r="E13" s="10" t="inlineStr"/>
      <c r="F13" s="10" t="inlineStr"/>
      <c r="G13" s="10">
        <f>IFERROR(ROUND((E13-F13)/F13*100,1),"")</f>
        <v/>
      </c>
      <c r="H13" s="10" t="inlineStr"/>
    </row>
    <row r="14" ht="22" customHeight="1"/>
    <row r="15" ht="24" customHeight="1">
      <c r="B15" s="34" t="inlineStr">
        <is>
          <t>SECTION 2 — AUDIT FINDINGS</t>
        </is>
      </c>
    </row>
    <row r="16" ht="22" customHeight="1">
      <c r="B16" s="30" t="inlineStr">
        <is>
          <t>Sl.</t>
        </is>
      </c>
      <c r="C16" s="30" t="inlineStr">
        <is>
          <t>Performance Metric</t>
        </is>
      </c>
      <c r="D16" s="30" t="inlineStr">
        <is>
          <t>Unit</t>
        </is>
      </c>
      <c r="E16" s="30" t="inlineStr">
        <is>
          <t>Current Cycle</t>
        </is>
      </c>
      <c r="F16" s="30" t="inlineStr">
        <is>
          <t>Previous Cycle</t>
        </is>
      </c>
      <c r="G16" s="30" t="inlineStr">
        <is>
          <t>Change %</t>
        </is>
      </c>
      <c r="H16" s="30" t="inlineStr">
        <is>
          <t>Target Next Cycle</t>
        </is>
      </c>
    </row>
    <row r="17" ht="22" customHeight="1">
      <c r="B17" s="31" t="n">
        <v>1</v>
      </c>
      <c r="C17" s="32" t="inlineStr">
        <is>
          <t>Total NCRs raised (Major + Minor)</t>
        </is>
      </c>
      <c r="D17" s="33" t="inlineStr">
        <is>
          <t>No.</t>
        </is>
      </c>
      <c r="E17" s="33" t="inlineStr"/>
      <c r="F17" s="33" t="inlineStr"/>
      <c r="G17" s="33">
        <f>IFERROR(ROUND((E17-F17)/F17*100,1),"")</f>
        <v/>
      </c>
      <c r="H17" s="33" t="inlineStr"/>
    </row>
    <row r="18" ht="22" customHeight="1">
      <c r="B18" s="8" t="n">
        <v>2</v>
      </c>
      <c r="C18" s="9" t="inlineStr">
        <is>
          <t>Major NCRs</t>
        </is>
      </c>
      <c r="D18" s="10" t="inlineStr">
        <is>
          <t>No.</t>
        </is>
      </c>
      <c r="E18" s="10" t="inlineStr"/>
      <c r="F18" s="10" t="inlineStr"/>
      <c r="G18" s="10">
        <f>IFERROR(ROUND((E18-F18)/F18*100,1),"")</f>
        <v/>
      </c>
      <c r="H18" s="10" t="inlineStr"/>
    </row>
    <row r="19" ht="22" customHeight="1">
      <c r="B19" s="31" t="n">
        <v>3</v>
      </c>
      <c r="C19" s="32" t="inlineStr">
        <is>
          <t>Minor NCRs</t>
        </is>
      </c>
      <c r="D19" s="33" t="inlineStr">
        <is>
          <t>No.</t>
        </is>
      </c>
      <c r="E19" s="33" t="inlineStr"/>
      <c r="F19" s="33" t="inlineStr"/>
      <c r="G19" s="33">
        <f>IFERROR(ROUND((E19-F19)/F19*100,1),"")</f>
        <v/>
      </c>
      <c r="H19" s="33" t="inlineStr"/>
    </row>
    <row r="20" ht="22" customHeight="1">
      <c r="B20" s="8" t="n">
        <v>4</v>
      </c>
      <c r="C20" s="9" t="inlineStr">
        <is>
          <t>OFIs (Opportunities for Improvement)</t>
        </is>
      </c>
      <c r="D20" s="10" t="inlineStr">
        <is>
          <t>No.</t>
        </is>
      </c>
      <c r="E20" s="10" t="inlineStr"/>
      <c r="F20" s="10" t="inlineStr"/>
      <c r="G20" s="10">
        <f>IFERROR(ROUND((E20-F20)/F20*100,1),"")</f>
        <v/>
      </c>
      <c r="H20" s="10" t="inlineStr"/>
    </row>
    <row r="21" ht="22" customHeight="1">
      <c r="B21" s="31" t="n">
        <v>5</v>
      </c>
      <c r="C21" s="32" t="inlineStr">
        <is>
          <t>Commendations / Best Practices</t>
        </is>
      </c>
      <c r="D21" s="33" t="inlineStr">
        <is>
          <t>No.</t>
        </is>
      </c>
      <c r="E21" s="33" t="inlineStr"/>
      <c r="F21" s="33" t="inlineStr"/>
      <c r="G21" s="33">
        <f>IFERROR(ROUND((E21-F21)/F21*100,1),"")</f>
        <v/>
      </c>
      <c r="H21" s="33" t="inlineStr"/>
    </row>
    <row r="22" ht="22" customHeight="1">
      <c r="B22" s="8" t="n">
        <v>6</v>
      </c>
      <c r="C22" s="9" t="inlineStr">
        <is>
          <t>Institution avg. audit score (/5)</t>
        </is>
      </c>
      <c r="D22" s="10" t="inlineStr">
        <is>
          <t>Score</t>
        </is>
      </c>
      <c r="E22" s="10" t="inlineStr"/>
      <c r="F22" s="10" t="inlineStr"/>
      <c r="G22" s="10">
        <f>IFERROR(ROUND((E22-F22)/F22*100,1),"")</f>
        <v/>
      </c>
      <c r="H22" s="10" t="inlineStr"/>
    </row>
    <row r="23" ht="22" customHeight="1">
      <c r="B23" s="31" t="n">
        <v>7</v>
      </c>
      <c r="C23" s="32" t="inlineStr">
        <is>
          <t>Top-ranked department</t>
        </is>
      </c>
      <c r="D23" s="33" t="inlineStr">
        <is>
          <t>Dept. name</t>
        </is>
      </c>
      <c r="E23" s="33" t="inlineStr"/>
      <c r="F23" s="33" t="inlineStr"/>
      <c r="G23" s="33">
        <f>IFERROR(ROUND((E23-F23)/F23*100,1),"")</f>
        <v/>
      </c>
      <c r="H23" s="33" t="inlineStr"/>
    </row>
    <row r="24" ht="22" customHeight="1">
      <c r="B24" s="8" t="n">
        <v>8</v>
      </c>
      <c r="C24" s="9" t="inlineStr">
        <is>
          <t>Dept. with most critical NCRs</t>
        </is>
      </c>
      <c r="D24" s="10" t="inlineStr">
        <is>
          <t>Dept. name</t>
        </is>
      </c>
      <c r="E24" s="10" t="inlineStr"/>
      <c r="F24" s="10" t="inlineStr"/>
      <c r="G24" s="10">
        <f>IFERROR(ROUND((E24-F24)/F24*100,1),"")</f>
        <v/>
      </c>
      <c r="H24" s="10" t="inlineStr"/>
    </row>
    <row r="25" ht="22" customHeight="1"/>
    <row r="26" ht="24" customHeight="1">
      <c r="B26" s="55" t="inlineStr">
        <is>
          <t>SECTION 3 — NCR CLOSURE &amp; ACTION</t>
        </is>
      </c>
    </row>
    <row r="27" ht="22" customHeight="1">
      <c r="B27" s="56" t="inlineStr">
        <is>
          <t>Sl.</t>
        </is>
      </c>
      <c r="C27" s="56" t="inlineStr">
        <is>
          <t>Performance Metric</t>
        </is>
      </c>
      <c r="D27" s="56" t="inlineStr">
        <is>
          <t>Unit</t>
        </is>
      </c>
      <c r="E27" s="56" t="inlineStr">
        <is>
          <t>Current Cycle</t>
        </is>
      </c>
      <c r="F27" s="56" t="inlineStr">
        <is>
          <t>Previous Cycle</t>
        </is>
      </c>
      <c r="G27" s="56" t="inlineStr">
        <is>
          <t>Change %</t>
        </is>
      </c>
      <c r="H27" s="56" t="inlineStr">
        <is>
          <t>Target Next Cycle</t>
        </is>
      </c>
    </row>
    <row r="28" ht="22" customHeight="1">
      <c r="B28" s="57" t="n">
        <v>1</v>
      </c>
      <c r="C28" s="58" t="inlineStr">
        <is>
          <t>NCRs closed within 30 days</t>
        </is>
      </c>
      <c r="D28" s="59" t="inlineStr">
        <is>
          <t>No. &amp; %</t>
        </is>
      </c>
      <c r="E28" s="59" t="inlineStr"/>
      <c r="F28" s="59" t="inlineStr"/>
      <c r="G28" s="59">
        <f>IFERROR(ROUND((E28-F28)/F28*100,1),"")</f>
        <v/>
      </c>
      <c r="H28" s="59" t="inlineStr"/>
    </row>
    <row r="29" ht="22" customHeight="1">
      <c r="B29" s="8" t="n">
        <v>2</v>
      </c>
      <c r="C29" s="9" t="inlineStr">
        <is>
          <t>NCRs pending at report date</t>
        </is>
      </c>
      <c r="D29" s="10" t="inlineStr">
        <is>
          <t>No.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>
      <c r="B30" s="57" t="n">
        <v>3</v>
      </c>
      <c r="C30" s="58" t="inlineStr">
        <is>
          <t>Escalated / re-audit required</t>
        </is>
      </c>
      <c r="D30" s="59" t="inlineStr">
        <is>
          <t>No.</t>
        </is>
      </c>
      <c r="E30" s="59" t="inlineStr"/>
      <c r="F30" s="59" t="inlineStr"/>
      <c r="G30" s="59">
        <f>IFERROR(ROUND((E30-F30)/F30*100,1),"")</f>
        <v/>
      </c>
      <c r="H30" s="59" t="inlineStr"/>
    </row>
    <row r="31" ht="22" customHeight="1">
      <c r="B31" s="8" t="n">
        <v>4</v>
      </c>
      <c r="C31" s="9" t="inlineStr">
        <is>
          <t>Repeat NCRs (vs. previous cycle)</t>
        </is>
      </c>
      <c r="D31" s="10" t="inlineStr">
        <is>
          <t>No.</t>
        </is>
      </c>
      <c r="E31" s="10" t="inlineStr"/>
      <c r="F31" s="10" t="inlineStr"/>
      <c r="G31" s="10">
        <f>IFERROR(ROUND((E31-F31)/F31*100,1),"")</f>
        <v/>
      </c>
      <c r="H31" s="10" t="inlineStr"/>
    </row>
    <row r="32" ht="22" customHeight="1">
      <c r="B32" s="57" t="n">
        <v>5</v>
      </c>
      <c r="C32" s="58" t="inlineStr">
        <is>
          <t>NCR closure rate (%)</t>
        </is>
      </c>
      <c r="D32" s="59" t="inlineStr">
        <is>
          <t>% closed</t>
        </is>
      </c>
      <c r="E32" s="59" t="inlineStr"/>
      <c r="F32" s="59" t="inlineStr"/>
      <c r="G32" s="59">
        <f>IFERROR(ROUND((E32-F32)/F32*100,1),"")</f>
        <v/>
      </c>
      <c r="H32" s="59" t="inlineStr"/>
    </row>
    <row r="33" ht="22" customHeight="1">
      <c r="B33" s="8" t="n">
        <v>6</v>
      </c>
      <c r="C33" s="9" t="inlineStr">
        <is>
          <t>Systemic changes made based on NCRs</t>
        </is>
      </c>
      <c r="D33" s="10" t="inlineStr">
        <is>
          <t>No.</t>
        </is>
      </c>
      <c r="E33" s="10" t="inlineStr"/>
      <c r="F33" s="10" t="inlineStr"/>
      <c r="G33" s="10">
        <f>IFERROR(ROUND((E33-F33)/F33*100,1),"")</f>
        <v/>
      </c>
      <c r="H33" s="10" t="inlineStr"/>
    </row>
    <row r="34" ht="22" customHeight="1"/>
    <row r="35" ht="24" customHeight="1">
      <c r="B35" s="41" t="inlineStr">
        <is>
          <t>SECTION 4 — ACADEMIC PERFORMANCE (Audit Evidence)</t>
        </is>
      </c>
    </row>
    <row r="36" ht="22" customHeight="1">
      <c r="B36" s="81" t="inlineStr">
        <is>
          <t>Sl.</t>
        </is>
      </c>
      <c r="C36" s="81" t="inlineStr">
        <is>
          <t>Performance Metric</t>
        </is>
      </c>
      <c r="D36" s="81" t="inlineStr">
        <is>
          <t>Unit</t>
        </is>
      </c>
      <c r="E36" s="81" t="inlineStr">
        <is>
          <t>Current Cycle</t>
        </is>
      </c>
      <c r="F36" s="81" t="inlineStr">
        <is>
          <t>Previous Cycle</t>
        </is>
      </c>
      <c r="G36" s="81" t="inlineStr">
        <is>
          <t>Change %</t>
        </is>
      </c>
      <c r="H36" s="81" t="inlineStr">
        <is>
          <t>Target Next Cycle</t>
        </is>
      </c>
    </row>
    <row r="37" ht="22" customHeight="1">
      <c r="B37" s="82" t="n">
        <v>1</v>
      </c>
      <c r="C37" s="83" t="inlineStr">
        <is>
          <t>Institution-wide pass % (all programmes)</t>
        </is>
      </c>
      <c r="D37" s="84" t="inlineStr">
        <is>
          <t>% pass</t>
        </is>
      </c>
      <c r="E37" s="84" t="inlineStr"/>
      <c r="F37" s="84" t="inlineStr"/>
      <c r="G37" s="84">
        <f>IFERROR(ROUND((E37-F37)/F37*100,1),"")</f>
        <v/>
      </c>
      <c r="H37" s="84" t="inlineStr"/>
    </row>
    <row r="38" ht="22" customHeight="1">
      <c r="B38" s="8" t="n">
        <v>2</v>
      </c>
      <c r="C38" s="9" t="inlineStr">
        <is>
          <t>CO attainment ≥ Level 2</t>
        </is>
      </c>
      <c r="D38" s="10" t="inlineStr">
        <is>
          <t>% of courses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>
      <c r="B39" s="82" t="n">
        <v>3</v>
      </c>
      <c r="C39" s="83" t="inlineStr">
        <is>
          <t>Faculty FDP completion</t>
        </is>
      </c>
      <c r="D39" s="84" t="inlineStr">
        <is>
          <t>% of faculty</t>
        </is>
      </c>
      <c r="E39" s="84" t="inlineStr"/>
      <c r="F39" s="84" t="inlineStr"/>
      <c r="G39" s="84">
        <f>IFERROR(ROUND((E39-F39)/F39*100,1),"")</f>
        <v/>
      </c>
      <c r="H39" s="84" t="inlineStr"/>
    </row>
    <row r="40" ht="22" customHeight="1">
      <c r="B40" s="8" t="n">
        <v>4</v>
      </c>
      <c r="C40" s="9" t="inlineStr">
        <is>
          <t>Placement rate</t>
        </is>
      </c>
      <c r="D40" s="10" t="inlineStr">
        <is>
          <t>% placed</t>
        </is>
      </c>
      <c r="E40" s="10" t="inlineStr"/>
      <c r="F40" s="10" t="inlineStr"/>
      <c r="G40" s="10">
        <f>IFERROR(ROUND((E40-F40)/F40*100,1),"")</f>
        <v/>
      </c>
      <c r="H40" s="10" t="inlineStr"/>
    </row>
    <row r="41" ht="22" customHeight="1">
      <c r="B41" s="82" t="n">
        <v>5</v>
      </c>
      <c r="C41" s="83" t="inlineStr">
        <is>
          <t>Research publications</t>
        </is>
      </c>
      <c r="D41" s="84" t="inlineStr">
        <is>
          <t>No. total</t>
        </is>
      </c>
      <c r="E41" s="84" t="inlineStr"/>
      <c r="F41" s="84" t="inlineStr"/>
      <c r="G41" s="84">
        <f>IFERROR(ROUND((E41-F41)/F41*100,1),"")</f>
        <v/>
      </c>
      <c r="H41" s="84" t="inlineStr"/>
    </row>
    <row r="42" ht="22" customHeight="1">
      <c r="B42" s="8" t="n">
        <v>6</v>
      </c>
      <c r="C42" s="9" t="inlineStr">
        <is>
          <t>LMS adoption</t>
        </is>
      </c>
      <c r="D42" s="10" t="inlineStr">
        <is>
          <t>% of courses on LMS</t>
        </is>
      </c>
      <c r="E42" s="10" t="inlineStr"/>
      <c r="F42" s="10" t="inlineStr"/>
      <c r="G42" s="10">
        <f>IFERROR(ROUND((E42-F42)/F42*100,1),"")</f>
        <v/>
      </c>
      <c r="H42" s="10" t="inlineStr"/>
    </row>
    <row r="43" ht="22" customHeight="1"/>
    <row r="44" ht="24" customHeight="1">
      <c r="B44" s="50" t="inlineStr">
        <is>
          <t>SECTION 5 — ADMINISTRATIVE PERFORMANCE (Audit Evidence)</t>
        </is>
      </c>
    </row>
    <row r="45" ht="22" customHeight="1">
      <c r="B45" s="51" t="inlineStr">
        <is>
          <t>Sl.</t>
        </is>
      </c>
      <c r="C45" s="51" t="inlineStr">
        <is>
          <t>Performance Metric</t>
        </is>
      </c>
      <c r="D45" s="51" t="inlineStr">
        <is>
          <t>Unit</t>
        </is>
      </c>
      <c r="E45" s="51" t="inlineStr">
        <is>
          <t>Current Cycle</t>
        </is>
      </c>
      <c r="F45" s="51" t="inlineStr">
        <is>
          <t>Previous Cycle</t>
        </is>
      </c>
      <c r="G45" s="51" t="inlineStr">
        <is>
          <t>Change %</t>
        </is>
      </c>
      <c r="H45" s="51" t="inlineStr">
        <is>
          <t>Target Next Cycle</t>
        </is>
      </c>
    </row>
    <row r="46" ht="22" customHeight="1">
      <c r="B46" s="52" t="n">
        <v>1</v>
      </c>
      <c r="C46" s="53" t="inlineStr">
        <is>
          <t>Statutory compliance rate</t>
        </is>
      </c>
      <c r="D46" s="54" t="inlineStr">
        <is>
          <t>% complied</t>
        </is>
      </c>
      <c r="E46" s="54" t="inlineStr"/>
      <c r="F46" s="54" t="inlineStr"/>
      <c r="G46" s="54">
        <f>IFERROR(ROUND((E46-F46)/F46*100,1),"")</f>
        <v/>
      </c>
      <c r="H46" s="54" t="inlineStr"/>
    </row>
    <row r="47" ht="22" customHeight="1">
      <c r="B47" s="8" t="n">
        <v>2</v>
      </c>
      <c r="C47" s="9" t="inlineStr">
        <is>
          <t>Budget utilisation</t>
        </is>
      </c>
      <c r="D47" s="10" t="inlineStr">
        <is>
          <t>% utilised</t>
        </is>
      </c>
      <c r="E47" s="10" t="inlineStr"/>
      <c r="F47" s="10" t="inlineStr"/>
      <c r="G47" s="10">
        <f>IFERROR(ROUND((E47-F47)/F47*100,1),"")</f>
        <v/>
      </c>
      <c r="H47" s="10" t="inlineStr"/>
    </row>
    <row r="48" ht="22" customHeight="1">
      <c r="B48" s="52" t="n">
        <v>3</v>
      </c>
      <c r="C48" s="53" t="inlineStr">
        <is>
          <t>Student grievance resolution</t>
        </is>
      </c>
      <c r="D48" s="54" t="inlineStr">
        <is>
          <t>% within 30 days</t>
        </is>
      </c>
      <c r="E48" s="54" t="inlineStr"/>
      <c r="F48" s="54" t="inlineStr"/>
      <c r="G48" s="54">
        <f>IFERROR(ROUND((E48-F48)/F48*100,1),"")</f>
        <v/>
      </c>
      <c r="H48" s="54" t="inlineStr"/>
    </row>
    <row r="49" ht="22" customHeight="1">
      <c r="B49" s="8" t="n">
        <v>4</v>
      </c>
      <c r="C49" s="9" t="inlineStr">
        <is>
          <t>Staff grievance resolution</t>
        </is>
      </c>
      <c r="D49" s="10" t="inlineStr">
        <is>
          <t>% within 30 days</t>
        </is>
      </c>
      <c r="E49" s="10" t="inlineStr"/>
      <c r="F49" s="10" t="inlineStr"/>
      <c r="G49" s="10">
        <f>IFERROR(ROUND((E49-F49)/F49*100,1),"")</f>
        <v/>
      </c>
      <c r="H49" s="10" t="inlineStr"/>
    </row>
    <row r="50" ht="22" customHeight="1">
      <c r="B50" s="52" t="n">
        <v>5</v>
      </c>
      <c r="C50" s="53" t="inlineStr">
        <is>
          <t>Infrastructure adequacy score</t>
        </is>
      </c>
      <c r="D50" s="54" t="inlineStr">
        <is>
          <t>Score /5</t>
        </is>
      </c>
      <c r="E50" s="54" t="inlineStr"/>
      <c r="F50" s="54" t="inlineStr"/>
      <c r="G50" s="54">
        <f>IFERROR(ROUND((E50-F50)/F50*100,1),"")</f>
        <v/>
      </c>
      <c r="H50" s="54" t="inlineStr"/>
    </row>
    <row r="51" ht="22" customHeight="1">
      <c r="B51" s="8" t="n">
        <v>6</v>
      </c>
      <c r="C51" s="9" t="inlineStr">
        <is>
          <t>HR vacancy rate</t>
        </is>
      </c>
      <c r="D51" s="10" t="inlineStr">
        <is>
          <t>% unfilled</t>
        </is>
      </c>
      <c r="E51" s="10" t="inlineStr"/>
      <c r="F51" s="10" t="inlineStr"/>
      <c r="G51" s="10">
        <f>IFERROR(ROUND((E51-F51)/F51*100,1),"")</f>
        <v/>
      </c>
      <c r="H51" s="10" t="inlineStr"/>
    </row>
    <row r="52" ht="22" customHeight="1"/>
    <row r="53" ht="24" customHeight="1">
      <c r="B53" s="20" t="inlineStr">
        <is>
          <t>SECTION 6 — YEAR-ON-YEAR IMPROVEMENT</t>
        </is>
      </c>
    </row>
    <row r="54" ht="22" customHeight="1">
      <c r="B54" s="21" t="inlineStr">
        <is>
          <t>Sl.</t>
        </is>
      </c>
      <c r="C54" s="21" t="inlineStr">
        <is>
          <t>Performance Metric</t>
        </is>
      </c>
      <c r="D54" s="21" t="inlineStr">
        <is>
          <t>Unit</t>
        </is>
      </c>
      <c r="E54" s="21" t="inlineStr">
        <is>
          <t>Current Cycle</t>
        </is>
      </c>
      <c r="F54" s="21" t="inlineStr">
        <is>
          <t>Previous Cycle</t>
        </is>
      </c>
      <c r="G54" s="21" t="inlineStr">
        <is>
          <t>Change %</t>
        </is>
      </c>
      <c r="H54" s="21" t="inlineStr">
        <is>
          <t>Target Next Cycle</t>
        </is>
      </c>
    </row>
    <row r="55" ht="22" customHeight="1">
      <c r="B55" s="38" t="n">
        <v>1</v>
      </c>
      <c r="C55" s="49" t="inlineStr">
        <is>
          <t>Avg. audit score (current vs. previous cycle)</t>
        </is>
      </c>
      <c r="D55" s="22" t="inlineStr">
        <is>
          <t>Score /5</t>
        </is>
      </c>
      <c r="E55" s="22" t="inlineStr"/>
      <c r="F55" s="22" t="inlineStr"/>
      <c r="G55" s="22">
        <f>IFERROR(ROUND((E55-F55)/F55*100,1),"")</f>
        <v/>
      </c>
      <c r="H55" s="22" t="inlineStr"/>
    </row>
    <row r="56" ht="22" customHeight="1">
      <c r="B56" s="8" t="n">
        <v>2</v>
      </c>
      <c r="C56" s="9" t="inlineStr">
        <is>
          <t>NCRs raised (current vs. previous)</t>
        </is>
      </c>
      <c r="D56" s="10" t="inlineStr">
        <is>
          <t>No.</t>
        </is>
      </c>
      <c r="E56" s="10" t="inlineStr"/>
      <c r="F56" s="10" t="inlineStr"/>
      <c r="G56" s="10">
        <f>IFERROR(ROUND((E56-F56)/F56*100,1),"")</f>
        <v/>
      </c>
      <c r="H56" s="10" t="inlineStr"/>
    </row>
    <row r="57" ht="22" customHeight="1">
      <c r="B57" s="38" t="n">
        <v>3</v>
      </c>
      <c r="C57" s="49" t="inlineStr">
        <is>
          <t>NCR closure rate (current vs. previous)</t>
        </is>
      </c>
      <c r="D57" s="22" t="inlineStr">
        <is>
          <t>% closed</t>
        </is>
      </c>
      <c r="E57" s="22" t="inlineStr"/>
      <c r="F57" s="22" t="inlineStr"/>
      <c r="G57" s="22">
        <f>IFERROR(ROUND((E57-F57)/F57*100,1),"")</f>
        <v/>
      </c>
      <c r="H57" s="22" t="inlineStr"/>
    </row>
    <row r="58" ht="22" customHeight="1">
      <c r="B58" s="8" t="n">
        <v>4</v>
      </c>
      <c r="C58" s="9" t="inlineStr">
        <is>
          <t>Departments improved over last cycle</t>
        </is>
      </c>
      <c r="D58" s="10" t="inlineStr">
        <is>
          <t>No.</t>
        </is>
      </c>
      <c r="E58" s="10" t="inlineStr"/>
      <c r="F58" s="10" t="inlineStr"/>
      <c r="G58" s="10">
        <f>IFERROR(ROUND((E58-F58)/F58*100,1),"")</f>
        <v/>
      </c>
      <c r="H58" s="10" t="inlineStr"/>
    </row>
    <row r="59" ht="22" customHeight="1">
      <c r="B59" s="38" t="n">
        <v>5</v>
      </c>
      <c r="C59" s="49" t="inlineStr">
        <is>
          <t>Best practices institutionalised</t>
        </is>
      </c>
      <c r="D59" s="22" t="inlineStr">
        <is>
          <t>No. adopted</t>
        </is>
      </c>
      <c r="E59" s="22" t="inlineStr"/>
      <c r="F59" s="22" t="inlineStr"/>
      <c r="G59" s="22">
        <f>IFERROR(ROUND((E59-F59)/F59*100,1),"")</f>
        <v/>
      </c>
      <c r="H59" s="22" t="inlineStr"/>
    </row>
    <row r="60" ht="22" customHeight="1">
      <c r="B60" s="8" t="n">
        <v>6</v>
      </c>
      <c r="C60" s="9" t="inlineStr">
        <is>
          <t>Overall quality direction</t>
        </is>
      </c>
      <c r="D60" s="10" t="inlineStr">
        <is>
          <t>Improving / Steady / Declining</t>
        </is>
      </c>
      <c r="E60" s="10" t="inlineStr"/>
      <c r="F60" s="10" t="inlineStr"/>
      <c r="G60" s="10">
        <f>IFERROR(ROUND((E60-F60)/F60*100,1),"")</f>
        <v/>
      </c>
      <c r="H60" s="10" t="inlineStr"/>
    </row>
    <row r="61" ht="22" customHeight="1"/>
    <row r="62" ht="24" customHeight="1">
      <c r="B62" s="85" t="inlineStr">
        <is>
          <t>EXECUTIVE SUMMARY FOR GOVERNING BODY</t>
        </is>
      </c>
    </row>
    <row r="63" ht="50" customHeight="1">
      <c r="B63" s="39" t="inlineStr">
        <is>
          <t>Key Strengths of the Institution (Top 3):</t>
        </is>
      </c>
      <c r="C63" s="9" t="n"/>
    </row>
    <row r="64" ht="50" customHeight="1">
      <c r="B64" s="39" t="inlineStr">
        <is>
          <t>Key Areas Requiring Immediate Action (Top 3):</t>
        </is>
      </c>
      <c r="C64" s="9" t="n"/>
    </row>
    <row r="65" ht="50" customHeight="1">
      <c r="B65" s="39" t="inlineStr">
        <is>
          <t>Strategic Recommendations to Management:</t>
        </is>
      </c>
      <c r="C65" s="9" t="n"/>
    </row>
    <row r="66" ht="50" customHeight="1">
      <c r="B66" s="39" t="inlineStr">
        <is>
          <t>Planned Focus Areas for Next Audit Cycle:</t>
        </is>
      </c>
      <c r="C66" s="9" t="n"/>
    </row>
    <row r="67" ht="20" customHeight="1">
      <c r="B67" s="17" t="inlineStr">
        <is>
          <t>AAA Annual Report must be submitted to: Governing Body (for approval), IQAC (for AQAR linkage), Principal (for executive action), and archived for NAAC/NBA peer team visit.</t>
        </is>
      </c>
    </row>
    <row r="68">
      <c r="B68" s="29" t="inlineStr">
        <is>
          <t>AAA Coordinator: ___________________    Chairperson: ___________________    Governing Body Secretary: ___________________    Date: ___________________</t>
        </is>
      </c>
    </row>
  </sheetData>
  <mergeCells count="15">
    <mergeCell ref="C63:H63"/>
    <mergeCell ref="C65:H65"/>
    <mergeCell ref="B26:H26"/>
    <mergeCell ref="C66:H66"/>
    <mergeCell ref="B35:H35"/>
    <mergeCell ref="B4:H4"/>
    <mergeCell ref="B44:H44"/>
    <mergeCell ref="B53:H53"/>
    <mergeCell ref="B68:H68"/>
    <mergeCell ref="B2:H2"/>
    <mergeCell ref="B62:H62"/>
    <mergeCell ref="B15:H15"/>
    <mergeCell ref="C64:H64"/>
    <mergeCell ref="B3:H3"/>
    <mergeCell ref="B67:H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2026-04-20T15:09:59Z</dcterms:created>
  <dcterms:modified xmlns:dcterms="http://purl.org/dc/terms/" xmlns:xsi="http://www.w3.org/2001/XMLSchema-instance" xsi:type="dcterms:W3CDTF">2026-04-20T15:10:00Z</dcterms:modified>
</cp:coreProperties>
</file>