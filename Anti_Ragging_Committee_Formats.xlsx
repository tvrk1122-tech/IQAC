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RC-00 Composition" sheetId="2" state="visible" r:id="rId2"/>
    <sheet xmlns:r="http://schemas.openxmlformats.org/officeDocument/2006/relationships" name="ARC-NA Notice &amp; Agenda" sheetId="3" state="visible" r:id="rId3"/>
    <sheet xmlns:r="http://schemas.openxmlformats.org/officeDocument/2006/relationships" name="ARC-AT Attendance" sheetId="4" state="visible" r:id="rId4"/>
    <sheet xmlns:r="http://schemas.openxmlformats.org/officeDocument/2006/relationships" name="ARC-MM Minutes" sheetId="5" state="visible" r:id="rId5"/>
    <sheet xmlns:r="http://schemas.openxmlformats.org/officeDocument/2006/relationships" name="ARC-ATR Action Report" sheetId="6" state="visible" r:id="rId6"/>
    <sheet xmlns:r="http://schemas.openxmlformats.org/officeDocument/2006/relationships" name="ARC-04 Student Undertakings" sheetId="7" state="visible" r:id="rId7"/>
    <sheet xmlns:r="http://schemas.openxmlformats.org/officeDocument/2006/relationships" name="ARC-08 Awareness Programmes" sheetId="8" state="visible" r:id="rId8"/>
    <sheet xmlns:r="http://schemas.openxmlformats.org/officeDocument/2006/relationships" name="ARC-13 Squad Duty Register" sheetId="9" state="visible" r:id="rId9"/>
    <sheet xmlns:r="http://schemas.openxmlformats.org/officeDocument/2006/relationships" name="ARC-17 Complaint Form" sheetId="10" state="visible" r:id="rId10"/>
    <sheet xmlns:r="http://schemas.openxmlformats.org/officeDocument/2006/relationships" name="ARC-18 Case Register" sheetId="11" state="visible" r:id="rId11"/>
    <sheet xmlns:r="http://schemas.openxmlformats.org/officeDocument/2006/relationships" name="ARC-20 Inquiry Proceedings" sheetId="12" state="visible" r:id="rId12"/>
    <sheet xmlns:r="http://schemas.openxmlformats.org/officeDocument/2006/relationships" name="ARC-23 Decision Register" sheetId="13" state="visible" r:id="rId13"/>
    <sheet xmlns:r="http://schemas.openxmlformats.org/officeDocument/2006/relationships" name="ARC-25 UGC &amp; Police Report" sheetId="14" state="visible" r:id="rId14"/>
    <sheet xmlns:r="http://schemas.openxmlformats.org/officeDocument/2006/relationships" name="ARC-26 Victim Support" sheetId="15" state="visible" r:id="rId15"/>
    <sheet xmlns:r="http://schemas.openxmlformats.org/officeDocument/2006/relationships" name="ARC-02 UGC Compliance Check" sheetId="16" state="visible" r:id="rId16"/>
    <sheet xmlns:r="http://schemas.openxmlformats.org/officeDocument/2006/relationships" name="ARC-16 Surprise Checks" sheetId="17" state="visible" r:id="rId17"/>
    <sheet xmlns:r="http://schemas.openxmlformats.org/officeDocument/2006/relationships" name="ARC-31 KPI Dashboard" sheetId="18" state="visible" r:id="rId18"/>
    <sheet xmlns:r="http://schemas.openxmlformats.org/officeDocument/2006/relationships" name="ARC-32 Annual Repor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991B1B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991B1B"/>
      <sz val="8"/>
    </font>
    <font>
      <name val="Arial"/>
      <color rgb="003F2000"/>
      <sz val="9"/>
    </font>
    <font>
      <name val="Arial"/>
      <b val="1"/>
      <color rgb="00991B1B"/>
      <sz val="10"/>
    </font>
    <font>
      <name val="Arial"/>
      <b val="1"/>
      <color rgb="007B1D1D"/>
      <sz val="9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3B0000"/>
      <sz val="10"/>
    </font>
    <font>
      <name val="Arial"/>
      <b val="1"/>
      <color rgb="001E3A5F"/>
      <sz val="10"/>
    </font>
    <font>
      <name val="Arial"/>
      <b val="1"/>
      <color rgb="00991B1B"/>
      <sz val="9"/>
    </font>
    <font>
      <name val="Arial"/>
      <color rgb="001E3A5F"/>
      <sz val="9"/>
    </font>
    <font>
      <name val="Arial"/>
      <b val="1"/>
      <color rgb="000F172A"/>
      <sz val="9"/>
    </font>
    <font>
      <name val="Arial"/>
      <color rgb="00991B1B"/>
      <sz val="10"/>
    </font>
    <font>
      <name val="Arial"/>
      <b val="1"/>
      <color rgb="003F2000"/>
      <sz val="10"/>
    </font>
  </fonts>
  <fills count="22">
    <fill>
      <patternFill/>
    </fill>
    <fill>
      <patternFill patternType="gray125"/>
    </fill>
    <fill>
      <patternFill patternType="solid">
        <fgColor rgb="003B0000"/>
      </patternFill>
    </fill>
    <fill>
      <patternFill patternType="solid">
        <fgColor rgb="00FEE2E2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991B1B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FFF0F0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92400E"/>
      </patternFill>
    </fill>
    <fill>
      <patternFill patternType="solid">
        <fgColor rgb="007C3AED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10" fillId="10" borderId="0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5" fillId="14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17" borderId="0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8" fillId="3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19" fillId="18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0" fontId="20" fillId="18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 wrapText="1"/>
    </xf>
    <xf numFmtId="0" fontId="15" fillId="18" borderId="1" applyAlignment="1" pivotButton="0" quotePrefix="0" xfId="0">
      <alignment horizontal="center" vertical="center" wrapText="1"/>
    </xf>
    <xf numFmtId="0" fontId="20" fillId="16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left" vertical="center" wrapText="1"/>
    </xf>
    <xf numFmtId="0" fontId="15" fillId="16" borderId="1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center" vertical="center" wrapText="1"/>
    </xf>
    <xf numFmtId="0" fontId="20" fillId="21" borderId="1" applyAlignment="1" pivotButton="0" quotePrefix="0" xfId="0">
      <alignment horizontal="center" vertical="center" wrapText="1"/>
    </xf>
    <xf numFmtId="0" fontId="15" fillId="21" borderId="1" applyAlignment="1" pivotButton="0" quotePrefix="0" xfId="0">
      <alignment horizontal="left" vertical="center" wrapText="1"/>
    </xf>
    <xf numFmtId="0" fontId="15" fillId="21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80" customHeight="1">
      <c r="B2" s="1" t="inlineStr">
        <is>
          <t>ANTI-RAGGING COMMITTEE (ARC)
Data Collection Formats — Master Workbook</t>
        </is>
      </c>
    </row>
    <row r="3" ht="28" customHeight="1">
      <c r="B3" s="2" t="inlineStr">
        <is>
          <t>Institution: _________________________  ARC Chairperson: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ARC-00</t>
        </is>
      </c>
      <c r="C6" s="6" t="inlineStr">
        <is>
          <t>ARC Composition &amp; Members Register</t>
        </is>
      </c>
      <c r="D6" s="6" t="inlineStr">
        <is>
          <t>Record ARC members, squad, police liaison &amp; student reps</t>
        </is>
      </c>
      <c r="E6" s="7" t="inlineStr">
        <is>
          <t>Annual</t>
        </is>
      </c>
    </row>
    <row r="7" ht="20" customHeight="1">
      <c r="B7" s="8" t="inlineStr">
        <is>
          <t>ARC-NA</t>
        </is>
      </c>
      <c r="C7" s="9" t="inlineStr">
        <is>
          <t>Meeting Notice, Agenda &amp; Dispatch Record</t>
        </is>
      </c>
      <c r="D7" s="9" t="inlineStr">
        <is>
          <t>Formal notice and agenda for ARC meetings</t>
        </is>
      </c>
      <c r="E7" s="10" t="inlineStr">
        <is>
          <t>Each Meeting</t>
        </is>
      </c>
    </row>
    <row r="8" ht="20" customHeight="1">
      <c r="B8" s="5" t="inlineStr">
        <is>
          <t>ARC-AT</t>
        </is>
      </c>
      <c r="C8" s="6" t="inlineStr">
        <is>
          <t>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ARC-MM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ARC-ATR</t>
        </is>
      </c>
      <c r="C10" s="6" t="inlineStr">
        <is>
          <t>Action Taken Report</t>
        </is>
      </c>
      <c r="D10" s="6" t="inlineStr">
        <is>
          <t>Track implementation of ARC resolutions</t>
        </is>
      </c>
      <c r="E10" s="7" t="inlineStr">
        <is>
          <t>Each Meeting</t>
        </is>
      </c>
    </row>
    <row r="11" ht="20" customHeight="1">
      <c r="B11" s="4" t="inlineStr">
        <is>
          <t>── POLICY &amp; LEGAL FRAMEWORK ──</t>
        </is>
      </c>
    </row>
    <row r="12" ht="20" customHeight="1">
      <c r="B12" s="5" t="inlineStr">
        <is>
          <t>ARC-01</t>
        </is>
      </c>
      <c r="C12" s="6" t="inlineStr">
        <is>
          <t>Anti-Ragging Policy &amp; Zero-Tolerance Declaration</t>
        </is>
      </c>
      <c r="D12" s="6" t="inlineStr">
        <is>
          <t>Document institutional anti-ragging policy &amp; undertakings</t>
        </is>
      </c>
      <c r="E12" s="7" t="inlineStr">
        <is>
          <t>Annual</t>
        </is>
      </c>
    </row>
    <row r="13" ht="20" customHeight="1">
      <c r="B13" s="8" t="inlineStr">
        <is>
          <t>ARC-02</t>
        </is>
      </c>
      <c r="C13" s="9" t="inlineStr">
        <is>
          <t>UGC / Supreme Court Compliance Register</t>
        </is>
      </c>
      <c r="D13" s="9" t="inlineStr">
        <is>
          <t>Track compliance with UGC Regulations 2009 &amp; SC orders</t>
        </is>
      </c>
      <c r="E13" s="10" t="inlineStr">
        <is>
          <t>Annual</t>
        </is>
      </c>
    </row>
    <row r="14" ht="20" customHeight="1">
      <c r="B14" s="5" t="inlineStr">
        <is>
          <t>ARC-03</t>
        </is>
      </c>
      <c r="C14" s="6" t="inlineStr">
        <is>
          <t>Annual Anti-Ragging Action Plan</t>
        </is>
      </c>
      <c r="D14" s="6" t="inlineStr">
        <is>
          <t>Plan all awareness, monitoring &amp; enforcement activities</t>
        </is>
      </c>
      <c r="E14" s="7" t="inlineStr">
        <is>
          <t>Annual</t>
        </is>
      </c>
    </row>
    <row r="15" ht="20" customHeight="1">
      <c r="B15" s="4" t="inlineStr">
        <is>
          <t>── UNDERTAKINGS &amp; AFFIDAVITS ──</t>
        </is>
      </c>
    </row>
    <row r="16" ht="20" customHeight="1">
      <c r="B16" s="5" t="inlineStr">
        <is>
          <t>ARC-04</t>
        </is>
      </c>
      <c r="C16" s="6" t="inlineStr">
        <is>
          <t>Student Anti-Ragging Undertaking Register</t>
        </is>
      </c>
      <c r="D16" s="6" t="inlineStr">
        <is>
          <t>Collect and track signed undertakings from all students</t>
        </is>
      </c>
      <c r="E16" s="7" t="inlineStr">
        <is>
          <t>Annual (Admission)</t>
        </is>
      </c>
    </row>
    <row r="17" ht="20" customHeight="1">
      <c r="B17" s="8" t="inlineStr">
        <is>
          <t>ARC-05</t>
        </is>
      </c>
      <c r="C17" s="9" t="inlineStr">
        <is>
          <t>Parent / Guardian Undertaking Register</t>
        </is>
      </c>
      <c r="D17" s="9" t="inlineStr">
        <is>
          <t>Collect undertakings from parents/guardians at admission</t>
        </is>
      </c>
      <c r="E17" s="10" t="inlineStr">
        <is>
          <t>Annual (Admission)</t>
        </is>
      </c>
    </row>
    <row r="18" ht="20" customHeight="1">
      <c r="B18" s="5" t="inlineStr">
        <is>
          <t>ARC-06</t>
        </is>
      </c>
      <c r="C18" s="6" t="inlineStr">
        <is>
          <t>Faculty Anti-Ragging Undertaking Register</t>
        </is>
      </c>
      <c r="D18" s="6" t="inlineStr">
        <is>
          <t>Collect undertakings from all faculty and staff</t>
        </is>
      </c>
      <c r="E18" s="7" t="inlineStr">
        <is>
          <t>Annual</t>
        </is>
      </c>
    </row>
    <row r="19" ht="20" customHeight="1">
      <c r="B19" s="8" t="inlineStr">
        <is>
          <t>ARC-07</t>
        </is>
      </c>
      <c r="C19" s="9" t="inlineStr">
        <is>
          <t>Hostel Warden Anti-Ragging Undertaking Reg.</t>
        </is>
      </c>
      <c r="D19" s="9" t="inlineStr">
        <is>
          <t>Collect undertakings from all hostel wardens</t>
        </is>
      </c>
      <c r="E19" s="10" t="inlineStr">
        <is>
          <t>Annual</t>
        </is>
      </c>
    </row>
    <row r="20" ht="20" customHeight="1">
      <c r="B20" s="4" t="inlineStr">
        <is>
          <t>── AWARENESS &amp; SENSITISATION ──</t>
        </is>
      </c>
    </row>
    <row r="21" ht="20" customHeight="1">
      <c r="B21" s="8" t="inlineStr">
        <is>
          <t>ARC-08</t>
        </is>
      </c>
      <c r="C21" s="9" t="inlineStr">
        <is>
          <t>Anti-Ragging Awareness Programme Register</t>
        </is>
      </c>
      <c r="D21" s="9" t="inlineStr">
        <is>
          <t>Log all awareness sessions, events &amp; campaigns</t>
        </is>
      </c>
      <c r="E21" s="10" t="inlineStr">
        <is>
          <t>Continuous</t>
        </is>
      </c>
    </row>
    <row r="22" ht="20" customHeight="1">
      <c r="B22" s="5" t="inlineStr">
        <is>
          <t>ARC-09</t>
        </is>
      </c>
      <c r="C22" s="6" t="inlineStr">
        <is>
          <t>Student Orientation &amp; Induction Register</t>
        </is>
      </c>
      <c r="D22" s="6" t="inlineStr">
        <is>
          <t>Track anti-ragging sessions in student orientation</t>
        </is>
      </c>
      <c r="E22" s="7" t="inlineStr">
        <is>
          <t>Annual (Induction)</t>
        </is>
      </c>
    </row>
    <row r="23" ht="20" customHeight="1">
      <c r="B23" s="8" t="inlineStr">
        <is>
          <t>ARC-10</t>
        </is>
      </c>
      <c r="C23" s="9" t="inlineStr">
        <is>
          <t>Faculty Sensitisation Programme Register</t>
        </is>
      </c>
      <c r="D23" s="9" t="inlineStr">
        <is>
          <t>Document faculty sensitisation on anti-ragging</t>
        </is>
      </c>
      <c r="E23" s="10" t="inlineStr">
        <is>
          <t>Annual</t>
        </is>
      </c>
    </row>
    <row r="24" ht="20" customHeight="1">
      <c r="B24" s="5" t="inlineStr">
        <is>
          <t>ARC-11</t>
        </is>
      </c>
      <c r="C24" s="6" t="inlineStr">
        <is>
          <t>Hostel Awareness Campaign Register</t>
        </is>
      </c>
      <c r="D24" s="6" t="inlineStr">
        <is>
          <t>Track awareness campaigns specifically in hostels</t>
        </is>
      </c>
      <c r="E24" s="7" t="inlineStr">
        <is>
          <t>Each Semester</t>
        </is>
      </c>
    </row>
    <row r="25" ht="20" customHeight="1">
      <c r="B25" s="8" t="inlineStr">
        <is>
          <t>ARC-12</t>
        </is>
      </c>
      <c r="C25" s="9" t="inlineStr">
        <is>
          <t>Anti-Ragging Poster / Helpline Display Reg.</t>
        </is>
      </c>
      <c r="D25" s="9" t="inlineStr">
        <is>
          <t>Track display of posters, helpline nos. across campus</t>
        </is>
      </c>
      <c r="E25" s="10" t="inlineStr">
        <is>
          <t>Annual</t>
        </is>
      </c>
    </row>
    <row r="26" ht="20" customHeight="1">
      <c r="B26" s="4" t="inlineStr">
        <is>
          <t>── MONITORING &amp; SURVEILLANCE ──</t>
        </is>
      </c>
    </row>
    <row r="27" ht="20" customHeight="1">
      <c r="B27" s="8" t="inlineStr">
        <is>
          <t>ARC-13</t>
        </is>
      </c>
      <c r="C27" s="9" t="inlineStr">
        <is>
          <t>Anti-Ragging Squad Duty Register</t>
        </is>
      </c>
      <c r="D27" s="9" t="inlineStr">
        <is>
          <t>Track squad patrol schedules, areas and reports</t>
        </is>
      </c>
      <c r="E27" s="10" t="inlineStr">
        <is>
          <t>Daily (Active Periods)</t>
        </is>
      </c>
    </row>
    <row r="28" ht="20" customHeight="1">
      <c r="B28" s="5" t="inlineStr">
        <is>
          <t>ARC-14</t>
        </is>
      </c>
      <c r="C28" s="6" t="inlineStr">
        <is>
          <t>Hostel Anti-Ragging Monitoring Register</t>
        </is>
      </c>
      <c r="D28" s="6" t="inlineStr">
        <is>
          <t>Daily monitoring of hostel for ragging incidents</t>
        </is>
      </c>
      <c r="E28" s="7" t="inlineStr">
        <is>
          <t>Daily (Hostel Season)</t>
        </is>
      </c>
    </row>
    <row r="29" ht="20" customHeight="1">
      <c r="B29" s="8" t="inlineStr">
        <is>
          <t>ARC-15</t>
        </is>
      </c>
      <c r="C29" s="9" t="inlineStr">
        <is>
          <t>CCTV Surveillance Monitoring Register</t>
        </is>
      </c>
      <c r="D29" s="9" t="inlineStr">
        <is>
          <t>Track CCTV coverage and footage review for ARC</t>
        </is>
      </c>
      <c r="E29" s="10" t="inlineStr">
        <is>
          <t>Monthly</t>
        </is>
      </c>
    </row>
    <row r="30" ht="20" customHeight="1">
      <c r="B30" s="5" t="inlineStr">
        <is>
          <t>ARC-16</t>
        </is>
      </c>
      <c r="C30" s="6" t="inlineStr">
        <is>
          <t>Surprise Check Register</t>
        </is>
      </c>
      <c r="D30" s="6" t="inlineStr">
        <is>
          <t>Document surprise checks in hostels, canteen, campus</t>
        </is>
      </c>
      <c r="E30" s="7" t="inlineStr">
        <is>
          <t>Weekly / Random</t>
        </is>
      </c>
    </row>
    <row r="31" ht="20" customHeight="1">
      <c r="B31" s="4" t="inlineStr">
        <is>
          <t>── COMPLAINT &amp; INCIDENT HANDLING ──</t>
        </is>
      </c>
    </row>
    <row r="32" ht="20" customHeight="1">
      <c r="B32" s="5" t="inlineStr">
        <is>
          <t>ARC-17</t>
        </is>
      </c>
      <c r="C32" s="6" t="inlineStr">
        <is>
          <t>Ragging Complaint / Incident Report Form</t>
        </is>
      </c>
      <c r="D32" s="6" t="inlineStr">
        <is>
          <t>Formal complaint submission — online or physical</t>
        </is>
      </c>
      <c r="E32" s="7" t="inlineStr">
        <is>
          <t>Per Incident</t>
        </is>
      </c>
    </row>
    <row r="33" ht="20" customHeight="1">
      <c r="B33" s="8" t="inlineStr">
        <is>
          <t>ARC-18</t>
        </is>
      </c>
      <c r="C33" s="9" t="inlineStr">
        <is>
          <t>Complaint Registration &amp; Acknowledgement Reg.</t>
        </is>
      </c>
      <c r="D33" s="9" t="inlineStr">
        <is>
          <t>Register every complaint with reference number</t>
        </is>
      </c>
      <c r="E33" s="10" t="inlineStr">
        <is>
          <t>Per Complaint</t>
        </is>
      </c>
    </row>
    <row r="34" ht="20" customHeight="1">
      <c r="B34" s="5" t="inlineStr">
        <is>
          <t>ARC-19</t>
        </is>
      </c>
      <c r="C34" s="6" t="inlineStr">
        <is>
          <t>Inquiry Committee Constitution Register</t>
        </is>
      </c>
      <c r="D34" s="6" t="inlineStr">
        <is>
          <t>Constitute inquiry committee for each complaint</t>
        </is>
      </c>
      <c r="E34" s="7" t="inlineStr">
        <is>
          <t>Per Complaint</t>
        </is>
      </c>
    </row>
    <row r="35" ht="20" customHeight="1">
      <c r="B35" s="8" t="inlineStr">
        <is>
          <t>ARC-20</t>
        </is>
      </c>
      <c r="C35" s="9" t="inlineStr">
        <is>
          <t>Inquiry Proceedings &amp; Hearing Log</t>
        </is>
      </c>
      <c r="D35" s="9" t="inlineStr">
        <is>
          <t>Document inquiry hearings, evidence &amp; statements</t>
        </is>
      </c>
      <c r="E35" s="10" t="inlineStr">
        <is>
          <t>Per Inquiry</t>
        </is>
      </c>
    </row>
    <row r="36" ht="20" customHeight="1">
      <c r="B36" s="5" t="inlineStr">
        <is>
          <t>ARC-21</t>
        </is>
      </c>
      <c r="C36" s="6" t="inlineStr">
        <is>
          <t>Show-Cause Notice &amp; Response Register</t>
        </is>
      </c>
      <c r="D36" s="6" t="inlineStr">
        <is>
          <t>Issue and track SCN to accused and their response</t>
        </is>
      </c>
      <c r="E36" s="7" t="inlineStr">
        <is>
          <t>Per Case</t>
        </is>
      </c>
    </row>
    <row r="37" ht="20" customHeight="1">
      <c r="B37" s="8" t="inlineStr">
        <is>
          <t>ARC-22</t>
        </is>
      </c>
      <c r="C37" s="9" t="inlineStr">
        <is>
          <t>Witness Statement Register</t>
        </is>
      </c>
      <c r="D37" s="9" t="inlineStr">
        <is>
          <t>Formally record witness and complainant statements</t>
        </is>
      </c>
      <c r="E37" s="10" t="inlineStr">
        <is>
          <t>Per Case</t>
        </is>
      </c>
    </row>
    <row r="38" ht="20" customHeight="1">
      <c r="B38" s="4" t="inlineStr">
        <is>
          <t>── DECISION &amp; PENALTY ──</t>
        </is>
      </c>
    </row>
    <row r="39" ht="20" customHeight="1">
      <c r="B39" s="8" t="inlineStr">
        <is>
          <t>ARC-23</t>
        </is>
      </c>
      <c r="C39" s="9" t="inlineStr">
        <is>
          <t>ARC Decision &amp; Penalty Register</t>
        </is>
      </c>
      <c r="D39" s="9" t="inlineStr">
        <is>
          <t>Document final ARC decision and penalty awarded</t>
        </is>
      </c>
      <c r="E39" s="10" t="inlineStr">
        <is>
          <t>Per Case</t>
        </is>
      </c>
    </row>
    <row r="40" ht="20" customHeight="1">
      <c r="B40" s="5" t="inlineStr">
        <is>
          <t>ARC-24</t>
        </is>
      </c>
      <c r="C40" s="6" t="inlineStr">
        <is>
          <t>Penalty Execution &amp; Compliance Register</t>
        </is>
      </c>
      <c r="D40" s="6" t="inlineStr">
        <is>
          <t>Track execution and compliance with penalties</t>
        </is>
      </c>
      <c r="E40" s="7" t="inlineStr">
        <is>
          <t>Per Case</t>
        </is>
      </c>
    </row>
    <row r="41" ht="20" customHeight="1">
      <c r="B41" s="8" t="inlineStr">
        <is>
          <t>ARC-25</t>
        </is>
      </c>
      <c r="C41" s="9" t="inlineStr">
        <is>
          <t>UGC / Police Reporting Register</t>
        </is>
      </c>
      <c r="D41" s="9" t="inlineStr">
        <is>
          <t>Track mandatory reporting to UGC, police, state authority</t>
        </is>
      </c>
      <c r="E41" s="10" t="inlineStr">
        <is>
          <t>Per Serious Case</t>
        </is>
      </c>
    </row>
    <row r="42" ht="20" customHeight="1">
      <c r="B42" s="4" t="inlineStr">
        <is>
          <t>── SUPPORT &amp; REHABILITATION ──</t>
        </is>
      </c>
    </row>
    <row r="43" ht="20" customHeight="1">
      <c r="B43" s="8" t="inlineStr">
        <is>
          <t>ARC-26</t>
        </is>
      </c>
      <c r="C43" s="9" t="inlineStr">
        <is>
          <t>Victim Support &amp; Counselling Register</t>
        </is>
      </c>
      <c r="D43" s="9" t="inlineStr">
        <is>
          <t>Track counselling and welfare support to victims</t>
        </is>
      </c>
      <c r="E43" s="10" t="inlineStr">
        <is>
          <t>Per Case</t>
        </is>
      </c>
    </row>
    <row r="44" ht="20" customHeight="1">
      <c r="B44" s="5" t="inlineStr">
        <is>
          <t>ARC-27</t>
        </is>
      </c>
      <c r="C44" s="6" t="inlineStr">
        <is>
          <t>Accused Student Rehabilitation Register</t>
        </is>
      </c>
      <c r="D44" s="6" t="inlineStr">
        <is>
          <t>Document rehabilitation activities for punished students</t>
        </is>
      </c>
      <c r="E44" s="7" t="inlineStr">
        <is>
          <t>Per Case</t>
        </is>
      </c>
    </row>
    <row r="45" ht="20" customHeight="1">
      <c r="B45" s="8" t="inlineStr">
        <is>
          <t>ARC-28</t>
        </is>
      </c>
      <c r="C45" s="9" t="inlineStr">
        <is>
          <t>Parent Communication Register</t>
        </is>
      </c>
      <c r="D45" s="9" t="inlineStr">
        <is>
          <t>Document all communications with parents of both parties</t>
        </is>
      </c>
      <c r="E45" s="10" t="inlineStr">
        <is>
          <t>Per Case</t>
        </is>
      </c>
    </row>
    <row r="46" ht="20" customHeight="1">
      <c r="B46" s="4" t="inlineStr">
        <is>
          <t>── APPEAL &amp; REVIEW ──</t>
        </is>
      </c>
    </row>
    <row r="47" ht="20" customHeight="1">
      <c r="B47" s="8" t="inlineStr">
        <is>
          <t>ARC-29</t>
        </is>
      </c>
      <c r="C47" s="9" t="inlineStr">
        <is>
          <t>Appeal Application &amp; Register</t>
        </is>
      </c>
      <c r="D47" s="9" t="inlineStr">
        <is>
          <t>Receive and process appeals against ARC decisions</t>
        </is>
      </c>
      <c r="E47" s="10" t="inlineStr">
        <is>
          <t>Per Appeal</t>
        </is>
      </c>
    </row>
    <row r="48" ht="20" customHeight="1">
      <c r="B48" s="5" t="inlineStr">
        <is>
          <t>ARC-30</t>
        </is>
      </c>
      <c r="C48" s="6" t="inlineStr">
        <is>
          <t>Case Closure &amp; Archive Register</t>
        </is>
      </c>
      <c r="D48" s="6" t="inlineStr">
        <is>
          <t>Archive closed and resolved anti-ragging cases</t>
        </is>
      </c>
      <c r="E48" s="7" t="inlineStr">
        <is>
          <t>Per Case Closure</t>
        </is>
      </c>
    </row>
    <row r="49" ht="20" customHeight="1">
      <c r="B49" s="4" t="inlineStr">
        <is>
          <t>── MONITORING &amp; REPORTING ──</t>
        </is>
      </c>
    </row>
    <row r="50" ht="20" customHeight="1">
      <c r="B50" s="5" t="inlineStr">
        <is>
          <t>ARC-31</t>
        </is>
      </c>
      <c r="C50" s="6" t="inlineStr">
        <is>
          <t>Anti-Ragging KPI Dashboard</t>
        </is>
      </c>
      <c r="D50" s="6" t="inlineStr">
        <is>
          <t>Track all ARC KPIs — prevention, detection, resolution</t>
        </is>
      </c>
      <c r="E50" s="7" t="inlineStr">
        <is>
          <t>Quarterly / Annual</t>
        </is>
      </c>
    </row>
    <row r="51" ht="20" customHeight="1">
      <c r="B51" s="8" t="inlineStr">
        <is>
          <t>ARC-32</t>
        </is>
      </c>
      <c r="C51" s="9" t="inlineStr">
        <is>
          <t>ARC Annual Report &amp; UGC Compliance Form</t>
        </is>
      </c>
      <c r="D51" s="9" t="inlineStr">
        <is>
          <t>Year-end report for UGC, management, NAAC</t>
        </is>
      </c>
      <c r="E51" s="10" t="inlineStr">
        <is>
          <t>Annual</t>
        </is>
      </c>
    </row>
    <row r="52" ht="21" customHeight="1"/>
    <row r="53" ht="21" customHeight="1"/>
    <row r="54" ht="21" customHeight="1"/>
    <row r="106">
      <c r="B106" s="11" t="inlineStr">
        <is>
          <t>• ARC = Anti-Ragging Committee — statutory body under UGC Regulations on Curbing the Menace of Ragging, 2009.</t>
        </is>
      </c>
    </row>
    <row r="107">
      <c r="B107" s="11" t="inlineStr">
        <is>
          <t>• MANDATORY: Every HEI must constitute ARC and Anti-Ragging Squad as per UGC Regulations. Non-compliance = recognition at risk.</t>
        </is>
      </c>
    </row>
    <row r="108">
      <c r="B108" s="11" t="inlineStr">
        <is>
          <t>• ALL students (including day scholars) must submit signed anti-ragging undertaking + parent undertaking at admission.</t>
        </is>
      </c>
    </row>
    <row r="109">
      <c r="B109" s="11" t="inlineStr">
        <is>
          <t>• Online undertaking via UGC Anti-Ragging Portal (www.antiragging.in) is MANDATORY in addition to physical form.</t>
        </is>
      </c>
    </row>
    <row r="110">
      <c r="B110" s="11" t="inlineStr">
        <is>
          <t>• SERIOUS ragging (physical assault, sexual harassment, mental trauma) → FIR with police + report to UGC within 24 hrs.</t>
        </is>
      </c>
    </row>
    <row r="111">
      <c r="B111" s="11" t="inlineStr">
        <is>
          <t>• Minor ragging → ARC inquiry; Severe ragging → Expulsion + rustication. Zero-tolerance policy is non-negotiable.</t>
        </is>
      </c>
    </row>
    <row r="112">
      <c r="B112" s="11" t="inlineStr">
        <is>
          <t>• ARC data feeds into: NAAC AQAR Criterion V.3 (Student Activities / Welfare), UGC annual compliance report.</t>
        </is>
      </c>
    </row>
    <row r="113">
      <c r="B113" s="11" t="inlineStr">
        <is>
          <t>• ARC must meet at least ONCE per semester. Minutes and resolutions to be uploaded on institutional website.</t>
        </is>
      </c>
    </row>
    <row r="114">
      <c r="B114" s="11" t="inlineStr">
        <is>
          <t>• Victim's identity must be protected throughout the inquiry — do NOT disclose to accused or others.</t>
        </is>
      </c>
    </row>
    <row r="115">
      <c r="B115" s="11" t="inlineStr">
        <is>
          <t>• Anti-ragging helpline numbers (UGC: 1800-180-5522) to be displayed prominently on all campus notice boards.</t>
        </is>
      </c>
    </row>
  </sheetData>
  <mergeCells count="22">
    <mergeCell ref="B108:E108"/>
    <mergeCell ref="B49:E49"/>
    <mergeCell ref="B15:E15"/>
    <mergeCell ref="B5:E5"/>
    <mergeCell ref="B20:E20"/>
    <mergeCell ref="B114:E114"/>
    <mergeCell ref="B26:E26"/>
    <mergeCell ref="B110:E110"/>
    <mergeCell ref="B106:E106"/>
    <mergeCell ref="B113:E113"/>
    <mergeCell ref="B109:E109"/>
    <mergeCell ref="B3:E3"/>
    <mergeCell ref="B46:E46"/>
    <mergeCell ref="B115:E115"/>
    <mergeCell ref="B31:E31"/>
    <mergeCell ref="B11:E11"/>
    <mergeCell ref="B2:E2"/>
    <mergeCell ref="B111:E111"/>
    <mergeCell ref="B42:E42"/>
    <mergeCell ref="B107:E107"/>
    <mergeCell ref="B38:E38"/>
    <mergeCell ref="B112:E1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ARC-00: ANTI-RAGGING COMMITTEE — COMPOSITION REGISTER</t>
        </is>
      </c>
    </row>
    <row r="3" ht="22" customHeight="1">
      <c r="B3" s="13" t="inlineStr">
        <is>
          <t>LEGAL MANDATE: UGC Regulations on Curbing the Menace of Ragging in Higher Educational Institutions, 2009 | Supreme Court Order in SLP No. 24295/2006 (Vishwa Jagriti Mission vs. Central Govt.) | IPC Sections 323, 339, 340, 341, 506 may apply</t>
        </is>
      </c>
    </row>
    <row r="4" ht="25" customHeight="1">
      <c r="B4" s="2" t="inlineStr">
        <is>
          <t>Institution: _________________________  A.Y.: _______  Constituted on: _______  Order No.: _______</t>
        </is>
      </c>
    </row>
    <row r="5" ht="22" customHeight="1">
      <c r="B5" s="14" t="n">
        <v>1</v>
      </c>
      <c r="C5" s="15" t="inlineStr"/>
      <c r="D5" s="15" t="inlineStr">
        <is>
          <t>Principal / Director</t>
        </is>
      </c>
      <c r="E5" s="14" t="inlineStr">
        <is>
          <t>Chairperson</t>
        </is>
      </c>
      <c r="F5" s="16" t="inlineStr">
        <is>
          <t>ARC Leadership — Final Authority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Registrar / Senior Admin Officer</t>
        </is>
      </c>
      <c r="E6" s="8" t="inlineStr">
        <is>
          <t>Member Secretary</t>
        </is>
      </c>
      <c r="F6" s="10" t="inlineStr">
        <is>
          <t>ARC Records &amp; Coordination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Senior Professor (Male)</t>
        </is>
      </c>
      <c r="E7" s="14" t="inlineStr">
        <is>
          <t>Faculty Member – 1</t>
        </is>
      </c>
      <c r="F7" s="16" t="inlineStr">
        <is>
          <t>Inquiry &amp; Sensitisation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Senior Faculty (Female)</t>
        </is>
      </c>
      <c r="E8" s="8" t="inlineStr">
        <is>
          <t>Faculty Member – 2</t>
        </is>
      </c>
      <c r="F8" s="10" t="inlineStr">
        <is>
          <t>Women Students &amp; Counselling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Faculty — Humanities / Psychology</t>
        </is>
      </c>
      <c r="E9" s="14" t="inlineStr">
        <is>
          <t>Faculty Member – 3</t>
        </is>
      </c>
      <c r="F9" s="16" t="inlineStr">
        <is>
          <t>Behavioural Assessment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Chief Warden — Boys Hostel</t>
        </is>
      </c>
      <c r="E10" s="8" t="inlineStr">
        <is>
          <t>Hostel Warden (Male)</t>
        </is>
      </c>
      <c r="F10" s="10" t="inlineStr">
        <is>
          <t>Boys Hostel Monitoring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Chief Warden — Girls Hostel</t>
        </is>
      </c>
      <c r="E11" s="14" t="inlineStr">
        <is>
          <t>Hostel Warden (Female)</t>
        </is>
      </c>
      <c r="F11" s="16" t="inlineStr">
        <is>
          <t>Girls Hostel Monitoring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Campus Doctor / Psychiatrist</t>
        </is>
      </c>
      <c r="E12" s="8" t="inlineStr">
        <is>
          <t>Medical Officer</t>
        </is>
      </c>
      <c r="F12" s="10" t="inlineStr">
        <is>
          <t>Victim Health &amp; Trauma Care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Professional Counsellor / Psychologist</t>
        </is>
      </c>
      <c r="E13" s="14" t="inlineStr">
        <is>
          <t>Counsellor</t>
        </is>
      </c>
      <c r="F13" s="16" t="inlineStr">
        <is>
          <t>Victim &amp; Accused Counselling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NSS Programme Officer / NCC ANO</t>
        </is>
      </c>
      <c r="E14" s="8" t="inlineStr">
        <is>
          <t>NSS / NCC Officer</t>
        </is>
      </c>
      <c r="F14" s="10" t="inlineStr">
        <is>
          <t>Squad Leadership Support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Faculty In-charge — Anti-Ragging Squad</t>
        </is>
      </c>
      <c r="E15" s="14" t="inlineStr">
        <is>
          <t>Anti-Ragging Squad Lead</t>
        </is>
      </c>
      <c r="F15" s="16" t="inlineStr">
        <is>
          <t>Campus Patrol Coordination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Station House Officer (SHO) / Police Rep</t>
        </is>
      </c>
      <c r="E16" s="8" t="inlineStr">
        <is>
          <t>Police Liaison (External)</t>
        </is>
      </c>
      <c r="F16" s="10" t="inlineStr">
        <is>
          <t>Legal Enforcement Coordination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NGO / Social Organisation Representative</t>
        </is>
      </c>
      <c r="E17" s="14" t="inlineStr">
        <is>
          <t>Civil Society Rep (Ext.)</t>
        </is>
      </c>
      <c r="F17" s="16" t="inlineStr">
        <is>
          <t>External Watchdog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Student Council President / Senior Student</t>
        </is>
      </c>
      <c r="E18" s="8" t="inlineStr">
        <is>
          <t>Student Rep – 1</t>
        </is>
      </c>
      <c r="F18" s="10" t="inlineStr">
        <is>
          <t>Student Peer Awareness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First-Year Student Representative</t>
        </is>
      </c>
      <c r="E19" s="14" t="inlineStr">
        <is>
          <t>Student Rep – 2</t>
        </is>
      </c>
      <c r="F19" s="16" t="inlineStr">
        <is>
          <t>Fresh Student Voice</t>
        </is>
      </c>
      <c r="G19" s="15" t="inlineStr"/>
      <c r="H19" s="16" t="inlineStr"/>
      <c r="I19" s="16" t="inlineStr"/>
    </row>
    <row r="20" ht="22" customHeight="1">
      <c r="B20" s="8" t="n">
        <v>16</v>
      </c>
      <c r="C20" s="9" t="inlineStr"/>
      <c r="D20" s="9" t="inlineStr">
        <is>
          <t>Parent Association Representative</t>
        </is>
      </c>
      <c r="E20" s="8" t="inlineStr">
        <is>
          <t>Parent Rep</t>
        </is>
      </c>
      <c r="F20" s="10" t="inlineStr">
        <is>
          <t>Parent Community Awareness</t>
        </is>
      </c>
      <c r="G20" s="9" t="inlineStr"/>
      <c r="H20" s="10" t="inlineStr"/>
      <c r="I20" s="10" t="inlineStr"/>
    </row>
    <row r="21" ht="22" customHeight="1">
      <c r="B21" s="14" t="n">
        <v>17</v>
      </c>
      <c r="C21" s="15" t="inlineStr"/>
      <c r="D21" s="15" t="inlineStr">
        <is>
          <t>IQAC In-charge</t>
        </is>
      </c>
      <c r="E21" s="14" t="inlineStr">
        <is>
          <t>IQAC Coordinator (Ex-off.)</t>
        </is>
      </c>
      <c r="F21" s="16" t="inlineStr">
        <is>
          <t>Quality &amp; NAAC Compliance</t>
        </is>
      </c>
      <c r="G21" s="15" t="inlineStr"/>
      <c r="H21" s="16" t="inlineStr"/>
      <c r="I21" s="16" t="inlineStr"/>
    </row>
    <row r="22" ht="22" customHeight="1"/>
    <row r="23" ht="20" customHeight="1">
      <c r="B23" s="17" t="inlineStr">
        <is>
          <t>ARC MUST include police rep and civil society member as per UGC Regulations 2009. Committee must be gender-balanced. Names and contact details to be displayed prominently on institutional website and notice boards.</t>
        </is>
      </c>
    </row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</sheetData>
  <mergeCells count="4">
    <mergeCell ref="B23:I23"/>
    <mergeCell ref="B3:I3"/>
    <mergeCell ref="B2:I2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ANTI-RAGGING COMMITTEE: MEETING NOTICE &amp; AGENDA</t>
        </is>
      </c>
    </row>
    <row r="3" ht="22" customHeight="1">
      <c r="B3" s="13" t="inlineStr">
        <is>
          <t>LEGAL MANDATE: UGC Regulations on Curbing the Menace of Ragging in Higher Educational Institutions, 2009 | Supreme Court Order in SLP No. 24295/2006 (Vishwa Jagriti Mission vs. Central Govt.) | IPC Sections 323, 339, 340, 341, 506 may apply</t>
        </is>
      </c>
    </row>
    <row r="4" ht="22" customHeight="1">
      <c r="B4" s="18" t="inlineStr">
        <is>
          <t>Meeting No.:</t>
        </is>
      </c>
      <c r="C4" s="9" t="n"/>
    </row>
    <row r="5" ht="22" customHeight="1">
      <c r="B5" s="18" t="inlineStr">
        <is>
          <t>Academic Year:</t>
        </is>
      </c>
      <c r="C5" s="9" t="n"/>
    </row>
    <row r="6" ht="22" customHeight="1">
      <c r="B6" s="18" t="inlineStr">
        <is>
          <t>Date:</t>
        </is>
      </c>
      <c r="C6" s="9" t="n"/>
    </row>
    <row r="7" ht="22" customHeight="1">
      <c r="B7" s="18" t="inlineStr">
        <is>
          <t>Time:</t>
        </is>
      </c>
      <c r="C7" s="9" t="n"/>
    </row>
    <row r="8" ht="22" customHeight="1">
      <c r="B8" s="18" t="inlineStr">
        <is>
          <t>Venue:</t>
        </is>
      </c>
      <c r="C8" s="9" t="n"/>
    </row>
    <row r="9" ht="22" customHeight="1">
      <c r="B9" s="18" t="inlineStr">
        <is>
          <t>Mode:</t>
        </is>
      </c>
      <c r="C9" s="9" t="n"/>
    </row>
    <row r="10" ht="22" customHeight="1">
      <c r="B10" s="18" t="inlineStr">
        <is>
          <t>Notice by:</t>
        </is>
      </c>
      <c r="C10" s="9" t="n"/>
    </row>
    <row r="11" ht="22" customHeight="1">
      <c r="B11" s="18" t="inlineStr">
        <is>
          <t>Notice Date:</t>
        </is>
      </c>
      <c r="C11" s="9" t="n"/>
    </row>
    <row r="12" ht="24" customHeight="1">
      <c r="B12" s="19" t="inlineStr">
        <is>
          <t>AGENDA ITEMS</t>
        </is>
      </c>
    </row>
    <row r="13" ht="24" customHeight="1">
      <c r="B13" s="20" t="inlineStr">
        <is>
          <t>Item
No.</t>
        </is>
      </c>
      <c r="C13" s="20" t="inlineStr">
        <is>
          <t>Agenda Item</t>
        </is>
      </c>
      <c r="D13" s="20" t="inlineStr">
        <is>
          <t>Lead</t>
        </is>
      </c>
      <c r="E13" s="20" t="inlineStr">
        <is>
          <t>Duration (Min)</t>
        </is>
      </c>
    </row>
    <row r="14" ht="24" customHeight="1">
      <c r="B14" s="14" t="n">
        <v>1</v>
      </c>
      <c r="C14" s="15" t="inlineStr">
        <is>
          <t>Confirmation of minutes of previous ARC meeting</t>
        </is>
      </c>
      <c r="D14" s="16" t="inlineStr"/>
      <c r="E14" s="16" t="inlineStr"/>
    </row>
    <row r="15" ht="24" customHeight="1">
      <c r="B15" s="8" t="n">
        <v>2</v>
      </c>
      <c r="C15" s="9" t="inlineStr">
        <is>
          <t>Action Taken Report on previous ARC resolutions</t>
        </is>
      </c>
      <c r="D15" s="10" t="inlineStr"/>
      <c r="E15" s="10" t="inlineStr"/>
    </row>
    <row r="16" ht="24" customHeight="1">
      <c r="B16" s="14" t="n">
        <v>3</v>
      </c>
      <c r="C16" s="15" t="inlineStr">
        <is>
          <t>Anti-ragging undertaking collection — status (students &amp; parents)</t>
        </is>
      </c>
      <c r="D16" s="16" t="inlineStr"/>
      <c r="E16" s="16" t="inlineStr"/>
    </row>
    <row r="17" ht="24" customHeight="1">
      <c r="B17" s="8" t="n">
        <v>4</v>
      </c>
      <c r="C17" s="9" t="inlineStr">
        <is>
          <t>UGC anti-ragging portal — online undertaking compliance status</t>
        </is>
      </c>
      <c r="D17" s="10" t="inlineStr"/>
      <c r="E17" s="10" t="inlineStr"/>
    </row>
    <row r="18" ht="24" customHeight="1">
      <c r="B18" s="14" t="n">
        <v>5</v>
      </c>
      <c r="C18" s="15" t="inlineStr">
        <is>
          <t>Awareness programmes — completed and upcoming schedule</t>
        </is>
      </c>
      <c r="D18" s="16" t="inlineStr"/>
      <c r="E18" s="16" t="inlineStr"/>
    </row>
    <row r="19" ht="24" customHeight="1">
      <c r="B19" s="8" t="n">
        <v>6</v>
      </c>
      <c r="C19" s="9" t="inlineStr">
        <is>
          <t>Orientation / induction — anti-ragging session review</t>
        </is>
      </c>
      <c r="D19" s="10" t="inlineStr"/>
      <c r="E19" s="10" t="inlineStr"/>
    </row>
    <row r="20" ht="24" customHeight="1">
      <c r="B20" s="14" t="n">
        <v>7</v>
      </c>
      <c r="C20" s="15" t="inlineStr">
        <is>
          <t>Hostel monitoring — warden reports for the quarter</t>
        </is>
      </c>
      <c r="D20" s="16" t="inlineStr"/>
      <c r="E20" s="16" t="inlineStr"/>
    </row>
    <row r="21" ht="24" customHeight="1">
      <c r="B21" s="8" t="n">
        <v>8</v>
      </c>
      <c r="C21" s="9" t="inlineStr">
        <is>
          <t>Anti-ragging squad — patrol schedule and observations</t>
        </is>
      </c>
      <c r="D21" s="10" t="inlineStr"/>
      <c r="E21" s="10" t="inlineStr"/>
    </row>
    <row r="22" ht="24" customHeight="1">
      <c r="B22" s="14" t="n">
        <v>9</v>
      </c>
      <c r="C22" s="15" t="inlineStr">
        <is>
          <t>CCTV / surveillance — coverage and maintenance status</t>
        </is>
      </c>
      <c r="D22" s="16" t="inlineStr"/>
      <c r="E22" s="16" t="inlineStr"/>
    </row>
    <row r="23" ht="24" customHeight="1">
      <c r="B23" s="8" t="n">
        <v>10</v>
      </c>
      <c r="C23" s="9" t="inlineStr">
        <is>
          <t>Surprise check reports — observations and actions</t>
        </is>
      </c>
      <c r="D23" s="10" t="inlineStr"/>
      <c r="E23" s="10" t="inlineStr"/>
    </row>
    <row r="24" ht="24" customHeight="1">
      <c r="B24" s="14" t="n">
        <v>11</v>
      </c>
      <c r="C24" s="15" t="inlineStr">
        <is>
          <t>New complaints received — status and inquiry progress</t>
        </is>
      </c>
      <c r="D24" s="16" t="inlineStr"/>
      <c r="E24" s="16" t="inlineStr"/>
    </row>
    <row r="25" ht="24" customHeight="1">
      <c r="B25" s="8" t="n">
        <v>12</v>
      </c>
      <c r="C25" s="9" t="inlineStr">
        <is>
          <t>Ongoing inquiry cases — update and next steps</t>
        </is>
      </c>
      <c r="D25" s="10" t="inlineStr"/>
      <c r="E25" s="10" t="inlineStr"/>
    </row>
    <row r="26" ht="24" customHeight="1">
      <c r="B26" s="14" t="n">
        <v>13</v>
      </c>
      <c r="C26" s="15" t="inlineStr">
        <is>
          <t>Decisions taken — penalty execution status</t>
        </is>
      </c>
      <c r="D26" s="16" t="inlineStr"/>
      <c r="E26" s="16" t="inlineStr"/>
    </row>
    <row r="27" ht="24" customHeight="1">
      <c r="B27" s="8" t="n">
        <v>14</v>
      </c>
      <c r="C27" s="9" t="inlineStr">
        <is>
          <t>UGC / police reporting — cases referred and outcomes</t>
        </is>
      </c>
      <c r="D27" s="10" t="inlineStr"/>
      <c r="E27" s="10" t="inlineStr"/>
    </row>
    <row r="28" ht="24" customHeight="1">
      <c r="B28" s="14" t="n">
        <v>15</v>
      </c>
      <c r="C28" s="15" t="inlineStr">
        <is>
          <t>Victim support and counselling — welfare status</t>
        </is>
      </c>
      <c r="D28" s="16" t="inlineStr"/>
      <c r="E28" s="16" t="inlineStr"/>
    </row>
    <row r="29" ht="24" customHeight="1">
      <c r="B29" s="8" t="n">
        <v>16</v>
      </c>
      <c r="C29" s="9" t="inlineStr">
        <is>
          <t>Appeal cases — pending and decided</t>
        </is>
      </c>
      <c r="D29" s="10" t="inlineStr"/>
      <c r="E29" s="10" t="inlineStr"/>
    </row>
    <row r="30" ht="24" customHeight="1">
      <c r="B30" s="14" t="n">
        <v>17</v>
      </c>
      <c r="C30" s="15" t="inlineStr">
        <is>
          <t>Helpline number display — campus coverage status</t>
        </is>
      </c>
      <c r="D30" s="16" t="inlineStr"/>
      <c r="E30" s="16" t="inlineStr"/>
    </row>
    <row r="31" ht="24" customHeight="1">
      <c r="B31" s="8" t="n">
        <v>18</v>
      </c>
      <c r="C31" s="9" t="inlineStr">
        <is>
          <t>UGC compliance report — submission status</t>
        </is>
      </c>
      <c r="D31" s="10" t="inlineStr"/>
      <c r="E31" s="10" t="inlineStr"/>
    </row>
    <row r="32" ht="24" customHeight="1">
      <c r="B32" s="14" t="n">
        <v>19</v>
      </c>
      <c r="C32" s="15" t="inlineStr">
        <is>
          <t>Any Other Matter with Permission of Chairperson (AOMPC)</t>
        </is>
      </c>
      <c r="D32" s="16" t="inlineStr"/>
      <c r="E32" s="16" t="inlineStr"/>
    </row>
    <row r="33" ht="24" customHeight="1"/>
    <row r="34" ht="24" customHeight="1">
      <c r="B34" s="21" t="inlineStr">
        <is>
          <t>DISPATCH RECORD</t>
        </is>
      </c>
    </row>
    <row r="35" ht="24" customHeight="1">
      <c r="B35" s="22" t="inlineStr">
        <is>
          <t>Sl.</t>
        </is>
      </c>
      <c r="C35" s="22" t="inlineStr">
        <is>
          <t>Member Name &amp; Role</t>
        </is>
      </c>
      <c r="D35" s="22" t="inlineStr">
        <is>
          <t>Mode</t>
        </is>
      </c>
      <c r="E35" s="22" t="inlineStr">
        <is>
          <t>Date &amp; Acknowledgement</t>
        </is>
      </c>
    </row>
    <row r="36" ht="22" customHeight="1">
      <c r="B36" s="23" t="n"/>
      <c r="C36" s="23" t="n"/>
      <c r="D36" s="23" t="n"/>
      <c r="E36" s="23" t="n"/>
    </row>
    <row r="37" ht="22" customHeight="1">
      <c r="B37" s="10" t="n"/>
      <c r="C37" s="10" t="n"/>
      <c r="D37" s="10" t="n"/>
      <c r="E37" s="10" t="n"/>
    </row>
    <row r="38" ht="22" customHeight="1">
      <c r="B38" s="23" t="n"/>
      <c r="C38" s="23" t="n"/>
      <c r="D38" s="23" t="n"/>
      <c r="E38" s="23" t="n"/>
    </row>
    <row r="39" ht="22" customHeight="1">
      <c r="B39" s="10" t="n"/>
      <c r="C39" s="10" t="n"/>
      <c r="D39" s="10" t="n"/>
      <c r="E39" s="10" t="n"/>
    </row>
  </sheetData>
  <mergeCells count="12">
    <mergeCell ref="C11:E11"/>
    <mergeCell ref="C5:E5"/>
    <mergeCell ref="B12:E12"/>
    <mergeCell ref="C8:E8"/>
    <mergeCell ref="C9:E9"/>
    <mergeCell ref="C4:E4"/>
    <mergeCell ref="B3:E3"/>
    <mergeCell ref="B2:E2"/>
    <mergeCell ref="B34:E34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ARC: ATTENDANCE &amp; QUORUM REGISTER</t>
        </is>
      </c>
    </row>
    <row r="3" ht="18" customHeight="1">
      <c r="B3" s="24" t="inlineStr">
        <is>
          <t>STRICTLY CONFIDENTIAL — Anti-Ragging records are sensitive legal documents. Access restricted to ARC members and institutional leadership only.</t>
        </is>
      </c>
    </row>
    <row r="4" ht="25" customHeight="1">
      <c r="B4" s="2" t="inlineStr">
        <is>
          <t>Meeting No.: _______  Date: _______  Total Strength: _______  Quorum Required (50%): _______</t>
        </is>
      </c>
    </row>
    <row r="5" ht="22" customHeight="1">
      <c r="B5" s="20" t="inlineStr">
        <is>
          <t>Sl.</t>
        </is>
      </c>
      <c r="C5" s="20" t="inlineStr">
        <is>
          <t>Name</t>
        </is>
      </c>
      <c r="D5" s="20" t="inlineStr">
        <is>
          <t>Role</t>
        </is>
      </c>
      <c r="E5" s="20" t="inlineStr">
        <is>
          <t>Mode
(Physical/VC)</t>
        </is>
      </c>
      <c r="F5" s="20" t="inlineStr">
        <is>
          <t>Present
(P/A)</t>
        </is>
      </c>
      <c r="G5" s="20" t="inlineStr">
        <is>
          <t>Proxy
(Y/N)</t>
        </is>
      </c>
      <c r="H5" s="20" t="inlineStr">
        <is>
          <t>Proxy Holder</t>
        </is>
      </c>
      <c r="I5" s="20" t="inlineStr">
        <is>
          <t>Signature</t>
        </is>
      </c>
    </row>
    <row r="6" ht="22" customHeight="1">
      <c r="B6" s="14" t="n">
        <v>1</v>
      </c>
      <c r="C6" s="15" t="inlineStr"/>
      <c r="D6" s="15" t="inlineStr"/>
      <c r="E6" s="16" t="inlineStr">
        <is>
          <t>Physical</t>
        </is>
      </c>
      <c r="F6" s="16" t="inlineStr"/>
      <c r="G6" s="16" t="inlineStr">
        <is>
          <t>N</t>
        </is>
      </c>
      <c r="H6" s="16" t="inlineStr"/>
      <c r="I6" s="16" t="inlineStr"/>
    </row>
    <row r="7" ht="22" customHeight="1">
      <c r="B7" s="8" t="n">
        <v>2</v>
      </c>
      <c r="C7" s="9" t="inlineStr"/>
      <c r="D7" s="9" t="inlineStr"/>
      <c r="E7" s="10" t="inlineStr">
        <is>
          <t>Physical</t>
        </is>
      </c>
      <c r="F7" s="10" t="inlineStr"/>
      <c r="G7" s="10" t="inlineStr">
        <is>
          <t>N</t>
        </is>
      </c>
      <c r="H7" s="10" t="inlineStr"/>
      <c r="I7" s="10" t="inlineStr"/>
    </row>
    <row r="8" ht="22" customHeight="1">
      <c r="B8" s="14" t="n">
        <v>3</v>
      </c>
      <c r="C8" s="15" t="inlineStr"/>
      <c r="D8" s="15" t="inlineStr"/>
      <c r="E8" s="16" t="inlineStr">
        <is>
          <t>Physical</t>
        </is>
      </c>
      <c r="F8" s="16" t="inlineStr"/>
      <c r="G8" s="16" t="inlineStr">
        <is>
          <t>N</t>
        </is>
      </c>
      <c r="H8" s="16" t="inlineStr"/>
      <c r="I8" s="16" t="inlineStr"/>
    </row>
    <row r="9" ht="22" customHeight="1">
      <c r="B9" s="8" t="n">
        <v>4</v>
      </c>
      <c r="C9" s="9" t="inlineStr"/>
      <c r="D9" s="9" t="inlineStr"/>
      <c r="E9" s="10" t="inlineStr">
        <is>
          <t>Physical</t>
        </is>
      </c>
      <c r="F9" s="10" t="inlineStr"/>
      <c r="G9" s="10" t="inlineStr">
        <is>
          <t>N</t>
        </is>
      </c>
      <c r="H9" s="10" t="inlineStr"/>
      <c r="I9" s="10" t="inlineStr"/>
    </row>
    <row r="10" ht="22" customHeight="1">
      <c r="B10" s="14" t="n">
        <v>5</v>
      </c>
      <c r="C10" s="15" t="inlineStr"/>
      <c r="D10" s="15" t="inlineStr"/>
      <c r="E10" s="16" t="inlineStr">
        <is>
          <t>Physical</t>
        </is>
      </c>
      <c r="F10" s="16" t="inlineStr"/>
      <c r="G10" s="16" t="inlineStr">
        <is>
          <t>N</t>
        </is>
      </c>
      <c r="H10" s="16" t="inlineStr"/>
      <c r="I10" s="16" t="inlineStr"/>
    </row>
    <row r="11" ht="22" customHeight="1">
      <c r="B11" s="8" t="n">
        <v>6</v>
      </c>
      <c r="C11" s="9" t="inlineStr"/>
      <c r="D11" s="9" t="inlineStr"/>
      <c r="E11" s="10" t="inlineStr">
        <is>
          <t>Physical</t>
        </is>
      </c>
      <c r="F11" s="10" t="inlineStr"/>
      <c r="G11" s="10" t="inlineStr">
        <is>
          <t>N</t>
        </is>
      </c>
      <c r="H11" s="10" t="inlineStr"/>
      <c r="I11" s="10" t="inlineStr"/>
    </row>
    <row r="12" ht="22" customHeight="1">
      <c r="B12" s="14" t="n">
        <v>7</v>
      </c>
      <c r="C12" s="15" t="inlineStr"/>
      <c r="D12" s="15" t="inlineStr"/>
      <c r="E12" s="16" t="inlineStr">
        <is>
          <t>Physical</t>
        </is>
      </c>
      <c r="F12" s="16" t="inlineStr"/>
      <c r="G12" s="16" t="inlineStr">
        <is>
          <t>N</t>
        </is>
      </c>
      <c r="H12" s="16" t="inlineStr"/>
      <c r="I12" s="16" t="inlineStr"/>
    </row>
    <row r="13" ht="22" customHeight="1">
      <c r="B13" s="8" t="n">
        <v>8</v>
      </c>
      <c r="C13" s="9" t="inlineStr"/>
      <c r="D13" s="9" t="inlineStr"/>
      <c r="E13" s="10" t="inlineStr">
        <is>
          <t>Physical</t>
        </is>
      </c>
      <c r="F13" s="10" t="inlineStr"/>
      <c r="G13" s="10" t="inlineStr">
        <is>
          <t>N</t>
        </is>
      </c>
      <c r="H13" s="10" t="inlineStr"/>
      <c r="I13" s="10" t="inlineStr"/>
    </row>
    <row r="14" ht="22" customHeight="1">
      <c r="B14" s="14" t="n">
        <v>9</v>
      </c>
      <c r="C14" s="15" t="inlineStr"/>
      <c r="D14" s="15" t="inlineStr"/>
      <c r="E14" s="16" t="inlineStr">
        <is>
          <t>Physical</t>
        </is>
      </c>
      <c r="F14" s="16" t="inlineStr"/>
      <c r="G14" s="16" t="inlineStr">
        <is>
          <t>N</t>
        </is>
      </c>
      <c r="H14" s="16" t="inlineStr"/>
      <c r="I14" s="16" t="inlineStr"/>
    </row>
    <row r="15" ht="22" customHeight="1">
      <c r="B15" s="8" t="n">
        <v>10</v>
      </c>
      <c r="C15" s="9" t="inlineStr"/>
      <c r="D15" s="9" t="inlineStr"/>
      <c r="E15" s="10" t="inlineStr">
        <is>
          <t>Physical</t>
        </is>
      </c>
      <c r="F15" s="10" t="inlineStr"/>
      <c r="G15" s="10" t="inlineStr">
        <is>
          <t>N</t>
        </is>
      </c>
      <c r="H15" s="10" t="inlineStr"/>
      <c r="I15" s="10" t="inlineStr"/>
    </row>
    <row r="16" ht="22" customHeight="1">
      <c r="B16" s="14" t="n">
        <v>11</v>
      </c>
      <c r="C16" s="15" t="inlineStr"/>
      <c r="D16" s="15" t="inlineStr"/>
      <c r="E16" s="16" t="inlineStr">
        <is>
          <t>Physical</t>
        </is>
      </c>
      <c r="F16" s="16" t="inlineStr"/>
      <c r="G16" s="16" t="inlineStr">
        <is>
          <t>N</t>
        </is>
      </c>
      <c r="H16" s="16" t="inlineStr"/>
      <c r="I16" s="16" t="inlineStr"/>
    </row>
    <row r="17" ht="22" customHeight="1">
      <c r="B17" s="8" t="n">
        <v>12</v>
      </c>
      <c r="C17" s="9" t="inlineStr"/>
      <c r="D17" s="9" t="inlineStr"/>
      <c r="E17" s="10" t="inlineStr">
        <is>
          <t>Physical</t>
        </is>
      </c>
      <c r="F17" s="10" t="inlineStr"/>
      <c r="G17" s="10" t="inlineStr">
        <is>
          <t>N</t>
        </is>
      </c>
      <c r="H17" s="10" t="inlineStr"/>
      <c r="I17" s="10" t="inlineStr"/>
    </row>
    <row r="18" ht="22" customHeight="1">
      <c r="B18" s="14" t="n">
        <v>13</v>
      </c>
      <c r="C18" s="15" t="inlineStr"/>
      <c r="D18" s="15" t="inlineStr"/>
      <c r="E18" s="16" t="inlineStr">
        <is>
          <t>Physical</t>
        </is>
      </c>
      <c r="F18" s="16" t="inlineStr"/>
      <c r="G18" s="16" t="inlineStr">
        <is>
          <t>N</t>
        </is>
      </c>
      <c r="H18" s="16" t="inlineStr"/>
      <c r="I18" s="16" t="inlineStr"/>
    </row>
    <row r="19" ht="22" customHeight="1">
      <c r="B19" s="8" t="n">
        <v>14</v>
      </c>
      <c r="C19" s="9" t="inlineStr"/>
      <c r="D19" s="9" t="inlineStr"/>
      <c r="E19" s="10" t="inlineStr">
        <is>
          <t>Physical</t>
        </is>
      </c>
      <c r="F19" s="10" t="inlineStr"/>
      <c r="G19" s="10" t="inlineStr">
        <is>
          <t>N</t>
        </is>
      </c>
      <c r="H19" s="10" t="inlineStr"/>
      <c r="I19" s="10" t="inlineStr"/>
    </row>
    <row r="20" ht="22" customHeight="1">
      <c r="B20" s="14" t="n">
        <v>15</v>
      </c>
      <c r="C20" s="15" t="inlineStr"/>
      <c r="D20" s="15" t="inlineStr"/>
      <c r="E20" s="16" t="inlineStr">
        <is>
          <t>Physical</t>
        </is>
      </c>
      <c r="F20" s="16" t="inlineStr"/>
      <c r="G20" s="16" t="inlineStr">
        <is>
          <t>N</t>
        </is>
      </c>
      <c r="H20" s="16" t="inlineStr"/>
      <c r="I20" s="16" t="inlineStr"/>
    </row>
    <row r="21" ht="22" customHeight="1">
      <c r="B21" s="8" t="n">
        <v>16</v>
      </c>
      <c r="C21" s="9" t="inlineStr"/>
      <c r="D21" s="9" t="inlineStr"/>
      <c r="E21" s="10" t="inlineStr">
        <is>
          <t>Physical</t>
        </is>
      </c>
      <c r="F21" s="10" t="inlineStr"/>
      <c r="G21" s="10" t="inlineStr">
        <is>
          <t>N</t>
        </is>
      </c>
      <c r="H21" s="10" t="inlineStr"/>
      <c r="I21" s="10" t="inlineStr"/>
    </row>
    <row r="22" ht="22" customHeight="1">
      <c r="B22" s="14" t="n">
        <v>17</v>
      </c>
      <c r="C22" s="15" t="inlineStr"/>
      <c r="D22" s="15" t="inlineStr"/>
      <c r="E22" s="16" t="inlineStr">
        <is>
          <t>Physical</t>
        </is>
      </c>
      <c r="F22" s="16" t="inlineStr"/>
      <c r="G22" s="16" t="inlineStr">
        <is>
          <t>N</t>
        </is>
      </c>
      <c r="H22" s="16" t="inlineStr"/>
      <c r="I22" s="16" t="inlineStr"/>
    </row>
    <row r="23" ht="22" customHeight="1">
      <c r="B23" s="8" t="n">
        <v>18</v>
      </c>
      <c r="C23" s="9" t="inlineStr"/>
      <c r="D23" s="9" t="inlineStr"/>
      <c r="E23" s="10" t="inlineStr">
        <is>
          <t>Physical</t>
        </is>
      </c>
      <c r="F23" s="10" t="inlineStr"/>
      <c r="G23" s="10" t="inlineStr">
        <is>
          <t>N</t>
        </is>
      </c>
      <c r="H23" s="10" t="inlineStr"/>
      <c r="I23" s="10" t="inlineStr"/>
    </row>
    <row r="24" ht="22" customHeight="1">
      <c r="B24" s="14" t="n">
        <v>19</v>
      </c>
      <c r="C24" s="15" t="inlineStr"/>
      <c r="D24" s="15" t="inlineStr"/>
      <c r="E24" s="16" t="inlineStr">
        <is>
          <t>Physical</t>
        </is>
      </c>
      <c r="F24" s="16" t="inlineStr"/>
      <c r="G24" s="16" t="inlineStr">
        <is>
          <t>N</t>
        </is>
      </c>
      <c r="H24" s="16" t="inlineStr"/>
      <c r="I24" s="16" t="inlineStr"/>
    </row>
    <row r="25" ht="22" customHeight="1"/>
    <row r="26" ht="24" customHeight="1">
      <c r="B26" s="21" t="inlineStr">
        <is>
          <t>QUORUM VERIFICATION</t>
        </is>
      </c>
    </row>
    <row r="27" ht="22" customHeight="1">
      <c r="B27" s="25" t="inlineStr">
        <is>
          <t>Total ARC Members</t>
        </is>
      </c>
      <c r="G27" s="26" t="inlineStr"/>
    </row>
    <row r="28" ht="22" customHeight="1">
      <c r="B28" s="27" t="inlineStr">
        <is>
          <t>Present (Physical)</t>
        </is>
      </c>
      <c r="G28" s="26">
        <f>COUNTIF(F6:F24,"P")</f>
        <v/>
      </c>
    </row>
    <row r="29" ht="22" customHeight="1">
      <c r="B29" s="25" t="inlineStr">
        <is>
          <t>Present (VC)</t>
        </is>
      </c>
      <c r="G29" s="26" t="inlineStr"/>
    </row>
    <row r="30">
      <c r="B30" s="27" t="inlineStr">
        <is>
          <t>Total Effective</t>
        </is>
      </c>
      <c r="G30" s="26">
        <f>IFERROR(C28+C29,"")</f>
        <v/>
      </c>
    </row>
    <row r="31">
      <c r="B31" s="25" t="inlineStr">
        <is>
          <t>Quorum Required (50%)</t>
        </is>
      </c>
      <c r="G31" s="26" t="inlineStr"/>
    </row>
    <row r="32">
      <c r="B32" s="27" t="inlineStr">
        <is>
          <t>Quorum Achieved?</t>
        </is>
      </c>
      <c r="G32" s="28">
        <f>IFERROR(IF(C30&gt;=C31,"YES — Proceedings Valid","NO — Cannot Proceed"),"")</f>
        <v/>
      </c>
    </row>
  </sheetData>
  <mergeCells count="16">
    <mergeCell ref="B30:F30"/>
    <mergeCell ref="B29:F29"/>
    <mergeCell ref="G32:I32"/>
    <mergeCell ref="G28:I28"/>
    <mergeCell ref="G27:I27"/>
    <mergeCell ref="B2:I2"/>
    <mergeCell ref="B28:F28"/>
    <mergeCell ref="G31:I31"/>
    <mergeCell ref="B3:I3"/>
    <mergeCell ref="B31:F31"/>
    <mergeCell ref="B32:F32"/>
    <mergeCell ref="G29:I29"/>
    <mergeCell ref="G30:I30"/>
    <mergeCell ref="B27:F27"/>
    <mergeCell ref="B4:I4"/>
    <mergeCell ref="B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ARC: MEETING MINUTES &amp; RESOLUTIONS</t>
        </is>
      </c>
    </row>
    <row r="3" ht="18" customHeight="1">
      <c r="B3" s="24" t="inlineStr">
        <is>
          <t>STRICTLY CONFIDENTIAL — Anti-Ragging records are sensitive legal documents. Access restricted to ARC members and institutional leadership only.</t>
        </is>
      </c>
    </row>
    <row r="4" ht="25" customHeight="1">
      <c r="B4" s="2" t="inlineStr">
        <is>
          <t>Meeting No.: _______  Date: _______  Venue: _______  Chairperson: ___________________</t>
        </is>
      </c>
    </row>
    <row r="5" ht="24" customHeight="1">
      <c r="B5" s="29" t="inlineStr">
        <is>
          <t>DISCUSSION &amp; RESOLUTIONS</t>
        </is>
      </c>
    </row>
    <row r="6" ht="30" customHeight="1">
      <c r="B6" s="30" t="inlineStr">
        <is>
          <t>Resolution
No.</t>
        </is>
      </c>
      <c r="C6" s="30" t="inlineStr">
        <is>
          <t>Discussion &amp; Resolution</t>
        </is>
      </c>
      <c r="D6" s="30" t="inlineStr">
        <is>
          <t>Responsible</t>
        </is>
      </c>
      <c r="E6" s="30" t="inlineStr">
        <is>
          <t>Voting</t>
        </is>
      </c>
      <c r="F6" s="30" t="inlineStr">
        <is>
          <t>Target
Date</t>
        </is>
      </c>
      <c r="G6" s="30" t="inlineStr">
        <is>
          <t>Status</t>
        </is>
      </c>
    </row>
    <row r="7" ht="30" customHeight="1">
      <c r="B7" s="14" t="inlineStr">
        <is>
          <t>ARC/RES/001</t>
        </is>
      </c>
      <c r="C7" s="15" t="inlineStr"/>
      <c r="D7" s="16" t="inlineStr"/>
      <c r="E7" s="16" t="inlineStr"/>
      <c r="F7" s="16" t="inlineStr"/>
      <c r="G7" s="16" t="inlineStr">
        <is>
          <t>Pending</t>
        </is>
      </c>
    </row>
    <row r="8" ht="30" customHeight="1">
      <c r="B8" s="8" t="inlineStr">
        <is>
          <t>ARC/RES/002</t>
        </is>
      </c>
      <c r="C8" s="9" t="inlineStr"/>
      <c r="D8" s="10" t="inlineStr"/>
      <c r="E8" s="10" t="inlineStr"/>
      <c r="F8" s="10" t="inlineStr"/>
      <c r="G8" s="10" t="inlineStr">
        <is>
          <t>Pending</t>
        </is>
      </c>
    </row>
    <row r="9" ht="30" customHeight="1">
      <c r="B9" s="14" t="inlineStr">
        <is>
          <t>ARC/RES/003</t>
        </is>
      </c>
      <c r="C9" s="15" t="inlineStr"/>
      <c r="D9" s="16" t="inlineStr"/>
      <c r="E9" s="16" t="inlineStr"/>
      <c r="F9" s="16" t="inlineStr"/>
      <c r="G9" s="16" t="inlineStr">
        <is>
          <t>Pending</t>
        </is>
      </c>
    </row>
    <row r="10" ht="30" customHeight="1">
      <c r="B10" s="8" t="inlineStr">
        <is>
          <t>ARC/RES/004</t>
        </is>
      </c>
      <c r="C10" s="9" t="inlineStr"/>
      <c r="D10" s="10" t="inlineStr"/>
      <c r="E10" s="10" t="inlineStr"/>
      <c r="F10" s="10" t="inlineStr"/>
      <c r="G10" s="10" t="inlineStr">
        <is>
          <t>Pending</t>
        </is>
      </c>
    </row>
    <row r="11" ht="30" customHeight="1">
      <c r="B11" s="14" t="inlineStr">
        <is>
          <t>ARC/RES/005</t>
        </is>
      </c>
      <c r="C11" s="15" t="inlineStr"/>
      <c r="D11" s="16" t="inlineStr"/>
      <c r="E11" s="16" t="inlineStr"/>
      <c r="F11" s="16" t="inlineStr"/>
      <c r="G11" s="16" t="inlineStr">
        <is>
          <t>Pending</t>
        </is>
      </c>
    </row>
    <row r="12" ht="30" customHeight="1">
      <c r="B12" s="8" t="inlineStr">
        <is>
          <t>ARC/RES/006</t>
        </is>
      </c>
      <c r="C12" s="9" t="inlineStr"/>
      <c r="D12" s="10" t="inlineStr"/>
      <c r="E12" s="10" t="inlineStr"/>
      <c r="F12" s="10" t="inlineStr"/>
      <c r="G12" s="10" t="inlineStr">
        <is>
          <t>Pending</t>
        </is>
      </c>
    </row>
    <row r="13" ht="30" customHeight="1">
      <c r="B13" s="14" t="inlineStr">
        <is>
          <t>ARC/RES/007</t>
        </is>
      </c>
      <c r="C13" s="15" t="inlineStr"/>
      <c r="D13" s="16" t="inlineStr"/>
      <c r="E13" s="16" t="inlineStr"/>
      <c r="F13" s="16" t="inlineStr"/>
      <c r="G13" s="16" t="inlineStr">
        <is>
          <t>Pending</t>
        </is>
      </c>
    </row>
    <row r="14" ht="30" customHeight="1">
      <c r="B14" s="8" t="inlineStr">
        <is>
          <t>ARC/RES/008</t>
        </is>
      </c>
      <c r="C14" s="9" t="inlineStr"/>
      <c r="D14" s="10" t="inlineStr"/>
      <c r="E14" s="10" t="inlineStr"/>
      <c r="F14" s="10" t="inlineStr"/>
      <c r="G14" s="10" t="inlineStr">
        <is>
          <t>Pending</t>
        </is>
      </c>
    </row>
    <row r="15" ht="30" customHeight="1">
      <c r="B15" s="14" t="inlineStr">
        <is>
          <t>ARC/RES/009</t>
        </is>
      </c>
      <c r="C15" s="15" t="inlineStr"/>
      <c r="D15" s="16" t="inlineStr"/>
      <c r="E15" s="16" t="inlineStr"/>
      <c r="F15" s="16" t="inlineStr"/>
      <c r="G15" s="16" t="inlineStr">
        <is>
          <t>Pending</t>
        </is>
      </c>
    </row>
    <row r="16" ht="30" customHeight="1">
      <c r="B16" s="8" t="inlineStr">
        <is>
          <t>ARC/RES/010</t>
        </is>
      </c>
      <c r="C16" s="9" t="inlineStr"/>
      <c r="D16" s="10" t="inlineStr"/>
      <c r="E16" s="10" t="inlineStr"/>
      <c r="F16" s="10" t="inlineStr"/>
      <c r="G16" s="10" t="inlineStr">
        <is>
          <t>Pending</t>
        </is>
      </c>
    </row>
    <row r="17" ht="30" customHeight="1">
      <c r="B17" s="14" t="inlineStr">
        <is>
          <t>ARC/RES/011</t>
        </is>
      </c>
      <c r="C17" s="15" t="inlineStr"/>
      <c r="D17" s="16" t="inlineStr"/>
      <c r="E17" s="16" t="inlineStr"/>
      <c r="F17" s="16" t="inlineStr"/>
      <c r="G17" s="16" t="inlineStr">
        <is>
          <t>Pending</t>
        </is>
      </c>
    </row>
    <row r="18" ht="30" customHeight="1">
      <c r="B18" s="8" t="inlineStr">
        <is>
          <t>ARC/RES/012</t>
        </is>
      </c>
      <c r="C18" s="9" t="inlineStr"/>
      <c r="D18" s="10" t="inlineStr"/>
      <c r="E18" s="10" t="inlineStr"/>
      <c r="F18" s="10" t="inlineStr"/>
      <c r="G18" s="10" t="inlineStr">
        <is>
          <t>Pending</t>
        </is>
      </c>
    </row>
    <row r="19" ht="30" customHeight="1"/>
    <row r="20" ht="30" customHeight="1">
      <c r="B20" s="31" t="inlineStr">
        <is>
          <t>Next Meeting: _______    Chairperson: ___________________    Member Secretary: ___________________</t>
        </is>
      </c>
    </row>
    <row r="21" ht="30" customHeight="1"/>
  </sheetData>
  <mergeCells count="5">
    <mergeCell ref="B3:G3"/>
    <mergeCell ref="B2:G2"/>
    <mergeCell ref="B20:G20"/>
    <mergeCell ref="B5:G5"/>
    <mergeCell ref="B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ARC: ACTION TAKEN REPORT (ATR)</t>
        </is>
      </c>
    </row>
    <row r="3" ht="18" customHeight="1">
      <c r="B3" s="24" t="inlineStr">
        <is>
          <t>STRICTLY CONFIDENTIAL — Anti-Ragging records are sensitive legal documents. Access restricted to ARC members and institutional leadership only.</t>
        </is>
      </c>
    </row>
    <row r="4" ht="25" customHeight="1">
      <c r="B4" s="2" t="inlineStr">
        <is>
          <t>Current Meeting No.: _______  Date: _______  Previous Meeting Ref.: _______</t>
        </is>
      </c>
    </row>
    <row r="5" ht="26" customHeight="1">
      <c r="B5" s="32" t="inlineStr">
        <is>
          <t>Resolution
No.</t>
        </is>
      </c>
      <c r="C5" s="32" t="inlineStr">
        <is>
          <t>Resolution / Decision</t>
        </is>
      </c>
      <c r="D5" s="32" t="inlineStr">
        <is>
          <t>Action Required</t>
        </is>
      </c>
      <c r="E5" s="32" t="inlineStr">
        <is>
          <t>Responsible</t>
        </is>
      </c>
      <c r="F5" s="32" t="inlineStr">
        <is>
          <t>Target
Date</t>
        </is>
      </c>
      <c r="G5" s="32" t="inlineStr">
        <is>
          <t>Completion
Date</t>
        </is>
      </c>
      <c r="H5" s="32" t="inlineStr">
        <is>
          <t>Status</t>
        </is>
      </c>
    </row>
    <row r="6" ht="26" customHeight="1">
      <c r="B6" s="33" t="inlineStr">
        <is>
          <t>ARC/RES/001</t>
        </is>
      </c>
      <c r="C6" s="34" t="inlineStr"/>
      <c r="D6" s="34" t="inlineStr"/>
      <c r="E6" s="35" t="inlineStr"/>
      <c r="F6" s="35" t="inlineStr"/>
      <c r="G6" s="35" t="inlineStr"/>
      <c r="H6" s="34" t="inlineStr">
        <is>
          <t>In Progress</t>
        </is>
      </c>
    </row>
    <row r="7" ht="26" customHeight="1">
      <c r="B7" s="8" t="inlineStr">
        <is>
          <t>ARC/RES/002</t>
        </is>
      </c>
      <c r="C7" s="9" t="inlineStr"/>
      <c r="D7" s="9" t="inlineStr"/>
      <c r="E7" s="10" t="inlineStr"/>
      <c r="F7" s="10" t="inlineStr"/>
      <c r="G7" s="10" t="inlineStr"/>
      <c r="H7" s="9" t="inlineStr">
        <is>
          <t>In Progress</t>
        </is>
      </c>
    </row>
    <row r="8" ht="26" customHeight="1">
      <c r="B8" s="33" t="inlineStr">
        <is>
          <t>ARC/RES/003</t>
        </is>
      </c>
      <c r="C8" s="34" t="inlineStr"/>
      <c r="D8" s="34" t="inlineStr"/>
      <c r="E8" s="35" t="inlineStr"/>
      <c r="F8" s="35" t="inlineStr"/>
      <c r="G8" s="35" t="inlineStr"/>
      <c r="H8" s="34" t="inlineStr">
        <is>
          <t>In Progress</t>
        </is>
      </c>
    </row>
    <row r="9" ht="26" customHeight="1">
      <c r="B9" s="8" t="inlineStr">
        <is>
          <t>ARC/RES/004</t>
        </is>
      </c>
      <c r="C9" s="9" t="inlineStr"/>
      <c r="D9" s="9" t="inlineStr"/>
      <c r="E9" s="10" t="inlineStr"/>
      <c r="F9" s="10" t="inlineStr"/>
      <c r="G9" s="10" t="inlineStr"/>
      <c r="H9" s="9" t="inlineStr">
        <is>
          <t>In Progress</t>
        </is>
      </c>
    </row>
    <row r="10" ht="26" customHeight="1">
      <c r="B10" s="33" t="inlineStr">
        <is>
          <t>ARC/RES/005</t>
        </is>
      </c>
      <c r="C10" s="34" t="inlineStr"/>
      <c r="D10" s="34" t="inlineStr"/>
      <c r="E10" s="35" t="inlineStr"/>
      <c r="F10" s="35" t="inlineStr"/>
      <c r="G10" s="35" t="inlineStr"/>
      <c r="H10" s="34" t="inlineStr">
        <is>
          <t>In Progress</t>
        </is>
      </c>
    </row>
    <row r="11" ht="26" customHeight="1">
      <c r="B11" s="8" t="inlineStr">
        <is>
          <t>ARC/RES/006</t>
        </is>
      </c>
      <c r="C11" s="9" t="inlineStr"/>
      <c r="D11" s="9" t="inlineStr"/>
      <c r="E11" s="10" t="inlineStr"/>
      <c r="F11" s="10" t="inlineStr"/>
      <c r="G11" s="10" t="inlineStr"/>
      <c r="H11" s="9" t="inlineStr">
        <is>
          <t>In Progress</t>
        </is>
      </c>
    </row>
    <row r="12" ht="26" customHeight="1">
      <c r="B12" s="33" t="inlineStr">
        <is>
          <t>ARC/RES/007</t>
        </is>
      </c>
      <c r="C12" s="34" t="inlineStr"/>
      <c r="D12" s="34" t="inlineStr"/>
      <c r="E12" s="35" t="inlineStr"/>
      <c r="F12" s="35" t="inlineStr"/>
      <c r="G12" s="35" t="inlineStr"/>
      <c r="H12" s="34" t="inlineStr">
        <is>
          <t>In Progress</t>
        </is>
      </c>
    </row>
    <row r="13" ht="26" customHeight="1">
      <c r="B13" s="8" t="inlineStr">
        <is>
          <t>ARC/RES/008</t>
        </is>
      </c>
      <c r="C13" s="9" t="inlineStr"/>
      <c r="D13" s="9" t="inlineStr"/>
      <c r="E13" s="10" t="inlineStr"/>
      <c r="F13" s="10" t="inlineStr"/>
      <c r="G13" s="10" t="inlineStr"/>
      <c r="H13" s="9" t="inlineStr">
        <is>
          <t>In Progress</t>
        </is>
      </c>
    </row>
    <row r="14" ht="26" customHeight="1">
      <c r="B14" s="33" t="inlineStr">
        <is>
          <t>ARC/RES/009</t>
        </is>
      </c>
      <c r="C14" s="34" t="inlineStr"/>
      <c r="D14" s="34" t="inlineStr"/>
      <c r="E14" s="35" t="inlineStr"/>
      <c r="F14" s="35" t="inlineStr"/>
      <c r="G14" s="35" t="inlineStr"/>
      <c r="H14" s="34" t="inlineStr">
        <is>
          <t>In Progress</t>
        </is>
      </c>
    </row>
    <row r="15" ht="26" customHeight="1">
      <c r="B15" s="8" t="inlineStr">
        <is>
          <t>ARC/RES/010</t>
        </is>
      </c>
      <c r="C15" s="9" t="inlineStr"/>
      <c r="D15" s="9" t="inlineStr"/>
      <c r="E15" s="10" t="inlineStr"/>
      <c r="F15" s="10" t="inlineStr"/>
      <c r="G15" s="10" t="inlineStr"/>
      <c r="H15" s="9" t="inlineStr">
        <is>
          <t>In Progress</t>
        </is>
      </c>
    </row>
    <row r="16" ht="26" customHeight="1">
      <c r="B16" s="33" t="inlineStr">
        <is>
          <t>ARC/RES/011</t>
        </is>
      </c>
      <c r="C16" s="34" t="inlineStr"/>
      <c r="D16" s="34" t="inlineStr"/>
      <c r="E16" s="35" t="inlineStr"/>
      <c r="F16" s="35" t="inlineStr"/>
      <c r="G16" s="35" t="inlineStr"/>
      <c r="H16" s="34" t="inlineStr">
        <is>
          <t>In Progress</t>
        </is>
      </c>
    </row>
    <row r="17" ht="26" customHeight="1">
      <c r="B17" s="8" t="inlineStr">
        <is>
          <t>ARC/RES/012</t>
        </is>
      </c>
      <c r="C17" s="9" t="inlineStr"/>
      <c r="D17" s="9" t="inlineStr"/>
      <c r="E17" s="10" t="inlineStr"/>
      <c r="F17" s="10" t="inlineStr"/>
      <c r="G17" s="10" t="inlineStr"/>
      <c r="H17" s="9" t="inlineStr">
        <is>
          <t>In Progress</t>
        </is>
      </c>
    </row>
    <row r="18" ht="26" customHeight="1">
      <c r="B18" s="33" t="inlineStr">
        <is>
          <t>ARC/RES/013</t>
        </is>
      </c>
      <c r="C18" s="34" t="inlineStr"/>
      <c r="D18" s="34" t="inlineStr"/>
      <c r="E18" s="35" t="inlineStr"/>
      <c r="F18" s="35" t="inlineStr"/>
      <c r="G18" s="35" t="inlineStr"/>
      <c r="H18" s="34" t="inlineStr">
        <is>
          <t>In Progress</t>
        </is>
      </c>
    </row>
    <row r="19" ht="26" customHeight="1"/>
    <row r="20" ht="24" customHeight="1">
      <c r="B20" s="36" t="inlineStr">
        <is>
          <t>ATR SUMMARY</t>
        </is>
      </c>
    </row>
    <row r="21" ht="26" customHeight="1">
      <c r="B21" s="37" t="inlineStr">
        <is>
          <t>Total Resolutions Under Review</t>
        </is>
      </c>
      <c r="F21" s="38">
        <f>COUNTA(B6:B18)</f>
        <v/>
      </c>
    </row>
    <row r="22" ht="26" customHeight="1">
      <c r="B22" s="27" t="inlineStr">
        <is>
          <t>Implemented</t>
        </is>
      </c>
      <c r="F22" s="39">
        <f>COUNTIF(H6:H18,"Implemented")</f>
        <v/>
      </c>
    </row>
    <row r="23" ht="26" customHeight="1">
      <c r="B23" s="37" t="inlineStr">
        <is>
          <t>In Progress</t>
        </is>
      </c>
      <c r="F23" s="38">
        <f>COUNTIF(H6:H18,"In Progress")</f>
        <v/>
      </c>
    </row>
    <row r="24">
      <c r="B24" s="27" t="inlineStr">
        <is>
          <t>Pending</t>
        </is>
      </c>
      <c r="F24" s="39">
        <f>COUNTIF(H6:H18,"Pending")</f>
        <v/>
      </c>
    </row>
    <row r="25">
      <c r="B25" s="37" t="inlineStr">
        <is>
          <t>Deferred</t>
        </is>
      </c>
      <c r="F25" s="38">
        <f>COUNTIF(H6:H18,"Deferred")</f>
        <v/>
      </c>
    </row>
    <row r="26">
      <c r="B26" s="27" t="inlineStr">
        <is>
          <t>Implementation Rate (%)</t>
        </is>
      </c>
      <c r="F26" s="39">
        <f>IFERROR(ROUND(C22/C21*100,1),"")</f>
        <v/>
      </c>
    </row>
  </sheetData>
  <mergeCells count="16">
    <mergeCell ref="F23:H23"/>
    <mergeCell ref="B23:E23"/>
    <mergeCell ref="B26:E26"/>
    <mergeCell ref="F22:H22"/>
    <mergeCell ref="B4:H4"/>
    <mergeCell ref="B21:E21"/>
    <mergeCell ref="F26:H26"/>
    <mergeCell ref="B2:H2"/>
    <mergeCell ref="B25:E25"/>
    <mergeCell ref="B24:E24"/>
    <mergeCell ref="B3:H3"/>
    <mergeCell ref="F21:H21"/>
    <mergeCell ref="B20:H20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ARC-04: STUDENT ANTI-RAGGING UNDERTAKING REGISTER</t>
        </is>
      </c>
    </row>
    <row r="3" ht="20" customHeight="1">
      <c r="B3" s="17" t="inlineStr">
        <is>
          <t>MANDATORY: Every student (including day scholars) must submit signed undertaking at admission. Online undertaking via www.antiragging.in is ALSO mandatory. Both physical and online compliance required.</t>
        </is>
      </c>
    </row>
    <row r="4" ht="25" customHeight="1">
      <c r="B4" s="20" t="inlineStr">
        <is>
          <t>Sl.</t>
        </is>
      </c>
      <c r="C4" s="20" t="inlineStr">
        <is>
          <t>Student Name</t>
        </is>
      </c>
      <c r="D4" s="20" t="inlineStr">
        <is>
          <t>Roll No. /
Adm. No.</t>
        </is>
      </c>
      <c r="E4" s="20" t="inlineStr">
        <is>
          <t>Programme
&amp; Year</t>
        </is>
      </c>
      <c r="F4" s="20" t="inlineStr">
        <is>
          <t>Dept.</t>
        </is>
      </c>
      <c r="G4" s="20" t="inlineStr">
        <is>
          <t>Category
(Day / Hosteller)</t>
        </is>
      </c>
      <c r="H4" s="20" t="inlineStr">
        <is>
          <t>Physical
Undertaking
(Y/N)</t>
        </is>
      </c>
      <c r="I4" s="20" t="inlineStr">
        <is>
          <t>Online
Undertaking
(Y/N)</t>
        </is>
      </c>
      <c r="J4" s="20" t="inlineStr">
        <is>
          <t>UGC Portal
Ref. No.</t>
        </is>
      </c>
      <c r="K4" s="20" t="inlineStr">
        <is>
          <t>Status</t>
        </is>
      </c>
    </row>
    <row r="5" ht="22" customHeight="1">
      <c r="B5" s="14" t="n">
        <v>1</v>
      </c>
      <c r="C5" s="15" t="inlineStr"/>
      <c r="D5" s="16" t="inlineStr"/>
      <c r="E5" s="16" t="inlineStr"/>
      <c r="F5" s="16" t="inlineStr"/>
      <c r="G5" s="16" t="inlineStr">
        <is>
          <t>Day Scholar</t>
        </is>
      </c>
      <c r="H5" s="16" t="inlineStr">
        <is>
          <t>Y</t>
        </is>
      </c>
      <c r="I5" s="16" t="inlineStr">
        <is>
          <t>Y</t>
        </is>
      </c>
      <c r="J5" s="16" t="inlineStr"/>
      <c r="K5" s="16" t="inlineStr">
        <is>
          <t>Compliant</t>
        </is>
      </c>
    </row>
    <row r="6" ht="22" customHeight="1">
      <c r="B6" s="8" t="n">
        <v>2</v>
      </c>
      <c r="C6" s="9" t="inlineStr"/>
      <c r="D6" s="10" t="inlineStr"/>
      <c r="E6" s="10" t="inlineStr"/>
      <c r="F6" s="10" t="inlineStr"/>
      <c r="G6" s="10" t="inlineStr">
        <is>
          <t>Hosteller</t>
        </is>
      </c>
      <c r="H6" s="10" t="inlineStr">
        <is>
          <t>Y</t>
        </is>
      </c>
      <c r="I6" s="10" t="inlineStr">
        <is>
          <t>Y</t>
        </is>
      </c>
      <c r="J6" s="10" t="inlineStr"/>
      <c r="K6" s="10" t="inlineStr">
        <is>
          <t>Compliant</t>
        </is>
      </c>
    </row>
    <row r="7" ht="22" customHeight="1">
      <c r="B7" s="14" t="n">
        <v>3</v>
      </c>
      <c r="C7" s="15" t="inlineStr"/>
      <c r="D7" s="16" t="inlineStr"/>
      <c r="E7" s="16" t="inlineStr"/>
      <c r="F7" s="16" t="inlineStr"/>
      <c r="G7" s="16" t="inlineStr">
        <is>
          <t>Hosteller</t>
        </is>
      </c>
      <c r="H7" s="16" t="inlineStr">
        <is>
          <t>Y</t>
        </is>
      </c>
      <c r="I7" s="16" t="inlineStr">
        <is>
          <t>Y</t>
        </is>
      </c>
      <c r="J7" s="16" t="inlineStr"/>
      <c r="K7" s="16" t="inlineStr">
        <is>
          <t>Compliant</t>
        </is>
      </c>
    </row>
    <row r="8" ht="22" customHeight="1">
      <c r="B8" s="8" t="n">
        <v>4</v>
      </c>
      <c r="C8" s="9" t="inlineStr"/>
      <c r="D8" s="10" t="inlineStr"/>
      <c r="E8" s="10" t="inlineStr"/>
      <c r="F8" s="10" t="inlineStr"/>
      <c r="G8" s="10" t="inlineStr">
        <is>
          <t>Day Scholar</t>
        </is>
      </c>
      <c r="H8" s="10" t="inlineStr">
        <is>
          <t>Y</t>
        </is>
      </c>
      <c r="I8" s="10" t="inlineStr">
        <is>
          <t>Y</t>
        </is>
      </c>
      <c r="J8" s="10" t="inlineStr"/>
      <c r="K8" s="10" t="inlineStr">
        <is>
          <t>Compliant</t>
        </is>
      </c>
    </row>
    <row r="9" ht="22" customHeight="1">
      <c r="B9" s="14" t="n">
        <v>5</v>
      </c>
      <c r="C9" s="15" t="inlineStr"/>
      <c r="D9" s="16" t="inlineStr"/>
      <c r="E9" s="16" t="inlineStr"/>
      <c r="F9" s="16" t="inlineStr"/>
      <c r="G9" s="16" t="inlineStr">
        <is>
          <t>Hosteller</t>
        </is>
      </c>
      <c r="H9" s="16" t="inlineStr">
        <is>
          <t>Y</t>
        </is>
      </c>
      <c r="I9" s="16" t="inlineStr">
        <is>
          <t>Y</t>
        </is>
      </c>
      <c r="J9" s="16" t="inlineStr"/>
      <c r="K9" s="16" t="inlineStr">
        <is>
          <t>Compliant</t>
        </is>
      </c>
    </row>
    <row r="10" ht="22" customHeight="1">
      <c r="B10" s="8" t="n">
        <v>6</v>
      </c>
      <c r="C10" s="9" t="inlineStr"/>
      <c r="D10" s="10" t="inlineStr"/>
      <c r="E10" s="10" t="inlineStr"/>
      <c r="F10" s="10" t="inlineStr"/>
      <c r="G10" s="10" t="inlineStr">
        <is>
          <t>Hosteller</t>
        </is>
      </c>
      <c r="H10" s="10" t="inlineStr">
        <is>
          <t>Y</t>
        </is>
      </c>
      <c r="I10" s="10" t="inlineStr">
        <is>
          <t>Y</t>
        </is>
      </c>
      <c r="J10" s="10" t="inlineStr"/>
      <c r="K10" s="10" t="inlineStr">
        <is>
          <t>Compliant</t>
        </is>
      </c>
    </row>
    <row r="11" ht="22" customHeight="1">
      <c r="B11" s="14" t="n">
        <v>7</v>
      </c>
      <c r="C11" s="15" t="inlineStr"/>
      <c r="D11" s="16" t="inlineStr"/>
      <c r="E11" s="16" t="inlineStr"/>
      <c r="F11" s="16" t="inlineStr"/>
      <c r="G11" s="16" t="inlineStr">
        <is>
          <t>Day Scholar</t>
        </is>
      </c>
      <c r="H11" s="16" t="inlineStr">
        <is>
          <t>Y</t>
        </is>
      </c>
      <c r="I11" s="16" t="inlineStr">
        <is>
          <t>Y</t>
        </is>
      </c>
      <c r="J11" s="16" t="inlineStr"/>
      <c r="K11" s="16" t="inlineStr">
        <is>
          <t>Compliant</t>
        </is>
      </c>
    </row>
    <row r="12" ht="22" customHeight="1">
      <c r="B12" s="8" t="n">
        <v>8</v>
      </c>
      <c r="C12" s="9" t="inlineStr"/>
      <c r="D12" s="10" t="inlineStr"/>
      <c r="E12" s="10" t="inlineStr"/>
      <c r="F12" s="10" t="inlineStr"/>
      <c r="G12" s="10" t="inlineStr">
        <is>
          <t>Hosteller</t>
        </is>
      </c>
      <c r="H12" s="10" t="inlineStr">
        <is>
          <t>Y</t>
        </is>
      </c>
      <c r="I12" s="10" t="inlineStr">
        <is>
          <t>Y</t>
        </is>
      </c>
      <c r="J12" s="10" t="inlineStr"/>
      <c r="K12" s="10" t="inlineStr">
        <is>
          <t>Compliant</t>
        </is>
      </c>
    </row>
    <row r="13" ht="22" customHeight="1">
      <c r="B13" s="14" t="n">
        <v>9</v>
      </c>
      <c r="C13" s="15" t="inlineStr"/>
      <c r="D13" s="16" t="inlineStr"/>
      <c r="E13" s="16" t="inlineStr"/>
      <c r="F13" s="16" t="inlineStr"/>
      <c r="G13" s="16" t="inlineStr">
        <is>
          <t>Hosteller</t>
        </is>
      </c>
      <c r="H13" s="16" t="inlineStr">
        <is>
          <t>Y</t>
        </is>
      </c>
      <c r="I13" s="16" t="inlineStr">
        <is>
          <t>Y</t>
        </is>
      </c>
      <c r="J13" s="16" t="inlineStr"/>
      <c r="K13" s="16" t="inlineStr">
        <is>
          <t>Compliant</t>
        </is>
      </c>
    </row>
    <row r="14" ht="22" customHeight="1">
      <c r="B14" s="8" t="n">
        <v>10</v>
      </c>
      <c r="C14" s="9" t="inlineStr"/>
      <c r="D14" s="10" t="inlineStr"/>
      <c r="E14" s="10" t="inlineStr"/>
      <c r="F14" s="10" t="inlineStr"/>
      <c r="G14" s="10" t="inlineStr">
        <is>
          <t>Day Scholar</t>
        </is>
      </c>
      <c r="H14" s="10" t="inlineStr">
        <is>
          <t>Y</t>
        </is>
      </c>
      <c r="I14" s="10" t="inlineStr">
        <is>
          <t>Y</t>
        </is>
      </c>
      <c r="J14" s="10" t="inlineStr"/>
      <c r="K14" s="10" t="inlineStr">
        <is>
          <t>Compliant</t>
        </is>
      </c>
    </row>
    <row r="15" ht="22" customHeight="1">
      <c r="B15" s="14" t="n">
        <v>11</v>
      </c>
      <c r="C15" s="15" t="inlineStr"/>
      <c r="D15" s="16" t="inlineStr"/>
      <c r="E15" s="16" t="inlineStr"/>
      <c r="F15" s="16" t="inlineStr"/>
      <c r="G15" s="16" t="inlineStr">
        <is>
          <t>Hosteller</t>
        </is>
      </c>
      <c r="H15" s="16" t="inlineStr">
        <is>
          <t>Y</t>
        </is>
      </c>
      <c r="I15" s="16" t="inlineStr">
        <is>
          <t>Y</t>
        </is>
      </c>
      <c r="J15" s="16" t="inlineStr"/>
      <c r="K15" s="16" t="inlineStr">
        <is>
          <t>Compliant</t>
        </is>
      </c>
    </row>
    <row r="16" ht="22" customHeight="1">
      <c r="B16" s="8" t="n">
        <v>12</v>
      </c>
      <c r="C16" s="9" t="inlineStr"/>
      <c r="D16" s="10" t="inlineStr"/>
      <c r="E16" s="10" t="inlineStr"/>
      <c r="F16" s="10" t="inlineStr"/>
      <c r="G16" s="10" t="inlineStr">
        <is>
          <t>Hosteller</t>
        </is>
      </c>
      <c r="H16" s="10" t="inlineStr">
        <is>
          <t>Y</t>
        </is>
      </c>
      <c r="I16" s="10" t="inlineStr">
        <is>
          <t>Y</t>
        </is>
      </c>
      <c r="J16" s="10" t="inlineStr"/>
      <c r="K16" s="10" t="inlineStr">
        <is>
          <t>Compliant</t>
        </is>
      </c>
    </row>
    <row r="17" ht="22" customHeight="1">
      <c r="B17" s="14" t="n">
        <v>13</v>
      </c>
      <c r="C17" s="15" t="inlineStr"/>
      <c r="D17" s="16" t="inlineStr"/>
      <c r="E17" s="16" t="inlineStr"/>
      <c r="F17" s="16" t="inlineStr"/>
      <c r="G17" s="16" t="inlineStr">
        <is>
          <t>Day Scholar</t>
        </is>
      </c>
      <c r="H17" s="16" t="inlineStr">
        <is>
          <t>Y</t>
        </is>
      </c>
      <c r="I17" s="16" t="inlineStr">
        <is>
          <t>Y</t>
        </is>
      </c>
      <c r="J17" s="16" t="inlineStr"/>
      <c r="K17" s="16" t="inlineStr">
        <is>
          <t>Compliant</t>
        </is>
      </c>
    </row>
    <row r="18" ht="22" customHeight="1">
      <c r="B18" s="8" t="n">
        <v>14</v>
      </c>
      <c r="C18" s="9" t="inlineStr"/>
      <c r="D18" s="10" t="inlineStr"/>
      <c r="E18" s="10" t="inlineStr"/>
      <c r="F18" s="10" t="inlineStr"/>
      <c r="G18" s="10" t="inlineStr">
        <is>
          <t>Hosteller</t>
        </is>
      </c>
      <c r="H18" s="10" t="inlineStr">
        <is>
          <t>Y</t>
        </is>
      </c>
      <c r="I18" s="10" t="inlineStr">
        <is>
          <t>Y</t>
        </is>
      </c>
      <c r="J18" s="10" t="inlineStr"/>
      <c r="K18" s="10" t="inlineStr">
        <is>
          <t>Compliant</t>
        </is>
      </c>
    </row>
    <row r="19" ht="22" customHeight="1">
      <c r="B19" s="14" t="n">
        <v>15</v>
      </c>
      <c r="C19" s="15" t="inlineStr"/>
      <c r="D19" s="16" t="inlineStr"/>
      <c r="E19" s="16" t="inlineStr"/>
      <c r="F19" s="16" t="inlineStr"/>
      <c r="G19" s="16" t="inlineStr">
        <is>
          <t>Hosteller</t>
        </is>
      </c>
      <c r="H19" s="16" t="inlineStr">
        <is>
          <t>Y</t>
        </is>
      </c>
      <c r="I19" s="16" t="inlineStr">
        <is>
          <t>Y</t>
        </is>
      </c>
      <c r="J19" s="16" t="inlineStr"/>
      <c r="K19" s="16" t="inlineStr">
        <is>
          <t>Compliant</t>
        </is>
      </c>
    </row>
    <row r="20" ht="22" customHeight="1">
      <c r="B20" s="8" t="n">
        <v>16</v>
      </c>
      <c r="C20" s="9" t="inlineStr"/>
      <c r="D20" s="10" t="inlineStr"/>
      <c r="E20" s="10" t="inlineStr"/>
      <c r="F20" s="10" t="inlineStr"/>
      <c r="G20" s="10" t="inlineStr">
        <is>
          <t>Day Scholar</t>
        </is>
      </c>
      <c r="H20" s="10" t="inlineStr">
        <is>
          <t>Y</t>
        </is>
      </c>
      <c r="I20" s="10" t="inlineStr">
        <is>
          <t>Y</t>
        </is>
      </c>
      <c r="J20" s="10" t="inlineStr"/>
      <c r="K20" s="10" t="inlineStr">
        <is>
          <t>Compliant</t>
        </is>
      </c>
    </row>
    <row r="21" ht="22" customHeight="1">
      <c r="B21" s="14" t="n">
        <v>17</v>
      </c>
      <c r="C21" s="15" t="inlineStr"/>
      <c r="D21" s="16" t="inlineStr"/>
      <c r="E21" s="16" t="inlineStr"/>
      <c r="F21" s="16" t="inlineStr"/>
      <c r="G21" s="16" t="inlineStr">
        <is>
          <t>Hosteller</t>
        </is>
      </c>
      <c r="H21" s="16" t="inlineStr">
        <is>
          <t>Y</t>
        </is>
      </c>
      <c r="I21" s="16" t="inlineStr">
        <is>
          <t>Y</t>
        </is>
      </c>
      <c r="J21" s="16" t="inlineStr"/>
      <c r="K21" s="16" t="inlineStr">
        <is>
          <t>Compliant</t>
        </is>
      </c>
    </row>
    <row r="22" ht="22" customHeight="1">
      <c r="B22" s="8" t="n">
        <v>18</v>
      </c>
      <c r="C22" s="9" t="inlineStr"/>
      <c r="D22" s="10" t="inlineStr"/>
      <c r="E22" s="10" t="inlineStr"/>
      <c r="F22" s="10" t="inlineStr"/>
      <c r="G22" s="10" t="inlineStr">
        <is>
          <t>Hosteller</t>
        </is>
      </c>
      <c r="H22" s="10" t="inlineStr">
        <is>
          <t>Y</t>
        </is>
      </c>
      <c r="I22" s="10" t="inlineStr">
        <is>
          <t>Y</t>
        </is>
      </c>
      <c r="J22" s="10" t="inlineStr"/>
      <c r="K22" s="10" t="inlineStr">
        <is>
          <t>Compliant</t>
        </is>
      </c>
    </row>
    <row r="23" ht="22" customHeight="1">
      <c r="B23" s="14" t="n">
        <v>19</v>
      </c>
      <c r="C23" s="15" t="inlineStr"/>
      <c r="D23" s="16" t="inlineStr"/>
      <c r="E23" s="16" t="inlineStr"/>
      <c r="F23" s="16" t="inlineStr"/>
      <c r="G23" s="16" t="inlineStr">
        <is>
          <t>Day Scholar</t>
        </is>
      </c>
      <c r="H23" s="16" t="inlineStr">
        <is>
          <t>Y</t>
        </is>
      </c>
      <c r="I23" s="16" t="inlineStr">
        <is>
          <t>Y</t>
        </is>
      </c>
      <c r="J23" s="16" t="inlineStr"/>
      <c r="K23" s="16" t="inlineStr">
        <is>
          <t>Compliant</t>
        </is>
      </c>
    </row>
    <row r="24" ht="22" customHeight="1">
      <c r="B24" s="8" t="n">
        <v>20</v>
      </c>
      <c r="C24" s="9" t="inlineStr"/>
      <c r="D24" s="10" t="inlineStr"/>
      <c r="E24" s="10" t="inlineStr"/>
      <c r="F24" s="10" t="inlineStr"/>
      <c r="G24" s="10" t="inlineStr">
        <is>
          <t>Hosteller</t>
        </is>
      </c>
      <c r="H24" s="10" t="inlineStr">
        <is>
          <t>Y</t>
        </is>
      </c>
      <c r="I24" s="10" t="inlineStr">
        <is>
          <t>Y</t>
        </is>
      </c>
      <c r="J24" s="10" t="inlineStr"/>
      <c r="K24" s="10" t="inlineStr">
        <is>
          <t>Compliant</t>
        </is>
      </c>
    </row>
    <row r="25" ht="22" customHeight="1">
      <c r="B25" s="14" t="n">
        <v>21</v>
      </c>
      <c r="C25" s="15" t="inlineStr"/>
      <c r="D25" s="16" t="inlineStr"/>
      <c r="E25" s="16" t="inlineStr"/>
      <c r="F25" s="16" t="inlineStr"/>
      <c r="G25" s="16" t="inlineStr">
        <is>
          <t>Hosteller</t>
        </is>
      </c>
      <c r="H25" s="16" t="inlineStr">
        <is>
          <t>Y</t>
        </is>
      </c>
      <c r="I25" s="16" t="inlineStr">
        <is>
          <t>Y</t>
        </is>
      </c>
      <c r="J25" s="16" t="inlineStr"/>
      <c r="K25" s="16" t="inlineStr">
        <is>
          <t>Compliant</t>
        </is>
      </c>
    </row>
    <row r="26" ht="22" customHeight="1">
      <c r="B26" s="8" t="n">
        <v>22</v>
      </c>
      <c r="C26" s="9" t="inlineStr"/>
      <c r="D26" s="10" t="inlineStr"/>
      <c r="E26" s="10" t="inlineStr"/>
      <c r="F26" s="10" t="inlineStr"/>
      <c r="G26" s="10" t="inlineStr">
        <is>
          <t>Day Scholar</t>
        </is>
      </c>
      <c r="H26" s="10" t="inlineStr">
        <is>
          <t>Y</t>
        </is>
      </c>
      <c r="I26" s="10" t="inlineStr">
        <is>
          <t>Y</t>
        </is>
      </c>
      <c r="J26" s="10" t="inlineStr"/>
      <c r="K26" s="10" t="inlineStr">
        <is>
          <t>Compliant</t>
        </is>
      </c>
    </row>
    <row r="27" ht="22" customHeight="1">
      <c r="B27" s="14" t="n">
        <v>23</v>
      </c>
      <c r="C27" s="15" t="inlineStr"/>
      <c r="D27" s="16" t="inlineStr"/>
      <c r="E27" s="16" t="inlineStr"/>
      <c r="F27" s="16" t="inlineStr"/>
      <c r="G27" s="16" t="inlineStr">
        <is>
          <t>Hosteller</t>
        </is>
      </c>
      <c r="H27" s="16" t="inlineStr">
        <is>
          <t>Y</t>
        </is>
      </c>
      <c r="I27" s="16" t="inlineStr">
        <is>
          <t>Y</t>
        </is>
      </c>
      <c r="J27" s="16" t="inlineStr"/>
      <c r="K27" s="16" t="inlineStr">
        <is>
          <t>Compliant</t>
        </is>
      </c>
    </row>
    <row r="28" ht="22" customHeight="1">
      <c r="B28" s="8" t="n">
        <v>24</v>
      </c>
      <c r="C28" s="9" t="inlineStr"/>
      <c r="D28" s="10" t="inlineStr"/>
      <c r="E28" s="10" t="inlineStr"/>
      <c r="F28" s="10" t="inlineStr"/>
      <c r="G28" s="10" t="inlineStr">
        <is>
          <t>Hosteller</t>
        </is>
      </c>
      <c r="H28" s="10" t="inlineStr">
        <is>
          <t>Y</t>
        </is>
      </c>
      <c r="I28" s="10" t="inlineStr">
        <is>
          <t>Y</t>
        </is>
      </c>
      <c r="J28" s="10" t="inlineStr"/>
      <c r="K28" s="10" t="inlineStr">
        <is>
          <t>Compliant</t>
        </is>
      </c>
    </row>
    <row r="29" ht="22" customHeight="1">
      <c r="B29" s="14" t="n">
        <v>25</v>
      </c>
      <c r="C29" s="15" t="inlineStr"/>
      <c r="D29" s="16" t="inlineStr"/>
      <c r="E29" s="16" t="inlineStr"/>
      <c r="F29" s="16" t="inlineStr"/>
      <c r="G29" s="16" t="inlineStr">
        <is>
          <t>Day Scholar</t>
        </is>
      </c>
      <c r="H29" s="16" t="inlineStr">
        <is>
          <t>Y</t>
        </is>
      </c>
      <c r="I29" s="16" t="inlineStr">
        <is>
          <t>Y</t>
        </is>
      </c>
      <c r="J29" s="16" t="inlineStr"/>
      <c r="K29" s="16" t="inlineStr">
        <is>
          <t>Compliant</t>
        </is>
      </c>
    </row>
    <row r="30" ht="22" customHeight="1">
      <c r="B30" s="8" t="n">
        <v>26</v>
      </c>
      <c r="C30" s="9" t="inlineStr"/>
      <c r="D30" s="10" t="inlineStr"/>
      <c r="E30" s="10" t="inlineStr"/>
      <c r="F30" s="10" t="inlineStr"/>
      <c r="G30" s="10" t="inlineStr">
        <is>
          <t>Hosteller</t>
        </is>
      </c>
      <c r="H30" s="10" t="inlineStr">
        <is>
          <t>Y</t>
        </is>
      </c>
      <c r="I30" s="10" t="inlineStr">
        <is>
          <t>Y</t>
        </is>
      </c>
      <c r="J30" s="10" t="inlineStr"/>
      <c r="K30" s="10" t="inlineStr">
        <is>
          <t>Compliant</t>
        </is>
      </c>
    </row>
    <row r="31" ht="22" customHeight="1">
      <c r="B31" s="14" t="n">
        <v>27</v>
      </c>
      <c r="C31" s="15" t="inlineStr"/>
      <c r="D31" s="16" t="inlineStr"/>
      <c r="E31" s="16" t="inlineStr"/>
      <c r="F31" s="16" t="inlineStr"/>
      <c r="G31" s="16" t="inlineStr">
        <is>
          <t>Hosteller</t>
        </is>
      </c>
      <c r="H31" s="16" t="inlineStr">
        <is>
          <t>Y</t>
        </is>
      </c>
      <c r="I31" s="16" t="inlineStr">
        <is>
          <t>Y</t>
        </is>
      </c>
      <c r="J31" s="16" t="inlineStr"/>
      <c r="K31" s="16" t="inlineStr">
        <is>
          <t>Compliant</t>
        </is>
      </c>
    </row>
    <row r="32" ht="22" customHeight="1">
      <c r="B32" s="8" t="n">
        <v>28</v>
      </c>
      <c r="C32" s="9" t="inlineStr"/>
      <c r="D32" s="10" t="inlineStr"/>
      <c r="E32" s="10" t="inlineStr"/>
      <c r="F32" s="10" t="inlineStr"/>
      <c r="G32" s="10" t="inlineStr">
        <is>
          <t>Day Scholar</t>
        </is>
      </c>
      <c r="H32" s="10" t="inlineStr">
        <is>
          <t>Y</t>
        </is>
      </c>
      <c r="I32" s="10" t="inlineStr">
        <is>
          <t>Y</t>
        </is>
      </c>
      <c r="J32" s="10" t="inlineStr"/>
      <c r="K32" s="10" t="inlineStr">
        <is>
          <t>Compliant</t>
        </is>
      </c>
    </row>
    <row r="33" ht="22" customHeight="1">
      <c r="B33" s="14" t="n">
        <v>29</v>
      </c>
      <c r="C33" s="15" t="inlineStr"/>
      <c r="D33" s="16" t="inlineStr"/>
      <c r="E33" s="16" t="inlineStr"/>
      <c r="F33" s="16" t="inlineStr"/>
      <c r="G33" s="16" t="inlineStr">
        <is>
          <t>Hosteller</t>
        </is>
      </c>
      <c r="H33" s="16" t="inlineStr">
        <is>
          <t>Y</t>
        </is>
      </c>
      <c r="I33" s="16" t="inlineStr">
        <is>
          <t>Y</t>
        </is>
      </c>
      <c r="J33" s="16" t="inlineStr"/>
      <c r="K33" s="16" t="inlineStr">
        <is>
          <t>Compliant</t>
        </is>
      </c>
    </row>
    <row r="34" ht="22" customHeight="1">
      <c r="B34" s="8" t="n">
        <v>30</v>
      </c>
      <c r="C34" s="9" t="inlineStr"/>
      <c r="D34" s="10" t="inlineStr"/>
      <c r="E34" s="10" t="inlineStr"/>
      <c r="F34" s="10" t="inlineStr"/>
      <c r="G34" s="10" t="inlineStr">
        <is>
          <t>Hosteller</t>
        </is>
      </c>
      <c r="H34" s="10" t="inlineStr">
        <is>
          <t>Y</t>
        </is>
      </c>
      <c r="I34" s="10" t="inlineStr">
        <is>
          <t>Y</t>
        </is>
      </c>
      <c r="J34" s="10" t="inlineStr"/>
      <c r="K34" s="10" t="inlineStr">
        <is>
          <t>Compliant</t>
        </is>
      </c>
    </row>
    <row r="35" ht="22" customHeight="1">
      <c r="B35" s="14" t="n">
        <v>31</v>
      </c>
      <c r="C35" s="15" t="inlineStr"/>
      <c r="D35" s="16" t="inlineStr"/>
      <c r="E35" s="16" t="inlineStr"/>
      <c r="F35" s="16" t="inlineStr"/>
      <c r="G35" s="16" t="inlineStr">
        <is>
          <t>Day Scholar</t>
        </is>
      </c>
      <c r="H35" s="16" t="inlineStr">
        <is>
          <t>Y</t>
        </is>
      </c>
      <c r="I35" s="16" t="inlineStr">
        <is>
          <t>Y</t>
        </is>
      </c>
      <c r="J35" s="16" t="inlineStr"/>
      <c r="K35" s="16" t="inlineStr">
        <is>
          <t>Compliant</t>
        </is>
      </c>
    </row>
    <row r="36" ht="22" customHeight="1">
      <c r="B36" s="8" t="n">
        <v>32</v>
      </c>
      <c r="C36" s="9" t="inlineStr"/>
      <c r="D36" s="10" t="inlineStr"/>
      <c r="E36" s="10" t="inlineStr"/>
      <c r="F36" s="10" t="inlineStr"/>
      <c r="G36" s="10" t="inlineStr">
        <is>
          <t>Hosteller</t>
        </is>
      </c>
      <c r="H36" s="10" t="inlineStr">
        <is>
          <t>Y</t>
        </is>
      </c>
      <c r="I36" s="10" t="inlineStr">
        <is>
          <t>Y</t>
        </is>
      </c>
      <c r="J36" s="10" t="inlineStr"/>
      <c r="K36" s="10" t="inlineStr">
        <is>
          <t>Compliant</t>
        </is>
      </c>
    </row>
    <row r="37" ht="22" customHeight="1">
      <c r="B37" s="14" t="n">
        <v>33</v>
      </c>
      <c r="C37" s="15" t="inlineStr"/>
      <c r="D37" s="16" t="inlineStr"/>
      <c r="E37" s="16" t="inlineStr"/>
      <c r="F37" s="16" t="inlineStr"/>
      <c r="G37" s="16" t="inlineStr">
        <is>
          <t>Hosteller</t>
        </is>
      </c>
      <c r="H37" s="16" t="inlineStr">
        <is>
          <t>Y</t>
        </is>
      </c>
      <c r="I37" s="16" t="inlineStr">
        <is>
          <t>Y</t>
        </is>
      </c>
      <c r="J37" s="16" t="inlineStr"/>
      <c r="K37" s="16" t="inlineStr">
        <is>
          <t>Compliant</t>
        </is>
      </c>
    </row>
    <row r="38" ht="22" customHeight="1">
      <c r="B38" s="8" t="n">
        <v>34</v>
      </c>
      <c r="C38" s="9" t="inlineStr"/>
      <c r="D38" s="10" t="inlineStr"/>
      <c r="E38" s="10" t="inlineStr"/>
      <c r="F38" s="10" t="inlineStr"/>
      <c r="G38" s="10" t="inlineStr">
        <is>
          <t>Day Scholar</t>
        </is>
      </c>
      <c r="H38" s="10" t="inlineStr">
        <is>
          <t>Y</t>
        </is>
      </c>
      <c r="I38" s="10" t="inlineStr">
        <is>
          <t>Y</t>
        </is>
      </c>
      <c r="J38" s="10" t="inlineStr"/>
      <c r="K38" s="10" t="inlineStr">
        <is>
          <t>Compliant</t>
        </is>
      </c>
    </row>
    <row r="39" ht="22" customHeight="1">
      <c r="B39" s="14" t="n">
        <v>35</v>
      </c>
      <c r="C39" s="15" t="inlineStr"/>
      <c r="D39" s="16" t="inlineStr"/>
      <c r="E39" s="16" t="inlineStr"/>
      <c r="F39" s="16" t="inlineStr"/>
      <c r="G39" s="16" t="inlineStr">
        <is>
          <t>Hosteller</t>
        </is>
      </c>
      <c r="H39" s="16" t="inlineStr">
        <is>
          <t>Y</t>
        </is>
      </c>
      <c r="I39" s="16" t="inlineStr">
        <is>
          <t>Y</t>
        </is>
      </c>
      <c r="J39" s="16" t="inlineStr"/>
      <c r="K39" s="16" t="inlineStr">
        <is>
          <t>Compliant</t>
        </is>
      </c>
    </row>
    <row r="40" ht="22" customHeight="1">
      <c r="B40" s="8" t="n">
        <v>36</v>
      </c>
      <c r="C40" s="9" t="inlineStr"/>
      <c r="D40" s="10" t="inlineStr"/>
      <c r="E40" s="10" t="inlineStr"/>
      <c r="F40" s="10" t="inlineStr"/>
      <c r="G40" s="10" t="inlineStr">
        <is>
          <t>Hosteller</t>
        </is>
      </c>
      <c r="H40" s="10" t="inlineStr">
        <is>
          <t>Y</t>
        </is>
      </c>
      <c r="I40" s="10" t="inlineStr">
        <is>
          <t>Y</t>
        </is>
      </c>
      <c r="J40" s="10" t="inlineStr"/>
      <c r="K40" s="10" t="inlineStr">
        <is>
          <t>Compliant</t>
        </is>
      </c>
    </row>
    <row r="41" ht="22" customHeight="1"/>
    <row r="42" ht="24" customHeight="1">
      <c r="B42" s="36" t="inlineStr">
        <is>
          <t>UNDERTAKING COMPLIANCE SUMMARY</t>
        </is>
      </c>
    </row>
    <row r="43">
      <c r="B43" s="40" t="inlineStr">
        <is>
          <t>Total Students in Institution</t>
        </is>
      </c>
      <c r="F43" s="38">
        <f>COUNTA(B5:B40)</f>
        <v/>
      </c>
    </row>
    <row r="44">
      <c r="B44" s="27" t="inlineStr">
        <is>
          <t>Physical Undertaking Submitted</t>
        </is>
      </c>
      <c r="F44" s="39">
        <f>COUNTIF(H5:H40,"Y")</f>
        <v/>
      </c>
    </row>
    <row r="45">
      <c r="B45" s="40" t="inlineStr">
        <is>
          <t>Online Undertaking Submitted</t>
        </is>
      </c>
      <c r="F45" s="38">
        <f>COUNTIF(I5:I40,"Y")</f>
        <v/>
      </c>
    </row>
    <row r="46">
      <c r="B46" s="27" t="inlineStr">
        <is>
          <t>Both Compliant</t>
        </is>
      </c>
      <c r="F46" s="39">
        <f>COUNTIF(K5:K40,"Compliant")</f>
        <v/>
      </c>
    </row>
    <row r="47">
      <c r="B47" s="40" t="inlineStr">
        <is>
          <t>Pending — Physical</t>
        </is>
      </c>
      <c r="F47" s="38">
        <f>COUNTIF(H5:H40,"N")</f>
        <v/>
      </c>
    </row>
    <row r="48">
      <c r="B48" s="27" t="inlineStr">
        <is>
          <t>Compliance Rate (%)</t>
        </is>
      </c>
      <c r="F48" s="39">
        <f>IFERROR(ROUND(C47/C43*100,1),"")</f>
        <v/>
      </c>
    </row>
  </sheetData>
  <mergeCells count="15">
    <mergeCell ref="B45:E45"/>
    <mergeCell ref="F47:K47"/>
    <mergeCell ref="B46:E46"/>
    <mergeCell ref="F46:K46"/>
    <mergeCell ref="B43:E43"/>
    <mergeCell ref="B44:E44"/>
    <mergeCell ref="F45:K45"/>
    <mergeCell ref="B48:E48"/>
    <mergeCell ref="B47:E47"/>
    <mergeCell ref="F43:K43"/>
    <mergeCell ref="B2:K2"/>
    <mergeCell ref="B42:K42"/>
    <mergeCell ref="F48:K48"/>
    <mergeCell ref="B3:K3"/>
    <mergeCell ref="F44:K4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ARC-08: ANTI-RAGGING AWARENESS PROGRAMME REGISTER</t>
        </is>
      </c>
    </row>
    <row r="3" ht="25" customHeight="1">
      <c r="B3" s="2" t="inlineStr">
        <is>
          <t>A.Y.: _______  ARC Coordinator: ___________________  NAAC Ref.: Criterion V.3 / Student Welfare</t>
        </is>
      </c>
    </row>
    <row r="4" ht="25" customHeight="1">
      <c r="B4" s="20" t="inlineStr">
        <is>
          <t>Sl.</t>
        </is>
      </c>
      <c r="C4" s="20" t="inlineStr">
        <is>
          <t>Programme Title</t>
        </is>
      </c>
      <c r="D4" s="20" t="inlineStr">
        <is>
          <t>Type / Theme</t>
        </is>
      </c>
      <c r="E4" s="20" t="inlineStr">
        <is>
          <t>Date</t>
        </is>
      </c>
      <c r="F4" s="20" t="inlineStr">
        <is>
          <t>Target Audience</t>
        </is>
      </c>
      <c r="G4" s="20" t="inlineStr">
        <is>
          <t>Mode</t>
        </is>
      </c>
      <c r="H4" s="20" t="inlineStr">
        <is>
          <t>Students
Reached</t>
        </is>
      </c>
      <c r="I4" s="20" t="inlineStr">
        <is>
          <t>Resource
Person</t>
        </is>
      </c>
      <c r="J4" s="20" t="inlineStr">
        <is>
          <t>Feedback
Score (/5)</t>
        </is>
      </c>
    </row>
    <row r="5" ht="22" customHeight="1">
      <c r="B5" s="14" t="n">
        <v>1</v>
      </c>
      <c r="C5" s="15" t="inlineStr">
        <is>
          <t>Student Orientation — Anti-Ragging Pledge</t>
        </is>
      </c>
      <c r="D5" s="16" t="inlineStr">
        <is>
          <t>Zero-Tolerance Policy</t>
        </is>
      </c>
      <c r="E5" s="16" t="inlineStr">
        <is>
          <t>July</t>
        </is>
      </c>
      <c r="F5" s="15" t="inlineStr">
        <is>
          <t>All New Students — Mandatory</t>
        </is>
      </c>
      <c r="G5" s="16" t="inlineStr">
        <is>
          <t>Physical</t>
        </is>
      </c>
      <c r="H5" s="16" t="inlineStr"/>
      <c r="I5" s="15" t="inlineStr"/>
      <c r="J5" s="16" t="inlineStr"/>
    </row>
    <row r="6" ht="22" customHeight="1">
      <c r="B6" s="8" t="n">
        <v>2</v>
      </c>
      <c r="C6" s="9" t="inlineStr">
        <is>
          <t>What is Ragging? — Types and Legal Consequences</t>
        </is>
      </c>
      <c r="D6" s="10" t="inlineStr">
        <is>
          <t>Legal Awareness</t>
        </is>
      </c>
      <c r="E6" s="10" t="inlineStr">
        <is>
          <t>July</t>
        </is>
      </c>
      <c r="F6" s="9" t="inlineStr">
        <is>
          <t>All Students</t>
        </is>
      </c>
      <c r="G6" s="10" t="inlineStr">
        <is>
          <t>Physical</t>
        </is>
      </c>
      <c r="H6" s="10" t="inlineStr"/>
      <c r="I6" s="9" t="inlineStr"/>
      <c r="J6" s="10" t="inlineStr"/>
    </row>
    <row r="7" ht="22" customHeight="1">
      <c r="B7" s="14" t="n">
        <v>3</v>
      </c>
      <c r="C7" s="15" t="inlineStr">
        <is>
          <t>UGC Helpline &amp; Complaint Process Awareness</t>
        </is>
      </c>
      <c r="D7" s="16" t="inlineStr">
        <is>
          <t>Complaint Mechanism</t>
        </is>
      </c>
      <c r="E7" s="16" t="inlineStr">
        <is>
          <t>August</t>
        </is>
      </c>
      <c r="F7" s="15" t="inlineStr">
        <is>
          <t>All Students</t>
        </is>
      </c>
      <c r="G7" s="16" t="inlineStr">
        <is>
          <t>Physical</t>
        </is>
      </c>
      <c r="H7" s="16" t="inlineStr"/>
      <c r="I7" s="15" t="inlineStr"/>
      <c r="J7" s="16" t="inlineStr"/>
    </row>
    <row r="8" ht="22" customHeight="1">
      <c r="B8" s="8" t="n">
        <v>4</v>
      </c>
      <c r="C8" s="9" t="inlineStr">
        <is>
          <t>Peer Leadership Programme — Student Ambassadors</t>
        </is>
      </c>
      <c r="D8" s="10" t="inlineStr">
        <is>
          <t>Peer Prevention</t>
        </is>
      </c>
      <c r="E8" s="10" t="inlineStr">
        <is>
          <t>August</t>
        </is>
      </c>
      <c r="F8" s="9" t="inlineStr">
        <is>
          <t>Senior Students</t>
        </is>
      </c>
      <c r="G8" s="10" t="inlineStr">
        <is>
          <t>Physical</t>
        </is>
      </c>
      <c r="H8" s="10" t="inlineStr"/>
      <c r="I8" s="9" t="inlineStr"/>
      <c r="J8" s="10" t="inlineStr"/>
    </row>
    <row r="9" ht="22" customHeight="1">
      <c r="B9" s="14" t="n">
        <v>5</v>
      </c>
      <c r="C9" s="15" t="inlineStr">
        <is>
          <t>Hostel Anti-Ragging Awareness — Warden Talk</t>
        </is>
      </c>
      <c r="D9" s="16" t="inlineStr">
        <is>
          <t>Hostel Safety</t>
        </is>
      </c>
      <c r="E9" s="16" t="inlineStr">
        <is>
          <t>August</t>
        </is>
      </c>
      <c r="F9" s="15" t="inlineStr">
        <is>
          <t>Hostel Students</t>
        </is>
      </c>
      <c r="G9" s="16" t="inlineStr">
        <is>
          <t>Physical</t>
        </is>
      </c>
      <c r="H9" s="16" t="inlineStr"/>
      <c r="I9" s="15" t="inlineStr"/>
      <c r="J9" s="16" t="inlineStr"/>
    </row>
    <row r="10" ht="22" customHeight="1">
      <c r="B10" s="8" t="n">
        <v>6</v>
      </c>
      <c r="C10" s="9" t="inlineStr">
        <is>
          <t>Faculty Sensitisation Workshop</t>
        </is>
      </c>
      <c r="D10" s="10" t="inlineStr">
        <is>
          <t>Staff Awareness</t>
        </is>
      </c>
      <c r="E10" s="10" t="inlineStr">
        <is>
          <t>August</t>
        </is>
      </c>
      <c r="F10" s="9" t="inlineStr">
        <is>
          <t>All Faculty &amp; Staff</t>
        </is>
      </c>
      <c r="G10" s="10" t="inlineStr">
        <is>
          <t>Physical</t>
        </is>
      </c>
      <c r="H10" s="10" t="inlineStr"/>
      <c r="I10" s="9" t="inlineStr"/>
      <c r="J10" s="10" t="inlineStr"/>
    </row>
    <row r="11" ht="22" customHeight="1">
      <c r="B11" s="14" t="n">
        <v>7</v>
      </c>
      <c r="C11" s="15" t="inlineStr">
        <is>
          <t>Interactive Session — Victim's Perspective</t>
        </is>
      </c>
      <c r="D11" s="16" t="inlineStr">
        <is>
          <t>Empathy Building</t>
        </is>
      </c>
      <c r="E11" s="16" t="inlineStr">
        <is>
          <t>September</t>
        </is>
      </c>
      <c r="F11" s="15" t="inlineStr">
        <is>
          <t>All Students</t>
        </is>
      </c>
      <c r="G11" s="16" t="inlineStr">
        <is>
          <t>Physical</t>
        </is>
      </c>
      <c r="H11" s="16" t="inlineStr"/>
      <c r="I11" s="15" t="inlineStr"/>
      <c r="J11" s="16" t="inlineStr"/>
    </row>
    <row r="12" ht="22" customHeight="1">
      <c r="B12" s="8" t="n">
        <v>8</v>
      </c>
      <c r="C12" s="9" t="inlineStr">
        <is>
          <t>Legal Rights of Students — Guest Lawyer Talk</t>
        </is>
      </c>
      <c r="D12" s="10" t="inlineStr">
        <is>
          <t>Legal Rights</t>
        </is>
      </c>
      <c r="E12" s="10" t="inlineStr">
        <is>
          <t>October</t>
        </is>
      </c>
      <c r="F12" s="9" t="inlineStr">
        <is>
          <t>Senior Students</t>
        </is>
      </c>
      <c r="G12" s="10" t="inlineStr">
        <is>
          <t>Physical</t>
        </is>
      </c>
      <c r="H12" s="10" t="inlineStr"/>
      <c r="I12" s="9" t="inlineStr"/>
      <c r="J12" s="10" t="inlineStr"/>
    </row>
    <row r="13" ht="22" customHeight="1">
      <c r="B13" s="14" t="n">
        <v>9</v>
      </c>
      <c r="C13" s="15" t="inlineStr">
        <is>
          <t>Short Film / Street Play on Anti-Ragging</t>
        </is>
      </c>
      <c r="D13" s="16" t="inlineStr">
        <is>
          <t>Creative Awareness</t>
        </is>
      </c>
      <c r="E13" s="16" t="inlineStr">
        <is>
          <t>October</t>
        </is>
      </c>
      <c r="F13" s="15" t="inlineStr">
        <is>
          <t>All Students</t>
        </is>
      </c>
      <c r="G13" s="16" t="inlineStr">
        <is>
          <t>Physical</t>
        </is>
      </c>
      <c r="H13" s="16" t="inlineStr"/>
      <c r="I13" s="15" t="inlineStr"/>
      <c r="J13" s="16" t="inlineStr"/>
    </row>
    <row r="14" ht="22" customHeight="1">
      <c r="B14" s="8" t="n">
        <v>10</v>
      </c>
      <c r="C14" s="9" t="inlineStr">
        <is>
          <t>Parent Awareness Session on Ragging</t>
        </is>
      </c>
      <c r="D14" s="10" t="inlineStr">
        <is>
          <t>Parent Education</t>
        </is>
      </c>
      <c r="E14" s="10" t="inlineStr">
        <is>
          <t>November</t>
        </is>
      </c>
      <c r="F14" s="9" t="inlineStr">
        <is>
          <t>Parents / Guardians</t>
        </is>
      </c>
      <c r="G14" s="10" t="inlineStr">
        <is>
          <t>Physical</t>
        </is>
      </c>
      <c r="H14" s="10" t="inlineStr"/>
      <c r="I14" s="9" t="inlineStr"/>
      <c r="J14" s="10" t="inlineStr"/>
    </row>
    <row r="15" ht="22" customHeight="1">
      <c r="B15" s="14" t="n">
        <v>11</v>
      </c>
      <c r="C15" s="15" t="inlineStr">
        <is>
          <t>Online Quiz — Anti-Ragging Awareness</t>
        </is>
      </c>
      <c r="D15" s="16" t="inlineStr">
        <is>
          <t>Digital Awareness</t>
        </is>
      </c>
      <c r="E15" s="16" t="inlineStr">
        <is>
          <t>November</t>
        </is>
      </c>
      <c r="F15" s="15" t="inlineStr">
        <is>
          <t>All Students</t>
        </is>
      </c>
      <c r="G15" s="16" t="inlineStr">
        <is>
          <t>Physical</t>
        </is>
      </c>
      <c r="H15" s="16" t="inlineStr"/>
      <c r="I15" s="15" t="inlineStr"/>
      <c r="J15" s="16" t="inlineStr"/>
    </row>
    <row r="16" ht="22" customHeight="1">
      <c r="B16" s="8" t="n">
        <v>12</v>
      </c>
      <c r="C16" s="9" t="inlineStr">
        <is>
          <t>Freshers' Welcome — Senior Responsibility Session</t>
        </is>
      </c>
      <c r="D16" s="10" t="inlineStr">
        <is>
          <t>Induction</t>
        </is>
      </c>
      <c r="E16" s="10" t="inlineStr">
        <is>
          <t>Semester Start</t>
        </is>
      </c>
      <c r="F16" s="9" t="inlineStr">
        <is>
          <t>Final + 3rd Year</t>
        </is>
      </c>
      <c r="G16" s="10" t="inlineStr">
        <is>
          <t>Physical</t>
        </is>
      </c>
      <c r="H16" s="10" t="inlineStr"/>
      <c r="I16" s="9" t="inlineStr"/>
      <c r="J16" s="10" t="inlineStr"/>
    </row>
    <row r="17" ht="22" customHeight="1">
      <c r="B17" s="14" t="n">
        <v>13</v>
      </c>
      <c r="C17" s="15" t="inlineStr">
        <is>
          <t>Mental Health &amp; Peer Pressure Talk</t>
        </is>
      </c>
      <c r="D17" s="16" t="inlineStr">
        <is>
          <t>Psychological Wellbeing</t>
        </is>
      </c>
      <c r="E17" s="16" t="inlineStr">
        <is>
          <t>January</t>
        </is>
      </c>
      <c r="F17" s="15" t="inlineStr">
        <is>
          <t>All Students</t>
        </is>
      </c>
      <c r="G17" s="16" t="inlineStr">
        <is>
          <t>Physical</t>
        </is>
      </c>
      <c r="H17" s="16" t="inlineStr"/>
      <c r="I17" s="15" t="inlineStr"/>
      <c r="J17" s="16" t="inlineStr"/>
    </row>
    <row r="18" ht="22" customHeight="1">
      <c r="B18" s="8" t="n">
        <v>14</v>
      </c>
      <c r="C18" s="9" t="inlineStr">
        <is>
          <t>Republic Day — Anti-Ragging Pledge Renewal</t>
        </is>
      </c>
      <c r="D18" s="10" t="inlineStr">
        <is>
          <t>National Day Linkage</t>
        </is>
      </c>
      <c r="E18" s="10" t="inlineStr">
        <is>
          <t>January</t>
        </is>
      </c>
      <c r="F18" s="9" t="inlineStr">
        <is>
          <t>All Students</t>
        </is>
      </c>
      <c r="G18" s="10" t="inlineStr">
        <is>
          <t>Physical</t>
        </is>
      </c>
      <c r="H18" s="10" t="inlineStr"/>
      <c r="I18" s="9" t="inlineStr"/>
      <c r="J18" s="10" t="inlineStr"/>
    </row>
    <row r="19" ht="22" customHeight="1">
      <c r="B19" s="14" t="n">
        <v>15</v>
      </c>
      <c r="C19" s="15" t="inlineStr">
        <is>
          <t>Annual Report &amp; Statistics Sharing with Students</t>
        </is>
      </c>
      <c r="D19" s="16" t="inlineStr">
        <is>
          <t>Transparency</t>
        </is>
      </c>
      <c r="E19" s="16" t="inlineStr">
        <is>
          <t>March</t>
        </is>
      </c>
      <c r="F19" s="15" t="inlineStr">
        <is>
          <t>All Students</t>
        </is>
      </c>
      <c r="G19" s="16" t="inlineStr">
        <is>
          <t>Physical</t>
        </is>
      </c>
      <c r="H19" s="16" t="inlineStr"/>
      <c r="I19" s="15" t="inlineStr"/>
      <c r="J19" s="16" t="inlineStr"/>
    </row>
    <row r="20" ht="22" customHeight="1"/>
    <row r="21" ht="24" customHeight="1">
      <c r="B21" s="36" t="inlineStr">
        <is>
          <t>AWARENESS PROGRAMME IMPACT SUMMARY</t>
        </is>
      </c>
    </row>
    <row r="22" ht="22" customHeight="1">
      <c r="B22" s="40" t="inlineStr">
        <is>
          <t>Total Programmes Conducted</t>
        </is>
      </c>
      <c r="F22" s="38">
        <f>COUNTA(B5:B19)</f>
        <v/>
      </c>
    </row>
    <row r="23" ht="22" customHeight="1">
      <c r="B23" s="27" t="inlineStr">
        <is>
          <t>Total Students Reached</t>
        </is>
      </c>
      <c r="F23" s="39">
        <f>IFERROR(SUM(H5:H19),"")</f>
        <v/>
      </c>
    </row>
    <row r="24" ht="22" customHeight="1">
      <c r="B24" s="40" t="inlineStr">
        <is>
          <t>Average Feedback Score (/5)</t>
        </is>
      </c>
      <c r="F24" s="38">
        <f>IFERROR(ROUND(AVERAGE(J5:J19),2),"")</f>
        <v/>
      </c>
    </row>
    <row r="25" ht="22" customHeight="1">
      <c r="B25" s="27" t="inlineStr">
        <is>
          <t>Mandatory Sessions (Orientation)</t>
        </is>
      </c>
      <c r="F25" s="39">
        <f>COUNTIF(D5:D19,"Zero-Tolerance Policy")</f>
        <v/>
      </c>
    </row>
    <row r="26" ht="22" customHeight="1">
      <c r="B26" s="40" t="inlineStr">
        <is>
          <t>Parent Awareness Sessions</t>
        </is>
      </c>
      <c r="F26" s="38">
        <f>COUNTIF(D5:D19,"Parent Education")</f>
        <v/>
      </c>
    </row>
    <row r="27" ht="22" customHeight="1">
      <c r="B27" s="27" t="inlineStr">
        <is>
          <t>Programmes with Score &lt; 3.5</t>
        </is>
      </c>
      <c r="F27" s="39">
        <f>COUNTIF(J5:J19,"&lt;"&amp;3.5)</f>
        <v/>
      </c>
    </row>
    <row r="28" ht="22" customHeight="1"/>
    <row r="29" ht="22" customHeight="1"/>
    <row r="30" ht="22" customHeight="1"/>
    <row r="31" ht="22" customHeight="1"/>
  </sheetData>
  <mergeCells count="15">
    <mergeCell ref="B23:E23"/>
    <mergeCell ref="B26:E26"/>
    <mergeCell ref="B3:J3"/>
    <mergeCell ref="B27:E27"/>
    <mergeCell ref="F24:J24"/>
    <mergeCell ref="F23:J23"/>
    <mergeCell ref="F26:J26"/>
    <mergeCell ref="B21:J21"/>
    <mergeCell ref="F25:J25"/>
    <mergeCell ref="B25:E25"/>
    <mergeCell ref="F27:J27"/>
    <mergeCell ref="B24:E24"/>
    <mergeCell ref="F22:J22"/>
    <mergeCell ref="B22:E22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ARC-13: ANTI-RAGGING SQUAD DUTY REGISTER</t>
        </is>
      </c>
    </row>
    <row r="3" ht="20" customHeight="1">
      <c r="B3" s="17" t="inlineStr">
        <is>
          <t>UGC Mandate: Anti-Ragging Squad to patrol hostels, campus and sensitive areas especially during admission season (June-September) and start of each semester. Squad must be available 24×7 for response.</t>
        </is>
      </c>
    </row>
    <row r="4" ht="25" customHeight="1">
      <c r="B4" s="20" t="inlineStr">
        <is>
          <t>Duty
Ref.</t>
        </is>
      </c>
      <c r="C4" s="20" t="inlineStr">
        <is>
          <t>Date</t>
        </is>
      </c>
      <c r="D4" s="20" t="inlineStr">
        <is>
          <t>Shift
(Morning/Evening/Night)</t>
        </is>
      </c>
      <c r="E4" s="20" t="inlineStr">
        <is>
          <t>Area
Patrolled</t>
        </is>
      </c>
      <c r="F4" s="20" t="inlineStr">
        <is>
          <t>Squad
Member(s)</t>
        </is>
      </c>
      <c r="G4" s="20" t="inlineStr">
        <is>
          <t>Observation
/ Incident</t>
        </is>
      </c>
      <c r="H4" s="20" t="inlineStr">
        <is>
          <t>Action
Taken</t>
        </is>
      </c>
      <c r="I4" s="20" t="inlineStr">
        <is>
          <t>Suspicious
Activity
(Y/N)</t>
        </is>
      </c>
      <c r="J4" s="20" t="inlineStr">
        <is>
          <t>Supervisor
Signature</t>
        </is>
      </c>
    </row>
    <row r="5" ht="22" customHeight="1">
      <c r="B5" s="14" t="inlineStr">
        <is>
          <t>SQ/0001</t>
        </is>
      </c>
      <c r="C5" s="16" t="inlineStr"/>
      <c r="D5" s="16" t="inlineStr">
        <is>
          <t>Morning (6–10 AM)</t>
        </is>
      </c>
      <c r="E5" s="15" t="inlineStr">
        <is>
          <t>Boys Hostel — Rooms &amp; Corridors</t>
        </is>
      </c>
      <c r="F5" s="15" t="inlineStr"/>
      <c r="G5" s="15" t="inlineStr">
        <is>
          <t>Nil</t>
        </is>
      </c>
      <c r="H5" s="16" t="inlineStr">
        <is>
          <t>NIL</t>
        </is>
      </c>
      <c r="I5" s="16" t="inlineStr">
        <is>
          <t>N</t>
        </is>
      </c>
      <c r="J5" s="16" t="inlineStr"/>
    </row>
    <row r="6" ht="22" customHeight="1">
      <c r="B6" s="8" t="inlineStr">
        <is>
          <t>SQ/0002</t>
        </is>
      </c>
      <c r="C6" s="10" t="inlineStr"/>
      <c r="D6" s="10" t="inlineStr">
        <is>
          <t>Day (10 AM–4 PM)</t>
        </is>
      </c>
      <c r="E6" s="9" t="inlineStr">
        <is>
          <t>Girls Hostel — Entry &amp; Common Areas</t>
        </is>
      </c>
      <c r="F6" s="9" t="inlineStr"/>
      <c r="G6" s="9" t="inlineStr">
        <is>
          <t>Nil</t>
        </is>
      </c>
      <c r="H6" s="10" t="inlineStr">
        <is>
          <t>NIL</t>
        </is>
      </c>
      <c r="I6" s="10" t="inlineStr">
        <is>
          <t>N</t>
        </is>
      </c>
      <c r="J6" s="10" t="inlineStr"/>
    </row>
    <row r="7" ht="22" customHeight="1">
      <c r="B7" s="14" t="inlineStr">
        <is>
          <t>SQ/0003</t>
        </is>
      </c>
      <c r="C7" s="16" t="inlineStr"/>
      <c r="D7" s="16" t="inlineStr">
        <is>
          <t>Evening (4–9 PM)</t>
        </is>
      </c>
      <c r="E7" s="15" t="inlineStr">
        <is>
          <t>Academic Block — Corridors</t>
        </is>
      </c>
      <c r="F7" s="15" t="inlineStr"/>
      <c r="G7" s="15" t="inlineStr">
        <is>
          <t>Nil</t>
        </is>
      </c>
      <c r="H7" s="16" t="inlineStr">
        <is>
          <t>NIL</t>
        </is>
      </c>
      <c r="I7" s="16" t="inlineStr">
        <is>
          <t>N</t>
        </is>
      </c>
      <c r="J7" s="16" t="inlineStr"/>
    </row>
    <row r="8" ht="22" customHeight="1">
      <c r="B8" s="8" t="inlineStr">
        <is>
          <t>SQ/0004</t>
        </is>
      </c>
      <c r="C8" s="10" t="inlineStr"/>
      <c r="D8" s="10" t="inlineStr">
        <is>
          <t>Night (9 PM–6 AM)</t>
        </is>
      </c>
      <c r="E8" s="9" t="inlineStr">
        <is>
          <t>Canteen &amp; Surroundings</t>
        </is>
      </c>
      <c r="F8" s="9" t="inlineStr"/>
      <c r="G8" s="9" t="inlineStr">
        <is>
          <t>Nil</t>
        </is>
      </c>
      <c r="H8" s="10" t="inlineStr">
        <is>
          <t>NIL</t>
        </is>
      </c>
      <c r="I8" s="10" t="inlineStr">
        <is>
          <t>N</t>
        </is>
      </c>
      <c r="J8" s="10" t="inlineStr"/>
    </row>
    <row r="9" ht="22" customHeight="1">
      <c r="B9" s="14" t="inlineStr">
        <is>
          <t>SQ/0005</t>
        </is>
      </c>
      <c r="C9" s="16" t="inlineStr"/>
      <c r="D9" s="16" t="inlineStr">
        <is>
          <t>Morning (6–10 AM)</t>
        </is>
      </c>
      <c r="E9" s="15" t="inlineStr">
        <is>
          <t>Campus Entrance &amp; Gates</t>
        </is>
      </c>
      <c r="F9" s="15" t="inlineStr"/>
      <c r="G9" s="15" t="inlineStr">
        <is>
          <t>Nil</t>
        </is>
      </c>
      <c r="H9" s="16" t="inlineStr">
        <is>
          <t>NIL</t>
        </is>
      </c>
      <c r="I9" s="16" t="inlineStr">
        <is>
          <t>N</t>
        </is>
      </c>
      <c r="J9" s="16" t="inlineStr"/>
    </row>
    <row r="10" ht="22" customHeight="1">
      <c r="B10" s="8" t="inlineStr">
        <is>
          <t>SQ/0006</t>
        </is>
      </c>
      <c r="C10" s="10" t="inlineStr"/>
      <c r="D10" s="10" t="inlineStr">
        <is>
          <t>Day (10 AM–4 PM)</t>
        </is>
      </c>
      <c r="E10" s="9" t="inlineStr">
        <is>
          <t>Playground / Sports Area</t>
        </is>
      </c>
      <c r="F10" s="9" t="inlineStr"/>
      <c r="G10" s="9" t="inlineStr">
        <is>
          <t>Nil</t>
        </is>
      </c>
      <c r="H10" s="10" t="inlineStr">
        <is>
          <t>NIL</t>
        </is>
      </c>
      <c r="I10" s="10" t="inlineStr">
        <is>
          <t>N</t>
        </is>
      </c>
      <c r="J10" s="10" t="inlineStr"/>
    </row>
    <row r="11" ht="22" customHeight="1">
      <c r="B11" s="14" t="inlineStr">
        <is>
          <t>SQ/0007</t>
        </is>
      </c>
      <c r="C11" s="16" t="inlineStr"/>
      <c r="D11" s="16" t="inlineStr">
        <is>
          <t>Evening (4–9 PM)</t>
        </is>
      </c>
      <c r="E11" s="15" t="inlineStr">
        <is>
          <t>Library &amp; Common Areas</t>
        </is>
      </c>
      <c r="F11" s="15" t="inlineStr"/>
      <c r="G11" s="15" t="inlineStr">
        <is>
          <t>Nil</t>
        </is>
      </c>
      <c r="H11" s="16" t="inlineStr">
        <is>
          <t>NIL</t>
        </is>
      </c>
      <c r="I11" s="16" t="inlineStr">
        <is>
          <t>N</t>
        </is>
      </c>
      <c r="J11" s="16" t="inlineStr"/>
    </row>
    <row r="12" ht="22" customHeight="1">
      <c r="B12" s="8" t="inlineStr">
        <is>
          <t>SQ/0008</t>
        </is>
      </c>
      <c r="C12" s="10" t="inlineStr"/>
      <c r="D12" s="10" t="inlineStr">
        <is>
          <t>Night (9 PM–6 AM)</t>
        </is>
      </c>
      <c r="E12" s="9" t="inlineStr">
        <is>
          <t>Parking Area</t>
        </is>
      </c>
      <c r="F12" s="9" t="inlineStr"/>
      <c r="G12" s="9" t="inlineStr">
        <is>
          <t>Nil</t>
        </is>
      </c>
      <c r="H12" s="10" t="inlineStr">
        <is>
          <t>NIL</t>
        </is>
      </c>
      <c r="I12" s="10" t="inlineStr">
        <is>
          <t>N</t>
        </is>
      </c>
      <c r="J12" s="10" t="inlineStr"/>
    </row>
    <row r="13" ht="22" customHeight="1">
      <c r="B13" s="14" t="inlineStr">
        <is>
          <t>SQ/0009</t>
        </is>
      </c>
      <c r="C13" s="16" t="inlineStr"/>
      <c r="D13" s="16" t="inlineStr">
        <is>
          <t>Morning (6–10 AM)</t>
        </is>
      </c>
      <c r="E13" s="15" t="inlineStr">
        <is>
          <t>Labs &amp; Workshops</t>
        </is>
      </c>
      <c r="F13" s="15" t="inlineStr"/>
      <c r="G13" s="15" t="inlineStr">
        <is>
          <t>Nil</t>
        </is>
      </c>
      <c r="H13" s="16" t="inlineStr">
        <is>
          <t>NIL</t>
        </is>
      </c>
      <c r="I13" s="16" t="inlineStr">
        <is>
          <t>N</t>
        </is>
      </c>
      <c r="J13" s="16" t="inlineStr"/>
    </row>
    <row r="14" ht="22" customHeight="1">
      <c r="B14" s="8" t="inlineStr">
        <is>
          <t>SQ/0010</t>
        </is>
      </c>
      <c r="C14" s="10" t="inlineStr"/>
      <c r="D14" s="10" t="inlineStr">
        <is>
          <t>Day (10 AM–4 PM)</t>
        </is>
      </c>
      <c r="E14" s="9" t="inlineStr">
        <is>
          <t>Administrative Block</t>
        </is>
      </c>
      <c r="F14" s="9" t="inlineStr"/>
      <c r="G14" s="9" t="inlineStr">
        <is>
          <t>Nil</t>
        </is>
      </c>
      <c r="H14" s="10" t="inlineStr">
        <is>
          <t>NIL</t>
        </is>
      </c>
      <c r="I14" s="10" t="inlineStr">
        <is>
          <t>N</t>
        </is>
      </c>
      <c r="J14" s="10" t="inlineStr"/>
    </row>
    <row r="15" ht="22" customHeight="1">
      <c r="B15" s="14" t="inlineStr">
        <is>
          <t>SQ/0011</t>
        </is>
      </c>
      <c r="C15" s="16" t="inlineStr"/>
      <c r="D15" s="16" t="inlineStr">
        <is>
          <t>Evening (4–9 PM)</t>
        </is>
      </c>
      <c r="E15" s="15" t="inlineStr">
        <is>
          <t>Night Patrol — All Hostels</t>
        </is>
      </c>
      <c r="F15" s="15" t="inlineStr"/>
      <c r="G15" s="15" t="inlineStr">
        <is>
          <t>Nil</t>
        </is>
      </c>
      <c r="H15" s="16" t="inlineStr">
        <is>
          <t>NIL</t>
        </is>
      </c>
      <c r="I15" s="16" t="inlineStr">
        <is>
          <t>N</t>
        </is>
      </c>
      <c r="J15" s="16" t="inlineStr"/>
    </row>
    <row r="16" ht="22" customHeight="1">
      <c r="B16" s="8" t="inlineStr">
        <is>
          <t>SQ/0012</t>
        </is>
      </c>
      <c r="C16" s="10" t="inlineStr"/>
      <c r="D16" s="10" t="inlineStr">
        <is>
          <t>Night (9 PM–6 AM)</t>
        </is>
      </c>
      <c r="E16" s="9" t="inlineStr">
        <is>
          <t>Random Campus Check</t>
        </is>
      </c>
      <c r="F16" s="9" t="inlineStr"/>
      <c r="G16" s="9" t="inlineStr">
        <is>
          <t>Nil</t>
        </is>
      </c>
      <c r="H16" s="10" t="inlineStr">
        <is>
          <t>NIL</t>
        </is>
      </c>
      <c r="I16" s="10" t="inlineStr">
        <is>
          <t>N</t>
        </is>
      </c>
      <c r="J16" s="10" t="inlineStr"/>
    </row>
    <row r="17" ht="22" customHeight="1">
      <c r="B17" s="14" t="inlineStr">
        <is>
          <t>SQ/0013</t>
        </is>
      </c>
      <c r="C17" s="16" t="inlineStr"/>
      <c r="D17" s="16" t="inlineStr">
        <is>
          <t>Morning (6–10 AM)</t>
        </is>
      </c>
      <c r="E17" s="15" t="inlineStr">
        <is>
          <t>Boys Hostel — Rooms &amp; Corridors</t>
        </is>
      </c>
      <c r="F17" s="15" t="inlineStr"/>
      <c r="G17" s="15" t="inlineStr">
        <is>
          <t>Nil</t>
        </is>
      </c>
      <c r="H17" s="16" t="inlineStr">
        <is>
          <t>NIL</t>
        </is>
      </c>
      <c r="I17" s="16" t="inlineStr">
        <is>
          <t>N</t>
        </is>
      </c>
      <c r="J17" s="16" t="inlineStr"/>
    </row>
    <row r="18" ht="22" customHeight="1">
      <c r="B18" s="8" t="inlineStr">
        <is>
          <t>SQ/0014</t>
        </is>
      </c>
      <c r="C18" s="10" t="inlineStr"/>
      <c r="D18" s="10" t="inlineStr">
        <is>
          <t>Day (10 AM–4 PM)</t>
        </is>
      </c>
      <c r="E18" s="9" t="inlineStr">
        <is>
          <t>Girls Hostel — Entry &amp; Common Areas</t>
        </is>
      </c>
      <c r="F18" s="9" t="inlineStr"/>
      <c r="G18" s="9" t="inlineStr">
        <is>
          <t>Nil</t>
        </is>
      </c>
      <c r="H18" s="10" t="inlineStr">
        <is>
          <t>NIL</t>
        </is>
      </c>
      <c r="I18" s="10" t="inlineStr">
        <is>
          <t>N</t>
        </is>
      </c>
      <c r="J18" s="10" t="inlineStr"/>
    </row>
    <row r="19" ht="22" customHeight="1">
      <c r="B19" s="14" t="inlineStr">
        <is>
          <t>SQ/0015</t>
        </is>
      </c>
      <c r="C19" s="16" t="inlineStr"/>
      <c r="D19" s="16" t="inlineStr">
        <is>
          <t>Evening (4–9 PM)</t>
        </is>
      </c>
      <c r="E19" s="15" t="inlineStr">
        <is>
          <t>Academic Block — Corridors</t>
        </is>
      </c>
      <c r="F19" s="15" t="inlineStr"/>
      <c r="G19" s="15" t="inlineStr">
        <is>
          <t>Nil</t>
        </is>
      </c>
      <c r="H19" s="16" t="inlineStr">
        <is>
          <t>NIL</t>
        </is>
      </c>
      <c r="I19" s="16" t="inlineStr">
        <is>
          <t>N</t>
        </is>
      </c>
      <c r="J19" s="16" t="inlineStr"/>
    </row>
    <row r="20" ht="22" customHeight="1">
      <c r="B20" s="8" t="inlineStr">
        <is>
          <t>SQ/0016</t>
        </is>
      </c>
      <c r="C20" s="10" t="inlineStr"/>
      <c r="D20" s="10" t="inlineStr">
        <is>
          <t>Night (9 PM–6 AM)</t>
        </is>
      </c>
      <c r="E20" s="9" t="inlineStr">
        <is>
          <t>Canteen &amp; Surroundings</t>
        </is>
      </c>
      <c r="F20" s="9" t="inlineStr"/>
      <c r="G20" s="9" t="inlineStr">
        <is>
          <t>Nil</t>
        </is>
      </c>
      <c r="H20" s="10" t="inlineStr">
        <is>
          <t>NIL</t>
        </is>
      </c>
      <c r="I20" s="10" t="inlineStr">
        <is>
          <t>N</t>
        </is>
      </c>
      <c r="J20" s="10" t="inlineStr"/>
    </row>
    <row r="21" ht="22" customHeight="1">
      <c r="B21" s="14" t="inlineStr">
        <is>
          <t>SQ/0017</t>
        </is>
      </c>
      <c r="C21" s="16" t="inlineStr"/>
      <c r="D21" s="16" t="inlineStr">
        <is>
          <t>Morning (6–10 AM)</t>
        </is>
      </c>
      <c r="E21" s="15" t="inlineStr">
        <is>
          <t>Campus Entrance &amp; Gates</t>
        </is>
      </c>
      <c r="F21" s="15" t="inlineStr"/>
      <c r="G21" s="15" t="inlineStr">
        <is>
          <t>Nil</t>
        </is>
      </c>
      <c r="H21" s="16" t="inlineStr">
        <is>
          <t>NIL</t>
        </is>
      </c>
      <c r="I21" s="16" t="inlineStr">
        <is>
          <t>N</t>
        </is>
      </c>
      <c r="J21" s="16" t="inlineStr"/>
    </row>
    <row r="22" ht="22" customHeight="1">
      <c r="B22" s="8" t="inlineStr">
        <is>
          <t>SQ/0018</t>
        </is>
      </c>
      <c r="C22" s="10" t="inlineStr"/>
      <c r="D22" s="10" t="inlineStr">
        <is>
          <t>Day (10 AM–4 PM)</t>
        </is>
      </c>
      <c r="E22" s="9" t="inlineStr">
        <is>
          <t>Playground / Sports Area</t>
        </is>
      </c>
      <c r="F22" s="9" t="inlineStr"/>
      <c r="G22" s="9" t="inlineStr">
        <is>
          <t>Nil</t>
        </is>
      </c>
      <c r="H22" s="10" t="inlineStr">
        <is>
          <t>NIL</t>
        </is>
      </c>
      <c r="I22" s="10" t="inlineStr">
        <is>
          <t>N</t>
        </is>
      </c>
      <c r="J22" s="10" t="inlineStr"/>
    </row>
    <row r="23" ht="22" customHeight="1">
      <c r="B23" s="14" t="inlineStr">
        <is>
          <t>SQ/0019</t>
        </is>
      </c>
      <c r="C23" s="16" t="inlineStr"/>
      <c r="D23" s="16" t="inlineStr">
        <is>
          <t>Evening (4–9 PM)</t>
        </is>
      </c>
      <c r="E23" s="15" t="inlineStr">
        <is>
          <t>Library &amp; Common Areas</t>
        </is>
      </c>
      <c r="F23" s="15" t="inlineStr"/>
      <c r="G23" s="15" t="inlineStr">
        <is>
          <t>Nil</t>
        </is>
      </c>
      <c r="H23" s="16" t="inlineStr">
        <is>
          <t>NIL</t>
        </is>
      </c>
      <c r="I23" s="16" t="inlineStr">
        <is>
          <t>N</t>
        </is>
      </c>
      <c r="J23" s="16" t="inlineStr"/>
    </row>
    <row r="24" ht="22" customHeight="1">
      <c r="B24" s="8" t="inlineStr">
        <is>
          <t>SQ/0020</t>
        </is>
      </c>
      <c r="C24" s="10" t="inlineStr"/>
      <c r="D24" s="10" t="inlineStr">
        <is>
          <t>Night (9 PM–6 AM)</t>
        </is>
      </c>
      <c r="E24" s="9" t="inlineStr">
        <is>
          <t>Parking Area</t>
        </is>
      </c>
      <c r="F24" s="9" t="inlineStr"/>
      <c r="G24" s="9" t="inlineStr">
        <is>
          <t>Nil</t>
        </is>
      </c>
      <c r="H24" s="10" t="inlineStr">
        <is>
          <t>NIL</t>
        </is>
      </c>
      <c r="I24" s="10" t="inlineStr">
        <is>
          <t>N</t>
        </is>
      </c>
      <c r="J24" s="10" t="inlineStr"/>
    </row>
    <row r="25" ht="22" customHeight="1">
      <c r="B25" s="14" t="inlineStr">
        <is>
          <t>SQ/0021</t>
        </is>
      </c>
      <c r="C25" s="16" t="inlineStr"/>
      <c r="D25" s="16" t="inlineStr">
        <is>
          <t>Morning (6–10 AM)</t>
        </is>
      </c>
      <c r="E25" s="15" t="inlineStr">
        <is>
          <t>Labs &amp; Workshops</t>
        </is>
      </c>
      <c r="F25" s="15" t="inlineStr"/>
      <c r="G25" s="15" t="inlineStr">
        <is>
          <t>Nil</t>
        </is>
      </c>
      <c r="H25" s="16" t="inlineStr">
        <is>
          <t>NIL</t>
        </is>
      </c>
      <c r="I25" s="16" t="inlineStr">
        <is>
          <t>N</t>
        </is>
      </c>
      <c r="J25" s="16" t="inlineStr"/>
    </row>
    <row r="26" ht="22" customHeight="1">
      <c r="B26" s="8" t="inlineStr">
        <is>
          <t>SQ/0022</t>
        </is>
      </c>
      <c r="C26" s="10" t="inlineStr"/>
      <c r="D26" s="10" t="inlineStr">
        <is>
          <t>Day (10 AM–4 PM)</t>
        </is>
      </c>
      <c r="E26" s="9" t="inlineStr">
        <is>
          <t>Administrative Block</t>
        </is>
      </c>
      <c r="F26" s="9" t="inlineStr"/>
      <c r="G26" s="9" t="inlineStr">
        <is>
          <t>Nil</t>
        </is>
      </c>
      <c r="H26" s="10" t="inlineStr">
        <is>
          <t>NIL</t>
        </is>
      </c>
      <c r="I26" s="10" t="inlineStr">
        <is>
          <t>N</t>
        </is>
      </c>
      <c r="J26" s="10" t="inlineStr"/>
    </row>
    <row r="27" ht="22" customHeight="1">
      <c r="B27" s="14" t="inlineStr">
        <is>
          <t>SQ/0023</t>
        </is>
      </c>
      <c r="C27" s="16" t="inlineStr"/>
      <c r="D27" s="16" t="inlineStr">
        <is>
          <t>Evening (4–9 PM)</t>
        </is>
      </c>
      <c r="E27" s="15" t="inlineStr">
        <is>
          <t>Night Patrol — All Hostels</t>
        </is>
      </c>
      <c r="F27" s="15" t="inlineStr"/>
      <c r="G27" s="15" t="inlineStr">
        <is>
          <t>Nil</t>
        </is>
      </c>
      <c r="H27" s="16" t="inlineStr">
        <is>
          <t>NIL</t>
        </is>
      </c>
      <c r="I27" s="16" t="inlineStr">
        <is>
          <t>N</t>
        </is>
      </c>
      <c r="J27" s="16" t="inlineStr"/>
    </row>
    <row r="28" ht="22" customHeight="1">
      <c r="B28" s="8" t="inlineStr">
        <is>
          <t>SQ/0024</t>
        </is>
      </c>
      <c r="C28" s="10" t="inlineStr"/>
      <c r="D28" s="10" t="inlineStr">
        <is>
          <t>Night (9 PM–6 AM)</t>
        </is>
      </c>
      <c r="E28" s="9" t="inlineStr">
        <is>
          <t>Random Campus Check</t>
        </is>
      </c>
      <c r="F28" s="9" t="inlineStr"/>
      <c r="G28" s="9" t="inlineStr">
        <is>
          <t>Nil</t>
        </is>
      </c>
      <c r="H28" s="10" t="inlineStr">
        <is>
          <t>NIL</t>
        </is>
      </c>
      <c r="I28" s="10" t="inlineStr">
        <is>
          <t>N</t>
        </is>
      </c>
      <c r="J28" s="10" t="inlineStr"/>
    </row>
    <row r="29" ht="22" customHeight="1">
      <c r="B29" s="14" t="inlineStr">
        <is>
          <t>SQ/0025</t>
        </is>
      </c>
      <c r="C29" s="16" t="inlineStr"/>
      <c r="D29" s="16" t="inlineStr">
        <is>
          <t>Morning (6–10 AM)</t>
        </is>
      </c>
      <c r="E29" s="15" t="inlineStr">
        <is>
          <t>Boys Hostel — Rooms &amp; Corridors</t>
        </is>
      </c>
      <c r="F29" s="15" t="inlineStr"/>
      <c r="G29" s="15" t="inlineStr">
        <is>
          <t>Nil</t>
        </is>
      </c>
      <c r="H29" s="16" t="inlineStr">
        <is>
          <t>NIL</t>
        </is>
      </c>
      <c r="I29" s="16" t="inlineStr">
        <is>
          <t>N</t>
        </is>
      </c>
      <c r="J29" s="16" t="inlineStr"/>
    </row>
    <row r="30" ht="22" customHeight="1">
      <c r="B30" s="8" t="inlineStr">
        <is>
          <t>SQ/0026</t>
        </is>
      </c>
      <c r="C30" s="10" t="inlineStr"/>
      <c r="D30" s="10" t="inlineStr">
        <is>
          <t>Day (10 AM–4 PM)</t>
        </is>
      </c>
      <c r="E30" s="9" t="inlineStr">
        <is>
          <t>Girls Hostel — Entry &amp; Common Areas</t>
        </is>
      </c>
      <c r="F30" s="9" t="inlineStr"/>
      <c r="G30" s="9" t="inlineStr">
        <is>
          <t>Nil</t>
        </is>
      </c>
      <c r="H30" s="10" t="inlineStr">
        <is>
          <t>NIL</t>
        </is>
      </c>
      <c r="I30" s="10" t="inlineStr">
        <is>
          <t>N</t>
        </is>
      </c>
      <c r="J30" s="10" t="inlineStr"/>
    </row>
    <row r="31" ht="22" customHeight="1"/>
    <row r="32" ht="24" customHeight="1">
      <c r="B32" s="36" t="inlineStr">
        <is>
          <t>PATROL SUMMARY</t>
        </is>
      </c>
    </row>
    <row r="33" ht="22" customHeight="1">
      <c r="B33" s="40" t="inlineStr">
        <is>
          <t>Total Patrol Duties Conducted</t>
        </is>
      </c>
      <c r="F33" s="38">
        <f>COUNTA(B5:B30)</f>
        <v/>
      </c>
    </row>
    <row r="34">
      <c r="B34" s="27" t="inlineStr">
        <is>
          <t>Night Patrols</t>
        </is>
      </c>
      <c r="F34" s="39">
        <f>COUNTIF(D5:D30,"Night (9 PM–6 AM)")</f>
        <v/>
      </c>
    </row>
    <row r="35">
      <c r="B35" s="40" t="inlineStr">
        <is>
          <t>Duties with Suspicious Activity</t>
        </is>
      </c>
      <c r="F35" s="38">
        <f>COUNTIF(I5:I30,"Y")</f>
        <v/>
      </c>
    </row>
    <row r="36">
      <c r="B36" s="27" t="inlineStr">
        <is>
          <t>Incidents Reported</t>
        </is>
      </c>
      <c r="F36" s="39">
        <f>COUNTIF(G5:G30,"&lt;&gt;"&amp;"Nil")</f>
        <v/>
      </c>
    </row>
    <row r="37">
      <c r="B37" s="40" t="inlineStr">
        <is>
          <t>Boys Hostel Patrols</t>
        </is>
      </c>
      <c r="F37" s="38">
        <f>COUNTIF(E5:E30,"Boys Hostel — Rooms &amp; Corridors")</f>
        <v/>
      </c>
    </row>
    <row r="38">
      <c r="B38" s="27" t="inlineStr">
        <is>
          <t>Average Duties per Week</t>
        </is>
      </c>
      <c r="F38" s="39" t="inlineStr"/>
    </row>
  </sheetData>
  <mergeCells count="15">
    <mergeCell ref="B3:J3"/>
    <mergeCell ref="B35:E35"/>
    <mergeCell ref="F37:J37"/>
    <mergeCell ref="F34:J34"/>
    <mergeCell ref="B37:E37"/>
    <mergeCell ref="F38:J38"/>
    <mergeCell ref="B32:J32"/>
    <mergeCell ref="B38:E38"/>
    <mergeCell ref="F36:J36"/>
    <mergeCell ref="B33:E33"/>
    <mergeCell ref="F33:J33"/>
    <mergeCell ref="B34:E34"/>
    <mergeCell ref="F35:J35"/>
    <mergeCell ref="B36:E36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2" t="inlineStr">
        <is>
          <t>ARC-17: RAGGING COMPLAINT / INCIDENT REPORT FORM</t>
        </is>
      </c>
    </row>
    <row r="3" ht="18" customHeight="1">
      <c r="B3" s="24" t="inlineStr">
        <is>
          <t>STRICTLY CONFIDENTIAL — Victim identity protected. Access: ARC members &amp; Principal only. Retain for minimum 5 years.</t>
        </is>
      </c>
    </row>
    <row r="4" ht="22" customHeight="1">
      <c r="B4" s="13" t="inlineStr">
        <is>
          <t>LEGAL MANDATE: UGC Regulations on Curbing the Menace of Ragging in Higher Educational Institutions, 2009 | Supreme Court Order in SLP No. 24295/2006 (Vishwa Jagriti Mission vs. Central Govt.) | IPC Sections 323, 339, 340, 341, 506 may apply</t>
        </is>
      </c>
    </row>
    <row r="5" ht="25" customHeight="1">
      <c r="B5" s="2" t="inlineStr">
        <is>
          <t>Complaint Ref.: ARC/COMP/______/______   Received by: _______   Date: _______   Time: _______   Mode: [ ] Written  [ ] Verbal  [ ] Online  [ ] Phone  [ ] Anonymous</t>
        </is>
      </c>
    </row>
    <row r="6" ht="24" customHeight="1">
      <c r="B6" s="19" t="inlineStr">
        <is>
          <t>SECTION A — COMPLAINANT DETAILS</t>
        </is>
      </c>
    </row>
    <row r="7" ht="26" customHeight="1">
      <c r="B7" s="41" t="inlineStr">
        <is>
          <t>Complainant Type:</t>
        </is>
      </c>
      <c r="C7" s="42" t="inlineStr">
        <is>
          <t>[ ] Victim (Self)  [ ] Witness  [ ] Faculty / Staff  [ ] Parent  [ ] Anonymous</t>
        </is>
      </c>
    </row>
    <row r="8" ht="26" customHeight="1">
      <c r="B8" s="41" t="inlineStr">
        <is>
          <t>Complainant Name (if not anonymous):</t>
        </is>
      </c>
      <c r="C8" s="9" t="n"/>
    </row>
    <row r="9" ht="26" customHeight="1">
      <c r="B9" s="41" t="inlineStr">
        <is>
          <t>Designation / Relationship:</t>
        </is>
      </c>
      <c r="C9" s="9" t="n"/>
    </row>
    <row r="10" ht="26" customHeight="1">
      <c r="B10" s="41" t="inlineStr">
        <is>
          <t>Contact Number:</t>
        </is>
      </c>
      <c r="C10" s="9" t="n"/>
    </row>
    <row r="11" ht="26" customHeight="1">
      <c r="B11" s="41" t="inlineStr">
        <is>
          <t>Email:</t>
        </is>
      </c>
      <c r="C11" s="9" t="n"/>
    </row>
    <row r="12" ht="26" customHeight="1">
      <c r="B12" s="41" t="inlineStr">
        <is>
          <t>Willing to be identified as complainant?</t>
        </is>
      </c>
      <c r="C12" s="42" t="inlineStr">
        <is>
          <t>[ ] Yes  [ ] No — Anonymous proceedings requested</t>
        </is>
      </c>
    </row>
    <row r="13" ht="28" customHeight="1"/>
    <row r="14" ht="24" customHeight="1">
      <c r="B14" s="43" t="inlineStr">
        <is>
          <t>SECTION B — VICTIM DETAILS</t>
        </is>
      </c>
    </row>
    <row r="15" ht="28" customHeight="1">
      <c r="B15" s="44" t="inlineStr">
        <is>
          <t>Victim Name(s) — Code Only if Anonymous:</t>
        </is>
      </c>
      <c r="C15" s="9" t="n"/>
    </row>
    <row r="16" ht="28" customHeight="1">
      <c r="B16" s="44" t="inlineStr">
        <is>
          <t>Roll No. / Programme:</t>
        </is>
      </c>
      <c r="C16" s="9" t="n"/>
    </row>
    <row r="17" ht="28" customHeight="1">
      <c r="B17" s="44" t="inlineStr">
        <is>
          <t>Department / Year:</t>
        </is>
      </c>
      <c r="C17" s="9" t="n"/>
    </row>
    <row r="18" ht="28" customHeight="1">
      <c r="B18" s="44" t="inlineStr">
        <is>
          <t>Category:</t>
        </is>
      </c>
      <c r="C18" s="42" t="inlineStr">
        <is>
          <t>[ ] Day Scholar  [ ] Hosteller — Room No.: _______</t>
        </is>
      </c>
    </row>
    <row r="19" ht="28" customHeight="1">
      <c r="B19" s="44" t="inlineStr">
        <is>
          <t>Victim's Current Condition:</t>
        </is>
      </c>
      <c r="C19" s="42" t="inlineStr">
        <is>
          <t>[ ] Physically Unharmed  [ ] Physical Injury  [ ] Psychological Trauma  [ ] Medical Attention Needed</t>
        </is>
      </c>
    </row>
    <row r="20" ht="28" customHeight="1">
      <c r="B20" s="44" t="inlineStr">
        <is>
          <t>Has victim consented to proceed?</t>
        </is>
      </c>
      <c r="C20" s="42" t="inlineStr">
        <is>
          <t>[ ] Yes  [ ] No — Proceeding as per institutional duty</t>
        </is>
      </c>
    </row>
    <row r="21" ht="28" customHeight="1"/>
    <row r="22" ht="24" customHeight="1">
      <c r="B22" s="29" t="inlineStr">
        <is>
          <t>SECTION C — ACCUSED DETAILS</t>
        </is>
      </c>
    </row>
    <row r="23" ht="26" customHeight="1">
      <c r="B23" s="45" t="inlineStr">
        <is>
          <t>Accused Name(s) — Code (do not identify to victim):</t>
        </is>
      </c>
      <c r="C23" s="9" t="n"/>
    </row>
    <row r="24" ht="26" customHeight="1">
      <c r="B24" s="45" t="inlineStr">
        <is>
          <t>Roll No. / Programme:</t>
        </is>
      </c>
      <c r="C24" s="9" t="n"/>
    </row>
    <row r="25" ht="26" customHeight="1">
      <c r="B25" s="45" t="inlineStr">
        <is>
          <t>Year / Dept.:</t>
        </is>
      </c>
      <c r="C25" s="9" t="n"/>
    </row>
    <row r="26" ht="26" customHeight="1">
      <c r="B26" s="45" t="inlineStr">
        <is>
          <t>Category:</t>
        </is>
      </c>
      <c r="C26" s="42" t="inlineStr">
        <is>
          <t>[ ] Day Scholar  [ ] Hosteller  [ ] External</t>
        </is>
      </c>
    </row>
    <row r="27" ht="28" customHeight="1"/>
    <row r="28" ht="24" customHeight="1">
      <c r="B28" s="19" t="inlineStr">
        <is>
          <t>SECTION D — INCIDENT DETAILS</t>
        </is>
      </c>
    </row>
    <row r="29" ht="28" customHeight="1">
      <c r="B29" s="41" t="inlineStr">
        <is>
          <t>Date of Incident:</t>
        </is>
      </c>
      <c r="C29" s="9" t="n"/>
    </row>
    <row r="30" ht="28" customHeight="1">
      <c r="B30" s="41" t="inlineStr">
        <is>
          <t>Time of Incident:</t>
        </is>
      </c>
      <c r="C30" s="9" t="n"/>
    </row>
    <row r="31" ht="28" customHeight="1">
      <c r="B31" s="41" t="inlineStr">
        <is>
          <t>Location / Venue:</t>
        </is>
      </c>
      <c r="C31" s="9" t="n"/>
    </row>
    <row r="32" ht="28" customHeight="1">
      <c r="B32" s="41" t="inlineStr">
        <is>
          <t>Nature of Ragging:</t>
        </is>
      </c>
      <c r="C32" s="42" t="inlineStr">
        <is>
          <t>[ ] Verbal Abuse  [ ] Physical Assault  [ ] Mental / Psychological  [ ] Sexual  [ ] Cyber / Online  [ ] Forced Activity  [ ] Financial Extortion  [ ] Other</t>
        </is>
      </c>
    </row>
    <row r="33" ht="28" customHeight="1">
      <c r="B33" s="41" t="inlineStr">
        <is>
          <t>Severity Level:</t>
        </is>
      </c>
      <c r="C33" s="42" t="inlineStr">
        <is>
          <t>[ ] Level 1 — Minor (verbal)  [ ] Level 2 — Moderate  [ ] Level 3 — Severe / Criminal</t>
        </is>
      </c>
    </row>
    <row r="34" ht="28" customHeight="1">
      <c r="B34" s="41" t="inlineStr">
        <is>
          <t>Were witnesses present?</t>
        </is>
      </c>
      <c r="C34" s="42" t="inlineStr">
        <is>
          <t>[ ] Yes — Names: _______   [ ] No  [ ] Unknown</t>
        </is>
      </c>
    </row>
    <row r="35" ht="28" customHeight="1">
      <c r="B35" s="41" t="inlineStr">
        <is>
          <t>CCTV evidence available?</t>
        </is>
      </c>
      <c r="C35" s="42" t="inlineStr">
        <is>
          <t>[ ] Yes — Location / Time: _______   [ ] No  [ ] Unknown</t>
        </is>
      </c>
    </row>
    <row r="36" ht="28" customHeight="1">
      <c r="B36" s="41" t="inlineStr">
        <is>
          <t>Physical evidence available?</t>
        </is>
      </c>
      <c r="C36" s="42" t="inlineStr">
        <is>
          <t>[ ] Yes — Description: _______   [ ] No</t>
        </is>
      </c>
    </row>
    <row r="37" ht="28" customHeight="1">
      <c r="B37" s="41" t="inlineStr">
        <is>
          <t>Is this a repeat incident?</t>
        </is>
      </c>
      <c r="C37" s="42" t="inlineStr">
        <is>
          <t>[ ] Yes — Previous Ref.: _______   [ ] No  [ ] Unknown</t>
        </is>
      </c>
    </row>
    <row r="38" ht="28" customHeight="1">
      <c r="B38" s="41" t="inlineStr">
        <is>
          <t>Has police been informed?</t>
        </is>
      </c>
      <c r="C38" s="42" t="inlineStr">
        <is>
          <t>[ ] Yes — FIR No.: _______   [ ] No  [ ] Not Yet</t>
        </is>
      </c>
    </row>
    <row r="39" ht="28" customHeight="1">
      <c r="B39" s="41" t="inlineStr">
        <is>
          <t>Immediate action recommended?</t>
        </is>
      </c>
      <c r="C39" s="42" t="inlineStr">
        <is>
          <t>[ ] Yes — Suspend accused immediately   [ ] Monitor   [ ] No immediate action</t>
        </is>
      </c>
    </row>
    <row r="40" ht="28" customHeight="1"/>
    <row r="41" ht="24" customHeight="1">
      <c r="B41" s="29" t="inlineStr">
        <is>
          <t>SECTION E — INCIDENT DESCRIPTION</t>
        </is>
      </c>
    </row>
    <row r="42" ht="22" customHeight="1">
      <c r="B42" s="46" t="inlineStr">
        <is>
          <t>Describe the incident in detail — in the victim's or complainant's words (use additional sheet if needed):</t>
        </is>
      </c>
    </row>
    <row r="43" ht="30" customHeight="1">
      <c r="B43" s="47" t="n"/>
    </row>
    <row r="44" ht="30" customHeight="1">
      <c r="B44" s="47" t="n"/>
    </row>
    <row r="45" ht="30" customHeight="1">
      <c r="B45" s="47" t="n"/>
    </row>
    <row r="46" ht="30" customHeight="1">
      <c r="B46" s="47" t="n"/>
    </row>
    <row r="47" ht="30" customHeight="1">
      <c r="B47" s="47" t="n"/>
    </row>
    <row r="48" ht="30" customHeight="1">
      <c r="B48" s="47" t="n"/>
    </row>
    <row r="49" ht="28" customHeight="1"/>
    <row r="50" ht="28" customHeight="1">
      <c r="B50" s="48" t="inlineStr">
        <is>
          <t>I confirm the information above is accurate to the best of my knowledge. I understand the ARC will maintain strict confidentiality of this complaint.</t>
        </is>
      </c>
    </row>
    <row r="51" ht="28" customHeight="1">
      <c r="B51" s="31" t="inlineStr">
        <is>
          <t>Complainant Signature / Thumb Impression: ___________________    Date: ___________________    Received by ARC Member: ___________________</t>
        </is>
      </c>
    </row>
    <row r="52" ht="28" customHeight="1"/>
    <row r="53" ht="28" customHeight="1"/>
    <row r="54" ht="28" customHeight="1"/>
  </sheetData>
  <mergeCells count="45">
    <mergeCell ref="C16:E16"/>
    <mergeCell ref="C31:E31"/>
    <mergeCell ref="B6:E6"/>
    <mergeCell ref="B28:E28"/>
    <mergeCell ref="C9:E9"/>
    <mergeCell ref="B5:E5"/>
    <mergeCell ref="B51:E51"/>
    <mergeCell ref="C12:E12"/>
    <mergeCell ref="B45:E45"/>
    <mergeCell ref="C36:E36"/>
    <mergeCell ref="C11:E11"/>
    <mergeCell ref="B41:E41"/>
    <mergeCell ref="B4:E4"/>
    <mergeCell ref="B50:E50"/>
    <mergeCell ref="C23:E23"/>
    <mergeCell ref="C39:E39"/>
    <mergeCell ref="C8:E8"/>
    <mergeCell ref="C17:E17"/>
    <mergeCell ref="B3:E3"/>
    <mergeCell ref="B47:E47"/>
    <mergeCell ref="C7:E7"/>
    <mergeCell ref="B46:E46"/>
    <mergeCell ref="B22:E22"/>
    <mergeCell ref="C32:E32"/>
    <mergeCell ref="C38:E38"/>
    <mergeCell ref="C19:E19"/>
    <mergeCell ref="C37:E37"/>
    <mergeCell ref="B43:E43"/>
    <mergeCell ref="B48:E48"/>
    <mergeCell ref="C18:E18"/>
    <mergeCell ref="B2:E2"/>
    <mergeCell ref="C30:E30"/>
    <mergeCell ref="C34:E34"/>
    <mergeCell ref="C15:E15"/>
    <mergeCell ref="B42:E42"/>
    <mergeCell ref="B14:E14"/>
    <mergeCell ref="C24:E24"/>
    <mergeCell ref="C33:E33"/>
    <mergeCell ref="B44:E44"/>
    <mergeCell ref="C26:E26"/>
    <mergeCell ref="C29:E29"/>
    <mergeCell ref="C20:E20"/>
    <mergeCell ref="C35:E35"/>
    <mergeCell ref="C25:E25"/>
    <mergeCell ref="C10:E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ARC-18: COMPLAINT REGISTRATION &amp; CASE TRACKING REGISTER</t>
        </is>
      </c>
    </row>
    <row r="3" ht="18" customHeight="1">
      <c r="B3" s="24" t="inlineStr">
        <is>
          <t>CONFIDENTIAL — Legal Document. Retain minimum 5 years. Access restricted to ARC members and Principal.</t>
        </is>
      </c>
    </row>
    <row r="4" ht="25" customHeight="1">
      <c r="B4" s="20" t="inlineStr">
        <is>
          <t>Case
Ref.</t>
        </is>
      </c>
      <c r="C4" s="20" t="inlineStr">
        <is>
          <t>Victim
(Code)</t>
        </is>
      </c>
      <c r="D4" s="20" t="inlineStr">
        <is>
          <t>Accused
(Code)</t>
        </is>
      </c>
      <c r="E4" s="20" t="inlineStr">
        <is>
          <t>Nature of
Ragging</t>
        </is>
      </c>
      <c r="F4" s="20" t="inlineStr">
        <is>
          <t>Date
Received</t>
        </is>
      </c>
      <c r="G4" s="20" t="inlineStr">
        <is>
          <t>Severity
Level</t>
        </is>
      </c>
      <c r="H4" s="20" t="inlineStr">
        <is>
          <t>Inquiry Cmte.
Constituted</t>
        </is>
      </c>
      <c r="I4" s="20" t="inlineStr">
        <is>
          <t>Police
FIR (Y/N)</t>
        </is>
      </c>
      <c r="J4" s="20" t="inlineStr">
        <is>
          <t>Current
Status</t>
        </is>
      </c>
    </row>
    <row r="5" ht="24" customHeight="1">
      <c r="B5" s="14" t="inlineStr">
        <is>
          <t>ARC/2024/0001</t>
        </is>
      </c>
      <c r="C5" s="16" t="inlineStr">
        <is>
          <t>VIC-001</t>
        </is>
      </c>
      <c r="D5" s="16" t="inlineStr">
        <is>
          <t>ACC-001</t>
        </is>
      </c>
      <c r="E5" s="16" t="inlineStr">
        <is>
          <t>Verbal Abuse</t>
        </is>
      </c>
      <c r="F5" s="16" t="inlineStr"/>
      <c r="G5" s="14" t="inlineStr">
        <is>
          <t>Level 1 — Minor</t>
        </is>
      </c>
      <c r="H5" s="16" t="inlineStr"/>
      <c r="I5" s="16" t="inlineStr">
        <is>
          <t>N</t>
        </is>
      </c>
      <c r="J5" s="16" t="inlineStr">
        <is>
          <t>Open — Inquiry Pending</t>
        </is>
      </c>
    </row>
    <row r="6" ht="24" customHeight="1">
      <c r="B6" s="8" t="inlineStr">
        <is>
          <t>ARC/2024/0002</t>
        </is>
      </c>
      <c r="C6" s="10" t="inlineStr">
        <is>
          <t>VIC-002</t>
        </is>
      </c>
      <c r="D6" s="10" t="inlineStr">
        <is>
          <t>ACC-002</t>
        </is>
      </c>
      <c r="E6" s="10" t="inlineStr">
        <is>
          <t>Physical Assault</t>
        </is>
      </c>
      <c r="F6" s="10" t="inlineStr"/>
      <c r="G6" s="8" t="inlineStr">
        <is>
          <t>Level 2 — Moderate</t>
        </is>
      </c>
      <c r="H6" s="10" t="inlineStr"/>
      <c r="I6" s="10" t="inlineStr">
        <is>
          <t>N</t>
        </is>
      </c>
      <c r="J6" s="10" t="inlineStr">
        <is>
          <t>Inquiry In-Progress</t>
        </is>
      </c>
    </row>
    <row r="7" ht="24" customHeight="1">
      <c r="B7" s="14" t="inlineStr">
        <is>
          <t>ARC/2024/0003</t>
        </is>
      </c>
      <c r="C7" s="16" t="inlineStr">
        <is>
          <t>VIC-003</t>
        </is>
      </c>
      <c r="D7" s="16" t="inlineStr">
        <is>
          <t>ACC-003</t>
        </is>
      </c>
      <c r="E7" s="16" t="inlineStr">
        <is>
          <t>Mental / Psychological</t>
        </is>
      </c>
      <c r="F7" s="16" t="inlineStr"/>
      <c r="G7" s="14" t="inlineStr">
        <is>
          <t>Level 3 — Severe</t>
        </is>
      </c>
      <c r="H7" s="16" t="inlineStr"/>
      <c r="I7" s="16" t="inlineStr">
        <is>
          <t>N</t>
        </is>
      </c>
      <c r="J7" s="16" t="inlineStr">
        <is>
          <t>SCN Issued</t>
        </is>
      </c>
    </row>
    <row r="8" ht="24" customHeight="1">
      <c r="B8" s="8" t="inlineStr">
        <is>
          <t>ARC/2024/0004</t>
        </is>
      </c>
      <c r="C8" s="10" t="inlineStr">
        <is>
          <t>VIC-004</t>
        </is>
      </c>
      <c r="D8" s="10" t="inlineStr">
        <is>
          <t>ACC-004</t>
        </is>
      </c>
      <c r="E8" s="10" t="inlineStr">
        <is>
          <t>Sexual Harassment</t>
        </is>
      </c>
      <c r="F8" s="10" t="inlineStr"/>
      <c r="G8" s="8" t="inlineStr">
        <is>
          <t>Level 1 — Minor</t>
        </is>
      </c>
      <c r="H8" s="10" t="inlineStr"/>
      <c r="I8" s="10" t="inlineStr">
        <is>
          <t>N</t>
        </is>
      </c>
      <c r="J8" s="10" t="inlineStr">
        <is>
          <t>Hearing Scheduled</t>
        </is>
      </c>
    </row>
    <row r="9" ht="24" customHeight="1">
      <c r="B9" s="14" t="inlineStr">
        <is>
          <t>ARC/2024/0005</t>
        </is>
      </c>
      <c r="C9" s="16" t="inlineStr">
        <is>
          <t>VIC-005</t>
        </is>
      </c>
      <c r="D9" s="16" t="inlineStr">
        <is>
          <t>ACC-005</t>
        </is>
      </c>
      <c r="E9" s="16" t="inlineStr">
        <is>
          <t>Cyber / Online Ragging</t>
        </is>
      </c>
      <c r="F9" s="16" t="inlineStr"/>
      <c r="G9" s="14" t="inlineStr">
        <is>
          <t>Level 2 — Moderate</t>
        </is>
      </c>
      <c r="H9" s="16" t="inlineStr"/>
      <c r="I9" s="16" t="inlineStr">
        <is>
          <t>N</t>
        </is>
      </c>
      <c r="J9" s="16" t="inlineStr">
        <is>
          <t>Decision Pending</t>
        </is>
      </c>
    </row>
    <row r="10" ht="24" customHeight="1">
      <c r="B10" s="8" t="inlineStr">
        <is>
          <t>ARC/2024/0006</t>
        </is>
      </c>
      <c r="C10" s="10" t="inlineStr">
        <is>
          <t>VIC-006</t>
        </is>
      </c>
      <c r="D10" s="10" t="inlineStr">
        <is>
          <t>ACC-006</t>
        </is>
      </c>
      <c r="E10" s="10" t="inlineStr">
        <is>
          <t>Forced Activity</t>
        </is>
      </c>
      <c r="F10" s="10" t="inlineStr"/>
      <c r="G10" s="8" t="inlineStr">
        <is>
          <t>Level 3 — Severe</t>
        </is>
      </c>
      <c r="H10" s="10" t="inlineStr"/>
      <c r="I10" s="10" t="inlineStr">
        <is>
          <t>N</t>
        </is>
      </c>
      <c r="J10" s="10" t="inlineStr">
        <is>
          <t>Penalty Imposed</t>
        </is>
      </c>
    </row>
    <row r="11" ht="24" customHeight="1">
      <c r="B11" s="14" t="inlineStr">
        <is>
          <t>ARC/2024/0007</t>
        </is>
      </c>
      <c r="C11" s="16" t="inlineStr">
        <is>
          <t>VIC-007</t>
        </is>
      </c>
      <c r="D11" s="16" t="inlineStr">
        <is>
          <t>ACC-007</t>
        </is>
      </c>
      <c r="E11" s="16" t="inlineStr">
        <is>
          <t>Financial Extortion</t>
        </is>
      </c>
      <c r="F11" s="16" t="inlineStr"/>
      <c r="G11" s="14" t="inlineStr">
        <is>
          <t>Level 1 — Minor</t>
        </is>
      </c>
      <c r="H11" s="16" t="inlineStr"/>
      <c r="I11" s="16" t="inlineStr">
        <is>
          <t>N</t>
        </is>
      </c>
      <c r="J11" s="16" t="inlineStr">
        <is>
          <t>Appeal Filed</t>
        </is>
      </c>
    </row>
    <row r="12" ht="24" customHeight="1">
      <c r="B12" s="8" t="inlineStr">
        <is>
          <t>ARC/2024/0008</t>
        </is>
      </c>
      <c r="C12" s="10" t="inlineStr">
        <is>
          <t>VIC-008</t>
        </is>
      </c>
      <c r="D12" s="10" t="inlineStr">
        <is>
          <t>ACC-008</t>
        </is>
      </c>
      <c r="E12" s="10" t="inlineStr">
        <is>
          <t>Multiple / Combined</t>
        </is>
      </c>
      <c r="F12" s="10" t="inlineStr"/>
      <c r="G12" s="8" t="inlineStr">
        <is>
          <t>Level 2 — Moderate</t>
        </is>
      </c>
      <c r="H12" s="10" t="inlineStr"/>
      <c r="I12" s="10" t="inlineStr">
        <is>
          <t>N</t>
        </is>
      </c>
      <c r="J12" s="10" t="inlineStr">
        <is>
          <t>Closed — Resolved</t>
        </is>
      </c>
    </row>
    <row r="13" ht="24" customHeight="1">
      <c r="B13" s="14" t="inlineStr">
        <is>
          <t>ARC/2024/0009</t>
        </is>
      </c>
      <c r="C13" s="16" t="inlineStr">
        <is>
          <t>VIC-009</t>
        </is>
      </c>
      <c r="D13" s="16" t="inlineStr">
        <is>
          <t>ACC-009</t>
        </is>
      </c>
      <c r="E13" s="16" t="inlineStr">
        <is>
          <t>Verbal Abuse</t>
        </is>
      </c>
      <c r="F13" s="16" t="inlineStr"/>
      <c r="G13" s="14" t="inlineStr">
        <is>
          <t>Level 3 — Severe</t>
        </is>
      </c>
      <c r="H13" s="16" t="inlineStr"/>
      <c r="I13" s="16" t="inlineStr">
        <is>
          <t>N</t>
        </is>
      </c>
      <c r="J13" s="16" t="inlineStr">
        <is>
          <t>Closed — Acquitted</t>
        </is>
      </c>
    </row>
    <row r="14" ht="24" customHeight="1">
      <c r="B14" s="8" t="inlineStr">
        <is>
          <t>ARC/2024/0010</t>
        </is>
      </c>
      <c r="C14" s="10" t="inlineStr">
        <is>
          <t>VIC-010</t>
        </is>
      </c>
      <c r="D14" s="10" t="inlineStr">
        <is>
          <t>ACC-010</t>
        </is>
      </c>
      <c r="E14" s="10" t="inlineStr">
        <is>
          <t>Physical Assault</t>
        </is>
      </c>
      <c r="F14" s="10" t="inlineStr"/>
      <c r="G14" s="8" t="inlineStr">
        <is>
          <t>Level 1 — Minor</t>
        </is>
      </c>
      <c r="H14" s="10" t="inlineStr"/>
      <c r="I14" s="10" t="inlineStr">
        <is>
          <t>N</t>
        </is>
      </c>
      <c r="J14" s="10" t="inlineStr">
        <is>
          <t>Referred to Police</t>
        </is>
      </c>
    </row>
    <row r="15" ht="24" customHeight="1">
      <c r="B15" s="14" t="inlineStr">
        <is>
          <t>ARC/2025/0011</t>
        </is>
      </c>
      <c r="C15" s="16" t="inlineStr">
        <is>
          <t>VIC-011</t>
        </is>
      </c>
      <c r="D15" s="16" t="inlineStr">
        <is>
          <t>ACC-011</t>
        </is>
      </c>
      <c r="E15" s="16" t="inlineStr">
        <is>
          <t>Mental / Psychological</t>
        </is>
      </c>
      <c r="F15" s="16" t="inlineStr"/>
      <c r="G15" s="14" t="inlineStr">
        <is>
          <t>Level 2 — Moderate</t>
        </is>
      </c>
      <c r="H15" s="16" t="inlineStr"/>
      <c r="I15" s="16" t="inlineStr">
        <is>
          <t>N</t>
        </is>
      </c>
      <c r="J15" s="16" t="inlineStr">
        <is>
          <t>Referred to UGC</t>
        </is>
      </c>
    </row>
    <row r="16" ht="24" customHeight="1">
      <c r="B16" s="8" t="inlineStr">
        <is>
          <t>ARC/2025/0012</t>
        </is>
      </c>
      <c r="C16" s="10" t="inlineStr">
        <is>
          <t>VIC-012</t>
        </is>
      </c>
      <c r="D16" s="10" t="inlineStr">
        <is>
          <t>ACC-012</t>
        </is>
      </c>
      <c r="E16" s="10" t="inlineStr">
        <is>
          <t>Sexual Harassment</t>
        </is>
      </c>
      <c r="F16" s="10" t="inlineStr"/>
      <c r="G16" s="8" t="inlineStr">
        <is>
          <t>Level 3 — Severe</t>
        </is>
      </c>
      <c r="H16" s="10" t="inlineStr"/>
      <c r="I16" s="10" t="inlineStr">
        <is>
          <t>N</t>
        </is>
      </c>
      <c r="J16" s="10" t="inlineStr">
        <is>
          <t>Open — Inquiry Pending</t>
        </is>
      </c>
    </row>
    <row r="17" ht="24" customHeight="1">
      <c r="B17" s="14" t="inlineStr">
        <is>
          <t>ARC/2025/0013</t>
        </is>
      </c>
      <c r="C17" s="16" t="inlineStr">
        <is>
          <t>VIC-013</t>
        </is>
      </c>
      <c r="D17" s="16" t="inlineStr">
        <is>
          <t>ACC-013</t>
        </is>
      </c>
      <c r="E17" s="16" t="inlineStr">
        <is>
          <t>Cyber / Online Ragging</t>
        </is>
      </c>
      <c r="F17" s="16" t="inlineStr"/>
      <c r="G17" s="14" t="inlineStr">
        <is>
          <t>Level 1 — Minor</t>
        </is>
      </c>
      <c r="H17" s="16" t="inlineStr"/>
      <c r="I17" s="16" t="inlineStr">
        <is>
          <t>N</t>
        </is>
      </c>
      <c r="J17" s="16" t="inlineStr">
        <is>
          <t>Inquiry In-Progress</t>
        </is>
      </c>
    </row>
    <row r="18" ht="24" customHeight="1">
      <c r="B18" s="8" t="inlineStr">
        <is>
          <t>ARC/2025/0014</t>
        </is>
      </c>
      <c r="C18" s="10" t="inlineStr">
        <is>
          <t>VIC-014</t>
        </is>
      </c>
      <c r="D18" s="10" t="inlineStr">
        <is>
          <t>ACC-014</t>
        </is>
      </c>
      <c r="E18" s="10" t="inlineStr">
        <is>
          <t>Forced Activity</t>
        </is>
      </c>
      <c r="F18" s="10" t="inlineStr"/>
      <c r="G18" s="8" t="inlineStr">
        <is>
          <t>Level 2 — Moderate</t>
        </is>
      </c>
      <c r="H18" s="10" t="inlineStr"/>
      <c r="I18" s="10" t="inlineStr">
        <is>
          <t>N</t>
        </is>
      </c>
      <c r="J18" s="10" t="inlineStr">
        <is>
          <t>SCN Issued</t>
        </is>
      </c>
    </row>
    <row r="19" ht="24" customHeight="1">
      <c r="B19" s="14" t="inlineStr">
        <is>
          <t>ARC/2025/0015</t>
        </is>
      </c>
      <c r="C19" s="16" t="inlineStr">
        <is>
          <t>VIC-015</t>
        </is>
      </c>
      <c r="D19" s="16" t="inlineStr">
        <is>
          <t>ACC-015</t>
        </is>
      </c>
      <c r="E19" s="16" t="inlineStr">
        <is>
          <t>Financial Extortion</t>
        </is>
      </c>
      <c r="F19" s="16" t="inlineStr"/>
      <c r="G19" s="14" t="inlineStr">
        <is>
          <t>Level 3 — Severe</t>
        </is>
      </c>
      <c r="H19" s="16" t="inlineStr"/>
      <c r="I19" s="16" t="inlineStr">
        <is>
          <t>N</t>
        </is>
      </c>
      <c r="J19" s="16" t="inlineStr">
        <is>
          <t>Hearing Scheduled</t>
        </is>
      </c>
    </row>
    <row r="20" ht="24" customHeight="1">
      <c r="B20" s="8" t="inlineStr">
        <is>
          <t>ARC/2025/0016</t>
        </is>
      </c>
      <c r="C20" s="10" t="inlineStr">
        <is>
          <t>VIC-016</t>
        </is>
      </c>
      <c r="D20" s="10" t="inlineStr">
        <is>
          <t>ACC-016</t>
        </is>
      </c>
      <c r="E20" s="10" t="inlineStr">
        <is>
          <t>Multiple / Combined</t>
        </is>
      </c>
      <c r="F20" s="10" t="inlineStr"/>
      <c r="G20" s="8" t="inlineStr">
        <is>
          <t>Level 1 — Minor</t>
        </is>
      </c>
      <c r="H20" s="10" t="inlineStr"/>
      <c r="I20" s="10" t="inlineStr">
        <is>
          <t>N</t>
        </is>
      </c>
      <c r="J20" s="10" t="inlineStr">
        <is>
          <t>Decision Pending</t>
        </is>
      </c>
    </row>
    <row r="21" ht="24" customHeight="1">
      <c r="B21" s="14" t="inlineStr">
        <is>
          <t>ARC/2025/0017</t>
        </is>
      </c>
      <c r="C21" s="16" t="inlineStr">
        <is>
          <t>VIC-017</t>
        </is>
      </c>
      <c r="D21" s="16" t="inlineStr">
        <is>
          <t>ACC-017</t>
        </is>
      </c>
      <c r="E21" s="16" t="inlineStr">
        <is>
          <t>Verbal Abuse</t>
        </is>
      </c>
      <c r="F21" s="16" t="inlineStr"/>
      <c r="G21" s="14" t="inlineStr">
        <is>
          <t>Level 2 — Moderate</t>
        </is>
      </c>
      <c r="H21" s="16" t="inlineStr"/>
      <c r="I21" s="16" t="inlineStr">
        <is>
          <t>N</t>
        </is>
      </c>
      <c r="J21" s="16" t="inlineStr">
        <is>
          <t>Penalty Imposed</t>
        </is>
      </c>
    </row>
    <row r="22" ht="24" customHeight="1">
      <c r="B22" s="8" t="inlineStr">
        <is>
          <t>ARC/2025/0018</t>
        </is>
      </c>
      <c r="C22" s="10" t="inlineStr">
        <is>
          <t>VIC-018</t>
        </is>
      </c>
      <c r="D22" s="10" t="inlineStr">
        <is>
          <t>ACC-018</t>
        </is>
      </c>
      <c r="E22" s="10" t="inlineStr">
        <is>
          <t>Physical Assault</t>
        </is>
      </c>
      <c r="F22" s="10" t="inlineStr"/>
      <c r="G22" s="8" t="inlineStr">
        <is>
          <t>Level 3 — Severe</t>
        </is>
      </c>
      <c r="H22" s="10" t="inlineStr"/>
      <c r="I22" s="10" t="inlineStr">
        <is>
          <t>N</t>
        </is>
      </c>
      <c r="J22" s="10" t="inlineStr">
        <is>
          <t>Appeal Filed</t>
        </is>
      </c>
    </row>
    <row r="23" ht="24" customHeight="1">
      <c r="B23" s="14" t="inlineStr">
        <is>
          <t>ARC/2025/0019</t>
        </is>
      </c>
      <c r="C23" s="16" t="inlineStr">
        <is>
          <t>VIC-019</t>
        </is>
      </c>
      <c r="D23" s="16" t="inlineStr">
        <is>
          <t>ACC-019</t>
        </is>
      </c>
      <c r="E23" s="16" t="inlineStr">
        <is>
          <t>Mental / Psychological</t>
        </is>
      </c>
      <c r="F23" s="16" t="inlineStr"/>
      <c r="G23" s="14" t="inlineStr">
        <is>
          <t>Level 1 — Minor</t>
        </is>
      </c>
      <c r="H23" s="16" t="inlineStr"/>
      <c r="I23" s="16" t="inlineStr">
        <is>
          <t>N</t>
        </is>
      </c>
      <c r="J23" s="16" t="inlineStr">
        <is>
          <t>Closed — Resolved</t>
        </is>
      </c>
    </row>
    <row r="24" ht="24" customHeight="1">
      <c r="B24" s="8" t="inlineStr">
        <is>
          <t>ARC/2025/0020</t>
        </is>
      </c>
      <c r="C24" s="10" t="inlineStr">
        <is>
          <t>VIC-020</t>
        </is>
      </c>
      <c r="D24" s="10" t="inlineStr">
        <is>
          <t>ACC-020</t>
        </is>
      </c>
      <c r="E24" s="10" t="inlineStr">
        <is>
          <t>Sexual Harassment</t>
        </is>
      </c>
      <c r="F24" s="10" t="inlineStr"/>
      <c r="G24" s="8" t="inlineStr">
        <is>
          <t>Level 2 — Moderate</t>
        </is>
      </c>
      <c r="H24" s="10" t="inlineStr"/>
      <c r="I24" s="10" t="inlineStr">
        <is>
          <t>N</t>
        </is>
      </c>
      <c r="J24" s="10" t="inlineStr">
        <is>
          <t>Closed — Acquitted</t>
        </is>
      </c>
    </row>
    <row r="25" ht="24" customHeight="1"/>
    <row r="26" ht="24" customHeight="1">
      <c r="B26" s="36" t="inlineStr">
        <is>
          <t>CASE REGISTER SUMMARY</t>
        </is>
      </c>
    </row>
    <row r="27" ht="24" customHeight="1">
      <c r="B27" s="40" t="inlineStr">
        <is>
          <t>Total Cases Registered</t>
        </is>
      </c>
      <c r="F27" s="38">
        <f>COUNTA(B5:B24)</f>
        <v/>
      </c>
    </row>
    <row r="28" ht="24" customHeight="1">
      <c r="B28" s="27" t="inlineStr">
        <is>
          <t>Level 1 — Minor</t>
        </is>
      </c>
      <c r="F28" s="39">
        <f>COUNTIF(G5:G24,"Level 1 — Minor")</f>
        <v/>
      </c>
    </row>
    <row r="29" ht="24" customHeight="1">
      <c r="B29" s="40" t="inlineStr">
        <is>
          <t>Level 2 — Moderate</t>
        </is>
      </c>
      <c r="F29" s="38">
        <f>COUNTIF(G5:G24,"Level 2 — Moderate")</f>
        <v/>
      </c>
    </row>
    <row r="30" ht="24" customHeight="1">
      <c r="B30" s="27" t="inlineStr">
        <is>
          <t>Level 3 — Severe</t>
        </is>
      </c>
      <c r="F30" s="39">
        <f>COUNTIF(G5:G24,"Level 3 — Severe")</f>
        <v/>
      </c>
    </row>
    <row r="31" ht="24" customHeight="1">
      <c r="B31" s="40" t="inlineStr">
        <is>
          <t>Cases Referred to Police</t>
        </is>
      </c>
      <c r="F31" s="38">
        <f>COUNTIF(J5:J24,"Referred to Police")</f>
        <v/>
      </c>
    </row>
    <row r="32">
      <c r="B32" s="27" t="inlineStr">
        <is>
          <t>Cases Closed / Resolved</t>
        </is>
      </c>
      <c r="F32" s="39">
        <f>COUNTIF(J5:J24,"Closed — Resolved")</f>
        <v/>
      </c>
    </row>
  </sheetData>
  <mergeCells count="15">
    <mergeCell ref="B31:E31"/>
    <mergeCell ref="F30:J30"/>
    <mergeCell ref="B27:E27"/>
    <mergeCell ref="B3:J3"/>
    <mergeCell ref="F29:J29"/>
    <mergeCell ref="B28:E28"/>
    <mergeCell ref="B30:E30"/>
    <mergeCell ref="B26:J26"/>
    <mergeCell ref="F28:J28"/>
    <mergeCell ref="B29:E29"/>
    <mergeCell ref="F31:J31"/>
    <mergeCell ref="B2:J2"/>
    <mergeCell ref="F32:J32"/>
    <mergeCell ref="F27:J27"/>
    <mergeCell ref="B32:E3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E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2" t="inlineStr">
        <is>
          <t>ARC-20: INQUIRY PROCEEDINGS LOG</t>
        </is>
      </c>
    </row>
    <row r="3" ht="18" customHeight="1">
      <c r="B3" s="24" t="inlineStr">
        <is>
          <t>STRICTLY CONFIDENTIAL — Legal proceedings record. Victim's identity to be protected at all times during inquiry.</t>
        </is>
      </c>
    </row>
    <row r="4" ht="25" customHeight="1">
      <c r="B4" s="2" t="inlineStr">
        <is>
          <t>Case Ref.: _______  Victim Code: _______  Accused Code: _______  Inquiry Chair: _______  Date Constituted: _______</t>
        </is>
      </c>
    </row>
    <row r="5" ht="24" customHeight="1">
      <c r="B5" s="19" t="inlineStr">
        <is>
          <t>CASE SUMMARY</t>
        </is>
      </c>
    </row>
    <row r="6" ht="26" customHeight="1">
      <c r="B6" s="41" t="inlineStr">
        <is>
          <t>Nature of Ragging Alleged:</t>
        </is>
      </c>
      <c r="C6" s="9" t="n"/>
    </row>
    <row r="7" ht="26" customHeight="1">
      <c r="B7" s="41" t="inlineStr">
        <is>
          <t>Severity Level:</t>
        </is>
      </c>
      <c r="C7" s="42" t="inlineStr">
        <is>
          <t>[ ] Level 1  [ ] Level 2  [ ] Level 3</t>
        </is>
      </c>
    </row>
    <row r="8" ht="26" customHeight="1">
      <c r="B8" s="41" t="inlineStr">
        <is>
          <t>Date of Alleged Incident:</t>
        </is>
      </c>
      <c r="C8" s="9" t="n"/>
    </row>
    <row r="9" ht="26" customHeight="1">
      <c r="B9" s="41" t="inlineStr">
        <is>
          <t>Inquiry Committee Members:</t>
        </is>
      </c>
      <c r="C9" s="9" t="n"/>
    </row>
    <row r="10" ht="26" customHeight="1">
      <c r="B10" s="41" t="inlineStr">
        <is>
          <t>Timeline for Report:</t>
        </is>
      </c>
      <c r="C10" s="42" t="inlineStr">
        <is>
          <t>[ ] 7 days (Level 1)  [ ] 15 days (Level 2)  [ ] 30 days (Level 3)</t>
        </is>
      </c>
    </row>
    <row r="11" ht="26" customHeight="1">
      <c r="B11" s="41" t="inlineStr">
        <is>
          <t>Immediate Suspension of Accused:</t>
        </is>
      </c>
      <c r="C11" s="42" t="inlineStr">
        <is>
          <t>[ ] Yes — Order No.: _______   [ ] No</t>
        </is>
      </c>
    </row>
    <row r="12" ht="32" customHeight="1"/>
    <row r="13" ht="24" customHeight="1">
      <c r="B13" s="36" t="inlineStr">
        <is>
          <t>HEARING LOG</t>
        </is>
      </c>
    </row>
    <row r="14" ht="32" customHeight="1">
      <c r="B14" s="32" t="inlineStr">
        <is>
          <t>Hearing
No.</t>
        </is>
      </c>
      <c r="C14" s="32" t="inlineStr">
        <is>
          <t>Date</t>
        </is>
      </c>
      <c r="D14" s="32" t="inlineStr">
        <is>
          <t>Persons Present</t>
        </is>
      </c>
      <c r="E14" s="32" t="inlineStr">
        <is>
          <t>Key Points / Evidence Examined</t>
        </is>
      </c>
    </row>
    <row r="15" ht="55" customHeight="1">
      <c r="B15" s="33" t="inlineStr">
        <is>
          <t>Hearing 1</t>
        </is>
      </c>
      <c r="C15" s="35" t="inlineStr"/>
      <c r="D15" s="34" t="inlineStr"/>
      <c r="E15" s="34" t="inlineStr"/>
    </row>
    <row r="16" ht="55" customHeight="1">
      <c r="B16" s="8" t="inlineStr">
        <is>
          <t>Hearing 2</t>
        </is>
      </c>
      <c r="C16" s="10" t="inlineStr"/>
      <c r="D16" s="9" t="inlineStr"/>
      <c r="E16" s="9" t="inlineStr"/>
    </row>
    <row r="17" ht="55" customHeight="1">
      <c r="B17" s="33" t="inlineStr">
        <is>
          <t>Hearing 3</t>
        </is>
      </c>
      <c r="C17" s="35" t="inlineStr"/>
      <c r="D17" s="34" t="inlineStr"/>
      <c r="E17" s="34" t="inlineStr"/>
    </row>
    <row r="18" ht="55" customHeight="1">
      <c r="B18" s="8" t="inlineStr">
        <is>
          <t>Hearing 4</t>
        </is>
      </c>
      <c r="C18" s="10" t="inlineStr"/>
      <c r="D18" s="9" t="inlineStr"/>
      <c r="E18" s="9" t="inlineStr"/>
    </row>
    <row r="19" ht="55" customHeight="1">
      <c r="B19" s="33" t="inlineStr">
        <is>
          <t>Hearing 5</t>
        </is>
      </c>
      <c r="C19" s="35" t="inlineStr"/>
      <c r="D19" s="34" t="inlineStr"/>
      <c r="E19" s="34" t="inlineStr"/>
    </row>
    <row r="20" ht="32" customHeight="1"/>
    <row r="21" ht="24" customHeight="1">
      <c r="B21" s="19" t="inlineStr">
        <is>
          <t>INQUIRY FINDINGS &amp; RECOMMENDATION</t>
        </is>
      </c>
    </row>
    <row r="22" ht="22" customHeight="1">
      <c r="B22" s="46" t="inlineStr">
        <is>
          <t>Summary of Allegations:</t>
        </is>
      </c>
    </row>
    <row r="23" ht="26" customHeight="1">
      <c r="B23" s="49" t="inlineStr"/>
    </row>
    <row r="24" ht="32" customHeight="1"/>
    <row r="25" ht="22" customHeight="1">
      <c r="B25" s="46" t="inlineStr">
        <is>
          <t>Evidence Examined:</t>
        </is>
      </c>
    </row>
    <row r="26" ht="70" customHeight="1">
      <c r="B26" s="49" t="inlineStr"/>
    </row>
    <row r="27" ht="32" customHeight="1"/>
    <row r="28" ht="22" customHeight="1">
      <c r="B28" s="46" t="inlineStr">
        <is>
          <t>Accused Person's Statement (Summary):</t>
        </is>
      </c>
    </row>
    <row r="29" ht="70" customHeight="1">
      <c r="B29" s="49" t="inlineStr"/>
    </row>
    <row r="30" ht="32" customHeight="1"/>
    <row r="31" ht="22" customHeight="1">
      <c r="B31" s="46" t="inlineStr">
        <is>
          <t>Victim's Statement (Summary):</t>
        </is>
      </c>
    </row>
    <row r="32" ht="70" customHeight="1">
      <c r="B32" s="49" t="inlineStr"/>
    </row>
    <row r="33" ht="32" customHeight="1"/>
    <row r="34" ht="22" customHeight="1">
      <c r="B34" s="46" t="inlineStr">
        <is>
          <t>Witness Accounts (Summary):</t>
        </is>
      </c>
    </row>
    <row r="35" ht="70" customHeight="1">
      <c r="B35" s="49" t="inlineStr"/>
    </row>
    <row r="36" ht="32" customHeight="1"/>
    <row r="37" ht="22" customHeight="1">
      <c r="B37" s="46" t="inlineStr">
        <is>
          <t>Inquiry Committee's Findings:</t>
        </is>
      </c>
    </row>
    <row r="38" ht="100" customHeight="1">
      <c r="B38" s="49" t="inlineStr"/>
    </row>
    <row r="39" ht="32" customHeight="1"/>
    <row r="40" ht="22" customHeight="1">
      <c r="B40" s="46" t="inlineStr">
        <is>
          <t>Recommendation to ARC:</t>
        </is>
      </c>
    </row>
    <row r="41" ht="60" customHeight="1">
      <c r="B41" s="49" t="inlineStr"/>
    </row>
    <row r="42" ht="32" customHeight="1"/>
    <row r="43" ht="32" customHeight="1">
      <c r="B43" s="31" t="inlineStr">
        <is>
          <t>Inquiry Chair Signature: ___________________    All Members Signed: ___________________    Report Submitted to ARC: ___________________    Date: ___________________</t>
        </is>
      </c>
    </row>
  </sheetData>
  <mergeCells count="27">
    <mergeCell ref="B40:E40"/>
    <mergeCell ref="B37:E37"/>
    <mergeCell ref="B35:E36"/>
    <mergeCell ref="C9:E9"/>
    <mergeCell ref="B5:E5"/>
    <mergeCell ref="B38:E39"/>
    <mergeCell ref="B29:E30"/>
    <mergeCell ref="C11:E11"/>
    <mergeCell ref="B23:E24"/>
    <mergeCell ref="B4:E4"/>
    <mergeCell ref="C8:E8"/>
    <mergeCell ref="B25:E25"/>
    <mergeCell ref="B3:E3"/>
    <mergeCell ref="C7:E7"/>
    <mergeCell ref="B22:E22"/>
    <mergeCell ref="B31:E31"/>
    <mergeCell ref="B43:E43"/>
    <mergeCell ref="B21:E21"/>
    <mergeCell ref="B2:E2"/>
    <mergeCell ref="C6:E6"/>
    <mergeCell ref="B32:E33"/>
    <mergeCell ref="B41:E42"/>
    <mergeCell ref="B13:E13"/>
    <mergeCell ref="B34:E34"/>
    <mergeCell ref="B28:E28"/>
    <mergeCell ref="B26:E27"/>
    <mergeCell ref="C10:E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ARC-23: ARC DECISION &amp; PENALTY REGISTER</t>
        </is>
      </c>
    </row>
    <row r="3" ht="18" customHeight="1">
      <c r="B3" s="24" t="inlineStr">
        <is>
          <t>CONFIDENTIAL — Legal Document. All decisions to be communicated in writing within 7 days. Victim to be informed of outcome separately. Police reporting mandatory for Level 3.</t>
        </is>
      </c>
    </row>
    <row r="4" ht="25" customHeight="1">
      <c r="B4" s="20" t="inlineStr">
        <is>
          <t>Case
Ref.</t>
        </is>
      </c>
      <c r="C4" s="20" t="inlineStr">
        <is>
          <t>Accused
(Code)</t>
        </is>
      </c>
      <c r="D4" s="20" t="inlineStr">
        <is>
          <t>Nature
of Ragging</t>
        </is>
      </c>
      <c r="E4" s="20" t="inlineStr">
        <is>
          <t>Severity</t>
        </is>
      </c>
      <c r="F4" s="20" t="inlineStr">
        <is>
          <t>Verdict</t>
        </is>
      </c>
      <c r="G4" s="20" t="inlineStr">
        <is>
          <t>Penalty
Awarded</t>
        </is>
      </c>
      <c r="H4" s="20" t="inlineStr">
        <is>
          <t>Effective
From</t>
        </is>
      </c>
      <c r="I4" s="20" t="inlineStr">
        <is>
          <t>UGC /
Police
Reported</t>
        </is>
      </c>
      <c r="J4" s="20" t="inlineStr">
        <is>
          <t>Signed
By</t>
        </is>
      </c>
    </row>
    <row r="5" ht="26" customHeight="1">
      <c r="B5" s="14" t="inlineStr">
        <is>
          <t>ARC/2024/0001</t>
        </is>
      </c>
      <c r="C5" s="16" t="inlineStr">
        <is>
          <t>ACC-001</t>
        </is>
      </c>
      <c r="D5" s="15" t="inlineStr"/>
      <c r="E5" s="14" t="inlineStr">
        <is>
          <t>Level 1 — Minor</t>
        </is>
      </c>
      <c r="F5" s="16" t="inlineStr">
        <is>
          <t>Guilty — Penalty Awarded</t>
        </is>
      </c>
      <c r="G5" s="16" t="inlineStr">
        <is>
          <t>Written Warning + Counselling</t>
        </is>
      </c>
      <c r="H5" s="16" t="inlineStr"/>
      <c r="I5" s="16" t="inlineStr">
        <is>
          <t>Y</t>
        </is>
      </c>
      <c r="J5" s="16" t="inlineStr">
        <is>
          <t>Principal</t>
        </is>
      </c>
    </row>
    <row r="6" ht="26" customHeight="1">
      <c r="B6" s="8" t="inlineStr">
        <is>
          <t>ARC/2024/0002</t>
        </is>
      </c>
      <c r="C6" s="10" t="inlineStr">
        <is>
          <t>ACC-002</t>
        </is>
      </c>
      <c r="D6" s="9" t="inlineStr"/>
      <c r="E6" s="8" t="inlineStr">
        <is>
          <t>Level 2 — Moderate</t>
        </is>
      </c>
      <c r="F6" s="10" t="inlineStr">
        <is>
          <t>Not Guilty — Acquitted</t>
        </is>
      </c>
      <c r="G6" s="10" t="inlineStr">
        <is>
          <t>Community Service (hrs)</t>
        </is>
      </c>
      <c r="H6" s="10" t="inlineStr"/>
      <c r="I6" s="10" t="inlineStr">
        <is>
          <t>Y</t>
        </is>
      </c>
      <c r="J6" s="10" t="inlineStr">
        <is>
          <t>Principal</t>
        </is>
      </c>
    </row>
    <row r="7" ht="26" customHeight="1">
      <c r="B7" s="14" t="inlineStr">
        <is>
          <t>ARC/2024/0003</t>
        </is>
      </c>
      <c r="C7" s="16" t="inlineStr">
        <is>
          <t>ACC-003</t>
        </is>
      </c>
      <c r="D7" s="15" t="inlineStr"/>
      <c r="E7" s="14" t="inlineStr">
        <is>
          <t>Level 3 — Severe</t>
        </is>
      </c>
      <c r="F7" s="16" t="inlineStr">
        <is>
          <t>Partial Guilt — Reduced Penalty</t>
        </is>
      </c>
      <c r="G7" s="16" t="inlineStr">
        <is>
          <t>Fine (₹ amount)</t>
        </is>
      </c>
      <c r="H7" s="16" t="inlineStr"/>
      <c r="I7" s="16" t="inlineStr">
        <is>
          <t>Y</t>
        </is>
      </c>
      <c r="J7" s="16" t="inlineStr">
        <is>
          <t>Principal</t>
        </is>
      </c>
    </row>
    <row r="8" ht="26" customHeight="1">
      <c r="B8" s="8" t="inlineStr">
        <is>
          <t>ARC/2024/0004</t>
        </is>
      </c>
      <c r="C8" s="10" t="inlineStr">
        <is>
          <t>ACC-004</t>
        </is>
      </c>
      <c r="D8" s="9" t="inlineStr"/>
      <c r="E8" s="8" t="inlineStr">
        <is>
          <t>Level 1 — Minor</t>
        </is>
      </c>
      <c r="F8" s="10" t="inlineStr">
        <is>
          <t>Referred to Police</t>
        </is>
      </c>
      <c r="G8" s="10" t="inlineStr">
        <is>
          <t>Suspension (1–7 days)</t>
        </is>
      </c>
      <c r="H8" s="10" t="inlineStr"/>
      <c r="I8" s="10" t="inlineStr">
        <is>
          <t>Y</t>
        </is>
      </c>
      <c r="J8" s="10" t="inlineStr">
        <is>
          <t>Principal</t>
        </is>
      </c>
    </row>
    <row r="9" ht="26" customHeight="1">
      <c r="B9" s="14" t="inlineStr">
        <is>
          <t>ARC/2024/0005</t>
        </is>
      </c>
      <c r="C9" s="16" t="inlineStr">
        <is>
          <t>ACC-005</t>
        </is>
      </c>
      <c r="D9" s="15" t="inlineStr"/>
      <c r="E9" s="14" t="inlineStr">
        <is>
          <t>Level 2 — Moderate</t>
        </is>
      </c>
      <c r="F9" s="16" t="inlineStr">
        <is>
          <t>Insufficient Evidence — Monitoring</t>
        </is>
      </c>
      <c r="G9" s="16" t="inlineStr">
        <is>
          <t>Suspension (8–30 days)</t>
        </is>
      </c>
      <c r="H9" s="16" t="inlineStr"/>
      <c r="I9" s="16" t="inlineStr">
        <is>
          <t>Y</t>
        </is>
      </c>
      <c r="J9" s="16" t="inlineStr">
        <is>
          <t>Principal</t>
        </is>
      </c>
    </row>
    <row r="10" ht="26" customHeight="1">
      <c r="B10" s="8" t="inlineStr">
        <is>
          <t>ARC/2024/0006</t>
        </is>
      </c>
      <c r="C10" s="10" t="inlineStr">
        <is>
          <t>ACC-006</t>
        </is>
      </c>
      <c r="D10" s="9" t="inlineStr"/>
      <c r="E10" s="8" t="inlineStr">
        <is>
          <t>Level 3 — Severe</t>
        </is>
      </c>
      <c r="F10" s="10" t="inlineStr">
        <is>
          <t>Guilty — Penalty Awarded</t>
        </is>
      </c>
      <c r="G10" s="10" t="inlineStr">
        <is>
          <t>Rustication (Semester)</t>
        </is>
      </c>
      <c r="H10" s="10" t="inlineStr"/>
      <c r="I10" s="10" t="inlineStr">
        <is>
          <t>Y</t>
        </is>
      </c>
      <c r="J10" s="10" t="inlineStr">
        <is>
          <t>Principal</t>
        </is>
      </c>
    </row>
    <row r="11" ht="26" customHeight="1">
      <c r="B11" s="14" t="inlineStr">
        <is>
          <t>ARC/2024/0007</t>
        </is>
      </c>
      <c r="C11" s="16" t="inlineStr">
        <is>
          <t>ACC-007</t>
        </is>
      </c>
      <c r="D11" s="15" t="inlineStr"/>
      <c r="E11" s="14" t="inlineStr">
        <is>
          <t>Level 1 — Minor</t>
        </is>
      </c>
      <c r="F11" s="16" t="inlineStr">
        <is>
          <t>Not Guilty — Acquitted</t>
        </is>
      </c>
      <c r="G11" s="16" t="inlineStr">
        <is>
          <t>Rustication (Academic Year)</t>
        </is>
      </c>
      <c r="H11" s="16" t="inlineStr"/>
      <c r="I11" s="16" t="inlineStr">
        <is>
          <t>Y</t>
        </is>
      </c>
      <c r="J11" s="16" t="inlineStr">
        <is>
          <t>Principal</t>
        </is>
      </c>
    </row>
    <row r="12" ht="26" customHeight="1">
      <c r="B12" s="8" t="inlineStr">
        <is>
          <t>ARC/2024/0008</t>
        </is>
      </c>
      <c r="C12" s="10" t="inlineStr">
        <is>
          <t>ACC-008</t>
        </is>
      </c>
      <c r="D12" s="9" t="inlineStr"/>
      <c r="E12" s="8" t="inlineStr">
        <is>
          <t>Level 2 — Moderate</t>
        </is>
      </c>
      <c r="F12" s="10" t="inlineStr">
        <is>
          <t>Partial Guilt — Reduced Penalty</t>
        </is>
      </c>
      <c r="G12" s="10" t="inlineStr">
        <is>
          <t>Expulsion / Permanent Dismissal</t>
        </is>
      </c>
      <c r="H12" s="10" t="inlineStr"/>
      <c r="I12" s="10" t="inlineStr">
        <is>
          <t>Y</t>
        </is>
      </c>
      <c r="J12" s="10" t="inlineStr">
        <is>
          <t>Principal</t>
        </is>
      </c>
    </row>
    <row r="13" ht="26" customHeight="1">
      <c r="B13" s="14" t="inlineStr">
        <is>
          <t>ARC/2025/0009</t>
        </is>
      </c>
      <c r="C13" s="16" t="inlineStr">
        <is>
          <t>ACC-009</t>
        </is>
      </c>
      <c r="D13" s="15" t="inlineStr"/>
      <c r="E13" s="14" t="inlineStr">
        <is>
          <t>Level 3 — Severe</t>
        </is>
      </c>
      <c r="F13" s="16" t="inlineStr">
        <is>
          <t>Referred to Police</t>
        </is>
      </c>
      <c r="G13" s="16" t="inlineStr">
        <is>
          <t>Withholding of Scholarship</t>
        </is>
      </c>
      <c r="H13" s="16" t="inlineStr"/>
      <c r="I13" s="16" t="inlineStr">
        <is>
          <t>Y</t>
        </is>
      </c>
      <c r="J13" s="16" t="inlineStr">
        <is>
          <t>Principal</t>
        </is>
      </c>
    </row>
    <row r="14" ht="26" customHeight="1">
      <c r="B14" s="8" t="inlineStr">
        <is>
          <t>ARC/2025/0010</t>
        </is>
      </c>
      <c r="C14" s="10" t="inlineStr">
        <is>
          <t>ACC-010</t>
        </is>
      </c>
      <c r="D14" s="9" t="inlineStr"/>
      <c r="E14" s="8" t="inlineStr">
        <is>
          <t>Level 1 — Minor</t>
        </is>
      </c>
      <c r="F14" s="10" t="inlineStr">
        <is>
          <t>Insufficient Evidence — Monitoring</t>
        </is>
      </c>
      <c r="G14" s="10" t="inlineStr">
        <is>
          <t>Withholding of Results</t>
        </is>
      </c>
      <c r="H14" s="10" t="inlineStr"/>
      <c r="I14" s="10" t="inlineStr">
        <is>
          <t>Y</t>
        </is>
      </c>
      <c r="J14" s="10" t="inlineStr">
        <is>
          <t>Principal</t>
        </is>
      </c>
    </row>
    <row r="15" ht="26" customHeight="1">
      <c r="B15" s="14" t="inlineStr">
        <is>
          <t>ARC/2025/0011</t>
        </is>
      </c>
      <c r="C15" s="16" t="inlineStr">
        <is>
          <t>ACC-011</t>
        </is>
      </c>
      <c r="D15" s="15" t="inlineStr"/>
      <c r="E15" s="14" t="inlineStr">
        <is>
          <t>Level 2 — Moderate</t>
        </is>
      </c>
      <c r="F15" s="16" t="inlineStr">
        <is>
          <t>Guilty — Penalty Awarded</t>
        </is>
      </c>
      <c r="G15" s="16" t="inlineStr">
        <is>
          <t>Withdrawal of Facilities</t>
        </is>
      </c>
      <c r="H15" s="16" t="inlineStr"/>
      <c r="I15" s="16" t="inlineStr">
        <is>
          <t>Y</t>
        </is>
      </c>
      <c r="J15" s="16" t="inlineStr">
        <is>
          <t>Principal</t>
        </is>
      </c>
    </row>
    <row r="16" ht="26" customHeight="1">
      <c r="B16" s="8" t="inlineStr">
        <is>
          <t>ARC/2025/0012</t>
        </is>
      </c>
      <c r="C16" s="10" t="inlineStr">
        <is>
          <t>ACC-012</t>
        </is>
      </c>
      <c r="D16" s="9" t="inlineStr"/>
      <c r="E16" s="8" t="inlineStr">
        <is>
          <t>Level 3 — Severe</t>
        </is>
      </c>
      <c r="F16" s="10" t="inlineStr">
        <is>
          <t>Not Guilty — Acquitted</t>
        </is>
      </c>
      <c r="G16" s="10" t="inlineStr">
        <is>
          <t>Written Warning + Counselling</t>
        </is>
      </c>
      <c r="H16" s="10" t="inlineStr"/>
      <c r="I16" s="10" t="inlineStr">
        <is>
          <t>Y</t>
        </is>
      </c>
      <c r="J16" s="10" t="inlineStr">
        <is>
          <t>Principal</t>
        </is>
      </c>
    </row>
    <row r="17" ht="26" customHeight="1">
      <c r="B17" s="14" t="inlineStr">
        <is>
          <t>ARC/2025/0013</t>
        </is>
      </c>
      <c r="C17" s="16" t="inlineStr">
        <is>
          <t>ACC-013</t>
        </is>
      </c>
      <c r="D17" s="15" t="inlineStr"/>
      <c r="E17" s="14" t="inlineStr">
        <is>
          <t>Level 1 — Minor</t>
        </is>
      </c>
      <c r="F17" s="16" t="inlineStr">
        <is>
          <t>Partial Guilt — Reduced Penalty</t>
        </is>
      </c>
      <c r="G17" s="16" t="inlineStr">
        <is>
          <t>Community Service (hrs)</t>
        </is>
      </c>
      <c r="H17" s="16" t="inlineStr"/>
      <c r="I17" s="16" t="inlineStr">
        <is>
          <t>Y</t>
        </is>
      </c>
      <c r="J17" s="16" t="inlineStr">
        <is>
          <t>Principal</t>
        </is>
      </c>
    </row>
    <row r="18" ht="26" customHeight="1">
      <c r="B18" s="8" t="inlineStr">
        <is>
          <t>ARC/2025/0014</t>
        </is>
      </c>
      <c r="C18" s="10" t="inlineStr">
        <is>
          <t>ACC-014</t>
        </is>
      </c>
      <c r="D18" s="9" t="inlineStr"/>
      <c r="E18" s="8" t="inlineStr">
        <is>
          <t>Level 2 — Moderate</t>
        </is>
      </c>
      <c r="F18" s="10" t="inlineStr">
        <is>
          <t>Referred to Police</t>
        </is>
      </c>
      <c r="G18" s="10" t="inlineStr">
        <is>
          <t>Fine (₹ amount)</t>
        </is>
      </c>
      <c r="H18" s="10" t="inlineStr"/>
      <c r="I18" s="10" t="inlineStr">
        <is>
          <t>Y</t>
        </is>
      </c>
      <c r="J18" s="10" t="inlineStr">
        <is>
          <t>Principal</t>
        </is>
      </c>
    </row>
    <row r="19" ht="26" customHeight="1">
      <c r="B19" s="14" t="inlineStr">
        <is>
          <t>ARC/2025/0015</t>
        </is>
      </c>
      <c r="C19" s="16" t="inlineStr">
        <is>
          <t>ACC-015</t>
        </is>
      </c>
      <c r="D19" s="15" t="inlineStr"/>
      <c r="E19" s="14" t="inlineStr">
        <is>
          <t>Level 3 — Severe</t>
        </is>
      </c>
      <c r="F19" s="16" t="inlineStr">
        <is>
          <t>Insufficient Evidence — Monitoring</t>
        </is>
      </c>
      <c r="G19" s="16" t="inlineStr">
        <is>
          <t>Suspension (1–7 days)</t>
        </is>
      </c>
      <c r="H19" s="16" t="inlineStr"/>
      <c r="I19" s="16" t="inlineStr">
        <is>
          <t>Y</t>
        </is>
      </c>
      <c r="J19" s="16" t="inlineStr">
        <is>
          <t>Principal</t>
        </is>
      </c>
    </row>
    <row r="20" ht="26" customHeight="1">
      <c r="B20" s="8" t="inlineStr">
        <is>
          <t>ARC/2025/0016</t>
        </is>
      </c>
      <c r="C20" s="10" t="inlineStr">
        <is>
          <t>ACC-016</t>
        </is>
      </c>
      <c r="D20" s="9" t="inlineStr"/>
      <c r="E20" s="8" t="inlineStr">
        <is>
          <t>Level 1 — Minor</t>
        </is>
      </c>
      <c r="F20" s="10" t="inlineStr">
        <is>
          <t>Guilty — Penalty Awarded</t>
        </is>
      </c>
      <c r="G20" s="10" t="inlineStr">
        <is>
          <t>Suspension (8–30 days)</t>
        </is>
      </c>
      <c r="H20" s="10" t="inlineStr"/>
      <c r="I20" s="10" t="inlineStr">
        <is>
          <t>Y</t>
        </is>
      </c>
      <c r="J20" s="10" t="inlineStr">
        <is>
          <t>Principal</t>
        </is>
      </c>
    </row>
    <row r="21" ht="26" customHeight="1"/>
    <row r="22" ht="24" customHeight="1">
      <c r="B22" s="36" t="inlineStr">
        <is>
          <t>PENALTY STATISTICS</t>
        </is>
      </c>
    </row>
    <row r="23" ht="26" customHeight="1">
      <c r="B23" s="40" t="inlineStr">
        <is>
          <t>Total Cases Decided</t>
        </is>
      </c>
      <c r="F23" s="38">
        <f>COUNTA(B5:B20)</f>
        <v/>
      </c>
    </row>
    <row r="24">
      <c r="B24" s="27" t="inlineStr">
        <is>
          <t>Guilty — Penalty Awarded</t>
        </is>
      </c>
      <c r="F24" s="39">
        <f>COUNTIF(F5:F20,"Guilty — Penalty Awarded")</f>
        <v/>
      </c>
    </row>
    <row r="25">
      <c r="B25" s="40" t="inlineStr">
        <is>
          <t>Acquitted</t>
        </is>
      </c>
      <c r="F25" s="38">
        <f>COUNTIF(F5:F20,"Not Guilty — Acquitted")</f>
        <v/>
      </c>
    </row>
    <row r="26">
      <c r="B26" s="27" t="inlineStr">
        <is>
          <t>Referred to Police</t>
        </is>
      </c>
      <c r="F26" s="39">
        <f>COUNTIF(F5:F20,"Referred to Police")</f>
        <v/>
      </c>
    </row>
    <row r="27">
      <c r="B27" s="40" t="inlineStr">
        <is>
          <t>Rustication / Expulsion</t>
        </is>
      </c>
      <c r="F27" s="38">
        <f>COUNTIF(G5:G20,"Rustication (Semester)")+COUNTIF(G5:G20,"Expulsion / Permanent Dismissal")</f>
        <v/>
      </c>
    </row>
    <row r="28">
      <c r="B28" s="27" t="inlineStr">
        <is>
          <t>Cases Reported to UGC</t>
        </is>
      </c>
      <c r="F28" s="39">
        <f>COUNTIF(I5:I20,"Y")</f>
        <v/>
      </c>
    </row>
  </sheetData>
  <mergeCells count="15">
    <mergeCell ref="B23:E23"/>
    <mergeCell ref="B26:E26"/>
    <mergeCell ref="B3:J3"/>
    <mergeCell ref="B27:E27"/>
    <mergeCell ref="F24:J24"/>
    <mergeCell ref="F23:J23"/>
    <mergeCell ref="B22:J22"/>
    <mergeCell ref="F25:J25"/>
    <mergeCell ref="F27:J27"/>
    <mergeCell ref="B25:E25"/>
    <mergeCell ref="F28:J28"/>
    <mergeCell ref="B24:E24"/>
    <mergeCell ref="B28:E28"/>
    <mergeCell ref="F26:J26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ARC-25: MANDATORY REPORTING TO UGC / POLICE / STATE AUTHORITY REGISTER</t>
        </is>
      </c>
    </row>
    <row r="3" ht="20" customHeight="1">
      <c r="B3" s="17" t="inlineStr">
        <is>
          <t>LEGAL OBLIGATION: Any serious ragging incident (Level 2 or above) MUST be reported to police (FIR) and UGC (anti-ragging.in portal) within 24 hours. Failure to report is punishable. No suppression of complaints.</t>
        </is>
      </c>
    </row>
    <row r="4" ht="25" customHeight="1">
      <c r="B4" s="20" t="inlineStr">
        <is>
          <t>Report
Ref.</t>
        </is>
      </c>
      <c r="C4" s="20" t="inlineStr">
        <is>
          <t>Case Ref.</t>
        </is>
      </c>
      <c r="D4" s="20" t="inlineStr">
        <is>
          <t>Reporting
Authority</t>
        </is>
      </c>
      <c r="E4" s="20" t="inlineStr">
        <is>
          <t>Date of
Incident</t>
        </is>
      </c>
      <c r="F4" s="20" t="inlineStr">
        <is>
          <t>Date of
Report</t>
        </is>
      </c>
      <c r="G4" s="20" t="inlineStr">
        <is>
          <t>Report
Mode</t>
        </is>
      </c>
      <c r="H4" s="20" t="inlineStr">
        <is>
          <t>FIR No.
/ Portal Ref.</t>
        </is>
      </c>
      <c r="I4" s="20" t="inlineStr">
        <is>
          <t>Action by
Authority</t>
        </is>
      </c>
      <c r="J4" s="20" t="inlineStr">
        <is>
          <t>Outcome</t>
        </is>
      </c>
    </row>
    <row r="5" ht="24" customHeight="1">
      <c r="B5" s="14" t="inlineStr">
        <is>
          <t>RPT/2024/001</t>
        </is>
      </c>
      <c r="C5" s="16" t="inlineStr">
        <is>
          <t>ARC/2024/0001</t>
        </is>
      </c>
      <c r="D5" s="15" t="inlineStr">
        <is>
          <t>Police — FIR</t>
        </is>
      </c>
      <c r="E5" s="16" t="inlineStr"/>
      <c r="F5" s="16" t="inlineStr"/>
      <c r="G5" s="16" t="inlineStr">
        <is>
          <t>Online / Physical</t>
        </is>
      </c>
      <c r="H5" s="16" t="inlineStr"/>
      <c r="I5" s="15" t="inlineStr"/>
      <c r="J5" s="15" t="inlineStr"/>
    </row>
    <row r="6" ht="24" customHeight="1">
      <c r="B6" s="8" t="inlineStr">
        <is>
          <t>RPT/2024/002</t>
        </is>
      </c>
      <c r="C6" s="10" t="inlineStr">
        <is>
          <t>ARC/2024/0002</t>
        </is>
      </c>
      <c r="D6" s="9" t="inlineStr">
        <is>
          <t>UGC Anti-Ragging Portal</t>
        </is>
      </c>
      <c r="E6" s="10" t="inlineStr"/>
      <c r="F6" s="10" t="inlineStr"/>
      <c r="G6" s="10" t="inlineStr">
        <is>
          <t>Online / Physical</t>
        </is>
      </c>
      <c r="H6" s="10" t="inlineStr"/>
      <c r="I6" s="9" t="inlineStr"/>
      <c r="J6" s="9" t="inlineStr"/>
    </row>
    <row r="7" ht="24" customHeight="1">
      <c r="B7" s="14" t="inlineStr">
        <is>
          <t>RPT/2024/003</t>
        </is>
      </c>
      <c r="C7" s="16" t="inlineStr">
        <is>
          <t>ARC/2024/0003</t>
        </is>
      </c>
      <c r="D7" s="15" t="inlineStr">
        <is>
          <t>State Higher Education Dept.</t>
        </is>
      </c>
      <c r="E7" s="16" t="inlineStr"/>
      <c r="F7" s="16" t="inlineStr"/>
      <c r="G7" s="16" t="inlineStr">
        <is>
          <t>Online / Physical</t>
        </is>
      </c>
      <c r="H7" s="16" t="inlineStr"/>
      <c r="I7" s="15" t="inlineStr"/>
      <c r="J7" s="15" t="inlineStr"/>
    </row>
    <row r="8" ht="24" customHeight="1">
      <c r="B8" s="8" t="inlineStr">
        <is>
          <t>RPT/2024/004</t>
        </is>
      </c>
      <c r="C8" s="10" t="inlineStr">
        <is>
          <t>ARC/2024/0004</t>
        </is>
      </c>
      <c r="D8" s="9" t="inlineStr">
        <is>
          <t>University (Affiliated)</t>
        </is>
      </c>
      <c r="E8" s="10" t="inlineStr"/>
      <c r="F8" s="10" t="inlineStr"/>
      <c r="G8" s="10" t="inlineStr">
        <is>
          <t>Online / Physical</t>
        </is>
      </c>
      <c r="H8" s="10" t="inlineStr"/>
      <c r="I8" s="9" t="inlineStr"/>
      <c r="J8" s="9" t="inlineStr"/>
    </row>
    <row r="9" ht="24" customHeight="1">
      <c r="B9" s="14" t="inlineStr">
        <is>
          <t>RPT/2024/005</t>
        </is>
      </c>
      <c r="C9" s="16" t="inlineStr">
        <is>
          <t>ARC/2024/0005</t>
        </is>
      </c>
      <c r="D9" s="15" t="inlineStr">
        <is>
          <t>NCPCR (if minor involved)</t>
        </is>
      </c>
      <c r="E9" s="16" t="inlineStr"/>
      <c r="F9" s="16" t="inlineStr"/>
      <c r="G9" s="16" t="inlineStr">
        <is>
          <t>Online / Physical</t>
        </is>
      </c>
      <c r="H9" s="16" t="inlineStr"/>
      <c r="I9" s="15" t="inlineStr"/>
      <c r="J9" s="15" t="inlineStr"/>
    </row>
    <row r="10" ht="24" customHeight="1">
      <c r="B10" s="8" t="inlineStr">
        <is>
          <t>RPT/2024/006</t>
        </is>
      </c>
      <c r="C10" s="10" t="inlineStr">
        <is>
          <t>ARC/2024/0006</t>
        </is>
      </c>
      <c r="D10" s="9" t="inlineStr">
        <is>
          <t>National Commission for Women (if sexual harassment)</t>
        </is>
      </c>
      <c r="E10" s="10" t="inlineStr"/>
      <c r="F10" s="10" t="inlineStr"/>
      <c r="G10" s="10" t="inlineStr">
        <is>
          <t>Online / Physical</t>
        </is>
      </c>
      <c r="H10" s="10" t="inlineStr"/>
      <c r="I10" s="9" t="inlineStr"/>
      <c r="J10" s="9" t="inlineStr"/>
    </row>
    <row r="11" ht="24" customHeight="1">
      <c r="B11" s="14" t="inlineStr">
        <is>
          <t>RPT/2025/007</t>
        </is>
      </c>
      <c r="C11" s="16" t="inlineStr">
        <is>
          <t>ARC/2025/0007</t>
        </is>
      </c>
      <c r="D11" s="15" t="inlineStr">
        <is>
          <t>Police — FIR</t>
        </is>
      </c>
      <c r="E11" s="16" t="inlineStr"/>
      <c r="F11" s="16" t="inlineStr"/>
      <c r="G11" s="16" t="inlineStr">
        <is>
          <t>Online / Physical</t>
        </is>
      </c>
      <c r="H11" s="16" t="inlineStr"/>
      <c r="I11" s="15" t="inlineStr"/>
      <c r="J11" s="15" t="inlineStr"/>
    </row>
    <row r="12" ht="24" customHeight="1">
      <c r="B12" s="8" t="inlineStr">
        <is>
          <t>RPT/2025/008</t>
        </is>
      </c>
      <c r="C12" s="10" t="inlineStr">
        <is>
          <t>ARC/2025/0008</t>
        </is>
      </c>
      <c r="D12" s="9" t="inlineStr">
        <is>
          <t>UGC Anti-Ragging Portal</t>
        </is>
      </c>
      <c r="E12" s="10" t="inlineStr"/>
      <c r="F12" s="10" t="inlineStr"/>
      <c r="G12" s="10" t="inlineStr">
        <is>
          <t>Online / Physical</t>
        </is>
      </c>
      <c r="H12" s="10" t="inlineStr"/>
      <c r="I12" s="9" t="inlineStr"/>
      <c r="J12" s="9" t="inlineStr"/>
    </row>
    <row r="13" ht="24" customHeight="1">
      <c r="B13" s="14" t="inlineStr">
        <is>
          <t>RPT/2025/009</t>
        </is>
      </c>
      <c r="C13" s="16" t="inlineStr">
        <is>
          <t>ARC/2025/0009</t>
        </is>
      </c>
      <c r="D13" s="15" t="inlineStr">
        <is>
          <t>State Higher Education Dept.</t>
        </is>
      </c>
      <c r="E13" s="16" t="inlineStr"/>
      <c r="F13" s="16" t="inlineStr"/>
      <c r="G13" s="16" t="inlineStr">
        <is>
          <t>Online / Physical</t>
        </is>
      </c>
      <c r="H13" s="16" t="inlineStr"/>
      <c r="I13" s="15" t="inlineStr"/>
      <c r="J13" s="15" t="inlineStr"/>
    </row>
    <row r="14" ht="24" customHeight="1">
      <c r="B14" s="8" t="inlineStr">
        <is>
          <t>RPT/2025/010</t>
        </is>
      </c>
      <c r="C14" s="10" t="inlineStr">
        <is>
          <t>ARC/2025/0010</t>
        </is>
      </c>
      <c r="D14" s="9" t="inlineStr">
        <is>
          <t>University (Affiliated)</t>
        </is>
      </c>
      <c r="E14" s="10" t="inlineStr"/>
      <c r="F14" s="10" t="inlineStr"/>
      <c r="G14" s="10" t="inlineStr">
        <is>
          <t>Online / Physical</t>
        </is>
      </c>
      <c r="H14" s="10" t="inlineStr"/>
      <c r="I14" s="9" t="inlineStr"/>
      <c r="J14" s="9" t="inlineStr"/>
    </row>
    <row r="15" ht="24" customHeight="1">
      <c r="B15" s="14" t="inlineStr">
        <is>
          <t>RPT/2025/011</t>
        </is>
      </c>
      <c r="C15" s="16" t="inlineStr">
        <is>
          <t>ARC/2025/0011</t>
        </is>
      </c>
      <c r="D15" s="15" t="inlineStr">
        <is>
          <t>NCPCR (if minor involved)</t>
        </is>
      </c>
      <c r="E15" s="16" t="inlineStr"/>
      <c r="F15" s="16" t="inlineStr"/>
      <c r="G15" s="16" t="inlineStr">
        <is>
          <t>Online / Physical</t>
        </is>
      </c>
      <c r="H15" s="16" t="inlineStr"/>
      <c r="I15" s="15" t="inlineStr"/>
      <c r="J15" s="15" t="inlineStr"/>
    </row>
    <row r="16" ht="24" customHeight="1">
      <c r="B16" s="8" t="inlineStr">
        <is>
          <t>RPT/2025/012</t>
        </is>
      </c>
      <c r="C16" s="10" t="inlineStr">
        <is>
          <t>ARC/2025/0012</t>
        </is>
      </c>
      <c r="D16" s="9" t="inlineStr">
        <is>
          <t>National Commission for Women (if sexual harassment)</t>
        </is>
      </c>
      <c r="E16" s="10" t="inlineStr"/>
      <c r="F16" s="10" t="inlineStr"/>
      <c r="G16" s="10" t="inlineStr">
        <is>
          <t>Online / Physical</t>
        </is>
      </c>
      <c r="H16" s="10" t="inlineStr"/>
      <c r="I16" s="9" t="inlineStr"/>
      <c r="J16" s="9" t="inlineStr"/>
    </row>
    <row r="17" ht="24" customHeight="1"/>
    <row r="18" ht="24" customHeight="1">
      <c r="B18" s="36" t="inlineStr">
        <is>
          <t>REPORTING COMPLIANCE SUMMARY</t>
        </is>
      </c>
    </row>
    <row r="19" ht="24" customHeight="1">
      <c r="B19" s="40" t="inlineStr">
        <is>
          <t>Total Cases Requiring Mandatory Reporting</t>
        </is>
      </c>
      <c r="F19" s="38">
        <f>COUNTA(B5:B16)</f>
        <v/>
      </c>
    </row>
    <row r="20" ht="24" customHeight="1">
      <c r="B20" s="27" t="inlineStr">
        <is>
          <t>Reported to Police (FIR)</t>
        </is>
      </c>
      <c r="F20" s="39">
        <f>COUNTIF(D5:D16,"Police — FIR")</f>
        <v/>
      </c>
    </row>
    <row r="21" ht="24" customHeight="1">
      <c r="B21" s="40" t="inlineStr">
        <is>
          <t>Reported to UGC Portal</t>
        </is>
      </c>
      <c r="F21" s="38">
        <f>COUNTIF(D5:D16,"UGC Anti-Ragging Portal")</f>
        <v/>
      </c>
    </row>
    <row r="22" ht="24" customHeight="1">
      <c r="B22" s="27" t="inlineStr">
        <is>
          <t>Reporting within 24 Hours (%)</t>
        </is>
      </c>
      <c r="F22" s="39" t="inlineStr"/>
    </row>
    <row r="23" ht="24" customHeight="1">
      <c r="B23" s="40" t="inlineStr">
        <is>
          <t>Cases with FIR Registered</t>
        </is>
      </c>
      <c r="F23" s="38">
        <f>COUNTIF(H5:H16,"&lt;&gt;"&amp;"")</f>
        <v/>
      </c>
    </row>
    <row r="24">
      <c r="B24" s="27" t="inlineStr">
        <is>
          <t>Cases Suppressed / Delayed — Action Taken</t>
        </is>
      </c>
      <c r="F24" s="39" t="inlineStr"/>
    </row>
  </sheetData>
  <mergeCells count="15">
    <mergeCell ref="B23:E23"/>
    <mergeCell ref="B3:J3"/>
    <mergeCell ref="F21:J21"/>
    <mergeCell ref="F24:J24"/>
    <mergeCell ref="F20:J20"/>
    <mergeCell ref="F23:J23"/>
    <mergeCell ref="B21:E21"/>
    <mergeCell ref="F19:J19"/>
    <mergeCell ref="B18:J18"/>
    <mergeCell ref="B24:E24"/>
    <mergeCell ref="B19:E19"/>
    <mergeCell ref="B20:E20"/>
    <mergeCell ref="F22:J22"/>
    <mergeCell ref="B22:E22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ARC-26: VICTIM SUPPORT &amp; COUNSELLING REGISTER</t>
        </is>
      </c>
    </row>
    <row r="3" ht="18" customHeight="1">
      <c r="B3" s="24" t="inlineStr">
        <is>
          <t>CONFIDENTIAL — Victim identity and counselling details are private. Share only on Principal's written order or court direction.</t>
        </is>
      </c>
    </row>
    <row r="4" ht="25" customHeight="1">
      <c r="B4" s="2" t="inlineStr">
        <is>
          <t>Counsellor: ___________________  Medical Officer: ___________________  A.Y.: _______</t>
        </is>
      </c>
    </row>
    <row r="5" ht="24" customHeight="1">
      <c r="B5" s="50" t="inlineStr">
        <is>
          <t>Support
Ref.</t>
        </is>
      </c>
      <c r="C5" s="50" t="inlineStr">
        <is>
          <t>Victim
(Code)</t>
        </is>
      </c>
      <c r="D5" s="50" t="inlineStr">
        <is>
          <t>Case Ref.</t>
        </is>
      </c>
      <c r="E5" s="50" t="inlineStr">
        <is>
          <t>Support
Type</t>
        </is>
      </c>
      <c r="F5" s="50" t="inlineStr">
        <is>
          <t>Date</t>
        </is>
      </c>
      <c r="G5" s="50" t="inlineStr">
        <is>
          <t>Counselling
Sessions</t>
        </is>
      </c>
      <c r="H5" s="50" t="inlineStr">
        <is>
          <t>Medical
Attention</t>
        </is>
      </c>
      <c r="I5" s="50" t="inlineStr">
        <is>
          <t>External
Referral</t>
        </is>
      </c>
      <c r="J5" s="50" t="inlineStr">
        <is>
          <t>Progress
Rating</t>
        </is>
      </c>
    </row>
    <row r="6" ht="24" customHeight="1">
      <c r="B6" s="51" t="inlineStr">
        <is>
          <t>SUP/001</t>
        </is>
      </c>
      <c r="C6" s="52" t="inlineStr">
        <is>
          <t>VIC-001</t>
        </is>
      </c>
      <c r="D6" s="52" t="inlineStr">
        <is>
          <t>ARC/2024/0001</t>
        </is>
      </c>
      <c r="E6" s="52" t="inlineStr">
        <is>
          <t>Psychological Counselling</t>
        </is>
      </c>
      <c r="F6" s="52" t="inlineStr"/>
      <c r="G6" s="52" t="inlineStr"/>
      <c r="H6" s="52" t="inlineStr">
        <is>
          <t>Y</t>
        </is>
      </c>
      <c r="I6" s="52" t="inlineStr">
        <is>
          <t>N</t>
        </is>
      </c>
      <c r="J6" s="52" t="inlineStr">
        <is>
          <t>Recovering Well</t>
        </is>
      </c>
    </row>
    <row r="7" ht="24" customHeight="1">
      <c r="B7" s="8" t="inlineStr">
        <is>
          <t>SUP/002</t>
        </is>
      </c>
      <c r="C7" s="10" t="inlineStr">
        <is>
          <t>VIC-002</t>
        </is>
      </c>
      <c r="D7" s="10" t="inlineStr">
        <is>
          <t>ARC/2024/0002</t>
        </is>
      </c>
      <c r="E7" s="10" t="inlineStr">
        <is>
          <t>Medical Treatment / First Aid</t>
        </is>
      </c>
      <c r="F7" s="10" t="inlineStr"/>
      <c r="G7" s="10" t="inlineStr"/>
      <c r="H7" s="10" t="inlineStr">
        <is>
          <t>Y</t>
        </is>
      </c>
      <c r="I7" s="10" t="inlineStr">
        <is>
          <t>N</t>
        </is>
      </c>
      <c r="J7" s="10" t="inlineStr">
        <is>
          <t>Stable — Ongoing Support</t>
        </is>
      </c>
    </row>
    <row r="8" ht="24" customHeight="1">
      <c r="B8" s="51" t="inlineStr">
        <is>
          <t>SUP/003</t>
        </is>
      </c>
      <c r="C8" s="52" t="inlineStr">
        <is>
          <t>VIC-003</t>
        </is>
      </c>
      <c r="D8" s="52" t="inlineStr">
        <is>
          <t>ARC/2024/0003</t>
        </is>
      </c>
      <c r="E8" s="52" t="inlineStr">
        <is>
          <t>Temporary Hostel Change</t>
        </is>
      </c>
      <c r="F8" s="52" t="inlineStr"/>
      <c r="G8" s="52" t="inlineStr"/>
      <c r="H8" s="52" t="inlineStr">
        <is>
          <t>Y</t>
        </is>
      </c>
      <c r="I8" s="52" t="inlineStr">
        <is>
          <t>N</t>
        </is>
      </c>
      <c r="J8" s="52" t="inlineStr">
        <is>
          <t>Needs Intensive Support</t>
        </is>
      </c>
    </row>
    <row r="9" ht="24" customHeight="1">
      <c r="B9" s="8" t="inlineStr">
        <is>
          <t>SUP/004</t>
        </is>
      </c>
      <c r="C9" s="10" t="inlineStr">
        <is>
          <t>VIC-004</t>
        </is>
      </c>
      <c r="D9" s="10" t="inlineStr">
        <is>
          <t>ARC/2024/0004</t>
        </is>
      </c>
      <c r="E9" s="10" t="inlineStr">
        <is>
          <t>Academic Accommodation (Grace Marks)</t>
        </is>
      </c>
      <c r="F9" s="10" t="inlineStr"/>
      <c r="G9" s="10" t="inlineStr"/>
      <c r="H9" s="10" t="inlineStr">
        <is>
          <t>Y</t>
        </is>
      </c>
      <c r="I9" s="10" t="inlineStr">
        <is>
          <t>N</t>
        </is>
      </c>
      <c r="J9" s="10" t="inlineStr">
        <is>
          <t>Critical — External Referral Made</t>
        </is>
      </c>
    </row>
    <row r="10" ht="24" customHeight="1">
      <c r="B10" s="51" t="inlineStr">
        <is>
          <t>SUP/005</t>
        </is>
      </c>
      <c r="C10" s="52" t="inlineStr">
        <is>
          <t>VIC-005</t>
        </is>
      </c>
      <c r="D10" s="52" t="inlineStr">
        <is>
          <t>ARC/2024/0005</t>
        </is>
      </c>
      <c r="E10" s="52" t="inlineStr">
        <is>
          <t>Legal Assistance</t>
        </is>
      </c>
      <c r="F10" s="52" t="inlineStr"/>
      <c r="G10" s="52" t="inlineStr"/>
      <c r="H10" s="52" t="inlineStr">
        <is>
          <t>Y</t>
        </is>
      </c>
      <c r="I10" s="52" t="inlineStr">
        <is>
          <t>N</t>
        </is>
      </c>
      <c r="J10" s="52" t="inlineStr">
        <is>
          <t>Recovering Well</t>
        </is>
      </c>
    </row>
    <row r="11" ht="24" customHeight="1">
      <c r="B11" s="8" t="inlineStr">
        <is>
          <t>SUP/006</t>
        </is>
      </c>
      <c r="C11" s="10" t="inlineStr">
        <is>
          <t>VIC-006</t>
        </is>
      </c>
      <c r="D11" s="10" t="inlineStr">
        <is>
          <t>ARC/2024/0006</t>
        </is>
      </c>
      <c r="E11" s="10" t="inlineStr">
        <is>
          <t>Peer Support Group</t>
        </is>
      </c>
      <c r="F11" s="10" t="inlineStr"/>
      <c r="G11" s="10" t="inlineStr"/>
      <c r="H11" s="10" t="inlineStr">
        <is>
          <t>Y</t>
        </is>
      </c>
      <c r="I11" s="10" t="inlineStr">
        <is>
          <t>N</t>
        </is>
      </c>
      <c r="J11" s="10" t="inlineStr">
        <is>
          <t>Stable — Ongoing Support</t>
        </is>
      </c>
    </row>
    <row r="12" ht="24" customHeight="1">
      <c r="B12" s="51" t="inlineStr">
        <is>
          <t>SUP/007</t>
        </is>
      </c>
      <c r="C12" s="52" t="inlineStr">
        <is>
          <t>VIC-007</t>
        </is>
      </c>
      <c r="D12" s="52" t="inlineStr">
        <is>
          <t>ARC/2024/0007</t>
        </is>
      </c>
      <c r="E12" s="52" t="inlineStr">
        <is>
          <t>Family Connect</t>
        </is>
      </c>
      <c r="F12" s="52" t="inlineStr"/>
      <c r="G12" s="52" t="inlineStr"/>
      <c r="H12" s="52" t="inlineStr">
        <is>
          <t>Y</t>
        </is>
      </c>
      <c r="I12" s="52" t="inlineStr">
        <is>
          <t>N</t>
        </is>
      </c>
      <c r="J12" s="52" t="inlineStr">
        <is>
          <t>Needs Intensive Support</t>
        </is>
      </c>
    </row>
    <row r="13" ht="24" customHeight="1">
      <c r="B13" s="8" t="inlineStr">
        <is>
          <t>SUP/008</t>
        </is>
      </c>
      <c r="C13" s="10" t="inlineStr">
        <is>
          <t>VIC-008</t>
        </is>
      </c>
      <c r="D13" s="10" t="inlineStr">
        <is>
          <t>ARC/2024/0008</t>
        </is>
      </c>
      <c r="E13" s="10" t="inlineStr">
        <is>
          <t>External Psychiatric Referral</t>
        </is>
      </c>
      <c r="F13" s="10" t="inlineStr"/>
      <c r="G13" s="10" t="inlineStr"/>
      <c r="H13" s="10" t="inlineStr">
        <is>
          <t>Y</t>
        </is>
      </c>
      <c r="I13" s="10" t="inlineStr">
        <is>
          <t>N</t>
        </is>
      </c>
      <c r="J13" s="10" t="inlineStr">
        <is>
          <t>Critical — External Referral Made</t>
        </is>
      </c>
    </row>
    <row r="14" ht="24" customHeight="1">
      <c r="B14" s="51" t="inlineStr">
        <is>
          <t>SUP/009</t>
        </is>
      </c>
      <c r="C14" s="52" t="inlineStr">
        <is>
          <t>VIC-009</t>
        </is>
      </c>
      <c r="D14" s="52" t="inlineStr">
        <is>
          <t>ARC/2024/0009</t>
        </is>
      </c>
      <c r="E14" s="52" t="inlineStr">
        <is>
          <t>Police Statement Support</t>
        </is>
      </c>
      <c r="F14" s="52" t="inlineStr"/>
      <c r="G14" s="52" t="inlineStr"/>
      <c r="H14" s="52" t="inlineStr">
        <is>
          <t>Y</t>
        </is>
      </c>
      <c r="I14" s="52" t="inlineStr">
        <is>
          <t>N</t>
        </is>
      </c>
      <c r="J14" s="52" t="inlineStr">
        <is>
          <t>Recovering Well</t>
        </is>
      </c>
    </row>
    <row r="15" ht="24" customHeight="1">
      <c r="B15" s="8" t="inlineStr">
        <is>
          <t>SUP/010</t>
        </is>
      </c>
      <c r="C15" s="10" t="inlineStr">
        <is>
          <t>VIC-010</t>
        </is>
      </c>
      <c r="D15" s="10" t="inlineStr">
        <is>
          <t>ARC/2025/0010</t>
        </is>
      </c>
      <c r="E15" s="10" t="inlineStr">
        <is>
          <t>Relocation Support</t>
        </is>
      </c>
      <c r="F15" s="10" t="inlineStr"/>
      <c r="G15" s="10" t="inlineStr"/>
      <c r="H15" s="10" t="inlineStr">
        <is>
          <t>Y</t>
        </is>
      </c>
      <c r="I15" s="10" t="inlineStr">
        <is>
          <t>N</t>
        </is>
      </c>
      <c r="J15" s="10" t="inlineStr">
        <is>
          <t>Stable — Ongoing Support</t>
        </is>
      </c>
    </row>
    <row r="16" ht="24" customHeight="1">
      <c r="B16" s="51" t="inlineStr">
        <is>
          <t>SUP/011</t>
        </is>
      </c>
      <c r="C16" s="52" t="inlineStr">
        <is>
          <t>VIC-011</t>
        </is>
      </c>
      <c r="D16" s="52" t="inlineStr">
        <is>
          <t>ARC/2025/0011</t>
        </is>
      </c>
      <c r="E16" s="52" t="inlineStr">
        <is>
          <t>Psychological Counselling</t>
        </is>
      </c>
      <c r="F16" s="52" t="inlineStr"/>
      <c r="G16" s="52" t="inlineStr"/>
      <c r="H16" s="52" t="inlineStr">
        <is>
          <t>Y</t>
        </is>
      </c>
      <c r="I16" s="52" t="inlineStr">
        <is>
          <t>N</t>
        </is>
      </c>
      <c r="J16" s="52" t="inlineStr">
        <is>
          <t>Needs Intensive Support</t>
        </is>
      </c>
    </row>
    <row r="17" ht="24" customHeight="1">
      <c r="B17" s="8" t="inlineStr">
        <is>
          <t>SUP/012</t>
        </is>
      </c>
      <c r="C17" s="10" t="inlineStr">
        <is>
          <t>VIC-012</t>
        </is>
      </c>
      <c r="D17" s="10" t="inlineStr">
        <is>
          <t>ARC/2025/0012</t>
        </is>
      </c>
      <c r="E17" s="10" t="inlineStr">
        <is>
          <t>Medical Treatment / First Aid</t>
        </is>
      </c>
      <c r="F17" s="10" t="inlineStr"/>
      <c r="G17" s="10" t="inlineStr"/>
      <c r="H17" s="10" t="inlineStr">
        <is>
          <t>Y</t>
        </is>
      </c>
      <c r="I17" s="10" t="inlineStr">
        <is>
          <t>N</t>
        </is>
      </c>
      <c r="J17" s="10" t="inlineStr">
        <is>
          <t>Critical — External Referral Made</t>
        </is>
      </c>
    </row>
    <row r="18" ht="24" customHeight="1">
      <c r="B18" s="51" t="inlineStr">
        <is>
          <t>SUP/013</t>
        </is>
      </c>
      <c r="C18" s="52" t="inlineStr">
        <is>
          <t>VIC-013</t>
        </is>
      </c>
      <c r="D18" s="52" t="inlineStr">
        <is>
          <t>ARC/2025/0013</t>
        </is>
      </c>
      <c r="E18" s="52" t="inlineStr">
        <is>
          <t>Temporary Hostel Change</t>
        </is>
      </c>
      <c r="F18" s="52" t="inlineStr"/>
      <c r="G18" s="52" t="inlineStr"/>
      <c r="H18" s="52" t="inlineStr">
        <is>
          <t>Y</t>
        </is>
      </c>
      <c r="I18" s="52" t="inlineStr">
        <is>
          <t>N</t>
        </is>
      </c>
      <c r="J18" s="52" t="inlineStr">
        <is>
          <t>Recovering Well</t>
        </is>
      </c>
    </row>
    <row r="19" ht="24" customHeight="1">
      <c r="B19" s="8" t="inlineStr">
        <is>
          <t>SUP/014</t>
        </is>
      </c>
      <c r="C19" s="10" t="inlineStr">
        <is>
          <t>VIC-014</t>
        </is>
      </c>
      <c r="D19" s="10" t="inlineStr">
        <is>
          <t>ARC/2025/0014</t>
        </is>
      </c>
      <c r="E19" s="10" t="inlineStr">
        <is>
          <t>Academic Accommodation (Grace Marks)</t>
        </is>
      </c>
      <c r="F19" s="10" t="inlineStr"/>
      <c r="G19" s="10" t="inlineStr"/>
      <c r="H19" s="10" t="inlineStr">
        <is>
          <t>Y</t>
        </is>
      </c>
      <c r="I19" s="10" t="inlineStr">
        <is>
          <t>N</t>
        </is>
      </c>
      <c r="J19" s="10" t="inlineStr">
        <is>
          <t>Stable — Ongoing Support</t>
        </is>
      </c>
    </row>
    <row r="20" ht="24" customHeight="1">
      <c r="B20" s="51" t="inlineStr">
        <is>
          <t>SUP/015</t>
        </is>
      </c>
      <c r="C20" s="52" t="inlineStr">
        <is>
          <t>VIC-015</t>
        </is>
      </c>
      <c r="D20" s="52" t="inlineStr">
        <is>
          <t>ARC/2025/0015</t>
        </is>
      </c>
      <c r="E20" s="52" t="inlineStr">
        <is>
          <t>Legal Assistance</t>
        </is>
      </c>
      <c r="F20" s="52" t="inlineStr"/>
      <c r="G20" s="52" t="inlineStr"/>
      <c r="H20" s="52" t="inlineStr">
        <is>
          <t>Y</t>
        </is>
      </c>
      <c r="I20" s="52" t="inlineStr">
        <is>
          <t>N</t>
        </is>
      </c>
      <c r="J20" s="52" t="inlineStr">
        <is>
          <t>Needs Intensive Support</t>
        </is>
      </c>
    </row>
    <row r="21" ht="24" customHeight="1">
      <c r="B21" s="8" t="inlineStr">
        <is>
          <t>SUP/016</t>
        </is>
      </c>
      <c r="C21" s="10" t="inlineStr">
        <is>
          <t>VIC-016</t>
        </is>
      </c>
      <c r="D21" s="10" t="inlineStr">
        <is>
          <t>ARC/2025/0016</t>
        </is>
      </c>
      <c r="E21" s="10" t="inlineStr">
        <is>
          <t>Peer Support Group</t>
        </is>
      </c>
      <c r="F21" s="10" t="inlineStr"/>
      <c r="G21" s="10" t="inlineStr"/>
      <c r="H21" s="10" t="inlineStr">
        <is>
          <t>Y</t>
        </is>
      </c>
      <c r="I21" s="10" t="inlineStr">
        <is>
          <t>N</t>
        </is>
      </c>
      <c r="J21" s="10" t="inlineStr">
        <is>
          <t>Critical — External Referral Made</t>
        </is>
      </c>
    </row>
    <row r="22" ht="24" customHeight="1">
      <c r="B22" s="51" t="inlineStr">
        <is>
          <t>SUP/017</t>
        </is>
      </c>
      <c r="C22" s="52" t="inlineStr">
        <is>
          <t>VIC-017</t>
        </is>
      </c>
      <c r="D22" s="52" t="inlineStr">
        <is>
          <t>ARC/2025/0017</t>
        </is>
      </c>
      <c r="E22" s="52" t="inlineStr">
        <is>
          <t>Family Connect</t>
        </is>
      </c>
      <c r="F22" s="52" t="inlineStr"/>
      <c r="G22" s="52" t="inlineStr"/>
      <c r="H22" s="52" t="inlineStr">
        <is>
          <t>Y</t>
        </is>
      </c>
      <c r="I22" s="52" t="inlineStr">
        <is>
          <t>N</t>
        </is>
      </c>
      <c r="J22" s="52" t="inlineStr">
        <is>
          <t>Recovering Well</t>
        </is>
      </c>
    </row>
    <row r="23" ht="24" customHeight="1">
      <c r="B23" s="8" t="inlineStr">
        <is>
          <t>SUP/018</t>
        </is>
      </c>
      <c r="C23" s="10" t="inlineStr">
        <is>
          <t>VIC-018</t>
        </is>
      </c>
      <c r="D23" s="10" t="inlineStr">
        <is>
          <t>ARC/2025/0018</t>
        </is>
      </c>
      <c r="E23" s="10" t="inlineStr">
        <is>
          <t>External Psychiatric Referral</t>
        </is>
      </c>
      <c r="F23" s="10" t="inlineStr"/>
      <c r="G23" s="10" t="inlineStr"/>
      <c r="H23" s="10" t="inlineStr">
        <is>
          <t>Y</t>
        </is>
      </c>
      <c r="I23" s="10" t="inlineStr">
        <is>
          <t>N</t>
        </is>
      </c>
      <c r="J23" s="10" t="inlineStr">
        <is>
          <t>Stable — Ongoing Support</t>
        </is>
      </c>
    </row>
    <row r="24" ht="24" customHeight="1"/>
    <row r="25" ht="24" customHeight="1">
      <c r="B25" s="36" t="inlineStr">
        <is>
          <t>VICTIM SUPPORT SUMMARY</t>
        </is>
      </c>
    </row>
    <row r="26" ht="24" customHeight="1">
      <c r="B26" s="53" t="inlineStr">
        <is>
          <t>Total Victims Supported</t>
        </is>
      </c>
      <c r="F26" s="38">
        <f>COUNTA(B6:B23)</f>
        <v/>
      </c>
    </row>
    <row r="27" ht="24" customHeight="1">
      <c r="B27" s="27" t="inlineStr">
        <is>
          <t>Counselling Sessions Provided</t>
        </is>
      </c>
      <c r="F27" s="39">
        <f>IFERROR(SUM(G6:G23),"")</f>
        <v/>
      </c>
    </row>
    <row r="28">
      <c r="B28" s="53" t="inlineStr">
        <is>
          <t>External Referrals Made</t>
        </is>
      </c>
      <c r="F28" s="38">
        <f>COUNTIF(I6:I23,"Y")</f>
        <v/>
      </c>
    </row>
    <row r="29">
      <c r="B29" s="27" t="inlineStr">
        <is>
          <t>Recovering Well / Stable</t>
        </is>
      </c>
      <c r="F29" s="39">
        <f>COUNTIF(J6:J23,"Recovering Well")+COUNTIF(J6:J23,"Stable — Ongoing Support")</f>
        <v/>
      </c>
    </row>
    <row r="30">
      <c r="B30" s="53" t="inlineStr">
        <is>
          <t>Cases Needing Intensive / Critical Support</t>
        </is>
      </c>
      <c r="F30" s="38">
        <f>COUNTIF(J6:J23,"Needs Intensive Support")+COUNTIF(J6:J23,"Critical — External Referral Made")</f>
        <v/>
      </c>
    </row>
    <row r="31">
      <c r="B31" s="27" t="inlineStr">
        <is>
          <t>Academic Accommodations Given</t>
        </is>
      </c>
      <c r="F31" s="39">
        <f>COUNTIF(E6:E23,"Academic Accommodation (Grace Marks)")</f>
        <v/>
      </c>
    </row>
  </sheetData>
  <mergeCells count="16">
    <mergeCell ref="B31:E31"/>
    <mergeCell ref="B26:E26"/>
    <mergeCell ref="B25:J25"/>
    <mergeCell ref="B3:J3"/>
    <mergeCell ref="B27:E27"/>
    <mergeCell ref="F29:J29"/>
    <mergeCell ref="F30:J30"/>
    <mergeCell ref="B30:E30"/>
    <mergeCell ref="F27:J27"/>
    <mergeCell ref="F28:J28"/>
    <mergeCell ref="B29:E29"/>
    <mergeCell ref="F31:J31"/>
    <mergeCell ref="B4:J4"/>
    <mergeCell ref="B28:E28"/>
    <mergeCell ref="F26:J26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H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ARC-02: UGC ANTI-RAGGING REGULATIONS 2009 — INSTITUTIONAL COMPLIANCE CHECKLIST</t>
        </is>
      </c>
    </row>
    <row r="3" ht="20" customHeight="1">
      <c r="B3" s="17" t="inlineStr">
        <is>
          <t>Rating: 1 = Not Compliant  2 = Partially Compliant  3 = Mostly Compliant  4 = Fully Compliant  5 = Exemplary. All items must score ≥ 4 for full UGC compliance.</t>
        </is>
      </c>
    </row>
    <row r="4" ht="25" customHeight="1">
      <c r="B4" s="20" t="inlineStr">
        <is>
          <t>Sl.</t>
        </is>
      </c>
      <c r="C4" s="20" t="inlineStr">
        <is>
          <t>UGC Compliance Requirement</t>
        </is>
      </c>
      <c r="D4" s="20" t="inlineStr">
        <is>
          <t>Regulation
Ref.</t>
        </is>
      </c>
      <c r="E4" s="20" t="inlineStr">
        <is>
          <t>Rating
(1–5)</t>
        </is>
      </c>
      <c r="F4" s="20" t="inlineStr">
        <is>
          <t>Evidence
Available</t>
        </is>
      </c>
      <c r="G4" s="20" t="inlineStr">
        <is>
          <t>Action
Required</t>
        </is>
      </c>
      <c r="H4" s="20" t="inlineStr">
        <is>
          <t>Deadline</t>
        </is>
      </c>
    </row>
    <row r="5" ht="24" customHeight="1">
      <c r="B5" s="19" t="inlineStr">
        <is>
          <t>SECTION A — CONSTITUTION &amp; STRUCTURE</t>
        </is>
      </c>
    </row>
    <row r="6" ht="30" customHeight="1">
      <c r="B6" s="54" t="n">
        <v>1</v>
      </c>
      <c r="C6" s="55" t="inlineStr">
        <is>
          <t>ARC constituted with all mandatory members including police and civil society rep</t>
        </is>
      </c>
      <c r="D6" s="56" t="inlineStr">
        <is>
          <t>Reg. 6.1</t>
        </is>
      </c>
      <c r="E6" s="56" t="inlineStr"/>
      <c r="F6" s="56" t="inlineStr">
        <is>
          <t>Y</t>
        </is>
      </c>
      <c r="G6" s="55" t="inlineStr"/>
      <c r="H6" s="56" t="inlineStr"/>
    </row>
    <row r="7" ht="30" customHeight="1">
      <c r="B7" s="57" t="n">
        <v>2</v>
      </c>
      <c r="C7" s="58" t="inlineStr">
        <is>
          <t>Anti-Ragging Squad constituted separately</t>
        </is>
      </c>
      <c r="D7" s="59" t="inlineStr">
        <is>
          <t>Reg. 6.1</t>
        </is>
      </c>
      <c r="E7" s="59" t="inlineStr"/>
      <c r="F7" s="59" t="inlineStr">
        <is>
          <t>Y</t>
        </is>
      </c>
      <c r="G7" s="58" t="inlineStr"/>
      <c r="H7" s="59" t="inlineStr"/>
    </row>
    <row r="8" ht="30" customHeight="1">
      <c r="B8" s="54" t="n">
        <v>3</v>
      </c>
      <c r="C8" s="55" t="inlineStr">
        <is>
          <t>ARC composition displayed on website and notice boards</t>
        </is>
      </c>
      <c r="D8" s="56" t="inlineStr">
        <is>
          <t>Reg. 6.2</t>
        </is>
      </c>
      <c r="E8" s="56" t="inlineStr"/>
      <c r="F8" s="56" t="inlineStr">
        <is>
          <t>Y</t>
        </is>
      </c>
      <c r="G8" s="55" t="inlineStr"/>
      <c r="H8" s="56" t="inlineStr"/>
    </row>
    <row r="9" ht="30" customHeight="1">
      <c r="B9" s="57" t="n">
        <v>4</v>
      </c>
      <c r="C9" s="58" t="inlineStr">
        <is>
          <t>ARC convened at least once per semester</t>
        </is>
      </c>
      <c r="D9" s="59" t="inlineStr">
        <is>
          <t>Reg. 6.3</t>
        </is>
      </c>
      <c r="E9" s="59" t="inlineStr"/>
      <c r="F9" s="59" t="inlineStr">
        <is>
          <t>Y</t>
        </is>
      </c>
      <c r="G9" s="58" t="inlineStr"/>
      <c r="H9" s="59" t="inlineStr"/>
    </row>
    <row r="10" ht="30" customHeight="1">
      <c r="B10" s="54" t="n">
        <v>5</v>
      </c>
      <c r="C10" s="55" t="inlineStr">
        <is>
          <t>Hostel warden designated as responsible officer</t>
        </is>
      </c>
      <c r="D10" s="56" t="inlineStr">
        <is>
          <t>Reg. 7.2</t>
        </is>
      </c>
      <c r="E10" s="56" t="inlineStr"/>
      <c r="F10" s="56" t="inlineStr">
        <is>
          <t>Y</t>
        </is>
      </c>
      <c r="G10" s="55" t="inlineStr"/>
      <c r="H10" s="56" t="inlineStr"/>
    </row>
    <row r="11" ht="26" customHeight="1"/>
    <row r="12" ht="24" customHeight="1">
      <c r="B12" s="43" t="inlineStr">
        <is>
          <t>SECTION B — UNDERTAKINGS</t>
        </is>
      </c>
    </row>
    <row r="13" ht="30" customHeight="1">
      <c r="B13" s="60" t="n">
        <v>6</v>
      </c>
      <c r="C13" s="61" t="inlineStr">
        <is>
          <t>Student anti-ragging undertaking collected at admission</t>
        </is>
      </c>
      <c r="D13" s="62" t="inlineStr">
        <is>
          <t>Reg. 4.1</t>
        </is>
      </c>
      <c r="E13" s="62" t="inlineStr"/>
      <c r="F13" s="62" t="inlineStr">
        <is>
          <t>Y</t>
        </is>
      </c>
      <c r="G13" s="61" t="inlineStr"/>
      <c r="H13" s="62" t="inlineStr"/>
    </row>
    <row r="14" ht="30" customHeight="1">
      <c r="B14" s="57" t="n">
        <v>7</v>
      </c>
      <c r="C14" s="58" t="inlineStr">
        <is>
          <t>Parent / guardian undertaking collected at admission</t>
        </is>
      </c>
      <c r="D14" s="59" t="inlineStr">
        <is>
          <t>Reg. 4.1</t>
        </is>
      </c>
      <c r="E14" s="59" t="inlineStr"/>
      <c r="F14" s="59" t="inlineStr">
        <is>
          <t>Y</t>
        </is>
      </c>
      <c r="G14" s="58" t="inlineStr"/>
      <c r="H14" s="59" t="inlineStr"/>
    </row>
    <row r="15" ht="30" customHeight="1">
      <c r="B15" s="60" t="n">
        <v>8</v>
      </c>
      <c r="C15" s="61" t="inlineStr">
        <is>
          <t>Online undertaking submitted on www.antiragging.in</t>
        </is>
      </c>
      <c r="D15" s="62" t="inlineStr">
        <is>
          <t>Reg. 4.2</t>
        </is>
      </c>
      <c r="E15" s="62" t="inlineStr"/>
      <c r="F15" s="62" t="inlineStr">
        <is>
          <t>Y</t>
        </is>
      </c>
      <c r="G15" s="61" t="inlineStr"/>
      <c r="H15" s="62" t="inlineStr"/>
    </row>
    <row r="16" ht="30" customHeight="1">
      <c r="B16" s="57" t="n">
        <v>9</v>
      </c>
      <c r="C16" s="58" t="inlineStr">
        <is>
          <t>Faculty / staff undertaking collected annually</t>
        </is>
      </c>
      <c r="D16" s="59" t="inlineStr">
        <is>
          <t>Reg. 4.1</t>
        </is>
      </c>
      <c r="E16" s="59" t="inlineStr"/>
      <c r="F16" s="59" t="inlineStr">
        <is>
          <t>Y</t>
        </is>
      </c>
      <c r="G16" s="58" t="inlineStr"/>
      <c r="H16" s="59" t="inlineStr"/>
    </row>
    <row r="17" ht="30" customHeight="1">
      <c r="B17" s="60" t="n">
        <v>10</v>
      </c>
      <c r="C17" s="61" t="inlineStr">
        <is>
          <t>100% undertaking compliance achieved</t>
        </is>
      </c>
      <c r="D17" s="62" t="inlineStr">
        <is>
          <t>Reg. 4.1</t>
        </is>
      </c>
      <c r="E17" s="62" t="inlineStr"/>
      <c r="F17" s="62" t="inlineStr">
        <is>
          <t>Y</t>
        </is>
      </c>
      <c r="G17" s="61" t="inlineStr"/>
      <c r="H17" s="62" t="inlineStr"/>
    </row>
    <row r="18" ht="26" customHeight="1"/>
    <row r="19" ht="24" customHeight="1">
      <c r="B19" s="36" t="inlineStr">
        <is>
          <t>SECTION C — AWARENESS &amp; PREVENTION</t>
        </is>
      </c>
    </row>
    <row r="20" ht="30" customHeight="1">
      <c r="B20" s="63" t="n">
        <v>11</v>
      </c>
      <c r="C20" s="64" t="inlineStr">
        <is>
          <t>Anti-ragging awareness session at orientation (mandatory)</t>
        </is>
      </c>
      <c r="D20" s="65" t="inlineStr">
        <is>
          <t>Reg. 7.1</t>
        </is>
      </c>
      <c r="E20" s="65" t="inlineStr"/>
      <c r="F20" s="65" t="inlineStr">
        <is>
          <t>Y</t>
        </is>
      </c>
      <c r="G20" s="64" t="inlineStr"/>
      <c r="H20" s="65" t="inlineStr"/>
    </row>
    <row r="21" ht="30" customHeight="1">
      <c r="B21" s="57" t="n">
        <v>12</v>
      </c>
      <c r="C21" s="58" t="inlineStr">
        <is>
          <t>Anti-ragging posters displayed on all campus notice boards</t>
        </is>
      </c>
      <c r="D21" s="59" t="inlineStr">
        <is>
          <t>Reg. 7.3</t>
        </is>
      </c>
      <c r="E21" s="59" t="inlineStr"/>
      <c r="F21" s="59" t="inlineStr">
        <is>
          <t>Y</t>
        </is>
      </c>
      <c r="G21" s="58" t="inlineStr"/>
      <c r="H21" s="59" t="inlineStr"/>
    </row>
    <row r="22" ht="30" customHeight="1">
      <c r="B22" s="63" t="n">
        <v>13</v>
      </c>
      <c r="C22" s="64" t="inlineStr">
        <is>
          <t>UGC helpline number 1800-180-5522 displayed prominently</t>
        </is>
      </c>
      <c r="D22" s="65" t="inlineStr">
        <is>
          <t>Reg. 7.3</t>
        </is>
      </c>
      <c r="E22" s="65" t="inlineStr"/>
      <c r="F22" s="65" t="inlineStr">
        <is>
          <t>Y</t>
        </is>
      </c>
      <c r="G22" s="64" t="inlineStr"/>
      <c r="H22" s="65" t="inlineStr"/>
    </row>
    <row r="23" ht="30" customHeight="1">
      <c r="B23" s="57" t="n">
        <v>14</v>
      </c>
      <c r="C23" s="58" t="inlineStr">
        <is>
          <t>Anti-ragging club / committee formed at student level</t>
        </is>
      </c>
      <c r="D23" s="59" t="inlineStr">
        <is>
          <t>Reg. 7.4</t>
        </is>
      </c>
      <c r="E23" s="59" t="inlineStr"/>
      <c r="F23" s="59" t="inlineStr">
        <is>
          <t>Y</t>
        </is>
      </c>
      <c r="G23" s="58" t="inlineStr"/>
      <c r="H23" s="59" t="inlineStr"/>
    </row>
    <row r="24" ht="30" customHeight="1">
      <c r="B24" s="63" t="n">
        <v>15</v>
      </c>
      <c r="C24" s="64" t="inlineStr">
        <is>
          <t>Awareness programmes conducted throughout the year</t>
        </is>
      </c>
      <c r="D24" s="65" t="inlineStr">
        <is>
          <t>Reg. 7.1</t>
        </is>
      </c>
      <c r="E24" s="65" t="inlineStr"/>
      <c r="F24" s="65" t="inlineStr">
        <is>
          <t>Y</t>
        </is>
      </c>
      <c r="G24" s="64" t="inlineStr"/>
      <c r="H24" s="65" t="inlineStr"/>
    </row>
    <row r="25" ht="26" customHeight="1"/>
    <row r="26" ht="24" customHeight="1">
      <c r="B26" s="66" t="inlineStr">
        <is>
          <t>SECTION D — MONITORING</t>
        </is>
      </c>
    </row>
    <row r="27" ht="30" customHeight="1">
      <c r="B27" s="67" t="n">
        <v>16</v>
      </c>
      <c r="C27" s="68" t="inlineStr">
        <is>
          <t>Anti-Ragging Squad conducts regular patrols</t>
        </is>
      </c>
      <c r="D27" s="69" t="inlineStr">
        <is>
          <t>Reg. 6.2</t>
        </is>
      </c>
      <c r="E27" s="69" t="inlineStr"/>
      <c r="F27" s="69" t="inlineStr">
        <is>
          <t>Y</t>
        </is>
      </c>
      <c r="G27" s="68" t="inlineStr"/>
      <c r="H27" s="69" t="inlineStr"/>
    </row>
    <row r="28" ht="30" customHeight="1">
      <c r="B28" s="57" t="n">
        <v>17</v>
      </c>
      <c r="C28" s="58" t="inlineStr">
        <is>
          <t>Surprise checks conducted in hostels</t>
        </is>
      </c>
      <c r="D28" s="59" t="inlineStr">
        <is>
          <t>Reg. 6.2</t>
        </is>
      </c>
      <c r="E28" s="59" t="inlineStr"/>
      <c r="F28" s="59" t="inlineStr">
        <is>
          <t>Y</t>
        </is>
      </c>
      <c r="G28" s="58" t="inlineStr"/>
      <c r="H28" s="59" t="inlineStr"/>
    </row>
    <row r="29" ht="30" customHeight="1">
      <c r="B29" s="67" t="n">
        <v>18</v>
      </c>
      <c r="C29" s="68" t="inlineStr">
        <is>
          <t>CCTV cameras installed in hostels and key areas</t>
        </is>
      </c>
      <c r="D29" s="69" t="inlineStr">
        <is>
          <t>Reg. 7.2</t>
        </is>
      </c>
      <c r="E29" s="69" t="inlineStr"/>
      <c r="F29" s="69" t="inlineStr">
        <is>
          <t>Y</t>
        </is>
      </c>
      <c r="G29" s="68" t="inlineStr"/>
      <c r="H29" s="69" t="inlineStr"/>
    </row>
    <row r="30" ht="30" customHeight="1">
      <c r="B30" s="57" t="n">
        <v>19</v>
      </c>
      <c r="C30" s="58" t="inlineStr">
        <is>
          <t>Hostel wardens submitting regular monitoring reports</t>
        </is>
      </c>
      <c r="D30" s="59" t="inlineStr">
        <is>
          <t>Reg. 7.2</t>
        </is>
      </c>
      <c r="E30" s="59" t="inlineStr"/>
      <c r="F30" s="59" t="inlineStr">
        <is>
          <t>Y</t>
        </is>
      </c>
      <c r="G30" s="58" t="inlineStr"/>
      <c r="H30" s="59" t="inlineStr"/>
    </row>
    <row r="31" ht="30" customHeight="1">
      <c r="B31" s="67" t="n">
        <v>20</v>
      </c>
      <c r="C31" s="68" t="inlineStr">
        <is>
          <t>Anonymous complaint mechanism available and publicised</t>
        </is>
      </c>
      <c r="D31" s="69" t="inlineStr">
        <is>
          <t>Reg. 8.1</t>
        </is>
      </c>
      <c r="E31" s="69" t="inlineStr"/>
      <c r="F31" s="69" t="inlineStr">
        <is>
          <t>Y</t>
        </is>
      </c>
      <c r="G31" s="68" t="inlineStr"/>
      <c r="H31" s="69" t="inlineStr"/>
    </row>
    <row r="32" ht="26" customHeight="1"/>
    <row r="33" ht="24" customHeight="1">
      <c r="B33" s="70" t="inlineStr">
        <is>
          <t>SECTION E — COMPLAINT &amp; ACTION</t>
        </is>
      </c>
    </row>
    <row r="34" ht="30" customHeight="1">
      <c r="B34" s="71" t="n">
        <v>21</v>
      </c>
      <c r="C34" s="72" t="inlineStr">
        <is>
          <t>Defined complaint procedure published and communicated</t>
        </is>
      </c>
      <c r="D34" s="73" t="inlineStr">
        <is>
          <t>Reg. 8.1</t>
        </is>
      </c>
      <c r="E34" s="73" t="inlineStr"/>
      <c r="F34" s="73" t="inlineStr">
        <is>
          <t>Y</t>
        </is>
      </c>
      <c r="G34" s="72" t="inlineStr"/>
      <c r="H34" s="73" t="inlineStr"/>
    </row>
    <row r="35" ht="30" customHeight="1">
      <c r="B35" s="57" t="n">
        <v>22</v>
      </c>
      <c r="C35" s="58" t="inlineStr">
        <is>
          <t>Inquiry committee constituted within 24 hrs of complaint</t>
        </is>
      </c>
      <c r="D35" s="59" t="inlineStr">
        <is>
          <t>Reg. 9.1</t>
        </is>
      </c>
      <c r="E35" s="59" t="inlineStr"/>
      <c r="F35" s="59" t="inlineStr">
        <is>
          <t>Y</t>
        </is>
      </c>
      <c r="G35" s="58" t="inlineStr"/>
      <c r="H35" s="59" t="inlineStr"/>
    </row>
    <row r="36" ht="30" customHeight="1">
      <c r="B36" s="71" t="n">
        <v>23</v>
      </c>
      <c r="C36" s="72" t="inlineStr">
        <is>
          <t>Inquiry completed within 7–30 days as per severity</t>
        </is>
      </c>
      <c r="D36" s="73" t="inlineStr">
        <is>
          <t>Reg. 9.2</t>
        </is>
      </c>
      <c r="E36" s="73" t="inlineStr"/>
      <c r="F36" s="73" t="inlineStr">
        <is>
          <t>Y</t>
        </is>
      </c>
      <c r="G36" s="72" t="inlineStr"/>
      <c r="H36" s="73" t="inlineStr"/>
    </row>
    <row r="37" ht="30" customHeight="1">
      <c r="B37" s="57" t="n">
        <v>24</v>
      </c>
      <c r="C37" s="58" t="inlineStr">
        <is>
          <t>Natural justice followed (SCN issued, student heard)</t>
        </is>
      </c>
      <c r="D37" s="59" t="inlineStr">
        <is>
          <t>Reg. 9.3</t>
        </is>
      </c>
      <c r="E37" s="59" t="inlineStr"/>
      <c r="F37" s="59" t="inlineStr">
        <is>
          <t>Y</t>
        </is>
      </c>
      <c r="G37" s="58" t="inlineStr"/>
      <c r="H37" s="59" t="inlineStr"/>
    </row>
    <row r="38" ht="30" customHeight="1">
      <c r="B38" s="71" t="n">
        <v>25</v>
      </c>
      <c r="C38" s="72" t="inlineStr">
        <is>
          <t>Serious cases reported to police and UGC within 24 hrs</t>
        </is>
      </c>
      <c r="D38" s="73" t="inlineStr">
        <is>
          <t>Reg. 9.5</t>
        </is>
      </c>
      <c r="E38" s="73" t="inlineStr"/>
      <c r="F38" s="73" t="inlineStr">
        <is>
          <t>Y</t>
        </is>
      </c>
      <c r="G38" s="72" t="inlineStr"/>
      <c r="H38" s="73" t="inlineStr"/>
    </row>
    <row r="39" ht="30" customHeight="1">
      <c r="B39" s="57" t="n">
        <v>26</v>
      </c>
      <c r="C39" s="58" t="inlineStr">
        <is>
          <t>Victim support and counselling provided</t>
        </is>
      </c>
      <c r="D39" s="59" t="inlineStr">
        <is>
          <t>Reg. 9.6</t>
        </is>
      </c>
      <c r="E39" s="59" t="inlineStr"/>
      <c r="F39" s="59" t="inlineStr">
        <is>
          <t>Y</t>
        </is>
      </c>
      <c r="G39" s="58" t="inlineStr"/>
      <c r="H39" s="59" t="inlineStr"/>
    </row>
    <row r="40" ht="30" customHeight="1">
      <c r="B40" s="71" t="n">
        <v>27</v>
      </c>
      <c r="C40" s="72" t="inlineStr">
        <is>
          <t>Zero-tolerance policy publicly declared and enforced</t>
        </is>
      </c>
      <c r="D40" s="73" t="inlineStr">
        <is>
          <t>Reg. 3.1</t>
        </is>
      </c>
      <c r="E40" s="73" t="inlineStr"/>
      <c r="F40" s="73" t="inlineStr">
        <is>
          <t>Y</t>
        </is>
      </c>
      <c r="G40" s="72" t="inlineStr"/>
      <c r="H40" s="73" t="inlineStr"/>
    </row>
    <row r="41" ht="26" customHeight="1"/>
    <row r="42" ht="24" customHeight="1">
      <c r="B42" s="36" t="inlineStr">
        <is>
          <t>COMPLIANCE SCORE SUMMARY</t>
        </is>
      </c>
    </row>
    <row r="43" ht="26" customHeight="1">
      <c r="B43" s="37" t="inlineStr">
        <is>
          <t>Total Requirements Checked</t>
        </is>
      </c>
      <c r="F43" s="74">
        <f>COUNTA(B5:B47)-5</f>
        <v/>
      </c>
    </row>
    <row r="44" ht="26" customHeight="1">
      <c r="B44" s="27" t="inlineStr">
        <is>
          <t>Score ≥ 4 (Compliant)</t>
        </is>
      </c>
      <c r="F44" s="75">
        <f>COUNTIF(E5:E47,"&gt;="&amp;4)</f>
        <v/>
      </c>
    </row>
    <row r="45" ht="26" customHeight="1">
      <c r="B45" s="37" t="inlineStr">
        <is>
          <t>Score &lt; 4 (Non-Compliant)</t>
        </is>
      </c>
      <c r="F45" s="74">
        <f>COUNTIF(E5:E47,"&lt;"&amp;4)</f>
        <v/>
      </c>
    </row>
    <row r="46" ht="26" customHeight="1">
      <c r="B46" s="27" t="inlineStr">
        <is>
          <t>Average Compliance Score</t>
        </is>
      </c>
      <c r="F46" s="75">
        <f>IFERROR(ROUND(AVERAGE(E5:E47),2),"")</f>
        <v/>
      </c>
    </row>
    <row r="47" ht="26" customHeight="1">
      <c r="B47" s="37" t="inlineStr">
        <is>
          <t>Overall Compliance Rate (%)</t>
        </is>
      </c>
      <c r="F47" s="74">
        <f>IFERROR(ROUND(C48/C47*100,1),"")</f>
        <v/>
      </c>
    </row>
    <row r="48" ht="26" customHeight="1">
      <c r="B48" s="27" t="inlineStr">
        <is>
          <t>UGC Submission Ready?</t>
        </is>
      </c>
      <c r="F48" s="76">
        <f>IFERROR(IF(C49&gt;=90,"YES — Report Ready","NO — Address Gaps First"),"")</f>
        <v/>
      </c>
    </row>
  </sheetData>
  <mergeCells count="20">
    <mergeCell ref="F45:H45"/>
    <mergeCell ref="B33:H33"/>
    <mergeCell ref="B5:H5"/>
    <mergeCell ref="F47:H47"/>
    <mergeCell ref="B45:E45"/>
    <mergeCell ref="F46:H46"/>
    <mergeCell ref="B26:H26"/>
    <mergeCell ref="F43:H43"/>
    <mergeCell ref="B47:E47"/>
    <mergeCell ref="F48:H48"/>
    <mergeCell ref="B3:H3"/>
    <mergeCell ref="B46:E46"/>
    <mergeCell ref="B43:E43"/>
    <mergeCell ref="B12:H12"/>
    <mergeCell ref="B48:E48"/>
    <mergeCell ref="B2:H2"/>
    <mergeCell ref="F44:H44"/>
    <mergeCell ref="B42:H42"/>
    <mergeCell ref="B44:E44"/>
    <mergeCell ref="B19:H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ARC-16: SURPRISE CHECK REGISTER — HOSTEL / CAMPUS</t>
        </is>
      </c>
    </row>
    <row r="3" ht="20" customHeight="1">
      <c r="B3" s="17" t="inlineStr">
        <is>
          <t>Surprise checks are unannounced visits to hostels, canteen, campus corners and sensitive areas. Conduct minimum once per week during admission season and once per fortnight otherwise.</t>
        </is>
      </c>
    </row>
    <row r="4" ht="25" customHeight="1">
      <c r="B4" s="20" t="inlineStr">
        <is>
          <t>Check
Ref.</t>
        </is>
      </c>
      <c r="C4" s="20" t="inlineStr">
        <is>
          <t>Date &amp;
Time</t>
        </is>
      </c>
      <c r="D4" s="20" t="inlineStr">
        <is>
          <t>Area Checked</t>
        </is>
      </c>
      <c r="E4" s="20" t="inlineStr">
        <is>
          <t>Checking
Officer(s)</t>
        </is>
      </c>
      <c r="F4" s="20" t="inlineStr">
        <is>
          <t>No. of
Students Found</t>
        </is>
      </c>
      <c r="G4" s="20" t="inlineStr">
        <is>
          <t>Incident /
Observation</t>
        </is>
      </c>
      <c r="H4" s="20" t="inlineStr">
        <is>
          <t>Action
Taken</t>
        </is>
      </c>
      <c r="I4" s="20" t="inlineStr">
        <is>
          <t>Ragging
Found (Y/N)</t>
        </is>
      </c>
      <c r="J4" s="20" t="inlineStr">
        <is>
          <t>Report
Submitted</t>
        </is>
      </c>
    </row>
    <row r="5" ht="22" customHeight="1">
      <c r="B5" s="14" t="inlineStr">
        <is>
          <t>CHK/0001</t>
        </is>
      </c>
      <c r="C5" s="16" t="inlineStr"/>
      <c r="D5" s="15" t="inlineStr">
        <is>
          <t>Boys Hostel Room Check</t>
        </is>
      </c>
      <c r="E5" s="15" t="inlineStr"/>
      <c r="F5" s="16" t="inlineStr"/>
      <c r="G5" s="15" t="inlineStr">
        <is>
          <t>Nil — No incident</t>
        </is>
      </c>
      <c r="H5" s="16" t="inlineStr">
        <is>
          <t>NIL</t>
        </is>
      </c>
      <c r="I5" s="16" t="inlineStr">
        <is>
          <t>N</t>
        </is>
      </c>
      <c r="J5" s="16" t="inlineStr">
        <is>
          <t>Y</t>
        </is>
      </c>
    </row>
    <row r="6" ht="22" customHeight="1">
      <c r="B6" s="8" t="inlineStr">
        <is>
          <t>CHK/0002</t>
        </is>
      </c>
      <c r="C6" s="10" t="inlineStr"/>
      <c r="D6" s="9" t="inlineStr">
        <is>
          <t>Girls Hostel Room Check</t>
        </is>
      </c>
      <c r="E6" s="9" t="inlineStr"/>
      <c r="F6" s="10" t="inlineStr"/>
      <c r="G6" s="9" t="inlineStr">
        <is>
          <t>Nil — No incident</t>
        </is>
      </c>
      <c r="H6" s="10" t="inlineStr">
        <is>
          <t>NIL</t>
        </is>
      </c>
      <c r="I6" s="10" t="inlineStr">
        <is>
          <t>N</t>
        </is>
      </c>
      <c r="J6" s="10" t="inlineStr">
        <is>
          <t>Y</t>
        </is>
      </c>
    </row>
    <row r="7" ht="22" customHeight="1">
      <c r="B7" s="14" t="inlineStr">
        <is>
          <t>CHK/0003</t>
        </is>
      </c>
      <c r="C7" s="16" t="inlineStr"/>
      <c r="D7" s="15" t="inlineStr">
        <is>
          <t>Boys Hostel Common Room</t>
        </is>
      </c>
      <c r="E7" s="15" t="inlineStr"/>
      <c r="F7" s="16" t="inlineStr"/>
      <c r="G7" s="15" t="inlineStr">
        <is>
          <t>Nil — No incident</t>
        </is>
      </c>
      <c r="H7" s="16" t="inlineStr">
        <is>
          <t>NIL</t>
        </is>
      </c>
      <c r="I7" s="16" t="inlineStr">
        <is>
          <t>N</t>
        </is>
      </c>
      <c r="J7" s="16" t="inlineStr">
        <is>
          <t>Y</t>
        </is>
      </c>
    </row>
    <row r="8" ht="22" customHeight="1">
      <c r="B8" s="8" t="inlineStr">
        <is>
          <t>CHK/0004</t>
        </is>
      </c>
      <c r="C8" s="10" t="inlineStr"/>
      <c r="D8" s="9" t="inlineStr">
        <is>
          <t>Girls Hostel Common Room</t>
        </is>
      </c>
      <c r="E8" s="9" t="inlineStr"/>
      <c r="F8" s="10" t="inlineStr"/>
      <c r="G8" s="9" t="inlineStr">
        <is>
          <t>Nil — No incident</t>
        </is>
      </c>
      <c r="H8" s="10" t="inlineStr">
        <is>
          <t>NIL</t>
        </is>
      </c>
      <c r="I8" s="10" t="inlineStr">
        <is>
          <t>N</t>
        </is>
      </c>
      <c r="J8" s="10" t="inlineStr">
        <is>
          <t>Y</t>
        </is>
      </c>
    </row>
    <row r="9" ht="22" customHeight="1">
      <c r="B9" s="14" t="inlineStr">
        <is>
          <t>CHK/0005</t>
        </is>
      </c>
      <c r="C9" s="16" t="inlineStr"/>
      <c r="D9" s="15" t="inlineStr">
        <is>
          <t>Canteen &amp; Surroundings</t>
        </is>
      </c>
      <c r="E9" s="15" t="inlineStr"/>
      <c r="F9" s="16" t="inlineStr"/>
      <c r="G9" s="15" t="inlineStr">
        <is>
          <t>Nil — No incident</t>
        </is>
      </c>
      <c r="H9" s="16" t="inlineStr">
        <is>
          <t>NIL</t>
        </is>
      </c>
      <c r="I9" s="16" t="inlineStr">
        <is>
          <t>N</t>
        </is>
      </c>
      <c r="J9" s="16" t="inlineStr">
        <is>
          <t>Y</t>
        </is>
      </c>
    </row>
    <row r="10" ht="22" customHeight="1">
      <c r="B10" s="8" t="inlineStr">
        <is>
          <t>CHK/0006</t>
        </is>
      </c>
      <c r="C10" s="10" t="inlineStr"/>
      <c r="D10" s="9" t="inlineStr">
        <is>
          <t>Academic Block</t>
        </is>
      </c>
      <c r="E10" s="9" t="inlineStr"/>
      <c r="F10" s="10" t="inlineStr"/>
      <c r="G10" s="9" t="inlineStr">
        <is>
          <t>Nil — No incident</t>
        </is>
      </c>
      <c r="H10" s="10" t="inlineStr">
        <is>
          <t>NIL</t>
        </is>
      </c>
      <c r="I10" s="10" t="inlineStr">
        <is>
          <t>N</t>
        </is>
      </c>
      <c r="J10" s="10" t="inlineStr">
        <is>
          <t>Y</t>
        </is>
      </c>
    </row>
    <row r="11" ht="22" customHeight="1">
      <c r="B11" s="14" t="inlineStr">
        <is>
          <t>CHK/0007</t>
        </is>
      </c>
      <c r="C11" s="16" t="inlineStr"/>
      <c r="D11" s="15" t="inlineStr">
        <is>
          <t>Library</t>
        </is>
      </c>
      <c r="E11" s="15" t="inlineStr"/>
      <c r="F11" s="16" t="inlineStr"/>
      <c r="G11" s="15" t="inlineStr">
        <is>
          <t>Nil — No incident</t>
        </is>
      </c>
      <c r="H11" s="16" t="inlineStr">
        <is>
          <t>NIL</t>
        </is>
      </c>
      <c r="I11" s="16" t="inlineStr">
        <is>
          <t>N</t>
        </is>
      </c>
      <c r="J11" s="16" t="inlineStr">
        <is>
          <t>Y</t>
        </is>
      </c>
    </row>
    <row r="12" ht="22" customHeight="1">
      <c r="B12" s="8" t="inlineStr">
        <is>
          <t>CHK/0008</t>
        </is>
      </c>
      <c r="C12" s="10" t="inlineStr"/>
      <c r="D12" s="9" t="inlineStr">
        <is>
          <t>Parking Area &amp; Entrance</t>
        </is>
      </c>
      <c r="E12" s="9" t="inlineStr"/>
      <c r="F12" s="10" t="inlineStr"/>
      <c r="G12" s="9" t="inlineStr">
        <is>
          <t>Nil — No incident</t>
        </is>
      </c>
      <c r="H12" s="10" t="inlineStr">
        <is>
          <t>NIL</t>
        </is>
      </c>
      <c r="I12" s="10" t="inlineStr">
        <is>
          <t>N</t>
        </is>
      </c>
      <c r="J12" s="10" t="inlineStr">
        <is>
          <t>Y</t>
        </is>
      </c>
    </row>
    <row r="13" ht="22" customHeight="1">
      <c r="B13" s="14" t="inlineStr">
        <is>
          <t>CHK/0009</t>
        </is>
      </c>
      <c r="C13" s="16" t="inlineStr"/>
      <c r="D13" s="15" t="inlineStr">
        <is>
          <t>Playground</t>
        </is>
      </c>
      <c r="E13" s="15" t="inlineStr"/>
      <c r="F13" s="16" t="inlineStr"/>
      <c r="G13" s="15" t="inlineStr">
        <is>
          <t>Nil — No incident</t>
        </is>
      </c>
      <c r="H13" s="16" t="inlineStr">
        <is>
          <t>NIL</t>
        </is>
      </c>
      <c r="I13" s="16" t="inlineStr">
        <is>
          <t>N</t>
        </is>
      </c>
      <c r="J13" s="16" t="inlineStr">
        <is>
          <t>Y</t>
        </is>
      </c>
    </row>
    <row r="14" ht="22" customHeight="1">
      <c r="B14" s="8" t="inlineStr">
        <is>
          <t>CHK/0010</t>
        </is>
      </c>
      <c r="C14" s="10" t="inlineStr"/>
      <c r="D14" s="9" t="inlineStr">
        <is>
          <t>Night Campus Patrol</t>
        </is>
      </c>
      <c r="E14" s="9" t="inlineStr"/>
      <c r="F14" s="10" t="inlineStr"/>
      <c r="G14" s="9" t="inlineStr">
        <is>
          <t>Nil — No incident</t>
        </is>
      </c>
      <c r="H14" s="10" t="inlineStr">
        <is>
          <t>NIL</t>
        </is>
      </c>
      <c r="I14" s="10" t="inlineStr">
        <is>
          <t>N</t>
        </is>
      </c>
      <c r="J14" s="10" t="inlineStr">
        <is>
          <t>Y</t>
        </is>
      </c>
    </row>
    <row r="15" ht="22" customHeight="1">
      <c r="B15" s="14" t="inlineStr">
        <is>
          <t>CHK/0011</t>
        </is>
      </c>
      <c r="C15" s="16" t="inlineStr"/>
      <c r="D15" s="15" t="inlineStr">
        <is>
          <t>Boys Hostel Room Check</t>
        </is>
      </c>
      <c r="E15" s="15" t="inlineStr"/>
      <c r="F15" s="16" t="inlineStr"/>
      <c r="G15" s="15" t="inlineStr">
        <is>
          <t>Nil — No incident</t>
        </is>
      </c>
      <c r="H15" s="16" t="inlineStr">
        <is>
          <t>NIL</t>
        </is>
      </c>
      <c r="I15" s="16" t="inlineStr">
        <is>
          <t>N</t>
        </is>
      </c>
      <c r="J15" s="16" t="inlineStr">
        <is>
          <t>Y</t>
        </is>
      </c>
    </row>
    <row r="16" ht="22" customHeight="1">
      <c r="B16" s="8" t="inlineStr">
        <is>
          <t>CHK/0012</t>
        </is>
      </c>
      <c r="C16" s="10" t="inlineStr"/>
      <c r="D16" s="9" t="inlineStr">
        <is>
          <t>Girls Hostel Room Check</t>
        </is>
      </c>
      <c r="E16" s="9" t="inlineStr"/>
      <c r="F16" s="10" t="inlineStr"/>
      <c r="G16" s="9" t="inlineStr">
        <is>
          <t>Nil — No incident</t>
        </is>
      </c>
      <c r="H16" s="10" t="inlineStr">
        <is>
          <t>NIL</t>
        </is>
      </c>
      <c r="I16" s="10" t="inlineStr">
        <is>
          <t>N</t>
        </is>
      </c>
      <c r="J16" s="10" t="inlineStr">
        <is>
          <t>Y</t>
        </is>
      </c>
    </row>
    <row r="17" ht="22" customHeight="1">
      <c r="B17" s="14" t="inlineStr">
        <is>
          <t>CHK/0013</t>
        </is>
      </c>
      <c r="C17" s="16" t="inlineStr"/>
      <c r="D17" s="15" t="inlineStr">
        <is>
          <t>Boys Hostel Common Room</t>
        </is>
      </c>
      <c r="E17" s="15" t="inlineStr"/>
      <c r="F17" s="16" t="inlineStr"/>
      <c r="G17" s="15" t="inlineStr">
        <is>
          <t>Nil — No incident</t>
        </is>
      </c>
      <c r="H17" s="16" t="inlineStr">
        <is>
          <t>NIL</t>
        </is>
      </c>
      <c r="I17" s="16" t="inlineStr">
        <is>
          <t>N</t>
        </is>
      </c>
      <c r="J17" s="16" t="inlineStr">
        <is>
          <t>Y</t>
        </is>
      </c>
    </row>
    <row r="18" ht="22" customHeight="1">
      <c r="B18" s="8" t="inlineStr">
        <is>
          <t>CHK/0014</t>
        </is>
      </c>
      <c r="C18" s="10" t="inlineStr"/>
      <c r="D18" s="9" t="inlineStr">
        <is>
          <t>Girls Hostel Common Room</t>
        </is>
      </c>
      <c r="E18" s="9" t="inlineStr"/>
      <c r="F18" s="10" t="inlineStr"/>
      <c r="G18" s="9" t="inlineStr">
        <is>
          <t>Nil — No incident</t>
        </is>
      </c>
      <c r="H18" s="10" t="inlineStr">
        <is>
          <t>NIL</t>
        </is>
      </c>
      <c r="I18" s="10" t="inlineStr">
        <is>
          <t>N</t>
        </is>
      </c>
      <c r="J18" s="10" t="inlineStr">
        <is>
          <t>Y</t>
        </is>
      </c>
    </row>
    <row r="19" ht="22" customHeight="1">
      <c r="B19" s="14" t="inlineStr">
        <is>
          <t>CHK/0015</t>
        </is>
      </c>
      <c r="C19" s="16" t="inlineStr"/>
      <c r="D19" s="15" t="inlineStr">
        <is>
          <t>Canteen &amp; Surroundings</t>
        </is>
      </c>
      <c r="E19" s="15" t="inlineStr"/>
      <c r="F19" s="16" t="inlineStr"/>
      <c r="G19" s="15" t="inlineStr">
        <is>
          <t>Nil — No incident</t>
        </is>
      </c>
      <c r="H19" s="16" t="inlineStr">
        <is>
          <t>NIL</t>
        </is>
      </c>
      <c r="I19" s="16" t="inlineStr">
        <is>
          <t>N</t>
        </is>
      </c>
      <c r="J19" s="16" t="inlineStr">
        <is>
          <t>Y</t>
        </is>
      </c>
    </row>
    <row r="20" ht="22" customHeight="1">
      <c r="B20" s="8" t="inlineStr">
        <is>
          <t>CHK/0016</t>
        </is>
      </c>
      <c r="C20" s="10" t="inlineStr"/>
      <c r="D20" s="9" t="inlineStr">
        <is>
          <t>Academic Block</t>
        </is>
      </c>
      <c r="E20" s="9" t="inlineStr"/>
      <c r="F20" s="10" t="inlineStr"/>
      <c r="G20" s="9" t="inlineStr">
        <is>
          <t>Nil — No incident</t>
        </is>
      </c>
      <c r="H20" s="10" t="inlineStr">
        <is>
          <t>NIL</t>
        </is>
      </c>
      <c r="I20" s="10" t="inlineStr">
        <is>
          <t>N</t>
        </is>
      </c>
      <c r="J20" s="10" t="inlineStr">
        <is>
          <t>Y</t>
        </is>
      </c>
    </row>
    <row r="21" ht="22" customHeight="1">
      <c r="B21" s="14" t="inlineStr">
        <is>
          <t>CHK/0017</t>
        </is>
      </c>
      <c r="C21" s="16" t="inlineStr"/>
      <c r="D21" s="15" t="inlineStr">
        <is>
          <t>Library</t>
        </is>
      </c>
      <c r="E21" s="15" t="inlineStr"/>
      <c r="F21" s="16" t="inlineStr"/>
      <c r="G21" s="15" t="inlineStr">
        <is>
          <t>Nil — No incident</t>
        </is>
      </c>
      <c r="H21" s="16" t="inlineStr">
        <is>
          <t>NIL</t>
        </is>
      </c>
      <c r="I21" s="16" t="inlineStr">
        <is>
          <t>N</t>
        </is>
      </c>
      <c r="J21" s="16" t="inlineStr">
        <is>
          <t>Y</t>
        </is>
      </c>
    </row>
    <row r="22" ht="22" customHeight="1">
      <c r="B22" s="8" t="inlineStr">
        <is>
          <t>CHK/0018</t>
        </is>
      </c>
      <c r="C22" s="10" t="inlineStr"/>
      <c r="D22" s="9" t="inlineStr">
        <is>
          <t>Parking Area &amp; Entrance</t>
        </is>
      </c>
      <c r="E22" s="9" t="inlineStr"/>
      <c r="F22" s="10" t="inlineStr"/>
      <c r="G22" s="9" t="inlineStr">
        <is>
          <t>Nil — No incident</t>
        </is>
      </c>
      <c r="H22" s="10" t="inlineStr">
        <is>
          <t>NIL</t>
        </is>
      </c>
      <c r="I22" s="10" t="inlineStr">
        <is>
          <t>N</t>
        </is>
      </c>
      <c r="J22" s="10" t="inlineStr">
        <is>
          <t>Y</t>
        </is>
      </c>
    </row>
    <row r="23" ht="22" customHeight="1">
      <c r="B23" s="14" t="inlineStr">
        <is>
          <t>CHK/0019</t>
        </is>
      </c>
      <c r="C23" s="16" t="inlineStr"/>
      <c r="D23" s="15" t="inlineStr">
        <is>
          <t>Playground</t>
        </is>
      </c>
      <c r="E23" s="15" t="inlineStr"/>
      <c r="F23" s="16" t="inlineStr"/>
      <c r="G23" s="15" t="inlineStr">
        <is>
          <t>Nil — No incident</t>
        </is>
      </c>
      <c r="H23" s="16" t="inlineStr">
        <is>
          <t>NIL</t>
        </is>
      </c>
      <c r="I23" s="16" t="inlineStr">
        <is>
          <t>N</t>
        </is>
      </c>
      <c r="J23" s="16" t="inlineStr">
        <is>
          <t>Y</t>
        </is>
      </c>
    </row>
    <row r="24" ht="22" customHeight="1">
      <c r="B24" s="8" t="inlineStr">
        <is>
          <t>CHK/0020</t>
        </is>
      </c>
      <c r="C24" s="10" t="inlineStr"/>
      <c r="D24" s="9" t="inlineStr">
        <is>
          <t>Night Campus Patrol</t>
        </is>
      </c>
      <c r="E24" s="9" t="inlineStr"/>
      <c r="F24" s="10" t="inlineStr"/>
      <c r="G24" s="9" t="inlineStr">
        <is>
          <t>Nil — No incident</t>
        </is>
      </c>
      <c r="H24" s="10" t="inlineStr">
        <is>
          <t>NIL</t>
        </is>
      </c>
      <c r="I24" s="10" t="inlineStr">
        <is>
          <t>N</t>
        </is>
      </c>
      <c r="J24" s="10" t="inlineStr">
        <is>
          <t>Y</t>
        </is>
      </c>
    </row>
    <row r="25" ht="22" customHeight="1">
      <c r="B25" s="14" t="inlineStr">
        <is>
          <t>CHK/0021</t>
        </is>
      </c>
      <c r="C25" s="16" t="inlineStr"/>
      <c r="D25" s="15" t="inlineStr">
        <is>
          <t>Boys Hostel Room Check</t>
        </is>
      </c>
      <c r="E25" s="15" t="inlineStr"/>
      <c r="F25" s="16" t="inlineStr"/>
      <c r="G25" s="15" t="inlineStr">
        <is>
          <t>Nil — No incident</t>
        </is>
      </c>
      <c r="H25" s="16" t="inlineStr">
        <is>
          <t>NIL</t>
        </is>
      </c>
      <c r="I25" s="16" t="inlineStr">
        <is>
          <t>N</t>
        </is>
      </c>
      <c r="J25" s="16" t="inlineStr">
        <is>
          <t>Y</t>
        </is>
      </c>
    </row>
    <row r="26" ht="22" customHeight="1">
      <c r="B26" s="8" t="inlineStr">
        <is>
          <t>CHK/0022</t>
        </is>
      </c>
      <c r="C26" s="10" t="inlineStr"/>
      <c r="D26" s="9" t="inlineStr">
        <is>
          <t>Girls Hostel Room Check</t>
        </is>
      </c>
      <c r="E26" s="9" t="inlineStr"/>
      <c r="F26" s="10" t="inlineStr"/>
      <c r="G26" s="9" t="inlineStr">
        <is>
          <t>Nil — No incident</t>
        </is>
      </c>
      <c r="H26" s="10" t="inlineStr">
        <is>
          <t>NIL</t>
        </is>
      </c>
      <c r="I26" s="10" t="inlineStr">
        <is>
          <t>N</t>
        </is>
      </c>
      <c r="J26" s="10" t="inlineStr">
        <is>
          <t>Y</t>
        </is>
      </c>
    </row>
    <row r="27" ht="22" customHeight="1"/>
    <row r="28" ht="24" customHeight="1">
      <c r="B28" s="36" t="inlineStr">
        <is>
          <t>SURPRISE CHECK STATISTICS</t>
        </is>
      </c>
    </row>
    <row r="29" ht="22" customHeight="1">
      <c r="B29" s="40" t="inlineStr">
        <is>
          <t>Total Surprise Checks Conducted</t>
        </is>
      </c>
      <c r="F29" s="38">
        <f>COUNTA(B5:B26)</f>
        <v/>
      </c>
    </row>
    <row r="30">
      <c r="B30" s="27" t="inlineStr">
        <is>
          <t>Checks with Ragging Found</t>
        </is>
      </c>
      <c r="F30" s="39">
        <f>COUNTIF(I5:I26,"Y")</f>
        <v/>
      </c>
    </row>
    <row r="31">
      <c r="B31" s="40" t="inlineStr">
        <is>
          <t>Night Checks</t>
        </is>
      </c>
      <c r="F31" s="38">
        <f>COUNTIF(D5:D26,"Night Campus Patrol")</f>
        <v/>
      </c>
    </row>
    <row r="32">
      <c r="B32" s="27" t="inlineStr">
        <is>
          <t>Hostel Room Checks</t>
        </is>
      </c>
      <c r="F32" s="39">
        <f>COUNTIF(D5:D26,"Boys Hostel Room Check")+COUNTIF(D5:D26,"Girls Hostel Room Check")</f>
        <v/>
      </c>
    </row>
    <row r="33">
      <c r="B33" s="40" t="inlineStr">
        <is>
          <t>Reports Submitted on Time</t>
        </is>
      </c>
      <c r="F33" s="38">
        <f>COUNTIF(J5:J26,"Y")</f>
        <v/>
      </c>
    </row>
    <row r="34">
      <c r="B34" s="27" t="inlineStr">
        <is>
          <t>Zero Incident Checks</t>
        </is>
      </c>
      <c r="F34" s="39">
        <f>COUNTIF(G5:G26,"Nil — No incident")</f>
        <v/>
      </c>
    </row>
  </sheetData>
  <mergeCells count="15">
    <mergeCell ref="B31:E31"/>
    <mergeCell ref="F30:J30"/>
    <mergeCell ref="B3:J3"/>
    <mergeCell ref="F29:J29"/>
    <mergeCell ref="B28:J28"/>
    <mergeCell ref="F34:J34"/>
    <mergeCell ref="B30:E30"/>
    <mergeCell ref="B29:E29"/>
    <mergeCell ref="B33:E33"/>
    <mergeCell ref="F33:J33"/>
    <mergeCell ref="F31:J31"/>
    <mergeCell ref="B34:E34"/>
    <mergeCell ref="F32:J32"/>
    <mergeCell ref="B2:J2"/>
    <mergeCell ref="B32:E3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ARC-31: ANTI-RAGGING COMMITTEE KPI DASHBOARD</t>
        </is>
      </c>
    </row>
    <row r="3" ht="25" customHeight="1">
      <c r="B3" s="2" t="inlineStr">
        <is>
          <t>A.Y.: _______  Quarter: Q1/Q2/Q3/Q4  ARC Chairperson: ___________________  Date: _______</t>
        </is>
      </c>
    </row>
    <row r="4" ht="24" customHeight="1">
      <c r="B4" s="19" t="inlineStr">
        <is>
          <t>UNDERTAKING &amp; COMPLIANCE KPIs</t>
        </is>
      </c>
    </row>
    <row r="5" ht="22" customHeight="1">
      <c r="B5" s="20" t="inlineStr">
        <is>
          <t>Sl.</t>
        </is>
      </c>
      <c r="C5" s="20" t="inlineStr">
        <is>
          <t>Key Performance Indicator</t>
        </is>
      </c>
      <c r="D5" s="20" t="inlineStr">
        <is>
          <t>Unit</t>
        </is>
      </c>
      <c r="E5" s="20" t="inlineStr">
        <is>
          <t>Target</t>
        </is>
      </c>
      <c r="F5" s="20" t="inlineStr">
        <is>
          <t>Prev. Year
Actual</t>
        </is>
      </c>
      <c r="G5" s="20" t="inlineStr">
        <is>
          <t>Current Year
Actual</t>
        </is>
      </c>
      <c r="H5" s="20" t="inlineStr">
        <is>
          <t>Status</t>
        </is>
      </c>
      <c r="I5" s="20" t="inlineStr">
        <is>
          <t>Action Required</t>
        </is>
      </c>
    </row>
    <row r="6" ht="22" customHeight="1">
      <c r="B6" s="14" t="n">
        <v>1</v>
      </c>
      <c r="C6" s="15" t="inlineStr">
        <is>
          <t>Student physical undertaking compliance (% of enrolled)</t>
        </is>
      </c>
      <c r="D6" s="16" t="inlineStr">
        <is>
          <t>% compliant</t>
        </is>
      </c>
      <c r="E6" s="16" t="inlineStr">
        <is>
          <t>100%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Parent undertaking compliance (% of enrolled)</t>
        </is>
      </c>
      <c r="D7" s="10" t="inlineStr">
        <is>
          <t>% compliant</t>
        </is>
      </c>
      <c r="E7" s="10" t="inlineStr">
        <is>
          <t>100%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Online UGC portal undertaking compliance</t>
        </is>
      </c>
      <c r="D8" s="16" t="inlineStr">
        <is>
          <t>% compliant</t>
        </is>
      </c>
      <c r="E8" s="16" t="inlineStr">
        <is>
          <t>100%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Faculty / staff undertaking compliance</t>
        </is>
      </c>
      <c r="D9" s="10" t="inlineStr">
        <is>
          <t>% compliant</t>
        </is>
      </c>
      <c r="E9" s="10" t="inlineStr">
        <is>
          <t>100%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UGC compliance checklist score (avg)</t>
        </is>
      </c>
      <c r="D10" s="16" t="inlineStr">
        <is>
          <t>Score /5</t>
        </is>
      </c>
      <c r="E10" s="16" t="inlineStr">
        <is>
          <t>≥4.0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/>
    <row r="12" ht="24" customHeight="1">
      <c r="B12" s="43" t="inlineStr">
        <is>
          <t>AWARENESS &amp; PREVENTION KPIs</t>
        </is>
      </c>
    </row>
    <row r="13" ht="22" customHeight="1">
      <c r="B13" s="50" t="inlineStr">
        <is>
          <t>Sl.</t>
        </is>
      </c>
      <c r="C13" s="50" t="inlineStr">
        <is>
          <t>Key Performance Indicator</t>
        </is>
      </c>
      <c r="D13" s="50" t="inlineStr">
        <is>
          <t>Unit</t>
        </is>
      </c>
      <c r="E13" s="50" t="inlineStr">
        <is>
          <t>Target</t>
        </is>
      </c>
      <c r="F13" s="50" t="inlineStr">
        <is>
          <t>Prev. Year
Actual</t>
        </is>
      </c>
      <c r="G13" s="50" t="inlineStr">
        <is>
          <t>Current Year
Actual</t>
        </is>
      </c>
      <c r="H13" s="50" t="inlineStr">
        <is>
          <t>Status</t>
        </is>
      </c>
      <c r="I13" s="50" t="inlineStr">
        <is>
          <t>Action Required</t>
        </is>
      </c>
    </row>
    <row r="14" ht="22" customHeight="1">
      <c r="B14" s="51" t="n">
        <v>1</v>
      </c>
      <c r="C14" s="77" t="inlineStr">
        <is>
          <t>Awareness programmes conducted</t>
        </is>
      </c>
      <c r="D14" s="52" t="inlineStr">
        <is>
          <t>No. per year</t>
        </is>
      </c>
      <c r="E14" s="52" t="inlineStr">
        <is>
          <t>≥12</t>
        </is>
      </c>
      <c r="F14" s="52" t="inlineStr"/>
      <c r="G14" s="52" t="inlineStr"/>
      <c r="H14" s="52" t="inlineStr">
        <is>
          <t>On Track</t>
        </is>
      </c>
      <c r="I14" s="77" t="inlineStr"/>
    </row>
    <row r="15" ht="22" customHeight="1">
      <c r="B15" s="8" t="n">
        <v>2</v>
      </c>
      <c r="C15" s="9" t="inlineStr">
        <is>
          <t>Students reached through awareness (% of enrolled)</t>
        </is>
      </c>
      <c r="D15" s="10" t="inlineStr">
        <is>
          <t>% covered</t>
        </is>
      </c>
      <c r="E15" s="10" t="inlineStr">
        <is>
          <t>100%</t>
        </is>
      </c>
      <c r="F15" s="10" t="inlineStr"/>
      <c r="G15" s="10" t="inlineStr"/>
      <c r="H15" s="10" t="inlineStr">
        <is>
          <t>On Track</t>
        </is>
      </c>
      <c r="I15" s="9" t="inlineStr"/>
    </row>
    <row r="16" ht="22" customHeight="1">
      <c r="B16" s="51" t="n">
        <v>3</v>
      </c>
      <c r="C16" s="77" t="inlineStr">
        <is>
          <t>Orientation session for new students — conducted</t>
        </is>
      </c>
      <c r="D16" s="52" t="inlineStr">
        <is>
          <t>Y/N</t>
        </is>
      </c>
      <c r="E16" s="52" t="inlineStr">
        <is>
          <t>Yes — every year</t>
        </is>
      </c>
      <c r="F16" s="52" t="inlineStr"/>
      <c r="G16" s="52" t="inlineStr"/>
      <c r="H16" s="52" t="inlineStr">
        <is>
          <t>On Track</t>
        </is>
      </c>
      <c r="I16" s="77" t="inlineStr"/>
    </row>
    <row r="17" ht="22" customHeight="1">
      <c r="B17" s="8" t="n">
        <v>4</v>
      </c>
      <c r="C17" s="9" t="inlineStr">
        <is>
          <t>Anti-ragging posters / helpline displayed</t>
        </is>
      </c>
      <c r="D17" s="10" t="inlineStr">
        <is>
          <t>% of noticeboards</t>
        </is>
      </c>
      <c r="E17" s="10" t="inlineStr">
        <is>
          <t>100%</t>
        </is>
      </c>
      <c r="F17" s="10" t="inlineStr"/>
      <c r="G17" s="10" t="inlineStr"/>
      <c r="H17" s="10" t="inlineStr">
        <is>
          <t>On Track</t>
        </is>
      </c>
      <c r="I17" s="9" t="inlineStr"/>
    </row>
    <row r="18" ht="22" customHeight="1">
      <c r="B18" s="51" t="n">
        <v>5</v>
      </c>
      <c r="C18" s="77" t="inlineStr">
        <is>
          <t>UGC helpline 1800-180-5522 displayed everywhere</t>
        </is>
      </c>
      <c r="D18" s="52" t="inlineStr">
        <is>
          <t>Y/N</t>
        </is>
      </c>
      <c r="E18" s="52" t="inlineStr">
        <is>
          <t>Yes</t>
        </is>
      </c>
      <c r="F18" s="52" t="inlineStr"/>
      <c r="G18" s="52" t="inlineStr"/>
      <c r="H18" s="52" t="inlineStr">
        <is>
          <t>On Track</t>
        </is>
      </c>
      <c r="I18" s="77" t="inlineStr"/>
    </row>
    <row r="19" ht="22" customHeight="1">
      <c r="B19" s="8" t="n">
        <v>6</v>
      </c>
      <c r="C19" s="9" t="inlineStr">
        <is>
          <t>Parent awareness sessions</t>
        </is>
      </c>
      <c r="D19" s="10" t="inlineStr">
        <is>
          <t>No. per year</t>
        </is>
      </c>
      <c r="E19" s="10" t="inlineStr">
        <is>
          <t>≥2</t>
        </is>
      </c>
      <c r="F19" s="10" t="inlineStr"/>
      <c r="G19" s="10" t="inlineStr"/>
      <c r="H19" s="10" t="inlineStr">
        <is>
          <t>On Track</t>
        </is>
      </c>
      <c r="I19" s="9" t="inlineStr"/>
    </row>
    <row r="20" ht="22" customHeight="1"/>
    <row r="21" ht="24" customHeight="1">
      <c r="B21" s="36" t="inlineStr">
        <is>
          <t>MONITORING KPIs</t>
        </is>
      </c>
    </row>
    <row r="22" ht="22" customHeight="1">
      <c r="B22" s="32" t="inlineStr">
        <is>
          <t>Sl.</t>
        </is>
      </c>
      <c r="C22" s="32" t="inlineStr">
        <is>
          <t>Key Performance Indicator</t>
        </is>
      </c>
      <c r="D22" s="32" t="inlineStr">
        <is>
          <t>Unit</t>
        </is>
      </c>
      <c r="E22" s="32" t="inlineStr">
        <is>
          <t>Target</t>
        </is>
      </c>
      <c r="F22" s="32" t="inlineStr">
        <is>
          <t>Prev. Year
Actual</t>
        </is>
      </c>
      <c r="G22" s="32" t="inlineStr">
        <is>
          <t>Current Year
Actual</t>
        </is>
      </c>
      <c r="H22" s="32" t="inlineStr">
        <is>
          <t>Status</t>
        </is>
      </c>
      <c r="I22" s="32" t="inlineStr">
        <is>
          <t>Action Required</t>
        </is>
      </c>
    </row>
    <row r="23" ht="22" customHeight="1">
      <c r="B23" s="33" t="n">
        <v>1</v>
      </c>
      <c r="C23" s="34" t="inlineStr">
        <is>
          <t>Anti-ragging squad patrols per week</t>
        </is>
      </c>
      <c r="D23" s="35" t="inlineStr">
        <is>
          <t>No./week</t>
        </is>
      </c>
      <c r="E23" s="35" t="inlineStr">
        <is>
          <t>≥5 (admission season)</t>
        </is>
      </c>
      <c r="F23" s="35" t="inlineStr"/>
      <c r="G23" s="35" t="inlineStr"/>
      <c r="H23" s="35" t="inlineStr">
        <is>
          <t>On Track</t>
        </is>
      </c>
      <c r="I23" s="34" t="inlineStr"/>
    </row>
    <row r="24" ht="22" customHeight="1">
      <c r="B24" s="8" t="n">
        <v>2</v>
      </c>
      <c r="C24" s="9" t="inlineStr">
        <is>
          <t>Surprise checks conducted per month</t>
        </is>
      </c>
      <c r="D24" s="10" t="inlineStr">
        <is>
          <t>No./month</t>
        </is>
      </c>
      <c r="E24" s="10" t="inlineStr">
        <is>
          <t>≥4</t>
        </is>
      </c>
      <c r="F24" s="10" t="inlineStr"/>
      <c r="G24" s="10" t="inlineStr"/>
      <c r="H24" s="10" t="inlineStr">
        <is>
          <t>On Track</t>
        </is>
      </c>
      <c r="I24" s="9" t="inlineStr"/>
    </row>
    <row r="25" ht="22" customHeight="1">
      <c r="B25" s="33" t="n">
        <v>3</v>
      </c>
      <c r="C25" s="34" t="inlineStr">
        <is>
          <t>Hostel warden monitoring reports — on time</t>
        </is>
      </c>
      <c r="D25" s="35" t="inlineStr">
        <is>
          <t>% on time</t>
        </is>
      </c>
      <c r="E25" s="35" t="inlineStr">
        <is>
          <t>100%</t>
        </is>
      </c>
      <c r="F25" s="35" t="inlineStr"/>
      <c r="G25" s="35" t="inlineStr"/>
      <c r="H25" s="35" t="inlineStr">
        <is>
          <t>On Track</t>
        </is>
      </c>
      <c r="I25" s="34" t="inlineStr"/>
    </row>
    <row r="26" ht="22" customHeight="1">
      <c r="B26" s="8" t="n">
        <v>4</v>
      </c>
      <c r="C26" s="9" t="inlineStr">
        <is>
          <t>CCTV coverage — all sensitive areas</t>
        </is>
      </c>
      <c r="D26" s="10" t="inlineStr">
        <is>
          <t>% covered</t>
        </is>
      </c>
      <c r="E26" s="10" t="inlineStr">
        <is>
          <t>100%</t>
        </is>
      </c>
      <c r="F26" s="10" t="inlineStr"/>
      <c r="G26" s="10" t="inlineStr"/>
      <c r="H26" s="10" t="inlineStr">
        <is>
          <t>On Track</t>
        </is>
      </c>
      <c r="I26" s="9" t="inlineStr"/>
    </row>
    <row r="27" ht="22" customHeight="1">
      <c r="B27" s="33" t="n">
        <v>5</v>
      </c>
      <c r="C27" s="34" t="inlineStr">
        <is>
          <t>Squad duties with written reports</t>
        </is>
      </c>
      <c r="D27" s="35" t="inlineStr">
        <is>
          <t>% with reports</t>
        </is>
      </c>
      <c r="E27" s="35" t="inlineStr">
        <is>
          <t>100%</t>
        </is>
      </c>
      <c r="F27" s="35" t="inlineStr"/>
      <c r="G27" s="35" t="inlineStr"/>
      <c r="H27" s="35" t="inlineStr">
        <is>
          <t>On Track</t>
        </is>
      </c>
      <c r="I27" s="34" t="inlineStr"/>
    </row>
    <row r="28" ht="22" customHeight="1"/>
    <row r="29" ht="24" customHeight="1">
      <c r="B29" s="66" t="inlineStr">
        <is>
          <t>INCIDENT &amp; RESOLUTION KPIs</t>
        </is>
      </c>
    </row>
    <row r="30" ht="22" customHeight="1">
      <c r="B30" s="78" t="inlineStr">
        <is>
          <t>Sl.</t>
        </is>
      </c>
      <c r="C30" s="78" t="inlineStr">
        <is>
          <t>Key Performance Indicator</t>
        </is>
      </c>
      <c r="D30" s="78" t="inlineStr">
        <is>
          <t>Unit</t>
        </is>
      </c>
      <c r="E30" s="78" t="inlineStr">
        <is>
          <t>Target</t>
        </is>
      </c>
      <c r="F30" s="78" t="inlineStr">
        <is>
          <t>Prev. Year
Actual</t>
        </is>
      </c>
      <c r="G30" s="78" t="inlineStr">
        <is>
          <t>Current Year
Actual</t>
        </is>
      </c>
      <c r="H30" s="78" t="inlineStr">
        <is>
          <t>Status</t>
        </is>
      </c>
      <c r="I30" s="78" t="inlineStr">
        <is>
          <t>Action Required</t>
        </is>
      </c>
    </row>
    <row r="31" ht="22" customHeight="1">
      <c r="B31" s="79" t="n">
        <v>1</v>
      </c>
      <c r="C31" s="80" t="inlineStr">
        <is>
          <t>Ragging incidents reported</t>
        </is>
      </c>
      <c r="D31" s="23" t="inlineStr">
        <is>
          <t>No. per year</t>
        </is>
      </c>
      <c r="E31" s="23" t="inlineStr">
        <is>
          <t>0 (zero-tolerance)</t>
        </is>
      </c>
      <c r="F31" s="23" t="inlineStr"/>
      <c r="G31" s="23" t="inlineStr"/>
      <c r="H31" s="23" t="inlineStr">
        <is>
          <t>On Track</t>
        </is>
      </c>
      <c r="I31" s="80" t="inlineStr"/>
    </row>
    <row r="32" ht="22" customHeight="1">
      <c r="B32" s="8" t="n">
        <v>2</v>
      </c>
      <c r="C32" s="9" t="inlineStr">
        <is>
          <t>Complaints acknowledged within 24 hours</t>
        </is>
      </c>
      <c r="D32" s="10" t="inlineStr">
        <is>
          <t>% on time</t>
        </is>
      </c>
      <c r="E32" s="10" t="inlineStr">
        <is>
          <t>100%</t>
        </is>
      </c>
      <c r="F32" s="10" t="inlineStr"/>
      <c r="G32" s="10" t="inlineStr"/>
      <c r="H32" s="10" t="inlineStr">
        <is>
          <t>On Track</t>
        </is>
      </c>
      <c r="I32" s="9" t="inlineStr"/>
    </row>
    <row r="33" ht="22" customHeight="1">
      <c r="B33" s="79" t="n">
        <v>3</v>
      </c>
      <c r="C33" s="80" t="inlineStr">
        <is>
          <t>Inquiry constituted within 24 hours</t>
        </is>
      </c>
      <c r="D33" s="23" t="inlineStr">
        <is>
          <t>% on time</t>
        </is>
      </c>
      <c r="E33" s="23" t="inlineStr">
        <is>
          <t>100%</t>
        </is>
      </c>
      <c r="F33" s="23" t="inlineStr"/>
      <c r="G33" s="23" t="inlineStr"/>
      <c r="H33" s="23" t="inlineStr">
        <is>
          <t>On Track</t>
        </is>
      </c>
      <c r="I33" s="80" t="inlineStr"/>
    </row>
    <row r="34" ht="22" customHeight="1">
      <c r="B34" s="8" t="n">
        <v>4</v>
      </c>
      <c r="C34" s="9" t="inlineStr">
        <is>
          <t>Inquiry completed within stipulated time</t>
        </is>
      </c>
      <c r="D34" s="10" t="inlineStr">
        <is>
          <t>% on time</t>
        </is>
      </c>
      <c r="E34" s="10" t="inlineStr">
        <is>
          <t>100%</t>
        </is>
      </c>
      <c r="F34" s="10" t="inlineStr"/>
      <c r="G34" s="10" t="inlineStr"/>
      <c r="H34" s="10" t="inlineStr">
        <is>
          <t>On Track</t>
        </is>
      </c>
      <c r="I34" s="9" t="inlineStr"/>
    </row>
    <row r="35" ht="22" customHeight="1">
      <c r="B35" s="79" t="n">
        <v>5</v>
      </c>
      <c r="C35" s="80" t="inlineStr">
        <is>
          <t>Serious cases reported to police / UGC</t>
        </is>
      </c>
      <c r="D35" s="23" t="inlineStr">
        <is>
          <t>% reported</t>
        </is>
      </c>
      <c r="E35" s="23" t="inlineStr">
        <is>
          <t>100%</t>
        </is>
      </c>
      <c r="F35" s="23" t="inlineStr"/>
      <c r="G35" s="23" t="inlineStr"/>
      <c r="H35" s="23" t="inlineStr">
        <is>
          <t>On Track</t>
        </is>
      </c>
      <c r="I35" s="80" t="inlineStr"/>
    </row>
    <row r="36" ht="22" customHeight="1">
      <c r="B36" s="8" t="n">
        <v>6</v>
      </c>
      <c r="C36" s="9" t="inlineStr">
        <is>
          <t>Victim counselling provided in all cases</t>
        </is>
      </c>
      <c r="D36" s="10" t="inlineStr">
        <is>
          <t>% cases</t>
        </is>
      </c>
      <c r="E36" s="10" t="inlineStr">
        <is>
          <t>100%</t>
        </is>
      </c>
      <c r="F36" s="10" t="inlineStr"/>
      <c r="G36" s="10" t="inlineStr"/>
      <c r="H36" s="10" t="inlineStr">
        <is>
          <t>On Track</t>
        </is>
      </c>
      <c r="I36" s="9" t="inlineStr"/>
    </row>
    <row r="37" ht="22" customHeight="1">
      <c r="B37" s="79" t="n">
        <v>7</v>
      </c>
      <c r="C37" s="80" t="inlineStr">
        <is>
          <t>Appeals resolved within 30 days</t>
        </is>
      </c>
      <c r="D37" s="23" t="inlineStr">
        <is>
          <t>% on time</t>
        </is>
      </c>
      <c r="E37" s="23" t="inlineStr">
        <is>
          <t>100%</t>
        </is>
      </c>
      <c r="F37" s="23" t="inlineStr"/>
      <c r="G37" s="23" t="inlineStr"/>
      <c r="H37" s="23" t="inlineStr">
        <is>
          <t>On Track</t>
        </is>
      </c>
      <c r="I37" s="80" t="inlineStr"/>
    </row>
    <row r="38" ht="22" customHeight="1"/>
    <row r="39" ht="24" customHeight="1">
      <c r="B39" s="70" t="inlineStr">
        <is>
          <t>QUALITY &amp; ACCREDITATION KPIs</t>
        </is>
      </c>
    </row>
    <row r="40" ht="22" customHeight="1">
      <c r="B40" s="81" t="inlineStr">
        <is>
          <t>Sl.</t>
        </is>
      </c>
      <c r="C40" s="81" t="inlineStr">
        <is>
          <t>Key Performance Indicator</t>
        </is>
      </c>
      <c r="D40" s="81" t="inlineStr">
        <is>
          <t>Unit</t>
        </is>
      </c>
      <c r="E40" s="81" t="inlineStr">
        <is>
          <t>Target</t>
        </is>
      </c>
      <c r="F40" s="81" t="inlineStr">
        <is>
          <t>Prev. Year
Actual</t>
        </is>
      </c>
      <c r="G40" s="81" t="inlineStr">
        <is>
          <t>Current Year
Actual</t>
        </is>
      </c>
      <c r="H40" s="81" t="inlineStr">
        <is>
          <t>Status</t>
        </is>
      </c>
      <c r="I40" s="81" t="inlineStr">
        <is>
          <t>Action Required</t>
        </is>
      </c>
    </row>
    <row r="41" ht="22" customHeight="1">
      <c r="B41" s="82" t="n">
        <v>1</v>
      </c>
      <c r="C41" s="83" t="inlineStr">
        <is>
          <t>ARC meetings held per semester</t>
        </is>
      </c>
      <c r="D41" s="84" t="inlineStr">
        <is>
          <t>No.</t>
        </is>
      </c>
      <c r="E41" s="84" t="inlineStr">
        <is>
          <t>≥1 per semester</t>
        </is>
      </c>
      <c r="F41" s="84" t="inlineStr"/>
      <c r="G41" s="84" t="inlineStr"/>
      <c r="H41" s="84" t="inlineStr">
        <is>
          <t>On Track</t>
        </is>
      </c>
      <c r="I41" s="83" t="inlineStr"/>
    </row>
    <row r="42" ht="22" customHeight="1">
      <c r="B42" s="8" t="n">
        <v>2</v>
      </c>
      <c r="C42" s="9" t="inlineStr">
        <is>
          <t>ARC composition as per UGC Regulations</t>
        </is>
      </c>
      <c r="D42" s="10" t="inlineStr">
        <is>
          <t>Y/N</t>
        </is>
      </c>
      <c r="E42" s="10" t="inlineStr">
        <is>
          <t>Yes</t>
        </is>
      </c>
      <c r="F42" s="10" t="inlineStr"/>
      <c r="G42" s="10" t="inlineStr"/>
      <c r="H42" s="10" t="inlineStr">
        <is>
          <t>On Track</t>
        </is>
      </c>
      <c r="I42" s="9" t="inlineStr"/>
    </row>
    <row r="43" ht="22" customHeight="1">
      <c r="B43" s="82" t="n">
        <v>3</v>
      </c>
      <c r="C43" s="83" t="inlineStr">
        <is>
          <t>Annual report submitted to UGC</t>
        </is>
      </c>
      <c r="D43" s="84" t="inlineStr">
        <is>
          <t>Y/N</t>
        </is>
      </c>
      <c r="E43" s="84" t="inlineStr">
        <is>
          <t>Yes — annually</t>
        </is>
      </c>
      <c r="F43" s="84" t="inlineStr"/>
      <c r="G43" s="84" t="inlineStr"/>
      <c r="H43" s="84" t="inlineStr">
        <is>
          <t>On Track</t>
        </is>
      </c>
      <c r="I43" s="83" t="inlineStr"/>
    </row>
    <row r="44" ht="22" customHeight="1">
      <c r="B44" s="8" t="n">
        <v>4</v>
      </c>
      <c r="C44" s="9" t="inlineStr">
        <is>
          <t>NAAC anti-ragging data compiled</t>
        </is>
      </c>
      <c r="D44" s="10" t="inlineStr">
        <is>
          <t>Y/N</t>
        </is>
      </c>
      <c r="E44" s="10" t="inlineStr">
        <is>
          <t>Yes by Jul 31</t>
        </is>
      </c>
      <c r="F44" s="10" t="inlineStr"/>
      <c r="G44" s="10" t="inlineStr"/>
      <c r="H44" s="10" t="inlineStr">
        <is>
          <t>On Track</t>
        </is>
      </c>
      <c r="I44" s="9" t="inlineStr"/>
    </row>
    <row r="45" ht="22" customHeight="1">
      <c r="B45" s="82" t="n">
        <v>5</v>
      </c>
      <c r="C45" s="83" t="inlineStr">
        <is>
          <t>ARC details on institutional website</t>
        </is>
      </c>
      <c r="D45" s="84" t="inlineStr">
        <is>
          <t>Y/N</t>
        </is>
      </c>
      <c r="E45" s="84" t="inlineStr">
        <is>
          <t>Yes — publicly visible</t>
        </is>
      </c>
      <c r="F45" s="84" t="inlineStr"/>
      <c r="G45" s="84" t="inlineStr"/>
      <c r="H45" s="84" t="inlineStr">
        <is>
          <t>On Track</t>
        </is>
      </c>
      <c r="I45" s="83" t="inlineStr"/>
    </row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</sheetData>
  <mergeCells count="7">
    <mergeCell ref="B12:I12"/>
    <mergeCell ref="B21:I21"/>
    <mergeCell ref="B29:I29"/>
    <mergeCell ref="B39:I39"/>
    <mergeCell ref="B2:I2"/>
    <mergeCell ref="B3:I3"/>
    <mergeCell ref="B4:I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ARC-32: ANTI-RAGGING ANNUAL REPORT &amp; UGC COMPLIANCE FORM</t>
        </is>
      </c>
    </row>
    <row r="3" ht="22" customHeight="1">
      <c r="B3" s="13" t="inlineStr">
        <is>
          <t>LEGAL MANDATE: UGC Regulations on Curbing the Menace of Ragging in Higher Educational Institutions, 2009 | Supreme Court Order in SLP No. 24295/2006 (Vishwa Jagriti Mission vs. Central Govt.) | IPC Sections 323, 339, 340, 341, 506 may apply</t>
        </is>
      </c>
    </row>
    <row r="4" ht="25" customHeight="1">
      <c r="B4" s="2" t="inlineStr">
        <is>
          <t>A.Y.: _______  ARC Chairperson: ___________________  Submitted to: UGC / Management / NAAC  Date: _______</t>
        </is>
      </c>
    </row>
    <row r="5" ht="24" customHeight="1">
      <c r="B5" s="19" t="inlineStr">
        <is>
          <t>SECTION 1 — UNDERTAKINGS &amp; CONSTITUTION</t>
        </is>
      </c>
    </row>
    <row r="6" ht="22" customHeight="1">
      <c r="B6" s="20" t="inlineStr">
        <is>
          <t>Sl.</t>
        </is>
      </c>
      <c r="C6" s="20" t="inlineStr">
        <is>
          <t>Performance Metric</t>
        </is>
      </c>
      <c r="D6" s="20" t="inlineStr">
        <is>
          <t>Unit</t>
        </is>
      </c>
      <c r="E6" s="20" t="inlineStr">
        <is>
          <t>Current A.Y.</t>
        </is>
      </c>
      <c r="F6" s="20" t="inlineStr">
        <is>
          <t>Previous A.Y.</t>
        </is>
      </c>
      <c r="G6" s="20" t="inlineStr">
        <is>
          <t>Change</t>
        </is>
      </c>
      <c r="H6" s="20" t="inlineStr">
        <is>
          <t>Remarks</t>
        </is>
      </c>
    </row>
    <row r="7" ht="22" customHeight="1">
      <c r="B7" s="14" t="n">
        <v>1</v>
      </c>
      <c r="C7" s="15" t="inlineStr">
        <is>
          <t>Students with signed undertaking</t>
        </is>
      </c>
      <c r="D7" s="16" t="inlineStr">
        <is>
          <t>No. / %</t>
        </is>
      </c>
      <c r="E7" s="16" t="inlineStr"/>
      <c r="F7" s="16" t="inlineStr"/>
      <c r="G7" s="16">
        <f>IFERROR(ROUND((E7-F7)/IF(F7=0,1,F7)*100,1),"")</f>
        <v/>
      </c>
      <c r="H7" s="15" t="inlineStr"/>
    </row>
    <row r="8" ht="22" customHeight="1">
      <c r="B8" s="8" t="n">
        <v>2</v>
      </c>
      <c r="C8" s="9" t="inlineStr">
        <is>
          <t>Parents with signed undertaking</t>
        </is>
      </c>
      <c r="D8" s="10" t="inlineStr">
        <is>
          <t>No. / %</t>
        </is>
      </c>
      <c r="E8" s="10" t="inlineStr"/>
      <c r="F8" s="10" t="inlineStr"/>
      <c r="G8" s="10">
        <f>IFERROR(ROUND((E8-F8)/IF(F8=0,1,F8)*100,1),"")</f>
        <v/>
      </c>
      <c r="H8" s="9" t="inlineStr"/>
    </row>
    <row r="9" ht="22" customHeight="1">
      <c r="B9" s="14" t="n">
        <v>3</v>
      </c>
      <c r="C9" s="15" t="inlineStr">
        <is>
          <t>Online UGC portal undertaking compliance</t>
        </is>
      </c>
      <c r="D9" s="16" t="inlineStr">
        <is>
          <t>No. / %</t>
        </is>
      </c>
      <c r="E9" s="16" t="inlineStr"/>
      <c r="F9" s="16" t="inlineStr"/>
      <c r="G9" s="16">
        <f>IFERROR(ROUND((E9-F9)/IF(F9=0,1,F9)*100,1),"")</f>
        <v/>
      </c>
      <c r="H9" s="15" t="inlineStr"/>
    </row>
    <row r="10" ht="22" customHeight="1">
      <c r="B10" s="8" t="n">
        <v>4</v>
      </c>
      <c r="C10" s="9" t="inlineStr">
        <is>
          <t>Faculty / staff undertaking compliance</t>
        </is>
      </c>
      <c r="D10" s="10" t="inlineStr">
        <is>
          <t>No. / %</t>
        </is>
      </c>
      <c r="E10" s="10" t="inlineStr"/>
      <c r="F10" s="10" t="inlineStr"/>
      <c r="G10" s="10">
        <f>IFERROR(ROUND((E10-F10)/IF(F10=0,1,F10)*100,1),"")</f>
        <v/>
      </c>
      <c r="H10" s="9" t="inlineStr"/>
    </row>
    <row r="11" ht="22" customHeight="1">
      <c r="B11" s="14" t="n">
        <v>5</v>
      </c>
      <c r="C11" s="15" t="inlineStr">
        <is>
          <t>ARC meetings held</t>
        </is>
      </c>
      <c r="D11" s="16" t="inlineStr">
        <is>
          <t>No.</t>
        </is>
      </c>
      <c r="E11" s="16" t="inlineStr"/>
      <c r="F11" s="16" t="inlineStr"/>
      <c r="G11" s="16">
        <f>IFERROR(ROUND((E11-F11)/IF(F11=0,1,F11)*100,1),"")</f>
        <v/>
      </c>
      <c r="H11" s="15" t="inlineStr"/>
    </row>
    <row r="12" ht="22" customHeight="1">
      <c r="B12" s="8" t="n">
        <v>6</v>
      </c>
      <c r="C12" s="9" t="inlineStr">
        <is>
          <t>ARC composition compliant with UGC norms</t>
        </is>
      </c>
      <c r="D12" s="10" t="inlineStr">
        <is>
          <t>Y/N</t>
        </is>
      </c>
      <c r="E12" s="10" t="inlineStr"/>
      <c r="F12" s="10" t="inlineStr"/>
      <c r="G12" s="10">
        <f>IFERROR(ROUND((E12-F12)/IF(F12=0,1,F12)*100,1),"")</f>
        <v/>
      </c>
      <c r="H12" s="9" t="inlineStr"/>
    </row>
    <row r="13" ht="22" customHeight="1"/>
    <row r="14" ht="24" customHeight="1">
      <c r="B14" s="43" t="inlineStr">
        <is>
          <t>SECTION 2 — AWARENESS &amp; PREVENTION</t>
        </is>
      </c>
    </row>
    <row r="15" ht="22" customHeight="1">
      <c r="B15" s="50" t="inlineStr">
        <is>
          <t>Sl.</t>
        </is>
      </c>
      <c r="C15" s="50" t="inlineStr">
        <is>
          <t>Performance Metric</t>
        </is>
      </c>
      <c r="D15" s="50" t="inlineStr">
        <is>
          <t>Unit</t>
        </is>
      </c>
      <c r="E15" s="50" t="inlineStr">
        <is>
          <t>Current A.Y.</t>
        </is>
      </c>
      <c r="F15" s="50" t="inlineStr">
        <is>
          <t>Previous A.Y.</t>
        </is>
      </c>
      <c r="G15" s="50" t="inlineStr">
        <is>
          <t>Change</t>
        </is>
      </c>
      <c r="H15" s="50" t="inlineStr">
        <is>
          <t>Remarks</t>
        </is>
      </c>
    </row>
    <row r="16" ht="22" customHeight="1">
      <c r="B16" s="51" t="n">
        <v>1</v>
      </c>
      <c r="C16" s="77" t="inlineStr">
        <is>
          <t>Awareness programmes conducted</t>
        </is>
      </c>
      <c r="D16" s="52" t="inlineStr">
        <is>
          <t>No.</t>
        </is>
      </c>
      <c r="E16" s="52" t="inlineStr"/>
      <c r="F16" s="52" t="inlineStr"/>
      <c r="G16" s="52">
        <f>IFERROR(ROUND((E16-F16)/IF(F16=0,1,F16)*100,1),"")</f>
        <v/>
      </c>
      <c r="H16" s="77" t="inlineStr"/>
    </row>
    <row r="17" ht="22" customHeight="1">
      <c r="B17" s="8" t="n">
        <v>2</v>
      </c>
      <c r="C17" s="9" t="inlineStr">
        <is>
          <t>Total students reached through awareness</t>
        </is>
      </c>
      <c r="D17" s="10" t="inlineStr">
        <is>
          <t>No.</t>
        </is>
      </c>
      <c r="E17" s="10" t="inlineStr"/>
      <c r="F17" s="10" t="inlineStr"/>
      <c r="G17" s="10">
        <f>IFERROR(ROUND((E17-F17)/IF(F17=0,1,F17)*100,1),"")</f>
        <v/>
      </c>
      <c r="H17" s="9" t="inlineStr"/>
    </row>
    <row r="18" ht="22" customHeight="1">
      <c r="B18" s="51" t="n">
        <v>3</v>
      </c>
      <c r="C18" s="77" t="inlineStr">
        <is>
          <t>Orientation anti-ragging session held</t>
        </is>
      </c>
      <c r="D18" s="52" t="inlineStr">
        <is>
          <t>Y/N</t>
        </is>
      </c>
      <c r="E18" s="52" t="inlineStr"/>
      <c r="F18" s="52" t="inlineStr"/>
      <c r="G18" s="52">
        <f>IFERROR(ROUND((E18-F18)/IF(F18=0,1,F18)*100,1),"")</f>
        <v/>
      </c>
      <c r="H18" s="77" t="inlineStr"/>
    </row>
    <row r="19" ht="22" customHeight="1">
      <c r="B19" s="8" t="n">
        <v>4</v>
      </c>
      <c r="C19" s="9" t="inlineStr">
        <is>
          <t>Parent awareness sessions</t>
        </is>
      </c>
      <c r="D19" s="10" t="inlineStr">
        <is>
          <t>No.</t>
        </is>
      </c>
      <c r="E19" s="10" t="inlineStr"/>
      <c r="F19" s="10" t="inlineStr"/>
      <c r="G19" s="10">
        <f>IFERROR(ROUND((E19-F19)/IF(F19=0,1,F19)*100,1),"")</f>
        <v/>
      </c>
      <c r="H19" s="9" t="inlineStr"/>
    </row>
    <row r="20" ht="22" customHeight="1">
      <c r="B20" s="51" t="n">
        <v>5</v>
      </c>
      <c r="C20" s="77" t="inlineStr">
        <is>
          <t>Helpline numbers displayed across campus</t>
        </is>
      </c>
      <c r="D20" s="52" t="inlineStr">
        <is>
          <t>Y/N</t>
        </is>
      </c>
      <c r="E20" s="52" t="inlineStr"/>
      <c r="F20" s="52" t="inlineStr"/>
      <c r="G20" s="52">
        <f>IFERROR(ROUND((E20-F20)/IF(F20=0,1,F20)*100,1),"")</f>
        <v/>
      </c>
      <c r="H20" s="77" t="inlineStr"/>
    </row>
    <row r="21" ht="22" customHeight="1">
      <c r="B21" s="8" t="n">
        <v>6</v>
      </c>
      <c r="C21" s="9" t="inlineStr">
        <is>
          <t>Anti-ragging squad constituted and active</t>
        </is>
      </c>
      <c r="D21" s="10" t="inlineStr">
        <is>
          <t>Y/N</t>
        </is>
      </c>
      <c r="E21" s="10" t="inlineStr"/>
      <c r="F21" s="10" t="inlineStr"/>
      <c r="G21" s="10">
        <f>IFERROR(ROUND((E21-F21)/IF(F21=0,1,F21)*100,1),"")</f>
        <v/>
      </c>
      <c r="H21" s="9" t="inlineStr"/>
    </row>
    <row r="22" ht="22" customHeight="1"/>
    <row r="23" ht="24" customHeight="1">
      <c r="B23" s="36" t="inlineStr">
        <is>
          <t>SECTION 3 — MONITORING</t>
        </is>
      </c>
    </row>
    <row r="24" ht="22" customHeight="1">
      <c r="B24" s="32" t="inlineStr">
        <is>
          <t>Sl.</t>
        </is>
      </c>
      <c r="C24" s="32" t="inlineStr">
        <is>
          <t>Performance Metric</t>
        </is>
      </c>
      <c r="D24" s="32" t="inlineStr">
        <is>
          <t>Unit</t>
        </is>
      </c>
      <c r="E24" s="32" t="inlineStr">
        <is>
          <t>Current A.Y.</t>
        </is>
      </c>
      <c r="F24" s="32" t="inlineStr">
        <is>
          <t>Previous A.Y.</t>
        </is>
      </c>
      <c r="G24" s="32" t="inlineStr">
        <is>
          <t>Change</t>
        </is>
      </c>
      <c r="H24" s="32" t="inlineStr">
        <is>
          <t>Remarks</t>
        </is>
      </c>
    </row>
    <row r="25" ht="22" customHeight="1">
      <c r="B25" s="33" t="n">
        <v>1</v>
      </c>
      <c r="C25" s="34" t="inlineStr">
        <is>
          <t>Surprise checks conducted</t>
        </is>
      </c>
      <c r="D25" s="35" t="inlineStr">
        <is>
          <t>No.</t>
        </is>
      </c>
      <c r="E25" s="35" t="inlineStr"/>
      <c r="F25" s="35" t="inlineStr"/>
      <c r="G25" s="35">
        <f>IFERROR(ROUND((E25-F25)/IF(F25=0,1,F25)*100,1),"")</f>
        <v/>
      </c>
      <c r="H25" s="34" t="inlineStr"/>
    </row>
    <row r="26" ht="22" customHeight="1">
      <c r="B26" s="8" t="n">
        <v>2</v>
      </c>
      <c r="C26" s="9" t="inlineStr">
        <is>
          <t>Anti-ragging squad patrol duties</t>
        </is>
      </c>
      <c r="D26" s="10" t="inlineStr">
        <is>
          <t>No.</t>
        </is>
      </c>
      <c r="E26" s="10" t="inlineStr"/>
      <c r="F26" s="10" t="inlineStr"/>
      <c r="G26" s="10">
        <f>IFERROR(ROUND((E26-F26)/IF(F26=0,1,F26)*100,1),"")</f>
        <v/>
      </c>
      <c r="H26" s="9" t="inlineStr"/>
    </row>
    <row r="27" ht="22" customHeight="1">
      <c r="B27" s="33" t="n">
        <v>3</v>
      </c>
      <c r="C27" s="34" t="inlineStr">
        <is>
          <t>Hostel monitoring reports submitted</t>
        </is>
      </c>
      <c r="D27" s="35" t="inlineStr">
        <is>
          <t>No.</t>
        </is>
      </c>
      <c r="E27" s="35" t="inlineStr"/>
      <c r="F27" s="35" t="inlineStr"/>
      <c r="G27" s="35">
        <f>IFERROR(ROUND((E27-F27)/IF(F27=0,1,F27)*100,1),"")</f>
        <v/>
      </c>
      <c r="H27" s="34" t="inlineStr"/>
    </row>
    <row r="28" ht="22" customHeight="1">
      <c r="B28" s="8" t="n">
        <v>4</v>
      </c>
      <c r="C28" s="9" t="inlineStr">
        <is>
          <t>CCTV coverage adequate</t>
        </is>
      </c>
      <c r="D28" s="10" t="inlineStr">
        <is>
          <t>Y/N</t>
        </is>
      </c>
      <c r="E28" s="10" t="inlineStr"/>
      <c r="F28" s="10" t="inlineStr"/>
      <c r="G28" s="10">
        <f>IFERROR(ROUND((E28-F28)/IF(F28=0,1,F28)*100,1),"")</f>
        <v/>
      </c>
      <c r="H28" s="9" t="inlineStr"/>
    </row>
    <row r="29" ht="22" customHeight="1">
      <c r="B29" s="33" t="n">
        <v>5</v>
      </c>
      <c r="C29" s="34" t="inlineStr">
        <is>
          <t>Anonymous complaint mechanism active</t>
        </is>
      </c>
      <c r="D29" s="35" t="inlineStr">
        <is>
          <t>Y/N</t>
        </is>
      </c>
      <c r="E29" s="35" t="inlineStr"/>
      <c r="F29" s="35" t="inlineStr"/>
      <c r="G29" s="35">
        <f>IFERROR(ROUND((E29-F29)/IF(F29=0,1,F29)*100,1),"")</f>
        <v/>
      </c>
      <c r="H29" s="34" t="inlineStr"/>
    </row>
    <row r="30" ht="22" customHeight="1">
      <c r="B30" s="8" t="n">
        <v>6</v>
      </c>
      <c r="C30" s="9" t="inlineStr">
        <is>
          <t>ARC details on website</t>
        </is>
      </c>
      <c r="D30" s="10" t="inlineStr">
        <is>
          <t>Y/N</t>
        </is>
      </c>
      <c r="E30" s="10" t="inlineStr"/>
      <c r="F30" s="10" t="inlineStr"/>
      <c r="G30" s="10">
        <f>IFERROR(ROUND((E30-F30)/IF(F30=0,1,F30)*100,1),"")</f>
        <v/>
      </c>
      <c r="H30" s="9" t="inlineStr"/>
    </row>
    <row r="31" ht="22" customHeight="1"/>
    <row r="32" ht="24" customHeight="1">
      <c r="B32" s="66" t="inlineStr">
        <is>
          <t>SECTION 4 — INCIDENTS &amp; ACTIONS</t>
        </is>
      </c>
    </row>
    <row r="33" ht="22" customHeight="1">
      <c r="B33" s="78" t="inlineStr">
        <is>
          <t>Sl.</t>
        </is>
      </c>
      <c r="C33" s="78" t="inlineStr">
        <is>
          <t>Performance Metric</t>
        </is>
      </c>
      <c r="D33" s="78" t="inlineStr">
        <is>
          <t>Unit</t>
        </is>
      </c>
      <c r="E33" s="78" t="inlineStr">
        <is>
          <t>Current A.Y.</t>
        </is>
      </c>
      <c r="F33" s="78" t="inlineStr">
        <is>
          <t>Previous A.Y.</t>
        </is>
      </c>
      <c r="G33" s="78" t="inlineStr">
        <is>
          <t>Change</t>
        </is>
      </c>
      <c r="H33" s="78" t="inlineStr">
        <is>
          <t>Remarks</t>
        </is>
      </c>
    </row>
    <row r="34" ht="22" customHeight="1">
      <c r="B34" s="79" t="n">
        <v>1</v>
      </c>
      <c r="C34" s="80" t="inlineStr">
        <is>
          <t>Total ragging complaints received</t>
        </is>
      </c>
      <c r="D34" s="23" t="inlineStr">
        <is>
          <t>No.</t>
        </is>
      </c>
      <c r="E34" s="23" t="inlineStr"/>
      <c r="F34" s="23" t="inlineStr"/>
      <c r="G34" s="23">
        <f>IFERROR(ROUND((E34-F34)/IF(F34=0,1,F34)*100,1),"")</f>
        <v/>
      </c>
      <c r="H34" s="80" t="inlineStr"/>
    </row>
    <row r="35" ht="22" customHeight="1">
      <c r="B35" s="8" t="n">
        <v>2</v>
      </c>
      <c r="C35" s="9" t="inlineStr">
        <is>
          <t>Level 1 — Minor cases</t>
        </is>
      </c>
      <c r="D35" s="10" t="inlineStr">
        <is>
          <t>No.</t>
        </is>
      </c>
      <c r="E35" s="10" t="inlineStr"/>
      <c r="F35" s="10" t="inlineStr"/>
      <c r="G35" s="10">
        <f>IFERROR(ROUND((E35-F35)/IF(F35=0,1,F35)*100,1),"")</f>
        <v/>
      </c>
      <c r="H35" s="9" t="inlineStr"/>
    </row>
    <row r="36" ht="22" customHeight="1">
      <c r="B36" s="79" t="n">
        <v>3</v>
      </c>
      <c r="C36" s="80" t="inlineStr">
        <is>
          <t>Level 2 — Moderate cases</t>
        </is>
      </c>
      <c r="D36" s="23" t="inlineStr">
        <is>
          <t>No.</t>
        </is>
      </c>
      <c r="E36" s="23" t="inlineStr"/>
      <c r="F36" s="23" t="inlineStr"/>
      <c r="G36" s="23">
        <f>IFERROR(ROUND((E36-F36)/IF(F36=0,1,F36)*100,1),"")</f>
        <v/>
      </c>
      <c r="H36" s="80" t="inlineStr"/>
    </row>
    <row r="37" ht="22" customHeight="1">
      <c r="B37" s="8" t="n">
        <v>4</v>
      </c>
      <c r="C37" s="9" t="inlineStr">
        <is>
          <t>Level 3 — Severe / Criminal cases</t>
        </is>
      </c>
      <c r="D37" s="10" t="inlineStr">
        <is>
          <t>No.</t>
        </is>
      </c>
      <c r="E37" s="10" t="inlineStr"/>
      <c r="F37" s="10" t="inlineStr"/>
      <c r="G37" s="10">
        <f>IFERROR(ROUND((E37-F37)/IF(F37=0,1,F37)*100,1),"")</f>
        <v/>
      </c>
      <c r="H37" s="9" t="inlineStr"/>
    </row>
    <row r="38" ht="22" customHeight="1">
      <c r="B38" s="79" t="n">
        <v>5</v>
      </c>
      <c r="C38" s="80" t="inlineStr">
        <is>
          <t>Cases referred to police (FIR)</t>
        </is>
      </c>
      <c r="D38" s="23" t="inlineStr">
        <is>
          <t>No.</t>
        </is>
      </c>
      <c r="E38" s="23" t="inlineStr"/>
      <c r="F38" s="23" t="inlineStr"/>
      <c r="G38" s="23">
        <f>IFERROR(ROUND((E38-F38)/IF(F38=0,1,F38)*100,1),"")</f>
        <v/>
      </c>
      <c r="H38" s="80" t="inlineStr"/>
    </row>
    <row r="39" ht="22" customHeight="1">
      <c r="B39" s="8" t="n">
        <v>6</v>
      </c>
      <c r="C39" s="9" t="inlineStr">
        <is>
          <t>Cases reported to UGC portal</t>
        </is>
      </c>
      <c r="D39" s="10" t="inlineStr">
        <is>
          <t>No.</t>
        </is>
      </c>
      <c r="E39" s="10" t="inlineStr"/>
      <c r="F39" s="10" t="inlineStr"/>
      <c r="G39" s="10">
        <f>IFERROR(ROUND((E39-F39)/IF(F39=0,1,F39)*100,1),"")</f>
        <v/>
      </c>
      <c r="H39" s="9" t="inlineStr"/>
    </row>
    <row r="40" ht="22" customHeight="1"/>
    <row r="41" ht="24" customHeight="1">
      <c r="B41" s="70" t="inlineStr">
        <is>
          <t>SECTION 5 — DECISIONS &amp; OUTCOMES</t>
        </is>
      </c>
    </row>
    <row r="42" ht="22" customHeight="1">
      <c r="B42" s="81" t="inlineStr">
        <is>
          <t>Sl.</t>
        </is>
      </c>
      <c r="C42" s="81" t="inlineStr">
        <is>
          <t>Performance Metric</t>
        </is>
      </c>
      <c r="D42" s="81" t="inlineStr">
        <is>
          <t>Unit</t>
        </is>
      </c>
      <c r="E42" s="81" t="inlineStr">
        <is>
          <t>Current A.Y.</t>
        </is>
      </c>
      <c r="F42" s="81" t="inlineStr">
        <is>
          <t>Previous A.Y.</t>
        </is>
      </c>
      <c r="G42" s="81" t="inlineStr">
        <is>
          <t>Change</t>
        </is>
      </c>
      <c r="H42" s="81" t="inlineStr">
        <is>
          <t>Remarks</t>
        </is>
      </c>
    </row>
    <row r="43" ht="22" customHeight="1">
      <c r="B43" s="82" t="n">
        <v>1</v>
      </c>
      <c r="C43" s="83" t="inlineStr">
        <is>
          <t>Cases decided — Guilty</t>
        </is>
      </c>
      <c r="D43" s="84" t="inlineStr">
        <is>
          <t>No.</t>
        </is>
      </c>
      <c r="E43" s="84" t="inlineStr"/>
      <c r="F43" s="84" t="inlineStr"/>
      <c r="G43" s="84">
        <f>IFERROR(ROUND((E43-F43)/IF(F43=0,1,F43)*100,1),"")</f>
        <v/>
      </c>
      <c r="H43" s="83" t="inlineStr"/>
    </row>
    <row r="44" ht="22" customHeight="1">
      <c r="B44" s="8" t="n">
        <v>2</v>
      </c>
      <c r="C44" s="9" t="inlineStr">
        <is>
          <t>Cases decided — Acquitted</t>
        </is>
      </c>
      <c r="D44" s="10" t="inlineStr">
        <is>
          <t>No.</t>
        </is>
      </c>
      <c r="E44" s="10" t="inlineStr"/>
      <c r="F44" s="10" t="inlineStr"/>
      <c r="G44" s="10">
        <f>IFERROR(ROUND((E44-F44)/IF(F44=0,1,F44)*100,1),"")</f>
        <v/>
      </c>
      <c r="H44" s="9" t="inlineStr"/>
    </row>
    <row r="45" ht="22" customHeight="1">
      <c r="B45" s="82" t="n">
        <v>3</v>
      </c>
      <c r="C45" s="83" t="inlineStr">
        <is>
          <t>Rustications / Expulsions</t>
        </is>
      </c>
      <c r="D45" s="84" t="inlineStr">
        <is>
          <t>No.</t>
        </is>
      </c>
      <c r="E45" s="84" t="inlineStr"/>
      <c r="F45" s="84" t="inlineStr"/>
      <c r="G45" s="84">
        <f>IFERROR(ROUND((E45-F45)/IF(F45=0,1,F45)*100,1),"")</f>
        <v/>
      </c>
      <c r="H45" s="83" t="inlineStr"/>
    </row>
    <row r="46" ht="22" customHeight="1">
      <c r="B46" s="8" t="n">
        <v>4</v>
      </c>
      <c r="C46" s="9" t="inlineStr">
        <is>
          <t>Victims receiving counselling support</t>
        </is>
      </c>
      <c r="D46" s="10" t="inlineStr">
        <is>
          <t>No.</t>
        </is>
      </c>
      <c r="E46" s="10" t="inlineStr"/>
      <c r="F46" s="10" t="inlineStr"/>
      <c r="G46" s="10">
        <f>IFERROR(ROUND((E46-F46)/IF(F46=0,1,F46)*100,1),"")</f>
        <v/>
      </c>
      <c r="H46" s="9" t="inlineStr"/>
    </row>
    <row r="47" ht="22" customHeight="1">
      <c r="B47" s="82" t="n">
        <v>5</v>
      </c>
      <c r="C47" s="83" t="inlineStr">
        <is>
          <t>Appeals filed / decided</t>
        </is>
      </c>
      <c r="D47" s="84" t="inlineStr">
        <is>
          <t>No.</t>
        </is>
      </c>
      <c r="E47" s="84" t="inlineStr"/>
      <c r="F47" s="84" t="inlineStr"/>
      <c r="G47" s="84">
        <f>IFERROR(ROUND((E47-F47)/IF(F47=0,1,F47)*100,1),"")</f>
        <v/>
      </c>
      <c r="H47" s="83" t="inlineStr"/>
    </row>
    <row r="48" ht="22" customHeight="1">
      <c r="B48" s="8" t="n">
        <v>6</v>
      </c>
      <c r="C48" s="9" t="inlineStr">
        <is>
          <t>Zero-ragging year achieved</t>
        </is>
      </c>
      <c r="D48" s="10" t="inlineStr">
        <is>
          <t>Y/N</t>
        </is>
      </c>
      <c r="E48" s="10" t="inlineStr"/>
      <c r="F48" s="10" t="inlineStr"/>
      <c r="G48" s="10">
        <f>IFERROR(ROUND((E48-F48)/IF(F48=0,1,F48)*100,1),"")</f>
        <v/>
      </c>
      <c r="H48" s="9" t="inlineStr"/>
    </row>
    <row r="49" ht="22" customHeight="1"/>
    <row r="50" ht="20" customHeight="1">
      <c r="B50" s="17" t="inlineStr">
        <is>
          <t>Report submitted to: UGC (via anti-ragging.in annual report), Management, IQAC (NAAC AQAR Criterion V.3 — Student Safety &amp; Welfare), Governing Body. ARC meeting minutes to be uploaded on institutional website annually.</t>
        </is>
      </c>
    </row>
    <row r="51" ht="22" customHeight="1">
      <c r="B51" s="31" t="inlineStr">
        <is>
          <t>ARC Member Secretary: ___________________    ARC Chairperson (Principal): ___________________    IQAC Coordinator: ___________________    Date: ___________________</t>
        </is>
      </c>
    </row>
    <row r="52" ht="22" customHeight="1"/>
    <row r="53" ht="22" customHeight="1"/>
    <row r="54" ht="22" customHeight="1"/>
    <row r="55" ht="22" customHeight="1"/>
  </sheetData>
  <mergeCells count="10">
    <mergeCell ref="B14:H14"/>
    <mergeCell ref="B32:H32"/>
    <mergeCell ref="B50:H50"/>
    <mergeCell ref="B51:H51"/>
    <mergeCell ref="B41:H41"/>
    <mergeCell ref="B4:H4"/>
    <mergeCell ref="B2:H2"/>
    <mergeCell ref="B3:H3"/>
    <mergeCell ref="B5:H5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2026-04-26T08:55:18Z</dcterms:created>
  <dcterms:modified xmlns:dcterms="http://purl.org/dc/terms/" xmlns:xsi="http://www.w3.org/2001/XMLSchema-instance" xsi:type="dcterms:W3CDTF">2026-04-26T08:55:18Z</dcterms:modified>
</cp:coreProperties>
</file>