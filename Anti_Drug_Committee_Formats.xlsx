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ADC-00 Composition" sheetId="2" state="visible" r:id="rId2"/>
    <sheet xmlns:r="http://schemas.openxmlformats.org/officeDocument/2006/relationships" name="ADC-NA Notice &amp; Agenda" sheetId="3" state="visible" r:id="rId3"/>
    <sheet xmlns:r="http://schemas.openxmlformats.org/officeDocument/2006/relationships" name="ADC-AT Attendance" sheetId="4" state="visible" r:id="rId4"/>
    <sheet xmlns:r="http://schemas.openxmlformats.org/officeDocument/2006/relationships" name="ADC-MM Minutes" sheetId="5" state="visible" r:id="rId5"/>
    <sheet xmlns:r="http://schemas.openxmlformats.org/officeDocument/2006/relationships" name="ADC-ATR Action Report" sheetId="6" state="visible" r:id="rId6"/>
    <sheet xmlns:r="http://schemas.openxmlformats.org/officeDocument/2006/relationships" name="ADC-04 Student Undertakings" sheetId="7" state="visible" r:id="rId7"/>
    <sheet xmlns:r="http://schemas.openxmlformats.org/officeDocument/2006/relationships" name="ADC-08 Awareness Programmes" sheetId="8" state="visible" r:id="rId8"/>
    <sheet xmlns:r="http://schemas.openxmlformats.org/officeDocument/2006/relationships" name="ADC-13 Peer Educator Register" sheetId="9" state="visible" r:id="rId9"/>
    <sheet xmlns:r="http://schemas.openxmlformats.org/officeDocument/2006/relationships" name="ADC-21 Warning Signs Register" sheetId="10" state="visible" r:id="rId10"/>
    <sheet xmlns:r="http://schemas.openxmlformats.org/officeDocument/2006/relationships" name="ADC-22 Complaint Form" sheetId="11" state="visible" r:id="rId11"/>
    <sheet xmlns:r="http://schemas.openxmlformats.org/officeDocument/2006/relationships" name="ADC-23 Case Register" sheetId="12" state="visible" r:id="rId12"/>
    <sheet xmlns:r="http://schemas.openxmlformats.org/officeDocument/2006/relationships" name="ADC-29 Counselling Register" sheetId="13" state="visible" r:id="rId13"/>
    <sheet xmlns:r="http://schemas.openxmlformats.org/officeDocument/2006/relationships" name="ADC-30 Rehabilitation Referral" sheetId="14" state="visible" r:id="rId14"/>
    <sheet xmlns:r="http://schemas.openxmlformats.org/officeDocument/2006/relationships" name="ADC-33 Decision Register" sheetId="15" state="visible" r:id="rId15"/>
    <sheet xmlns:r="http://schemas.openxmlformats.org/officeDocument/2006/relationships" name="ADC-02 Compliance Checklist" sheetId="16" state="visible" r:id="rId16"/>
    <sheet xmlns:r="http://schemas.openxmlformats.org/officeDocument/2006/relationships" name="ADC-18 Hostel Checks" sheetId="17" state="visible" r:id="rId17"/>
    <sheet xmlns:r="http://schemas.openxmlformats.org/officeDocument/2006/relationships" name="ADC-40 KPI Dashboard" sheetId="18" state="visible" r:id="rId18"/>
    <sheet xmlns:r="http://schemas.openxmlformats.org/officeDocument/2006/relationships" name="ADC-41 Annual Report" sheetId="19" state="visible" r:id="rId19"/>
  </sheets>
  <definedNames/>
  <calcPr calcId="124519" fullCalcOnLoad="1"/>
</workbook>
</file>

<file path=xl/styles.xml><?xml version="1.0" encoding="utf-8"?>
<styleSheet xmlns="http://schemas.openxmlformats.org/spreadsheetml/2006/main">
  <numFmts count="0"/>
  <fonts count="23">
    <font>
      <name val="Calibri"/>
      <family val="2"/>
      <color theme="1"/>
      <sz val="11"/>
      <scheme val="minor"/>
    </font>
    <font>
      <name val="Arial"/>
      <b val="1"/>
      <color rgb="00FFFFFF"/>
      <sz val="17"/>
    </font>
    <font>
      <name val="Arial"/>
      <color rgb="004C1D95"/>
      <sz val="9"/>
    </font>
    <font>
      <name val="Arial"/>
      <b val="1"/>
      <color rgb="00FFFFFF"/>
      <sz val="11"/>
    </font>
    <font>
      <name val="Arial"/>
      <b val="1"/>
      <color rgb="00FFFFFF"/>
      <sz val="10"/>
    </font>
    <font>
      <name val="Arial"/>
      <b val="1"/>
      <color rgb="000F172A"/>
      <sz val="10"/>
    </font>
    <font>
      <name val="Arial"/>
      <color rgb="000F172A"/>
      <sz val="10"/>
    </font>
    <font>
      <name val="Arial"/>
      <color rgb="0064748B"/>
      <sz val="9"/>
    </font>
    <font>
      <name val="Arial"/>
      <b val="1"/>
      <color rgb="00FFFFFF"/>
      <sz val="14"/>
    </font>
    <font>
      <name val="Arial"/>
      <color rgb="00451A03"/>
      <sz val="8"/>
    </font>
    <font>
      <name val="Arial"/>
      <color rgb="003F2000"/>
      <sz val="9"/>
    </font>
    <font>
      <name val="Arial"/>
      <b val="1"/>
      <color rgb="003B0764"/>
      <sz val="9"/>
    </font>
    <font>
      <name val="Arial"/>
      <b val="1"/>
      <color rgb="004C1D95"/>
      <sz val="10"/>
    </font>
    <font>
      <name val="Arial"/>
      <b val="1"/>
      <color rgb="00334155"/>
      <sz val="10"/>
    </font>
    <font>
      <name val="Arial"/>
      <b val="1"/>
      <color rgb="00166534"/>
      <sz val="10"/>
    </font>
    <font>
      <name val="Arial"/>
      <color rgb="000F172A"/>
      <sz val="9"/>
    </font>
    <font>
      <name val="Arial"/>
      <b val="1"/>
      <color rgb="000F172A"/>
      <sz val="9"/>
    </font>
    <font>
      <name val="Arial"/>
      <b val="1"/>
      <color rgb="001A0030"/>
      <sz val="10"/>
    </font>
    <font>
      <name val="Arial"/>
      <b val="1"/>
      <color rgb="001E3A5F"/>
      <sz val="10"/>
    </font>
    <font>
      <name val="Arial"/>
      <b val="1"/>
      <color rgb="00B91C1C"/>
      <sz val="10"/>
    </font>
    <font>
      <name val="Arial"/>
      <b val="1"/>
      <color rgb="004C1D95"/>
      <sz val="9"/>
    </font>
    <font>
      <name val="Arial"/>
      <color rgb="004C1D95"/>
      <sz val="10"/>
    </font>
    <font>
      <name val="Arial"/>
      <b val="1"/>
      <color rgb="003F2000"/>
      <sz val="10"/>
    </font>
  </fonts>
  <fills count="21">
    <fill>
      <patternFill/>
    </fill>
    <fill>
      <patternFill patternType="gray125"/>
    </fill>
    <fill>
      <patternFill patternType="solid">
        <fgColor rgb="001A0030"/>
      </patternFill>
    </fill>
    <fill>
      <patternFill patternType="solid">
        <fgColor rgb="00EDE9FE"/>
      </patternFill>
    </fill>
    <fill>
      <patternFill patternType="solid">
        <fgColor rgb="00D97706"/>
      </patternFill>
    </fill>
    <fill>
      <patternFill patternType="solid">
        <fgColor rgb="00334155"/>
      </patternFill>
    </fill>
    <fill>
      <patternFill patternType="solid">
        <fgColor rgb="00F8FAFC"/>
      </patternFill>
    </fill>
    <fill>
      <patternFill patternType="solid">
        <fgColor rgb="00FFFFFF"/>
      </patternFill>
    </fill>
    <fill>
      <patternFill patternType="solid">
        <fgColor rgb="00FEF3C7"/>
      </patternFill>
    </fill>
    <fill>
      <patternFill patternType="solid">
        <fgColor rgb="004C1D95"/>
      </patternFill>
    </fill>
    <fill>
      <patternFill patternType="solid">
        <fgColor rgb="00F5F0FF"/>
      </patternFill>
    </fill>
    <fill>
      <patternFill patternType="solid">
        <fgColor rgb="00B45309"/>
      </patternFill>
    </fill>
    <fill>
      <patternFill patternType="solid">
        <fgColor rgb="00DCFCE7"/>
      </patternFill>
    </fill>
    <fill>
      <patternFill patternType="solid">
        <fgColor rgb="00E2E8F0"/>
      </patternFill>
    </fill>
    <fill>
      <patternFill patternType="solid">
        <fgColor rgb="000D9488"/>
      </patternFill>
    </fill>
    <fill>
      <patternFill patternType="solid">
        <fgColor rgb="00CCFBF1"/>
      </patternFill>
    </fill>
    <fill>
      <patternFill patternType="solid">
        <fgColor rgb="001E3A5F"/>
      </patternFill>
    </fill>
    <fill>
      <patternFill patternType="solid">
        <fgColor rgb="00DBEAFE"/>
      </patternFill>
    </fill>
    <fill>
      <patternFill patternType="solid">
        <fgColor rgb="00B91C1C"/>
      </patternFill>
    </fill>
    <fill>
      <patternFill patternType="solid">
        <fgColor rgb="00FEE2E2"/>
      </patternFill>
    </fill>
    <fill>
      <patternFill patternType="solid">
        <fgColor rgb="0092400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2">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0" applyAlignment="1" pivotButton="0" quotePrefix="0" xfId="0">
      <alignment horizontal="left" vertical="center" wrapText="1"/>
    </xf>
    <xf numFmtId="0" fontId="5" fillId="6" borderId="1" applyAlignment="1" pivotButton="0" quotePrefix="0" xfId="0">
      <alignment horizontal="center" vertical="center" wrapText="1"/>
    </xf>
    <xf numFmtId="0" fontId="6" fillId="6" borderId="1" applyAlignment="1" pivotButton="0" quotePrefix="0" xfId="0">
      <alignment horizontal="left" vertical="center" wrapText="1"/>
    </xf>
    <xf numFmtId="0" fontId="6"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6" fillId="7" borderId="1" applyAlignment="1" pivotButton="0" quotePrefix="0" xfId="0">
      <alignment horizontal="left" vertical="center" wrapText="1"/>
    </xf>
    <xf numFmtId="0" fontId="6" fillId="7" borderId="1" applyAlignment="1" pivotButton="0" quotePrefix="0" xfId="0">
      <alignment horizontal="center" vertical="center" wrapText="1"/>
    </xf>
    <xf numFmtId="0" fontId="7" fillId="0" borderId="0" applyAlignment="1" pivotButton="0" quotePrefix="0" xfId="0">
      <alignment horizontal="left" vertical="center" wrapText="1"/>
    </xf>
    <xf numFmtId="0" fontId="8" fillId="2" borderId="0" applyAlignment="1" pivotButton="0" quotePrefix="0" xfId="0">
      <alignment horizontal="center" vertical="center" wrapText="1"/>
    </xf>
    <xf numFmtId="0" fontId="9" fillId="8" borderId="0" applyAlignment="1" pivotButton="0" quotePrefix="0" xfId="0">
      <alignment horizontal="center" vertical="center" wrapText="1"/>
    </xf>
    <xf numFmtId="0" fontId="5" fillId="3" borderId="1" applyAlignment="1" pivotButton="0" quotePrefix="0" xfId="0">
      <alignment horizontal="center" vertical="center" wrapText="1"/>
    </xf>
    <xf numFmtId="0" fontId="6" fillId="3" borderId="1" applyAlignment="1" pivotButton="0" quotePrefix="0" xfId="0">
      <alignment horizontal="left" vertical="center" wrapText="1"/>
    </xf>
    <xf numFmtId="0" fontId="6" fillId="3" borderId="1" applyAlignment="1" pivotButton="0" quotePrefix="0" xfId="0">
      <alignment horizontal="center" vertical="center" wrapText="1"/>
    </xf>
    <xf numFmtId="0" fontId="10" fillId="8" borderId="0" applyAlignment="1" pivotButton="0" quotePrefix="0" xfId="0">
      <alignment horizontal="left" vertical="center" wrapText="1"/>
    </xf>
    <xf numFmtId="0" fontId="11" fillId="10" borderId="0" applyAlignment="1" pivotButton="0" quotePrefix="0" xfId="0">
      <alignment horizontal="center" vertical="center" wrapText="1"/>
    </xf>
    <xf numFmtId="0" fontId="12" fillId="3" borderId="1" applyAlignment="1" pivotButton="0" quotePrefix="0" xfId="0">
      <alignment horizontal="left" vertical="center" wrapText="1"/>
    </xf>
    <xf numFmtId="0" fontId="3" fillId="9" borderId="0" applyAlignment="1" pivotButton="0" quotePrefix="0" xfId="0">
      <alignment horizontal="center" vertical="center" wrapText="1"/>
    </xf>
    <xf numFmtId="0" fontId="4" fillId="9" borderId="1" applyAlignment="1" pivotButton="0" quotePrefix="0" xfId="0">
      <alignment horizontal="center" vertical="center" wrapText="1"/>
    </xf>
    <xf numFmtId="0" fontId="3" fillId="11" borderId="0" applyAlignment="1" pivotButton="0" quotePrefix="0" xfId="0">
      <alignment horizontal="center" vertical="center" wrapText="1"/>
    </xf>
    <xf numFmtId="0" fontId="4" fillId="11" borderId="1" applyAlignment="1" pivotButton="0" quotePrefix="0" xfId="0">
      <alignment horizontal="center" vertical="center" wrapText="1"/>
    </xf>
    <xf numFmtId="0" fontId="6" fillId="8" borderId="1" applyAlignment="1" pivotButton="0" quotePrefix="0" xfId="0">
      <alignment horizontal="center" vertical="center" wrapText="1"/>
    </xf>
    <xf numFmtId="0" fontId="5" fillId="8" borderId="1" applyAlignment="1" pivotButton="0" quotePrefix="0" xfId="0">
      <alignment horizontal="left" vertical="center" wrapText="1"/>
    </xf>
    <xf numFmtId="0" fontId="13" fillId="7" borderId="1" applyAlignment="1" pivotButton="0" quotePrefix="0" xfId="0">
      <alignment horizontal="center" vertical="center" wrapText="1"/>
    </xf>
    <xf numFmtId="0" fontId="5" fillId="7" borderId="1" applyAlignment="1" pivotButton="0" quotePrefix="0" xfId="0">
      <alignment horizontal="left" vertical="center" wrapText="1"/>
    </xf>
    <xf numFmtId="0" fontId="14" fillId="12" borderId="1" applyAlignment="1" pivotButton="0" quotePrefix="0" xfId="0">
      <alignment horizontal="center" vertical="center" wrapText="1"/>
    </xf>
    <xf numFmtId="0" fontId="3" fillId="5" borderId="0" applyAlignment="1" pivotButton="0" quotePrefix="0" xfId="0">
      <alignment horizontal="center" vertical="center" wrapText="1"/>
    </xf>
    <xf numFmtId="0" fontId="4" fillId="5" borderId="1" applyAlignment="1" pivotButton="0" quotePrefix="0" xfId="0">
      <alignment horizontal="center" vertical="center" wrapText="1"/>
    </xf>
    <xf numFmtId="0" fontId="15" fillId="13" borderId="0" applyAlignment="1" pivotButton="0" quotePrefix="0" xfId="0">
      <alignment horizontal="center" vertical="center" wrapText="1"/>
    </xf>
    <xf numFmtId="0" fontId="4" fillId="14" borderId="1" applyAlignment="1" pivotButton="0" quotePrefix="0" xfId="0">
      <alignment horizontal="center" vertical="center" wrapText="1"/>
    </xf>
    <xf numFmtId="0" fontId="5" fillId="15" borderId="1" applyAlignment="1" pivotButton="0" quotePrefix="0" xfId="0">
      <alignment horizontal="center" vertical="center" wrapText="1"/>
    </xf>
    <xf numFmtId="0" fontId="6" fillId="15" borderId="1" applyAlignment="1" pivotButton="0" quotePrefix="0" xfId="0">
      <alignment horizontal="left" vertical="center" wrapText="1"/>
    </xf>
    <xf numFmtId="0" fontId="6" fillId="15" borderId="1" applyAlignment="1" pivotButton="0" quotePrefix="0" xfId="0">
      <alignment horizontal="center" vertical="center" wrapText="1"/>
    </xf>
    <xf numFmtId="0" fontId="3" fillId="14" borderId="0" applyAlignment="1" pivotButton="0" quotePrefix="0" xfId="0">
      <alignment horizontal="center" vertical="center" wrapText="1"/>
    </xf>
    <xf numFmtId="0" fontId="5" fillId="15" borderId="1" applyAlignment="1" pivotButton="0" quotePrefix="0" xfId="0">
      <alignment horizontal="left" vertical="center" wrapText="1"/>
    </xf>
    <xf numFmtId="0" fontId="12" fillId="12" borderId="1" applyAlignment="1" pivotButton="0" quotePrefix="0" xfId="0">
      <alignment horizontal="center" vertical="center" wrapText="1"/>
    </xf>
    <xf numFmtId="0" fontId="12" fillId="7" borderId="1" applyAlignment="1" pivotButton="0" quotePrefix="0" xfId="0">
      <alignment horizontal="center" vertical="center" wrapText="1"/>
    </xf>
    <xf numFmtId="0" fontId="5" fillId="3" borderId="1" applyAlignment="1" pivotButton="0" quotePrefix="0" xfId="0">
      <alignment horizontal="left" vertical="center" wrapText="1"/>
    </xf>
    <xf numFmtId="0" fontId="16" fillId="3" borderId="1" applyAlignment="1" pivotButton="0" quotePrefix="0" xfId="0">
      <alignment horizontal="center" vertical="center" wrapText="1"/>
    </xf>
    <xf numFmtId="0" fontId="15" fillId="3" borderId="1" applyAlignment="1" pivotButton="0" quotePrefix="0" xfId="0">
      <alignment horizontal="left" vertical="center" wrapText="1"/>
    </xf>
    <xf numFmtId="0" fontId="15" fillId="3" borderId="1" applyAlignment="1" pivotButton="0" quotePrefix="0" xfId="0">
      <alignment horizontal="center" vertical="center" wrapText="1"/>
    </xf>
    <xf numFmtId="0" fontId="16" fillId="7" borderId="1" applyAlignment="1" pivotButton="0" quotePrefix="0" xfId="0">
      <alignment horizontal="center" vertical="center" wrapText="1"/>
    </xf>
    <xf numFmtId="0" fontId="15" fillId="7" borderId="1" applyAlignment="1" pivotButton="0" quotePrefix="0" xfId="0">
      <alignment horizontal="left" vertical="center" wrapText="1"/>
    </xf>
    <xf numFmtId="0" fontId="15" fillId="7" borderId="1" applyAlignment="1" pivotButton="0" quotePrefix="0" xfId="0">
      <alignment horizontal="center" vertical="center" wrapText="1"/>
    </xf>
    <xf numFmtId="0" fontId="17" fillId="3" borderId="1" applyAlignment="1" pivotButton="0" quotePrefix="0" xfId="0">
      <alignment horizontal="left" vertical="center" wrapText="1"/>
    </xf>
    <xf numFmtId="0" fontId="7" fillId="7" borderId="1" applyAlignment="1" pivotButton="0" quotePrefix="0" xfId="0">
      <alignment horizontal="left" vertical="center" wrapText="1"/>
    </xf>
    <xf numFmtId="0" fontId="3" fillId="16" borderId="0" applyAlignment="1" pivotButton="0" quotePrefix="0" xfId="0">
      <alignment horizontal="center" vertical="center" wrapText="1"/>
    </xf>
    <xf numFmtId="0" fontId="18" fillId="17" borderId="1" applyAlignment="1" pivotButton="0" quotePrefix="0" xfId="0">
      <alignment horizontal="left" vertical="center" wrapText="1"/>
    </xf>
    <xf numFmtId="0" fontId="3" fillId="18" borderId="0" applyAlignment="1" pivotButton="0" quotePrefix="0" xfId="0">
      <alignment horizontal="center" vertical="center" wrapText="1"/>
    </xf>
    <xf numFmtId="0" fontId="19" fillId="19" borderId="1" applyAlignment="1" pivotButton="0" quotePrefix="0" xfId="0">
      <alignment horizontal="left" vertical="center" wrapText="1"/>
    </xf>
    <xf numFmtId="0" fontId="20" fillId="3" borderId="0" applyAlignment="1" pivotButton="0" quotePrefix="0" xfId="0">
      <alignment horizontal="left" vertical="center" wrapText="1"/>
    </xf>
    <xf numFmtId="0" fontId="0" fillId="3" borderId="1" pivotButton="0" quotePrefix="0" xfId="0"/>
    <xf numFmtId="0" fontId="16" fillId="17" borderId="1" applyAlignment="1" pivotButton="0" quotePrefix="0" xfId="0">
      <alignment horizontal="center" vertical="center" wrapText="1"/>
    </xf>
    <xf numFmtId="0" fontId="15" fillId="17" borderId="1" applyAlignment="1" pivotButton="0" quotePrefix="0" xfId="0">
      <alignment horizontal="left" vertical="center" wrapText="1"/>
    </xf>
    <xf numFmtId="0" fontId="15" fillId="17" borderId="1" applyAlignment="1" pivotButton="0" quotePrefix="0" xfId="0">
      <alignment horizontal="center" vertical="center" wrapText="1"/>
    </xf>
    <xf numFmtId="0" fontId="16" fillId="15" borderId="1" applyAlignment="1" pivotButton="0" quotePrefix="0" xfId="0">
      <alignment horizontal="center" vertical="center" wrapText="1"/>
    </xf>
    <xf numFmtId="0" fontId="15" fillId="15" borderId="1" applyAlignment="1" pivotButton="0" quotePrefix="0" xfId="0">
      <alignment horizontal="left" vertical="center" wrapText="1"/>
    </xf>
    <xf numFmtId="0" fontId="15" fillId="15" borderId="1" applyAlignment="1" pivotButton="0" quotePrefix="0" xfId="0">
      <alignment horizontal="center" vertical="center" wrapText="1"/>
    </xf>
    <xf numFmtId="0" fontId="3" fillId="20" borderId="0" applyAlignment="1" pivotButton="0" quotePrefix="0" xfId="0">
      <alignment horizontal="center" vertical="center" wrapText="1"/>
    </xf>
    <xf numFmtId="0" fontId="16" fillId="8" borderId="1" applyAlignment="1" pivotButton="0" quotePrefix="0" xfId="0">
      <alignment horizontal="center" vertical="center" wrapText="1"/>
    </xf>
    <xf numFmtId="0" fontId="15" fillId="8" borderId="1" applyAlignment="1" pivotButton="0" quotePrefix="0" xfId="0">
      <alignment horizontal="left" vertical="center" wrapText="1"/>
    </xf>
    <xf numFmtId="0" fontId="15" fillId="8" borderId="1" applyAlignment="1" pivotButton="0" quotePrefix="0" xfId="0">
      <alignment horizontal="center" vertical="center" wrapText="1"/>
    </xf>
    <xf numFmtId="0" fontId="16" fillId="19" borderId="1" applyAlignment="1" pivotButton="0" quotePrefix="0" xfId="0">
      <alignment horizontal="center" vertical="center" wrapText="1"/>
    </xf>
    <xf numFmtId="0" fontId="15" fillId="19" borderId="1" applyAlignment="1" pivotButton="0" quotePrefix="0" xfId="0">
      <alignment horizontal="left" vertical="center" wrapText="1"/>
    </xf>
    <xf numFmtId="0" fontId="15" fillId="19" borderId="1" applyAlignment="1" pivotButton="0" quotePrefix="0" xfId="0">
      <alignment horizontal="center" vertical="center" wrapText="1"/>
    </xf>
    <xf numFmtId="0" fontId="21" fillId="15" borderId="1" applyAlignment="1" pivotButton="0" quotePrefix="0" xfId="0">
      <alignment horizontal="center" vertical="center" wrapText="1"/>
    </xf>
    <xf numFmtId="0" fontId="21" fillId="7" borderId="1" applyAlignment="1" pivotButton="0" quotePrefix="0" xfId="0">
      <alignment horizontal="center" vertical="center" wrapText="1"/>
    </xf>
    <xf numFmtId="0" fontId="22" fillId="8" borderId="1" applyAlignment="1" pivotButton="0" quotePrefix="0" xfId="0">
      <alignment horizontal="center" vertical="center" wrapText="1"/>
    </xf>
    <xf numFmtId="0" fontId="4" fillId="16" borderId="1" applyAlignment="1" pivotButton="0" quotePrefix="0" xfId="0">
      <alignment horizontal="center" vertical="center" wrapText="1"/>
    </xf>
    <xf numFmtId="0" fontId="5" fillId="17" borderId="1" applyAlignment="1" pivotButton="0" quotePrefix="0" xfId="0">
      <alignment horizontal="center" vertical="center" wrapText="1"/>
    </xf>
    <xf numFmtId="0" fontId="6" fillId="17" borderId="1" applyAlignment="1" pivotButton="0" quotePrefix="0" xfId="0">
      <alignment horizontal="center" vertical="center" wrapText="1"/>
    </xf>
    <xf numFmtId="0" fontId="4" fillId="20" borderId="1" applyAlignment="1" pivotButton="0" quotePrefix="0" xfId="0">
      <alignment horizontal="center" vertical="center" wrapText="1"/>
    </xf>
    <xf numFmtId="0" fontId="5" fillId="8" borderId="1" applyAlignment="1" pivotButton="0" quotePrefix="0" xfId="0">
      <alignment horizontal="center" vertical="center" wrapText="1"/>
    </xf>
    <xf numFmtId="0" fontId="4" fillId="18" borderId="1" applyAlignment="1" pivotButton="0" quotePrefix="0" xfId="0">
      <alignment horizontal="center" vertical="center" wrapText="1"/>
    </xf>
    <xf numFmtId="0" fontId="5" fillId="19" borderId="1" applyAlignment="1" pivotButton="0" quotePrefix="0" xfId="0">
      <alignment horizontal="center" vertical="center" wrapText="1"/>
    </xf>
    <xf numFmtId="0" fontId="6" fillId="19" borderId="1" applyAlignment="1" pivotButton="0" quotePrefix="0" xfId="0">
      <alignment horizontal="center" vertical="center" wrapText="1"/>
    </xf>
    <xf numFmtId="0" fontId="6" fillId="17" borderId="1" applyAlignment="1" pivotButton="0" quotePrefix="0" xfId="0">
      <alignment horizontal="left" vertical="center" wrapText="1"/>
    </xf>
    <xf numFmtId="0" fontId="6" fillId="8" borderId="1" applyAlignment="1" pivotButton="0" quotePrefix="0" xfId="0">
      <alignment horizontal="left" vertical="center" wrapText="1"/>
    </xf>
    <xf numFmtId="0" fontId="6" fillId="19"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E137"/>
  <sheetViews>
    <sheetView showGridLines="0" workbookViewId="0">
      <selection activeCell="A1" sqref="A1"/>
    </sheetView>
  </sheetViews>
  <sheetFormatPr baseColWidth="8" defaultRowHeight="15"/>
  <cols>
    <col width="3" customWidth="1" min="1" max="1"/>
    <col width="12" customWidth="1" min="2" max="2"/>
    <col width="46" customWidth="1" min="3" max="3"/>
    <col width="28" customWidth="1" min="4" max="4"/>
    <col width="18" customWidth="1" min="5" max="5"/>
    <col width="3" customWidth="1" min="6" max="6"/>
  </cols>
  <sheetData>
    <row r="1" ht="10" customHeight="1"/>
    <row r="2" ht="80" customHeight="1">
      <c r="B2" s="1" t="inlineStr">
        <is>
          <t>ANTI-DRUG COMMITTEE (ADC)
Data Collection Formats — Master Workbook</t>
        </is>
      </c>
    </row>
    <row r="3" ht="28" customHeight="1">
      <c r="B3" s="2" t="inlineStr">
        <is>
          <t>Institution: _________________________  ADC Coordinator: _____________  A.Y.: _______  Version: _____</t>
        </is>
      </c>
    </row>
    <row r="4" ht="22" customHeight="1">
      <c r="B4" s="3" t="inlineStr">
        <is>
          <t>Form No.</t>
        </is>
      </c>
      <c r="C4" s="3" t="inlineStr">
        <is>
          <t>Format / Form Title</t>
        </is>
      </c>
      <c r="D4" s="3" t="inlineStr">
        <is>
          <t>Purpose / Usage</t>
        </is>
      </c>
      <c r="E4" s="3" t="inlineStr">
        <is>
          <t>Frequency</t>
        </is>
      </c>
    </row>
    <row r="5" ht="20" customHeight="1">
      <c r="B5" s="4" t="inlineStr">
        <is>
          <t>── GOVERNANCE &amp; ADMINISTRATION ──</t>
        </is>
      </c>
    </row>
    <row r="6" ht="20" customHeight="1">
      <c r="B6" s="5" t="inlineStr">
        <is>
          <t>ADC-00</t>
        </is>
      </c>
      <c r="C6" s="6" t="inlineStr">
        <is>
          <t>Committee Composition &amp; Members Register</t>
        </is>
      </c>
      <c r="D6" s="6" t="inlineStr">
        <is>
          <t>Record ADC members, counsellors, police liaison &amp; reps</t>
        </is>
      </c>
      <c r="E6" s="7" t="inlineStr">
        <is>
          <t>Annual</t>
        </is>
      </c>
    </row>
    <row r="7" ht="20" customHeight="1">
      <c r="B7" s="8" t="inlineStr">
        <is>
          <t>ADC-NA</t>
        </is>
      </c>
      <c r="C7" s="9" t="inlineStr">
        <is>
          <t>Meeting Notice, Agenda &amp; Dispatch Record</t>
        </is>
      </c>
      <c r="D7" s="9" t="inlineStr">
        <is>
          <t>Formal notice and agenda for ADC meetings</t>
        </is>
      </c>
      <c r="E7" s="10" t="inlineStr">
        <is>
          <t>Each Meeting</t>
        </is>
      </c>
    </row>
    <row r="8" ht="20" customHeight="1">
      <c r="B8" s="5" t="inlineStr">
        <is>
          <t>ADC-AT</t>
        </is>
      </c>
      <c r="C8" s="6" t="inlineStr">
        <is>
          <t>Attendance &amp; Quorum Register</t>
        </is>
      </c>
      <c r="D8" s="6" t="inlineStr">
        <is>
          <t>Confirm attendance and quorum</t>
        </is>
      </c>
      <c r="E8" s="7" t="inlineStr">
        <is>
          <t>Each Meeting</t>
        </is>
      </c>
    </row>
    <row r="9" ht="20" customHeight="1">
      <c r="B9" s="8" t="inlineStr">
        <is>
          <t>ADC-MM</t>
        </is>
      </c>
      <c r="C9" s="9" t="inlineStr">
        <is>
          <t>Meeting Minutes &amp; Resolutions</t>
        </is>
      </c>
      <c r="D9" s="9" t="inlineStr">
        <is>
          <t>Record decisions, resolutions &amp; directives</t>
        </is>
      </c>
      <c r="E9" s="10" t="inlineStr">
        <is>
          <t>Each Meeting</t>
        </is>
      </c>
    </row>
    <row r="10" ht="20" customHeight="1">
      <c r="B10" s="5" t="inlineStr">
        <is>
          <t>ADC-ATR</t>
        </is>
      </c>
      <c r="C10" s="6" t="inlineStr">
        <is>
          <t>Action Taken Report</t>
        </is>
      </c>
      <c r="D10" s="6" t="inlineStr">
        <is>
          <t>Track implementation of ADC resolutions</t>
        </is>
      </c>
      <c r="E10" s="7" t="inlineStr">
        <is>
          <t>Each Meeting</t>
        </is>
      </c>
    </row>
    <row r="11" ht="20" customHeight="1">
      <c r="B11" s="4" t="inlineStr">
        <is>
          <t>── POLICY &amp; LEGAL FRAMEWORK ──</t>
        </is>
      </c>
    </row>
    <row r="12" ht="20" customHeight="1">
      <c r="B12" s="5" t="inlineStr">
        <is>
          <t>ADC-01</t>
        </is>
      </c>
      <c r="C12" s="6" t="inlineStr">
        <is>
          <t>Anti-Drug Policy &amp; Zero-Tolerance Declaration</t>
        </is>
      </c>
      <c r="D12" s="6" t="inlineStr">
        <is>
          <t>Document institutional anti-drug policy &amp; pledges</t>
        </is>
      </c>
      <c r="E12" s="7" t="inlineStr">
        <is>
          <t>Annual</t>
        </is>
      </c>
    </row>
    <row r="13" ht="20" customHeight="1">
      <c r="B13" s="8" t="inlineStr">
        <is>
          <t>ADC-02</t>
        </is>
      </c>
      <c r="C13" s="9" t="inlineStr">
        <is>
          <t>NDPS Act &amp; UGC Guidelines Compliance Register</t>
        </is>
      </c>
      <c r="D13" s="9" t="inlineStr">
        <is>
          <t>Track compliance with NDPS Act and UGC guidelines</t>
        </is>
      </c>
      <c r="E13" s="10" t="inlineStr">
        <is>
          <t>Annual</t>
        </is>
      </c>
    </row>
    <row r="14" ht="20" customHeight="1">
      <c r="B14" s="5" t="inlineStr">
        <is>
          <t>ADC-03</t>
        </is>
      </c>
      <c r="C14" s="6" t="inlineStr">
        <is>
          <t>Annual Anti-Drug Action Plan</t>
        </is>
      </c>
      <c r="D14" s="6" t="inlineStr">
        <is>
          <t>Plan all awareness, surveillance &amp; support activities</t>
        </is>
      </c>
      <c r="E14" s="7" t="inlineStr">
        <is>
          <t>Annual</t>
        </is>
      </c>
    </row>
    <row r="15" ht="20" customHeight="1">
      <c r="B15" s="4" t="inlineStr">
        <is>
          <t>── UNDERTAKINGS &amp; PLEDGES ──</t>
        </is>
      </c>
    </row>
    <row r="16" ht="20" customHeight="1">
      <c r="B16" s="5" t="inlineStr">
        <is>
          <t>ADC-04</t>
        </is>
      </c>
      <c r="C16" s="6" t="inlineStr">
        <is>
          <t>Student Anti-Drug Undertaking Register</t>
        </is>
      </c>
      <c r="D16" s="6" t="inlineStr">
        <is>
          <t>Collect signed pledges from all students at admission</t>
        </is>
      </c>
      <c r="E16" s="7" t="inlineStr">
        <is>
          <t>Annual (Admission)</t>
        </is>
      </c>
    </row>
    <row r="17" ht="20" customHeight="1">
      <c r="B17" s="8" t="inlineStr">
        <is>
          <t>ADC-05</t>
        </is>
      </c>
      <c r="C17" s="9" t="inlineStr">
        <is>
          <t>Parent / Guardian Anti-Drug Undertaking Reg.</t>
        </is>
      </c>
      <c r="D17" s="9" t="inlineStr">
        <is>
          <t>Collect pledges from parents/guardians at admission</t>
        </is>
      </c>
      <c r="E17" s="10" t="inlineStr">
        <is>
          <t>Annual (Admission)</t>
        </is>
      </c>
    </row>
    <row r="18" ht="20" customHeight="1">
      <c r="B18" s="5" t="inlineStr">
        <is>
          <t>ADC-06</t>
        </is>
      </c>
      <c r="C18" s="6" t="inlineStr">
        <is>
          <t>Faculty &amp; Staff Anti-Drug Pledge Register</t>
        </is>
      </c>
      <c r="D18" s="6" t="inlineStr">
        <is>
          <t>Collect pledges from all faculty and staff</t>
        </is>
      </c>
      <c r="E18" s="7" t="inlineStr">
        <is>
          <t>Annual</t>
        </is>
      </c>
    </row>
    <row r="19" ht="20" customHeight="1">
      <c r="B19" s="8" t="inlineStr">
        <is>
          <t>ADC-07</t>
        </is>
      </c>
      <c r="C19" s="9" t="inlineStr">
        <is>
          <t>Hostel Student Anti-Drug Declaration Register</t>
        </is>
      </c>
      <c r="D19" s="9" t="inlineStr">
        <is>
          <t>Special declaration for hostel students</t>
        </is>
      </c>
      <c r="E19" s="10" t="inlineStr">
        <is>
          <t>Annual</t>
        </is>
      </c>
    </row>
    <row r="20" ht="20" customHeight="1">
      <c r="B20" s="4" t="inlineStr">
        <is>
          <t>── AWARENESS &amp; PREVENTION ──</t>
        </is>
      </c>
    </row>
    <row r="21" ht="20" customHeight="1">
      <c r="B21" s="8" t="inlineStr">
        <is>
          <t>ADC-08</t>
        </is>
      </c>
      <c r="C21" s="9" t="inlineStr">
        <is>
          <t>Anti-Drug Awareness Programme Register</t>
        </is>
      </c>
      <c r="D21" s="9" t="inlineStr">
        <is>
          <t>Log all awareness sessions, campaigns &amp; events</t>
        </is>
      </c>
      <c r="E21" s="10" t="inlineStr">
        <is>
          <t>Continuous</t>
        </is>
      </c>
    </row>
    <row r="22" ht="20" customHeight="1">
      <c r="B22" s="5" t="inlineStr">
        <is>
          <t>ADC-09</t>
        </is>
      </c>
      <c r="C22" s="6" t="inlineStr">
        <is>
          <t>Student Orientation — Anti-Drug Session Reg.</t>
        </is>
      </c>
      <c r="D22" s="6" t="inlineStr">
        <is>
          <t>Track anti-drug sessions in student induction</t>
        </is>
      </c>
      <c r="E22" s="7" t="inlineStr">
        <is>
          <t>Annual (Induction)</t>
        </is>
      </c>
    </row>
    <row r="23" ht="20" customHeight="1">
      <c r="B23" s="8" t="inlineStr">
        <is>
          <t>ADC-10</t>
        </is>
      </c>
      <c r="C23" s="9" t="inlineStr">
        <is>
          <t>Guest Lecture &amp; Expert Talk Register</t>
        </is>
      </c>
      <c r="D23" s="9" t="inlineStr">
        <is>
          <t>Log expert talks on drug abuse &amp; prevention</t>
        </is>
      </c>
      <c r="E23" s="10" t="inlineStr">
        <is>
          <t>Per Event</t>
        </is>
      </c>
    </row>
    <row r="24" ht="20" customHeight="1">
      <c r="B24" s="5" t="inlineStr">
        <is>
          <t>ADC-11</t>
        </is>
      </c>
      <c r="C24" s="6" t="inlineStr">
        <is>
          <t>Anti-Drug Poster &amp; Display Register</t>
        </is>
      </c>
      <c r="D24" s="6" t="inlineStr">
        <is>
          <t>Track poster, banner &amp; helpline display across campus</t>
        </is>
      </c>
      <c r="E24" s="7" t="inlineStr">
        <is>
          <t>Annual</t>
        </is>
      </c>
    </row>
    <row r="25" ht="20" customHeight="1">
      <c r="B25" s="8" t="inlineStr">
        <is>
          <t>ADC-12</t>
        </is>
      </c>
      <c r="C25" s="9" t="inlineStr">
        <is>
          <t>Social Media &amp; Digital Campaign Register</t>
        </is>
      </c>
      <c r="D25" s="9" t="inlineStr">
        <is>
          <t>Track online anti-drug campaigns</t>
        </is>
      </c>
      <c r="E25" s="10" t="inlineStr">
        <is>
          <t>Monthly</t>
        </is>
      </c>
    </row>
    <row r="26" ht="20" customHeight="1">
      <c r="B26" s="5" t="inlineStr">
        <is>
          <t>ADC-13</t>
        </is>
      </c>
      <c r="C26" s="6" t="inlineStr">
        <is>
          <t>Peer Educator / Anti-Drug Ambassador Register</t>
        </is>
      </c>
      <c r="D26" s="6" t="inlineStr">
        <is>
          <t>Register and train student peer educators</t>
        </is>
      </c>
      <c r="E26" s="7" t="inlineStr">
        <is>
          <t>Annual</t>
        </is>
      </c>
    </row>
    <row r="27" ht="20" customHeight="1">
      <c r="B27" s="8" t="inlineStr">
        <is>
          <t>ADC-14</t>
        </is>
      </c>
      <c r="C27" s="9" t="inlineStr">
        <is>
          <t>Faculty Sensitisation Programme Register</t>
        </is>
      </c>
      <c r="D27" s="9" t="inlineStr">
        <is>
          <t>Document faculty awareness on drug abuse identification</t>
        </is>
      </c>
      <c r="E27" s="10" t="inlineStr">
        <is>
          <t>Annual</t>
        </is>
      </c>
    </row>
    <row r="28" ht="20" customHeight="1">
      <c r="B28" s="5" t="inlineStr">
        <is>
          <t>ADC-15</t>
        </is>
      </c>
      <c r="C28" s="6" t="inlineStr">
        <is>
          <t>Parent Awareness Session Register</t>
        </is>
      </c>
      <c r="D28" s="6" t="inlineStr">
        <is>
          <t>Document parent awareness on drug warning signs</t>
        </is>
      </c>
      <c r="E28" s="7" t="inlineStr">
        <is>
          <t>Annual</t>
        </is>
      </c>
    </row>
    <row r="29" ht="20" customHeight="1">
      <c r="B29" s="8" t="inlineStr">
        <is>
          <t>ADC-16</t>
        </is>
      </c>
      <c r="C29" s="9" t="inlineStr">
        <is>
          <t>Community Outreach &amp; NSS Linkage Register</t>
        </is>
      </c>
      <c r="D29" s="9" t="inlineStr">
        <is>
          <t>Log anti-drug outreach to surrounding communities</t>
        </is>
      </c>
      <c r="E29" s="10" t="inlineStr">
        <is>
          <t>Annual</t>
        </is>
      </c>
    </row>
    <row r="30" ht="20" customHeight="1">
      <c r="B30" s="4" t="inlineStr">
        <is>
          <t>── SURVEILLANCE &amp; MONITORING ──</t>
        </is>
      </c>
    </row>
    <row r="31" ht="20" customHeight="1">
      <c r="B31" s="8" t="inlineStr">
        <is>
          <t>ADC-17</t>
        </is>
      </c>
      <c r="C31" s="9" t="inlineStr">
        <is>
          <t>Campus Vulnerability Assessment Register</t>
        </is>
      </c>
      <c r="D31" s="9" t="inlineStr">
        <is>
          <t>Identify campus areas / situations at higher risk</t>
        </is>
      </c>
      <c r="E31" s="10" t="inlineStr">
        <is>
          <t>Annual</t>
        </is>
      </c>
    </row>
    <row r="32" ht="20" customHeight="1">
      <c r="B32" s="5" t="inlineStr">
        <is>
          <t>ADC-18</t>
        </is>
      </c>
      <c r="C32" s="6" t="inlineStr">
        <is>
          <t>Hostel Surprise Check Register</t>
        </is>
      </c>
      <c r="D32" s="6" t="inlineStr">
        <is>
          <t>Log surprise checks in hostels for substance use</t>
        </is>
      </c>
      <c r="E32" s="7" t="inlineStr">
        <is>
          <t>Weekly / Random</t>
        </is>
      </c>
    </row>
    <row r="33" ht="20" customHeight="1">
      <c r="B33" s="8" t="inlineStr">
        <is>
          <t>ADC-19</t>
        </is>
      </c>
      <c r="C33" s="9" t="inlineStr">
        <is>
          <t>Campus Entry &amp; Suspicious Behaviour Register</t>
        </is>
      </c>
      <c r="D33" s="9" t="inlineStr">
        <is>
          <t>Log suspicious behaviour reports from security</t>
        </is>
      </c>
      <c r="E33" s="10" t="inlineStr">
        <is>
          <t>Continuous</t>
        </is>
      </c>
    </row>
    <row r="34" ht="20" customHeight="1">
      <c r="B34" s="5" t="inlineStr">
        <is>
          <t>ADC-20</t>
        </is>
      </c>
      <c r="C34" s="6" t="inlineStr">
        <is>
          <t>Anonymous Tip / Complaint Register</t>
        </is>
      </c>
      <c r="D34" s="6" t="inlineStr">
        <is>
          <t>Receive and process anonymous tips about drug use</t>
        </is>
      </c>
      <c r="E34" s="7" t="inlineStr">
        <is>
          <t>Continuous</t>
        </is>
      </c>
    </row>
    <row r="35" ht="20" customHeight="1">
      <c r="B35" s="4" t="inlineStr">
        <is>
          <t>── IDENTIFICATION &amp; INTERVENTION ──</t>
        </is>
      </c>
    </row>
    <row r="36" ht="20" customHeight="1">
      <c r="B36" s="5" t="inlineStr">
        <is>
          <t>ADC-21</t>
        </is>
      </c>
      <c r="C36" s="6" t="inlineStr">
        <is>
          <t>Drug Abuse Warning Sign Identification Register</t>
        </is>
      </c>
      <c r="D36" s="6" t="inlineStr">
        <is>
          <t>Document identified students showing warning signs</t>
        </is>
      </c>
      <c r="E36" s="7" t="inlineStr">
        <is>
          <t>Per Identification</t>
        </is>
      </c>
    </row>
    <row r="37" ht="20" customHeight="1">
      <c r="B37" s="8" t="inlineStr">
        <is>
          <t>ADC-22</t>
        </is>
      </c>
      <c r="C37" s="9" t="inlineStr">
        <is>
          <t>Drug / Substance Abuse Complaint Form</t>
        </is>
      </c>
      <c r="D37" s="9" t="inlineStr">
        <is>
          <t>Formal complaint / report of suspected drug use</t>
        </is>
      </c>
      <c r="E37" s="10" t="inlineStr">
        <is>
          <t>Per Complaint</t>
        </is>
      </c>
    </row>
    <row r="38" ht="20" customHeight="1">
      <c r="B38" s="5" t="inlineStr">
        <is>
          <t>ADC-23</t>
        </is>
      </c>
      <c r="C38" s="6" t="inlineStr">
        <is>
          <t>Case Registration &amp; Acknowledgement Register</t>
        </is>
      </c>
      <c r="D38" s="6" t="inlineStr">
        <is>
          <t>Register every reported case with reference number</t>
        </is>
      </c>
      <c r="E38" s="7" t="inlineStr">
        <is>
          <t>Per Case</t>
        </is>
      </c>
    </row>
    <row r="39" ht="20" customHeight="1">
      <c r="B39" s="8" t="inlineStr">
        <is>
          <t>ADC-24</t>
        </is>
      </c>
      <c r="C39" s="9" t="inlineStr">
        <is>
          <t>Screening &amp; Assessment Register</t>
        </is>
      </c>
      <c r="D39" s="9" t="inlineStr">
        <is>
          <t>Initial screening of reported student</t>
        </is>
      </c>
      <c r="E39" s="10" t="inlineStr">
        <is>
          <t>Per Case</t>
        </is>
      </c>
    </row>
    <row r="40" ht="20" customHeight="1">
      <c r="B40" s="4" t="inlineStr">
        <is>
          <t>── INQUIRY &amp; INVESTIGATION ──</t>
        </is>
      </c>
    </row>
    <row r="41" ht="20" customHeight="1">
      <c r="B41" s="8" t="inlineStr">
        <is>
          <t>ADC-25</t>
        </is>
      </c>
      <c r="C41" s="9" t="inlineStr">
        <is>
          <t>Inquiry Committee Constitution Register</t>
        </is>
      </c>
      <c r="D41" s="9" t="inlineStr">
        <is>
          <t>Constitute inquiry panel for each reported case</t>
        </is>
      </c>
      <c r="E41" s="10" t="inlineStr">
        <is>
          <t>Per Case</t>
        </is>
      </c>
    </row>
    <row r="42" ht="20" customHeight="1">
      <c r="B42" s="5" t="inlineStr">
        <is>
          <t>ADC-26</t>
        </is>
      </c>
      <c r="C42" s="6" t="inlineStr">
        <is>
          <t>Inquiry Proceedings &amp; Hearing Log</t>
        </is>
      </c>
      <c r="D42" s="6" t="inlineStr">
        <is>
          <t>Document inquiry hearings and evidence</t>
        </is>
      </c>
      <c r="E42" s="7" t="inlineStr">
        <is>
          <t>Per Case</t>
        </is>
      </c>
    </row>
    <row r="43" ht="20" customHeight="1">
      <c r="B43" s="8" t="inlineStr">
        <is>
          <t>ADC-27</t>
        </is>
      </c>
      <c r="C43" s="9" t="inlineStr">
        <is>
          <t>Show-Cause Notice &amp; Response Register</t>
        </is>
      </c>
      <c r="D43" s="9" t="inlineStr">
        <is>
          <t>Issue and track SCN to accused student</t>
        </is>
      </c>
      <c r="E43" s="10" t="inlineStr">
        <is>
          <t>Per Case</t>
        </is>
      </c>
    </row>
    <row r="44" ht="20" customHeight="1">
      <c r="B44" s="5" t="inlineStr">
        <is>
          <t>ADC-28</t>
        </is>
      </c>
      <c r="C44" s="6" t="inlineStr">
        <is>
          <t>Police Coordination Register</t>
        </is>
      </c>
      <c r="D44" s="6" t="inlineStr">
        <is>
          <t>Document coordination with police and NCB</t>
        </is>
      </c>
      <c r="E44" s="7" t="inlineStr">
        <is>
          <t>Per Serious Case</t>
        </is>
      </c>
    </row>
    <row r="45" ht="20" customHeight="1">
      <c r="B45" s="4" t="inlineStr">
        <is>
          <t>── COUNSELLING &amp; REHABILITATION ──</t>
        </is>
      </c>
    </row>
    <row r="46" ht="20" customHeight="1">
      <c r="B46" s="5" t="inlineStr">
        <is>
          <t>ADC-29</t>
        </is>
      </c>
      <c r="C46" s="6" t="inlineStr">
        <is>
          <t>Student Counselling Register</t>
        </is>
      </c>
      <c r="D46" s="6" t="inlineStr">
        <is>
          <t>Track counselling sessions with students</t>
        </is>
      </c>
      <c r="E46" s="7" t="inlineStr">
        <is>
          <t>Per Session</t>
        </is>
      </c>
    </row>
    <row r="47" ht="20" customHeight="1">
      <c r="B47" s="8" t="inlineStr">
        <is>
          <t>ADC-30</t>
        </is>
      </c>
      <c r="C47" s="9" t="inlineStr">
        <is>
          <t>Rehabilitation Referral Register</t>
        </is>
      </c>
      <c r="D47" s="9" t="inlineStr">
        <is>
          <t>Track referrals to de-addiction centres</t>
        </is>
      </c>
      <c r="E47" s="10" t="inlineStr">
        <is>
          <t>Per Referral</t>
        </is>
      </c>
    </row>
    <row r="48" ht="20" customHeight="1">
      <c r="B48" s="5" t="inlineStr">
        <is>
          <t>ADC-31</t>
        </is>
      </c>
      <c r="C48" s="6" t="inlineStr">
        <is>
          <t>Family Counselling &amp; Parent Meeting Register</t>
        </is>
      </c>
      <c r="D48" s="6" t="inlineStr">
        <is>
          <t>Document family intervention and parent meetings</t>
        </is>
      </c>
      <c r="E48" s="7" t="inlineStr">
        <is>
          <t>Per Case</t>
        </is>
      </c>
    </row>
    <row r="49" ht="20" customHeight="1">
      <c r="B49" s="8" t="inlineStr">
        <is>
          <t>ADC-32</t>
        </is>
      </c>
      <c r="C49" s="9" t="inlineStr">
        <is>
          <t>Post-Rehabilitation Monitoring Register</t>
        </is>
      </c>
      <c r="D49" s="9" t="inlineStr">
        <is>
          <t>Monitor students returning after rehabilitation</t>
        </is>
      </c>
      <c r="E49" s="10" t="inlineStr">
        <is>
          <t>Monthly</t>
        </is>
      </c>
    </row>
    <row r="50" ht="20" customHeight="1">
      <c r="B50" s="4" t="inlineStr">
        <is>
          <t>── DECISION &amp; DISCIPLINARY ACTION ──</t>
        </is>
      </c>
    </row>
    <row r="51" ht="20" customHeight="1">
      <c r="B51" s="8" t="inlineStr">
        <is>
          <t>ADC-33</t>
        </is>
      </c>
      <c r="C51" s="9" t="inlineStr">
        <is>
          <t>ADC Decision &amp; Disciplinary Register</t>
        </is>
      </c>
      <c r="D51" s="9" t="inlineStr">
        <is>
          <t>Document final ADC decision and penalty</t>
        </is>
      </c>
      <c r="E51" s="10" t="inlineStr">
        <is>
          <t>Per Case</t>
        </is>
      </c>
    </row>
    <row r="52" ht="20" customHeight="1">
      <c r="B52" s="5" t="inlineStr">
        <is>
          <t>ADC-34</t>
        </is>
      </c>
      <c r="C52" s="6" t="inlineStr">
        <is>
          <t>Penalty Execution &amp; Compliance Register</t>
        </is>
      </c>
      <c r="D52" s="6" t="inlineStr">
        <is>
          <t>Track penalty execution and compliance</t>
        </is>
      </c>
      <c r="E52" s="7" t="inlineStr">
        <is>
          <t>Per Case</t>
        </is>
      </c>
    </row>
    <row r="53" ht="20" customHeight="1">
      <c r="B53" s="8" t="inlineStr">
        <is>
          <t>ADC-35</t>
        </is>
      </c>
      <c r="C53" s="9" t="inlineStr">
        <is>
          <t>Authority Reporting Register</t>
        </is>
      </c>
      <c r="D53" s="9" t="inlineStr">
        <is>
          <t>Track mandatory reporting to police, NCB, UGC</t>
        </is>
      </c>
      <c r="E53" s="10" t="inlineStr">
        <is>
          <t>Per Serious Case</t>
        </is>
      </c>
    </row>
    <row r="54" ht="20" customHeight="1">
      <c r="B54" s="4" t="inlineStr">
        <is>
          <t>── APPEAL &amp; REVIEW ──</t>
        </is>
      </c>
    </row>
    <row r="55" ht="20" customHeight="1">
      <c r="B55" s="8" t="inlineStr">
        <is>
          <t>ADC-36</t>
        </is>
      </c>
      <c r="C55" s="9" t="inlineStr">
        <is>
          <t>Appeal Application &amp; Register</t>
        </is>
      </c>
      <c r="D55" s="9" t="inlineStr">
        <is>
          <t>Receive and process appeals against ADC decisions</t>
        </is>
      </c>
      <c r="E55" s="10" t="inlineStr">
        <is>
          <t>Per Appeal</t>
        </is>
      </c>
    </row>
    <row r="56" ht="20" customHeight="1">
      <c r="B56" s="5" t="inlineStr">
        <is>
          <t>ADC-37</t>
        </is>
      </c>
      <c r="C56" s="6" t="inlineStr">
        <is>
          <t>Case Closure &amp; Archive Register</t>
        </is>
      </c>
      <c r="D56" s="6" t="inlineStr">
        <is>
          <t>Archive closed and resolved cases</t>
        </is>
      </c>
      <c r="E56" s="7" t="inlineStr">
        <is>
          <t>Per Closure</t>
        </is>
      </c>
    </row>
    <row r="57" ht="20" customHeight="1">
      <c r="B57" s="4" t="inlineStr">
        <is>
          <t>── WELFARE &amp; SUPPORT ──</t>
        </is>
      </c>
    </row>
    <row r="58" ht="20" customHeight="1">
      <c r="B58" s="5" t="inlineStr">
        <is>
          <t>ADC-38</t>
        </is>
      </c>
      <c r="C58" s="6" t="inlineStr">
        <is>
          <t>Student Welfare &amp; Support Register</t>
        </is>
      </c>
      <c r="D58" s="6" t="inlineStr">
        <is>
          <t>Track support services provided to affected students</t>
        </is>
      </c>
      <c r="E58" s="7" t="inlineStr">
        <is>
          <t>Per Case</t>
        </is>
      </c>
    </row>
    <row r="59" ht="20" customHeight="1">
      <c r="B59" s="8" t="inlineStr">
        <is>
          <t>ADC-39</t>
        </is>
      </c>
      <c r="C59" s="9" t="inlineStr">
        <is>
          <t>Peer Support Network Register</t>
        </is>
      </c>
      <c r="D59" s="9" t="inlineStr">
        <is>
          <t>Track peer support volunteers and their activities</t>
        </is>
      </c>
      <c r="E59" s="10" t="inlineStr">
        <is>
          <t>Annual</t>
        </is>
      </c>
    </row>
    <row r="60" ht="20" customHeight="1">
      <c r="B60" s="4" t="inlineStr">
        <is>
          <t>── MONITORING &amp; REPORTING ──</t>
        </is>
      </c>
    </row>
    <row r="61" ht="20" customHeight="1">
      <c r="B61" s="8" t="inlineStr">
        <is>
          <t>ADC-40</t>
        </is>
      </c>
      <c r="C61" s="9" t="inlineStr">
        <is>
          <t>ADC KPI Dashboard</t>
        </is>
      </c>
      <c r="D61" s="9" t="inlineStr">
        <is>
          <t>Track all anti-drug KPIs — prevention, detection, support</t>
        </is>
      </c>
      <c r="E61" s="10" t="inlineStr">
        <is>
          <t>Quarterly / Annual</t>
        </is>
      </c>
    </row>
    <row r="62" ht="20" customHeight="1">
      <c r="B62" s="5" t="inlineStr">
        <is>
          <t>ADC-41</t>
        </is>
      </c>
      <c r="C62" s="6" t="inlineStr">
        <is>
          <t>ADC Annual Report &amp; Compliance Form</t>
        </is>
      </c>
      <c r="D62" s="6" t="inlineStr">
        <is>
          <t>Year-end report for management, UGC, NAAC</t>
        </is>
      </c>
      <c r="E62" s="7" t="inlineStr">
        <is>
          <t>Annual</t>
        </is>
      </c>
    </row>
    <row r="128">
      <c r="B128" s="11" t="inlineStr">
        <is>
          <t>• ADC = Anti-Drug Committee — statutory body to prevent, detect and rehabilitate students affected by drug/substance abuse.</t>
        </is>
      </c>
    </row>
    <row r="129">
      <c r="B129" s="11" t="inlineStr">
        <is>
          <t>• NDPS Act 1985: Possession, consumption or sale of narcotic drugs/psychotropic substances is a criminal offence.</t>
        </is>
      </c>
    </row>
    <row r="130">
      <c r="B130" s="11" t="inlineStr">
        <is>
          <t>• Serious cases (trafficking, supply) must be reported to local police / Narcotics Control Bureau within 24 hours.</t>
        </is>
      </c>
    </row>
    <row r="131">
      <c r="B131" s="11" t="inlineStr">
        <is>
          <t>• First-time users: Counselling and rehabilitation path preferred over expulsion — protect the student's future.</t>
        </is>
      </c>
    </row>
    <row r="132">
      <c r="B132" s="11" t="inlineStr">
        <is>
          <t>• Confidentiality: Student identity must be protected. Records accessible only to ADC members and Principal.</t>
        </is>
      </c>
    </row>
    <row r="133">
      <c r="B133" s="11" t="inlineStr">
        <is>
          <t>• ADC data feeds into: NAAC AQAR Criterion V.3 (Student Activities / Welfare), UGC compliance reports.</t>
        </is>
      </c>
    </row>
    <row r="134">
      <c r="B134" s="11" t="inlineStr">
        <is>
          <t>• Random drug testing may be conducted as per institutional policy — must have student/parent consent at admission.</t>
        </is>
      </c>
    </row>
    <row r="135">
      <c r="B135" s="11" t="inlineStr">
        <is>
          <t>• Peer educators are the most effective prevention tool — invest in training and supporting them.</t>
        </is>
      </c>
    </row>
    <row r="136">
      <c r="B136" s="11" t="inlineStr">
        <is>
          <t>• Warning signs checklist must be shared with all faculty — early identification is critical.</t>
        </is>
      </c>
    </row>
    <row r="137">
      <c r="B137" s="11" t="inlineStr">
        <is>
          <t>• ADC must coordinate with college counsellor, medical officer, local police, NGOs and de-addiction centres.</t>
        </is>
      </c>
    </row>
  </sheetData>
  <mergeCells count="24">
    <mergeCell ref="B40:E40"/>
    <mergeCell ref="B30:E30"/>
    <mergeCell ref="B15:E15"/>
    <mergeCell ref="B5:E5"/>
    <mergeCell ref="B20:E20"/>
    <mergeCell ref="B133:E133"/>
    <mergeCell ref="B45:E45"/>
    <mergeCell ref="B35:E35"/>
    <mergeCell ref="B50:E50"/>
    <mergeCell ref="B129:E129"/>
    <mergeCell ref="B135:E135"/>
    <mergeCell ref="B54:E54"/>
    <mergeCell ref="B3:E3"/>
    <mergeCell ref="B134:E134"/>
    <mergeCell ref="B131:E131"/>
    <mergeCell ref="B130:E130"/>
    <mergeCell ref="B11:E11"/>
    <mergeCell ref="B2:E2"/>
    <mergeCell ref="B60:E60"/>
    <mergeCell ref="B136:E136"/>
    <mergeCell ref="B57:E57"/>
    <mergeCell ref="B132:E132"/>
    <mergeCell ref="B128:E128"/>
    <mergeCell ref="B137:E13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I24"/>
  <sheetViews>
    <sheetView showGridLines="0" workbookViewId="0">
      <selection activeCell="A1" sqref="A1"/>
    </sheetView>
  </sheetViews>
  <sheetFormatPr baseColWidth="8" defaultRowHeight="15"/>
  <cols>
    <col width="3" customWidth="1" min="1" max="1"/>
    <col width="6" customWidth="1" min="2" max="2"/>
    <col width="26" customWidth="1" min="3" max="3"/>
    <col width="24" customWidth="1" min="4" max="4"/>
    <col width="20" customWidth="1" min="5" max="5"/>
    <col width="14" customWidth="1" min="6" max="6"/>
    <col width="14" customWidth="1" min="7" max="7"/>
    <col width="16" customWidth="1" min="8" max="8"/>
    <col width="14" customWidth="1" min="9" max="9"/>
    <col width="3" customWidth="1" min="10" max="10"/>
  </cols>
  <sheetData>
    <row r="1" ht="10" customHeight="1"/>
    <row r="2" ht="52" customHeight="1">
      <c r="B2" s="12" t="inlineStr">
        <is>
          <t>ADC-00: ANTI-DRUG COMMITTEE — COMPOSITION REGISTER</t>
        </is>
      </c>
    </row>
    <row r="3" ht="22" customHeight="1">
      <c r="B3" s="13" t="inlineStr">
        <is>
          <t>Legal Framework: NDPS Act 1985 (Narcotic Drugs &amp; Psychotropic Substances) | UGC Guidelines on Anti-Drug Measures | Prevention of Illicit Traffic in Narcotic Drugs &amp; Psychotropic Substances Act 1988 | Juvenile Justice Act</t>
        </is>
      </c>
    </row>
    <row r="4" ht="25" customHeight="1">
      <c r="B4" s="2" t="inlineStr">
        <is>
          <t>Institution: _________________________  A.Y.: _______  Constituted on: _______  Order No.: _______</t>
        </is>
      </c>
    </row>
    <row r="5" ht="22" customHeight="1">
      <c r="B5" s="14" t="n">
        <v>1</v>
      </c>
      <c r="C5" s="15" t="inlineStr"/>
      <c r="D5" s="15" t="inlineStr">
        <is>
          <t>Principal / Director</t>
        </is>
      </c>
      <c r="E5" s="14" t="inlineStr">
        <is>
          <t>Chairperson</t>
        </is>
      </c>
      <c r="F5" s="16" t="inlineStr">
        <is>
          <t>ADC Leadership &amp; Final Authority</t>
        </is>
      </c>
      <c r="G5" s="15" t="inlineStr"/>
      <c r="H5" s="16" t="inlineStr"/>
      <c r="I5" s="16" t="inlineStr"/>
    </row>
    <row r="6" ht="22" customHeight="1">
      <c r="B6" s="8" t="n">
        <v>2</v>
      </c>
      <c r="C6" s="9" t="inlineStr"/>
      <c r="D6" s="9" t="inlineStr">
        <is>
          <t>Dean Student Affairs / Senior Admin Officer</t>
        </is>
      </c>
      <c r="E6" s="8" t="inlineStr">
        <is>
          <t>Member Secretary</t>
        </is>
      </c>
      <c r="F6" s="10" t="inlineStr">
        <is>
          <t>ADC Records &amp; Coordination</t>
        </is>
      </c>
      <c r="G6" s="9" t="inlineStr"/>
      <c r="H6" s="10" t="inlineStr"/>
      <c r="I6" s="10" t="inlineStr"/>
    </row>
    <row r="7" ht="22" customHeight="1">
      <c r="B7" s="14" t="n">
        <v>3</v>
      </c>
      <c r="C7" s="15" t="inlineStr"/>
      <c r="D7" s="15" t="inlineStr">
        <is>
          <t>Senior Professor (Male) — Elected</t>
        </is>
      </c>
      <c r="E7" s="14" t="inlineStr">
        <is>
          <t>Faculty Member – 1</t>
        </is>
      </c>
      <c r="F7" s="16" t="inlineStr">
        <is>
          <t>Student Welfare &amp; Awareness</t>
        </is>
      </c>
      <c r="G7" s="15" t="inlineStr"/>
      <c r="H7" s="16" t="inlineStr"/>
      <c r="I7" s="16" t="inlineStr"/>
    </row>
    <row r="8" ht="22" customHeight="1">
      <c r="B8" s="8" t="n">
        <v>4</v>
      </c>
      <c r="C8" s="9" t="inlineStr"/>
      <c r="D8" s="9" t="inlineStr">
        <is>
          <t>Senior Faculty (Female) — Elected</t>
        </is>
      </c>
      <c r="E8" s="8" t="inlineStr">
        <is>
          <t>Faculty Member – 2</t>
        </is>
      </c>
      <c r="F8" s="10" t="inlineStr">
        <is>
          <t>Women Students &amp; Counselling</t>
        </is>
      </c>
      <c r="G8" s="9" t="inlineStr"/>
      <c r="H8" s="10" t="inlineStr"/>
      <c r="I8" s="10" t="inlineStr"/>
    </row>
    <row r="9" ht="22" customHeight="1">
      <c r="B9" s="14" t="n">
        <v>5</v>
      </c>
      <c r="C9" s="15" t="inlineStr"/>
      <c r="D9" s="15" t="inlineStr">
        <is>
          <t>Faculty — Psychology / Social Work</t>
        </is>
      </c>
      <c r="E9" s="14" t="inlineStr">
        <is>
          <t>Faculty Member – 3</t>
        </is>
      </c>
      <c r="F9" s="16" t="inlineStr">
        <is>
          <t>Behavioural Intervention</t>
        </is>
      </c>
      <c r="G9" s="15" t="inlineStr"/>
      <c r="H9" s="16" t="inlineStr"/>
      <c r="I9" s="16" t="inlineStr"/>
    </row>
    <row r="10" ht="22" customHeight="1">
      <c r="B10" s="8" t="n">
        <v>6</v>
      </c>
      <c r="C10" s="9" t="inlineStr"/>
      <c r="D10" s="9" t="inlineStr">
        <is>
          <t>Certified Counsellor / Psychologist</t>
        </is>
      </c>
      <c r="E10" s="8" t="inlineStr">
        <is>
          <t>Professional Counsellor</t>
        </is>
      </c>
      <c r="F10" s="10" t="inlineStr">
        <is>
          <t>Individual Counselling &amp; Therapy</t>
        </is>
      </c>
      <c r="G10" s="9" t="inlineStr"/>
      <c r="H10" s="10" t="inlineStr"/>
      <c r="I10" s="10" t="inlineStr"/>
    </row>
    <row r="11" ht="22" customHeight="1">
      <c r="B11" s="14" t="n">
        <v>7</v>
      </c>
      <c r="C11" s="15" t="inlineStr"/>
      <c r="D11" s="15" t="inlineStr">
        <is>
          <t>Campus Doctor / Health Officer</t>
        </is>
      </c>
      <c r="E11" s="14" t="inlineStr">
        <is>
          <t>Medical Officer</t>
        </is>
      </c>
      <c r="F11" s="16" t="inlineStr">
        <is>
          <t>Medical Screening &amp; Health</t>
        </is>
      </c>
      <c r="G11" s="15" t="inlineStr"/>
      <c r="H11" s="16" t="inlineStr"/>
      <c r="I11" s="16" t="inlineStr"/>
    </row>
    <row r="12" ht="22" customHeight="1">
      <c r="B12" s="8" t="n">
        <v>8</v>
      </c>
      <c r="C12" s="9" t="inlineStr"/>
      <c r="D12" s="9" t="inlineStr">
        <is>
          <t>Chief Warden — Boys Hostel</t>
        </is>
      </c>
      <c r="E12" s="8" t="inlineStr">
        <is>
          <t>Hostel Warden (Male)</t>
        </is>
      </c>
      <c r="F12" s="10" t="inlineStr">
        <is>
          <t>Boys Hostel Surveillance</t>
        </is>
      </c>
      <c r="G12" s="9" t="inlineStr"/>
      <c r="H12" s="10" t="inlineStr"/>
      <c r="I12" s="10" t="inlineStr"/>
    </row>
    <row r="13" ht="22" customHeight="1">
      <c r="B13" s="14" t="n">
        <v>9</v>
      </c>
      <c r="C13" s="15" t="inlineStr"/>
      <c r="D13" s="15" t="inlineStr">
        <is>
          <t>Chief Warden — Girls Hostel</t>
        </is>
      </c>
      <c r="E13" s="14" t="inlineStr">
        <is>
          <t>Hostel Warden (Female)</t>
        </is>
      </c>
      <c r="F13" s="16" t="inlineStr">
        <is>
          <t>Girls Hostel Surveillance</t>
        </is>
      </c>
      <c r="G13" s="15" t="inlineStr"/>
      <c r="H13" s="16" t="inlineStr"/>
      <c r="I13" s="16" t="inlineStr"/>
    </row>
    <row r="14" ht="22" customHeight="1">
      <c r="B14" s="8" t="n">
        <v>10</v>
      </c>
      <c r="C14" s="9" t="inlineStr"/>
      <c r="D14" s="9" t="inlineStr">
        <is>
          <t>NSS Programme Officer / NCC ANO</t>
        </is>
      </c>
      <c r="E14" s="8" t="inlineStr">
        <is>
          <t>NSS / NCC Officer</t>
        </is>
      </c>
      <c r="F14" s="10" t="inlineStr">
        <is>
          <t>Peer Outreach &amp; Campaigns</t>
        </is>
      </c>
      <c r="G14" s="9" t="inlineStr"/>
      <c r="H14" s="10" t="inlineStr"/>
      <c r="I14" s="10" t="inlineStr"/>
    </row>
    <row r="15" ht="22" customHeight="1">
      <c r="B15" s="14" t="n">
        <v>11</v>
      </c>
      <c r="C15" s="15" t="inlineStr"/>
      <c r="D15" s="15" t="inlineStr">
        <is>
          <t>Campus Security Head</t>
        </is>
      </c>
      <c r="E15" s="14" t="inlineStr">
        <is>
          <t>Security Officer</t>
        </is>
      </c>
      <c r="F15" s="16" t="inlineStr">
        <is>
          <t>Campus Surveillance &amp; Entry</t>
        </is>
      </c>
      <c r="G15" s="15" t="inlineStr"/>
      <c r="H15" s="16" t="inlineStr"/>
      <c r="I15" s="16" t="inlineStr"/>
    </row>
    <row r="16" ht="22" customHeight="1">
      <c r="B16" s="8" t="n">
        <v>12</v>
      </c>
      <c r="C16" s="9" t="inlineStr"/>
      <c r="D16" s="9" t="inlineStr">
        <is>
          <t>Sub-Inspector / Beat Officer — Local Police</t>
        </is>
      </c>
      <c r="E16" s="8" t="inlineStr">
        <is>
          <t>Police Liaison (External)</t>
        </is>
      </c>
      <c r="F16" s="10" t="inlineStr">
        <is>
          <t>Law Enforcement Coordination</t>
        </is>
      </c>
      <c r="G16" s="9" t="inlineStr"/>
      <c r="H16" s="10" t="inlineStr"/>
      <c r="I16" s="10" t="inlineStr"/>
    </row>
    <row r="17" ht="22" customHeight="1">
      <c r="B17" s="14" t="n">
        <v>13</v>
      </c>
      <c r="C17" s="15" t="inlineStr"/>
      <c r="D17" s="15" t="inlineStr">
        <is>
          <t>Psychiatrist / De-addiction Counsellor</t>
        </is>
      </c>
      <c r="E17" s="14" t="inlineStr">
        <is>
          <t>De-addiction Expert (Ext.)</t>
        </is>
      </c>
      <c r="F17" s="16" t="inlineStr">
        <is>
          <t>Clinical Assessment &amp; Referral</t>
        </is>
      </c>
      <c r="G17" s="15" t="inlineStr"/>
      <c r="H17" s="16" t="inlineStr"/>
      <c r="I17" s="16" t="inlineStr"/>
    </row>
    <row r="18" ht="22" customHeight="1">
      <c r="B18" s="8" t="n">
        <v>14</v>
      </c>
      <c r="C18" s="9" t="inlineStr"/>
      <c r="D18" s="9" t="inlineStr">
        <is>
          <t>NADA / Anti-Drug NGO Representative</t>
        </is>
      </c>
      <c r="E18" s="8" t="inlineStr">
        <is>
          <t>NGO Representative (Ext.)</t>
        </is>
      </c>
      <c r="F18" s="10" t="inlineStr">
        <is>
          <t>Community &amp; Rehabilitation Support</t>
        </is>
      </c>
      <c r="G18" s="9" t="inlineStr"/>
      <c r="H18" s="10" t="inlineStr"/>
      <c r="I18" s="10" t="inlineStr"/>
    </row>
    <row r="19" ht="22" customHeight="1">
      <c r="B19" s="14" t="n">
        <v>15</v>
      </c>
      <c r="C19" s="15" t="inlineStr"/>
      <c r="D19" s="15" t="inlineStr">
        <is>
          <t>Student Council President / Senior Student</t>
        </is>
      </c>
      <c r="E19" s="14" t="inlineStr">
        <is>
          <t>Student Rep – 1</t>
        </is>
      </c>
      <c r="F19" s="16" t="inlineStr">
        <is>
          <t>Student Peer Voice</t>
        </is>
      </c>
      <c r="G19" s="15" t="inlineStr"/>
      <c r="H19" s="16" t="inlineStr"/>
      <c r="I19" s="16" t="inlineStr"/>
    </row>
    <row r="20" ht="22" customHeight="1">
      <c r="B20" s="8" t="n">
        <v>16</v>
      </c>
      <c r="C20" s="9" t="inlineStr"/>
      <c r="D20" s="9" t="inlineStr">
        <is>
          <t>Peer Educator / Anti-Drug Ambassador</t>
        </is>
      </c>
      <c r="E20" s="8" t="inlineStr">
        <is>
          <t>Student Rep – 2</t>
        </is>
      </c>
      <c r="F20" s="10" t="inlineStr">
        <is>
          <t>Peer Prevention &amp; Awareness</t>
        </is>
      </c>
      <c r="G20" s="9" t="inlineStr"/>
      <c r="H20" s="10" t="inlineStr"/>
      <c r="I20" s="10" t="inlineStr"/>
    </row>
    <row r="21" ht="22" customHeight="1">
      <c r="B21" s="14" t="n">
        <v>17</v>
      </c>
      <c r="C21" s="15" t="inlineStr"/>
      <c r="D21" s="15" t="inlineStr">
        <is>
          <t>Parent Association Representative</t>
        </is>
      </c>
      <c r="E21" s="14" t="inlineStr">
        <is>
          <t>Parent Rep</t>
        </is>
      </c>
      <c r="F21" s="16" t="inlineStr">
        <is>
          <t>Parent Awareness &amp; Support</t>
        </is>
      </c>
      <c r="G21" s="15" t="inlineStr"/>
      <c r="H21" s="16" t="inlineStr"/>
      <c r="I21" s="16" t="inlineStr"/>
    </row>
    <row r="22" ht="22" customHeight="1">
      <c r="B22" s="8" t="n">
        <v>18</v>
      </c>
      <c r="C22" s="9" t="inlineStr"/>
      <c r="D22" s="9" t="inlineStr">
        <is>
          <t>IQAC In-charge</t>
        </is>
      </c>
      <c r="E22" s="8" t="inlineStr">
        <is>
          <t>IQAC Coordinator (Ex-off.)</t>
        </is>
      </c>
      <c r="F22" s="10" t="inlineStr">
        <is>
          <t>Quality &amp; NAAC Compliance</t>
        </is>
      </c>
      <c r="G22" s="9" t="inlineStr"/>
      <c r="H22" s="10" t="inlineStr"/>
      <c r="I22" s="10" t="inlineStr"/>
    </row>
    <row r="23" ht="22" customHeight="1"/>
    <row r="24" ht="20" customHeight="1">
      <c r="B24" s="17" t="inlineStr">
        <is>
          <t>ADC must include police liaison and de-addiction expert. Counsellor must be professionally certified. Student reps are crucial — peer influence is the most effective prevention tool.</t>
        </is>
      </c>
    </row>
    <row r="25" ht="22" customHeight="1"/>
    <row r="26" ht="22" customHeight="1"/>
    <row r="27" ht="22" customHeight="1"/>
    <row r="28" ht="22" customHeight="1"/>
    <row r="29" ht="22" customHeight="1"/>
  </sheetData>
  <mergeCells count="4">
    <mergeCell ref="B3:I3"/>
    <mergeCell ref="B24:I24"/>
    <mergeCell ref="B2:I2"/>
    <mergeCell ref="B4:I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E40"/>
  <sheetViews>
    <sheetView showGridLines="0" workbookViewId="0">
      <selection activeCell="A1" sqref="A1"/>
    </sheetView>
  </sheetViews>
  <sheetFormatPr baseColWidth="8" defaultRowHeight="15"/>
  <cols>
    <col width="3" customWidth="1" min="1" max="1"/>
    <col width="8" customWidth="1" min="2" max="2"/>
    <col width="44" customWidth="1" min="3" max="3"/>
    <col width="22" customWidth="1" min="4" max="4"/>
    <col width="18" customWidth="1" min="5" max="5"/>
    <col width="3" customWidth="1" min="6" max="6"/>
  </cols>
  <sheetData>
    <row r="1" ht="10" customHeight="1"/>
    <row r="2" ht="48" customHeight="1">
      <c r="B2" s="12" t="inlineStr">
        <is>
          <t>ANTI-DRUG COMMITTEE: MEETING NOTICE &amp; AGENDA</t>
        </is>
      </c>
    </row>
    <row r="3" ht="18" customHeight="1">
      <c r="B3" s="18" t="inlineStr">
        <is>
          <t>STRICTLY CONFIDENTIAL — Anti-Drug records are sensitive legal documents. Access restricted to ADC members and institutional leadership only. Retain for minimum 5 years.</t>
        </is>
      </c>
    </row>
    <row r="4" ht="22" customHeight="1">
      <c r="B4" s="19" t="inlineStr">
        <is>
          <t>Meeting No.:</t>
        </is>
      </c>
      <c r="C4" s="9" t="n"/>
    </row>
    <row r="5" ht="22" customHeight="1">
      <c r="B5" s="19" t="inlineStr">
        <is>
          <t>Academic Year:</t>
        </is>
      </c>
      <c r="C5" s="9" t="n"/>
    </row>
    <row r="6" ht="22" customHeight="1">
      <c r="B6" s="19" t="inlineStr">
        <is>
          <t>Date:</t>
        </is>
      </c>
      <c r="C6" s="9" t="n"/>
    </row>
    <row r="7" ht="22" customHeight="1">
      <c r="B7" s="19" t="inlineStr">
        <is>
          <t>Time:</t>
        </is>
      </c>
      <c r="C7" s="9" t="n"/>
    </row>
    <row r="8" ht="22" customHeight="1">
      <c r="B8" s="19" t="inlineStr">
        <is>
          <t>Venue:</t>
        </is>
      </c>
      <c r="C8" s="9" t="n"/>
    </row>
    <row r="9" ht="22" customHeight="1">
      <c r="B9" s="19" t="inlineStr">
        <is>
          <t>Mode:</t>
        </is>
      </c>
      <c r="C9" s="9" t="n"/>
    </row>
    <row r="10" ht="22" customHeight="1">
      <c r="B10" s="19" t="inlineStr">
        <is>
          <t>Notice by:</t>
        </is>
      </c>
      <c r="C10" s="9" t="n"/>
    </row>
    <row r="11" ht="22" customHeight="1">
      <c r="B11" s="19" t="inlineStr">
        <is>
          <t>Notice Date:</t>
        </is>
      </c>
      <c r="C11" s="9" t="n"/>
    </row>
    <row r="12" ht="24" customHeight="1">
      <c r="B12" s="20" t="inlineStr">
        <is>
          <t>AGENDA ITEMS</t>
        </is>
      </c>
    </row>
    <row r="13" ht="24" customHeight="1">
      <c r="B13" s="21" t="inlineStr">
        <is>
          <t>Item
No.</t>
        </is>
      </c>
      <c r="C13" s="21" t="inlineStr">
        <is>
          <t>Agenda Item</t>
        </is>
      </c>
      <c r="D13" s="21" t="inlineStr">
        <is>
          <t>Lead</t>
        </is>
      </c>
      <c r="E13" s="21" t="inlineStr">
        <is>
          <t>Duration (Min)</t>
        </is>
      </c>
    </row>
    <row r="14" ht="24" customHeight="1">
      <c r="B14" s="14" t="n">
        <v>1</v>
      </c>
      <c r="C14" s="15" t="inlineStr">
        <is>
          <t>Confirmation of minutes of previous ADC meeting</t>
        </is>
      </c>
      <c r="D14" s="16" t="inlineStr"/>
      <c r="E14" s="16" t="inlineStr"/>
    </row>
    <row r="15" ht="24" customHeight="1">
      <c r="B15" s="8" t="n">
        <v>2</v>
      </c>
      <c r="C15" s="9" t="inlineStr">
        <is>
          <t>Action Taken Report on previous ADC resolutions</t>
        </is>
      </c>
      <c r="D15" s="10" t="inlineStr"/>
      <c r="E15" s="10" t="inlineStr"/>
    </row>
    <row r="16" ht="24" customHeight="1">
      <c r="B16" s="14" t="n">
        <v>3</v>
      </c>
      <c r="C16" s="15" t="inlineStr">
        <is>
          <t>Undertaking collection status — students, parents &amp; staff</t>
        </is>
      </c>
      <c r="D16" s="16" t="inlineStr"/>
      <c r="E16" s="16" t="inlineStr"/>
    </row>
    <row r="17" ht="24" customHeight="1">
      <c r="B17" s="8" t="n">
        <v>4</v>
      </c>
      <c r="C17" s="9" t="inlineStr">
        <is>
          <t>Awareness programmes — completed and upcoming</t>
        </is>
      </c>
      <c r="D17" s="10" t="inlineStr"/>
      <c r="E17" s="10" t="inlineStr"/>
    </row>
    <row r="18" ht="24" customHeight="1">
      <c r="B18" s="14" t="n">
        <v>5</v>
      </c>
      <c r="C18" s="15" t="inlineStr">
        <is>
          <t>Orientation / induction — anti-drug session review</t>
        </is>
      </c>
      <c r="D18" s="16" t="inlineStr"/>
      <c r="E18" s="16" t="inlineStr"/>
    </row>
    <row r="19" ht="24" customHeight="1">
      <c r="B19" s="8" t="n">
        <v>6</v>
      </c>
      <c r="C19" s="9" t="inlineStr">
        <is>
          <t>Peer educator network — activities and training update</t>
        </is>
      </c>
      <c r="D19" s="10" t="inlineStr"/>
      <c r="E19" s="10" t="inlineStr"/>
    </row>
    <row r="20" ht="24" customHeight="1">
      <c r="B20" s="14" t="n">
        <v>7</v>
      </c>
      <c r="C20" s="15" t="inlineStr">
        <is>
          <t>Campus surveillance — security &amp; hostel observations</t>
        </is>
      </c>
      <c r="D20" s="16" t="inlineStr"/>
      <c r="E20" s="16" t="inlineStr"/>
    </row>
    <row r="21" ht="24" customHeight="1">
      <c r="B21" s="8" t="n">
        <v>8</v>
      </c>
      <c r="C21" s="9" t="inlineStr">
        <is>
          <t>Anonymous tips received — status and follow-up</t>
        </is>
      </c>
      <c r="D21" s="10" t="inlineStr"/>
      <c r="E21" s="10" t="inlineStr"/>
    </row>
    <row r="22" ht="24" customHeight="1">
      <c r="B22" s="14" t="n">
        <v>9</v>
      </c>
      <c r="C22" s="15" t="inlineStr">
        <is>
          <t>Warning signs identification — cases flagged by faculty</t>
        </is>
      </c>
      <c r="D22" s="16" t="inlineStr"/>
      <c r="E22" s="16" t="inlineStr"/>
    </row>
    <row r="23" ht="24" customHeight="1">
      <c r="B23" s="8" t="n">
        <v>10</v>
      </c>
      <c r="C23" s="9" t="inlineStr">
        <is>
          <t>New cases registered — status and assignment</t>
        </is>
      </c>
      <c r="D23" s="10" t="inlineStr"/>
      <c r="E23" s="10" t="inlineStr"/>
    </row>
    <row r="24" ht="24" customHeight="1">
      <c r="B24" s="14" t="n">
        <v>11</v>
      </c>
      <c r="C24" s="15" t="inlineStr">
        <is>
          <t>Ongoing cases — counselling and inquiry progress</t>
        </is>
      </c>
      <c r="D24" s="16" t="inlineStr"/>
      <c r="E24" s="16" t="inlineStr"/>
    </row>
    <row r="25" ht="24" customHeight="1">
      <c r="B25" s="8" t="n">
        <v>12</v>
      </c>
      <c r="C25" s="9" t="inlineStr">
        <is>
          <t>Rehabilitation referrals — status and monitoring</t>
        </is>
      </c>
      <c r="D25" s="10" t="inlineStr"/>
      <c r="E25" s="10" t="inlineStr"/>
    </row>
    <row r="26" ht="24" customHeight="1">
      <c r="B26" s="14" t="n">
        <v>13</v>
      </c>
      <c r="C26" s="15" t="inlineStr">
        <is>
          <t>Post-rehabilitation students — monitoring update</t>
        </is>
      </c>
      <c r="D26" s="16" t="inlineStr"/>
      <c r="E26" s="16" t="inlineStr"/>
    </row>
    <row r="27" ht="24" customHeight="1">
      <c r="B27" s="8" t="n">
        <v>14</v>
      </c>
      <c r="C27" s="9" t="inlineStr">
        <is>
          <t>Police coordination — cases referred and outcomes</t>
        </is>
      </c>
      <c r="D27" s="10" t="inlineStr"/>
      <c r="E27" s="10" t="inlineStr"/>
    </row>
    <row r="28" ht="24" customHeight="1">
      <c r="B28" s="14" t="n">
        <v>15</v>
      </c>
      <c r="C28" s="15" t="inlineStr">
        <is>
          <t>ADC decisions — penalty execution status</t>
        </is>
      </c>
      <c r="D28" s="16" t="inlineStr"/>
      <c r="E28" s="16" t="inlineStr"/>
    </row>
    <row r="29" ht="24" customHeight="1">
      <c r="B29" s="8" t="n">
        <v>16</v>
      </c>
      <c r="C29" s="9" t="inlineStr">
        <is>
          <t>Appeal cases — pending and decided</t>
        </is>
      </c>
      <c r="D29" s="10" t="inlineStr"/>
      <c r="E29" s="10" t="inlineStr"/>
    </row>
    <row r="30" ht="24" customHeight="1">
      <c r="B30" s="14" t="n">
        <v>17</v>
      </c>
      <c r="C30" s="15" t="inlineStr">
        <is>
          <t>Parent awareness sessions — upcoming schedule</t>
        </is>
      </c>
      <c r="D30" s="16" t="inlineStr"/>
      <c r="E30" s="16" t="inlineStr"/>
    </row>
    <row r="31" ht="24" customHeight="1">
      <c r="B31" s="8" t="n">
        <v>18</v>
      </c>
      <c r="C31" s="9" t="inlineStr">
        <is>
          <t>Community / NSS outreach activities — update</t>
        </is>
      </c>
      <c r="D31" s="10" t="inlineStr"/>
      <c r="E31" s="10" t="inlineStr"/>
    </row>
    <row r="32" ht="24" customHeight="1">
      <c r="B32" s="14" t="n">
        <v>19</v>
      </c>
      <c r="C32" s="15" t="inlineStr">
        <is>
          <t>UGC compliance and NAAC data — compilation status</t>
        </is>
      </c>
      <c r="D32" s="16" t="inlineStr"/>
      <c r="E32" s="16" t="inlineStr"/>
    </row>
    <row r="33" ht="24" customHeight="1">
      <c r="B33" s="8" t="n">
        <v>20</v>
      </c>
      <c r="C33" s="9" t="inlineStr">
        <is>
          <t>Any Other Matter with Permission of Chairperson (AOMPC)</t>
        </is>
      </c>
      <c r="D33" s="10" t="inlineStr"/>
      <c r="E33" s="10" t="inlineStr"/>
    </row>
    <row r="34" ht="24" customHeight="1"/>
    <row r="35" ht="24" customHeight="1">
      <c r="B35" s="22" t="inlineStr">
        <is>
          <t>DISPATCH RECORD</t>
        </is>
      </c>
    </row>
    <row r="36">
      <c r="B36" s="23" t="inlineStr">
        <is>
          <t>Sl.</t>
        </is>
      </c>
      <c r="C36" s="23" t="inlineStr">
        <is>
          <t>Member Name &amp; Role</t>
        </is>
      </c>
      <c r="D36" s="23" t="inlineStr">
        <is>
          <t>Mode</t>
        </is>
      </c>
      <c r="E36" s="23" t="inlineStr">
        <is>
          <t>Date &amp; Acknowledgement</t>
        </is>
      </c>
    </row>
    <row r="37" ht="22" customHeight="1">
      <c r="B37" s="24" t="n"/>
      <c r="C37" s="24" t="n"/>
      <c r="D37" s="24" t="n"/>
      <c r="E37" s="24" t="n"/>
    </row>
    <row r="38" ht="22" customHeight="1">
      <c r="B38" s="10" t="n"/>
      <c r="C38" s="10" t="n"/>
      <c r="D38" s="10" t="n"/>
      <c r="E38" s="10" t="n"/>
    </row>
    <row r="39" ht="22" customHeight="1">
      <c r="B39" s="24" t="n"/>
      <c r="C39" s="24" t="n"/>
      <c r="D39" s="24" t="n"/>
      <c r="E39" s="24" t="n"/>
    </row>
    <row r="40" ht="22" customHeight="1">
      <c r="B40" s="10" t="n"/>
      <c r="C40" s="10" t="n"/>
      <c r="D40" s="10" t="n"/>
      <c r="E40" s="10" t="n"/>
    </row>
  </sheetData>
  <mergeCells count="12">
    <mergeCell ref="C11:E11"/>
    <mergeCell ref="B35:E35"/>
    <mergeCell ref="C5:E5"/>
    <mergeCell ref="B12:E12"/>
    <mergeCell ref="C8:E8"/>
    <mergeCell ref="C9:E9"/>
    <mergeCell ref="C4:E4"/>
    <mergeCell ref="B3:E3"/>
    <mergeCell ref="B2:E2"/>
    <mergeCell ref="C7:E7"/>
    <mergeCell ref="C6:E6"/>
    <mergeCell ref="C10:E1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I33"/>
  <sheetViews>
    <sheetView showGridLines="0" workbookViewId="0">
      <selection activeCell="A1" sqref="A1"/>
    </sheetView>
  </sheetViews>
  <sheetFormatPr baseColWidth="8" defaultRowHeight="15"/>
  <cols>
    <col width="3" customWidth="1" min="1" max="1"/>
    <col width="6" customWidth="1" min="2" max="2"/>
    <col width="26" customWidth="1" min="3" max="3"/>
    <col width="20" customWidth="1" min="4" max="4"/>
    <col width="14" customWidth="1" min="5" max="5"/>
    <col width="12" customWidth="1" min="6" max="6"/>
    <col width="12" customWidth="1" min="7" max="7"/>
    <col width="16" customWidth="1" min="8" max="8"/>
    <col width="14" customWidth="1" min="9" max="9"/>
    <col width="3" customWidth="1" min="10" max="10"/>
  </cols>
  <sheetData>
    <row r="1" ht="10" customHeight="1"/>
    <row r="2" ht="48" customHeight="1">
      <c r="B2" s="12" t="inlineStr">
        <is>
          <t>ADC: ATTENDANCE &amp; QUORUM REGISTER</t>
        </is>
      </c>
    </row>
    <row r="3" ht="18" customHeight="1">
      <c r="B3" s="18" t="inlineStr">
        <is>
          <t>STRICTLY CONFIDENTIAL — Anti-Drug records are sensitive legal documents. Access restricted to ADC members and institutional leadership only. Retain for minimum 5 years.</t>
        </is>
      </c>
    </row>
    <row r="4" ht="25" customHeight="1">
      <c r="B4" s="2" t="inlineStr">
        <is>
          <t>Meeting No.: _______  Date: _______  Total Strength: _______  Quorum Required (50%): _______</t>
        </is>
      </c>
    </row>
    <row r="5" ht="22" customHeight="1">
      <c r="B5" s="21" t="inlineStr">
        <is>
          <t>Sl.</t>
        </is>
      </c>
      <c r="C5" s="21" t="inlineStr">
        <is>
          <t>Name</t>
        </is>
      </c>
      <c r="D5" s="21" t="inlineStr">
        <is>
          <t>Role</t>
        </is>
      </c>
      <c r="E5" s="21" t="inlineStr">
        <is>
          <t>Mode
(Physical/VC)</t>
        </is>
      </c>
      <c r="F5" s="21" t="inlineStr">
        <is>
          <t>Present
(P/A)</t>
        </is>
      </c>
      <c r="G5" s="21" t="inlineStr">
        <is>
          <t>Proxy
(Y/N)</t>
        </is>
      </c>
      <c r="H5" s="21" t="inlineStr">
        <is>
          <t>Proxy Holder</t>
        </is>
      </c>
      <c r="I5" s="21" t="inlineStr">
        <is>
          <t>Signature</t>
        </is>
      </c>
    </row>
    <row r="6" ht="22" customHeight="1">
      <c r="B6" s="14" t="n">
        <v>1</v>
      </c>
      <c r="C6" s="15" t="inlineStr"/>
      <c r="D6" s="15" t="inlineStr"/>
      <c r="E6" s="16" t="inlineStr">
        <is>
          <t>Physical</t>
        </is>
      </c>
      <c r="F6" s="16" t="inlineStr"/>
      <c r="G6" s="16" t="inlineStr">
        <is>
          <t>N</t>
        </is>
      </c>
      <c r="H6" s="16" t="inlineStr"/>
      <c r="I6" s="16" t="inlineStr"/>
    </row>
    <row r="7" ht="22" customHeight="1">
      <c r="B7" s="8" t="n">
        <v>2</v>
      </c>
      <c r="C7" s="9" t="inlineStr"/>
      <c r="D7" s="9" t="inlineStr"/>
      <c r="E7" s="10" t="inlineStr">
        <is>
          <t>Physical</t>
        </is>
      </c>
      <c r="F7" s="10" t="inlineStr"/>
      <c r="G7" s="10" t="inlineStr">
        <is>
          <t>N</t>
        </is>
      </c>
      <c r="H7" s="10" t="inlineStr"/>
      <c r="I7" s="10" t="inlineStr"/>
    </row>
    <row r="8" ht="22" customHeight="1">
      <c r="B8" s="14" t="n">
        <v>3</v>
      </c>
      <c r="C8" s="15" t="inlineStr"/>
      <c r="D8" s="15" t="inlineStr"/>
      <c r="E8" s="16" t="inlineStr">
        <is>
          <t>Physical</t>
        </is>
      </c>
      <c r="F8" s="16" t="inlineStr"/>
      <c r="G8" s="16" t="inlineStr">
        <is>
          <t>N</t>
        </is>
      </c>
      <c r="H8" s="16" t="inlineStr"/>
      <c r="I8" s="16" t="inlineStr"/>
    </row>
    <row r="9" ht="22" customHeight="1">
      <c r="B9" s="8" t="n">
        <v>4</v>
      </c>
      <c r="C9" s="9" t="inlineStr"/>
      <c r="D9" s="9" t="inlineStr"/>
      <c r="E9" s="10" t="inlineStr">
        <is>
          <t>Physical</t>
        </is>
      </c>
      <c r="F9" s="10" t="inlineStr"/>
      <c r="G9" s="10" t="inlineStr">
        <is>
          <t>N</t>
        </is>
      </c>
      <c r="H9" s="10" t="inlineStr"/>
      <c r="I9" s="10" t="inlineStr"/>
    </row>
    <row r="10" ht="22" customHeight="1">
      <c r="B10" s="14" t="n">
        <v>5</v>
      </c>
      <c r="C10" s="15" t="inlineStr"/>
      <c r="D10" s="15" t="inlineStr"/>
      <c r="E10" s="16" t="inlineStr">
        <is>
          <t>Physical</t>
        </is>
      </c>
      <c r="F10" s="16" t="inlineStr"/>
      <c r="G10" s="16" t="inlineStr">
        <is>
          <t>N</t>
        </is>
      </c>
      <c r="H10" s="16" t="inlineStr"/>
      <c r="I10" s="16" t="inlineStr"/>
    </row>
    <row r="11" ht="22" customHeight="1">
      <c r="B11" s="8" t="n">
        <v>6</v>
      </c>
      <c r="C11" s="9" t="inlineStr"/>
      <c r="D11" s="9" t="inlineStr"/>
      <c r="E11" s="10" t="inlineStr">
        <is>
          <t>Physical</t>
        </is>
      </c>
      <c r="F11" s="10" t="inlineStr"/>
      <c r="G11" s="10" t="inlineStr">
        <is>
          <t>N</t>
        </is>
      </c>
      <c r="H11" s="10" t="inlineStr"/>
      <c r="I11" s="10" t="inlineStr"/>
    </row>
    <row r="12" ht="22" customHeight="1">
      <c r="B12" s="14" t="n">
        <v>7</v>
      </c>
      <c r="C12" s="15" t="inlineStr"/>
      <c r="D12" s="15" t="inlineStr"/>
      <c r="E12" s="16" t="inlineStr">
        <is>
          <t>Physical</t>
        </is>
      </c>
      <c r="F12" s="16" t="inlineStr"/>
      <c r="G12" s="16" t="inlineStr">
        <is>
          <t>N</t>
        </is>
      </c>
      <c r="H12" s="16" t="inlineStr"/>
      <c r="I12" s="16" t="inlineStr"/>
    </row>
    <row r="13" ht="22" customHeight="1">
      <c r="B13" s="8" t="n">
        <v>8</v>
      </c>
      <c r="C13" s="9" t="inlineStr"/>
      <c r="D13" s="9" t="inlineStr"/>
      <c r="E13" s="10" t="inlineStr">
        <is>
          <t>Physical</t>
        </is>
      </c>
      <c r="F13" s="10" t="inlineStr"/>
      <c r="G13" s="10" t="inlineStr">
        <is>
          <t>N</t>
        </is>
      </c>
      <c r="H13" s="10" t="inlineStr"/>
      <c r="I13" s="10" t="inlineStr"/>
    </row>
    <row r="14" ht="22" customHeight="1">
      <c r="B14" s="14" t="n">
        <v>9</v>
      </c>
      <c r="C14" s="15" t="inlineStr"/>
      <c r="D14" s="15" t="inlineStr"/>
      <c r="E14" s="16" t="inlineStr">
        <is>
          <t>Physical</t>
        </is>
      </c>
      <c r="F14" s="16" t="inlineStr"/>
      <c r="G14" s="16" t="inlineStr">
        <is>
          <t>N</t>
        </is>
      </c>
      <c r="H14" s="16" t="inlineStr"/>
      <c r="I14" s="16" t="inlineStr"/>
    </row>
    <row r="15" ht="22" customHeight="1">
      <c r="B15" s="8" t="n">
        <v>10</v>
      </c>
      <c r="C15" s="9" t="inlineStr"/>
      <c r="D15" s="9" t="inlineStr"/>
      <c r="E15" s="10" t="inlineStr">
        <is>
          <t>Physical</t>
        </is>
      </c>
      <c r="F15" s="10" t="inlineStr"/>
      <c r="G15" s="10" t="inlineStr">
        <is>
          <t>N</t>
        </is>
      </c>
      <c r="H15" s="10" t="inlineStr"/>
      <c r="I15" s="10" t="inlineStr"/>
    </row>
    <row r="16" ht="22" customHeight="1">
      <c r="B16" s="14" t="n">
        <v>11</v>
      </c>
      <c r="C16" s="15" t="inlineStr"/>
      <c r="D16" s="15" t="inlineStr"/>
      <c r="E16" s="16" t="inlineStr">
        <is>
          <t>Physical</t>
        </is>
      </c>
      <c r="F16" s="16" t="inlineStr"/>
      <c r="G16" s="16" t="inlineStr">
        <is>
          <t>N</t>
        </is>
      </c>
      <c r="H16" s="16" t="inlineStr"/>
      <c r="I16" s="16" t="inlineStr"/>
    </row>
    <row r="17" ht="22" customHeight="1">
      <c r="B17" s="8" t="n">
        <v>12</v>
      </c>
      <c r="C17" s="9" t="inlineStr"/>
      <c r="D17" s="9" t="inlineStr"/>
      <c r="E17" s="10" t="inlineStr">
        <is>
          <t>Physical</t>
        </is>
      </c>
      <c r="F17" s="10" t="inlineStr"/>
      <c r="G17" s="10" t="inlineStr">
        <is>
          <t>N</t>
        </is>
      </c>
      <c r="H17" s="10" t="inlineStr"/>
      <c r="I17" s="10" t="inlineStr"/>
    </row>
    <row r="18" ht="22" customHeight="1">
      <c r="B18" s="14" t="n">
        <v>13</v>
      </c>
      <c r="C18" s="15" t="inlineStr"/>
      <c r="D18" s="15" t="inlineStr"/>
      <c r="E18" s="16" t="inlineStr">
        <is>
          <t>Physical</t>
        </is>
      </c>
      <c r="F18" s="16" t="inlineStr"/>
      <c r="G18" s="16" t="inlineStr">
        <is>
          <t>N</t>
        </is>
      </c>
      <c r="H18" s="16" t="inlineStr"/>
      <c r="I18" s="16" t="inlineStr"/>
    </row>
    <row r="19" ht="22" customHeight="1">
      <c r="B19" s="8" t="n">
        <v>14</v>
      </c>
      <c r="C19" s="9" t="inlineStr"/>
      <c r="D19" s="9" t="inlineStr"/>
      <c r="E19" s="10" t="inlineStr">
        <is>
          <t>Physical</t>
        </is>
      </c>
      <c r="F19" s="10" t="inlineStr"/>
      <c r="G19" s="10" t="inlineStr">
        <is>
          <t>N</t>
        </is>
      </c>
      <c r="H19" s="10" t="inlineStr"/>
      <c r="I19" s="10" t="inlineStr"/>
    </row>
    <row r="20" ht="22" customHeight="1">
      <c r="B20" s="14" t="n">
        <v>15</v>
      </c>
      <c r="C20" s="15" t="inlineStr"/>
      <c r="D20" s="15" t="inlineStr"/>
      <c r="E20" s="16" t="inlineStr">
        <is>
          <t>Physical</t>
        </is>
      </c>
      <c r="F20" s="16" t="inlineStr"/>
      <c r="G20" s="16" t="inlineStr">
        <is>
          <t>N</t>
        </is>
      </c>
      <c r="H20" s="16" t="inlineStr"/>
      <c r="I20" s="16" t="inlineStr"/>
    </row>
    <row r="21" ht="22" customHeight="1">
      <c r="B21" s="8" t="n">
        <v>16</v>
      </c>
      <c r="C21" s="9" t="inlineStr"/>
      <c r="D21" s="9" t="inlineStr"/>
      <c r="E21" s="10" t="inlineStr">
        <is>
          <t>Physical</t>
        </is>
      </c>
      <c r="F21" s="10" t="inlineStr"/>
      <c r="G21" s="10" t="inlineStr">
        <is>
          <t>N</t>
        </is>
      </c>
      <c r="H21" s="10" t="inlineStr"/>
      <c r="I21" s="10" t="inlineStr"/>
    </row>
    <row r="22" ht="22" customHeight="1">
      <c r="B22" s="14" t="n">
        <v>17</v>
      </c>
      <c r="C22" s="15" t="inlineStr"/>
      <c r="D22" s="15" t="inlineStr"/>
      <c r="E22" s="16" t="inlineStr">
        <is>
          <t>Physical</t>
        </is>
      </c>
      <c r="F22" s="16" t="inlineStr"/>
      <c r="G22" s="16" t="inlineStr">
        <is>
          <t>N</t>
        </is>
      </c>
      <c r="H22" s="16" t="inlineStr"/>
      <c r="I22" s="16" t="inlineStr"/>
    </row>
    <row r="23" ht="22" customHeight="1">
      <c r="B23" s="8" t="n">
        <v>18</v>
      </c>
      <c r="C23" s="9" t="inlineStr"/>
      <c r="D23" s="9" t="inlineStr"/>
      <c r="E23" s="10" t="inlineStr">
        <is>
          <t>Physical</t>
        </is>
      </c>
      <c r="F23" s="10" t="inlineStr"/>
      <c r="G23" s="10" t="inlineStr">
        <is>
          <t>N</t>
        </is>
      </c>
      <c r="H23" s="10" t="inlineStr"/>
      <c r="I23" s="10" t="inlineStr"/>
    </row>
    <row r="24" ht="22" customHeight="1">
      <c r="B24" s="14" t="n">
        <v>19</v>
      </c>
      <c r="C24" s="15" t="inlineStr"/>
      <c r="D24" s="15" t="inlineStr"/>
      <c r="E24" s="16" t="inlineStr">
        <is>
          <t>Physical</t>
        </is>
      </c>
      <c r="F24" s="16" t="inlineStr"/>
      <c r="G24" s="16" t="inlineStr">
        <is>
          <t>N</t>
        </is>
      </c>
      <c r="H24" s="16" t="inlineStr"/>
      <c r="I24" s="16" t="inlineStr"/>
    </row>
    <row r="25" ht="22" customHeight="1">
      <c r="B25" s="8" t="n">
        <v>20</v>
      </c>
      <c r="C25" s="9" t="inlineStr"/>
      <c r="D25" s="9" t="inlineStr"/>
      <c r="E25" s="10" t="inlineStr">
        <is>
          <t>Physical</t>
        </is>
      </c>
      <c r="F25" s="10" t="inlineStr"/>
      <c r="G25" s="10" t="inlineStr">
        <is>
          <t>N</t>
        </is>
      </c>
      <c r="H25" s="10" t="inlineStr"/>
      <c r="I25" s="10" t="inlineStr"/>
    </row>
    <row r="26" ht="22" customHeight="1"/>
    <row r="27" ht="24" customHeight="1">
      <c r="B27" s="22" t="inlineStr">
        <is>
          <t>QUORUM VERIFICATION</t>
        </is>
      </c>
    </row>
    <row r="28" ht="22" customHeight="1">
      <c r="B28" s="25" t="inlineStr">
        <is>
          <t>Total ADC Members</t>
        </is>
      </c>
      <c r="G28" s="26" t="inlineStr"/>
    </row>
    <row r="29" ht="22" customHeight="1">
      <c r="B29" s="27" t="inlineStr">
        <is>
          <t>Present (Physical)</t>
        </is>
      </c>
      <c r="G29" s="26">
        <f>COUNTIF(F6:F25,"P")</f>
        <v/>
      </c>
    </row>
    <row r="30">
      <c r="B30" s="25" t="inlineStr">
        <is>
          <t>Present (VC)</t>
        </is>
      </c>
      <c r="G30" s="26" t="inlineStr"/>
    </row>
    <row r="31">
      <c r="B31" s="27" t="inlineStr">
        <is>
          <t>Total Effective</t>
        </is>
      </c>
      <c r="G31" s="26">
        <f>IFERROR(C29+C30,"")</f>
        <v/>
      </c>
    </row>
    <row r="32">
      <c r="B32" s="25" t="inlineStr">
        <is>
          <t>Quorum Required (50%)</t>
        </is>
      </c>
      <c r="G32" s="26" t="inlineStr"/>
    </row>
    <row r="33">
      <c r="B33" s="27" t="inlineStr">
        <is>
          <t>Quorum Achieved?</t>
        </is>
      </c>
      <c r="G33" s="28">
        <f>IFERROR(IF(C31&gt;=C32,"YES — Proceedings Valid","NO — Cannot Proceed"),"")</f>
        <v/>
      </c>
    </row>
  </sheetData>
  <mergeCells count="16">
    <mergeCell ref="B30:F30"/>
    <mergeCell ref="B29:F29"/>
    <mergeCell ref="G32:I32"/>
    <mergeCell ref="G28:I28"/>
    <mergeCell ref="B33:F33"/>
    <mergeCell ref="B2:I2"/>
    <mergeCell ref="B28:F28"/>
    <mergeCell ref="G31:I31"/>
    <mergeCell ref="B3:I3"/>
    <mergeCell ref="B31:F31"/>
    <mergeCell ref="G29:I29"/>
    <mergeCell ref="B32:F32"/>
    <mergeCell ref="B27:I27"/>
    <mergeCell ref="G30:I30"/>
    <mergeCell ref="B4:I4"/>
    <mergeCell ref="G33:I3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G19"/>
  <sheetViews>
    <sheetView showGridLines="0" workbookViewId="0">
      <selection activeCell="A1" sqref="A1"/>
    </sheetView>
  </sheetViews>
  <sheetFormatPr baseColWidth="8" defaultRowHeight="15"/>
  <cols>
    <col width="3" customWidth="1" min="1" max="1"/>
    <col width="12" customWidth="1" min="2" max="2"/>
    <col width="38" customWidth="1" min="3" max="3"/>
    <col width="18" customWidth="1" min="4" max="4"/>
    <col width="12" customWidth="1" min="5" max="5"/>
    <col width="14" customWidth="1" min="6" max="6"/>
    <col width="14" customWidth="1" min="7" max="7"/>
    <col width="3" customWidth="1" min="8" max="8"/>
  </cols>
  <sheetData>
    <row r="1" ht="10" customHeight="1"/>
    <row r="2" ht="48" customHeight="1">
      <c r="B2" s="12" t="inlineStr">
        <is>
          <t>ADC: MEETING MINUTES &amp; RESOLUTIONS</t>
        </is>
      </c>
    </row>
    <row r="3" ht="18" customHeight="1">
      <c r="B3" s="18" t="inlineStr">
        <is>
          <t>STRICTLY CONFIDENTIAL — Anti-Drug records are sensitive legal documents. Access restricted to ADC members and institutional leadership only. Retain for minimum 5 years.</t>
        </is>
      </c>
    </row>
    <row r="4" ht="25" customHeight="1">
      <c r="B4" s="2" t="inlineStr">
        <is>
          <t>Meeting No.: _______  Date: _______  Venue: _______  Chairperson: ___________________</t>
        </is>
      </c>
    </row>
    <row r="5" ht="24" customHeight="1">
      <c r="B5" s="29" t="inlineStr">
        <is>
          <t>DISCUSSION &amp; RESOLUTIONS</t>
        </is>
      </c>
    </row>
    <row r="6" ht="30" customHeight="1">
      <c r="B6" s="30" t="inlineStr">
        <is>
          <t>Resolution
No.</t>
        </is>
      </c>
      <c r="C6" s="30" t="inlineStr">
        <is>
          <t>Discussion &amp; Resolution</t>
        </is>
      </c>
      <c r="D6" s="30" t="inlineStr">
        <is>
          <t>Responsible</t>
        </is>
      </c>
      <c r="E6" s="30" t="inlineStr">
        <is>
          <t>Voting</t>
        </is>
      </c>
      <c r="F6" s="30" t="inlineStr">
        <is>
          <t>Target
Date</t>
        </is>
      </c>
      <c r="G6" s="30" t="inlineStr">
        <is>
          <t>Status</t>
        </is>
      </c>
    </row>
    <row r="7" ht="30" customHeight="1">
      <c r="B7" s="14" t="inlineStr">
        <is>
          <t>ADC/RES/001</t>
        </is>
      </c>
      <c r="C7" s="15" t="inlineStr"/>
      <c r="D7" s="16" t="inlineStr"/>
      <c r="E7" s="16" t="inlineStr"/>
      <c r="F7" s="16" t="inlineStr"/>
      <c r="G7" s="16" t="inlineStr">
        <is>
          <t>Pending</t>
        </is>
      </c>
    </row>
    <row r="8" ht="30" customHeight="1">
      <c r="B8" s="8" t="inlineStr">
        <is>
          <t>ADC/RES/002</t>
        </is>
      </c>
      <c r="C8" s="9" t="inlineStr"/>
      <c r="D8" s="10" t="inlineStr"/>
      <c r="E8" s="10" t="inlineStr"/>
      <c r="F8" s="10" t="inlineStr"/>
      <c r="G8" s="10" t="inlineStr">
        <is>
          <t>Pending</t>
        </is>
      </c>
    </row>
    <row r="9" ht="30" customHeight="1">
      <c r="B9" s="14" t="inlineStr">
        <is>
          <t>ADC/RES/003</t>
        </is>
      </c>
      <c r="C9" s="15" t="inlineStr"/>
      <c r="D9" s="16" t="inlineStr"/>
      <c r="E9" s="16" t="inlineStr"/>
      <c r="F9" s="16" t="inlineStr"/>
      <c r="G9" s="16" t="inlineStr">
        <is>
          <t>Pending</t>
        </is>
      </c>
    </row>
    <row r="10" ht="30" customHeight="1">
      <c r="B10" s="8" t="inlineStr">
        <is>
          <t>ADC/RES/004</t>
        </is>
      </c>
      <c r="C10" s="9" t="inlineStr"/>
      <c r="D10" s="10" t="inlineStr"/>
      <c r="E10" s="10" t="inlineStr"/>
      <c r="F10" s="10" t="inlineStr"/>
      <c r="G10" s="10" t="inlineStr">
        <is>
          <t>Pending</t>
        </is>
      </c>
    </row>
    <row r="11" ht="30" customHeight="1">
      <c r="B11" s="14" t="inlineStr">
        <is>
          <t>ADC/RES/005</t>
        </is>
      </c>
      <c r="C11" s="15" t="inlineStr"/>
      <c r="D11" s="16" t="inlineStr"/>
      <c r="E11" s="16" t="inlineStr"/>
      <c r="F11" s="16" t="inlineStr"/>
      <c r="G11" s="16" t="inlineStr">
        <is>
          <t>Pending</t>
        </is>
      </c>
    </row>
    <row r="12" ht="30" customHeight="1">
      <c r="B12" s="8" t="inlineStr">
        <is>
          <t>ADC/RES/006</t>
        </is>
      </c>
      <c r="C12" s="9" t="inlineStr"/>
      <c r="D12" s="10" t="inlineStr"/>
      <c r="E12" s="10" t="inlineStr"/>
      <c r="F12" s="10" t="inlineStr"/>
      <c r="G12" s="10" t="inlineStr">
        <is>
          <t>Pending</t>
        </is>
      </c>
    </row>
    <row r="13" ht="30" customHeight="1">
      <c r="B13" s="14" t="inlineStr">
        <is>
          <t>ADC/RES/007</t>
        </is>
      </c>
      <c r="C13" s="15" t="inlineStr"/>
      <c r="D13" s="16" t="inlineStr"/>
      <c r="E13" s="16" t="inlineStr"/>
      <c r="F13" s="16" t="inlineStr"/>
      <c r="G13" s="16" t="inlineStr">
        <is>
          <t>Pending</t>
        </is>
      </c>
    </row>
    <row r="14" ht="30" customHeight="1">
      <c r="B14" s="8" t="inlineStr">
        <is>
          <t>ADC/RES/008</t>
        </is>
      </c>
      <c r="C14" s="9" t="inlineStr"/>
      <c r="D14" s="10" t="inlineStr"/>
      <c r="E14" s="10" t="inlineStr"/>
      <c r="F14" s="10" t="inlineStr"/>
      <c r="G14" s="10" t="inlineStr">
        <is>
          <t>Pending</t>
        </is>
      </c>
    </row>
    <row r="15" ht="30" customHeight="1">
      <c r="B15" s="14" t="inlineStr">
        <is>
          <t>ADC/RES/009</t>
        </is>
      </c>
      <c r="C15" s="15" t="inlineStr"/>
      <c r="D15" s="16" t="inlineStr"/>
      <c r="E15" s="16" t="inlineStr"/>
      <c r="F15" s="16" t="inlineStr"/>
      <c r="G15" s="16" t="inlineStr">
        <is>
          <t>Pending</t>
        </is>
      </c>
    </row>
    <row r="16" ht="30" customHeight="1">
      <c r="B16" s="8" t="inlineStr">
        <is>
          <t>ADC/RES/010</t>
        </is>
      </c>
      <c r="C16" s="9" t="inlineStr"/>
      <c r="D16" s="10" t="inlineStr"/>
      <c r="E16" s="10" t="inlineStr"/>
      <c r="F16" s="10" t="inlineStr"/>
      <c r="G16" s="10" t="inlineStr">
        <is>
          <t>Pending</t>
        </is>
      </c>
    </row>
    <row r="17" ht="30" customHeight="1">
      <c r="B17" s="14" t="inlineStr">
        <is>
          <t>ADC/RES/011</t>
        </is>
      </c>
      <c r="C17" s="15" t="inlineStr"/>
      <c r="D17" s="16" t="inlineStr"/>
      <c r="E17" s="16" t="inlineStr"/>
      <c r="F17" s="16" t="inlineStr"/>
      <c r="G17" s="16" t="inlineStr">
        <is>
          <t>Pending</t>
        </is>
      </c>
    </row>
    <row r="18" ht="30" customHeight="1"/>
    <row r="19" ht="30" customHeight="1">
      <c r="B19" s="31" t="inlineStr">
        <is>
          <t>Next Meeting: _______    Chairperson: ___________________    Member Secretary: ___________________</t>
        </is>
      </c>
    </row>
  </sheetData>
  <mergeCells count="5">
    <mergeCell ref="B3:G3"/>
    <mergeCell ref="B2:G2"/>
    <mergeCell ref="B19:G19"/>
    <mergeCell ref="B5:G5"/>
    <mergeCell ref="B4:G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H26"/>
  <sheetViews>
    <sheetView showGridLines="0" workbookViewId="0">
      <selection activeCell="A1" sqref="A1"/>
    </sheetView>
  </sheetViews>
  <sheetFormatPr baseColWidth="8" defaultRowHeight="15"/>
  <cols>
    <col width="3" customWidth="1" min="1" max="1"/>
    <col width="14" customWidth="1" min="2" max="2"/>
    <col width="32" customWidth="1" min="3" max="3"/>
    <col width="20" customWidth="1" min="4" max="4"/>
    <col width="16" customWidth="1" min="5" max="5"/>
    <col width="13" customWidth="1" min="6" max="6"/>
    <col width="13" customWidth="1" min="7" max="7"/>
    <col width="16" customWidth="1" min="8" max="8"/>
    <col width="3" customWidth="1" min="9" max="9"/>
  </cols>
  <sheetData>
    <row r="1" ht="10" customHeight="1"/>
    <row r="2" ht="48" customHeight="1">
      <c r="B2" s="12" t="inlineStr">
        <is>
          <t>ADC: ACTION TAKEN REPORT (ATR)</t>
        </is>
      </c>
    </row>
    <row r="3" ht="18" customHeight="1">
      <c r="B3" s="18" t="inlineStr">
        <is>
          <t>STRICTLY CONFIDENTIAL — Anti-Drug records are sensitive legal documents. Access restricted to ADC members and institutional leadership only. Retain for minimum 5 years.</t>
        </is>
      </c>
    </row>
    <row r="4" ht="25" customHeight="1">
      <c r="B4" s="2" t="inlineStr">
        <is>
          <t>Current Meeting No.: _______  Date: _______  Previous Meeting Ref.: _______</t>
        </is>
      </c>
    </row>
    <row r="5" ht="26" customHeight="1">
      <c r="B5" s="32" t="inlineStr">
        <is>
          <t>Resolution
No.</t>
        </is>
      </c>
      <c r="C5" s="32" t="inlineStr">
        <is>
          <t>Resolution / Decision</t>
        </is>
      </c>
      <c r="D5" s="32" t="inlineStr">
        <is>
          <t>Action Required</t>
        </is>
      </c>
      <c r="E5" s="32" t="inlineStr">
        <is>
          <t>Responsible</t>
        </is>
      </c>
      <c r="F5" s="32" t="inlineStr">
        <is>
          <t>Target
Date</t>
        </is>
      </c>
      <c r="G5" s="32" t="inlineStr">
        <is>
          <t>Completion
Date</t>
        </is>
      </c>
      <c r="H5" s="32" t="inlineStr">
        <is>
          <t>Status</t>
        </is>
      </c>
    </row>
    <row r="6" ht="26" customHeight="1">
      <c r="B6" s="33" t="inlineStr">
        <is>
          <t>ADC/RES/001</t>
        </is>
      </c>
      <c r="C6" s="34" t="inlineStr"/>
      <c r="D6" s="34" t="inlineStr"/>
      <c r="E6" s="35" t="inlineStr"/>
      <c r="F6" s="35" t="inlineStr"/>
      <c r="G6" s="35" t="inlineStr"/>
      <c r="H6" s="34" t="inlineStr">
        <is>
          <t>In Progress</t>
        </is>
      </c>
    </row>
    <row r="7" ht="26" customHeight="1">
      <c r="B7" s="8" t="inlineStr">
        <is>
          <t>ADC/RES/002</t>
        </is>
      </c>
      <c r="C7" s="9" t="inlineStr"/>
      <c r="D7" s="9" t="inlineStr"/>
      <c r="E7" s="10" t="inlineStr"/>
      <c r="F7" s="10" t="inlineStr"/>
      <c r="G7" s="10" t="inlineStr"/>
      <c r="H7" s="9" t="inlineStr">
        <is>
          <t>In Progress</t>
        </is>
      </c>
    </row>
    <row r="8" ht="26" customHeight="1">
      <c r="B8" s="33" t="inlineStr">
        <is>
          <t>ADC/RES/003</t>
        </is>
      </c>
      <c r="C8" s="34" t="inlineStr"/>
      <c r="D8" s="34" t="inlineStr"/>
      <c r="E8" s="35" t="inlineStr"/>
      <c r="F8" s="35" t="inlineStr"/>
      <c r="G8" s="35" t="inlineStr"/>
      <c r="H8" s="34" t="inlineStr">
        <is>
          <t>In Progress</t>
        </is>
      </c>
    </row>
    <row r="9" ht="26" customHeight="1">
      <c r="B9" s="8" t="inlineStr">
        <is>
          <t>ADC/RES/004</t>
        </is>
      </c>
      <c r="C9" s="9" t="inlineStr"/>
      <c r="D9" s="9" t="inlineStr"/>
      <c r="E9" s="10" t="inlineStr"/>
      <c r="F9" s="10" t="inlineStr"/>
      <c r="G9" s="10" t="inlineStr"/>
      <c r="H9" s="9" t="inlineStr">
        <is>
          <t>In Progress</t>
        </is>
      </c>
    </row>
    <row r="10" ht="26" customHeight="1">
      <c r="B10" s="33" t="inlineStr">
        <is>
          <t>ADC/RES/005</t>
        </is>
      </c>
      <c r="C10" s="34" t="inlineStr"/>
      <c r="D10" s="34" t="inlineStr"/>
      <c r="E10" s="35" t="inlineStr"/>
      <c r="F10" s="35" t="inlineStr"/>
      <c r="G10" s="35" t="inlineStr"/>
      <c r="H10" s="34" t="inlineStr">
        <is>
          <t>In Progress</t>
        </is>
      </c>
    </row>
    <row r="11" ht="26" customHeight="1">
      <c r="B11" s="8" t="inlineStr">
        <is>
          <t>ADC/RES/006</t>
        </is>
      </c>
      <c r="C11" s="9" t="inlineStr"/>
      <c r="D11" s="9" t="inlineStr"/>
      <c r="E11" s="10" t="inlineStr"/>
      <c r="F11" s="10" t="inlineStr"/>
      <c r="G11" s="10" t="inlineStr"/>
      <c r="H11" s="9" t="inlineStr">
        <is>
          <t>In Progress</t>
        </is>
      </c>
    </row>
    <row r="12" ht="26" customHeight="1">
      <c r="B12" s="33" t="inlineStr">
        <is>
          <t>ADC/RES/007</t>
        </is>
      </c>
      <c r="C12" s="34" t="inlineStr"/>
      <c r="D12" s="34" t="inlineStr"/>
      <c r="E12" s="35" t="inlineStr"/>
      <c r="F12" s="35" t="inlineStr"/>
      <c r="G12" s="35" t="inlineStr"/>
      <c r="H12" s="34" t="inlineStr">
        <is>
          <t>In Progress</t>
        </is>
      </c>
    </row>
    <row r="13" ht="26" customHeight="1">
      <c r="B13" s="8" t="inlineStr">
        <is>
          <t>ADC/RES/008</t>
        </is>
      </c>
      <c r="C13" s="9" t="inlineStr"/>
      <c r="D13" s="9" t="inlineStr"/>
      <c r="E13" s="10" t="inlineStr"/>
      <c r="F13" s="10" t="inlineStr"/>
      <c r="G13" s="10" t="inlineStr"/>
      <c r="H13" s="9" t="inlineStr">
        <is>
          <t>In Progress</t>
        </is>
      </c>
    </row>
    <row r="14" ht="26" customHeight="1">
      <c r="B14" s="33" t="inlineStr">
        <is>
          <t>ADC/RES/009</t>
        </is>
      </c>
      <c r="C14" s="34" t="inlineStr"/>
      <c r="D14" s="34" t="inlineStr"/>
      <c r="E14" s="35" t="inlineStr"/>
      <c r="F14" s="35" t="inlineStr"/>
      <c r="G14" s="35" t="inlineStr"/>
      <c r="H14" s="34" t="inlineStr">
        <is>
          <t>In Progress</t>
        </is>
      </c>
    </row>
    <row r="15" ht="26" customHeight="1">
      <c r="B15" s="8" t="inlineStr">
        <is>
          <t>ADC/RES/010</t>
        </is>
      </c>
      <c r="C15" s="9" t="inlineStr"/>
      <c r="D15" s="9" t="inlineStr"/>
      <c r="E15" s="10" t="inlineStr"/>
      <c r="F15" s="10" t="inlineStr"/>
      <c r="G15" s="10" t="inlineStr"/>
      <c r="H15" s="9" t="inlineStr">
        <is>
          <t>In Progress</t>
        </is>
      </c>
    </row>
    <row r="16" ht="26" customHeight="1">
      <c r="B16" s="33" t="inlineStr">
        <is>
          <t>ADC/RES/011</t>
        </is>
      </c>
      <c r="C16" s="34" t="inlineStr"/>
      <c r="D16" s="34" t="inlineStr"/>
      <c r="E16" s="35" t="inlineStr"/>
      <c r="F16" s="35" t="inlineStr"/>
      <c r="G16" s="35" t="inlineStr"/>
      <c r="H16" s="34" t="inlineStr">
        <is>
          <t>In Progress</t>
        </is>
      </c>
    </row>
    <row r="17" ht="26" customHeight="1">
      <c r="B17" s="8" t="inlineStr">
        <is>
          <t>ADC/RES/012</t>
        </is>
      </c>
      <c r="C17" s="9" t="inlineStr"/>
      <c r="D17" s="9" t="inlineStr"/>
      <c r="E17" s="10" t="inlineStr"/>
      <c r="F17" s="10" t="inlineStr"/>
      <c r="G17" s="10" t="inlineStr"/>
      <c r="H17" s="9" t="inlineStr">
        <is>
          <t>In Progress</t>
        </is>
      </c>
    </row>
    <row r="18" ht="26" customHeight="1">
      <c r="B18" s="33" t="inlineStr">
        <is>
          <t>ADC/RES/013</t>
        </is>
      </c>
      <c r="C18" s="34" t="inlineStr"/>
      <c r="D18" s="34" t="inlineStr"/>
      <c r="E18" s="35" t="inlineStr"/>
      <c r="F18" s="35" t="inlineStr"/>
      <c r="G18" s="35" t="inlineStr"/>
      <c r="H18" s="34" t="inlineStr">
        <is>
          <t>In Progress</t>
        </is>
      </c>
    </row>
    <row r="19" ht="26" customHeight="1"/>
    <row r="20" ht="24" customHeight="1">
      <c r="B20" s="36" t="inlineStr">
        <is>
          <t>ATR SUMMARY</t>
        </is>
      </c>
    </row>
    <row r="21" ht="26" customHeight="1">
      <c r="B21" s="37" t="inlineStr">
        <is>
          <t>Total Resolutions Under Review</t>
        </is>
      </c>
      <c r="F21" s="38">
        <f>COUNTA(B6:B18)</f>
        <v/>
      </c>
    </row>
    <row r="22">
      <c r="B22" s="27" t="inlineStr">
        <is>
          <t>Implemented</t>
        </is>
      </c>
      <c r="F22" s="39">
        <f>COUNTIF(H6:H18,"Implemented")</f>
        <v/>
      </c>
    </row>
    <row r="23">
      <c r="B23" s="37" t="inlineStr">
        <is>
          <t>In Progress</t>
        </is>
      </c>
      <c r="F23" s="38">
        <f>COUNTIF(H6:H18,"In Progress")</f>
        <v/>
      </c>
    </row>
    <row r="24">
      <c r="B24" s="27" t="inlineStr">
        <is>
          <t>Pending</t>
        </is>
      </c>
      <c r="F24" s="39">
        <f>COUNTIF(H6:H18,"Pending")</f>
        <v/>
      </c>
    </row>
    <row r="25">
      <c r="B25" s="37" t="inlineStr">
        <is>
          <t>Deferred</t>
        </is>
      </c>
      <c r="F25" s="38">
        <f>COUNTIF(H6:H18,"Deferred")</f>
        <v/>
      </c>
    </row>
    <row r="26">
      <c r="B26" s="27" t="inlineStr">
        <is>
          <t>Implementation Rate (%)</t>
        </is>
      </c>
      <c r="F26" s="39">
        <f>IFERROR(ROUND(C22/C21*100,1),"")</f>
        <v/>
      </c>
    </row>
  </sheetData>
  <mergeCells count="16">
    <mergeCell ref="F23:H23"/>
    <mergeCell ref="B23:E23"/>
    <mergeCell ref="B26:E26"/>
    <mergeCell ref="F22:H22"/>
    <mergeCell ref="B4:H4"/>
    <mergeCell ref="B21:E21"/>
    <mergeCell ref="F26:H26"/>
    <mergeCell ref="B2:H2"/>
    <mergeCell ref="B25:E25"/>
    <mergeCell ref="B24:E24"/>
    <mergeCell ref="B3:H3"/>
    <mergeCell ref="F21:H21"/>
    <mergeCell ref="B20:H20"/>
    <mergeCell ref="B22:E22"/>
    <mergeCell ref="F24:H24"/>
    <mergeCell ref="F25:H2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2:K48"/>
  <sheetViews>
    <sheetView showGridLines="0" workbookViewId="0">
      <selection activeCell="A1" sqref="A1"/>
    </sheetView>
  </sheetViews>
  <sheetFormatPr baseColWidth="8" defaultRowHeight="15"/>
  <cols>
    <col width="3" customWidth="1" min="1" max="1"/>
    <col width="8" customWidth="1" min="2" max="2"/>
    <col width="2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4" customWidth="1" min="11" max="11"/>
    <col width="3" customWidth="1" min="12" max="12"/>
  </cols>
  <sheetData>
    <row r="1" ht="10" customHeight="1"/>
    <row r="2" ht="48" customHeight="1">
      <c r="B2" s="12" t="inlineStr">
        <is>
          <t>ADC-04: STUDENT ANTI-DRUG UNDERTAKING REGISTER</t>
        </is>
      </c>
    </row>
    <row r="3" ht="20" customHeight="1">
      <c r="B3" s="17" t="inlineStr">
        <is>
          <t>MANDATORY: Every student must submit a signed anti-drug undertaking at admission. The undertaking serves as informed consent to institutional anti-drug rules and acknowledgement of NDPS Act provisions.</t>
        </is>
      </c>
    </row>
    <row r="4" ht="25" customHeight="1">
      <c r="B4" s="21" t="inlineStr">
        <is>
          <t>Sl.</t>
        </is>
      </c>
      <c r="C4" s="21" t="inlineStr">
        <is>
          <t>Student Name</t>
        </is>
      </c>
      <c r="D4" s="21" t="inlineStr">
        <is>
          <t>Roll No. /
Adm. No.</t>
        </is>
      </c>
      <c r="E4" s="21" t="inlineStr">
        <is>
          <t>Programme
&amp; Year</t>
        </is>
      </c>
      <c r="F4" s="21" t="inlineStr">
        <is>
          <t>Dept.</t>
        </is>
      </c>
      <c r="G4" s="21" t="inlineStr">
        <is>
          <t>Category
(Day / Hosteller)</t>
        </is>
      </c>
      <c r="H4" s="21" t="inlineStr">
        <is>
          <t>Undertaking
Signed (Y/N)</t>
        </is>
      </c>
      <c r="I4" s="21" t="inlineStr">
        <is>
          <t>Parent
Undertaking
(Y/N)</t>
        </is>
      </c>
      <c r="J4" s="21" t="inlineStr">
        <is>
          <t>Date
Collected</t>
        </is>
      </c>
      <c r="K4" s="21" t="inlineStr">
        <is>
          <t>Status</t>
        </is>
      </c>
    </row>
    <row r="5" ht="22" customHeight="1">
      <c r="B5" s="14" t="n">
        <v>1</v>
      </c>
      <c r="C5" s="15" t="inlineStr"/>
      <c r="D5" s="16" t="inlineStr"/>
      <c r="E5" s="16" t="inlineStr"/>
      <c r="F5" s="16" t="inlineStr"/>
      <c r="G5" s="16" t="inlineStr">
        <is>
          <t>Day Scholar</t>
        </is>
      </c>
      <c r="H5" s="16" t="inlineStr">
        <is>
          <t>Y</t>
        </is>
      </c>
      <c r="I5" s="16" t="inlineStr">
        <is>
          <t>Y</t>
        </is>
      </c>
      <c r="J5" s="16" t="inlineStr"/>
      <c r="K5" s="16" t="inlineStr">
        <is>
          <t>Compliant</t>
        </is>
      </c>
    </row>
    <row r="6" ht="22" customHeight="1">
      <c r="B6" s="8" t="n">
        <v>2</v>
      </c>
      <c r="C6" s="9" t="inlineStr"/>
      <c r="D6" s="10" t="inlineStr"/>
      <c r="E6" s="10" t="inlineStr"/>
      <c r="F6" s="10" t="inlineStr"/>
      <c r="G6" s="10" t="inlineStr">
        <is>
          <t>Hosteller</t>
        </is>
      </c>
      <c r="H6" s="10" t="inlineStr">
        <is>
          <t>Y</t>
        </is>
      </c>
      <c r="I6" s="10" t="inlineStr">
        <is>
          <t>Y</t>
        </is>
      </c>
      <c r="J6" s="10" t="inlineStr"/>
      <c r="K6" s="10" t="inlineStr">
        <is>
          <t>Compliant</t>
        </is>
      </c>
    </row>
    <row r="7" ht="22" customHeight="1">
      <c r="B7" s="14" t="n">
        <v>3</v>
      </c>
      <c r="C7" s="15" t="inlineStr"/>
      <c r="D7" s="16" t="inlineStr"/>
      <c r="E7" s="16" t="inlineStr"/>
      <c r="F7" s="16" t="inlineStr"/>
      <c r="G7" s="16" t="inlineStr">
        <is>
          <t>Hosteller</t>
        </is>
      </c>
      <c r="H7" s="16" t="inlineStr">
        <is>
          <t>Y</t>
        </is>
      </c>
      <c r="I7" s="16" t="inlineStr">
        <is>
          <t>Y</t>
        </is>
      </c>
      <c r="J7" s="16" t="inlineStr"/>
      <c r="K7" s="16" t="inlineStr">
        <is>
          <t>Compliant</t>
        </is>
      </c>
    </row>
    <row r="8" ht="22" customHeight="1">
      <c r="B8" s="8" t="n">
        <v>4</v>
      </c>
      <c r="C8" s="9" t="inlineStr"/>
      <c r="D8" s="10" t="inlineStr"/>
      <c r="E8" s="10" t="inlineStr"/>
      <c r="F8" s="10" t="inlineStr"/>
      <c r="G8" s="10" t="inlineStr">
        <is>
          <t>Day Scholar</t>
        </is>
      </c>
      <c r="H8" s="10" t="inlineStr">
        <is>
          <t>Y</t>
        </is>
      </c>
      <c r="I8" s="10" t="inlineStr">
        <is>
          <t>Y</t>
        </is>
      </c>
      <c r="J8" s="10" t="inlineStr"/>
      <c r="K8" s="10" t="inlineStr">
        <is>
          <t>Compliant</t>
        </is>
      </c>
    </row>
    <row r="9" ht="22" customHeight="1">
      <c r="B9" s="14" t="n">
        <v>5</v>
      </c>
      <c r="C9" s="15" t="inlineStr"/>
      <c r="D9" s="16" t="inlineStr"/>
      <c r="E9" s="16" t="inlineStr"/>
      <c r="F9" s="16" t="inlineStr"/>
      <c r="G9" s="16" t="inlineStr">
        <is>
          <t>Hosteller</t>
        </is>
      </c>
      <c r="H9" s="16" t="inlineStr">
        <is>
          <t>Y</t>
        </is>
      </c>
      <c r="I9" s="16" t="inlineStr">
        <is>
          <t>Y</t>
        </is>
      </c>
      <c r="J9" s="16" t="inlineStr"/>
      <c r="K9" s="16" t="inlineStr">
        <is>
          <t>Compliant</t>
        </is>
      </c>
    </row>
    <row r="10" ht="22" customHeight="1">
      <c r="B10" s="8" t="n">
        <v>6</v>
      </c>
      <c r="C10" s="9" t="inlineStr"/>
      <c r="D10" s="10" t="inlineStr"/>
      <c r="E10" s="10" t="inlineStr"/>
      <c r="F10" s="10" t="inlineStr"/>
      <c r="G10" s="10" t="inlineStr">
        <is>
          <t>Hosteller</t>
        </is>
      </c>
      <c r="H10" s="10" t="inlineStr">
        <is>
          <t>Y</t>
        </is>
      </c>
      <c r="I10" s="10" t="inlineStr">
        <is>
          <t>Y</t>
        </is>
      </c>
      <c r="J10" s="10" t="inlineStr"/>
      <c r="K10" s="10" t="inlineStr">
        <is>
          <t>Compliant</t>
        </is>
      </c>
    </row>
    <row r="11" ht="22" customHeight="1">
      <c r="B11" s="14" t="n">
        <v>7</v>
      </c>
      <c r="C11" s="15" t="inlineStr"/>
      <c r="D11" s="16" t="inlineStr"/>
      <c r="E11" s="16" t="inlineStr"/>
      <c r="F11" s="16" t="inlineStr"/>
      <c r="G11" s="16" t="inlineStr">
        <is>
          <t>Day Scholar</t>
        </is>
      </c>
      <c r="H11" s="16" t="inlineStr">
        <is>
          <t>Y</t>
        </is>
      </c>
      <c r="I11" s="16" t="inlineStr">
        <is>
          <t>Y</t>
        </is>
      </c>
      <c r="J11" s="16" t="inlineStr"/>
      <c r="K11" s="16" t="inlineStr">
        <is>
          <t>Compliant</t>
        </is>
      </c>
    </row>
    <row r="12" ht="22" customHeight="1">
      <c r="B12" s="8" t="n">
        <v>8</v>
      </c>
      <c r="C12" s="9" t="inlineStr"/>
      <c r="D12" s="10" t="inlineStr"/>
      <c r="E12" s="10" t="inlineStr"/>
      <c r="F12" s="10" t="inlineStr"/>
      <c r="G12" s="10" t="inlineStr">
        <is>
          <t>Hosteller</t>
        </is>
      </c>
      <c r="H12" s="10" t="inlineStr">
        <is>
          <t>Y</t>
        </is>
      </c>
      <c r="I12" s="10" t="inlineStr">
        <is>
          <t>Y</t>
        </is>
      </c>
      <c r="J12" s="10" t="inlineStr"/>
      <c r="K12" s="10" t="inlineStr">
        <is>
          <t>Compliant</t>
        </is>
      </c>
    </row>
    <row r="13" ht="22" customHeight="1">
      <c r="B13" s="14" t="n">
        <v>9</v>
      </c>
      <c r="C13" s="15" t="inlineStr"/>
      <c r="D13" s="16" t="inlineStr"/>
      <c r="E13" s="16" t="inlineStr"/>
      <c r="F13" s="16" t="inlineStr"/>
      <c r="G13" s="16" t="inlineStr">
        <is>
          <t>Hosteller</t>
        </is>
      </c>
      <c r="H13" s="16" t="inlineStr">
        <is>
          <t>Y</t>
        </is>
      </c>
      <c r="I13" s="16" t="inlineStr">
        <is>
          <t>Y</t>
        </is>
      </c>
      <c r="J13" s="16" t="inlineStr"/>
      <c r="K13" s="16" t="inlineStr">
        <is>
          <t>Compliant</t>
        </is>
      </c>
    </row>
    <row r="14" ht="22" customHeight="1">
      <c r="B14" s="8" t="n">
        <v>10</v>
      </c>
      <c r="C14" s="9" t="inlineStr"/>
      <c r="D14" s="10" t="inlineStr"/>
      <c r="E14" s="10" t="inlineStr"/>
      <c r="F14" s="10" t="inlineStr"/>
      <c r="G14" s="10" t="inlineStr">
        <is>
          <t>Day Scholar</t>
        </is>
      </c>
      <c r="H14" s="10" t="inlineStr">
        <is>
          <t>Y</t>
        </is>
      </c>
      <c r="I14" s="10" t="inlineStr">
        <is>
          <t>Y</t>
        </is>
      </c>
      <c r="J14" s="10" t="inlineStr"/>
      <c r="K14" s="10" t="inlineStr">
        <is>
          <t>Compliant</t>
        </is>
      </c>
    </row>
    <row r="15" ht="22" customHeight="1">
      <c r="B15" s="14" t="n">
        <v>11</v>
      </c>
      <c r="C15" s="15" t="inlineStr"/>
      <c r="D15" s="16" t="inlineStr"/>
      <c r="E15" s="16" t="inlineStr"/>
      <c r="F15" s="16" t="inlineStr"/>
      <c r="G15" s="16" t="inlineStr">
        <is>
          <t>Hosteller</t>
        </is>
      </c>
      <c r="H15" s="16" t="inlineStr">
        <is>
          <t>Y</t>
        </is>
      </c>
      <c r="I15" s="16" t="inlineStr">
        <is>
          <t>Y</t>
        </is>
      </c>
      <c r="J15" s="16" t="inlineStr"/>
      <c r="K15" s="16" t="inlineStr">
        <is>
          <t>Compliant</t>
        </is>
      </c>
    </row>
    <row r="16" ht="22" customHeight="1">
      <c r="B16" s="8" t="n">
        <v>12</v>
      </c>
      <c r="C16" s="9" t="inlineStr"/>
      <c r="D16" s="10" t="inlineStr"/>
      <c r="E16" s="10" t="inlineStr"/>
      <c r="F16" s="10" t="inlineStr"/>
      <c r="G16" s="10" t="inlineStr">
        <is>
          <t>Hosteller</t>
        </is>
      </c>
      <c r="H16" s="10" t="inlineStr">
        <is>
          <t>Y</t>
        </is>
      </c>
      <c r="I16" s="10" t="inlineStr">
        <is>
          <t>Y</t>
        </is>
      </c>
      <c r="J16" s="10" t="inlineStr"/>
      <c r="K16" s="10" t="inlineStr">
        <is>
          <t>Compliant</t>
        </is>
      </c>
    </row>
    <row r="17" ht="22" customHeight="1">
      <c r="B17" s="14" t="n">
        <v>13</v>
      </c>
      <c r="C17" s="15" t="inlineStr"/>
      <c r="D17" s="16" t="inlineStr"/>
      <c r="E17" s="16" t="inlineStr"/>
      <c r="F17" s="16" t="inlineStr"/>
      <c r="G17" s="16" t="inlineStr">
        <is>
          <t>Day Scholar</t>
        </is>
      </c>
      <c r="H17" s="16" t="inlineStr">
        <is>
          <t>Y</t>
        </is>
      </c>
      <c r="I17" s="16" t="inlineStr">
        <is>
          <t>Y</t>
        </is>
      </c>
      <c r="J17" s="16" t="inlineStr"/>
      <c r="K17" s="16" t="inlineStr">
        <is>
          <t>Compliant</t>
        </is>
      </c>
    </row>
    <row r="18" ht="22" customHeight="1">
      <c r="B18" s="8" t="n">
        <v>14</v>
      </c>
      <c r="C18" s="9" t="inlineStr"/>
      <c r="D18" s="10" t="inlineStr"/>
      <c r="E18" s="10" t="inlineStr"/>
      <c r="F18" s="10" t="inlineStr"/>
      <c r="G18" s="10" t="inlineStr">
        <is>
          <t>Hosteller</t>
        </is>
      </c>
      <c r="H18" s="10" t="inlineStr">
        <is>
          <t>Y</t>
        </is>
      </c>
      <c r="I18" s="10" t="inlineStr">
        <is>
          <t>Y</t>
        </is>
      </c>
      <c r="J18" s="10" t="inlineStr"/>
      <c r="K18" s="10" t="inlineStr">
        <is>
          <t>Compliant</t>
        </is>
      </c>
    </row>
    <row r="19" ht="22" customHeight="1">
      <c r="B19" s="14" t="n">
        <v>15</v>
      </c>
      <c r="C19" s="15" t="inlineStr"/>
      <c r="D19" s="16" t="inlineStr"/>
      <c r="E19" s="16" t="inlineStr"/>
      <c r="F19" s="16" t="inlineStr"/>
      <c r="G19" s="16" t="inlineStr">
        <is>
          <t>Hosteller</t>
        </is>
      </c>
      <c r="H19" s="16" t="inlineStr">
        <is>
          <t>Y</t>
        </is>
      </c>
      <c r="I19" s="16" t="inlineStr">
        <is>
          <t>Y</t>
        </is>
      </c>
      <c r="J19" s="16" t="inlineStr"/>
      <c r="K19" s="16" t="inlineStr">
        <is>
          <t>Compliant</t>
        </is>
      </c>
    </row>
    <row r="20" ht="22" customHeight="1">
      <c r="B20" s="8" t="n">
        <v>16</v>
      </c>
      <c r="C20" s="9" t="inlineStr"/>
      <c r="D20" s="10" t="inlineStr"/>
      <c r="E20" s="10" t="inlineStr"/>
      <c r="F20" s="10" t="inlineStr"/>
      <c r="G20" s="10" t="inlineStr">
        <is>
          <t>Day Scholar</t>
        </is>
      </c>
      <c r="H20" s="10" t="inlineStr">
        <is>
          <t>Y</t>
        </is>
      </c>
      <c r="I20" s="10" t="inlineStr">
        <is>
          <t>Y</t>
        </is>
      </c>
      <c r="J20" s="10" t="inlineStr"/>
      <c r="K20" s="10" t="inlineStr">
        <is>
          <t>Compliant</t>
        </is>
      </c>
    </row>
    <row r="21" ht="22" customHeight="1">
      <c r="B21" s="14" t="n">
        <v>17</v>
      </c>
      <c r="C21" s="15" t="inlineStr"/>
      <c r="D21" s="16" t="inlineStr"/>
      <c r="E21" s="16" t="inlineStr"/>
      <c r="F21" s="16" t="inlineStr"/>
      <c r="G21" s="16" t="inlineStr">
        <is>
          <t>Hosteller</t>
        </is>
      </c>
      <c r="H21" s="16" t="inlineStr">
        <is>
          <t>Y</t>
        </is>
      </c>
      <c r="I21" s="16" t="inlineStr">
        <is>
          <t>Y</t>
        </is>
      </c>
      <c r="J21" s="16" t="inlineStr"/>
      <c r="K21" s="16" t="inlineStr">
        <is>
          <t>Compliant</t>
        </is>
      </c>
    </row>
    <row r="22" ht="22" customHeight="1">
      <c r="B22" s="8" t="n">
        <v>18</v>
      </c>
      <c r="C22" s="9" t="inlineStr"/>
      <c r="D22" s="10" t="inlineStr"/>
      <c r="E22" s="10" t="inlineStr"/>
      <c r="F22" s="10" t="inlineStr"/>
      <c r="G22" s="10" t="inlineStr">
        <is>
          <t>Hosteller</t>
        </is>
      </c>
      <c r="H22" s="10" t="inlineStr">
        <is>
          <t>Y</t>
        </is>
      </c>
      <c r="I22" s="10" t="inlineStr">
        <is>
          <t>Y</t>
        </is>
      </c>
      <c r="J22" s="10" t="inlineStr"/>
      <c r="K22" s="10" t="inlineStr">
        <is>
          <t>Compliant</t>
        </is>
      </c>
    </row>
    <row r="23" ht="22" customHeight="1">
      <c r="B23" s="14" t="n">
        <v>19</v>
      </c>
      <c r="C23" s="15" t="inlineStr"/>
      <c r="D23" s="16" t="inlineStr"/>
      <c r="E23" s="16" t="inlineStr"/>
      <c r="F23" s="16" t="inlineStr"/>
      <c r="G23" s="16" t="inlineStr">
        <is>
          <t>Day Scholar</t>
        </is>
      </c>
      <c r="H23" s="16" t="inlineStr">
        <is>
          <t>Y</t>
        </is>
      </c>
      <c r="I23" s="16" t="inlineStr">
        <is>
          <t>Y</t>
        </is>
      </c>
      <c r="J23" s="16" t="inlineStr"/>
      <c r="K23" s="16" t="inlineStr">
        <is>
          <t>Compliant</t>
        </is>
      </c>
    </row>
    <row r="24" ht="22" customHeight="1">
      <c r="B24" s="8" t="n">
        <v>20</v>
      </c>
      <c r="C24" s="9" t="inlineStr"/>
      <c r="D24" s="10" t="inlineStr"/>
      <c r="E24" s="10" t="inlineStr"/>
      <c r="F24" s="10" t="inlineStr"/>
      <c r="G24" s="10" t="inlineStr">
        <is>
          <t>Hosteller</t>
        </is>
      </c>
      <c r="H24" s="10" t="inlineStr">
        <is>
          <t>Y</t>
        </is>
      </c>
      <c r="I24" s="10" t="inlineStr">
        <is>
          <t>Y</t>
        </is>
      </c>
      <c r="J24" s="10" t="inlineStr"/>
      <c r="K24" s="10" t="inlineStr">
        <is>
          <t>Compliant</t>
        </is>
      </c>
    </row>
    <row r="25" ht="22" customHeight="1">
      <c r="B25" s="14" t="n">
        <v>21</v>
      </c>
      <c r="C25" s="15" t="inlineStr"/>
      <c r="D25" s="16" t="inlineStr"/>
      <c r="E25" s="16" t="inlineStr"/>
      <c r="F25" s="16" t="inlineStr"/>
      <c r="G25" s="16" t="inlineStr">
        <is>
          <t>Hosteller</t>
        </is>
      </c>
      <c r="H25" s="16" t="inlineStr">
        <is>
          <t>Y</t>
        </is>
      </c>
      <c r="I25" s="16" t="inlineStr">
        <is>
          <t>Y</t>
        </is>
      </c>
      <c r="J25" s="16" t="inlineStr"/>
      <c r="K25" s="16" t="inlineStr">
        <is>
          <t>Compliant</t>
        </is>
      </c>
    </row>
    <row r="26" ht="22" customHeight="1">
      <c r="B26" s="8" t="n">
        <v>22</v>
      </c>
      <c r="C26" s="9" t="inlineStr"/>
      <c r="D26" s="10" t="inlineStr"/>
      <c r="E26" s="10" t="inlineStr"/>
      <c r="F26" s="10" t="inlineStr"/>
      <c r="G26" s="10" t="inlineStr">
        <is>
          <t>Day Scholar</t>
        </is>
      </c>
      <c r="H26" s="10" t="inlineStr">
        <is>
          <t>Y</t>
        </is>
      </c>
      <c r="I26" s="10" t="inlineStr">
        <is>
          <t>Y</t>
        </is>
      </c>
      <c r="J26" s="10" t="inlineStr"/>
      <c r="K26" s="10" t="inlineStr">
        <is>
          <t>Compliant</t>
        </is>
      </c>
    </row>
    <row r="27" ht="22" customHeight="1">
      <c r="B27" s="14" t="n">
        <v>23</v>
      </c>
      <c r="C27" s="15" t="inlineStr"/>
      <c r="D27" s="16" t="inlineStr"/>
      <c r="E27" s="16" t="inlineStr"/>
      <c r="F27" s="16" t="inlineStr"/>
      <c r="G27" s="16" t="inlineStr">
        <is>
          <t>Hosteller</t>
        </is>
      </c>
      <c r="H27" s="16" t="inlineStr">
        <is>
          <t>Y</t>
        </is>
      </c>
      <c r="I27" s="16" t="inlineStr">
        <is>
          <t>Y</t>
        </is>
      </c>
      <c r="J27" s="16" t="inlineStr"/>
      <c r="K27" s="16" t="inlineStr">
        <is>
          <t>Compliant</t>
        </is>
      </c>
    </row>
    <row r="28" ht="22" customHeight="1">
      <c r="B28" s="8" t="n">
        <v>24</v>
      </c>
      <c r="C28" s="9" t="inlineStr"/>
      <c r="D28" s="10" t="inlineStr"/>
      <c r="E28" s="10" t="inlineStr"/>
      <c r="F28" s="10" t="inlineStr"/>
      <c r="G28" s="10" t="inlineStr">
        <is>
          <t>Hosteller</t>
        </is>
      </c>
      <c r="H28" s="10" t="inlineStr">
        <is>
          <t>Y</t>
        </is>
      </c>
      <c r="I28" s="10" t="inlineStr">
        <is>
          <t>Y</t>
        </is>
      </c>
      <c r="J28" s="10" t="inlineStr"/>
      <c r="K28" s="10" t="inlineStr">
        <is>
          <t>Compliant</t>
        </is>
      </c>
    </row>
    <row r="29" ht="22" customHeight="1">
      <c r="B29" s="14" t="n">
        <v>25</v>
      </c>
      <c r="C29" s="15" t="inlineStr"/>
      <c r="D29" s="16" t="inlineStr"/>
      <c r="E29" s="16" t="inlineStr"/>
      <c r="F29" s="16" t="inlineStr"/>
      <c r="G29" s="16" t="inlineStr">
        <is>
          <t>Day Scholar</t>
        </is>
      </c>
      <c r="H29" s="16" t="inlineStr">
        <is>
          <t>Y</t>
        </is>
      </c>
      <c r="I29" s="16" t="inlineStr">
        <is>
          <t>Y</t>
        </is>
      </c>
      <c r="J29" s="16" t="inlineStr"/>
      <c r="K29" s="16" t="inlineStr">
        <is>
          <t>Compliant</t>
        </is>
      </c>
    </row>
    <row r="30" ht="22" customHeight="1">
      <c r="B30" s="8" t="n">
        <v>26</v>
      </c>
      <c r="C30" s="9" t="inlineStr"/>
      <c r="D30" s="10" t="inlineStr"/>
      <c r="E30" s="10" t="inlineStr"/>
      <c r="F30" s="10" t="inlineStr"/>
      <c r="G30" s="10" t="inlineStr">
        <is>
          <t>Hosteller</t>
        </is>
      </c>
      <c r="H30" s="10" t="inlineStr">
        <is>
          <t>Y</t>
        </is>
      </c>
      <c r="I30" s="10" t="inlineStr">
        <is>
          <t>Y</t>
        </is>
      </c>
      <c r="J30" s="10" t="inlineStr"/>
      <c r="K30" s="10" t="inlineStr">
        <is>
          <t>Compliant</t>
        </is>
      </c>
    </row>
    <row r="31" ht="22" customHeight="1">
      <c r="B31" s="14" t="n">
        <v>27</v>
      </c>
      <c r="C31" s="15" t="inlineStr"/>
      <c r="D31" s="16" t="inlineStr"/>
      <c r="E31" s="16" t="inlineStr"/>
      <c r="F31" s="16" t="inlineStr"/>
      <c r="G31" s="16" t="inlineStr">
        <is>
          <t>Hosteller</t>
        </is>
      </c>
      <c r="H31" s="16" t="inlineStr">
        <is>
          <t>Y</t>
        </is>
      </c>
      <c r="I31" s="16" t="inlineStr">
        <is>
          <t>Y</t>
        </is>
      </c>
      <c r="J31" s="16" t="inlineStr"/>
      <c r="K31" s="16" t="inlineStr">
        <is>
          <t>Compliant</t>
        </is>
      </c>
    </row>
    <row r="32" ht="22" customHeight="1">
      <c r="B32" s="8" t="n">
        <v>28</v>
      </c>
      <c r="C32" s="9" t="inlineStr"/>
      <c r="D32" s="10" t="inlineStr"/>
      <c r="E32" s="10" t="inlineStr"/>
      <c r="F32" s="10" t="inlineStr"/>
      <c r="G32" s="10" t="inlineStr">
        <is>
          <t>Day Scholar</t>
        </is>
      </c>
      <c r="H32" s="10" t="inlineStr">
        <is>
          <t>Y</t>
        </is>
      </c>
      <c r="I32" s="10" t="inlineStr">
        <is>
          <t>Y</t>
        </is>
      </c>
      <c r="J32" s="10" t="inlineStr"/>
      <c r="K32" s="10" t="inlineStr">
        <is>
          <t>Compliant</t>
        </is>
      </c>
    </row>
    <row r="33" ht="22" customHeight="1">
      <c r="B33" s="14" t="n">
        <v>29</v>
      </c>
      <c r="C33" s="15" t="inlineStr"/>
      <c r="D33" s="16" t="inlineStr"/>
      <c r="E33" s="16" t="inlineStr"/>
      <c r="F33" s="16" t="inlineStr"/>
      <c r="G33" s="16" t="inlineStr">
        <is>
          <t>Hosteller</t>
        </is>
      </c>
      <c r="H33" s="16" t="inlineStr">
        <is>
          <t>Y</t>
        </is>
      </c>
      <c r="I33" s="16" t="inlineStr">
        <is>
          <t>Y</t>
        </is>
      </c>
      <c r="J33" s="16" t="inlineStr"/>
      <c r="K33" s="16" t="inlineStr">
        <is>
          <t>Compliant</t>
        </is>
      </c>
    </row>
    <row r="34" ht="22" customHeight="1">
      <c r="B34" s="8" t="n">
        <v>30</v>
      </c>
      <c r="C34" s="9" t="inlineStr"/>
      <c r="D34" s="10" t="inlineStr"/>
      <c r="E34" s="10" t="inlineStr"/>
      <c r="F34" s="10" t="inlineStr"/>
      <c r="G34" s="10" t="inlineStr">
        <is>
          <t>Hosteller</t>
        </is>
      </c>
      <c r="H34" s="10" t="inlineStr">
        <is>
          <t>Y</t>
        </is>
      </c>
      <c r="I34" s="10" t="inlineStr">
        <is>
          <t>Y</t>
        </is>
      </c>
      <c r="J34" s="10" t="inlineStr"/>
      <c r="K34" s="10" t="inlineStr">
        <is>
          <t>Compliant</t>
        </is>
      </c>
    </row>
    <row r="35" ht="22" customHeight="1">
      <c r="B35" s="14" t="n">
        <v>31</v>
      </c>
      <c r="C35" s="15" t="inlineStr"/>
      <c r="D35" s="16" t="inlineStr"/>
      <c r="E35" s="16" t="inlineStr"/>
      <c r="F35" s="16" t="inlineStr"/>
      <c r="G35" s="16" t="inlineStr">
        <is>
          <t>Day Scholar</t>
        </is>
      </c>
      <c r="H35" s="16" t="inlineStr">
        <is>
          <t>Y</t>
        </is>
      </c>
      <c r="I35" s="16" t="inlineStr">
        <is>
          <t>Y</t>
        </is>
      </c>
      <c r="J35" s="16" t="inlineStr"/>
      <c r="K35" s="16" t="inlineStr">
        <is>
          <t>Compliant</t>
        </is>
      </c>
    </row>
    <row r="36" ht="22" customHeight="1">
      <c r="B36" s="8" t="n">
        <v>32</v>
      </c>
      <c r="C36" s="9" t="inlineStr"/>
      <c r="D36" s="10" t="inlineStr"/>
      <c r="E36" s="10" t="inlineStr"/>
      <c r="F36" s="10" t="inlineStr"/>
      <c r="G36" s="10" t="inlineStr">
        <is>
          <t>Hosteller</t>
        </is>
      </c>
      <c r="H36" s="10" t="inlineStr">
        <is>
          <t>Y</t>
        </is>
      </c>
      <c r="I36" s="10" t="inlineStr">
        <is>
          <t>Y</t>
        </is>
      </c>
      <c r="J36" s="10" t="inlineStr"/>
      <c r="K36" s="10" t="inlineStr">
        <is>
          <t>Compliant</t>
        </is>
      </c>
    </row>
    <row r="37" ht="22" customHeight="1">
      <c r="B37" s="14" t="n">
        <v>33</v>
      </c>
      <c r="C37" s="15" t="inlineStr"/>
      <c r="D37" s="16" t="inlineStr"/>
      <c r="E37" s="16" t="inlineStr"/>
      <c r="F37" s="16" t="inlineStr"/>
      <c r="G37" s="16" t="inlineStr">
        <is>
          <t>Hosteller</t>
        </is>
      </c>
      <c r="H37" s="16" t="inlineStr">
        <is>
          <t>Y</t>
        </is>
      </c>
      <c r="I37" s="16" t="inlineStr">
        <is>
          <t>Y</t>
        </is>
      </c>
      <c r="J37" s="16" t="inlineStr"/>
      <c r="K37" s="16" t="inlineStr">
        <is>
          <t>Compliant</t>
        </is>
      </c>
    </row>
    <row r="38" ht="22" customHeight="1">
      <c r="B38" s="8" t="n">
        <v>34</v>
      </c>
      <c r="C38" s="9" t="inlineStr"/>
      <c r="D38" s="10" t="inlineStr"/>
      <c r="E38" s="10" t="inlineStr"/>
      <c r="F38" s="10" t="inlineStr"/>
      <c r="G38" s="10" t="inlineStr">
        <is>
          <t>Day Scholar</t>
        </is>
      </c>
      <c r="H38" s="10" t="inlineStr">
        <is>
          <t>Y</t>
        </is>
      </c>
      <c r="I38" s="10" t="inlineStr">
        <is>
          <t>Y</t>
        </is>
      </c>
      <c r="J38" s="10" t="inlineStr"/>
      <c r="K38" s="10" t="inlineStr">
        <is>
          <t>Compliant</t>
        </is>
      </c>
    </row>
    <row r="39" ht="22" customHeight="1">
      <c r="B39" s="14" t="n">
        <v>35</v>
      </c>
      <c r="C39" s="15" t="inlineStr"/>
      <c r="D39" s="16" t="inlineStr"/>
      <c r="E39" s="16" t="inlineStr"/>
      <c r="F39" s="16" t="inlineStr"/>
      <c r="G39" s="16" t="inlineStr">
        <is>
          <t>Hosteller</t>
        </is>
      </c>
      <c r="H39" s="16" t="inlineStr">
        <is>
          <t>Y</t>
        </is>
      </c>
      <c r="I39" s="16" t="inlineStr">
        <is>
          <t>Y</t>
        </is>
      </c>
      <c r="J39" s="16" t="inlineStr"/>
      <c r="K39" s="16" t="inlineStr">
        <is>
          <t>Compliant</t>
        </is>
      </c>
    </row>
    <row r="40" ht="22" customHeight="1">
      <c r="B40" s="8" t="n">
        <v>36</v>
      </c>
      <c r="C40" s="9" t="inlineStr"/>
      <c r="D40" s="10" t="inlineStr"/>
      <c r="E40" s="10" t="inlineStr"/>
      <c r="F40" s="10" t="inlineStr"/>
      <c r="G40" s="10" t="inlineStr">
        <is>
          <t>Hosteller</t>
        </is>
      </c>
      <c r="H40" s="10" t="inlineStr">
        <is>
          <t>Y</t>
        </is>
      </c>
      <c r="I40" s="10" t="inlineStr">
        <is>
          <t>Y</t>
        </is>
      </c>
      <c r="J40" s="10" t="inlineStr"/>
      <c r="K40" s="10" t="inlineStr">
        <is>
          <t>Compliant</t>
        </is>
      </c>
    </row>
    <row r="41" ht="22" customHeight="1"/>
    <row r="42" ht="24" customHeight="1">
      <c r="B42" s="36" t="inlineStr">
        <is>
          <t>UNDERTAKING COMPLIANCE SUMMARY</t>
        </is>
      </c>
    </row>
    <row r="43">
      <c r="B43" s="40" t="inlineStr">
        <is>
          <t>Total Students in Institution</t>
        </is>
      </c>
      <c r="F43" s="38">
        <f>COUNTA(B5:B40)</f>
        <v/>
      </c>
    </row>
    <row r="44">
      <c r="B44" s="27" t="inlineStr">
        <is>
          <t>Student Undertakings Collected</t>
        </is>
      </c>
      <c r="F44" s="39">
        <f>COUNTIF(H5:H40,"Y")</f>
        <v/>
      </c>
    </row>
    <row r="45">
      <c r="B45" s="40" t="inlineStr">
        <is>
          <t>Parent Undertakings Collected</t>
        </is>
      </c>
      <c r="F45" s="38">
        <f>COUNTIF(I5:I40,"Y")</f>
        <v/>
      </c>
    </row>
    <row r="46">
      <c r="B46" s="27" t="inlineStr">
        <is>
          <t>Both Compliant</t>
        </is>
      </c>
      <c r="F46" s="39">
        <f>COUNTIF(K5:K40,"Compliant")</f>
        <v/>
      </c>
    </row>
    <row r="47">
      <c r="B47" s="40" t="inlineStr">
        <is>
          <t>Pending — Student Undertaking</t>
        </is>
      </c>
      <c r="F47" s="38">
        <f>COUNTIF(H5:H40,"N")</f>
        <v/>
      </c>
    </row>
    <row r="48">
      <c r="B48" s="27" t="inlineStr">
        <is>
          <t>Compliance Rate (%)</t>
        </is>
      </c>
      <c r="F48" s="39">
        <f>IFERROR(ROUND(C47/C43*100,1),"")</f>
        <v/>
      </c>
    </row>
  </sheetData>
  <mergeCells count="15">
    <mergeCell ref="B45:E45"/>
    <mergeCell ref="F47:K47"/>
    <mergeCell ref="B46:E46"/>
    <mergeCell ref="F46:K46"/>
    <mergeCell ref="B43:E43"/>
    <mergeCell ref="B44:E44"/>
    <mergeCell ref="F45:K45"/>
    <mergeCell ref="B48:E48"/>
    <mergeCell ref="B47:E47"/>
    <mergeCell ref="F43:K43"/>
    <mergeCell ref="B2:K2"/>
    <mergeCell ref="B42:K42"/>
    <mergeCell ref="F48:K48"/>
    <mergeCell ref="B3:K3"/>
    <mergeCell ref="F44:K4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J27"/>
  <sheetViews>
    <sheetView showGridLines="0" workbookViewId="0">
      <selection activeCell="A1" sqref="A1"/>
    </sheetView>
  </sheetViews>
  <sheetFormatPr baseColWidth="8" defaultRowHeight="15"/>
  <cols>
    <col width="3" customWidth="1" min="1" max="1"/>
    <col width="8" customWidth="1" min="2" max="2"/>
    <col width="28" customWidth="1" min="3" max="3"/>
    <col width="14" customWidth="1" min="4" max="4"/>
    <col width="12" customWidth="1" min="5" max="5"/>
    <col width="14" customWidth="1" min="6" max="6"/>
    <col width="12" customWidth="1" min="7" max="7"/>
    <col width="12" customWidth="1" min="8" max="8"/>
    <col width="12" customWidth="1" min="9" max="9"/>
    <col width="14" customWidth="1" min="10" max="10"/>
    <col width="3" customWidth="1" min="11" max="11"/>
  </cols>
  <sheetData>
    <row r="1" ht="10" customHeight="1"/>
    <row r="2" ht="48" customHeight="1">
      <c r="B2" s="12" t="inlineStr">
        <is>
          <t>ADC-08: ANTI-DRUG AWARENESS PROGRAMME REGISTER</t>
        </is>
      </c>
    </row>
    <row r="3" ht="25" customHeight="1">
      <c r="B3" s="2" t="inlineStr">
        <is>
          <t>A.Y.: _______  ADC Coordinator: ___________________  NAAC Ref.: Criterion V.3 / Student Welfare</t>
        </is>
      </c>
    </row>
    <row r="4" ht="25" customHeight="1">
      <c r="B4" s="21" t="inlineStr">
        <is>
          <t>Sl.</t>
        </is>
      </c>
      <c r="C4" s="21" t="inlineStr">
        <is>
          <t>Programme Title</t>
        </is>
      </c>
      <c r="D4" s="21" t="inlineStr">
        <is>
          <t>Type / Theme</t>
        </is>
      </c>
      <c r="E4" s="21" t="inlineStr">
        <is>
          <t>Date</t>
        </is>
      </c>
      <c r="F4" s="21" t="inlineStr">
        <is>
          <t>Target Audience</t>
        </is>
      </c>
      <c r="G4" s="21" t="inlineStr">
        <is>
          <t>Mode</t>
        </is>
      </c>
      <c r="H4" s="21" t="inlineStr">
        <is>
          <t>Students
Reached</t>
        </is>
      </c>
      <c r="I4" s="21" t="inlineStr">
        <is>
          <t>Resource
Person</t>
        </is>
      </c>
      <c r="J4" s="21" t="inlineStr">
        <is>
          <t>Feedback
Score (/5)</t>
        </is>
      </c>
    </row>
    <row r="5" ht="22" customHeight="1">
      <c r="B5" s="14" t="n">
        <v>1</v>
      </c>
      <c r="C5" s="15" t="inlineStr">
        <is>
          <t>Student Orientation — Anti-Drug Pledge &amp; Policy</t>
        </is>
      </c>
      <c r="D5" s="16" t="inlineStr">
        <is>
          <t>Zero-Tolerance Policy</t>
        </is>
      </c>
      <c r="E5" s="16" t="inlineStr">
        <is>
          <t>July</t>
        </is>
      </c>
      <c r="F5" s="15" t="inlineStr">
        <is>
          <t>All New Students — Mandatory</t>
        </is>
      </c>
      <c r="G5" s="16" t="inlineStr">
        <is>
          <t>Physical</t>
        </is>
      </c>
      <c r="H5" s="16" t="inlineStr"/>
      <c r="I5" s="15" t="inlineStr"/>
      <c r="J5" s="16" t="inlineStr"/>
    </row>
    <row r="6" ht="22" customHeight="1">
      <c r="B6" s="8" t="n">
        <v>2</v>
      </c>
      <c r="C6" s="9" t="inlineStr">
        <is>
          <t>What Are Drugs? — Types, Effects &amp; Legal Consequences</t>
        </is>
      </c>
      <c r="D6" s="10" t="inlineStr">
        <is>
          <t>Drug Education</t>
        </is>
      </c>
      <c r="E6" s="10" t="inlineStr">
        <is>
          <t>July</t>
        </is>
      </c>
      <c r="F6" s="9" t="inlineStr">
        <is>
          <t>All Students</t>
        </is>
      </c>
      <c r="G6" s="10" t="inlineStr">
        <is>
          <t>Physical</t>
        </is>
      </c>
      <c r="H6" s="10" t="inlineStr"/>
      <c r="I6" s="9" t="inlineStr"/>
      <c r="J6" s="10" t="inlineStr"/>
    </row>
    <row r="7" ht="22" customHeight="1">
      <c r="B7" s="14" t="n">
        <v>3</v>
      </c>
      <c r="C7" s="15" t="inlineStr">
        <is>
          <t>Peer Pressure &amp; How to Say No</t>
        </is>
      </c>
      <c r="D7" s="16" t="inlineStr">
        <is>
          <t>Refusal Skills</t>
        </is>
      </c>
      <c r="E7" s="16" t="inlineStr">
        <is>
          <t>August</t>
        </is>
      </c>
      <c r="F7" s="15" t="inlineStr">
        <is>
          <t>All Students</t>
        </is>
      </c>
      <c r="G7" s="16" t="inlineStr">
        <is>
          <t>Physical</t>
        </is>
      </c>
      <c r="H7" s="16" t="inlineStr"/>
      <c r="I7" s="15" t="inlineStr"/>
      <c r="J7" s="16" t="inlineStr"/>
    </row>
    <row r="8" ht="22" customHeight="1">
      <c r="B8" s="8" t="n">
        <v>4</v>
      </c>
      <c r="C8" s="9" t="inlineStr">
        <is>
          <t>Understanding Addiction — Myth vs. Reality</t>
        </is>
      </c>
      <c r="D8" s="10" t="inlineStr">
        <is>
          <t>Psychological Awareness</t>
        </is>
      </c>
      <c r="E8" s="10" t="inlineStr">
        <is>
          <t>August</t>
        </is>
      </c>
      <c r="F8" s="9" t="inlineStr">
        <is>
          <t>All Students</t>
        </is>
      </c>
      <c r="G8" s="10" t="inlineStr">
        <is>
          <t>Physical</t>
        </is>
      </c>
      <c r="H8" s="10" t="inlineStr"/>
      <c r="I8" s="9" t="inlineStr"/>
      <c r="J8" s="10" t="inlineStr"/>
    </row>
    <row r="9" ht="22" customHeight="1">
      <c r="B9" s="14" t="n">
        <v>5</v>
      </c>
      <c r="C9" s="15" t="inlineStr">
        <is>
          <t>Legal Consequences — NDPS Act Awareness</t>
        </is>
      </c>
      <c r="D9" s="16" t="inlineStr">
        <is>
          <t>Legal Education</t>
        </is>
      </c>
      <c r="E9" s="16" t="inlineStr">
        <is>
          <t>September</t>
        </is>
      </c>
      <c r="F9" s="15" t="inlineStr">
        <is>
          <t>Final &amp; 3rd Year Students</t>
        </is>
      </c>
      <c r="G9" s="16" t="inlineStr">
        <is>
          <t>Physical</t>
        </is>
      </c>
      <c r="H9" s="16" t="inlineStr"/>
      <c r="I9" s="15" t="inlineStr"/>
      <c r="J9" s="16" t="inlineStr"/>
    </row>
    <row r="10" ht="22" customHeight="1">
      <c r="B10" s="8" t="n">
        <v>6</v>
      </c>
      <c r="C10" s="9" t="inlineStr">
        <is>
          <t>Faculty Sensitisation — Identifying Warning Signs</t>
        </is>
      </c>
      <c r="D10" s="10" t="inlineStr">
        <is>
          <t>Staff Training</t>
        </is>
      </c>
      <c r="E10" s="10" t="inlineStr">
        <is>
          <t>August</t>
        </is>
      </c>
      <c r="F10" s="9" t="inlineStr">
        <is>
          <t>All Faculty &amp; Staff</t>
        </is>
      </c>
      <c r="G10" s="10" t="inlineStr">
        <is>
          <t>Physical</t>
        </is>
      </c>
      <c r="H10" s="10" t="inlineStr"/>
      <c r="I10" s="9" t="inlineStr"/>
      <c r="J10" s="10" t="inlineStr"/>
    </row>
    <row r="11" ht="22" customHeight="1">
      <c r="B11" s="14" t="n">
        <v>7</v>
      </c>
      <c r="C11" s="15" t="inlineStr">
        <is>
          <t>Hostel Anti-Drug Awareness — Warden Talk</t>
        </is>
      </c>
      <c r="D11" s="16" t="inlineStr">
        <is>
          <t>Hostel Safety</t>
        </is>
      </c>
      <c r="E11" s="16" t="inlineStr">
        <is>
          <t>August</t>
        </is>
      </c>
      <c r="F11" s="15" t="inlineStr">
        <is>
          <t>Hostel Students</t>
        </is>
      </c>
      <c r="G11" s="16" t="inlineStr">
        <is>
          <t>Physical</t>
        </is>
      </c>
      <c r="H11" s="16" t="inlineStr"/>
      <c r="I11" s="15" t="inlineStr"/>
      <c r="J11" s="16" t="inlineStr"/>
    </row>
    <row r="12" ht="22" customHeight="1">
      <c r="B12" s="8" t="n">
        <v>8</v>
      </c>
      <c r="C12" s="9" t="inlineStr">
        <is>
          <t>Parent Awareness Session — Warning Signs &amp; Support</t>
        </is>
      </c>
      <c r="D12" s="10" t="inlineStr">
        <is>
          <t>Parent Education</t>
        </is>
      </c>
      <c r="E12" s="10" t="inlineStr">
        <is>
          <t>September</t>
        </is>
      </c>
      <c r="F12" s="9" t="inlineStr">
        <is>
          <t>Parents / Guardians</t>
        </is>
      </c>
      <c r="G12" s="10" t="inlineStr">
        <is>
          <t>Physical</t>
        </is>
      </c>
      <c r="H12" s="10" t="inlineStr"/>
      <c r="I12" s="9" t="inlineStr"/>
      <c r="J12" s="10" t="inlineStr"/>
    </row>
    <row r="13" ht="22" customHeight="1">
      <c r="B13" s="14" t="n">
        <v>9</v>
      </c>
      <c r="C13" s="15" t="inlineStr">
        <is>
          <t>Sports &amp; Recreation as Drug Prevention</t>
        </is>
      </c>
      <c r="D13" s="16" t="inlineStr">
        <is>
          <t>Positive Alternatives</t>
        </is>
      </c>
      <c r="E13" s="16" t="inlineStr">
        <is>
          <t>October</t>
        </is>
      </c>
      <c r="F13" s="15" t="inlineStr">
        <is>
          <t>All Students</t>
        </is>
      </c>
      <c r="G13" s="16" t="inlineStr">
        <is>
          <t>Physical</t>
        </is>
      </c>
      <c r="H13" s="16" t="inlineStr"/>
      <c r="I13" s="15" t="inlineStr"/>
      <c r="J13" s="16" t="inlineStr"/>
    </row>
    <row r="14" ht="22" customHeight="1">
      <c r="B14" s="8" t="n">
        <v>10</v>
      </c>
      <c r="C14" s="9" t="inlineStr">
        <is>
          <t>Street Play / Nukkad Natak — Anti-Drug</t>
        </is>
      </c>
      <c r="D14" s="10" t="inlineStr">
        <is>
          <t>Creative Awareness</t>
        </is>
      </c>
      <c r="E14" s="10" t="inlineStr">
        <is>
          <t>November</t>
        </is>
      </c>
      <c r="F14" s="9" t="inlineStr">
        <is>
          <t>All Students &amp; Community</t>
        </is>
      </c>
      <c r="G14" s="10" t="inlineStr">
        <is>
          <t>Physical</t>
        </is>
      </c>
      <c r="H14" s="10" t="inlineStr"/>
      <c r="I14" s="9" t="inlineStr"/>
      <c r="J14" s="10" t="inlineStr"/>
    </row>
    <row r="15" ht="22" customHeight="1">
      <c r="B15" s="14" t="n">
        <v>11</v>
      </c>
      <c r="C15" s="15" t="inlineStr">
        <is>
          <t>Guest Lecture — De-addiction Doctor / Psychiatrist</t>
        </is>
      </c>
      <c r="D15" s="16" t="inlineStr">
        <is>
          <t>Clinical Perspective</t>
        </is>
      </c>
      <c r="E15" s="16" t="inlineStr">
        <is>
          <t>November</t>
        </is>
      </c>
      <c r="F15" s="15" t="inlineStr">
        <is>
          <t>Senior Students</t>
        </is>
      </c>
      <c r="G15" s="16" t="inlineStr">
        <is>
          <t>Physical</t>
        </is>
      </c>
      <c r="H15" s="16" t="inlineStr"/>
      <c r="I15" s="15" t="inlineStr"/>
      <c r="J15" s="16" t="inlineStr"/>
    </row>
    <row r="16" ht="22" customHeight="1">
      <c r="B16" s="8" t="n">
        <v>12</v>
      </c>
      <c r="C16" s="9" t="inlineStr">
        <is>
          <t>Online Quiz — Anti-Drug Knowledge</t>
        </is>
      </c>
      <c r="D16" s="10" t="inlineStr">
        <is>
          <t>Digital Awareness</t>
        </is>
      </c>
      <c r="E16" s="10" t="inlineStr">
        <is>
          <t>December</t>
        </is>
      </c>
      <c r="F16" s="9" t="inlineStr">
        <is>
          <t>All Students</t>
        </is>
      </c>
      <c r="G16" s="10" t="inlineStr">
        <is>
          <t>Physical</t>
        </is>
      </c>
      <c r="H16" s="10" t="inlineStr"/>
      <c r="I16" s="9" t="inlineStr"/>
      <c r="J16" s="10" t="inlineStr"/>
    </row>
    <row r="17" ht="22" customHeight="1">
      <c r="B17" s="14" t="n">
        <v>13</v>
      </c>
      <c r="C17" s="15" t="inlineStr">
        <is>
          <t>Pledge Ceremony — National Anti-Drug Day (June 26)</t>
        </is>
      </c>
      <c r="D17" s="16" t="inlineStr">
        <is>
          <t>National Day Linkage</t>
        </is>
      </c>
      <c r="E17" s="16" t="inlineStr">
        <is>
          <t>June 26</t>
        </is>
      </c>
      <c r="F17" s="15" t="inlineStr">
        <is>
          <t>All Campus</t>
        </is>
      </c>
      <c r="G17" s="16" t="inlineStr">
        <is>
          <t>Physical</t>
        </is>
      </c>
      <c r="H17" s="16" t="inlineStr"/>
      <c r="I17" s="15" t="inlineStr"/>
      <c r="J17" s="16" t="inlineStr"/>
    </row>
    <row r="18" ht="22" customHeight="1">
      <c r="B18" s="8" t="n">
        <v>14</v>
      </c>
      <c r="C18" s="9" t="inlineStr">
        <is>
          <t>Community Outreach Drive — NSS Unit</t>
        </is>
      </c>
      <c r="D18" s="10" t="inlineStr">
        <is>
          <t>Social Impact</t>
        </is>
      </c>
      <c r="E18" s="10" t="inlineStr">
        <is>
          <t>February</t>
        </is>
      </c>
      <c r="F18" s="9" t="inlineStr">
        <is>
          <t>Local Community</t>
        </is>
      </c>
      <c r="G18" s="10" t="inlineStr">
        <is>
          <t>Physical</t>
        </is>
      </c>
      <c r="H18" s="10" t="inlineStr"/>
      <c r="I18" s="9" t="inlineStr"/>
      <c r="J18" s="10" t="inlineStr"/>
    </row>
    <row r="19" ht="22" customHeight="1">
      <c r="B19" s="14" t="n">
        <v>15</v>
      </c>
      <c r="C19" s="15" t="inlineStr">
        <is>
          <t>International Day Against Drug Abuse (June 26)</t>
        </is>
      </c>
      <c r="D19" s="16" t="inlineStr">
        <is>
          <t>Global Awareness</t>
        </is>
      </c>
      <c r="E19" s="16" t="inlineStr">
        <is>
          <t>June 26</t>
        </is>
      </c>
      <c r="F19" s="15" t="inlineStr">
        <is>
          <t>All Campus</t>
        </is>
      </c>
      <c r="G19" s="16" t="inlineStr">
        <is>
          <t>Physical</t>
        </is>
      </c>
      <c r="H19" s="16" t="inlineStr"/>
      <c r="I19" s="15" t="inlineStr"/>
      <c r="J19" s="16" t="inlineStr"/>
    </row>
    <row r="20" ht="22" customHeight="1"/>
    <row r="21" ht="24" customHeight="1">
      <c r="B21" s="36" t="inlineStr">
        <is>
          <t>AWARENESS PROGRAMME IMPACT SUMMARY</t>
        </is>
      </c>
    </row>
    <row r="22" ht="22" customHeight="1">
      <c r="B22" s="40" t="inlineStr">
        <is>
          <t>Total Programmes Conducted</t>
        </is>
      </c>
      <c r="F22" s="38">
        <f>COUNTA(B5:B19)</f>
        <v/>
      </c>
    </row>
    <row r="23" ht="22" customHeight="1">
      <c r="B23" s="27" t="inlineStr">
        <is>
          <t>Total Students Reached</t>
        </is>
      </c>
      <c r="F23" s="39">
        <f>IFERROR(SUM(H5:H19),"")</f>
        <v/>
      </c>
    </row>
    <row r="24" ht="22" customHeight="1">
      <c r="B24" s="40" t="inlineStr">
        <is>
          <t>Average Feedback Score (/5)</t>
        </is>
      </c>
      <c r="F24" s="38">
        <f>IFERROR(ROUND(AVERAGE(J5:J19),2),"")</f>
        <v/>
      </c>
    </row>
    <row r="25" ht="22" customHeight="1">
      <c r="B25" s="27" t="inlineStr">
        <is>
          <t>Mandatory Sessions (Orientation)</t>
        </is>
      </c>
      <c r="F25" s="39">
        <f>COUNTIF(D5:D19,"Zero-Tolerance Policy")</f>
        <v/>
      </c>
    </row>
    <row r="26" ht="22" customHeight="1">
      <c r="B26" s="40" t="inlineStr">
        <is>
          <t>Parent Awareness Sessions</t>
        </is>
      </c>
      <c r="F26" s="38">
        <f>COUNTIF(D5:D19,"Parent Education")</f>
        <v/>
      </c>
    </row>
    <row r="27" ht="22" customHeight="1">
      <c r="B27" s="27" t="inlineStr">
        <is>
          <t>Programmes with Score &lt; 3.5</t>
        </is>
      </c>
      <c r="F27" s="39">
        <f>COUNTIF(J5:J19,"&lt;"&amp;3.5)</f>
        <v/>
      </c>
    </row>
  </sheetData>
  <mergeCells count="15">
    <mergeCell ref="B23:E23"/>
    <mergeCell ref="B26:E26"/>
    <mergeCell ref="B3:J3"/>
    <mergeCell ref="B27:E27"/>
    <mergeCell ref="F24:J24"/>
    <mergeCell ref="F23:J23"/>
    <mergeCell ref="F26:J26"/>
    <mergeCell ref="B21:J21"/>
    <mergeCell ref="F25:J25"/>
    <mergeCell ref="B25:E25"/>
    <mergeCell ref="F27:J27"/>
    <mergeCell ref="B24:E24"/>
    <mergeCell ref="F22:J22"/>
    <mergeCell ref="B22:E22"/>
    <mergeCell ref="B2:J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2:J36"/>
  <sheetViews>
    <sheetView showGridLines="0" workbookViewId="0">
      <selection activeCell="A1" sqref="A1"/>
    </sheetView>
  </sheetViews>
  <sheetFormatPr baseColWidth="8" defaultRowHeight="15"/>
  <cols>
    <col width="3" customWidth="1" min="1" max="1"/>
    <col width="8" customWidth="1" min="2" max="2"/>
    <col width="22" customWidth="1" min="3" max="3"/>
    <col width="12" customWidth="1" min="4" max="4"/>
    <col width="12" customWidth="1" min="5" max="5"/>
    <col width="12" customWidth="1" min="6" max="6"/>
    <col width="12" customWidth="1" min="7" max="7"/>
    <col width="12" customWidth="1" min="8" max="8"/>
    <col width="12" customWidth="1" min="9" max="9"/>
    <col width="14" customWidth="1" min="10" max="10"/>
    <col width="3" customWidth="1" min="11" max="11"/>
  </cols>
  <sheetData>
    <row r="1" ht="10" customHeight="1"/>
    <row r="2" ht="48" customHeight="1">
      <c r="B2" s="12" t="inlineStr">
        <is>
          <t>ADC-13: PEER EDUCATOR &amp; ANTI-DRUG AMBASSADOR REGISTER</t>
        </is>
      </c>
    </row>
    <row r="3" ht="20" customHeight="1">
      <c r="B3" s="17" t="inlineStr">
        <is>
          <t>Peer educators are trained student volunteers who serve as role models and prevention advocates. They are the most effective channel for reaching fellow students. Train at least 2 per department per year.</t>
        </is>
      </c>
    </row>
    <row r="4" ht="25" customHeight="1">
      <c r="B4" s="21" t="inlineStr">
        <is>
          <t>PE
Ref.</t>
        </is>
      </c>
      <c r="C4" s="21" t="inlineStr">
        <is>
          <t>Name</t>
        </is>
      </c>
      <c r="D4" s="21" t="inlineStr">
        <is>
          <t>Roll No.</t>
        </is>
      </c>
      <c r="E4" s="21" t="inlineStr">
        <is>
          <t>Programme
&amp; Year</t>
        </is>
      </c>
      <c r="F4" s="21" t="inlineStr">
        <is>
          <t>Dept.</t>
        </is>
      </c>
      <c r="G4" s="21" t="inlineStr">
        <is>
          <t>Training
Date</t>
        </is>
      </c>
      <c r="H4" s="21" t="inlineStr">
        <is>
          <t>Sessions
Conduct ed</t>
        </is>
      </c>
      <c r="I4" s="21" t="inlineStr">
        <is>
          <t>Students
Reached</t>
        </is>
      </c>
      <c r="J4" s="21" t="inlineStr">
        <is>
          <t>Active
Status</t>
        </is>
      </c>
    </row>
    <row r="5" ht="22" customHeight="1">
      <c r="B5" s="14" t="inlineStr">
        <is>
          <t>PE/001</t>
        </is>
      </c>
      <c r="C5" s="15" t="inlineStr"/>
      <c r="D5" s="16" t="inlineStr"/>
      <c r="E5" s="16" t="inlineStr"/>
      <c r="F5" s="16" t="inlineStr"/>
      <c r="G5" s="16" t="inlineStr"/>
      <c r="H5" s="16" t="inlineStr"/>
      <c r="I5" s="16" t="inlineStr"/>
      <c r="J5" s="16" t="inlineStr">
        <is>
          <t>Active</t>
        </is>
      </c>
    </row>
    <row r="6" ht="22" customHeight="1">
      <c r="B6" s="8" t="inlineStr">
        <is>
          <t>PE/002</t>
        </is>
      </c>
      <c r="C6" s="9" t="inlineStr"/>
      <c r="D6" s="10" t="inlineStr"/>
      <c r="E6" s="10" t="inlineStr"/>
      <c r="F6" s="10" t="inlineStr"/>
      <c r="G6" s="10" t="inlineStr"/>
      <c r="H6" s="10" t="inlineStr"/>
      <c r="I6" s="10" t="inlineStr"/>
      <c r="J6" s="10" t="inlineStr">
        <is>
          <t>Active</t>
        </is>
      </c>
    </row>
    <row r="7" ht="22" customHeight="1">
      <c r="B7" s="14" t="inlineStr">
        <is>
          <t>PE/003</t>
        </is>
      </c>
      <c r="C7" s="15" t="inlineStr"/>
      <c r="D7" s="16" t="inlineStr"/>
      <c r="E7" s="16" t="inlineStr"/>
      <c r="F7" s="16" t="inlineStr"/>
      <c r="G7" s="16" t="inlineStr"/>
      <c r="H7" s="16" t="inlineStr"/>
      <c r="I7" s="16" t="inlineStr"/>
      <c r="J7" s="16" t="inlineStr">
        <is>
          <t>Active</t>
        </is>
      </c>
    </row>
    <row r="8" ht="22" customHeight="1">
      <c r="B8" s="8" t="inlineStr">
        <is>
          <t>PE/004</t>
        </is>
      </c>
      <c r="C8" s="9" t="inlineStr"/>
      <c r="D8" s="10" t="inlineStr"/>
      <c r="E8" s="10" t="inlineStr"/>
      <c r="F8" s="10" t="inlineStr"/>
      <c r="G8" s="10" t="inlineStr"/>
      <c r="H8" s="10" t="inlineStr"/>
      <c r="I8" s="10" t="inlineStr"/>
      <c r="J8" s="10" t="inlineStr">
        <is>
          <t>Active</t>
        </is>
      </c>
    </row>
    <row r="9" ht="22" customHeight="1">
      <c r="B9" s="14" t="inlineStr">
        <is>
          <t>PE/005</t>
        </is>
      </c>
      <c r="C9" s="15" t="inlineStr"/>
      <c r="D9" s="16" t="inlineStr"/>
      <c r="E9" s="16" t="inlineStr"/>
      <c r="F9" s="16" t="inlineStr"/>
      <c r="G9" s="16" t="inlineStr"/>
      <c r="H9" s="16" t="inlineStr"/>
      <c r="I9" s="16" t="inlineStr"/>
      <c r="J9" s="16" t="inlineStr">
        <is>
          <t>Active</t>
        </is>
      </c>
    </row>
    <row r="10" ht="22" customHeight="1">
      <c r="B10" s="8" t="inlineStr">
        <is>
          <t>PE/006</t>
        </is>
      </c>
      <c r="C10" s="9" t="inlineStr"/>
      <c r="D10" s="10" t="inlineStr"/>
      <c r="E10" s="10" t="inlineStr"/>
      <c r="F10" s="10" t="inlineStr"/>
      <c r="G10" s="10" t="inlineStr"/>
      <c r="H10" s="10" t="inlineStr"/>
      <c r="I10" s="10" t="inlineStr"/>
      <c r="J10" s="10" t="inlineStr">
        <is>
          <t>Active</t>
        </is>
      </c>
    </row>
    <row r="11" ht="22" customHeight="1">
      <c r="B11" s="14" t="inlineStr">
        <is>
          <t>PE/007</t>
        </is>
      </c>
      <c r="C11" s="15" t="inlineStr"/>
      <c r="D11" s="16" t="inlineStr"/>
      <c r="E11" s="16" t="inlineStr"/>
      <c r="F11" s="16" t="inlineStr"/>
      <c r="G11" s="16" t="inlineStr"/>
      <c r="H11" s="16" t="inlineStr"/>
      <c r="I11" s="16" t="inlineStr"/>
      <c r="J11" s="16" t="inlineStr">
        <is>
          <t>Active</t>
        </is>
      </c>
    </row>
    <row r="12" ht="22" customHeight="1">
      <c r="B12" s="8" t="inlineStr">
        <is>
          <t>PE/008</t>
        </is>
      </c>
      <c r="C12" s="9" t="inlineStr"/>
      <c r="D12" s="10" t="inlineStr"/>
      <c r="E12" s="10" t="inlineStr"/>
      <c r="F12" s="10" t="inlineStr"/>
      <c r="G12" s="10" t="inlineStr"/>
      <c r="H12" s="10" t="inlineStr"/>
      <c r="I12" s="10" t="inlineStr"/>
      <c r="J12" s="10" t="inlineStr">
        <is>
          <t>Active</t>
        </is>
      </c>
    </row>
    <row r="13" ht="22" customHeight="1">
      <c r="B13" s="14" t="inlineStr">
        <is>
          <t>PE/009</t>
        </is>
      </c>
      <c r="C13" s="15" t="inlineStr"/>
      <c r="D13" s="16" t="inlineStr"/>
      <c r="E13" s="16" t="inlineStr"/>
      <c r="F13" s="16" t="inlineStr"/>
      <c r="G13" s="16" t="inlineStr"/>
      <c r="H13" s="16" t="inlineStr"/>
      <c r="I13" s="16" t="inlineStr"/>
      <c r="J13" s="16" t="inlineStr">
        <is>
          <t>Active</t>
        </is>
      </c>
    </row>
    <row r="14" ht="22" customHeight="1">
      <c r="B14" s="8" t="inlineStr">
        <is>
          <t>PE/010</t>
        </is>
      </c>
      <c r="C14" s="9" t="inlineStr"/>
      <c r="D14" s="10" t="inlineStr"/>
      <c r="E14" s="10" t="inlineStr"/>
      <c r="F14" s="10" t="inlineStr"/>
      <c r="G14" s="10" t="inlineStr"/>
      <c r="H14" s="10" t="inlineStr"/>
      <c r="I14" s="10" t="inlineStr"/>
      <c r="J14" s="10" t="inlineStr">
        <is>
          <t>Active</t>
        </is>
      </c>
    </row>
    <row r="15" ht="22" customHeight="1">
      <c r="B15" s="14" t="inlineStr">
        <is>
          <t>PE/011</t>
        </is>
      </c>
      <c r="C15" s="15" t="inlineStr"/>
      <c r="D15" s="16" t="inlineStr"/>
      <c r="E15" s="16" t="inlineStr"/>
      <c r="F15" s="16" t="inlineStr"/>
      <c r="G15" s="16" t="inlineStr"/>
      <c r="H15" s="16" t="inlineStr"/>
      <c r="I15" s="16" t="inlineStr"/>
      <c r="J15" s="16" t="inlineStr">
        <is>
          <t>Active</t>
        </is>
      </c>
    </row>
    <row r="16" ht="22" customHeight="1">
      <c r="B16" s="8" t="inlineStr">
        <is>
          <t>PE/012</t>
        </is>
      </c>
      <c r="C16" s="9" t="inlineStr"/>
      <c r="D16" s="10" t="inlineStr"/>
      <c r="E16" s="10" t="inlineStr"/>
      <c r="F16" s="10" t="inlineStr"/>
      <c r="G16" s="10" t="inlineStr"/>
      <c r="H16" s="10" t="inlineStr"/>
      <c r="I16" s="10" t="inlineStr"/>
      <c r="J16" s="10" t="inlineStr">
        <is>
          <t>Active</t>
        </is>
      </c>
    </row>
    <row r="17" ht="22" customHeight="1">
      <c r="B17" s="14" t="inlineStr">
        <is>
          <t>PE/013</t>
        </is>
      </c>
      <c r="C17" s="15" t="inlineStr"/>
      <c r="D17" s="16" t="inlineStr"/>
      <c r="E17" s="16" t="inlineStr"/>
      <c r="F17" s="16" t="inlineStr"/>
      <c r="G17" s="16" t="inlineStr"/>
      <c r="H17" s="16" t="inlineStr"/>
      <c r="I17" s="16" t="inlineStr"/>
      <c r="J17" s="16" t="inlineStr">
        <is>
          <t>Active</t>
        </is>
      </c>
    </row>
    <row r="18" ht="22" customHeight="1">
      <c r="B18" s="8" t="inlineStr">
        <is>
          <t>PE/014</t>
        </is>
      </c>
      <c r="C18" s="9" t="inlineStr"/>
      <c r="D18" s="10" t="inlineStr"/>
      <c r="E18" s="10" t="inlineStr"/>
      <c r="F18" s="10" t="inlineStr"/>
      <c r="G18" s="10" t="inlineStr"/>
      <c r="H18" s="10" t="inlineStr"/>
      <c r="I18" s="10" t="inlineStr"/>
      <c r="J18" s="10" t="inlineStr">
        <is>
          <t>Active</t>
        </is>
      </c>
    </row>
    <row r="19" ht="22" customHeight="1">
      <c r="B19" s="14" t="inlineStr">
        <is>
          <t>PE/015</t>
        </is>
      </c>
      <c r="C19" s="15" t="inlineStr"/>
      <c r="D19" s="16" t="inlineStr"/>
      <c r="E19" s="16" t="inlineStr"/>
      <c r="F19" s="16" t="inlineStr"/>
      <c r="G19" s="16" t="inlineStr"/>
      <c r="H19" s="16" t="inlineStr"/>
      <c r="I19" s="16" t="inlineStr"/>
      <c r="J19" s="16" t="inlineStr">
        <is>
          <t>Active</t>
        </is>
      </c>
    </row>
    <row r="20" ht="22" customHeight="1">
      <c r="B20" s="8" t="inlineStr">
        <is>
          <t>PE/016</t>
        </is>
      </c>
      <c r="C20" s="9" t="inlineStr"/>
      <c r="D20" s="10" t="inlineStr"/>
      <c r="E20" s="10" t="inlineStr"/>
      <c r="F20" s="10" t="inlineStr"/>
      <c r="G20" s="10" t="inlineStr"/>
      <c r="H20" s="10" t="inlineStr"/>
      <c r="I20" s="10" t="inlineStr"/>
      <c r="J20" s="10" t="inlineStr">
        <is>
          <t>Active</t>
        </is>
      </c>
    </row>
    <row r="21" ht="22" customHeight="1">
      <c r="B21" s="14" t="inlineStr">
        <is>
          <t>PE/017</t>
        </is>
      </c>
      <c r="C21" s="15" t="inlineStr"/>
      <c r="D21" s="16" t="inlineStr"/>
      <c r="E21" s="16" t="inlineStr"/>
      <c r="F21" s="16" t="inlineStr"/>
      <c r="G21" s="16" t="inlineStr"/>
      <c r="H21" s="16" t="inlineStr"/>
      <c r="I21" s="16" t="inlineStr"/>
      <c r="J21" s="16" t="inlineStr">
        <is>
          <t>Active</t>
        </is>
      </c>
    </row>
    <row r="22" ht="22" customHeight="1">
      <c r="B22" s="8" t="inlineStr">
        <is>
          <t>PE/018</t>
        </is>
      </c>
      <c r="C22" s="9" t="inlineStr"/>
      <c r="D22" s="10" t="inlineStr"/>
      <c r="E22" s="10" t="inlineStr"/>
      <c r="F22" s="10" t="inlineStr"/>
      <c r="G22" s="10" t="inlineStr"/>
      <c r="H22" s="10" t="inlineStr"/>
      <c r="I22" s="10" t="inlineStr"/>
      <c r="J22" s="10" t="inlineStr">
        <is>
          <t>Active</t>
        </is>
      </c>
    </row>
    <row r="23" ht="22" customHeight="1">
      <c r="B23" s="14" t="inlineStr">
        <is>
          <t>PE/019</t>
        </is>
      </c>
      <c r="C23" s="15" t="inlineStr"/>
      <c r="D23" s="16" t="inlineStr"/>
      <c r="E23" s="16" t="inlineStr"/>
      <c r="F23" s="16" t="inlineStr"/>
      <c r="G23" s="16" t="inlineStr"/>
      <c r="H23" s="16" t="inlineStr"/>
      <c r="I23" s="16" t="inlineStr"/>
      <c r="J23" s="16" t="inlineStr">
        <is>
          <t>Active</t>
        </is>
      </c>
    </row>
    <row r="24" ht="22" customHeight="1">
      <c r="B24" s="8" t="inlineStr">
        <is>
          <t>PE/020</t>
        </is>
      </c>
      <c r="C24" s="9" t="inlineStr"/>
      <c r="D24" s="10" t="inlineStr"/>
      <c r="E24" s="10" t="inlineStr"/>
      <c r="F24" s="10" t="inlineStr"/>
      <c r="G24" s="10" t="inlineStr"/>
      <c r="H24" s="10" t="inlineStr"/>
      <c r="I24" s="10" t="inlineStr"/>
      <c r="J24" s="10" t="inlineStr">
        <is>
          <t>Active</t>
        </is>
      </c>
    </row>
    <row r="25" ht="22" customHeight="1">
      <c r="B25" s="14" t="inlineStr">
        <is>
          <t>PE/021</t>
        </is>
      </c>
      <c r="C25" s="15" t="inlineStr"/>
      <c r="D25" s="16" t="inlineStr"/>
      <c r="E25" s="16" t="inlineStr"/>
      <c r="F25" s="16" t="inlineStr"/>
      <c r="G25" s="16" t="inlineStr"/>
      <c r="H25" s="16" t="inlineStr"/>
      <c r="I25" s="16" t="inlineStr"/>
      <c r="J25" s="16" t="inlineStr">
        <is>
          <t>Active</t>
        </is>
      </c>
    </row>
    <row r="26" ht="22" customHeight="1">
      <c r="B26" s="8" t="inlineStr">
        <is>
          <t>PE/022</t>
        </is>
      </c>
      <c r="C26" s="9" t="inlineStr"/>
      <c r="D26" s="10" t="inlineStr"/>
      <c r="E26" s="10" t="inlineStr"/>
      <c r="F26" s="10" t="inlineStr"/>
      <c r="G26" s="10" t="inlineStr"/>
      <c r="H26" s="10" t="inlineStr"/>
      <c r="I26" s="10" t="inlineStr"/>
      <c r="J26" s="10" t="inlineStr">
        <is>
          <t>Active</t>
        </is>
      </c>
    </row>
    <row r="27" ht="22" customHeight="1">
      <c r="B27" s="14" t="inlineStr">
        <is>
          <t>PE/023</t>
        </is>
      </c>
      <c r="C27" s="15" t="inlineStr"/>
      <c r="D27" s="16" t="inlineStr"/>
      <c r="E27" s="16" t="inlineStr"/>
      <c r="F27" s="16" t="inlineStr"/>
      <c r="G27" s="16" t="inlineStr"/>
      <c r="H27" s="16" t="inlineStr"/>
      <c r="I27" s="16" t="inlineStr"/>
      <c r="J27" s="16" t="inlineStr">
        <is>
          <t>Active</t>
        </is>
      </c>
    </row>
    <row r="28" ht="22" customHeight="1">
      <c r="B28" s="8" t="inlineStr">
        <is>
          <t>PE/024</t>
        </is>
      </c>
      <c r="C28" s="9" t="inlineStr"/>
      <c r="D28" s="10" t="inlineStr"/>
      <c r="E28" s="10" t="inlineStr"/>
      <c r="F28" s="10" t="inlineStr"/>
      <c r="G28" s="10" t="inlineStr"/>
      <c r="H28" s="10" t="inlineStr"/>
      <c r="I28" s="10" t="inlineStr"/>
      <c r="J28" s="10" t="inlineStr">
        <is>
          <t>Active</t>
        </is>
      </c>
    </row>
    <row r="29" ht="22" customHeight="1"/>
    <row r="30" ht="24" customHeight="1">
      <c r="B30" s="36" t="inlineStr">
        <is>
          <t>PEER EDUCATOR NETWORK SUMMARY</t>
        </is>
      </c>
    </row>
    <row r="31">
      <c r="B31" s="40" t="inlineStr">
        <is>
          <t>Total Peer Educators Trained</t>
        </is>
      </c>
      <c r="F31" s="38">
        <f>COUNTA(B5:B28)</f>
        <v/>
      </c>
    </row>
    <row r="32">
      <c r="B32" s="27" t="inlineStr">
        <is>
          <t>Active Peer Educators</t>
        </is>
      </c>
      <c r="F32" s="39">
        <f>COUNTIF(J5:J28,"Active")</f>
        <v/>
      </c>
    </row>
    <row r="33">
      <c r="B33" s="40" t="inlineStr">
        <is>
          <t>Total Sessions Conducted</t>
        </is>
      </c>
      <c r="F33" s="38">
        <f>IFERROR(SUM(H5:H28),"")</f>
        <v/>
      </c>
    </row>
    <row r="34">
      <c r="B34" s="27" t="inlineStr">
        <is>
          <t>Total Students Reached</t>
        </is>
      </c>
      <c r="F34" s="39">
        <f>IFERROR(SUM(I5:I28),"")</f>
        <v/>
      </c>
    </row>
    <row r="35">
      <c r="B35" s="40" t="inlineStr">
        <is>
          <t>Departments Covered</t>
        </is>
      </c>
      <c r="F35" s="38" t="inlineStr"/>
    </row>
    <row r="36">
      <c r="B36" s="27" t="inlineStr">
        <is>
          <t>Average Sessions per Educator</t>
        </is>
      </c>
      <c r="F36" s="39">
        <f>IFERROR(ROUND(AVERAGE(H5:H28),1),"")</f>
        <v/>
      </c>
    </row>
  </sheetData>
  <mergeCells count="15">
    <mergeCell ref="B31:E31"/>
    <mergeCell ref="B36:E36"/>
    <mergeCell ref="B3:J3"/>
    <mergeCell ref="B35:E35"/>
    <mergeCell ref="F35:J35"/>
    <mergeCell ref="F34:J34"/>
    <mergeCell ref="F36:J36"/>
    <mergeCell ref="B33:E33"/>
    <mergeCell ref="F33:J33"/>
    <mergeCell ref="F31:J31"/>
    <mergeCell ref="B34:E34"/>
    <mergeCell ref="F32:J32"/>
    <mergeCell ref="B30:J30"/>
    <mergeCell ref="B2:J2"/>
    <mergeCell ref="B32:E3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2:I23"/>
  <sheetViews>
    <sheetView showGridLines="0" workbookViewId="0">
      <selection activeCell="A1" sqref="A1"/>
    </sheetView>
  </sheetViews>
  <sheetFormatPr baseColWidth="8" defaultRowHeight="15"/>
  <cols>
    <col width="3" customWidth="1" min="1" max="1"/>
    <col width="8" customWidth="1" min="2" max="2"/>
    <col width="26" customWidth="1" min="3" max="3"/>
    <col width="16" customWidth="1" min="4" max="4"/>
    <col width="14" customWidth="1" min="5" max="5"/>
    <col width="14" customWidth="1" min="6" max="6"/>
    <col width="14" customWidth="1" min="7" max="7"/>
    <col width="14" customWidth="1" min="8" max="8"/>
    <col width="14" customWidth="1" min="9" max="9"/>
    <col width="3" customWidth="1" min="10" max="10"/>
  </cols>
  <sheetData>
    <row r="1" ht="10" customHeight="1"/>
    <row r="2" ht="48" customHeight="1">
      <c r="B2" s="12" t="inlineStr">
        <is>
          <t>ADC-21: DRUG ABUSE WARNING SIGN IDENTIFICATION REGISTER</t>
        </is>
      </c>
    </row>
    <row r="3" ht="18" customHeight="1">
      <c r="B3" s="18" t="inlineStr">
        <is>
          <t>CONFIDENTIAL — Student identity protected. Share only within ADC and counsellor. Do not disclose to peers or non-ADC faculty.</t>
        </is>
      </c>
    </row>
    <row r="4" ht="25" customHeight="1">
      <c r="B4" s="2" t="inlineStr">
        <is>
          <t>Month: _______  A.Y.: _______  Reported by (Faculty / Warden / Peer): _______</t>
        </is>
      </c>
    </row>
    <row r="5" ht="24" customHeight="1">
      <c r="B5" s="20" t="inlineStr">
        <is>
          <t>PHYSICAL WARNING SIGNS — FACULTY CHECKLIST</t>
        </is>
      </c>
    </row>
    <row r="6" ht="26" customHeight="1">
      <c r="B6" s="21" t="inlineStr">
        <is>
          <t>Sl.</t>
        </is>
      </c>
      <c r="C6" s="21" t="inlineStr">
        <is>
          <t>Warning Sign</t>
        </is>
      </c>
      <c r="D6" s="21" t="inlineStr">
        <is>
          <t>Typical Indicator</t>
        </is>
      </c>
      <c r="E6" s="21" t="inlineStr">
        <is>
          <t>Student
(Code)</t>
        </is>
      </c>
      <c r="F6" s="21" t="inlineStr">
        <is>
          <t>Observed by</t>
        </is>
      </c>
      <c r="G6" s="21" t="inlineStr">
        <is>
          <t>Date
Observed</t>
        </is>
      </c>
      <c r="H6" s="21" t="inlineStr">
        <is>
          <t>Severity
(H/M/L)</t>
        </is>
      </c>
      <c r="I6" s="21" t="inlineStr">
        <is>
          <t>Action Taken</t>
        </is>
      </c>
    </row>
    <row r="7" ht="26" customHeight="1">
      <c r="B7" s="41" t="n">
        <v>1</v>
      </c>
      <c r="C7" s="42" t="inlineStr">
        <is>
          <t>Sudden weight loss / change in appearance</t>
        </is>
      </c>
      <c r="D7" s="42" t="inlineStr">
        <is>
          <t>Significant unexplained weight loss; neglect of hygiene</t>
        </is>
      </c>
      <c r="E7" s="43" t="inlineStr"/>
      <c r="F7" s="42" t="inlineStr"/>
      <c r="G7" s="43" t="inlineStr"/>
      <c r="H7" s="43" t="inlineStr"/>
      <c r="I7" s="42" t="inlineStr"/>
    </row>
    <row r="8" ht="26" customHeight="1">
      <c r="B8" s="44" t="n">
        <v>2</v>
      </c>
      <c r="C8" s="45" t="inlineStr">
        <is>
          <t>Bloodshot / glazed eyes frequently</t>
        </is>
      </c>
      <c r="D8" s="45" t="inlineStr">
        <is>
          <t>Red or glassy eyes not explained by illness</t>
        </is>
      </c>
      <c r="E8" s="46" t="inlineStr"/>
      <c r="F8" s="45" t="inlineStr"/>
      <c r="G8" s="46" t="inlineStr"/>
      <c r="H8" s="46" t="inlineStr"/>
      <c r="I8" s="45" t="inlineStr"/>
    </row>
    <row r="9" ht="26" customHeight="1">
      <c r="B9" s="41" t="n">
        <v>3</v>
      </c>
      <c r="C9" s="42" t="inlineStr">
        <is>
          <t>Slurred speech or impaired coordination</t>
        </is>
      </c>
      <c r="D9" s="42" t="inlineStr">
        <is>
          <t>Speaking unclearly; stumbling or unsteady gait</t>
        </is>
      </c>
      <c r="E9" s="43" t="inlineStr"/>
      <c r="F9" s="42" t="inlineStr"/>
      <c r="G9" s="43" t="inlineStr"/>
      <c r="H9" s="43" t="inlineStr"/>
      <c r="I9" s="42" t="inlineStr"/>
    </row>
    <row r="10" ht="26" customHeight="1">
      <c r="B10" s="44" t="n">
        <v>4</v>
      </c>
      <c r="C10" s="45" t="inlineStr">
        <is>
          <t>Unusual smells on breath/clothing</t>
        </is>
      </c>
      <c r="D10" s="45" t="inlineStr">
        <is>
          <t>Alcohol, chemical or burnt smell</t>
        </is>
      </c>
      <c r="E10" s="46" t="inlineStr"/>
      <c r="F10" s="45" t="inlineStr"/>
      <c r="G10" s="46" t="inlineStr"/>
      <c r="H10" s="46" t="inlineStr"/>
      <c r="I10" s="45" t="inlineStr"/>
    </row>
    <row r="11" ht="26" customHeight="1">
      <c r="B11" s="41" t="n">
        <v>5</v>
      </c>
      <c r="C11" s="42" t="inlineStr">
        <is>
          <t>Frequent nosebleeds or sniffling</t>
        </is>
      </c>
      <c r="D11" s="42" t="inlineStr">
        <is>
          <t>Possible inhalant or stimulant use</t>
        </is>
      </c>
      <c r="E11" s="43" t="inlineStr"/>
      <c r="F11" s="42" t="inlineStr"/>
      <c r="G11" s="43" t="inlineStr"/>
      <c r="H11" s="43" t="inlineStr"/>
      <c r="I11" s="42" t="inlineStr"/>
    </row>
    <row r="12" ht="26" customHeight="1">
      <c r="B12" s="44" t="n">
        <v>6</v>
      </c>
      <c r="C12" s="45" t="inlineStr">
        <is>
          <t>Needle marks on arms (if visible)</t>
        </is>
      </c>
      <c r="D12" s="45" t="inlineStr">
        <is>
          <t>Track marks or bruising on forearms</t>
        </is>
      </c>
      <c r="E12" s="46" t="inlineStr"/>
      <c r="F12" s="45" t="inlineStr"/>
      <c r="G12" s="46" t="inlineStr"/>
      <c r="H12" s="46" t="inlineStr"/>
      <c r="I12" s="45" t="inlineStr"/>
    </row>
    <row r="13" ht="26" customHeight="1">
      <c r="B13" s="41" t="n">
        <v>7</v>
      </c>
      <c r="C13" s="42" t="inlineStr">
        <is>
          <t>Excessive sweating or trembling</t>
        </is>
      </c>
      <c r="D13" s="42" t="inlineStr">
        <is>
          <t>Withdrawal symptoms or stimulant use</t>
        </is>
      </c>
      <c r="E13" s="43" t="inlineStr"/>
      <c r="F13" s="42" t="inlineStr"/>
      <c r="G13" s="43" t="inlineStr"/>
      <c r="H13" s="43" t="inlineStr"/>
      <c r="I13" s="42" t="inlineStr"/>
    </row>
    <row r="14" ht="26" customHeight="1">
      <c r="B14" s="44" t="n">
        <v>8</v>
      </c>
      <c r="C14" s="45" t="inlineStr">
        <is>
          <t>Erratic or extreme mood swings</t>
        </is>
      </c>
      <c r="D14" s="45" t="inlineStr">
        <is>
          <t>Euphoria → depression cycles; unexplained anger</t>
        </is>
      </c>
      <c r="E14" s="46" t="inlineStr"/>
      <c r="F14" s="45" t="inlineStr"/>
      <c r="G14" s="46" t="inlineStr"/>
      <c r="H14" s="46" t="inlineStr"/>
      <c r="I14" s="45" t="inlineStr"/>
    </row>
    <row r="15" ht="26" customHeight="1">
      <c r="B15" s="41" t="n">
        <v>9</v>
      </c>
      <c r="C15" s="42" t="inlineStr">
        <is>
          <t>Sudden disinterest in academics</t>
        </is>
      </c>
      <c r="D15" s="42" t="inlineStr">
        <is>
          <t>Grade drop; absenteeism increase; withdrawn behaviour</t>
        </is>
      </c>
      <c r="E15" s="43" t="inlineStr"/>
      <c r="F15" s="42" t="inlineStr"/>
      <c r="G15" s="43" t="inlineStr"/>
      <c r="H15" s="43" t="inlineStr"/>
      <c r="I15" s="42" t="inlineStr"/>
    </row>
    <row r="16" ht="26" customHeight="1">
      <c r="B16" s="44" t="n">
        <v>10</v>
      </c>
      <c r="C16" s="45" t="inlineStr">
        <is>
          <t>Secretive behaviour; avoids eye contact</t>
        </is>
      </c>
      <c r="D16" s="45" t="inlineStr">
        <is>
          <t>Defensive, paranoid or overly secretive</t>
        </is>
      </c>
      <c r="E16" s="46" t="inlineStr"/>
      <c r="F16" s="45" t="inlineStr"/>
      <c r="G16" s="46" t="inlineStr"/>
      <c r="H16" s="46" t="inlineStr"/>
      <c r="I16" s="45" t="inlineStr"/>
    </row>
    <row r="17" ht="26" customHeight="1">
      <c r="B17" s="41" t="n">
        <v>11</v>
      </c>
      <c r="C17" s="42" t="inlineStr">
        <is>
          <t>Changes in friend group; suspicious peers</t>
        </is>
      </c>
      <c r="D17" s="42" t="inlineStr">
        <is>
          <t>New unknown friends; avoids old friends and family</t>
        </is>
      </c>
      <c r="E17" s="43" t="inlineStr"/>
      <c r="F17" s="42" t="inlineStr"/>
      <c r="G17" s="43" t="inlineStr"/>
      <c r="H17" s="43" t="inlineStr"/>
      <c r="I17" s="42" t="inlineStr"/>
    </row>
    <row r="18" ht="26" customHeight="1">
      <c r="B18" s="44" t="n">
        <v>12</v>
      </c>
      <c r="C18" s="45" t="inlineStr">
        <is>
          <t>Possession of drug paraphernalia</t>
        </is>
      </c>
      <c r="D18" s="45" t="inlineStr">
        <is>
          <t>Pipes, needles, foil, unusual pills, powders</t>
        </is>
      </c>
      <c r="E18" s="46" t="inlineStr"/>
      <c r="F18" s="45" t="inlineStr"/>
      <c r="G18" s="46" t="inlineStr"/>
      <c r="H18" s="46" t="inlineStr"/>
      <c r="I18" s="45" t="inlineStr"/>
    </row>
    <row r="19" ht="26" customHeight="1">
      <c r="B19" s="41" t="n">
        <v>13</v>
      </c>
      <c r="C19" s="42" t="inlineStr">
        <is>
          <t>Unusual financial requests / theft</t>
        </is>
      </c>
      <c r="D19" s="42" t="inlineStr">
        <is>
          <t>Borrowing money repeatedly; theft from roommates</t>
        </is>
      </c>
      <c r="E19" s="43" t="inlineStr"/>
      <c r="F19" s="42" t="inlineStr"/>
      <c r="G19" s="43" t="inlineStr"/>
      <c r="H19" s="43" t="inlineStr"/>
      <c r="I19" s="42" t="inlineStr"/>
    </row>
    <row r="20" ht="26" customHeight="1">
      <c r="B20" s="44" t="n">
        <v>14</v>
      </c>
      <c r="C20" s="45" t="inlineStr">
        <is>
          <t>Sleeping in class or excessive drowsiness</t>
        </is>
      </c>
      <c r="D20" s="45" t="inlineStr">
        <is>
          <t>Nodding off; inability to stay alert</t>
        </is>
      </c>
      <c r="E20" s="46" t="inlineStr"/>
      <c r="F20" s="45" t="inlineStr"/>
      <c r="G20" s="46" t="inlineStr"/>
      <c r="H20" s="46" t="inlineStr"/>
      <c r="I20" s="45" t="inlineStr"/>
    </row>
    <row r="21" ht="26" customHeight="1">
      <c r="B21" s="41" t="n">
        <v>15</v>
      </c>
      <c r="C21" s="42" t="inlineStr">
        <is>
          <t>Hostel room disorder and isolation</t>
        </is>
      </c>
      <c r="D21" s="42" t="inlineStr">
        <is>
          <t>Room locked excessively; foul smell from room</t>
        </is>
      </c>
      <c r="E21" s="43" t="inlineStr"/>
      <c r="F21" s="42" t="inlineStr"/>
      <c r="G21" s="43" t="inlineStr"/>
      <c r="H21" s="43" t="inlineStr"/>
      <c r="I21" s="42" t="inlineStr"/>
    </row>
    <row r="22" ht="26" customHeight="1"/>
    <row r="23" ht="20" customHeight="1">
      <c r="B23" s="17" t="inlineStr">
        <is>
          <t>Any 3+ warning signs observed in the same student = mandatory referral to ADC/Counsellor. Do NOT confront the student directly. Report confidentially to ADC Coordinator or Counsellor.</t>
        </is>
      </c>
    </row>
    <row r="24" ht="26" customHeight="1"/>
    <row r="25" ht="26" customHeight="1"/>
    <row r="26" ht="26" customHeight="1"/>
    <row r="27" ht="26" customHeight="1"/>
    <row r="28" ht="26" customHeight="1"/>
    <row r="29" ht="26" customHeight="1"/>
    <row r="30" ht="26" customHeight="1"/>
    <row r="31" ht="26" customHeight="1"/>
    <row r="32" ht="26" customHeight="1"/>
    <row r="33" ht="26" customHeight="1"/>
    <row r="34" ht="26" customHeight="1"/>
    <row r="35" ht="26" customHeight="1"/>
  </sheetData>
  <mergeCells count="5">
    <mergeCell ref="B2:I2"/>
    <mergeCell ref="B3:I3"/>
    <mergeCell ref="B5:I5"/>
    <mergeCell ref="B23:I23"/>
    <mergeCell ref="B4:I4"/>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2:E52"/>
  <sheetViews>
    <sheetView showGridLines="0" workbookViewId="0">
      <selection activeCell="A1" sqref="A1"/>
    </sheetView>
  </sheetViews>
  <sheetFormatPr baseColWidth="8" defaultRowHeight="15"/>
  <cols>
    <col width="3" customWidth="1" min="1" max="1"/>
    <col width="8" customWidth="1" min="2" max="2"/>
    <col width="32" customWidth="1" min="3" max="3"/>
    <col width="20" customWidth="1" min="4" max="4"/>
    <col width="20" customWidth="1" min="5" max="5"/>
    <col width="3" customWidth="1" min="6" max="6"/>
  </cols>
  <sheetData>
    <row r="1" ht="10" customHeight="1"/>
    <row r="2" ht="52" customHeight="1">
      <c r="B2" s="12" t="inlineStr">
        <is>
          <t>ADC-22: DRUG / SUBSTANCE ABUSE COMPLAINT / REPORT FORM</t>
        </is>
      </c>
    </row>
    <row r="3" ht="18" customHeight="1">
      <c r="B3" s="18" t="inlineStr">
        <is>
          <t>STRICTLY CONFIDENTIAL — Student identity protected throughout. This form is accessible only to ADC members and Principal.</t>
        </is>
      </c>
    </row>
    <row r="4" ht="22" customHeight="1">
      <c r="B4" s="13" t="inlineStr">
        <is>
          <t>Legal Framework: NDPS Act 1985 (Narcotic Drugs &amp; Psychotropic Substances) | UGC Guidelines on Anti-Drug Measures | Prevention of Illicit Traffic in Narcotic Drugs &amp; Psychotropic Substances Act 1988 | Juvenile Justice Act</t>
        </is>
      </c>
    </row>
    <row r="5" ht="25" customHeight="1">
      <c r="B5" s="2" t="inlineStr">
        <is>
          <t>Report Ref.: ADC/COMP/______/______   Received by: _______   Date: _______   Time: _______   Mode: [ ] Written  [ ] Verbal  [ ] Online  [ ] Anonymous</t>
        </is>
      </c>
    </row>
    <row r="6" ht="24" customHeight="1">
      <c r="B6" s="20" t="inlineStr">
        <is>
          <t>SECTION A — REPORTER DETAILS</t>
        </is>
      </c>
    </row>
    <row r="7" ht="26" customHeight="1">
      <c r="B7" s="47" t="inlineStr">
        <is>
          <t>Reporter Type:</t>
        </is>
      </c>
      <c r="C7" s="48" t="inlineStr">
        <is>
          <t>[ ] Self-Reporting Student  [ ] Faculty / Staff  [ ] Peer Student  [ ] Warden  [ ] Parent  [ ] Anonymous</t>
        </is>
      </c>
    </row>
    <row r="8" ht="26" customHeight="1">
      <c r="B8" s="47" t="inlineStr">
        <is>
          <t>Reporter Name (if not anonymous):</t>
        </is>
      </c>
      <c r="C8" s="9" t="n"/>
    </row>
    <row r="9" ht="26" customHeight="1">
      <c r="B9" s="47" t="inlineStr">
        <is>
          <t>Designation / Relationship:</t>
        </is>
      </c>
      <c r="C9" s="9" t="n"/>
    </row>
    <row r="10" ht="26" customHeight="1">
      <c r="B10" s="47" t="inlineStr">
        <is>
          <t>Reporter's Contact:</t>
        </is>
      </c>
      <c r="C10" s="9" t="n"/>
    </row>
    <row r="11" ht="26" customHeight="1">
      <c r="B11" s="47" t="inlineStr">
        <is>
          <t>Willing to be identified?</t>
        </is>
      </c>
      <c r="C11" s="48" t="inlineStr">
        <is>
          <t>[ ] Yes  [ ] No — Anonymous</t>
        </is>
      </c>
    </row>
    <row r="12" ht="28" customHeight="1"/>
    <row r="13" ht="24" customHeight="1">
      <c r="B13" s="49" t="inlineStr">
        <is>
          <t>SECTION B — STUDENT REPORTED (CODED)</t>
        </is>
      </c>
    </row>
    <row r="14" ht="26" customHeight="1">
      <c r="B14" s="50" t="inlineStr">
        <is>
          <t>Student Code (do NOT use name here):</t>
        </is>
      </c>
      <c r="C14" s="48" t="inlineStr">
        <is>
          <t>ADC-STU-_______</t>
        </is>
      </c>
    </row>
    <row r="15" ht="26" customHeight="1">
      <c r="B15" s="50" t="inlineStr">
        <is>
          <t>Programme / Year:</t>
        </is>
      </c>
      <c r="C15" s="9" t="n"/>
    </row>
    <row r="16" ht="26" customHeight="1">
      <c r="B16" s="50" t="inlineStr">
        <is>
          <t>Department:</t>
        </is>
      </c>
      <c r="C16" s="9" t="n"/>
    </row>
    <row r="17" ht="26" customHeight="1">
      <c r="B17" s="50" t="inlineStr">
        <is>
          <t>Category:</t>
        </is>
      </c>
      <c r="C17" s="48" t="inlineStr">
        <is>
          <t>[ ] Day Scholar  [ ] Hosteller — Room No.: _______</t>
        </is>
      </c>
    </row>
    <row r="18" ht="26" customHeight="1">
      <c r="B18" s="50" t="inlineStr">
        <is>
          <t>Current Academic Standing:</t>
        </is>
      </c>
      <c r="C18" s="48" t="inlineStr">
        <is>
          <t>[ ] Regular  [ ] On Academic Probation  [ ] Detained</t>
        </is>
      </c>
    </row>
    <row r="19" ht="26" customHeight="1">
      <c r="B19" s="50" t="inlineStr">
        <is>
          <t>History of previous ADC referral?</t>
        </is>
      </c>
      <c r="C19" s="48" t="inlineStr">
        <is>
          <t>[ ] Yes — Ref.: _______   [ ] No</t>
        </is>
      </c>
    </row>
    <row r="20" ht="28" customHeight="1"/>
    <row r="21" ht="24" customHeight="1">
      <c r="B21" s="51" t="inlineStr">
        <is>
          <t>SECTION C — INCIDENT DETAILS</t>
        </is>
      </c>
    </row>
    <row r="22" ht="30" customHeight="1">
      <c r="B22" s="52" t="inlineStr">
        <is>
          <t>Nature of Concern:</t>
        </is>
      </c>
      <c r="C22" s="48" t="inlineStr">
        <is>
          <t>[ ] Suspected Drug Use  [ ] Confirmed Drug Use  [ ] Drug Possession  [ ] Drug Supply / Dealing  [ ] Under Influence (current)  [ ] Multiple Warning Signs</t>
        </is>
      </c>
    </row>
    <row r="23" ht="30" customHeight="1">
      <c r="B23" s="52" t="inlineStr">
        <is>
          <t>Substance(s) suspected:</t>
        </is>
      </c>
      <c r="C23" s="48" t="inlineStr">
        <is>
          <t>[ ] Alcohol  [ ] Cannabis / Marijuana  [ ] Opioids  [ ] Stimulants (amphetamines)  [ ] Inhalants  [ ] Prescription drug misuse  [ ] Unknown substance  [ ] Tobacco / Nicotine</t>
        </is>
      </c>
    </row>
    <row r="24" ht="30" customHeight="1">
      <c r="B24" s="52" t="inlineStr">
        <is>
          <t>Date / Period of Observation:</t>
        </is>
      </c>
      <c r="C24" s="9" t="n"/>
    </row>
    <row r="25" ht="30" customHeight="1">
      <c r="B25" s="52" t="inlineStr">
        <is>
          <t>Location of Incident / Observation:</t>
        </is>
      </c>
      <c r="C25" s="9" t="n"/>
    </row>
    <row r="26" ht="30" customHeight="1">
      <c r="B26" s="52" t="inlineStr">
        <is>
          <t>Evidence / Physical Signs Observed:</t>
        </is>
      </c>
      <c r="C26" s="9" t="n"/>
    </row>
    <row r="27" ht="30" customHeight="1">
      <c r="B27" s="52" t="inlineStr">
        <is>
          <t>Witnesses (if any):</t>
        </is>
      </c>
      <c r="C27" s="9" t="n"/>
    </row>
    <row r="28" ht="30" customHeight="1">
      <c r="B28" s="52" t="inlineStr">
        <is>
          <t>Urgency:</t>
        </is>
      </c>
      <c r="C28" s="48" t="inlineStr">
        <is>
          <t>[ ] Emergency — Student in crisis (medical attention needed NOW)  [ ] Urgent — Act within 24 hrs  [ ] Standard — Act within 7 days</t>
        </is>
      </c>
    </row>
    <row r="29" ht="30" customHeight="1">
      <c r="B29" s="52" t="inlineStr">
        <is>
          <t>Has police been informed?</t>
        </is>
      </c>
      <c r="C29" s="48" t="inlineStr">
        <is>
          <t>[ ] Yes — Case No.: _______   [ ] No  [ ] Not Yet Required</t>
        </is>
      </c>
    </row>
    <row r="30" ht="28" customHeight="1"/>
    <row r="31" ht="24" customHeight="1">
      <c r="B31" s="29" t="inlineStr">
        <is>
          <t>SECTION D — DETAILED ACCOUNT</t>
        </is>
      </c>
    </row>
    <row r="32" ht="22" customHeight="1">
      <c r="B32" s="53" t="inlineStr">
        <is>
          <t>Describe the concern in full detail — observations, conversations, timeline (use additional sheet if needed):</t>
        </is>
      </c>
    </row>
    <row r="33" ht="32" customHeight="1">
      <c r="B33" s="54" t="n"/>
    </row>
    <row r="34" ht="32" customHeight="1">
      <c r="B34" s="54" t="n"/>
    </row>
    <row r="35" ht="32" customHeight="1">
      <c r="B35" s="54" t="n"/>
    </row>
    <row r="36" ht="32" customHeight="1">
      <c r="B36" s="54" t="n"/>
    </row>
    <row r="37" ht="32" customHeight="1">
      <c r="B37" s="54" t="n"/>
    </row>
    <row r="38" ht="32" customHeight="1">
      <c r="B38" s="54" t="n"/>
    </row>
    <row r="39" ht="32" customHeight="1">
      <c r="B39" s="54" t="n"/>
    </row>
    <row r="40" ht="32" customHeight="1">
      <c r="B40" s="54" t="n"/>
    </row>
    <row r="41" ht="28" customHeight="1"/>
    <row r="42" ht="24" customHeight="1">
      <c r="B42" s="20" t="inlineStr">
        <is>
          <t>SECTION E — IMMEDIATE ACTION REQUESTED</t>
        </is>
      </c>
    </row>
    <row r="43" ht="24" customHeight="1">
      <c r="B43" s="42" t="inlineStr">
        <is>
          <t>[ ]  Immediate medical / emergency attention needed</t>
        </is>
      </c>
    </row>
    <row r="44" ht="24" customHeight="1">
      <c r="B44" s="45" t="inlineStr">
        <is>
          <t>[ ]  Counselling referral — voluntary</t>
        </is>
      </c>
    </row>
    <row r="45" ht="24" customHeight="1">
      <c r="B45" s="42" t="inlineStr">
        <is>
          <t>[ ]  Counselling referral — mandated</t>
        </is>
      </c>
    </row>
    <row r="46" ht="24" customHeight="1">
      <c r="B46" s="45" t="inlineStr">
        <is>
          <t>[ ]  Parent / guardian to be informed</t>
        </is>
      </c>
    </row>
    <row r="47" ht="24" customHeight="1">
      <c r="B47" s="42" t="inlineStr">
        <is>
          <t>[ ]  Police referral (drug supply / trafficking)</t>
        </is>
      </c>
    </row>
    <row r="48" ht="24" customHeight="1">
      <c r="B48" s="45" t="inlineStr">
        <is>
          <t>[ ]  Hostel room / bag search (with proper authority)</t>
        </is>
      </c>
    </row>
    <row r="49" ht="24" customHeight="1">
      <c r="B49" s="42" t="inlineStr">
        <is>
          <t>[ ]  Academic accommodation (attendance / exams)</t>
        </is>
      </c>
    </row>
    <row r="50" ht="24" customHeight="1">
      <c r="B50" s="45" t="inlineStr">
        <is>
          <t>[ ]  Other action (specify below):</t>
        </is>
      </c>
    </row>
    <row r="52">
      <c r="B52" s="31" t="inlineStr">
        <is>
          <t>Reporter Signature (if not anonymous): ___________________    Date: ___________________    Received by ADC: ___________________    Ref. No. Assigned: ___________________</t>
        </is>
      </c>
    </row>
  </sheetData>
  <mergeCells count="46">
    <mergeCell ref="C16:E16"/>
    <mergeCell ref="B40:E40"/>
    <mergeCell ref="B49:E49"/>
    <mergeCell ref="B37:E37"/>
    <mergeCell ref="B6:E6"/>
    <mergeCell ref="C22:E22"/>
    <mergeCell ref="B34:E34"/>
    <mergeCell ref="C9:E9"/>
    <mergeCell ref="B33:E33"/>
    <mergeCell ref="B5:E5"/>
    <mergeCell ref="B36:E36"/>
    <mergeCell ref="B32:E32"/>
    <mergeCell ref="B45:E45"/>
    <mergeCell ref="C11:E11"/>
    <mergeCell ref="C27:E27"/>
    <mergeCell ref="B4:E4"/>
    <mergeCell ref="B35:E35"/>
    <mergeCell ref="B50:E50"/>
    <mergeCell ref="C23:E23"/>
    <mergeCell ref="C8:E8"/>
    <mergeCell ref="C17:E17"/>
    <mergeCell ref="B3:E3"/>
    <mergeCell ref="B47:E47"/>
    <mergeCell ref="C7:E7"/>
    <mergeCell ref="B46:E46"/>
    <mergeCell ref="B31:E31"/>
    <mergeCell ref="C28:E28"/>
    <mergeCell ref="C19:E19"/>
    <mergeCell ref="B43:E43"/>
    <mergeCell ref="B52:E52"/>
    <mergeCell ref="B21:E21"/>
    <mergeCell ref="B48:E48"/>
    <mergeCell ref="C18:E18"/>
    <mergeCell ref="B39:E39"/>
    <mergeCell ref="B2:E2"/>
    <mergeCell ref="B42:E42"/>
    <mergeCell ref="C15:E15"/>
    <mergeCell ref="C24:E24"/>
    <mergeCell ref="C14:E14"/>
    <mergeCell ref="B13:E13"/>
    <mergeCell ref="B38:E38"/>
    <mergeCell ref="B44:E44"/>
    <mergeCell ref="C26:E26"/>
    <mergeCell ref="C29:E29"/>
    <mergeCell ref="C25:E25"/>
    <mergeCell ref="C10:E10"/>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2:J32"/>
  <sheetViews>
    <sheetView showGridLines="0" workbookViewId="0">
      <selection activeCell="A1" sqref="A1"/>
    </sheetView>
  </sheetViews>
  <sheetFormatPr baseColWidth="8" defaultRowHeight="15"/>
  <cols>
    <col width="3" customWidth="1" min="1" max="1"/>
    <col width="10" customWidth="1" min="2" max="2"/>
    <col width="20" customWidth="1" min="3" max="3"/>
    <col width="12" customWidth="1" min="4" max="4"/>
    <col width="14" customWidth="1" min="5" max="5"/>
    <col width="12" customWidth="1" min="6" max="6"/>
    <col width="12" customWidth="1" min="7" max="7"/>
    <col width="14" customWidth="1" min="8" max="8"/>
    <col width="14" customWidth="1" min="9" max="9"/>
    <col width="14" customWidth="1" min="10" max="10"/>
    <col width="3" customWidth="1" min="11" max="11"/>
  </cols>
  <sheetData>
    <row r="1" ht="10" customHeight="1"/>
    <row r="2" ht="48" customHeight="1">
      <c r="B2" s="12" t="inlineStr">
        <is>
          <t>ADC-23: DRUG ABUSE CASE REGISTRATION &amp; TRACKING REGISTER</t>
        </is>
      </c>
    </row>
    <row r="3" ht="18" customHeight="1">
      <c r="B3" s="18" t="inlineStr">
        <is>
          <t>CONFIDENTIAL — Legal Document. Student identity coded. Retain minimum 5 years. Access restricted to ADC members and Principal.</t>
        </is>
      </c>
    </row>
    <row r="4" ht="25" customHeight="1">
      <c r="B4" s="21" t="inlineStr">
        <is>
          <t>Case
Ref.</t>
        </is>
      </c>
      <c r="C4" s="21" t="inlineStr">
        <is>
          <t>Student
(Code)</t>
        </is>
      </c>
      <c r="D4" s="21" t="inlineStr">
        <is>
          <t>Nature of
Concern</t>
        </is>
      </c>
      <c r="E4" s="21" t="inlineStr">
        <is>
          <t>Date
Received</t>
        </is>
      </c>
      <c r="F4" s="21" t="inlineStr">
        <is>
          <t>Severity
(H/M/L)</t>
        </is>
      </c>
      <c r="G4" s="21" t="inlineStr">
        <is>
          <t>Counselling
Assigned</t>
        </is>
      </c>
      <c r="H4" s="21" t="inlineStr">
        <is>
          <t>Police
Involved</t>
        </is>
      </c>
      <c r="I4" s="21" t="inlineStr">
        <is>
          <t>Parent
Informed</t>
        </is>
      </c>
      <c r="J4" s="21" t="inlineStr">
        <is>
          <t>Current
Status</t>
        </is>
      </c>
    </row>
    <row r="5" ht="24" customHeight="1">
      <c r="B5" s="14" t="inlineStr">
        <is>
          <t>ADC/2024/0001</t>
        </is>
      </c>
      <c r="C5" s="16" t="inlineStr">
        <is>
          <t>STU-001</t>
        </is>
      </c>
      <c r="D5" s="15" t="inlineStr">
        <is>
          <t>Suspected Drug Use — Warning Signs</t>
        </is>
      </c>
      <c r="E5" s="16" t="inlineStr"/>
      <c r="F5" s="14" t="inlineStr">
        <is>
          <t>H</t>
        </is>
      </c>
      <c r="G5" s="16" t="inlineStr">
        <is>
          <t>Y</t>
        </is>
      </c>
      <c r="H5" s="16" t="inlineStr">
        <is>
          <t>N</t>
        </is>
      </c>
      <c r="I5" s="16" t="inlineStr">
        <is>
          <t>Y</t>
        </is>
      </c>
      <c r="J5" s="16" t="inlineStr">
        <is>
          <t>Open — Assessment Pending</t>
        </is>
      </c>
    </row>
    <row r="6" ht="24" customHeight="1">
      <c r="B6" s="8" t="inlineStr">
        <is>
          <t>ADC/2024/0002</t>
        </is>
      </c>
      <c r="C6" s="10" t="inlineStr">
        <is>
          <t>STU-002</t>
        </is>
      </c>
      <c r="D6" s="9" t="inlineStr">
        <is>
          <t>Confirmed Alcohol Use</t>
        </is>
      </c>
      <c r="E6" s="10" t="inlineStr"/>
      <c r="F6" s="8" t="inlineStr">
        <is>
          <t>M</t>
        </is>
      </c>
      <c r="G6" s="10" t="inlineStr">
        <is>
          <t>Y</t>
        </is>
      </c>
      <c r="H6" s="10" t="inlineStr">
        <is>
          <t>N</t>
        </is>
      </c>
      <c r="I6" s="10" t="inlineStr">
        <is>
          <t>Y</t>
        </is>
      </c>
      <c r="J6" s="10" t="inlineStr">
        <is>
          <t>Counselling In-Progress</t>
        </is>
      </c>
    </row>
    <row r="7" ht="24" customHeight="1">
      <c r="B7" s="14" t="inlineStr">
        <is>
          <t>ADC/2024/0003</t>
        </is>
      </c>
      <c r="C7" s="16" t="inlineStr">
        <is>
          <t>STU-003</t>
        </is>
      </c>
      <c r="D7" s="15" t="inlineStr">
        <is>
          <t>Cannabis / Marijuana Use</t>
        </is>
      </c>
      <c r="E7" s="16" t="inlineStr"/>
      <c r="F7" s="14" t="inlineStr">
        <is>
          <t>L</t>
        </is>
      </c>
      <c r="G7" s="16" t="inlineStr">
        <is>
          <t>Y</t>
        </is>
      </c>
      <c r="H7" s="16" t="inlineStr">
        <is>
          <t>N</t>
        </is>
      </c>
      <c r="I7" s="16" t="inlineStr">
        <is>
          <t>Y</t>
        </is>
      </c>
      <c r="J7" s="16" t="inlineStr">
        <is>
          <t>Referred for Rehabilitation</t>
        </is>
      </c>
    </row>
    <row r="8" ht="24" customHeight="1">
      <c r="B8" s="8" t="inlineStr">
        <is>
          <t>ADC/2024/0004</t>
        </is>
      </c>
      <c r="C8" s="10" t="inlineStr">
        <is>
          <t>STU-004</t>
        </is>
      </c>
      <c r="D8" s="9" t="inlineStr">
        <is>
          <t>Prescription Drug Misuse</t>
        </is>
      </c>
      <c r="E8" s="10" t="inlineStr"/>
      <c r="F8" s="8" t="inlineStr">
        <is>
          <t>H</t>
        </is>
      </c>
      <c r="G8" s="10" t="inlineStr">
        <is>
          <t>Y</t>
        </is>
      </c>
      <c r="H8" s="10" t="inlineStr">
        <is>
          <t>N</t>
        </is>
      </c>
      <c r="I8" s="10" t="inlineStr">
        <is>
          <t>Y</t>
        </is>
      </c>
      <c r="J8" s="10" t="inlineStr">
        <is>
          <t>Police Case Filed</t>
        </is>
      </c>
    </row>
    <row r="9" ht="24" customHeight="1">
      <c r="B9" s="14" t="inlineStr">
        <is>
          <t>ADC/2024/0005</t>
        </is>
      </c>
      <c r="C9" s="16" t="inlineStr">
        <is>
          <t>STU-005</t>
        </is>
      </c>
      <c r="D9" s="15" t="inlineStr">
        <is>
          <t>Inhalant Use</t>
        </is>
      </c>
      <c r="E9" s="16" t="inlineStr"/>
      <c r="F9" s="14" t="inlineStr">
        <is>
          <t>M</t>
        </is>
      </c>
      <c r="G9" s="16" t="inlineStr">
        <is>
          <t>Y</t>
        </is>
      </c>
      <c r="H9" s="16" t="inlineStr">
        <is>
          <t>N</t>
        </is>
      </c>
      <c r="I9" s="16" t="inlineStr">
        <is>
          <t>Y</t>
        </is>
      </c>
      <c r="J9" s="16" t="inlineStr">
        <is>
          <t>Under ADC Inquiry</t>
        </is>
      </c>
    </row>
    <row r="10" ht="24" customHeight="1">
      <c r="B10" s="8" t="inlineStr">
        <is>
          <t>ADC/2024/0006</t>
        </is>
      </c>
      <c r="C10" s="10" t="inlineStr">
        <is>
          <t>STU-006</t>
        </is>
      </c>
      <c r="D10" s="9" t="inlineStr">
        <is>
          <t>Hard Drug Use (Opioid / Stimulant)</t>
        </is>
      </c>
      <c r="E10" s="10" t="inlineStr"/>
      <c r="F10" s="8" t="inlineStr">
        <is>
          <t>H</t>
        </is>
      </c>
      <c r="G10" s="10" t="inlineStr">
        <is>
          <t>Y</t>
        </is>
      </c>
      <c r="H10" s="10" t="inlineStr">
        <is>
          <t>N</t>
        </is>
      </c>
      <c r="I10" s="10" t="inlineStr">
        <is>
          <t>Y</t>
        </is>
      </c>
      <c r="J10" s="10" t="inlineStr">
        <is>
          <t>Decision Pending</t>
        </is>
      </c>
    </row>
    <row r="11" ht="24" customHeight="1">
      <c r="B11" s="14" t="inlineStr">
        <is>
          <t>ADC/2024/0007</t>
        </is>
      </c>
      <c r="C11" s="16" t="inlineStr">
        <is>
          <t>STU-007</t>
        </is>
      </c>
      <c r="D11" s="15" t="inlineStr">
        <is>
          <t>Drug Possession</t>
        </is>
      </c>
      <c r="E11" s="16" t="inlineStr"/>
      <c r="F11" s="14" t="inlineStr">
        <is>
          <t>M</t>
        </is>
      </c>
      <c r="G11" s="16" t="inlineStr">
        <is>
          <t>Y</t>
        </is>
      </c>
      <c r="H11" s="16" t="inlineStr">
        <is>
          <t>N</t>
        </is>
      </c>
      <c r="I11" s="16" t="inlineStr">
        <is>
          <t>Y</t>
        </is>
      </c>
      <c r="J11" s="16" t="inlineStr">
        <is>
          <t>Completed — Recovered</t>
        </is>
      </c>
    </row>
    <row r="12" ht="24" customHeight="1">
      <c r="B12" s="8" t="inlineStr">
        <is>
          <t>ADC/2024/0008</t>
        </is>
      </c>
      <c r="C12" s="10" t="inlineStr">
        <is>
          <t>STU-008</t>
        </is>
      </c>
      <c r="D12" s="9" t="inlineStr">
        <is>
          <t>Drug Supply / Dealing</t>
        </is>
      </c>
      <c r="E12" s="10" t="inlineStr"/>
      <c r="F12" s="8" t="inlineStr">
        <is>
          <t>L</t>
        </is>
      </c>
      <c r="G12" s="10" t="inlineStr">
        <is>
          <t>Y</t>
        </is>
      </c>
      <c r="H12" s="10" t="inlineStr">
        <is>
          <t>N</t>
        </is>
      </c>
      <c r="I12" s="10" t="inlineStr">
        <is>
          <t>Y</t>
        </is>
      </c>
      <c r="J12" s="10" t="inlineStr">
        <is>
          <t>Closed — No Substance Found</t>
        </is>
      </c>
    </row>
    <row r="13" ht="24" customHeight="1">
      <c r="B13" s="14" t="inlineStr">
        <is>
          <t>ADC/2024/0009</t>
        </is>
      </c>
      <c r="C13" s="16" t="inlineStr">
        <is>
          <t>STU-009</t>
        </is>
      </c>
      <c r="D13" s="15" t="inlineStr">
        <is>
          <t>Under Influence — Emergency</t>
        </is>
      </c>
      <c r="E13" s="16" t="inlineStr"/>
      <c r="F13" s="14" t="inlineStr">
        <is>
          <t>H</t>
        </is>
      </c>
      <c r="G13" s="16" t="inlineStr">
        <is>
          <t>Y</t>
        </is>
      </c>
      <c r="H13" s="16" t="inlineStr">
        <is>
          <t>N</t>
        </is>
      </c>
      <c r="I13" s="16" t="inlineStr">
        <is>
          <t>Y</t>
        </is>
      </c>
      <c r="J13" s="16" t="inlineStr">
        <is>
          <t>Expelled / Rusticated</t>
        </is>
      </c>
    </row>
    <row r="14" ht="24" customHeight="1">
      <c r="B14" s="8" t="inlineStr">
        <is>
          <t>ADC/2024/0010</t>
        </is>
      </c>
      <c r="C14" s="10" t="inlineStr">
        <is>
          <t>STU-010</t>
        </is>
      </c>
      <c r="D14" s="9" t="inlineStr">
        <is>
          <t>Multiple Substance Use</t>
        </is>
      </c>
      <c r="E14" s="10" t="inlineStr"/>
      <c r="F14" s="8" t="inlineStr">
        <is>
          <t>M</t>
        </is>
      </c>
      <c r="G14" s="10" t="inlineStr">
        <is>
          <t>Y</t>
        </is>
      </c>
      <c r="H14" s="10" t="inlineStr">
        <is>
          <t>N</t>
        </is>
      </c>
      <c r="I14" s="10" t="inlineStr">
        <is>
          <t>Y</t>
        </is>
      </c>
      <c r="J14" s="10" t="inlineStr">
        <is>
          <t>Monitoring — Post-Rehab</t>
        </is>
      </c>
    </row>
    <row r="15" ht="24" customHeight="1">
      <c r="B15" s="14" t="inlineStr">
        <is>
          <t>ADC/2025/0011</t>
        </is>
      </c>
      <c r="C15" s="16" t="inlineStr">
        <is>
          <t>STU-011</t>
        </is>
      </c>
      <c r="D15" s="15" t="inlineStr">
        <is>
          <t>Suspected Drug Use — Warning Signs</t>
        </is>
      </c>
      <c r="E15" s="16" t="inlineStr"/>
      <c r="F15" s="14" t="inlineStr">
        <is>
          <t>H</t>
        </is>
      </c>
      <c r="G15" s="16" t="inlineStr">
        <is>
          <t>Y</t>
        </is>
      </c>
      <c r="H15" s="16" t="inlineStr">
        <is>
          <t>N</t>
        </is>
      </c>
      <c r="I15" s="16" t="inlineStr">
        <is>
          <t>Y</t>
        </is>
      </c>
      <c r="J15" s="16" t="inlineStr">
        <is>
          <t>Open — Assessment Pending</t>
        </is>
      </c>
    </row>
    <row r="16" ht="24" customHeight="1">
      <c r="B16" s="8" t="inlineStr">
        <is>
          <t>ADC/2025/0012</t>
        </is>
      </c>
      <c r="C16" s="10" t="inlineStr">
        <is>
          <t>STU-012</t>
        </is>
      </c>
      <c r="D16" s="9" t="inlineStr">
        <is>
          <t>Confirmed Alcohol Use</t>
        </is>
      </c>
      <c r="E16" s="10" t="inlineStr"/>
      <c r="F16" s="8" t="inlineStr">
        <is>
          <t>M</t>
        </is>
      </c>
      <c r="G16" s="10" t="inlineStr">
        <is>
          <t>Y</t>
        </is>
      </c>
      <c r="H16" s="10" t="inlineStr">
        <is>
          <t>N</t>
        </is>
      </c>
      <c r="I16" s="10" t="inlineStr">
        <is>
          <t>Y</t>
        </is>
      </c>
      <c r="J16" s="10" t="inlineStr">
        <is>
          <t>Counselling In-Progress</t>
        </is>
      </c>
    </row>
    <row r="17" ht="24" customHeight="1">
      <c r="B17" s="14" t="inlineStr">
        <is>
          <t>ADC/2025/0013</t>
        </is>
      </c>
      <c r="C17" s="16" t="inlineStr">
        <is>
          <t>STU-013</t>
        </is>
      </c>
      <c r="D17" s="15" t="inlineStr">
        <is>
          <t>Cannabis / Marijuana Use</t>
        </is>
      </c>
      <c r="E17" s="16" t="inlineStr"/>
      <c r="F17" s="14" t="inlineStr">
        <is>
          <t>L</t>
        </is>
      </c>
      <c r="G17" s="16" t="inlineStr">
        <is>
          <t>Y</t>
        </is>
      </c>
      <c r="H17" s="16" t="inlineStr">
        <is>
          <t>N</t>
        </is>
      </c>
      <c r="I17" s="16" t="inlineStr">
        <is>
          <t>Y</t>
        </is>
      </c>
      <c r="J17" s="16" t="inlineStr">
        <is>
          <t>Referred for Rehabilitation</t>
        </is>
      </c>
    </row>
    <row r="18" ht="24" customHeight="1">
      <c r="B18" s="8" t="inlineStr">
        <is>
          <t>ADC/2025/0014</t>
        </is>
      </c>
      <c r="C18" s="10" t="inlineStr">
        <is>
          <t>STU-014</t>
        </is>
      </c>
      <c r="D18" s="9" t="inlineStr">
        <is>
          <t>Prescription Drug Misuse</t>
        </is>
      </c>
      <c r="E18" s="10" t="inlineStr"/>
      <c r="F18" s="8" t="inlineStr">
        <is>
          <t>H</t>
        </is>
      </c>
      <c r="G18" s="10" t="inlineStr">
        <is>
          <t>Y</t>
        </is>
      </c>
      <c r="H18" s="10" t="inlineStr">
        <is>
          <t>N</t>
        </is>
      </c>
      <c r="I18" s="10" t="inlineStr">
        <is>
          <t>Y</t>
        </is>
      </c>
      <c r="J18" s="10" t="inlineStr">
        <is>
          <t>Police Case Filed</t>
        </is>
      </c>
    </row>
    <row r="19" ht="24" customHeight="1">
      <c r="B19" s="14" t="inlineStr">
        <is>
          <t>ADC/2025/0015</t>
        </is>
      </c>
      <c r="C19" s="16" t="inlineStr">
        <is>
          <t>STU-015</t>
        </is>
      </c>
      <c r="D19" s="15" t="inlineStr">
        <is>
          <t>Inhalant Use</t>
        </is>
      </c>
      <c r="E19" s="16" t="inlineStr"/>
      <c r="F19" s="14" t="inlineStr">
        <is>
          <t>M</t>
        </is>
      </c>
      <c r="G19" s="16" t="inlineStr">
        <is>
          <t>Y</t>
        </is>
      </c>
      <c r="H19" s="16" t="inlineStr">
        <is>
          <t>N</t>
        </is>
      </c>
      <c r="I19" s="16" t="inlineStr">
        <is>
          <t>Y</t>
        </is>
      </c>
      <c r="J19" s="16" t="inlineStr">
        <is>
          <t>Under ADC Inquiry</t>
        </is>
      </c>
    </row>
    <row r="20" ht="24" customHeight="1">
      <c r="B20" s="8" t="inlineStr">
        <is>
          <t>ADC/2025/0016</t>
        </is>
      </c>
      <c r="C20" s="10" t="inlineStr">
        <is>
          <t>STU-016</t>
        </is>
      </c>
      <c r="D20" s="9" t="inlineStr">
        <is>
          <t>Hard Drug Use (Opioid / Stimulant)</t>
        </is>
      </c>
      <c r="E20" s="10" t="inlineStr"/>
      <c r="F20" s="8" t="inlineStr">
        <is>
          <t>H</t>
        </is>
      </c>
      <c r="G20" s="10" t="inlineStr">
        <is>
          <t>Y</t>
        </is>
      </c>
      <c r="H20" s="10" t="inlineStr">
        <is>
          <t>N</t>
        </is>
      </c>
      <c r="I20" s="10" t="inlineStr">
        <is>
          <t>Y</t>
        </is>
      </c>
      <c r="J20" s="10" t="inlineStr">
        <is>
          <t>Decision Pending</t>
        </is>
      </c>
    </row>
    <row r="21" ht="24" customHeight="1">
      <c r="B21" s="14" t="inlineStr">
        <is>
          <t>ADC/2025/0017</t>
        </is>
      </c>
      <c r="C21" s="16" t="inlineStr">
        <is>
          <t>STU-017</t>
        </is>
      </c>
      <c r="D21" s="15" t="inlineStr">
        <is>
          <t>Drug Possession</t>
        </is>
      </c>
      <c r="E21" s="16" t="inlineStr"/>
      <c r="F21" s="14" t="inlineStr">
        <is>
          <t>M</t>
        </is>
      </c>
      <c r="G21" s="16" t="inlineStr">
        <is>
          <t>Y</t>
        </is>
      </c>
      <c r="H21" s="16" t="inlineStr">
        <is>
          <t>N</t>
        </is>
      </c>
      <c r="I21" s="16" t="inlineStr">
        <is>
          <t>Y</t>
        </is>
      </c>
      <c r="J21" s="16" t="inlineStr">
        <is>
          <t>Completed — Recovered</t>
        </is>
      </c>
    </row>
    <row r="22" ht="24" customHeight="1">
      <c r="B22" s="8" t="inlineStr">
        <is>
          <t>ADC/2025/0018</t>
        </is>
      </c>
      <c r="C22" s="10" t="inlineStr">
        <is>
          <t>STU-018</t>
        </is>
      </c>
      <c r="D22" s="9" t="inlineStr">
        <is>
          <t>Drug Supply / Dealing</t>
        </is>
      </c>
      <c r="E22" s="10" t="inlineStr"/>
      <c r="F22" s="8" t="inlineStr">
        <is>
          <t>L</t>
        </is>
      </c>
      <c r="G22" s="10" t="inlineStr">
        <is>
          <t>Y</t>
        </is>
      </c>
      <c r="H22" s="10" t="inlineStr">
        <is>
          <t>N</t>
        </is>
      </c>
      <c r="I22" s="10" t="inlineStr">
        <is>
          <t>Y</t>
        </is>
      </c>
      <c r="J22" s="10" t="inlineStr">
        <is>
          <t>Closed — No Substance Found</t>
        </is>
      </c>
    </row>
    <row r="23" ht="24" customHeight="1">
      <c r="B23" s="14" t="inlineStr">
        <is>
          <t>ADC/2025/0019</t>
        </is>
      </c>
      <c r="C23" s="16" t="inlineStr">
        <is>
          <t>STU-019</t>
        </is>
      </c>
      <c r="D23" s="15" t="inlineStr">
        <is>
          <t>Under Influence — Emergency</t>
        </is>
      </c>
      <c r="E23" s="16" t="inlineStr"/>
      <c r="F23" s="14" t="inlineStr">
        <is>
          <t>H</t>
        </is>
      </c>
      <c r="G23" s="16" t="inlineStr">
        <is>
          <t>Y</t>
        </is>
      </c>
      <c r="H23" s="16" t="inlineStr">
        <is>
          <t>N</t>
        </is>
      </c>
      <c r="I23" s="16" t="inlineStr">
        <is>
          <t>Y</t>
        </is>
      </c>
      <c r="J23" s="16" t="inlineStr">
        <is>
          <t>Expelled / Rusticated</t>
        </is>
      </c>
    </row>
    <row r="24" ht="24" customHeight="1">
      <c r="B24" s="8" t="inlineStr">
        <is>
          <t>ADC/2025/0020</t>
        </is>
      </c>
      <c r="C24" s="10" t="inlineStr">
        <is>
          <t>STU-020</t>
        </is>
      </c>
      <c r="D24" s="9" t="inlineStr">
        <is>
          <t>Multiple Substance Use</t>
        </is>
      </c>
      <c r="E24" s="10" t="inlineStr"/>
      <c r="F24" s="8" t="inlineStr">
        <is>
          <t>M</t>
        </is>
      </c>
      <c r="G24" s="10" t="inlineStr">
        <is>
          <t>Y</t>
        </is>
      </c>
      <c r="H24" s="10" t="inlineStr">
        <is>
          <t>N</t>
        </is>
      </c>
      <c r="I24" s="10" t="inlineStr">
        <is>
          <t>Y</t>
        </is>
      </c>
      <c r="J24" s="10" t="inlineStr">
        <is>
          <t>Monitoring — Post-Rehab</t>
        </is>
      </c>
    </row>
    <row r="25" ht="24" customHeight="1"/>
    <row r="26" ht="24" customHeight="1">
      <c r="B26" s="36" t="inlineStr">
        <is>
          <t>CASE REGISTER SUMMARY</t>
        </is>
      </c>
    </row>
    <row r="27" ht="24" customHeight="1">
      <c r="B27" s="40" t="inlineStr">
        <is>
          <t>Total Cases Registered</t>
        </is>
      </c>
      <c r="F27" s="38">
        <f>COUNTA(B5:B24)</f>
        <v/>
      </c>
    </row>
    <row r="28" ht="24" customHeight="1">
      <c r="B28" s="27" t="inlineStr">
        <is>
          <t>High Severity</t>
        </is>
      </c>
      <c r="F28" s="39">
        <f>COUNTIF(F5:F24,"H")</f>
        <v/>
      </c>
    </row>
    <row r="29" ht="24" customHeight="1">
      <c r="B29" s="40" t="inlineStr">
        <is>
          <t>Police Involved Cases</t>
        </is>
      </c>
      <c r="F29" s="38">
        <f>COUNTIF(H5:H24,"Y")</f>
        <v/>
      </c>
    </row>
    <row r="30">
      <c r="B30" s="27" t="inlineStr">
        <is>
          <t>Counselling In-Progress</t>
        </is>
      </c>
      <c r="F30" s="39">
        <f>COUNTIF(J5:J24,"Counselling In-Progress")</f>
        <v/>
      </c>
    </row>
    <row r="31">
      <c r="B31" s="40" t="inlineStr">
        <is>
          <t>Referred for Rehabilitation</t>
        </is>
      </c>
      <c r="F31" s="38">
        <f>COUNTIF(J5:J24,"Referred for Rehabilitation")</f>
        <v/>
      </c>
    </row>
    <row r="32">
      <c r="B32" s="27" t="inlineStr">
        <is>
          <t>Recovered / Closed</t>
        </is>
      </c>
      <c r="F32" s="39">
        <f>COUNTIF(J5:J24,"Completed — Recovered")</f>
        <v/>
      </c>
    </row>
  </sheetData>
  <mergeCells count="15">
    <mergeCell ref="B31:E31"/>
    <mergeCell ref="F30:J30"/>
    <mergeCell ref="B27:E27"/>
    <mergeCell ref="B3:J3"/>
    <mergeCell ref="F29:J29"/>
    <mergeCell ref="B28:E28"/>
    <mergeCell ref="B30:E30"/>
    <mergeCell ref="B26:J26"/>
    <mergeCell ref="F28:J28"/>
    <mergeCell ref="B29:E29"/>
    <mergeCell ref="F31:J31"/>
    <mergeCell ref="B2:J2"/>
    <mergeCell ref="F32:J32"/>
    <mergeCell ref="F27:J27"/>
    <mergeCell ref="B32:E3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2:J35"/>
  <sheetViews>
    <sheetView showGridLines="0" workbookViewId="0">
      <selection activeCell="A1" sqref="A1"/>
    </sheetView>
  </sheetViews>
  <sheetFormatPr baseColWidth="8" defaultRowHeight="15"/>
  <cols>
    <col width="3" customWidth="1" min="1" max="1"/>
    <col width="10" customWidth="1" min="2" max="2"/>
    <col width="22" customWidth="1" min="3" max="3"/>
    <col width="12" customWidth="1" min="4" max="4"/>
    <col width="14" customWidth="1" min="5" max="5"/>
    <col width="12" customWidth="1" min="6" max="6"/>
    <col width="12" customWidth="1" min="7" max="7"/>
    <col width="14" customWidth="1" min="8" max="8"/>
    <col width="14" customWidth="1" min="9" max="9"/>
    <col width="14" customWidth="1" min="10" max="10"/>
    <col width="3" customWidth="1" min="11" max="11"/>
  </cols>
  <sheetData>
    <row r="1" ht="10" customHeight="1"/>
    <row r="2" ht="48" customHeight="1">
      <c r="B2" s="12" t="inlineStr">
        <is>
          <t>ADC-29: STUDENT COUNSELLING SESSION REGISTER</t>
        </is>
      </c>
    </row>
    <row r="3" ht="18" customHeight="1">
      <c r="B3" s="18" t="inlineStr">
        <is>
          <t>CONFIDENTIAL — Counselling records are privileged. No third-party access without student written consent. Exceptions: risk to life (suicidal ideation / severe harm).</t>
        </is>
      </c>
    </row>
    <row r="4" ht="25" customHeight="1">
      <c r="B4" s="2" t="inlineStr">
        <is>
          <t>Counsellor: ___________________  Qualification: ___________________  A.Y.: _______</t>
        </is>
      </c>
    </row>
    <row r="5" ht="24" customHeight="1">
      <c r="B5" s="32" t="inlineStr">
        <is>
          <t>Session
Ref.</t>
        </is>
      </c>
      <c r="C5" s="32" t="inlineStr">
        <is>
          <t>Student
(Code)</t>
        </is>
      </c>
      <c r="D5" s="32" t="inlineStr">
        <is>
          <t>Case Ref.</t>
        </is>
      </c>
      <c r="E5" s="32" t="inlineStr">
        <is>
          <t>Session
Type</t>
        </is>
      </c>
      <c r="F5" s="32" t="inlineStr">
        <is>
          <t>Date</t>
        </is>
      </c>
      <c r="G5" s="32" t="inlineStr">
        <is>
          <t>Duration
(Mins)</t>
        </is>
      </c>
      <c r="H5" s="32" t="inlineStr">
        <is>
          <t>Session
Focus</t>
        </is>
      </c>
      <c r="I5" s="32" t="inlineStr">
        <is>
          <t>Student
Cooperation</t>
        </is>
      </c>
      <c r="J5" s="32" t="inlineStr">
        <is>
          <t>Progress
Rating</t>
        </is>
      </c>
    </row>
    <row r="6" ht="24" customHeight="1">
      <c r="B6" s="33" t="inlineStr">
        <is>
          <t>CS/001</t>
        </is>
      </c>
      <c r="C6" s="35" t="inlineStr">
        <is>
          <t>STU-001</t>
        </is>
      </c>
      <c r="D6" s="35" t="inlineStr">
        <is>
          <t>ADC/2024/0001</t>
        </is>
      </c>
      <c r="E6" s="35" t="inlineStr">
        <is>
          <t>Individual — Initial Assessment</t>
        </is>
      </c>
      <c r="F6" s="35" t="inlineStr"/>
      <c r="G6" s="35" t="inlineStr"/>
      <c r="H6" s="34" t="inlineStr">
        <is>
          <t>Drug use history &amp; pattern</t>
        </is>
      </c>
      <c r="I6" s="35" t="inlineStr">
        <is>
          <t>Cooperative</t>
        </is>
      </c>
      <c r="J6" s="35" t="inlineStr">
        <is>
          <t>Excellent — Highly Motivated</t>
        </is>
      </c>
    </row>
    <row r="7" ht="24" customHeight="1">
      <c r="B7" s="8" t="inlineStr">
        <is>
          <t>CS/002</t>
        </is>
      </c>
      <c r="C7" s="10" t="inlineStr">
        <is>
          <t>STU-002</t>
        </is>
      </c>
      <c r="D7" s="10" t="inlineStr">
        <is>
          <t>ADC/2024/0002</t>
        </is>
      </c>
      <c r="E7" s="10" t="inlineStr">
        <is>
          <t>Individual — Motivational Interviewing</t>
        </is>
      </c>
      <c r="F7" s="10" t="inlineStr"/>
      <c r="G7" s="10" t="inlineStr"/>
      <c r="H7" s="9" t="inlineStr">
        <is>
          <t>Motivation to change</t>
        </is>
      </c>
      <c r="I7" s="10" t="inlineStr">
        <is>
          <t>Cooperative</t>
        </is>
      </c>
      <c r="J7" s="10" t="inlineStr">
        <is>
          <t>Good — Cooperative</t>
        </is>
      </c>
    </row>
    <row r="8" ht="24" customHeight="1">
      <c r="B8" s="33" t="inlineStr">
        <is>
          <t>CS/003</t>
        </is>
      </c>
      <c r="C8" s="35" t="inlineStr">
        <is>
          <t>STU-003</t>
        </is>
      </c>
      <c r="D8" s="35" t="inlineStr">
        <is>
          <t>ADC/2024/0003</t>
        </is>
      </c>
      <c r="E8" s="35" t="inlineStr">
        <is>
          <t>Individual — CBT Session</t>
        </is>
      </c>
      <c r="F8" s="35" t="inlineStr"/>
      <c r="G8" s="35" t="inlineStr"/>
      <c r="H8" s="34" t="inlineStr">
        <is>
          <t>Triggers &amp; coping strategies</t>
        </is>
      </c>
      <c r="I8" s="35" t="inlineStr">
        <is>
          <t>Cooperative</t>
        </is>
      </c>
      <c r="J8" s="35" t="inlineStr">
        <is>
          <t>Moderate — Ambivalent</t>
        </is>
      </c>
    </row>
    <row r="9" ht="24" customHeight="1">
      <c r="B9" s="8" t="inlineStr">
        <is>
          <t>CS/004</t>
        </is>
      </c>
      <c r="C9" s="10" t="inlineStr">
        <is>
          <t>STU-004</t>
        </is>
      </c>
      <c r="D9" s="10" t="inlineStr">
        <is>
          <t>ADC/2024/0004</t>
        </is>
      </c>
      <c r="E9" s="10" t="inlineStr">
        <is>
          <t>Individual — Relapse Prevention</t>
        </is>
      </c>
      <c r="F9" s="10" t="inlineStr"/>
      <c r="G9" s="10" t="inlineStr"/>
      <c r="H9" s="9" t="inlineStr">
        <is>
          <t>Peer pressure management</t>
        </is>
      </c>
      <c r="I9" s="10" t="inlineStr">
        <is>
          <t>Cooperative</t>
        </is>
      </c>
      <c r="J9" s="10" t="inlineStr">
        <is>
          <t>Poor — Resistant</t>
        </is>
      </c>
    </row>
    <row r="10" ht="24" customHeight="1">
      <c r="B10" s="33" t="inlineStr">
        <is>
          <t>CS/005</t>
        </is>
      </c>
      <c r="C10" s="35" t="inlineStr">
        <is>
          <t>STU-005</t>
        </is>
      </c>
      <c r="D10" s="35" t="inlineStr">
        <is>
          <t>ADC/2024/0005</t>
        </is>
      </c>
      <c r="E10" s="35" t="inlineStr">
        <is>
          <t>Group Counselling</t>
        </is>
      </c>
      <c r="F10" s="35" t="inlineStr"/>
      <c r="G10" s="35" t="inlineStr"/>
      <c r="H10" s="34" t="inlineStr">
        <is>
          <t>Family dynamics</t>
        </is>
      </c>
      <c r="I10" s="35" t="inlineStr">
        <is>
          <t>Cooperative</t>
        </is>
      </c>
      <c r="J10" s="35" t="inlineStr">
        <is>
          <t>Crisis — Immediate Escalation</t>
        </is>
      </c>
    </row>
    <row r="11" ht="24" customHeight="1">
      <c r="B11" s="8" t="inlineStr">
        <is>
          <t>CS/006</t>
        </is>
      </c>
      <c r="C11" s="10" t="inlineStr">
        <is>
          <t>STU-006</t>
        </is>
      </c>
      <c r="D11" s="10" t="inlineStr">
        <is>
          <t>ADC/2024/0006</t>
        </is>
      </c>
      <c r="E11" s="10" t="inlineStr">
        <is>
          <t>Family / Parent Session</t>
        </is>
      </c>
      <c r="F11" s="10" t="inlineStr"/>
      <c r="G11" s="10" t="inlineStr"/>
      <c r="H11" s="9" t="inlineStr">
        <is>
          <t>Academic impact</t>
        </is>
      </c>
      <c r="I11" s="10" t="inlineStr">
        <is>
          <t>Cooperative</t>
        </is>
      </c>
      <c r="J11" s="10" t="inlineStr">
        <is>
          <t>Excellent — Highly Motivated</t>
        </is>
      </c>
    </row>
    <row r="12" ht="24" customHeight="1">
      <c r="B12" s="33" t="inlineStr">
        <is>
          <t>CS/007</t>
        </is>
      </c>
      <c r="C12" s="35" t="inlineStr">
        <is>
          <t>STU-007</t>
        </is>
      </c>
      <c r="D12" s="35" t="inlineStr">
        <is>
          <t>ADC/2024/0007</t>
        </is>
      </c>
      <c r="E12" s="35" t="inlineStr">
        <is>
          <t>Crisis Intervention</t>
        </is>
      </c>
      <c r="F12" s="35" t="inlineStr"/>
      <c r="G12" s="35" t="inlineStr"/>
      <c r="H12" s="34" t="inlineStr">
        <is>
          <t>Mental health co-morbidity</t>
        </is>
      </c>
      <c r="I12" s="35" t="inlineStr">
        <is>
          <t>Cooperative</t>
        </is>
      </c>
      <c r="J12" s="35" t="inlineStr">
        <is>
          <t>Good — Cooperative</t>
        </is>
      </c>
    </row>
    <row r="13" ht="24" customHeight="1">
      <c r="B13" s="8" t="inlineStr">
        <is>
          <t>CS/008</t>
        </is>
      </c>
      <c r="C13" s="10" t="inlineStr">
        <is>
          <t>STU-008</t>
        </is>
      </c>
      <c r="D13" s="10" t="inlineStr">
        <is>
          <t>ADC/2024/0008</t>
        </is>
      </c>
      <c r="E13" s="10" t="inlineStr">
        <is>
          <t>Follow-up / Monitoring</t>
        </is>
      </c>
      <c r="F13" s="10" t="inlineStr"/>
      <c r="G13" s="10" t="inlineStr"/>
      <c r="H13" s="9" t="inlineStr">
        <is>
          <t>Relapse warning signs</t>
        </is>
      </c>
      <c r="I13" s="10" t="inlineStr">
        <is>
          <t>Cooperative</t>
        </is>
      </c>
      <c r="J13" s="10" t="inlineStr">
        <is>
          <t>Moderate — Ambivalent</t>
        </is>
      </c>
    </row>
    <row r="14" ht="24" customHeight="1">
      <c r="B14" s="33" t="inlineStr">
        <is>
          <t>CS/009</t>
        </is>
      </c>
      <c r="C14" s="35" t="inlineStr">
        <is>
          <t>STU-009</t>
        </is>
      </c>
      <c r="D14" s="35" t="inlineStr">
        <is>
          <t>ADC/2024/0009</t>
        </is>
      </c>
      <c r="E14" s="35" t="inlineStr">
        <is>
          <t>Pre-Rehabilitation Counselling</t>
        </is>
      </c>
      <c r="F14" s="35" t="inlineStr"/>
      <c r="G14" s="35" t="inlineStr"/>
      <c r="H14" s="34" t="inlineStr">
        <is>
          <t>Rehabilitation planning</t>
        </is>
      </c>
      <c r="I14" s="35" t="inlineStr">
        <is>
          <t>Cooperative</t>
        </is>
      </c>
      <c r="J14" s="35" t="inlineStr">
        <is>
          <t>Poor — Resistant</t>
        </is>
      </c>
    </row>
    <row r="15" ht="24" customHeight="1">
      <c r="B15" s="8" t="inlineStr">
        <is>
          <t>CS/010</t>
        </is>
      </c>
      <c r="C15" s="10" t="inlineStr">
        <is>
          <t>STU-010</t>
        </is>
      </c>
      <c r="D15" s="10" t="inlineStr">
        <is>
          <t>ADC/2024/0010</t>
        </is>
      </c>
      <c r="E15" s="10" t="inlineStr">
        <is>
          <t>Post-Rehabilitation Support</t>
        </is>
      </c>
      <c r="F15" s="10" t="inlineStr"/>
      <c r="G15" s="10" t="inlineStr"/>
      <c r="H15" s="9" t="inlineStr">
        <is>
          <t>Career &amp; future goals</t>
        </is>
      </c>
      <c r="I15" s="10" t="inlineStr">
        <is>
          <t>Cooperative</t>
        </is>
      </c>
      <c r="J15" s="10" t="inlineStr">
        <is>
          <t>Crisis — Immediate Escalation</t>
        </is>
      </c>
    </row>
    <row r="16" ht="24" customHeight="1">
      <c r="B16" s="33" t="inlineStr">
        <is>
          <t>CS/011</t>
        </is>
      </c>
      <c r="C16" s="35" t="inlineStr">
        <is>
          <t>STU-011</t>
        </is>
      </c>
      <c r="D16" s="35" t="inlineStr">
        <is>
          <t>ADC/2024/0011</t>
        </is>
      </c>
      <c r="E16" s="35" t="inlineStr">
        <is>
          <t>Individual — Initial Assessment</t>
        </is>
      </c>
      <c r="F16" s="35" t="inlineStr"/>
      <c r="G16" s="35" t="inlineStr"/>
      <c r="H16" s="34" t="inlineStr">
        <is>
          <t>Drug use history &amp; pattern</t>
        </is>
      </c>
      <c r="I16" s="35" t="inlineStr">
        <is>
          <t>Cooperative</t>
        </is>
      </c>
      <c r="J16" s="35" t="inlineStr">
        <is>
          <t>Excellent — Highly Motivated</t>
        </is>
      </c>
    </row>
    <row r="17" ht="24" customHeight="1">
      <c r="B17" s="8" t="inlineStr">
        <is>
          <t>CS/012</t>
        </is>
      </c>
      <c r="C17" s="10" t="inlineStr">
        <is>
          <t>STU-012</t>
        </is>
      </c>
      <c r="D17" s="10" t="inlineStr">
        <is>
          <t>ADC/2025/0012</t>
        </is>
      </c>
      <c r="E17" s="10" t="inlineStr">
        <is>
          <t>Individual — Motivational Interviewing</t>
        </is>
      </c>
      <c r="F17" s="10" t="inlineStr"/>
      <c r="G17" s="10" t="inlineStr"/>
      <c r="H17" s="9" t="inlineStr">
        <is>
          <t>Motivation to change</t>
        </is>
      </c>
      <c r="I17" s="10" t="inlineStr">
        <is>
          <t>Cooperative</t>
        </is>
      </c>
      <c r="J17" s="10" t="inlineStr">
        <is>
          <t>Good — Cooperative</t>
        </is>
      </c>
    </row>
    <row r="18" ht="24" customHeight="1">
      <c r="B18" s="33" t="inlineStr">
        <is>
          <t>CS/013</t>
        </is>
      </c>
      <c r="C18" s="35" t="inlineStr">
        <is>
          <t>STU-013</t>
        </is>
      </c>
      <c r="D18" s="35" t="inlineStr">
        <is>
          <t>ADC/2025/0013</t>
        </is>
      </c>
      <c r="E18" s="35" t="inlineStr">
        <is>
          <t>Individual — CBT Session</t>
        </is>
      </c>
      <c r="F18" s="35" t="inlineStr"/>
      <c r="G18" s="35" t="inlineStr"/>
      <c r="H18" s="34" t="inlineStr">
        <is>
          <t>Triggers &amp; coping strategies</t>
        </is>
      </c>
      <c r="I18" s="35" t="inlineStr">
        <is>
          <t>Cooperative</t>
        </is>
      </c>
      <c r="J18" s="35" t="inlineStr">
        <is>
          <t>Moderate — Ambivalent</t>
        </is>
      </c>
    </row>
    <row r="19" ht="24" customHeight="1">
      <c r="B19" s="8" t="inlineStr">
        <is>
          <t>CS/014</t>
        </is>
      </c>
      <c r="C19" s="10" t="inlineStr">
        <is>
          <t>STU-014</t>
        </is>
      </c>
      <c r="D19" s="10" t="inlineStr">
        <is>
          <t>ADC/2025/0014</t>
        </is>
      </c>
      <c r="E19" s="10" t="inlineStr">
        <is>
          <t>Individual — Relapse Prevention</t>
        </is>
      </c>
      <c r="F19" s="10" t="inlineStr"/>
      <c r="G19" s="10" t="inlineStr"/>
      <c r="H19" s="9" t="inlineStr">
        <is>
          <t>Peer pressure management</t>
        </is>
      </c>
      <c r="I19" s="10" t="inlineStr">
        <is>
          <t>Cooperative</t>
        </is>
      </c>
      <c r="J19" s="10" t="inlineStr">
        <is>
          <t>Poor — Resistant</t>
        </is>
      </c>
    </row>
    <row r="20" ht="24" customHeight="1">
      <c r="B20" s="33" t="inlineStr">
        <is>
          <t>CS/015</t>
        </is>
      </c>
      <c r="C20" s="35" t="inlineStr">
        <is>
          <t>STU-015</t>
        </is>
      </c>
      <c r="D20" s="35" t="inlineStr">
        <is>
          <t>ADC/2025/0015</t>
        </is>
      </c>
      <c r="E20" s="35" t="inlineStr">
        <is>
          <t>Group Counselling</t>
        </is>
      </c>
      <c r="F20" s="35" t="inlineStr"/>
      <c r="G20" s="35" t="inlineStr"/>
      <c r="H20" s="34" t="inlineStr">
        <is>
          <t>Family dynamics</t>
        </is>
      </c>
      <c r="I20" s="35" t="inlineStr">
        <is>
          <t>Cooperative</t>
        </is>
      </c>
      <c r="J20" s="35" t="inlineStr">
        <is>
          <t>Crisis — Immediate Escalation</t>
        </is>
      </c>
    </row>
    <row r="21" ht="24" customHeight="1">
      <c r="B21" s="8" t="inlineStr">
        <is>
          <t>CS/016</t>
        </is>
      </c>
      <c r="C21" s="10" t="inlineStr">
        <is>
          <t>STU-016</t>
        </is>
      </c>
      <c r="D21" s="10" t="inlineStr">
        <is>
          <t>ADC/2025/0016</t>
        </is>
      </c>
      <c r="E21" s="10" t="inlineStr">
        <is>
          <t>Family / Parent Session</t>
        </is>
      </c>
      <c r="F21" s="10" t="inlineStr"/>
      <c r="G21" s="10" t="inlineStr"/>
      <c r="H21" s="9" t="inlineStr">
        <is>
          <t>Academic impact</t>
        </is>
      </c>
      <c r="I21" s="10" t="inlineStr">
        <is>
          <t>Cooperative</t>
        </is>
      </c>
      <c r="J21" s="10" t="inlineStr">
        <is>
          <t>Excellent — Highly Motivated</t>
        </is>
      </c>
    </row>
    <row r="22" ht="24" customHeight="1">
      <c r="B22" s="33" t="inlineStr">
        <is>
          <t>CS/017</t>
        </is>
      </c>
      <c r="C22" s="35" t="inlineStr">
        <is>
          <t>STU-017</t>
        </is>
      </c>
      <c r="D22" s="35" t="inlineStr">
        <is>
          <t>ADC/2025/0017</t>
        </is>
      </c>
      <c r="E22" s="35" t="inlineStr">
        <is>
          <t>Crisis Intervention</t>
        </is>
      </c>
      <c r="F22" s="35" t="inlineStr"/>
      <c r="G22" s="35" t="inlineStr"/>
      <c r="H22" s="34" t="inlineStr">
        <is>
          <t>Mental health co-morbidity</t>
        </is>
      </c>
      <c r="I22" s="35" t="inlineStr">
        <is>
          <t>Cooperative</t>
        </is>
      </c>
      <c r="J22" s="35" t="inlineStr">
        <is>
          <t>Good — Cooperative</t>
        </is>
      </c>
    </row>
    <row r="23" ht="24" customHeight="1">
      <c r="B23" s="8" t="inlineStr">
        <is>
          <t>CS/018</t>
        </is>
      </c>
      <c r="C23" s="10" t="inlineStr">
        <is>
          <t>STU-018</t>
        </is>
      </c>
      <c r="D23" s="10" t="inlineStr">
        <is>
          <t>ADC/2025/0018</t>
        </is>
      </c>
      <c r="E23" s="10" t="inlineStr">
        <is>
          <t>Follow-up / Monitoring</t>
        </is>
      </c>
      <c r="F23" s="10" t="inlineStr"/>
      <c r="G23" s="10" t="inlineStr"/>
      <c r="H23" s="9" t="inlineStr">
        <is>
          <t>Relapse warning signs</t>
        </is>
      </c>
      <c r="I23" s="10" t="inlineStr">
        <is>
          <t>Cooperative</t>
        </is>
      </c>
      <c r="J23" s="10" t="inlineStr">
        <is>
          <t>Moderate — Ambivalent</t>
        </is>
      </c>
    </row>
    <row r="24" ht="24" customHeight="1">
      <c r="B24" s="33" t="inlineStr">
        <is>
          <t>CS/019</t>
        </is>
      </c>
      <c r="C24" s="35" t="inlineStr">
        <is>
          <t>STU-019</t>
        </is>
      </c>
      <c r="D24" s="35" t="inlineStr">
        <is>
          <t>ADC/2025/0019</t>
        </is>
      </c>
      <c r="E24" s="35" t="inlineStr">
        <is>
          <t>Pre-Rehabilitation Counselling</t>
        </is>
      </c>
      <c r="F24" s="35" t="inlineStr"/>
      <c r="G24" s="35" t="inlineStr"/>
      <c r="H24" s="34" t="inlineStr">
        <is>
          <t>Rehabilitation planning</t>
        </is>
      </c>
      <c r="I24" s="35" t="inlineStr">
        <is>
          <t>Cooperative</t>
        </is>
      </c>
      <c r="J24" s="35" t="inlineStr">
        <is>
          <t>Poor — Resistant</t>
        </is>
      </c>
    </row>
    <row r="25" ht="24" customHeight="1">
      <c r="B25" s="8" t="inlineStr">
        <is>
          <t>CS/020</t>
        </is>
      </c>
      <c r="C25" s="10" t="inlineStr">
        <is>
          <t>STU-020</t>
        </is>
      </c>
      <c r="D25" s="10" t="inlineStr">
        <is>
          <t>ADC/2025/0020</t>
        </is>
      </c>
      <c r="E25" s="10" t="inlineStr">
        <is>
          <t>Post-Rehabilitation Support</t>
        </is>
      </c>
      <c r="F25" s="10" t="inlineStr"/>
      <c r="G25" s="10" t="inlineStr"/>
      <c r="H25" s="9" t="inlineStr">
        <is>
          <t>Career &amp; future goals</t>
        </is>
      </c>
      <c r="I25" s="10" t="inlineStr">
        <is>
          <t>Cooperative</t>
        </is>
      </c>
      <c r="J25" s="10" t="inlineStr">
        <is>
          <t>Crisis — Immediate Escalation</t>
        </is>
      </c>
    </row>
    <row r="26" ht="24" customHeight="1">
      <c r="B26" s="33" t="inlineStr">
        <is>
          <t>CS/021</t>
        </is>
      </c>
      <c r="C26" s="35" t="inlineStr">
        <is>
          <t>STU-021</t>
        </is>
      </c>
      <c r="D26" s="35" t="inlineStr">
        <is>
          <t>ADC/2025/0021</t>
        </is>
      </c>
      <c r="E26" s="35" t="inlineStr">
        <is>
          <t>Individual — Initial Assessment</t>
        </is>
      </c>
      <c r="F26" s="35" t="inlineStr"/>
      <c r="G26" s="35" t="inlineStr"/>
      <c r="H26" s="34" t="inlineStr">
        <is>
          <t>Drug use history &amp; pattern</t>
        </is>
      </c>
      <c r="I26" s="35" t="inlineStr">
        <is>
          <t>Cooperative</t>
        </is>
      </c>
      <c r="J26" s="35" t="inlineStr">
        <is>
          <t>Excellent — Highly Motivated</t>
        </is>
      </c>
    </row>
    <row r="27" ht="24" customHeight="1">
      <c r="B27" s="8" t="inlineStr">
        <is>
          <t>CS/022</t>
        </is>
      </c>
      <c r="C27" s="10" t="inlineStr">
        <is>
          <t>STU-022</t>
        </is>
      </c>
      <c r="D27" s="10" t="inlineStr">
        <is>
          <t>ADC/2025/0022</t>
        </is>
      </c>
      <c r="E27" s="10" t="inlineStr">
        <is>
          <t>Individual — Motivational Interviewing</t>
        </is>
      </c>
      <c r="F27" s="10" t="inlineStr"/>
      <c r="G27" s="10" t="inlineStr"/>
      <c r="H27" s="9" t="inlineStr">
        <is>
          <t>Motivation to change</t>
        </is>
      </c>
      <c r="I27" s="10" t="inlineStr">
        <is>
          <t>Cooperative</t>
        </is>
      </c>
      <c r="J27" s="10" t="inlineStr">
        <is>
          <t>Good — Cooperative</t>
        </is>
      </c>
    </row>
    <row r="29" ht="24" customHeight="1">
      <c r="B29" s="36" t="inlineStr">
        <is>
          <t>COUNSELLING IMPACT SUMMARY</t>
        </is>
      </c>
    </row>
    <row r="30">
      <c r="B30" s="37" t="inlineStr">
        <is>
          <t>Total Counselling Sessions</t>
        </is>
      </c>
      <c r="F30" s="38">
        <f>COUNTA(B6:B27)</f>
        <v/>
      </c>
    </row>
    <row r="31">
      <c r="B31" s="27" t="inlineStr">
        <is>
          <t>Students Under Active Counselling</t>
        </is>
      </c>
      <c r="F31" s="39">
        <f>COUNTIF(J6:J27,"&lt;&gt;"&amp;"Excellent — Highly Motivated")</f>
        <v/>
      </c>
    </row>
    <row r="32">
      <c r="B32" s="37" t="inlineStr">
        <is>
          <t>Excellent / Good Progress</t>
        </is>
      </c>
      <c r="F32" s="38">
        <f>COUNTIF(J6:J27,"Excellent — Highly Motivated")+COUNTIF(J6:J27,"Good — Cooperative")</f>
        <v/>
      </c>
    </row>
    <row r="33">
      <c r="B33" s="27" t="inlineStr">
        <is>
          <t>Crisis Escalations</t>
        </is>
      </c>
      <c r="F33" s="39">
        <f>COUNTIF(J6:J27,"Crisis — Immediate Escalation")</f>
        <v/>
      </c>
    </row>
    <row r="34">
      <c r="B34" s="37" t="inlineStr">
        <is>
          <t>Family Sessions Conducted</t>
        </is>
      </c>
      <c r="F34" s="38">
        <f>COUNTIF(E6:E27,"Family / Parent Session")</f>
        <v/>
      </c>
    </row>
    <row r="35">
      <c r="B35" s="27" t="inlineStr">
        <is>
          <t>Average Sessions per Student</t>
        </is>
      </c>
      <c r="F35" s="39">
        <f>IFERROR(ROUND(COUNTA(B6:B27)/COUNTA(UNIQUE(C6:C27)),1),"")</f>
        <v/>
      </c>
    </row>
  </sheetData>
  <mergeCells count="16">
    <mergeCell ref="B29:J29"/>
    <mergeCell ref="B31:E31"/>
    <mergeCell ref="F30:J30"/>
    <mergeCell ref="B3:J3"/>
    <mergeCell ref="B35:E35"/>
    <mergeCell ref="F35:J35"/>
    <mergeCell ref="F34:J34"/>
    <mergeCell ref="B30:E30"/>
    <mergeCell ref="B33:E33"/>
    <mergeCell ref="F33:J33"/>
    <mergeCell ref="F31:J31"/>
    <mergeCell ref="B4:J4"/>
    <mergeCell ref="B34:E34"/>
    <mergeCell ref="F32:J32"/>
    <mergeCell ref="B2:J2"/>
    <mergeCell ref="B32:E3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2:J24"/>
  <sheetViews>
    <sheetView showGridLines="0" workbookViewId="0">
      <selection activeCell="A1" sqref="A1"/>
    </sheetView>
  </sheetViews>
  <sheetFormatPr baseColWidth="8" defaultRowHeight="15"/>
  <cols>
    <col width="3" customWidth="1" min="1" max="1"/>
    <col width="10" customWidth="1" min="2" max="2"/>
    <col width="22" customWidth="1" min="3" max="3"/>
    <col width="12" customWidth="1" min="4" max="4"/>
    <col width="14" customWidth="1" min="5" max="5"/>
    <col width="14" customWidth="1" min="6" max="6"/>
    <col width="14" customWidth="1" min="7" max="7"/>
    <col width="14" customWidth="1" min="8" max="8"/>
    <col width="14" customWidth="1" min="9" max="9"/>
    <col width="14" customWidth="1" min="10" max="10"/>
    <col width="3" customWidth="1" min="11" max="11"/>
  </cols>
  <sheetData>
    <row r="1" ht="10" customHeight="1"/>
    <row r="2" ht="48" customHeight="1">
      <c r="B2" s="12" t="inlineStr">
        <is>
          <t>ADC-30: REHABILITATION REFERRAL &amp; MONITORING REGISTER</t>
        </is>
      </c>
    </row>
    <row r="3" ht="18" customHeight="1">
      <c r="B3" s="18" t="inlineStr">
        <is>
          <t>CONFIDENTIAL — Rehabilitation records are protected health information. Access strictly limited to ADC Chairperson, Counsellor and Medical Officer.</t>
        </is>
      </c>
    </row>
    <row r="4" ht="25" customHeight="1">
      <c r="B4" s="21" t="inlineStr">
        <is>
          <t>Referral
Ref.</t>
        </is>
      </c>
      <c r="C4" s="21" t="inlineStr">
        <is>
          <t>Student
(Code)</t>
        </is>
      </c>
      <c r="D4" s="21" t="inlineStr">
        <is>
          <t>Case Ref.</t>
        </is>
      </c>
      <c r="E4" s="21" t="inlineStr">
        <is>
          <t>De-addiction
Centre / Hospital</t>
        </is>
      </c>
      <c r="F4" s="21" t="inlineStr">
        <is>
          <t>Date of
Referral</t>
        </is>
      </c>
      <c r="G4" s="21" t="inlineStr">
        <is>
          <t>Date
Admitted</t>
        </is>
      </c>
      <c r="H4" s="21" t="inlineStr">
        <is>
          <t>Treatment
Duration</t>
        </is>
      </c>
      <c r="I4" s="21" t="inlineStr">
        <is>
          <t>Date of
Discharge</t>
        </is>
      </c>
      <c r="J4" s="21" t="inlineStr">
        <is>
          <t>ADC
Monitoring
Frequency</t>
        </is>
      </c>
    </row>
    <row r="5" ht="24" customHeight="1">
      <c r="B5" s="14" t="inlineStr">
        <is>
          <t>REH/001</t>
        </is>
      </c>
      <c r="C5" s="16" t="inlineStr">
        <is>
          <t>STU-001</t>
        </is>
      </c>
      <c r="D5" s="16" t="inlineStr">
        <is>
          <t>ADC/2024/0001</t>
        </is>
      </c>
      <c r="E5" s="15" t="inlineStr">
        <is>
          <t>Government De-addiction Centre (District)</t>
        </is>
      </c>
      <c r="F5" s="16" t="inlineStr"/>
      <c r="G5" s="16" t="inlineStr"/>
      <c r="H5" s="16" t="inlineStr"/>
      <c r="I5" s="16" t="inlineStr"/>
      <c r="J5" s="16" t="inlineStr">
        <is>
          <t>Monthly</t>
        </is>
      </c>
    </row>
    <row r="6" ht="24" customHeight="1">
      <c r="B6" s="8" t="inlineStr">
        <is>
          <t>REH/002</t>
        </is>
      </c>
      <c r="C6" s="10" t="inlineStr">
        <is>
          <t>STU-002</t>
        </is>
      </c>
      <c r="D6" s="10" t="inlineStr">
        <is>
          <t>ADC/2024/0002</t>
        </is>
      </c>
      <c r="E6" s="9" t="inlineStr">
        <is>
          <t>NIMHANS / Regional Psychiatry</t>
        </is>
      </c>
      <c r="F6" s="10" t="inlineStr"/>
      <c r="G6" s="10" t="inlineStr"/>
      <c r="H6" s="10" t="inlineStr"/>
      <c r="I6" s="10" t="inlineStr"/>
      <c r="J6" s="10" t="inlineStr">
        <is>
          <t>Monthly</t>
        </is>
      </c>
    </row>
    <row r="7" ht="24" customHeight="1">
      <c r="B7" s="14" t="inlineStr">
        <is>
          <t>REH/003</t>
        </is>
      </c>
      <c r="C7" s="16" t="inlineStr">
        <is>
          <t>STU-003</t>
        </is>
      </c>
      <c r="D7" s="16" t="inlineStr">
        <is>
          <t>ADC/2024/0003</t>
        </is>
      </c>
      <c r="E7" s="15" t="inlineStr">
        <is>
          <t>Private De-addiction Hospital</t>
        </is>
      </c>
      <c r="F7" s="16" t="inlineStr"/>
      <c r="G7" s="16" t="inlineStr"/>
      <c r="H7" s="16" t="inlineStr"/>
      <c r="I7" s="16" t="inlineStr"/>
      <c r="J7" s="16" t="inlineStr">
        <is>
          <t>Monthly</t>
        </is>
      </c>
    </row>
    <row r="8" ht="24" customHeight="1">
      <c r="B8" s="8" t="inlineStr">
        <is>
          <t>REH/004</t>
        </is>
      </c>
      <c r="C8" s="10" t="inlineStr">
        <is>
          <t>STU-004</t>
        </is>
      </c>
      <c r="D8" s="10" t="inlineStr">
        <is>
          <t>ADC/2024/0004</t>
        </is>
      </c>
      <c r="E8" s="9" t="inlineStr">
        <is>
          <t>NGO Rehabilitation Centre</t>
        </is>
      </c>
      <c r="F8" s="10" t="inlineStr"/>
      <c r="G8" s="10" t="inlineStr"/>
      <c r="H8" s="10" t="inlineStr"/>
      <c r="I8" s="10" t="inlineStr"/>
      <c r="J8" s="10" t="inlineStr">
        <is>
          <t>Monthly</t>
        </is>
      </c>
    </row>
    <row r="9" ht="24" customHeight="1">
      <c r="B9" s="14" t="inlineStr">
        <is>
          <t>REH/005</t>
        </is>
      </c>
      <c r="C9" s="16" t="inlineStr">
        <is>
          <t>STU-005</t>
        </is>
      </c>
      <c r="D9" s="16" t="inlineStr">
        <is>
          <t>ADC/2024/0005</t>
        </is>
      </c>
      <c r="E9" s="15" t="inlineStr">
        <is>
          <t>Residential Rehabilitation Programme</t>
        </is>
      </c>
      <c r="F9" s="16" t="inlineStr"/>
      <c r="G9" s="16" t="inlineStr"/>
      <c r="H9" s="16" t="inlineStr"/>
      <c r="I9" s="16" t="inlineStr"/>
      <c r="J9" s="16" t="inlineStr">
        <is>
          <t>Monthly</t>
        </is>
      </c>
    </row>
    <row r="10" ht="24" customHeight="1">
      <c r="B10" s="8" t="inlineStr">
        <is>
          <t>REH/006</t>
        </is>
      </c>
      <c r="C10" s="10" t="inlineStr">
        <is>
          <t>STU-006</t>
        </is>
      </c>
      <c r="D10" s="10" t="inlineStr">
        <is>
          <t>ADC/2024/0006</t>
        </is>
      </c>
      <c r="E10" s="9" t="inlineStr">
        <is>
          <t>Out-patient De-addiction Programme</t>
        </is>
      </c>
      <c r="F10" s="10" t="inlineStr"/>
      <c r="G10" s="10" t="inlineStr"/>
      <c r="H10" s="10" t="inlineStr"/>
      <c r="I10" s="10" t="inlineStr"/>
      <c r="J10" s="10" t="inlineStr">
        <is>
          <t>Monthly</t>
        </is>
      </c>
    </row>
    <row r="11" ht="24" customHeight="1">
      <c r="B11" s="14" t="inlineStr">
        <is>
          <t>REH/007</t>
        </is>
      </c>
      <c r="C11" s="16" t="inlineStr">
        <is>
          <t>STU-007</t>
        </is>
      </c>
      <c r="D11" s="16" t="inlineStr">
        <is>
          <t>ADC/2025/0007</t>
        </is>
      </c>
      <c r="E11" s="15" t="inlineStr">
        <is>
          <t>Tele-counselling + Community Support</t>
        </is>
      </c>
      <c r="F11" s="16" t="inlineStr"/>
      <c r="G11" s="16" t="inlineStr"/>
      <c r="H11" s="16" t="inlineStr"/>
      <c r="I11" s="16" t="inlineStr"/>
      <c r="J11" s="16" t="inlineStr">
        <is>
          <t>Monthly</t>
        </is>
      </c>
    </row>
    <row r="12" ht="24" customHeight="1">
      <c r="B12" s="8" t="inlineStr">
        <is>
          <t>REH/008</t>
        </is>
      </c>
      <c r="C12" s="10" t="inlineStr">
        <is>
          <t>STU-008</t>
        </is>
      </c>
      <c r="D12" s="10" t="inlineStr">
        <is>
          <t>ADC/2025/0008</t>
        </is>
      </c>
      <c r="E12" s="9" t="inlineStr">
        <is>
          <t>Government De-addiction Centre (District)</t>
        </is>
      </c>
      <c r="F12" s="10" t="inlineStr"/>
      <c r="G12" s="10" t="inlineStr"/>
      <c r="H12" s="10" t="inlineStr"/>
      <c r="I12" s="10" t="inlineStr"/>
      <c r="J12" s="10" t="inlineStr">
        <is>
          <t>Monthly</t>
        </is>
      </c>
    </row>
    <row r="13" ht="24" customHeight="1">
      <c r="B13" s="14" t="inlineStr">
        <is>
          <t>REH/009</t>
        </is>
      </c>
      <c r="C13" s="16" t="inlineStr">
        <is>
          <t>STU-009</t>
        </is>
      </c>
      <c r="D13" s="16" t="inlineStr">
        <is>
          <t>ADC/2025/0009</t>
        </is>
      </c>
      <c r="E13" s="15" t="inlineStr">
        <is>
          <t>NIMHANS / Regional Psychiatry</t>
        </is>
      </c>
      <c r="F13" s="16" t="inlineStr"/>
      <c r="G13" s="16" t="inlineStr"/>
      <c r="H13" s="16" t="inlineStr"/>
      <c r="I13" s="16" t="inlineStr"/>
      <c r="J13" s="16" t="inlineStr">
        <is>
          <t>Monthly</t>
        </is>
      </c>
    </row>
    <row r="14" ht="24" customHeight="1">
      <c r="B14" s="8" t="inlineStr">
        <is>
          <t>REH/010</t>
        </is>
      </c>
      <c r="C14" s="10" t="inlineStr">
        <is>
          <t>STU-010</t>
        </is>
      </c>
      <c r="D14" s="10" t="inlineStr">
        <is>
          <t>ADC/2025/0010</t>
        </is>
      </c>
      <c r="E14" s="9" t="inlineStr">
        <is>
          <t>Private De-addiction Hospital</t>
        </is>
      </c>
      <c r="F14" s="10" t="inlineStr"/>
      <c r="G14" s="10" t="inlineStr"/>
      <c r="H14" s="10" t="inlineStr"/>
      <c r="I14" s="10" t="inlineStr"/>
      <c r="J14" s="10" t="inlineStr">
        <is>
          <t>Monthly</t>
        </is>
      </c>
    </row>
    <row r="15" ht="24" customHeight="1">
      <c r="B15" s="14" t="inlineStr">
        <is>
          <t>REH/011</t>
        </is>
      </c>
      <c r="C15" s="16" t="inlineStr">
        <is>
          <t>STU-011</t>
        </is>
      </c>
      <c r="D15" s="16" t="inlineStr">
        <is>
          <t>ADC/2025/0011</t>
        </is>
      </c>
      <c r="E15" s="15" t="inlineStr">
        <is>
          <t>NGO Rehabilitation Centre</t>
        </is>
      </c>
      <c r="F15" s="16" t="inlineStr"/>
      <c r="G15" s="16" t="inlineStr"/>
      <c r="H15" s="16" t="inlineStr"/>
      <c r="I15" s="16" t="inlineStr"/>
      <c r="J15" s="16" t="inlineStr">
        <is>
          <t>Monthly</t>
        </is>
      </c>
    </row>
    <row r="16" ht="24" customHeight="1">
      <c r="B16" s="8" t="inlineStr">
        <is>
          <t>REH/012</t>
        </is>
      </c>
      <c r="C16" s="10" t="inlineStr">
        <is>
          <t>STU-012</t>
        </is>
      </c>
      <c r="D16" s="10" t="inlineStr">
        <is>
          <t>ADC/2025/0012</t>
        </is>
      </c>
      <c r="E16" s="9" t="inlineStr">
        <is>
          <t>Residential Rehabilitation Programme</t>
        </is>
      </c>
      <c r="F16" s="10" t="inlineStr"/>
      <c r="G16" s="10" t="inlineStr"/>
      <c r="H16" s="10" t="inlineStr"/>
      <c r="I16" s="10" t="inlineStr"/>
      <c r="J16" s="10" t="inlineStr">
        <is>
          <t>Monthly</t>
        </is>
      </c>
    </row>
    <row r="17" ht="24" customHeight="1"/>
    <row r="18" ht="24" customHeight="1">
      <c r="B18" s="36" t="inlineStr">
        <is>
          <t>REHABILITATION SUMMARY</t>
        </is>
      </c>
    </row>
    <row r="19" ht="24" customHeight="1">
      <c r="B19" s="40" t="inlineStr">
        <is>
          <t>Total Referrals Made</t>
        </is>
      </c>
      <c r="F19" s="38">
        <f>COUNTA(B5:B16)</f>
        <v/>
      </c>
    </row>
    <row r="20" ht="24" customHeight="1">
      <c r="B20" s="27" t="inlineStr">
        <is>
          <t>Currently in Rehabilitation</t>
        </is>
      </c>
      <c r="F20" s="39">
        <f>COUNTIF(I5:I16,"")-COUNTIF(G5:G16,"")</f>
        <v/>
      </c>
    </row>
    <row r="21" ht="24" customHeight="1">
      <c r="B21" s="40" t="inlineStr">
        <is>
          <t>Discharged / Completed</t>
        </is>
      </c>
      <c r="F21" s="38">
        <f>COUNTIF(I5:I16,"&lt;&gt;"&amp;"")</f>
        <v/>
      </c>
    </row>
    <row r="22">
      <c r="B22" s="27" t="inlineStr">
        <is>
          <t>Returned to Institution</t>
        </is>
      </c>
      <c r="F22" s="39" t="inlineStr"/>
    </row>
    <row r="23">
      <c r="B23" s="40" t="inlineStr">
        <is>
          <t>Relapsed — Re-referred</t>
        </is>
      </c>
      <c r="F23" s="38" t="inlineStr"/>
    </row>
    <row r="24">
      <c r="B24" s="27" t="inlineStr">
        <is>
          <t>Success Rate (%)</t>
        </is>
      </c>
      <c r="F24" s="39" t="inlineStr"/>
    </row>
  </sheetData>
  <mergeCells count="15">
    <mergeCell ref="B23:E23"/>
    <mergeCell ref="B3:J3"/>
    <mergeCell ref="F21:J21"/>
    <mergeCell ref="F24:J24"/>
    <mergeCell ref="F20:J20"/>
    <mergeCell ref="F23:J23"/>
    <mergeCell ref="B21:E21"/>
    <mergeCell ref="F19:J19"/>
    <mergeCell ref="B18:J18"/>
    <mergeCell ref="B24:E24"/>
    <mergeCell ref="B19:E19"/>
    <mergeCell ref="B20:E20"/>
    <mergeCell ref="F22:J22"/>
    <mergeCell ref="B22:E22"/>
    <mergeCell ref="B2:J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B2:J26"/>
  <sheetViews>
    <sheetView showGridLines="0" workbookViewId="0">
      <selection activeCell="A1" sqref="A1"/>
    </sheetView>
  </sheetViews>
  <sheetFormatPr baseColWidth="8" defaultRowHeight="15"/>
  <cols>
    <col width="3" customWidth="1" min="1" max="1"/>
    <col width="10" customWidth="1" min="2" max="2"/>
    <col width="20" customWidth="1" min="3" max="3"/>
    <col width="12" customWidth="1" min="4" max="4"/>
    <col width="14" customWidth="1" min="5" max="5"/>
    <col width="14" customWidth="1" min="6" max="6"/>
    <col width="14" customWidth="1" min="7" max="7"/>
    <col width="14" customWidth="1" min="8" max="8"/>
    <col width="14" customWidth="1" min="9" max="9"/>
    <col width="14" customWidth="1" min="10" max="10"/>
    <col width="3" customWidth="1" min="11" max="11"/>
  </cols>
  <sheetData>
    <row r="1" ht="10" customHeight="1"/>
    <row r="2" ht="48" customHeight="1">
      <c r="B2" s="12" t="inlineStr">
        <is>
          <t>ADC-33: ADC DECISION &amp; DISCIPLINARY ACTION REGISTER</t>
        </is>
      </c>
    </row>
    <row r="3" ht="18" customHeight="1">
      <c r="B3" s="18" t="inlineStr">
        <is>
          <t>CONFIDENTIAL — Decisions must be communicated in writing. Rehabilitation path must be offered before punitive action for first-time users. Police reporting mandatory for drug supply / trafficking.</t>
        </is>
      </c>
    </row>
    <row r="4" ht="25" customHeight="1">
      <c r="B4" s="21" t="inlineStr">
        <is>
          <t>Case
Ref.</t>
        </is>
      </c>
      <c r="C4" s="21" t="inlineStr">
        <is>
          <t>Student
(Code)</t>
        </is>
      </c>
      <c r="D4" s="21" t="inlineStr">
        <is>
          <t>Nature of
Offence</t>
        </is>
      </c>
      <c r="E4" s="21" t="inlineStr">
        <is>
          <t>Severity</t>
        </is>
      </c>
      <c r="F4" s="21" t="inlineStr">
        <is>
          <t>ADC
Finding</t>
        </is>
      </c>
      <c r="G4" s="21" t="inlineStr">
        <is>
          <t>Action /
Penalty</t>
        </is>
      </c>
      <c r="H4" s="21" t="inlineStr">
        <is>
          <t>Police
Referred</t>
        </is>
      </c>
      <c r="I4" s="21" t="inlineStr">
        <is>
          <t>Decision
Date</t>
        </is>
      </c>
      <c r="J4" s="21" t="inlineStr">
        <is>
          <t>Status</t>
        </is>
      </c>
    </row>
    <row r="5" ht="26" customHeight="1">
      <c r="B5" s="14" t="inlineStr">
        <is>
          <t>ADC/2024/0001</t>
        </is>
      </c>
      <c r="C5" s="16" t="inlineStr">
        <is>
          <t>STU-001</t>
        </is>
      </c>
      <c r="D5" s="15" t="inlineStr"/>
      <c r="E5" s="14" t="inlineStr">
        <is>
          <t>H</t>
        </is>
      </c>
      <c r="F5" s="15" t="inlineStr">
        <is>
          <t>Confirmed — Drug Use (First Time)</t>
        </is>
      </c>
      <c r="G5" s="15" t="inlineStr">
        <is>
          <t>Counselling (Mandatory — 10 sessions)</t>
        </is>
      </c>
      <c r="H5" s="16" t="inlineStr">
        <is>
          <t>N</t>
        </is>
      </c>
      <c r="I5" s="16" t="inlineStr"/>
      <c r="J5" s="16" t="inlineStr">
        <is>
          <t>Implemented</t>
        </is>
      </c>
    </row>
    <row r="6" ht="26" customHeight="1">
      <c r="B6" s="8" t="inlineStr">
        <is>
          <t>ADC/2024/0002</t>
        </is>
      </c>
      <c r="C6" s="10" t="inlineStr">
        <is>
          <t>STU-002</t>
        </is>
      </c>
      <c r="D6" s="9" t="inlineStr"/>
      <c r="E6" s="8" t="inlineStr">
        <is>
          <t>M</t>
        </is>
      </c>
      <c r="F6" s="9" t="inlineStr">
        <is>
          <t>Confirmed — Drug Use (Repeat)</t>
        </is>
      </c>
      <c r="G6" s="9" t="inlineStr">
        <is>
          <t>Community Service + Counselling</t>
        </is>
      </c>
      <c r="H6" s="10" t="inlineStr">
        <is>
          <t>N</t>
        </is>
      </c>
      <c r="I6" s="10" t="inlineStr"/>
      <c r="J6" s="10" t="inlineStr">
        <is>
          <t>Implemented</t>
        </is>
      </c>
    </row>
    <row r="7" ht="26" customHeight="1">
      <c r="B7" s="14" t="inlineStr">
        <is>
          <t>ADC/2024/0003</t>
        </is>
      </c>
      <c r="C7" s="16" t="inlineStr">
        <is>
          <t>STU-003</t>
        </is>
      </c>
      <c r="D7" s="15" t="inlineStr"/>
      <c r="E7" s="14" t="inlineStr">
        <is>
          <t>L</t>
        </is>
      </c>
      <c r="F7" s="15" t="inlineStr">
        <is>
          <t>Confirmed — Drug Possession</t>
        </is>
      </c>
      <c r="G7" s="15" t="inlineStr">
        <is>
          <t>Written Warning + Parent Meeting</t>
        </is>
      </c>
      <c r="H7" s="16" t="inlineStr">
        <is>
          <t>N</t>
        </is>
      </c>
      <c r="I7" s="16" t="inlineStr"/>
      <c r="J7" s="16" t="inlineStr">
        <is>
          <t>Implemented</t>
        </is>
      </c>
    </row>
    <row r="8" ht="26" customHeight="1">
      <c r="B8" s="8" t="inlineStr">
        <is>
          <t>ADC/2024/0004</t>
        </is>
      </c>
      <c r="C8" s="10" t="inlineStr">
        <is>
          <t>STU-004</t>
        </is>
      </c>
      <c r="D8" s="9" t="inlineStr"/>
      <c r="E8" s="8" t="inlineStr">
        <is>
          <t>H</t>
        </is>
      </c>
      <c r="F8" s="9" t="inlineStr">
        <is>
          <t>Confirmed — Drug Supply / Dealing</t>
        </is>
      </c>
      <c r="G8" s="9" t="inlineStr">
        <is>
          <t>Suspension (1 month) + Rehabilitation</t>
        </is>
      </c>
      <c r="H8" s="10" t="inlineStr">
        <is>
          <t>N</t>
        </is>
      </c>
      <c r="I8" s="10" t="inlineStr"/>
      <c r="J8" s="10" t="inlineStr">
        <is>
          <t>Implemented</t>
        </is>
      </c>
    </row>
    <row r="9" ht="26" customHeight="1">
      <c r="B9" s="14" t="inlineStr">
        <is>
          <t>ADC/2024/0005</t>
        </is>
      </c>
      <c r="C9" s="16" t="inlineStr">
        <is>
          <t>STU-005</t>
        </is>
      </c>
      <c r="D9" s="15" t="inlineStr"/>
      <c r="E9" s="14" t="inlineStr">
        <is>
          <t>M</t>
        </is>
      </c>
      <c r="F9" s="15" t="inlineStr">
        <is>
          <t>Not Confirmed — No Evidence</t>
        </is>
      </c>
      <c r="G9" s="15" t="inlineStr">
        <is>
          <t>Suspension (1 semester) + Rehabilitation</t>
        </is>
      </c>
      <c r="H9" s="16" t="inlineStr">
        <is>
          <t>N</t>
        </is>
      </c>
      <c r="I9" s="16" t="inlineStr"/>
      <c r="J9" s="16" t="inlineStr">
        <is>
          <t>Implemented</t>
        </is>
      </c>
    </row>
    <row r="10" ht="26" customHeight="1">
      <c r="B10" s="8" t="inlineStr">
        <is>
          <t>ADC/2024/0006</t>
        </is>
      </c>
      <c r="C10" s="10" t="inlineStr">
        <is>
          <t>STU-006</t>
        </is>
      </c>
      <c r="D10" s="9" t="inlineStr"/>
      <c r="E10" s="8" t="inlineStr">
        <is>
          <t>H</t>
        </is>
      </c>
      <c r="F10" s="9" t="inlineStr">
        <is>
          <t>Referred for Further Medical Assessment</t>
        </is>
      </c>
      <c r="G10" s="9" t="inlineStr">
        <is>
          <t>Rustication + Rehabilitation</t>
        </is>
      </c>
      <c r="H10" s="10" t="inlineStr">
        <is>
          <t>N</t>
        </is>
      </c>
      <c r="I10" s="10" t="inlineStr"/>
      <c r="J10" s="10" t="inlineStr">
        <is>
          <t>Implemented</t>
        </is>
      </c>
    </row>
    <row r="11" ht="26" customHeight="1">
      <c r="B11" s="14" t="inlineStr">
        <is>
          <t>ADC/2024/0007</t>
        </is>
      </c>
      <c r="C11" s="16" t="inlineStr">
        <is>
          <t>STU-007</t>
        </is>
      </c>
      <c r="D11" s="15" t="inlineStr"/>
      <c r="E11" s="14" t="inlineStr">
        <is>
          <t>M</t>
        </is>
      </c>
      <c r="F11" s="15" t="inlineStr">
        <is>
          <t>Confirmed — Drug Use (First Time)</t>
        </is>
      </c>
      <c r="G11" s="15" t="inlineStr">
        <is>
          <t>Expulsion / Permanent Dismissal</t>
        </is>
      </c>
      <c r="H11" s="16" t="inlineStr">
        <is>
          <t>N</t>
        </is>
      </c>
      <c r="I11" s="16" t="inlineStr"/>
      <c r="J11" s="16" t="inlineStr">
        <is>
          <t>Implemented</t>
        </is>
      </c>
    </row>
    <row r="12" ht="26" customHeight="1">
      <c r="B12" s="8" t="inlineStr">
        <is>
          <t>ADC/2025/0008</t>
        </is>
      </c>
      <c r="C12" s="10" t="inlineStr">
        <is>
          <t>STU-008</t>
        </is>
      </c>
      <c r="D12" s="9" t="inlineStr"/>
      <c r="E12" s="8" t="inlineStr">
        <is>
          <t>H</t>
        </is>
      </c>
      <c r="F12" s="9" t="inlineStr">
        <is>
          <t>Confirmed — Drug Use (Repeat)</t>
        </is>
      </c>
      <c r="G12" s="9" t="inlineStr">
        <is>
          <t>FIR filed with Police</t>
        </is>
      </c>
      <c r="H12" s="10" t="inlineStr">
        <is>
          <t>N</t>
        </is>
      </c>
      <c r="I12" s="10" t="inlineStr"/>
      <c r="J12" s="10" t="inlineStr">
        <is>
          <t>Implemented</t>
        </is>
      </c>
    </row>
    <row r="13" ht="26" customHeight="1">
      <c r="B13" s="14" t="inlineStr">
        <is>
          <t>ADC/2025/0009</t>
        </is>
      </c>
      <c r="C13" s="16" t="inlineStr">
        <is>
          <t>STU-009</t>
        </is>
      </c>
      <c r="D13" s="15" t="inlineStr"/>
      <c r="E13" s="14" t="inlineStr">
        <is>
          <t>M</t>
        </is>
      </c>
      <c r="F13" s="15" t="inlineStr">
        <is>
          <t>Confirmed — Drug Possession</t>
        </is>
      </c>
      <c r="G13" s="15" t="inlineStr">
        <is>
          <t>Rehabilitation — No Academic Penalty (1st offence)</t>
        </is>
      </c>
      <c r="H13" s="16" t="inlineStr">
        <is>
          <t>N</t>
        </is>
      </c>
      <c r="I13" s="16" t="inlineStr"/>
      <c r="J13" s="16" t="inlineStr">
        <is>
          <t>Implemented</t>
        </is>
      </c>
    </row>
    <row r="14" ht="26" customHeight="1">
      <c r="B14" s="8" t="inlineStr">
        <is>
          <t>ADC/2025/0010</t>
        </is>
      </c>
      <c r="C14" s="10" t="inlineStr">
        <is>
          <t>STU-010</t>
        </is>
      </c>
      <c r="D14" s="9" t="inlineStr"/>
      <c r="E14" s="8" t="inlineStr">
        <is>
          <t>L</t>
        </is>
      </c>
      <c r="F14" s="9" t="inlineStr">
        <is>
          <t>Confirmed — Drug Supply / Dealing</t>
        </is>
      </c>
      <c r="G14" s="9" t="inlineStr">
        <is>
          <t>Counselling (Mandatory — 10 sessions)</t>
        </is>
      </c>
      <c r="H14" s="10" t="inlineStr">
        <is>
          <t>N</t>
        </is>
      </c>
      <c r="I14" s="10" t="inlineStr"/>
      <c r="J14" s="10" t="inlineStr">
        <is>
          <t>Implemented</t>
        </is>
      </c>
    </row>
    <row r="15" ht="26" customHeight="1">
      <c r="B15" s="14" t="inlineStr">
        <is>
          <t>ADC/2025/0011</t>
        </is>
      </c>
      <c r="C15" s="16" t="inlineStr">
        <is>
          <t>STU-011</t>
        </is>
      </c>
      <c r="D15" s="15" t="inlineStr"/>
      <c r="E15" s="14" t="inlineStr">
        <is>
          <t>H</t>
        </is>
      </c>
      <c r="F15" s="15" t="inlineStr">
        <is>
          <t>Not Confirmed — No Evidence</t>
        </is>
      </c>
      <c r="G15" s="15" t="inlineStr">
        <is>
          <t>Community Service + Counselling</t>
        </is>
      </c>
      <c r="H15" s="16" t="inlineStr">
        <is>
          <t>N</t>
        </is>
      </c>
      <c r="I15" s="16" t="inlineStr"/>
      <c r="J15" s="16" t="inlineStr">
        <is>
          <t>Implemented</t>
        </is>
      </c>
    </row>
    <row r="16" ht="26" customHeight="1">
      <c r="B16" s="8" t="inlineStr">
        <is>
          <t>ADC/2025/0012</t>
        </is>
      </c>
      <c r="C16" s="10" t="inlineStr">
        <is>
          <t>STU-012</t>
        </is>
      </c>
      <c r="D16" s="9" t="inlineStr"/>
      <c r="E16" s="8" t="inlineStr">
        <is>
          <t>M</t>
        </is>
      </c>
      <c r="F16" s="9" t="inlineStr">
        <is>
          <t>Referred for Further Medical Assessment</t>
        </is>
      </c>
      <c r="G16" s="9" t="inlineStr">
        <is>
          <t>Written Warning + Parent Meeting</t>
        </is>
      </c>
      <c r="H16" s="10" t="inlineStr">
        <is>
          <t>N</t>
        </is>
      </c>
      <c r="I16" s="10" t="inlineStr"/>
      <c r="J16" s="10" t="inlineStr">
        <is>
          <t>Implemented</t>
        </is>
      </c>
    </row>
    <row r="17" ht="26" customHeight="1">
      <c r="B17" s="14" t="inlineStr">
        <is>
          <t>ADC/2025/0013</t>
        </is>
      </c>
      <c r="C17" s="16" t="inlineStr">
        <is>
          <t>STU-013</t>
        </is>
      </c>
      <c r="D17" s="15" t="inlineStr"/>
      <c r="E17" s="14" t="inlineStr">
        <is>
          <t>H</t>
        </is>
      </c>
      <c r="F17" s="15" t="inlineStr">
        <is>
          <t>Confirmed — Drug Use (First Time)</t>
        </is>
      </c>
      <c r="G17" s="15" t="inlineStr">
        <is>
          <t>Suspension (1 month) + Rehabilitation</t>
        </is>
      </c>
      <c r="H17" s="16" t="inlineStr">
        <is>
          <t>N</t>
        </is>
      </c>
      <c r="I17" s="16" t="inlineStr"/>
      <c r="J17" s="16" t="inlineStr">
        <is>
          <t>Implemented</t>
        </is>
      </c>
    </row>
    <row r="18" ht="26" customHeight="1">
      <c r="B18" s="8" t="inlineStr">
        <is>
          <t>ADC/2025/0014</t>
        </is>
      </c>
      <c r="C18" s="10" t="inlineStr">
        <is>
          <t>STU-014</t>
        </is>
      </c>
      <c r="D18" s="9" t="inlineStr"/>
      <c r="E18" s="8" t="inlineStr">
        <is>
          <t>M</t>
        </is>
      </c>
      <c r="F18" s="9" t="inlineStr">
        <is>
          <t>Confirmed — Drug Use (Repeat)</t>
        </is>
      </c>
      <c r="G18" s="9" t="inlineStr">
        <is>
          <t>Suspension (1 semester) + Rehabilitation</t>
        </is>
      </c>
      <c r="H18" s="10" t="inlineStr">
        <is>
          <t>N</t>
        </is>
      </c>
      <c r="I18" s="10" t="inlineStr"/>
      <c r="J18" s="10" t="inlineStr">
        <is>
          <t>Implemented</t>
        </is>
      </c>
    </row>
    <row r="19" ht="26" customHeight="1"/>
    <row r="20" ht="24" customHeight="1">
      <c r="B20" s="36" t="inlineStr">
        <is>
          <t>DECISION STATISTICS</t>
        </is>
      </c>
    </row>
    <row r="21" ht="26" customHeight="1">
      <c r="B21" s="40" t="inlineStr">
        <is>
          <t>Total Cases Decided</t>
        </is>
      </c>
      <c r="F21" s="38">
        <f>COUNTA(B5:B18)</f>
        <v/>
      </c>
    </row>
    <row r="22">
      <c r="B22" s="27" t="inlineStr">
        <is>
          <t>First-Time Offenders — Counselling Path</t>
        </is>
      </c>
      <c r="F22" s="39">
        <f>COUNTIF(G5:G18,"Counselling (Mandatory — 10 sessions)")</f>
        <v/>
      </c>
    </row>
    <row r="23">
      <c r="B23" s="40" t="inlineStr">
        <is>
          <t>Suspended / Rusticated</t>
        </is>
      </c>
      <c r="F23" s="38">
        <f>COUNTIF(G5:G18,"Suspension (1 month) + Rehabilitation")+COUNTIF(G5:G18,"Suspension (1 semester) + Rehabilitation")+COUNTIF(G5:G18,"Rustication + Rehabilitation")</f>
        <v/>
      </c>
    </row>
    <row r="24">
      <c r="B24" s="27" t="inlineStr">
        <is>
          <t>Expelled</t>
        </is>
      </c>
      <c r="F24" s="39">
        <f>COUNTIF(G5:G18,"Expulsion / Permanent Dismissal")</f>
        <v/>
      </c>
    </row>
    <row r="25">
      <c r="B25" s="40" t="inlineStr">
        <is>
          <t>Police Cases Filed</t>
        </is>
      </c>
      <c r="F25" s="38">
        <f>COUNTIF(H5:H18,"Y")</f>
        <v/>
      </c>
    </row>
    <row r="26">
      <c r="B26" s="27" t="inlineStr">
        <is>
          <t>Rehabilitation Path Taken</t>
        </is>
      </c>
      <c r="F26" s="39">
        <f>COUNTIF(G5:G18,"Rehabilitation — No Academic Penalty (1st offence)")</f>
        <v/>
      </c>
    </row>
  </sheetData>
  <mergeCells count="15">
    <mergeCell ref="B23:E23"/>
    <mergeCell ref="B26:E26"/>
    <mergeCell ref="B3:J3"/>
    <mergeCell ref="F21:J21"/>
    <mergeCell ref="B20:J20"/>
    <mergeCell ref="F24:J24"/>
    <mergeCell ref="F23:J23"/>
    <mergeCell ref="F26:J26"/>
    <mergeCell ref="B21:E21"/>
    <mergeCell ref="F25:J25"/>
    <mergeCell ref="B25:E25"/>
    <mergeCell ref="B24:E24"/>
    <mergeCell ref="F22:J22"/>
    <mergeCell ref="B22:E22"/>
    <mergeCell ref="B2:J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B2:H48"/>
  <sheetViews>
    <sheetView showGridLines="0" workbookViewId="0">
      <selection activeCell="A1" sqref="A1"/>
    </sheetView>
  </sheetViews>
  <sheetFormatPr baseColWidth="8" defaultRowHeight="15"/>
  <cols>
    <col width="3" customWidth="1" min="1" max="1"/>
    <col width="8" customWidth="1" min="2" max="2"/>
    <col width="36" customWidth="1" min="3" max="3"/>
    <col width="14" customWidth="1" min="4" max="4"/>
    <col width="12" customWidth="1" min="5" max="5"/>
    <col width="14" customWidth="1" min="6" max="6"/>
    <col width="14" customWidth="1" min="7" max="7"/>
    <col width="14" customWidth="1" min="8" max="8"/>
    <col width="3" customWidth="1" min="9" max="9"/>
  </cols>
  <sheetData>
    <row r="1" ht="10" customHeight="1"/>
    <row r="2" ht="48" customHeight="1">
      <c r="B2" s="12" t="inlineStr">
        <is>
          <t>ADC-02: NDPS ACT / UGC GUIDELINES ANTI-DRUG COMPLIANCE CHECKLIST</t>
        </is>
      </c>
    </row>
    <row r="3" ht="20" customHeight="1">
      <c r="B3" s="17" t="inlineStr">
        <is>
          <t>Rating: 1 = Not Compliant  2 = Partially Compliant  3 = Mostly Compliant  4 = Fully Compliant  5 = Exemplary. All items should score ≥ 4 for full compliance.</t>
        </is>
      </c>
    </row>
    <row r="4" ht="25" customHeight="1">
      <c r="B4" s="21" t="inlineStr">
        <is>
          <t>Sl.</t>
        </is>
      </c>
      <c r="C4" s="21" t="inlineStr">
        <is>
          <t>Compliance Requirement</t>
        </is>
      </c>
      <c r="D4" s="21" t="inlineStr">
        <is>
          <t>Reference</t>
        </is>
      </c>
      <c r="E4" s="21" t="inlineStr">
        <is>
          <t>Rating
(1–5)</t>
        </is>
      </c>
      <c r="F4" s="21" t="inlineStr">
        <is>
          <t>Evidence
Available</t>
        </is>
      </c>
      <c r="G4" s="21" t="inlineStr">
        <is>
          <t>Action
Required</t>
        </is>
      </c>
      <c r="H4" s="21" t="inlineStr">
        <is>
          <t>Deadline</t>
        </is>
      </c>
    </row>
    <row r="5" ht="24" customHeight="1">
      <c r="B5" s="20" t="inlineStr">
        <is>
          <t>SECTION A — CONSTITUTION &amp; POLICY</t>
        </is>
      </c>
    </row>
    <row r="6" ht="28" customHeight="1">
      <c r="B6" s="41" t="n">
        <v>1</v>
      </c>
      <c r="C6" s="42" t="inlineStr">
        <is>
          <t>ADC constituted with all required members</t>
        </is>
      </c>
      <c r="D6" s="43" t="inlineStr">
        <is>
          <t>UGC Guidelines</t>
        </is>
      </c>
      <c r="E6" s="43" t="inlineStr"/>
      <c r="F6" s="43" t="inlineStr">
        <is>
          <t>Y</t>
        </is>
      </c>
      <c r="G6" s="42" t="inlineStr"/>
      <c r="H6" s="43" t="inlineStr"/>
    </row>
    <row r="7" ht="28" customHeight="1">
      <c r="B7" s="44" t="n">
        <v>2</v>
      </c>
      <c r="C7" s="45" t="inlineStr">
        <is>
          <t>Anti-drug policy formally adopted and published</t>
        </is>
      </c>
      <c r="D7" s="46" t="inlineStr">
        <is>
          <t>UGC / Institutional</t>
        </is>
      </c>
      <c r="E7" s="46" t="inlineStr"/>
      <c r="F7" s="46" t="inlineStr">
        <is>
          <t>Y</t>
        </is>
      </c>
      <c r="G7" s="45" t="inlineStr"/>
      <c r="H7" s="46" t="inlineStr"/>
    </row>
    <row r="8" ht="28" customHeight="1">
      <c r="B8" s="41" t="n">
        <v>3</v>
      </c>
      <c r="C8" s="42" t="inlineStr">
        <is>
          <t>Zero-tolerance policy displayed on campus</t>
        </is>
      </c>
      <c r="D8" s="43" t="inlineStr">
        <is>
          <t>UGC / NDPS</t>
        </is>
      </c>
      <c r="E8" s="43" t="inlineStr"/>
      <c r="F8" s="43" t="inlineStr">
        <is>
          <t>Y</t>
        </is>
      </c>
      <c r="G8" s="42" t="inlineStr"/>
      <c r="H8" s="43" t="inlineStr"/>
    </row>
    <row r="9" ht="28" customHeight="1">
      <c r="B9" s="44" t="n">
        <v>4</v>
      </c>
      <c r="C9" s="45" t="inlineStr">
        <is>
          <t>ADC meets at least twice a semester</t>
        </is>
      </c>
      <c r="D9" s="46" t="inlineStr">
        <is>
          <t>UGC Guidelines</t>
        </is>
      </c>
      <c r="E9" s="46" t="inlineStr"/>
      <c r="F9" s="46" t="inlineStr">
        <is>
          <t>Y</t>
        </is>
      </c>
      <c r="G9" s="45" t="inlineStr"/>
      <c r="H9" s="46" t="inlineStr"/>
    </row>
    <row r="10" ht="28" customHeight="1">
      <c r="B10" s="41" t="n">
        <v>5</v>
      </c>
      <c r="C10" s="42" t="inlineStr">
        <is>
          <t>ADC records maintained and accessible</t>
        </is>
      </c>
      <c r="D10" s="43" t="inlineStr">
        <is>
          <t>NDPS / UGC</t>
        </is>
      </c>
      <c r="E10" s="43" t="inlineStr"/>
      <c r="F10" s="43" t="inlineStr">
        <is>
          <t>Y</t>
        </is>
      </c>
      <c r="G10" s="42" t="inlineStr"/>
      <c r="H10" s="43" t="inlineStr"/>
    </row>
    <row r="11" ht="26" customHeight="1"/>
    <row r="12" ht="24" customHeight="1">
      <c r="B12" s="49" t="inlineStr">
        <is>
          <t>SECTION B — UNDERTAKINGS</t>
        </is>
      </c>
    </row>
    <row r="13" ht="28" customHeight="1">
      <c r="B13" s="55" t="n">
        <v>6</v>
      </c>
      <c r="C13" s="56" t="inlineStr">
        <is>
          <t>Student anti-drug undertaking collected at admission</t>
        </is>
      </c>
      <c r="D13" s="57" t="inlineStr">
        <is>
          <t>UGC Guidelines</t>
        </is>
      </c>
      <c r="E13" s="57" t="inlineStr"/>
      <c r="F13" s="57" t="inlineStr">
        <is>
          <t>Y</t>
        </is>
      </c>
      <c r="G13" s="56" t="inlineStr"/>
      <c r="H13" s="57" t="inlineStr"/>
    </row>
    <row r="14" ht="28" customHeight="1">
      <c r="B14" s="44" t="n">
        <v>7</v>
      </c>
      <c r="C14" s="45" t="inlineStr">
        <is>
          <t>Parent / guardian undertaking collected</t>
        </is>
      </c>
      <c r="D14" s="46" t="inlineStr">
        <is>
          <t>UGC Guidelines</t>
        </is>
      </c>
      <c r="E14" s="46" t="inlineStr"/>
      <c r="F14" s="46" t="inlineStr">
        <is>
          <t>Y</t>
        </is>
      </c>
      <c r="G14" s="45" t="inlineStr"/>
      <c r="H14" s="46" t="inlineStr"/>
    </row>
    <row r="15" ht="28" customHeight="1">
      <c r="B15" s="55" t="n">
        <v>8</v>
      </c>
      <c r="C15" s="56" t="inlineStr">
        <is>
          <t>Faculty and staff undertaking collected</t>
        </is>
      </c>
      <c r="D15" s="57" t="inlineStr">
        <is>
          <t>UGC Guidelines</t>
        </is>
      </c>
      <c r="E15" s="57" t="inlineStr"/>
      <c r="F15" s="57" t="inlineStr">
        <is>
          <t>Y</t>
        </is>
      </c>
      <c r="G15" s="56" t="inlineStr"/>
      <c r="H15" s="57" t="inlineStr"/>
    </row>
    <row r="16" ht="28" customHeight="1">
      <c r="B16" s="44" t="n">
        <v>9</v>
      </c>
      <c r="C16" s="45" t="inlineStr">
        <is>
          <t>Hostel student special declaration collected</t>
        </is>
      </c>
      <c r="D16" s="46" t="inlineStr">
        <is>
          <t>Hostel Policy</t>
        </is>
      </c>
      <c r="E16" s="46" t="inlineStr"/>
      <c r="F16" s="46" t="inlineStr">
        <is>
          <t>Y</t>
        </is>
      </c>
      <c r="G16" s="45" t="inlineStr"/>
      <c r="H16" s="46" t="inlineStr"/>
    </row>
    <row r="17" ht="28" customHeight="1">
      <c r="B17" s="55" t="n">
        <v>10</v>
      </c>
      <c r="C17" s="56" t="inlineStr">
        <is>
          <t>100% undertaking compliance achieved</t>
        </is>
      </c>
      <c r="D17" s="57" t="inlineStr">
        <is>
          <t>UGC Guidelines</t>
        </is>
      </c>
      <c r="E17" s="57" t="inlineStr"/>
      <c r="F17" s="57" t="inlineStr">
        <is>
          <t>Y</t>
        </is>
      </c>
      <c r="G17" s="56" t="inlineStr"/>
      <c r="H17" s="57" t="inlineStr"/>
    </row>
    <row r="18" ht="26" customHeight="1"/>
    <row r="19" ht="24" customHeight="1">
      <c r="B19" s="36" t="inlineStr">
        <is>
          <t>SECTION C — AWARENESS &amp; PREVENTION</t>
        </is>
      </c>
    </row>
    <row r="20" ht="28" customHeight="1">
      <c r="B20" s="58" t="n">
        <v>11</v>
      </c>
      <c r="C20" s="59" t="inlineStr">
        <is>
          <t>Anti-drug awareness session at orientation (mandatory)</t>
        </is>
      </c>
      <c r="D20" s="60" t="inlineStr">
        <is>
          <t>UGC Guidelines</t>
        </is>
      </c>
      <c r="E20" s="60" t="inlineStr"/>
      <c r="F20" s="60" t="inlineStr">
        <is>
          <t>Y</t>
        </is>
      </c>
      <c r="G20" s="59" t="inlineStr"/>
      <c r="H20" s="60" t="inlineStr"/>
    </row>
    <row r="21" ht="28" customHeight="1">
      <c r="B21" s="44" t="n">
        <v>12</v>
      </c>
      <c r="C21" s="45" t="inlineStr">
        <is>
          <t>Anti-drug helpline number displayed on campus</t>
        </is>
      </c>
      <c r="D21" s="46" t="inlineStr">
        <is>
          <t>NDPS / UGC</t>
        </is>
      </c>
      <c r="E21" s="46" t="inlineStr"/>
      <c r="F21" s="46" t="inlineStr">
        <is>
          <t>Y</t>
        </is>
      </c>
      <c r="G21" s="45" t="inlineStr"/>
      <c r="H21" s="46" t="inlineStr"/>
    </row>
    <row r="22" ht="28" customHeight="1">
      <c r="B22" s="58" t="n">
        <v>13</v>
      </c>
      <c r="C22" s="59" t="inlineStr">
        <is>
          <t>Peer educator network established and active</t>
        </is>
      </c>
      <c r="D22" s="60" t="inlineStr">
        <is>
          <t>UGC Guidelines</t>
        </is>
      </c>
      <c r="E22" s="60" t="inlineStr"/>
      <c r="F22" s="60" t="inlineStr">
        <is>
          <t>Y</t>
        </is>
      </c>
      <c r="G22" s="59" t="inlineStr"/>
      <c r="H22" s="60" t="inlineStr"/>
    </row>
    <row r="23" ht="28" customHeight="1">
      <c r="B23" s="44" t="n">
        <v>14</v>
      </c>
      <c r="C23" s="45" t="inlineStr">
        <is>
          <t>Faculty sensitisation training conducted</t>
        </is>
      </c>
      <c r="D23" s="46" t="inlineStr">
        <is>
          <t>UGC Guidelines</t>
        </is>
      </c>
      <c r="E23" s="46" t="inlineStr"/>
      <c r="F23" s="46" t="inlineStr">
        <is>
          <t>Y</t>
        </is>
      </c>
      <c r="G23" s="45" t="inlineStr"/>
      <c r="H23" s="46" t="inlineStr"/>
    </row>
    <row r="24" ht="28" customHeight="1">
      <c r="B24" s="58" t="n">
        <v>15</v>
      </c>
      <c r="C24" s="59" t="inlineStr">
        <is>
          <t>Parent awareness sessions conducted annually</t>
        </is>
      </c>
      <c r="D24" s="60" t="inlineStr">
        <is>
          <t>UGC Guidelines</t>
        </is>
      </c>
      <c r="E24" s="60" t="inlineStr"/>
      <c r="F24" s="60" t="inlineStr">
        <is>
          <t>Y</t>
        </is>
      </c>
      <c r="G24" s="59" t="inlineStr"/>
      <c r="H24" s="60" t="inlineStr"/>
    </row>
    <row r="25" ht="28" customHeight="1">
      <c r="B25" s="44" t="n">
        <v>16</v>
      </c>
      <c r="C25" s="45" t="inlineStr">
        <is>
          <t>Social media anti-drug campaign active</t>
        </is>
      </c>
      <c r="D25" s="46" t="inlineStr">
        <is>
          <t>UGC / Institutional</t>
        </is>
      </c>
      <c r="E25" s="46" t="inlineStr"/>
      <c r="F25" s="46" t="inlineStr">
        <is>
          <t>Y</t>
        </is>
      </c>
      <c r="G25" s="45" t="inlineStr"/>
      <c r="H25" s="46" t="inlineStr"/>
    </row>
    <row r="26" ht="26" customHeight="1"/>
    <row r="27" ht="24" customHeight="1">
      <c r="B27" s="61" t="inlineStr">
        <is>
          <t>SECTION D — SURVEILLANCE &amp; DETECTION</t>
        </is>
      </c>
    </row>
    <row r="28" ht="28" customHeight="1">
      <c r="B28" s="62" t="n">
        <v>17</v>
      </c>
      <c r="C28" s="63" t="inlineStr">
        <is>
          <t>Campus vulnerability areas identified and monitored</t>
        </is>
      </c>
      <c r="D28" s="64" t="inlineStr">
        <is>
          <t>UGC Guidelines</t>
        </is>
      </c>
      <c r="E28" s="64" t="inlineStr"/>
      <c r="F28" s="64" t="inlineStr">
        <is>
          <t>Y</t>
        </is>
      </c>
      <c r="G28" s="63" t="inlineStr"/>
      <c r="H28" s="64" t="inlineStr"/>
    </row>
    <row r="29" ht="28" customHeight="1">
      <c r="B29" s="44" t="n">
        <v>18</v>
      </c>
      <c r="C29" s="45" t="inlineStr">
        <is>
          <t>Hostel surprise checks conducted regularly</t>
        </is>
      </c>
      <c r="D29" s="46" t="inlineStr">
        <is>
          <t>Hostel / UGC</t>
        </is>
      </c>
      <c r="E29" s="46" t="inlineStr"/>
      <c r="F29" s="46" t="inlineStr">
        <is>
          <t>Y</t>
        </is>
      </c>
      <c r="G29" s="45" t="inlineStr"/>
      <c r="H29" s="46" t="inlineStr"/>
    </row>
    <row r="30" ht="28" customHeight="1">
      <c r="B30" s="62" t="n">
        <v>19</v>
      </c>
      <c r="C30" s="63" t="inlineStr">
        <is>
          <t>Anonymous complaint mechanism available</t>
        </is>
      </c>
      <c r="D30" s="64" t="inlineStr">
        <is>
          <t>UGC Guidelines</t>
        </is>
      </c>
      <c r="E30" s="64" t="inlineStr"/>
      <c r="F30" s="64" t="inlineStr">
        <is>
          <t>Y</t>
        </is>
      </c>
      <c r="G30" s="63" t="inlineStr"/>
      <c r="H30" s="64" t="inlineStr"/>
    </row>
    <row r="31" ht="28" customHeight="1">
      <c r="B31" s="44" t="n">
        <v>20</v>
      </c>
      <c r="C31" s="45" t="inlineStr">
        <is>
          <t>Warning signs checklist shared with all faculty</t>
        </is>
      </c>
      <c r="D31" s="46" t="inlineStr">
        <is>
          <t>UGC / Institutional</t>
        </is>
      </c>
      <c r="E31" s="46" t="inlineStr"/>
      <c r="F31" s="46" t="inlineStr">
        <is>
          <t>Y</t>
        </is>
      </c>
      <c r="G31" s="45" t="inlineStr"/>
      <c r="H31" s="46" t="inlineStr"/>
    </row>
    <row r="32" ht="28" customHeight="1">
      <c r="B32" s="62" t="n">
        <v>21</v>
      </c>
      <c r="C32" s="63" t="inlineStr">
        <is>
          <t>CCTV surveillance in key campus areas</t>
        </is>
      </c>
      <c r="D32" s="64" t="inlineStr">
        <is>
          <t>UGC / Security</t>
        </is>
      </c>
      <c r="E32" s="64" t="inlineStr"/>
      <c r="F32" s="64" t="inlineStr">
        <is>
          <t>Y</t>
        </is>
      </c>
      <c r="G32" s="63" t="inlineStr"/>
      <c r="H32" s="64" t="inlineStr"/>
    </row>
    <row r="33" ht="26" customHeight="1"/>
    <row r="34" ht="24" customHeight="1">
      <c r="B34" s="51" t="inlineStr">
        <is>
          <t>SECTION E — INTERVENTION &amp; SUPPORT</t>
        </is>
      </c>
    </row>
    <row r="35" ht="28" customHeight="1">
      <c r="B35" s="65" t="n">
        <v>22</v>
      </c>
      <c r="C35" s="66" t="inlineStr">
        <is>
          <t>Professional counsellor available on campus</t>
        </is>
      </c>
      <c r="D35" s="67" t="inlineStr">
        <is>
          <t>UGC Guidelines</t>
        </is>
      </c>
      <c r="E35" s="67" t="inlineStr"/>
      <c r="F35" s="67" t="inlineStr">
        <is>
          <t>Y</t>
        </is>
      </c>
      <c r="G35" s="66" t="inlineStr"/>
      <c r="H35" s="67" t="inlineStr"/>
    </row>
    <row r="36" ht="28" customHeight="1">
      <c r="B36" s="44" t="n">
        <v>23</v>
      </c>
      <c r="C36" s="45" t="inlineStr">
        <is>
          <t>De-addiction referral pathway established</t>
        </is>
      </c>
      <c r="D36" s="46" t="inlineStr">
        <is>
          <t>UGC / NDPS</t>
        </is>
      </c>
      <c r="E36" s="46" t="inlineStr"/>
      <c r="F36" s="46" t="inlineStr">
        <is>
          <t>Y</t>
        </is>
      </c>
      <c r="G36" s="45" t="inlineStr"/>
      <c r="H36" s="46" t="inlineStr"/>
    </row>
    <row r="37" ht="28" customHeight="1">
      <c r="B37" s="65" t="n">
        <v>24</v>
      </c>
      <c r="C37" s="66" t="inlineStr">
        <is>
          <t>Family counselling support available</t>
        </is>
      </c>
      <c r="D37" s="67" t="inlineStr">
        <is>
          <t>UGC Guidelines</t>
        </is>
      </c>
      <c r="E37" s="67" t="inlineStr"/>
      <c r="F37" s="67" t="inlineStr">
        <is>
          <t>Y</t>
        </is>
      </c>
      <c r="G37" s="66" t="inlineStr"/>
      <c r="H37" s="67" t="inlineStr"/>
    </row>
    <row r="38" ht="28" customHeight="1">
      <c r="B38" s="44" t="n">
        <v>25</v>
      </c>
      <c r="C38" s="45" t="inlineStr">
        <is>
          <t>Post-rehabilitation student monitoring protocol</t>
        </is>
      </c>
      <c r="D38" s="46" t="inlineStr">
        <is>
          <t>UGC / Institutional</t>
        </is>
      </c>
      <c r="E38" s="46" t="inlineStr"/>
      <c r="F38" s="46" t="inlineStr">
        <is>
          <t>Y</t>
        </is>
      </c>
      <c r="G38" s="45" t="inlineStr"/>
      <c r="H38" s="46" t="inlineStr"/>
    </row>
    <row r="39" ht="28" customHeight="1">
      <c r="B39" s="65" t="n">
        <v>26</v>
      </c>
      <c r="C39" s="66" t="inlineStr">
        <is>
          <t>Serious cases reported to police within 24 hours</t>
        </is>
      </c>
      <c r="D39" s="67" t="inlineStr">
        <is>
          <t>NDPS Act 1985</t>
        </is>
      </c>
      <c r="E39" s="67" t="inlineStr"/>
      <c r="F39" s="67" t="inlineStr">
        <is>
          <t>Y</t>
        </is>
      </c>
      <c r="G39" s="66" t="inlineStr"/>
      <c r="H39" s="67" t="inlineStr"/>
    </row>
    <row r="40" ht="28" customHeight="1">
      <c r="B40" s="44" t="n">
        <v>27</v>
      </c>
      <c r="C40" s="45" t="inlineStr">
        <is>
          <t>Drug trafficking cases reported to NCB</t>
        </is>
      </c>
      <c r="D40" s="46" t="inlineStr">
        <is>
          <t>NDPS Act 1985</t>
        </is>
      </c>
      <c r="E40" s="46" t="inlineStr"/>
      <c r="F40" s="46" t="inlineStr">
        <is>
          <t>Y</t>
        </is>
      </c>
      <c r="G40" s="45" t="inlineStr"/>
      <c r="H40" s="46" t="inlineStr"/>
    </row>
    <row r="41" ht="26" customHeight="1"/>
    <row r="42" ht="24" customHeight="1">
      <c r="B42" s="36" t="inlineStr">
        <is>
          <t>COMPLIANCE SCORE SUMMARY</t>
        </is>
      </c>
    </row>
    <row r="43" ht="26" customHeight="1">
      <c r="B43" s="37" t="inlineStr">
        <is>
          <t>Total Requirements Checked</t>
        </is>
      </c>
      <c r="F43" s="68">
        <f>COUNTA(B5:B40)-5</f>
        <v/>
      </c>
    </row>
    <row r="44" ht="26" customHeight="1">
      <c r="B44" s="27" t="inlineStr">
        <is>
          <t>Score ≥ 4 (Compliant)</t>
        </is>
      </c>
      <c r="F44" s="69">
        <f>COUNTIF(E5:E40,"&gt;="&amp;4)</f>
        <v/>
      </c>
    </row>
    <row r="45" ht="26" customHeight="1">
      <c r="B45" s="37" t="inlineStr">
        <is>
          <t>Score &lt; 4 (Non-Compliant)</t>
        </is>
      </c>
      <c r="F45" s="68">
        <f>COUNTIF(E5:E40,"&lt;"&amp;4)</f>
        <v/>
      </c>
    </row>
    <row r="46" ht="26" customHeight="1">
      <c r="B46" s="27" t="inlineStr">
        <is>
          <t>Average Compliance Score</t>
        </is>
      </c>
      <c r="F46" s="69">
        <f>IFERROR(ROUND(AVERAGE(E5:E40),2),"")</f>
        <v/>
      </c>
    </row>
    <row r="47" ht="26" customHeight="1">
      <c r="B47" s="37" t="inlineStr">
        <is>
          <t>Overall Compliance Rate (%)</t>
        </is>
      </c>
      <c r="F47" s="68">
        <f>IFERROR(ROUND(C47/C46*100,1),"")</f>
        <v/>
      </c>
    </row>
    <row r="48" ht="26" customHeight="1">
      <c r="B48" s="27" t="inlineStr">
        <is>
          <t>UGC Report Ready?</t>
        </is>
      </c>
      <c r="F48" s="70">
        <f>IFERROR(IF(C47&gt;=90,"YES — Report Ready","NO — Address Gaps First"),"")</f>
        <v/>
      </c>
    </row>
  </sheetData>
  <mergeCells count="20">
    <mergeCell ref="F45:H45"/>
    <mergeCell ref="B5:H5"/>
    <mergeCell ref="F47:H47"/>
    <mergeCell ref="B45:E45"/>
    <mergeCell ref="F46:H46"/>
    <mergeCell ref="F43:H43"/>
    <mergeCell ref="B47:E47"/>
    <mergeCell ref="F48:H48"/>
    <mergeCell ref="B3:H3"/>
    <mergeCell ref="B46:E46"/>
    <mergeCell ref="B27:H27"/>
    <mergeCell ref="B43:E43"/>
    <mergeCell ref="B12:H12"/>
    <mergeCell ref="B48:E48"/>
    <mergeCell ref="B2:H2"/>
    <mergeCell ref="F44:H44"/>
    <mergeCell ref="B42:H42"/>
    <mergeCell ref="B44:E44"/>
    <mergeCell ref="B19:H19"/>
    <mergeCell ref="B34:H34"/>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B2:J34"/>
  <sheetViews>
    <sheetView showGridLines="0" workbookViewId="0">
      <selection activeCell="A1" sqref="A1"/>
    </sheetView>
  </sheetViews>
  <sheetFormatPr baseColWidth="8" defaultRowHeight="15"/>
  <cols>
    <col width="3" customWidth="1" min="1" max="1"/>
    <col width="8" customWidth="1" min="2" max="2"/>
    <col width="24" customWidth="1" min="3" max="3"/>
    <col width="12" customWidth="1" min="4" max="4"/>
    <col width="12" customWidth="1" min="5" max="5"/>
    <col width="14" customWidth="1" min="6" max="6"/>
    <col width="14" customWidth="1" min="7" max="7"/>
    <col width="14" customWidth="1" min="8" max="8"/>
    <col width="14" customWidth="1" min="9" max="9"/>
    <col width="14" customWidth="1" min="10" max="10"/>
    <col width="3" customWidth="1" min="11" max="11"/>
  </cols>
  <sheetData>
    <row r="1" ht="10" customHeight="1"/>
    <row r="2" ht="48" customHeight="1">
      <c r="B2" s="12" t="inlineStr">
        <is>
          <t>ADC-18: HOSTEL SURPRISE CHECK REGISTER — ANTI-DRUG SURVEILLANCE</t>
        </is>
      </c>
    </row>
    <row r="3" ht="20" customHeight="1">
      <c r="B3" s="17" t="inlineStr">
        <is>
          <t>Surprise checks are unannounced visits for drug surveillance. Conduct minimum weekly during admission season, fortnightly otherwise. Female warden must be present for girls hostel checks. Dignity and privacy must be respected throughout.</t>
        </is>
      </c>
    </row>
    <row r="4" ht="25" customHeight="1">
      <c r="B4" s="21" t="inlineStr">
        <is>
          <t>Check
Ref.</t>
        </is>
      </c>
      <c r="C4" s="21" t="inlineStr">
        <is>
          <t>Date &amp;
Time</t>
        </is>
      </c>
      <c r="D4" s="21" t="inlineStr">
        <is>
          <t>Area Checked</t>
        </is>
      </c>
      <c r="E4" s="21" t="inlineStr">
        <is>
          <t>Checking
Officer(s)</t>
        </is>
      </c>
      <c r="F4" s="21" t="inlineStr">
        <is>
          <t>No. of
Rooms</t>
        </is>
      </c>
      <c r="G4" s="21" t="inlineStr">
        <is>
          <t>Suspicious
Items Found</t>
        </is>
      </c>
      <c r="H4" s="21" t="inlineStr">
        <is>
          <t>Students
Flagged</t>
        </is>
      </c>
      <c r="I4" s="21" t="inlineStr">
        <is>
          <t>Action
Taken</t>
        </is>
      </c>
      <c r="J4" s="21" t="inlineStr">
        <is>
          <t>Report
Submitted</t>
        </is>
      </c>
    </row>
    <row r="5" ht="22" customHeight="1">
      <c r="B5" s="14" t="inlineStr">
        <is>
          <t>CHK/0001</t>
        </is>
      </c>
      <c r="C5" s="16" t="inlineStr"/>
      <c r="D5" s="15" t="inlineStr">
        <is>
          <t>Boys Hostel — All Rooms</t>
        </is>
      </c>
      <c r="E5" s="15" t="inlineStr"/>
      <c r="F5" s="16" t="inlineStr"/>
      <c r="G5" s="15" t="inlineStr">
        <is>
          <t>Nil</t>
        </is>
      </c>
      <c r="H5" s="16" t="inlineStr">
        <is>
          <t>None</t>
        </is>
      </c>
      <c r="I5" s="15" t="inlineStr">
        <is>
          <t>NIL</t>
        </is>
      </c>
      <c r="J5" s="16" t="inlineStr">
        <is>
          <t>Y</t>
        </is>
      </c>
    </row>
    <row r="6" ht="22" customHeight="1">
      <c r="B6" s="8" t="inlineStr">
        <is>
          <t>CHK/0002</t>
        </is>
      </c>
      <c r="C6" s="10" t="inlineStr"/>
      <c r="D6" s="9" t="inlineStr">
        <is>
          <t>Boys Hostel — Common Areas</t>
        </is>
      </c>
      <c r="E6" s="9" t="inlineStr"/>
      <c r="F6" s="10" t="inlineStr"/>
      <c r="G6" s="9" t="inlineStr">
        <is>
          <t>Nil</t>
        </is>
      </c>
      <c r="H6" s="10" t="inlineStr">
        <is>
          <t>None</t>
        </is>
      </c>
      <c r="I6" s="9" t="inlineStr">
        <is>
          <t>NIL</t>
        </is>
      </c>
      <c r="J6" s="10" t="inlineStr">
        <is>
          <t>Y</t>
        </is>
      </c>
    </row>
    <row r="7" ht="22" customHeight="1">
      <c r="B7" s="14" t="inlineStr">
        <is>
          <t>CHK/0003</t>
        </is>
      </c>
      <c r="C7" s="16" t="inlineStr"/>
      <c r="D7" s="15" t="inlineStr">
        <is>
          <t>Girls Hostel — All Rooms</t>
        </is>
      </c>
      <c r="E7" s="15" t="inlineStr"/>
      <c r="F7" s="16" t="inlineStr"/>
      <c r="G7" s="15" t="inlineStr">
        <is>
          <t>Nil</t>
        </is>
      </c>
      <c r="H7" s="16" t="inlineStr">
        <is>
          <t>None</t>
        </is>
      </c>
      <c r="I7" s="15" t="inlineStr">
        <is>
          <t>NIL</t>
        </is>
      </c>
      <c r="J7" s="16" t="inlineStr">
        <is>
          <t>Y</t>
        </is>
      </c>
    </row>
    <row r="8" ht="22" customHeight="1">
      <c r="B8" s="8" t="inlineStr">
        <is>
          <t>CHK/0004</t>
        </is>
      </c>
      <c r="C8" s="10" t="inlineStr"/>
      <c r="D8" s="9" t="inlineStr">
        <is>
          <t>Girls Hostel — Common Areas</t>
        </is>
      </c>
      <c r="E8" s="9" t="inlineStr"/>
      <c r="F8" s="10" t="inlineStr"/>
      <c r="G8" s="9" t="inlineStr">
        <is>
          <t>Nil</t>
        </is>
      </c>
      <c r="H8" s="10" t="inlineStr">
        <is>
          <t>None</t>
        </is>
      </c>
      <c r="I8" s="9" t="inlineStr">
        <is>
          <t>NIL</t>
        </is>
      </c>
      <c r="J8" s="10" t="inlineStr">
        <is>
          <t>Y</t>
        </is>
      </c>
    </row>
    <row r="9" ht="22" customHeight="1">
      <c r="B9" s="14" t="inlineStr">
        <is>
          <t>CHK/0005</t>
        </is>
      </c>
      <c r="C9" s="16" t="inlineStr"/>
      <c r="D9" s="15" t="inlineStr">
        <is>
          <t>Boys Hostel Bathrooms</t>
        </is>
      </c>
      <c r="E9" s="15" t="inlineStr"/>
      <c r="F9" s="16" t="inlineStr"/>
      <c r="G9" s="15" t="inlineStr">
        <is>
          <t>Nil</t>
        </is>
      </c>
      <c r="H9" s="16" t="inlineStr">
        <is>
          <t>None</t>
        </is>
      </c>
      <c r="I9" s="15" t="inlineStr">
        <is>
          <t>NIL</t>
        </is>
      </c>
      <c r="J9" s="16" t="inlineStr">
        <is>
          <t>Y</t>
        </is>
      </c>
    </row>
    <row r="10" ht="22" customHeight="1">
      <c r="B10" s="8" t="inlineStr">
        <is>
          <t>CHK/0006</t>
        </is>
      </c>
      <c r="C10" s="10" t="inlineStr"/>
      <c r="D10" s="9" t="inlineStr">
        <is>
          <t>Girls Hostel Bathrooms</t>
        </is>
      </c>
      <c r="E10" s="9" t="inlineStr"/>
      <c r="F10" s="10" t="inlineStr"/>
      <c r="G10" s="9" t="inlineStr">
        <is>
          <t>Nil</t>
        </is>
      </c>
      <c r="H10" s="10" t="inlineStr">
        <is>
          <t>None</t>
        </is>
      </c>
      <c r="I10" s="9" t="inlineStr">
        <is>
          <t>NIL</t>
        </is>
      </c>
      <c r="J10" s="10" t="inlineStr">
        <is>
          <t>Y</t>
        </is>
      </c>
    </row>
    <row r="11" ht="22" customHeight="1">
      <c r="B11" s="14" t="inlineStr">
        <is>
          <t>CHK/0007</t>
        </is>
      </c>
      <c r="C11" s="16" t="inlineStr"/>
      <c r="D11" s="15" t="inlineStr">
        <is>
          <t>Campus Canteen &amp; Surroundings</t>
        </is>
      </c>
      <c r="E11" s="15" t="inlineStr"/>
      <c r="F11" s="16" t="inlineStr"/>
      <c r="G11" s="15" t="inlineStr">
        <is>
          <t>Nil</t>
        </is>
      </c>
      <c r="H11" s="16" t="inlineStr">
        <is>
          <t>None</t>
        </is>
      </c>
      <c r="I11" s="15" t="inlineStr">
        <is>
          <t>NIL</t>
        </is>
      </c>
      <c r="J11" s="16" t="inlineStr">
        <is>
          <t>Y</t>
        </is>
      </c>
    </row>
    <row r="12" ht="22" customHeight="1">
      <c r="B12" s="8" t="inlineStr">
        <is>
          <t>CHK/0008</t>
        </is>
      </c>
      <c r="C12" s="10" t="inlineStr"/>
      <c r="D12" s="9" t="inlineStr">
        <is>
          <t>Academic Block — Isolated Areas</t>
        </is>
      </c>
      <c r="E12" s="9" t="inlineStr"/>
      <c r="F12" s="10" t="inlineStr"/>
      <c r="G12" s="9" t="inlineStr">
        <is>
          <t>Nil</t>
        </is>
      </c>
      <c r="H12" s="10" t="inlineStr">
        <is>
          <t>None</t>
        </is>
      </c>
      <c r="I12" s="9" t="inlineStr">
        <is>
          <t>NIL</t>
        </is>
      </c>
      <c r="J12" s="10" t="inlineStr">
        <is>
          <t>Y</t>
        </is>
      </c>
    </row>
    <row r="13" ht="22" customHeight="1">
      <c r="B13" s="14" t="inlineStr">
        <is>
          <t>CHK/0009</t>
        </is>
      </c>
      <c r="C13" s="16" t="inlineStr"/>
      <c r="D13" s="15" t="inlineStr">
        <is>
          <t>Parking Area &amp; Campus Entry</t>
        </is>
      </c>
      <c r="E13" s="15" t="inlineStr"/>
      <c r="F13" s="16" t="inlineStr"/>
      <c r="G13" s="15" t="inlineStr">
        <is>
          <t>Nil</t>
        </is>
      </c>
      <c r="H13" s="16" t="inlineStr">
        <is>
          <t>None</t>
        </is>
      </c>
      <c r="I13" s="15" t="inlineStr">
        <is>
          <t>NIL</t>
        </is>
      </c>
      <c r="J13" s="16" t="inlineStr">
        <is>
          <t>Y</t>
        </is>
      </c>
    </row>
    <row r="14" ht="22" customHeight="1">
      <c r="B14" s="8" t="inlineStr">
        <is>
          <t>CHK/0010</t>
        </is>
      </c>
      <c r="C14" s="10" t="inlineStr"/>
      <c r="D14" s="9" t="inlineStr">
        <is>
          <t>Sports Ground / Gymnasium</t>
        </is>
      </c>
      <c r="E14" s="9" t="inlineStr"/>
      <c r="F14" s="10" t="inlineStr"/>
      <c r="G14" s="9" t="inlineStr">
        <is>
          <t>Nil</t>
        </is>
      </c>
      <c r="H14" s="10" t="inlineStr">
        <is>
          <t>None</t>
        </is>
      </c>
      <c r="I14" s="9" t="inlineStr">
        <is>
          <t>NIL</t>
        </is>
      </c>
      <c r="J14" s="10" t="inlineStr">
        <is>
          <t>Y</t>
        </is>
      </c>
    </row>
    <row r="15" ht="22" customHeight="1">
      <c r="B15" s="14" t="inlineStr">
        <is>
          <t>CHK/0011</t>
        </is>
      </c>
      <c r="C15" s="16" t="inlineStr"/>
      <c r="D15" s="15" t="inlineStr">
        <is>
          <t>Library — Isolated Corners</t>
        </is>
      </c>
      <c r="E15" s="15" t="inlineStr"/>
      <c r="F15" s="16" t="inlineStr"/>
      <c r="G15" s="15" t="inlineStr">
        <is>
          <t>Nil</t>
        </is>
      </c>
      <c r="H15" s="16" t="inlineStr">
        <is>
          <t>None</t>
        </is>
      </c>
      <c r="I15" s="15" t="inlineStr">
        <is>
          <t>NIL</t>
        </is>
      </c>
      <c r="J15" s="16" t="inlineStr">
        <is>
          <t>Y</t>
        </is>
      </c>
    </row>
    <row r="16" ht="22" customHeight="1">
      <c r="B16" s="8" t="inlineStr">
        <is>
          <t>CHK/0012</t>
        </is>
      </c>
      <c r="C16" s="10" t="inlineStr"/>
      <c r="D16" s="9" t="inlineStr">
        <is>
          <t>Night Campus Patrol</t>
        </is>
      </c>
      <c r="E16" s="9" t="inlineStr"/>
      <c r="F16" s="10" t="inlineStr"/>
      <c r="G16" s="9" t="inlineStr">
        <is>
          <t>Nil</t>
        </is>
      </c>
      <c r="H16" s="10" t="inlineStr">
        <is>
          <t>None</t>
        </is>
      </c>
      <c r="I16" s="9" t="inlineStr">
        <is>
          <t>NIL</t>
        </is>
      </c>
      <c r="J16" s="10" t="inlineStr">
        <is>
          <t>Y</t>
        </is>
      </c>
    </row>
    <row r="17" ht="22" customHeight="1">
      <c r="B17" s="14" t="inlineStr">
        <is>
          <t>CHK/0013</t>
        </is>
      </c>
      <c r="C17" s="16" t="inlineStr"/>
      <c r="D17" s="15" t="inlineStr">
        <is>
          <t>Boys Hostel — All Rooms</t>
        </is>
      </c>
      <c r="E17" s="15" t="inlineStr"/>
      <c r="F17" s="16" t="inlineStr"/>
      <c r="G17" s="15" t="inlineStr">
        <is>
          <t>Nil</t>
        </is>
      </c>
      <c r="H17" s="16" t="inlineStr">
        <is>
          <t>None</t>
        </is>
      </c>
      <c r="I17" s="15" t="inlineStr">
        <is>
          <t>NIL</t>
        </is>
      </c>
      <c r="J17" s="16" t="inlineStr">
        <is>
          <t>Y</t>
        </is>
      </c>
    </row>
    <row r="18" ht="22" customHeight="1">
      <c r="B18" s="8" t="inlineStr">
        <is>
          <t>CHK/0014</t>
        </is>
      </c>
      <c r="C18" s="10" t="inlineStr"/>
      <c r="D18" s="9" t="inlineStr">
        <is>
          <t>Boys Hostel — Common Areas</t>
        </is>
      </c>
      <c r="E18" s="9" t="inlineStr"/>
      <c r="F18" s="10" t="inlineStr"/>
      <c r="G18" s="9" t="inlineStr">
        <is>
          <t>Nil</t>
        </is>
      </c>
      <c r="H18" s="10" t="inlineStr">
        <is>
          <t>None</t>
        </is>
      </c>
      <c r="I18" s="9" t="inlineStr">
        <is>
          <t>NIL</t>
        </is>
      </c>
      <c r="J18" s="10" t="inlineStr">
        <is>
          <t>Y</t>
        </is>
      </c>
    </row>
    <row r="19" ht="22" customHeight="1">
      <c r="B19" s="14" t="inlineStr">
        <is>
          <t>CHK/0015</t>
        </is>
      </c>
      <c r="C19" s="16" t="inlineStr"/>
      <c r="D19" s="15" t="inlineStr">
        <is>
          <t>Girls Hostel — All Rooms</t>
        </is>
      </c>
      <c r="E19" s="15" t="inlineStr"/>
      <c r="F19" s="16" t="inlineStr"/>
      <c r="G19" s="15" t="inlineStr">
        <is>
          <t>Nil</t>
        </is>
      </c>
      <c r="H19" s="16" t="inlineStr">
        <is>
          <t>None</t>
        </is>
      </c>
      <c r="I19" s="15" t="inlineStr">
        <is>
          <t>NIL</t>
        </is>
      </c>
      <c r="J19" s="16" t="inlineStr">
        <is>
          <t>Y</t>
        </is>
      </c>
    </row>
    <row r="20" ht="22" customHeight="1">
      <c r="B20" s="8" t="inlineStr">
        <is>
          <t>CHK/0016</t>
        </is>
      </c>
      <c r="C20" s="10" t="inlineStr"/>
      <c r="D20" s="9" t="inlineStr">
        <is>
          <t>Girls Hostel — Common Areas</t>
        </is>
      </c>
      <c r="E20" s="9" t="inlineStr"/>
      <c r="F20" s="10" t="inlineStr"/>
      <c r="G20" s="9" t="inlineStr">
        <is>
          <t>Nil</t>
        </is>
      </c>
      <c r="H20" s="10" t="inlineStr">
        <is>
          <t>None</t>
        </is>
      </c>
      <c r="I20" s="9" t="inlineStr">
        <is>
          <t>NIL</t>
        </is>
      </c>
      <c r="J20" s="10" t="inlineStr">
        <is>
          <t>Y</t>
        </is>
      </c>
    </row>
    <row r="21" ht="22" customHeight="1">
      <c r="B21" s="14" t="inlineStr">
        <is>
          <t>CHK/0017</t>
        </is>
      </c>
      <c r="C21" s="16" t="inlineStr"/>
      <c r="D21" s="15" t="inlineStr">
        <is>
          <t>Boys Hostel Bathrooms</t>
        </is>
      </c>
      <c r="E21" s="15" t="inlineStr"/>
      <c r="F21" s="16" t="inlineStr"/>
      <c r="G21" s="15" t="inlineStr">
        <is>
          <t>Nil</t>
        </is>
      </c>
      <c r="H21" s="16" t="inlineStr">
        <is>
          <t>None</t>
        </is>
      </c>
      <c r="I21" s="15" t="inlineStr">
        <is>
          <t>NIL</t>
        </is>
      </c>
      <c r="J21" s="16" t="inlineStr">
        <is>
          <t>Y</t>
        </is>
      </c>
    </row>
    <row r="22" ht="22" customHeight="1">
      <c r="B22" s="8" t="inlineStr">
        <is>
          <t>CHK/0018</t>
        </is>
      </c>
      <c r="C22" s="10" t="inlineStr"/>
      <c r="D22" s="9" t="inlineStr">
        <is>
          <t>Girls Hostel Bathrooms</t>
        </is>
      </c>
      <c r="E22" s="9" t="inlineStr"/>
      <c r="F22" s="10" t="inlineStr"/>
      <c r="G22" s="9" t="inlineStr">
        <is>
          <t>Nil</t>
        </is>
      </c>
      <c r="H22" s="10" t="inlineStr">
        <is>
          <t>None</t>
        </is>
      </c>
      <c r="I22" s="9" t="inlineStr">
        <is>
          <t>NIL</t>
        </is>
      </c>
      <c r="J22" s="10" t="inlineStr">
        <is>
          <t>Y</t>
        </is>
      </c>
    </row>
    <row r="23" ht="22" customHeight="1">
      <c r="B23" s="14" t="inlineStr">
        <is>
          <t>CHK/0019</t>
        </is>
      </c>
      <c r="C23" s="16" t="inlineStr"/>
      <c r="D23" s="15" t="inlineStr">
        <is>
          <t>Campus Canteen &amp; Surroundings</t>
        </is>
      </c>
      <c r="E23" s="15" t="inlineStr"/>
      <c r="F23" s="16" t="inlineStr"/>
      <c r="G23" s="15" t="inlineStr">
        <is>
          <t>Nil</t>
        </is>
      </c>
      <c r="H23" s="16" t="inlineStr">
        <is>
          <t>None</t>
        </is>
      </c>
      <c r="I23" s="15" t="inlineStr">
        <is>
          <t>NIL</t>
        </is>
      </c>
      <c r="J23" s="16" t="inlineStr">
        <is>
          <t>Y</t>
        </is>
      </c>
    </row>
    <row r="24" ht="22" customHeight="1">
      <c r="B24" s="8" t="inlineStr">
        <is>
          <t>CHK/0020</t>
        </is>
      </c>
      <c r="C24" s="10" t="inlineStr"/>
      <c r="D24" s="9" t="inlineStr">
        <is>
          <t>Academic Block — Isolated Areas</t>
        </is>
      </c>
      <c r="E24" s="9" t="inlineStr"/>
      <c r="F24" s="10" t="inlineStr"/>
      <c r="G24" s="9" t="inlineStr">
        <is>
          <t>Nil</t>
        </is>
      </c>
      <c r="H24" s="10" t="inlineStr">
        <is>
          <t>None</t>
        </is>
      </c>
      <c r="I24" s="9" t="inlineStr">
        <is>
          <t>NIL</t>
        </is>
      </c>
      <c r="J24" s="10" t="inlineStr">
        <is>
          <t>Y</t>
        </is>
      </c>
    </row>
    <row r="25" ht="22" customHeight="1">
      <c r="B25" s="14" t="inlineStr">
        <is>
          <t>CHK/0021</t>
        </is>
      </c>
      <c r="C25" s="16" t="inlineStr"/>
      <c r="D25" s="15" t="inlineStr">
        <is>
          <t>Parking Area &amp; Campus Entry</t>
        </is>
      </c>
      <c r="E25" s="15" t="inlineStr"/>
      <c r="F25" s="16" t="inlineStr"/>
      <c r="G25" s="15" t="inlineStr">
        <is>
          <t>Nil</t>
        </is>
      </c>
      <c r="H25" s="16" t="inlineStr">
        <is>
          <t>None</t>
        </is>
      </c>
      <c r="I25" s="15" t="inlineStr">
        <is>
          <t>NIL</t>
        </is>
      </c>
      <c r="J25" s="16" t="inlineStr">
        <is>
          <t>Y</t>
        </is>
      </c>
    </row>
    <row r="26" ht="22" customHeight="1">
      <c r="B26" s="8" t="inlineStr">
        <is>
          <t>CHK/0022</t>
        </is>
      </c>
      <c r="C26" s="10" t="inlineStr"/>
      <c r="D26" s="9" t="inlineStr">
        <is>
          <t>Sports Ground / Gymnasium</t>
        </is>
      </c>
      <c r="E26" s="9" t="inlineStr"/>
      <c r="F26" s="10" t="inlineStr"/>
      <c r="G26" s="9" t="inlineStr">
        <is>
          <t>Nil</t>
        </is>
      </c>
      <c r="H26" s="10" t="inlineStr">
        <is>
          <t>None</t>
        </is>
      </c>
      <c r="I26" s="9" t="inlineStr">
        <is>
          <t>NIL</t>
        </is>
      </c>
      <c r="J26" s="10" t="inlineStr">
        <is>
          <t>Y</t>
        </is>
      </c>
    </row>
    <row r="27" ht="22" customHeight="1"/>
    <row r="28" ht="24" customHeight="1">
      <c r="B28" s="36" t="inlineStr">
        <is>
          <t>SURPRISE CHECK STATISTICS</t>
        </is>
      </c>
    </row>
    <row r="29">
      <c r="B29" s="40" t="inlineStr">
        <is>
          <t>Total Checks Conducted</t>
        </is>
      </c>
      <c r="F29" s="38">
        <f>COUNTA(B5:B26)</f>
        <v/>
      </c>
    </row>
    <row r="30">
      <c r="B30" s="27" t="inlineStr">
        <is>
          <t>Checks with Suspicious Findings</t>
        </is>
      </c>
      <c r="F30" s="39">
        <f>COUNTIF(G5:G26,"&lt;&gt;"&amp;"Nil")</f>
        <v/>
      </c>
    </row>
    <row r="31">
      <c r="B31" s="40" t="inlineStr">
        <is>
          <t>Students Flagged for Follow-up</t>
        </is>
      </c>
      <c r="F31" s="38">
        <f>COUNTIF(H5:H26,"&lt;&gt;"&amp;"None")</f>
        <v/>
      </c>
    </row>
    <row r="32">
      <c r="B32" s="27" t="inlineStr">
        <is>
          <t>Night Checks</t>
        </is>
      </c>
      <c r="F32" s="39">
        <f>COUNTIF(D5:D26,"Night Campus Patrol")</f>
        <v/>
      </c>
    </row>
    <row r="33">
      <c r="B33" s="40" t="inlineStr">
        <is>
          <t>Reports Submitted on Time</t>
        </is>
      </c>
      <c r="F33" s="38">
        <f>COUNTIF(J5:J26,"Y")</f>
        <v/>
      </c>
    </row>
    <row r="34">
      <c r="B34" s="27" t="inlineStr">
        <is>
          <t>Zero-Incident Checks</t>
        </is>
      </c>
      <c r="F34" s="39">
        <f>COUNTIF(G5:G26,"Nil")</f>
        <v/>
      </c>
    </row>
  </sheetData>
  <mergeCells count="15">
    <mergeCell ref="B31:E31"/>
    <mergeCell ref="F30:J30"/>
    <mergeCell ref="B3:J3"/>
    <mergeCell ref="F29:J29"/>
    <mergeCell ref="B28:J28"/>
    <mergeCell ref="F34:J34"/>
    <mergeCell ref="B30:E30"/>
    <mergeCell ref="B29:E29"/>
    <mergeCell ref="B33:E33"/>
    <mergeCell ref="F33:J33"/>
    <mergeCell ref="F31:J31"/>
    <mergeCell ref="B34:E34"/>
    <mergeCell ref="F32:J32"/>
    <mergeCell ref="B2:J2"/>
    <mergeCell ref="B32:E3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B2:I45"/>
  <sheetViews>
    <sheetView showGridLines="0" workbookViewId="0">
      <selection activeCell="A1" sqref="A1"/>
    </sheetView>
  </sheetViews>
  <sheetFormatPr baseColWidth="8" defaultRowHeight="15"/>
  <cols>
    <col width="3" customWidth="1" min="1" max="1"/>
    <col width="8" customWidth="1" min="2" max="2"/>
    <col width="32" customWidth="1" min="3" max="3"/>
    <col width="12" customWidth="1" min="4" max="4"/>
    <col width="14" customWidth="1" min="5" max="5"/>
    <col width="14" customWidth="1" min="6" max="6"/>
    <col width="14" customWidth="1" min="7" max="7"/>
    <col width="14" customWidth="1" min="8" max="8"/>
    <col width="14" customWidth="1" min="9" max="9"/>
    <col width="3" customWidth="1" min="10" max="10"/>
  </cols>
  <sheetData>
    <row r="1" ht="10" customHeight="1"/>
    <row r="2" ht="48" customHeight="1">
      <c r="B2" s="12" t="inlineStr">
        <is>
          <t>ADC-40: ANTI-DRUG COMMITTEE KPI DASHBOARD</t>
        </is>
      </c>
    </row>
    <row r="3" ht="25" customHeight="1">
      <c r="B3" s="2" t="inlineStr">
        <is>
          <t>A.Y.: _______  Quarter: Q1/Q2/Q3/Q4  ADC Coordinator: ___________________  Date: _______</t>
        </is>
      </c>
    </row>
    <row r="4" ht="24" customHeight="1">
      <c r="B4" s="20" t="inlineStr">
        <is>
          <t>UNDERTAKING &amp; COMPLIANCE KPIs</t>
        </is>
      </c>
    </row>
    <row r="5" ht="22" customHeight="1">
      <c r="B5" s="21" t="inlineStr">
        <is>
          <t>Sl.</t>
        </is>
      </c>
      <c r="C5" s="21" t="inlineStr">
        <is>
          <t>Key Performance Indicator</t>
        </is>
      </c>
      <c r="D5" s="21" t="inlineStr">
        <is>
          <t>Unit</t>
        </is>
      </c>
      <c r="E5" s="21" t="inlineStr">
        <is>
          <t>Target</t>
        </is>
      </c>
      <c r="F5" s="21" t="inlineStr">
        <is>
          <t>Prev. Year
Actual</t>
        </is>
      </c>
      <c r="G5" s="21" t="inlineStr">
        <is>
          <t>Current Year
Actual</t>
        </is>
      </c>
      <c r="H5" s="21" t="inlineStr">
        <is>
          <t>Status</t>
        </is>
      </c>
      <c r="I5" s="21" t="inlineStr">
        <is>
          <t>Action Required</t>
        </is>
      </c>
    </row>
    <row r="6" ht="22" customHeight="1">
      <c r="B6" s="14" t="n">
        <v>1</v>
      </c>
      <c r="C6" s="16" t="inlineStr">
        <is>
          <t>Student undertaking compliance (% of enrolled)</t>
        </is>
      </c>
      <c r="D6" s="16" t="inlineStr">
        <is>
          <t>% compliant</t>
        </is>
      </c>
      <c r="E6" s="16" t="inlineStr">
        <is>
          <t>100%</t>
        </is>
      </c>
      <c r="F6" s="16" t="inlineStr"/>
      <c r="G6" s="16" t="inlineStr"/>
      <c r="H6" s="16" t="inlineStr">
        <is>
          <t>On Track</t>
        </is>
      </c>
      <c r="I6" s="16" t="inlineStr"/>
    </row>
    <row r="7" ht="22" customHeight="1">
      <c r="B7" s="8" t="n">
        <v>2</v>
      </c>
      <c r="C7" s="10" t="inlineStr">
        <is>
          <t>Parent undertaking compliance (% of enrolled)</t>
        </is>
      </c>
      <c r="D7" s="10" t="inlineStr">
        <is>
          <t>% compliant</t>
        </is>
      </c>
      <c r="E7" s="10" t="inlineStr">
        <is>
          <t>100%</t>
        </is>
      </c>
      <c r="F7" s="10" t="inlineStr"/>
      <c r="G7" s="10" t="inlineStr"/>
      <c r="H7" s="10" t="inlineStr">
        <is>
          <t>On Track</t>
        </is>
      </c>
      <c r="I7" s="10" t="inlineStr"/>
    </row>
    <row r="8" ht="22" customHeight="1">
      <c r="B8" s="14" t="n">
        <v>3</v>
      </c>
      <c r="C8" s="16" t="inlineStr">
        <is>
          <t>Faculty / staff undertaking compliance</t>
        </is>
      </c>
      <c r="D8" s="16" t="inlineStr">
        <is>
          <t>% compliant</t>
        </is>
      </c>
      <c r="E8" s="16" t="inlineStr">
        <is>
          <t>100%</t>
        </is>
      </c>
      <c r="F8" s="16" t="inlineStr"/>
      <c r="G8" s="16" t="inlineStr"/>
      <c r="H8" s="16" t="inlineStr">
        <is>
          <t>On Track</t>
        </is>
      </c>
      <c r="I8" s="16" t="inlineStr"/>
    </row>
    <row r="9" ht="22" customHeight="1">
      <c r="B9" s="8" t="n">
        <v>4</v>
      </c>
      <c r="C9" s="10" t="inlineStr">
        <is>
          <t>Compliance checklist score (avg)</t>
        </is>
      </c>
      <c r="D9" s="10" t="inlineStr">
        <is>
          <t>Score /5</t>
        </is>
      </c>
      <c r="E9" s="10" t="inlineStr">
        <is>
          <t>≥4.0</t>
        </is>
      </c>
      <c r="F9" s="10" t="inlineStr"/>
      <c r="G9" s="10" t="inlineStr"/>
      <c r="H9" s="10" t="inlineStr">
        <is>
          <t>On Track</t>
        </is>
      </c>
      <c r="I9" s="10" t="inlineStr"/>
    </row>
    <row r="10" ht="22" customHeight="1">
      <c r="B10" s="14" t="n">
        <v>5</v>
      </c>
      <c r="C10" s="16" t="inlineStr">
        <is>
          <t>ADC meetings held per semester</t>
        </is>
      </c>
      <c r="D10" s="16" t="inlineStr">
        <is>
          <t>No.</t>
        </is>
      </c>
      <c r="E10" s="16" t="inlineStr">
        <is>
          <t>≥2 per semester</t>
        </is>
      </c>
      <c r="F10" s="16" t="inlineStr"/>
      <c r="G10" s="16" t="inlineStr"/>
      <c r="H10" s="16" t="inlineStr">
        <is>
          <t>On Track</t>
        </is>
      </c>
      <c r="I10" s="16" t="inlineStr"/>
    </row>
    <row r="11" ht="22" customHeight="1"/>
    <row r="12" ht="24" customHeight="1">
      <c r="B12" s="49" t="inlineStr">
        <is>
          <t>AWARENESS &amp; PREVENTION KPIs</t>
        </is>
      </c>
    </row>
    <row r="13" ht="22" customHeight="1">
      <c r="B13" s="71" t="inlineStr">
        <is>
          <t>Sl.</t>
        </is>
      </c>
      <c r="C13" s="71" t="inlineStr">
        <is>
          <t>Key Performance Indicator</t>
        </is>
      </c>
      <c r="D13" s="71" t="inlineStr">
        <is>
          <t>Unit</t>
        </is>
      </c>
      <c r="E13" s="71" t="inlineStr">
        <is>
          <t>Target</t>
        </is>
      </c>
      <c r="F13" s="71" t="inlineStr">
        <is>
          <t>Prev. Year
Actual</t>
        </is>
      </c>
      <c r="G13" s="71" t="inlineStr">
        <is>
          <t>Current Year
Actual</t>
        </is>
      </c>
      <c r="H13" s="71" t="inlineStr">
        <is>
          <t>Status</t>
        </is>
      </c>
      <c r="I13" s="71" t="inlineStr">
        <is>
          <t>Action Required</t>
        </is>
      </c>
    </row>
    <row r="14" ht="22" customHeight="1">
      <c r="B14" s="72" t="n">
        <v>1</v>
      </c>
      <c r="C14" s="73" t="inlineStr">
        <is>
          <t>Awareness programmes conducted</t>
        </is>
      </c>
      <c r="D14" s="73" t="inlineStr">
        <is>
          <t>No. per year</t>
        </is>
      </c>
      <c r="E14" s="73" t="inlineStr">
        <is>
          <t>≥12</t>
        </is>
      </c>
      <c r="F14" s="73" t="inlineStr"/>
      <c r="G14" s="73" t="inlineStr"/>
      <c r="H14" s="73" t="inlineStr">
        <is>
          <t>On Track</t>
        </is>
      </c>
      <c r="I14" s="73" t="inlineStr"/>
    </row>
    <row r="15" ht="22" customHeight="1">
      <c r="B15" s="8" t="n">
        <v>2</v>
      </c>
      <c r="C15" s="10" t="inlineStr">
        <is>
          <t>Students reached through awareness (%)</t>
        </is>
      </c>
      <c r="D15" s="10" t="inlineStr">
        <is>
          <t>% of enrolled</t>
        </is>
      </c>
      <c r="E15" s="10" t="inlineStr">
        <is>
          <t>100%</t>
        </is>
      </c>
      <c r="F15" s="10" t="inlineStr"/>
      <c r="G15" s="10" t="inlineStr"/>
      <c r="H15" s="10" t="inlineStr">
        <is>
          <t>On Track</t>
        </is>
      </c>
      <c r="I15" s="10" t="inlineStr"/>
    </row>
    <row r="16" ht="22" customHeight="1">
      <c r="B16" s="72" t="n">
        <v>3</v>
      </c>
      <c r="C16" s="73" t="inlineStr">
        <is>
          <t>Peer educators active on campus</t>
        </is>
      </c>
      <c r="D16" s="73" t="inlineStr">
        <is>
          <t>No.</t>
        </is>
      </c>
      <c r="E16" s="73" t="inlineStr">
        <is>
          <t>≥2 per dept.</t>
        </is>
      </c>
      <c r="F16" s="73" t="inlineStr"/>
      <c r="G16" s="73" t="inlineStr"/>
      <c r="H16" s="73" t="inlineStr">
        <is>
          <t>On Track</t>
        </is>
      </c>
      <c r="I16" s="73" t="inlineStr"/>
    </row>
    <row r="17" ht="22" customHeight="1">
      <c r="B17" s="8" t="n">
        <v>4</v>
      </c>
      <c r="C17" s="10" t="inlineStr">
        <is>
          <t>Faculty sensitisation completed</t>
        </is>
      </c>
      <c r="D17" s="10" t="inlineStr">
        <is>
          <t>% of faculty</t>
        </is>
      </c>
      <c r="E17" s="10" t="inlineStr">
        <is>
          <t>100%</t>
        </is>
      </c>
      <c r="F17" s="10" t="inlineStr"/>
      <c r="G17" s="10" t="inlineStr"/>
      <c r="H17" s="10" t="inlineStr">
        <is>
          <t>On Track</t>
        </is>
      </c>
      <c r="I17" s="10" t="inlineStr"/>
    </row>
    <row r="18" ht="22" customHeight="1">
      <c r="B18" s="72" t="n">
        <v>5</v>
      </c>
      <c r="C18" s="73" t="inlineStr">
        <is>
          <t>Parent awareness sessions</t>
        </is>
      </c>
      <c r="D18" s="73" t="inlineStr">
        <is>
          <t>No. per year</t>
        </is>
      </c>
      <c r="E18" s="73" t="inlineStr">
        <is>
          <t>≥2</t>
        </is>
      </c>
      <c r="F18" s="73" t="inlineStr"/>
      <c r="G18" s="73" t="inlineStr"/>
      <c r="H18" s="73" t="inlineStr">
        <is>
          <t>On Track</t>
        </is>
      </c>
      <c r="I18" s="73" t="inlineStr"/>
    </row>
    <row r="19" ht="22" customHeight="1">
      <c r="B19" s="8" t="n">
        <v>6</v>
      </c>
      <c r="C19" s="10" t="inlineStr">
        <is>
          <t>Anti-drug helpline displayed campus-wide</t>
        </is>
      </c>
      <c r="D19" s="10" t="inlineStr">
        <is>
          <t>Y/N</t>
        </is>
      </c>
      <c r="E19" s="10" t="inlineStr">
        <is>
          <t>Yes</t>
        </is>
      </c>
      <c r="F19" s="10" t="inlineStr"/>
      <c r="G19" s="10" t="inlineStr"/>
      <c r="H19" s="10" t="inlineStr">
        <is>
          <t>On Track</t>
        </is>
      </c>
      <c r="I19" s="10" t="inlineStr"/>
    </row>
    <row r="20" ht="22" customHeight="1"/>
    <row r="21" ht="24" customHeight="1">
      <c r="B21" s="36" t="inlineStr">
        <is>
          <t>SURVEILLANCE &amp; DETECTION KPIs</t>
        </is>
      </c>
    </row>
    <row r="22" ht="22" customHeight="1">
      <c r="B22" s="32" t="inlineStr">
        <is>
          <t>Sl.</t>
        </is>
      </c>
      <c r="C22" s="32" t="inlineStr">
        <is>
          <t>Key Performance Indicator</t>
        </is>
      </c>
      <c r="D22" s="32" t="inlineStr">
        <is>
          <t>Unit</t>
        </is>
      </c>
      <c r="E22" s="32" t="inlineStr">
        <is>
          <t>Target</t>
        </is>
      </c>
      <c r="F22" s="32" t="inlineStr">
        <is>
          <t>Prev. Year
Actual</t>
        </is>
      </c>
      <c r="G22" s="32" t="inlineStr">
        <is>
          <t>Current Year
Actual</t>
        </is>
      </c>
      <c r="H22" s="32" t="inlineStr">
        <is>
          <t>Status</t>
        </is>
      </c>
      <c r="I22" s="32" t="inlineStr">
        <is>
          <t>Action Required</t>
        </is>
      </c>
    </row>
    <row r="23" ht="22" customHeight="1">
      <c r="B23" s="33" t="n">
        <v>1</v>
      </c>
      <c r="C23" s="35" t="inlineStr">
        <is>
          <t>Hostel surprise checks per month</t>
        </is>
      </c>
      <c r="D23" s="35" t="inlineStr">
        <is>
          <t>No./month</t>
        </is>
      </c>
      <c r="E23" s="35" t="inlineStr">
        <is>
          <t>≥4</t>
        </is>
      </c>
      <c r="F23" s="35" t="inlineStr"/>
      <c r="G23" s="35" t="inlineStr"/>
      <c r="H23" s="35" t="inlineStr">
        <is>
          <t>On Track</t>
        </is>
      </c>
      <c r="I23" s="35" t="inlineStr"/>
    </row>
    <row r="24" ht="22" customHeight="1">
      <c r="B24" s="8" t="n">
        <v>2</v>
      </c>
      <c r="C24" s="10" t="inlineStr">
        <is>
          <t>Anonymous complaint mechanism active</t>
        </is>
      </c>
      <c r="D24" s="10" t="inlineStr">
        <is>
          <t>Y/N</t>
        </is>
      </c>
      <c r="E24" s="10" t="inlineStr">
        <is>
          <t>Yes</t>
        </is>
      </c>
      <c r="F24" s="10" t="inlineStr"/>
      <c r="G24" s="10" t="inlineStr"/>
      <c r="H24" s="10" t="inlineStr">
        <is>
          <t>On Track</t>
        </is>
      </c>
      <c r="I24" s="10" t="inlineStr"/>
    </row>
    <row r="25" ht="22" customHeight="1">
      <c r="B25" s="33" t="n">
        <v>3</v>
      </c>
      <c r="C25" s="35" t="inlineStr">
        <is>
          <t>Cases identified through warning signs (%)</t>
        </is>
      </c>
      <c r="D25" s="35" t="inlineStr">
        <is>
          <t>% of total</t>
        </is>
      </c>
      <c r="E25" s="35" t="inlineStr">
        <is>
          <t>Tracked</t>
        </is>
      </c>
      <c r="F25" s="35" t="inlineStr"/>
      <c r="G25" s="35" t="inlineStr"/>
      <c r="H25" s="35" t="inlineStr">
        <is>
          <t>On Track</t>
        </is>
      </c>
      <c r="I25" s="35" t="inlineStr"/>
    </row>
    <row r="26" ht="22" customHeight="1">
      <c r="B26" s="8" t="n">
        <v>4</v>
      </c>
      <c r="C26" s="10" t="inlineStr">
        <is>
          <t>Warning signs checklist distributed to faculty</t>
        </is>
      </c>
      <c r="D26" s="10" t="inlineStr">
        <is>
          <t>% faculty</t>
        </is>
      </c>
      <c r="E26" s="10" t="inlineStr">
        <is>
          <t>100%</t>
        </is>
      </c>
      <c r="F26" s="10" t="inlineStr"/>
      <c r="G26" s="10" t="inlineStr"/>
      <c r="H26" s="10" t="inlineStr">
        <is>
          <t>On Track</t>
        </is>
      </c>
      <c r="I26" s="10" t="inlineStr"/>
    </row>
    <row r="27" ht="22" customHeight="1">
      <c r="B27" s="33" t="n">
        <v>5</v>
      </c>
      <c r="C27" s="35" t="inlineStr">
        <is>
          <t>Campus vulnerability assessment done</t>
        </is>
      </c>
      <c r="D27" s="35" t="inlineStr">
        <is>
          <t>Y/N</t>
        </is>
      </c>
      <c r="E27" s="35" t="inlineStr">
        <is>
          <t>Yes — annually</t>
        </is>
      </c>
      <c r="F27" s="35" t="inlineStr"/>
      <c r="G27" s="35" t="inlineStr"/>
      <c r="H27" s="35" t="inlineStr">
        <is>
          <t>On Track</t>
        </is>
      </c>
      <c r="I27" s="35" t="inlineStr"/>
    </row>
    <row r="28" ht="22" customHeight="1"/>
    <row r="29" ht="24" customHeight="1">
      <c r="B29" s="61" t="inlineStr">
        <is>
          <t>CASE MANAGEMENT KPIs</t>
        </is>
      </c>
    </row>
    <row r="30" ht="22" customHeight="1">
      <c r="B30" s="74" t="inlineStr">
        <is>
          <t>Sl.</t>
        </is>
      </c>
      <c r="C30" s="74" t="inlineStr">
        <is>
          <t>Key Performance Indicator</t>
        </is>
      </c>
      <c r="D30" s="74" t="inlineStr">
        <is>
          <t>Unit</t>
        </is>
      </c>
      <c r="E30" s="74" t="inlineStr">
        <is>
          <t>Target</t>
        </is>
      </c>
      <c r="F30" s="74" t="inlineStr">
        <is>
          <t>Prev. Year
Actual</t>
        </is>
      </c>
      <c r="G30" s="74" t="inlineStr">
        <is>
          <t>Current Year
Actual</t>
        </is>
      </c>
      <c r="H30" s="74" t="inlineStr">
        <is>
          <t>Status</t>
        </is>
      </c>
      <c r="I30" s="74" t="inlineStr">
        <is>
          <t>Action Required</t>
        </is>
      </c>
    </row>
    <row r="31" ht="22" customHeight="1">
      <c r="B31" s="75" t="n">
        <v>1</v>
      </c>
      <c r="C31" s="24" t="inlineStr">
        <is>
          <t>Cases acknowledged within 24 hours</t>
        </is>
      </c>
      <c r="D31" s="24" t="inlineStr">
        <is>
          <t>% on time</t>
        </is>
      </c>
      <c r="E31" s="24" t="inlineStr">
        <is>
          <t>100%</t>
        </is>
      </c>
      <c r="F31" s="24" t="inlineStr"/>
      <c r="G31" s="24" t="inlineStr"/>
      <c r="H31" s="24" t="inlineStr">
        <is>
          <t>On Track</t>
        </is>
      </c>
      <c r="I31" s="24" t="inlineStr"/>
    </row>
    <row r="32" ht="22" customHeight="1">
      <c r="B32" s="8" t="n">
        <v>2</v>
      </c>
      <c r="C32" s="10" t="inlineStr">
        <is>
          <t>Counselling initiated within 48 hours</t>
        </is>
      </c>
      <c r="D32" s="10" t="inlineStr">
        <is>
          <t>% on time</t>
        </is>
      </c>
      <c r="E32" s="10" t="inlineStr">
        <is>
          <t>100%</t>
        </is>
      </c>
      <c r="F32" s="10" t="inlineStr"/>
      <c r="G32" s="10" t="inlineStr"/>
      <c r="H32" s="10" t="inlineStr">
        <is>
          <t>On Track</t>
        </is>
      </c>
      <c r="I32" s="10" t="inlineStr"/>
    </row>
    <row r="33" ht="22" customHeight="1">
      <c r="B33" s="75" t="n">
        <v>3</v>
      </c>
      <c r="C33" s="24" t="inlineStr">
        <is>
          <t>Serious cases reported to police</t>
        </is>
      </c>
      <c r="D33" s="24" t="inlineStr">
        <is>
          <t>% reported</t>
        </is>
      </c>
      <c r="E33" s="24" t="inlineStr">
        <is>
          <t>100%</t>
        </is>
      </c>
      <c r="F33" s="24" t="inlineStr"/>
      <c r="G33" s="24" t="inlineStr"/>
      <c r="H33" s="24" t="inlineStr">
        <is>
          <t>On Track</t>
        </is>
      </c>
      <c r="I33" s="24" t="inlineStr"/>
    </row>
    <row r="34" ht="22" customHeight="1">
      <c r="B34" s="8" t="n">
        <v>4</v>
      </c>
      <c r="C34" s="10" t="inlineStr">
        <is>
          <t>Rehabilitation referrals made</t>
        </is>
      </c>
      <c r="D34" s="10" t="inlineStr">
        <is>
          <t>No. per year</t>
        </is>
      </c>
      <c r="E34" s="10" t="inlineStr">
        <is>
          <t>All who need it</t>
        </is>
      </c>
      <c r="F34" s="10" t="inlineStr"/>
      <c r="G34" s="10" t="inlineStr"/>
      <c r="H34" s="10" t="inlineStr">
        <is>
          <t>On Track</t>
        </is>
      </c>
      <c r="I34" s="10" t="inlineStr"/>
    </row>
    <row r="35" ht="22" customHeight="1">
      <c r="B35" s="75" t="n">
        <v>5</v>
      </c>
      <c r="C35" s="24" t="inlineStr">
        <is>
          <t>Post-rehabilitation monitoring rate</t>
        </is>
      </c>
      <c r="D35" s="24" t="inlineStr">
        <is>
          <t>% monitored</t>
        </is>
      </c>
      <c r="E35" s="24" t="inlineStr">
        <is>
          <t>100%</t>
        </is>
      </c>
      <c r="F35" s="24" t="inlineStr"/>
      <c r="G35" s="24" t="inlineStr"/>
      <c r="H35" s="24" t="inlineStr">
        <is>
          <t>On Track</t>
        </is>
      </c>
      <c r="I35" s="24" t="inlineStr"/>
    </row>
    <row r="36" ht="22" customHeight="1">
      <c r="B36" s="8" t="n">
        <v>6</v>
      </c>
      <c r="C36" s="10" t="inlineStr">
        <is>
          <t>Case recurrence within 1 year (%)</t>
        </is>
      </c>
      <c r="D36" s="10" t="inlineStr">
        <is>
          <t>% recurrence</t>
        </is>
      </c>
      <c r="E36" s="10" t="inlineStr">
        <is>
          <t>0 target</t>
        </is>
      </c>
      <c r="F36" s="10" t="inlineStr"/>
      <c r="G36" s="10" t="inlineStr"/>
      <c r="H36" s="10" t="inlineStr">
        <is>
          <t>On Track</t>
        </is>
      </c>
      <c r="I36" s="10" t="inlineStr"/>
    </row>
    <row r="37" ht="22" customHeight="1"/>
    <row r="38" ht="24" customHeight="1">
      <c r="B38" s="51" t="inlineStr">
        <is>
          <t>RECOVERY &amp; QUALITY KPIs</t>
        </is>
      </c>
    </row>
    <row r="39" ht="22" customHeight="1">
      <c r="B39" s="76" t="inlineStr">
        <is>
          <t>Sl.</t>
        </is>
      </c>
      <c r="C39" s="76" t="inlineStr">
        <is>
          <t>Key Performance Indicator</t>
        </is>
      </c>
      <c r="D39" s="76" t="inlineStr">
        <is>
          <t>Unit</t>
        </is>
      </c>
      <c r="E39" s="76" t="inlineStr">
        <is>
          <t>Target</t>
        </is>
      </c>
      <c r="F39" s="76" t="inlineStr">
        <is>
          <t>Prev. Year
Actual</t>
        </is>
      </c>
      <c r="G39" s="76" t="inlineStr">
        <is>
          <t>Current Year
Actual</t>
        </is>
      </c>
      <c r="H39" s="76" t="inlineStr">
        <is>
          <t>Status</t>
        </is>
      </c>
      <c r="I39" s="76" t="inlineStr">
        <is>
          <t>Action Required</t>
        </is>
      </c>
    </row>
    <row r="40" ht="22" customHeight="1">
      <c r="B40" s="77" t="n">
        <v>1</v>
      </c>
      <c r="C40" s="78" t="inlineStr">
        <is>
          <t>Rehabilitation success rate (%)</t>
        </is>
      </c>
      <c r="D40" s="78" t="inlineStr">
        <is>
          <t>% recovered</t>
        </is>
      </c>
      <c r="E40" s="78" t="inlineStr">
        <is>
          <t>≥70%</t>
        </is>
      </c>
      <c r="F40" s="78" t="inlineStr"/>
      <c r="G40" s="78" t="inlineStr"/>
      <c r="H40" s="78" t="inlineStr">
        <is>
          <t>On Track</t>
        </is>
      </c>
      <c r="I40" s="78" t="inlineStr"/>
    </row>
    <row r="41" ht="22" customHeight="1">
      <c r="B41" s="8" t="n">
        <v>2</v>
      </c>
      <c r="C41" s="10" t="inlineStr">
        <is>
          <t>Student return to academics post-rehab</t>
        </is>
      </c>
      <c r="D41" s="10" t="inlineStr">
        <is>
          <t>% returning</t>
        </is>
      </c>
      <c r="E41" s="10" t="inlineStr">
        <is>
          <t>≥80%</t>
        </is>
      </c>
      <c r="F41" s="10" t="inlineStr"/>
      <c r="G41" s="10" t="inlineStr"/>
      <c r="H41" s="10" t="inlineStr">
        <is>
          <t>On Track</t>
        </is>
      </c>
      <c r="I41" s="10" t="inlineStr"/>
    </row>
    <row r="42" ht="22" customHeight="1">
      <c r="B42" s="77" t="n">
        <v>3</v>
      </c>
      <c r="C42" s="78" t="inlineStr">
        <is>
          <t>NAAC data compiled — Criterion V.3</t>
        </is>
      </c>
      <c r="D42" s="78" t="inlineStr">
        <is>
          <t>Y/N</t>
        </is>
      </c>
      <c r="E42" s="78" t="inlineStr">
        <is>
          <t>Yes by Jul 31</t>
        </is>
      </c>
      <c r="F42" s="78" t="inlineStr"/>
      <c r="G42" s="78" t="inlineStr"/>
      <c r="H42" s="78" t="inlineStr">
        <is>
          <t>On Track</t>
        </is>
      </c>
      <c r="I42" s="78" t="inlineStr"/>
    </row>
    <row r="43" ht="22" customHeight="1">
      <c r="B43" s="8" t="n">
        <v>4</v>
      </c>
      <c r="C43" s="10" t="inlineStr">
        <is>
          <t>ADC details on institutional website</t>
        </is>
      </c>
      <c r="D43" s="10" t="inlineStr">
        <is>
          <t>Y/N</t>
        </is>
      </c>
      <c r="E43" s="10" t="inlineStr">
        <is>
          <t>Yes</t>
        </is>
      </c>
      <c r="F43" s="10" t="inlineStr"/>
      <c r="G43" s="10" t="inlineStr"/>
      <c r="H43" s="10" t="inlineStr">
        <is>
          <t>On Track</t>
        </is>
      </c>
      <c r="I43" s="10" t="inlineStr"/>
    </row>
    <row r="44" ht="22" customHeight="1">
      <c r="B44" s="77" t="n">
        <v>5</v>
      </c>
      <c r="C44" s="78" t="inlineStr">
        <is>
          <t>Counsellor satisfaction (student feedback)</t>
        </is>
      </c>
      <c r="D44" s="78" t="inlineStr">
        <is>
          <t>Score /5</t>
        </is>
      </c>
      <c r="E44" s="78" t="inlineStr">
        <is>
          <t>≥3.5</t>
        </is>
      </c>
      <c r="F44" s="78" t="inlineStr"/>
      <c r="G44" s="78" t="inlineStr"/>
      <c r="H44" s="78" t="inlineStr">
        <is>
          <t>On Track</t>
        </is>
      </c>
      <c r="I44" s="78" t="inlineStr"/>
    </row>
    <row r="45" ht="22" customHeight="1">
      <c r="B45" s="8" t="n">
        <v>6</v>
      </c>
      <c r="C45" s="10" t="inlineStr">
        <is>
          <t>Zero drug trafficking incidents</t>
        </is>
      </c>
      <c r="D45" s="10" t="inlineStr">
        <is>
          <t>No.</t>
        </is>
      </c>
      <c r="E45" s="10" t="inlineStr">
        <is>
          <t>0 target</t>
        </is>
      </c>
      <c r="F45" s="10" t="inlineStr"/>
      <c r="G45" s="10" t="inlineStr"/>
      <c r="H45" s="10" t="inlineStr">
        <is>
          <t>On Track</t>
        </is>
      </c>
      <c r="I45" s="10" t="inlineStr"/>
    </row>
    <row r="46" ht="22" customHeight="1"/>
    <row r="47" ht="22" customHeight="1"/>
    <row r="48" ht="22" customHeight="1"/>
    <row r="49" ht="22" customHeight="1"/>
    <row r="50" ht="22" customHeight="1"/>
    <row r="51" ht="22" customHeight="1"/>
    <row r="52" ht="22" customHeight="1"/>
    <row r="53" ht="22" customHeight="1"/>
    <row r="54" ht="22" customHeight="1"/>
    <row r="55" ht="22" customHeight="1"/>
    <row r="56" ht="22" customHeight="1"/>
    <row r="57" ht="22" customHeight="1"/>
    <row r="58" ht="22" customHeight="1"/>
    <row r="59" ht="22" customHeight="1"/>
    <row r="60" ht="22" customHeight="1"/>
    <row r="61" ht="22" customHeight="1"/>
    <row r="62" ht="22" customHeight="1"/>
    <row r="63" ht="22" customHeight="1"/>
    <row r="64" ht="22" customHeight="1"/>
  </sheetData>
  <mergeCells count="7">
    <mergeCell ref="B12:I12"/>
    <mergeCell ref="B21:I21"/>
    <mergeCell ref="B29:I29"/>
    <mergeCell ref="B38:I38"/>
    <mergeCell ref="B2:I2"/>
    <mergeCell ref="B3:I3"/>
    <mergeCell ref="B4:I4"/>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B2:H51"/>
  <sheetViews>
    <sheetView showGridLines="0" workbookViewId="0">
      <selection activeCell="A1" sqref="A1"/>
    </sheetView>
  </sheetViews>
  <sheetFormatPr baseColWidth="8" defaultRowHeight="15"/>
  <cols>
    <col width="3" customWidth="1" min="1" max="1"/>
    <col width="8" customWidth="1" min="2" max="2"/>
    <col width="30" customWidth="1" min="3" max="3"/>
    <col width="16" customWidth="1" min="4" max="4"/>
    <col width="14" customWidth="1" min="5" max="5"/>
    <col width="14" customWidth="1" min="6" max="6"/>
    <col width="14" customWidth="1" min="7" max="7"/>
    <col width="14" customWidth="1" min="8" max="8"/>
    <col width="3" customWidth="1" min="9" max="9"/>
  </cols>
  <sheetData>
    <row r="1" ht="10" customHeight="1"/>
    <row r="2" ht="48" customHeight="1">
      <c r="B2" s="12" t="inlineStr">
        <is>
          <t>ADC-41: ANTI-DRUG COMMITTEE ANNUAL REPORT &amp; COMPLIANCE FORM</t>
        </is>
      </c>
    </row>
    <row r="3" ht="18" customHeight="1">
      <c r="B3" s="18" t="inlineStr">
        <is>
          <t>CONFIDENTIAL — Annual Report contains AGGREGATE data only. No individual student identities to appear in any version of this report shared beyond ADC and Principal.</t>
        </is>
      </c>
    </row>
    <row r="4" ht="25" customHeight="1">
      <c r="B4" s="2" t="inlineStr">
        <is>
          <t>A.Y.: _______  ADC Coordinator: ___________________  Submitted to: UGC / Management / IQAC  Date: _______</t>
        </is>
      </c>
    </row>
    <row r="5" ht="24" customHeight="1">
      <c r="B5" s="20" t="inlineStr">
        <is>
          <t>SECTION 1 — UNDERTAKINGS &amp; CONSTITUTION</t>
        </is>
      </c>
    </row>
    <row r="6" ht="22" customHeight="1">
      <c r="B6" s="21" t="inlineStr">
        <is>
          <t>Sl.</t>
        </is>
      </c>
      <c r="C6" s="21" t="inlineStr">
        <is>
          <t>Performance Metric</t>
        </is>
      </c>
      <c r="D6" s="21" t="inlineStr">
        <is>
          <t>Unit</t>
        </is>
      </c>
      <c r="E6" s="21" t="inlineStr">
        <is>
          <t>Current A.Y.</t>
        </is>
      </c>
      <c r="F6" s="21" t="inlineStr">
        <is>
          <t>Previous A.Y.</t>
        </is>
      </c>
      <c r="G6" s="21" t="inlineStr">
        <is>
          <t>Change</t>
        </is>
      </c>
      <c r="H6" s="21" t="inlineStr">
        <is>
          <t>Remarks</t>
        </is>
      </c>
    </row>
    <row r="7" ht="22" customHeight="1">
      <c r="B7" s="14" t="n">
        <v>1</v>
      </c>
      <c r="C7" s="15" t="inlineStr">
        <is>
          <t>Students with signed undertaking</t>
        </is>
      </c>
      <c r="D7" s="16" t="inlineStr">
        <is>
          <t>No. / %</t>
        </is>
      </c>
      <c r="E7" s="16" t="inlineStr"/>
      <c r="F7" s="16" t="inlineStr"/>
      <c r="G7" s="16">
        <f>IFERROR(ROUND((E7-F7)/IF(F7=0,1,F7)*100,1),"")</f>
        <v/>
      </c>
      <c r="H7" s="15" t="inlineStr"/>
    </row>
    <row r="8" ht="22" customHeight="1">
      <c r="B8" s="8" t="n">
        <v>2</v>
      </c>
      <c r="C8" s="9" t="inlineStr">
        <is>
          <t>Parents with signed undertaking</t>
        </is>
      </c>
      <c r="D8" s="10" t="inlineStr">
        <is>
          <t>No. / %</t>
        </is>
      </c>
      <c r="E8" s="10" t="inlineStr"/>
      <c r="F8" s="10" t="inlineStr"/>
      <c r="G8" s="10">
        <f>IFERROR(ROUND((E8-F8)/IF(F8=0,1,F8)*100,1),"")</f>
        <v/>
      </c>
      <c r="H8" s="9" t="inlineStr"/>
    </row>
    <row r="9" ht="22" customHeight="1">
      <c r="B9" s="14" t="n">
        <v>3</v>
      </c>
      <c r="C9" s="15" t="inlineStr">
        <is>
          <t>Faculty / staff undertaking compliance</t>
        </is>
      </c>
      <c r="D9" s="16" t="inlineStr">
        <is>
          <t>No. / %</t>
        </is>
      </c>
      <c r="E9" s="16" t="inlineStr"/>
      <c r="F9" s="16" t="inlineStr"/>
      <c r="G9" s="16">
        <f>IFERROR(ROUND((E9-F9)/IF(F9=0,1,F9)*100,1),"")</f>
        <v/>
      </c>
      <c r="H9" s="15" t="inlineStr"/>
    </row>
    <row r="10" ht="22" customHeight="1">
      <c r="B10" s="8" t="n">
        <v>4</v>
      </c>
      <c r="C10" s="9" t="inlineStr">
        <is>
          <t>ADC meetings held</t>
        </is>
      </c>
      <c r="D10" s="10" t="inlineStr">
        <is>
          <t>No.</t>
        </is>
      </c>
      <c r="E10" s="10" t="inlineStr"/>
      <c r="F10" s="10" t="inlineStr"/>
      <c r="G10" s="10">
        <f>IFERROR(ROUND((E10-F10)/IF(F10=0,1,F10)*100,1),"")</f>
        <v/>
      </c>
      <c r="H10" s="9" t="inlineStr"/>
    </row>
    <row r="11" ht="22" customHeight="1">
      <c r="B11" s="14" t="n">
        <v>5</v>
      </c>
      <c r="C11" s="15" t="inlineStr">
        <is>
          <t>ADC composition compliant with guidelines</t>
        </is>
      </c>
      <c r="D11" s="16" t="inlineStr">
        <is>
          <t>Y/N</t>
        </is>
      </c>
      <c r="E11" s="16" t="inlineStr"/>
      <c r="F11" s="16" t="inlineStr"/>
      <c r="G11" s="16">
        <f>IFERROR(ROUND((E11-F11)/IF(F11=0,1,F11)*100,1),"")</f>
        <v/>
      </c>
      <c r="H11" s="15" t="inlineStr"/>
    </row>
    <row r="12" ht="22" customHeight="1">
      <c r="B12" s="8" t="n">
        <v>6</v>
      </c>
      <c r="C12" s="9" t="inlineStr">
        <is>
          <t>Compliance checklist score (avg)</t>
        </is>
      </c>
      <c r="D12" s="10" t="inlineStr">
        <is>
          <t>Score /5</t>
        </is>
      </c>
      <c r="E12" s="10" t="inlineStr"/>
      <c r="F12" s="10" t="inlineStr"/>
      <c r="G12" s="10">
        <f>IFERROR(ROUND((E12-F12)/IF(F12=0,1,F12)*100,1),"")</f>
        <v/>
      </c>
      <c r="H12" s="9" t="inlineStr"/>
    </row>
    <row r="13" ht="22" customHeight="1"/>
    <row r="14" ht="24" customHeight="1">
      <c r="B14" s="49" t="inlineStr">
        <is>
          <t>SECTION 2 — AWARENESS &amp; PREVENTION</t>
        </is>
      </c>
    </row>
    <row r="15" ht="22" customHeight="1">
      <c r="B15" s="71" t="inlineStr">
        <is>
          <t>Sl.</t>
        </is>
      </c>
      <c r="C15" s="71" t="inlineStr">
        <is>
          <t>Performance Metric</t>
        </is>
      </c>
      <c r="D15" s="71" t="inlineStr">
        <is>
          <t>Unit</t>
        </is>
      </c>
      <c r="E15" s="71" t="inlineStr">
        <is>
          <t>Current A.Y.</t>
        </is>
      </c>
      <c r="F15" s="71" t="inlineStr">
        <is>
          <t>Previous A.Y.</t>
        </is>
      </c>
      <c r="G15" s="71" t="inlineStr">
        <is>
          <t>Change</t>
        </is>
      </c>
      <c r="H15" s="71" t="inlineStr">
        <is>
          <t>Remarks</t>
        </is>
      </c>
    </row>
    <row r="16" ht="22" customHeight="1">
      <c r="B16" s="72" t="n">
        <v>1</v>
      </c>
      <c r="C16" s="79" t="inlineStr">
        <is>
          <t>Awareness programmes conducted</t>
        </is>
      </c>
      <c r="D16" s="73" t="inlineStr">
        <is>
          <t>No.</t>
        </is>
      </c>
      <c r="E16" s="73" t="inlineStr"/>
      <c r="F16" s="73" t="inlineStr"/>
      <c r="G16" s="73">
        <f>IFERROR(ROUND((E16-F16)/IF(F16=0,1,F16)*100,1),"")</f>
        <v/>
      </c>
      <c r="H16" s="79" t="inlineStr"/>
    </row>
    <row r="17" ht="22" customHeight="1">
      <c r="B17" s="8" t="n">
        <v>2</v>
      </c>
      <c r="C17" s="9" t="inlineStr">
        <is>
          <t>Total students reached through awareness</t>
        </is>
      </c>
      <c r="D17" s="10" t="inlineStr">
        <is>
          <t>No.</t>
        </is>
      </c>
      <c r="E17" s="10" t="inlineStr"/>
      <c r="F17" s="10" t="inlineStr"/>
      <c r="G17" s="10">
        <f>IFERROR(ROUND((E17-F17)/IF(F17=0,1,F17)*100,1),"")</f>
        <v/>
      </c>
      <c r="H17" s="9" t="inlineStr"/>
    </row>
    <row r="18" ht="22" customHeight="1">
      <c r="B18" s="72" t="n">
        <v>3</v>
      </c>
      <c r="C18" s="79" t="inlineStr">
        <is>
          <t>Orientation anti-drug session held</t>
        </is>
      </c>
      <c r="D18" s="73" t="inlineStr">
        <is>
          <t>Y/N</t>
        </is>
      </c>
      <c r="E18" s="73" t="inlineStr"/>
      <c r="F18" s="73" t="inlineStr"/>
      <c r="G18" s="73">
        <f>IFERROR(ROUND((E18-F18)/IF(F18=0,1,F18)*100,1),"")</f>
        <v/>
      </c>
      <c r="H18" s="79" t="inlineStr"/>
    </row>
    <row r="19" ht="22" customHeight="1">
      <c r="B19" s="8" t="n">
        <v>4</v>
      </c>
      <c r="C19" s="9" t="inlineStr">
        <is>
          <t>Peer educators active</t>
        </is>
      </c>
      <c r="D19" s="10" t="inlineStr">
        <is>
          <t>No.</t>
        </is>
      </c>
      <c r="E19" s="10" t="inlineStr"/>
      <c r="F19" s="10" t="inlineStr"/>
      <c r="G19" s="10">
        <f>IFERROR(ROUND((E19-F19)/IF(F19=0,1,F19)*100,1),"")</f>
        <v/>
      </c>
      <c r="H19" s="9" t="inlineStr"/>
    </row>
    <row r="20" ht="22" customHeight="1">
      <c r="B20" s="72" t="n">
        <v>5</v>
      </c>
      <c r="C20" s="79" t="inlineStr">
        <is>
          <t>Parent awareness sessions</t>
        </is>
      </c>
      <c r="D20" s="73" t="inlineStr">
        <is>
          <t>No.</t>
        </is>
      </c>
      <c r="E20" s="73" t="inlineStr"/>
      <c r="F20" s="73" t="inlineStr"/>
      <c r="G20" s="73">
        <f>IFERROR(ROUND((E20-F20)/IF(F20=0,1,F20)*100,1),"")</f>
        <v/>
      </c>
      <c r="H20" s="79" t="inlineStr"/>
    </row>
    <row r="21" ht="22" customHeight="1">
      <c r="B21" s="8" t="n">
        <v>6</v>
      </c>
      <c r="C21" s="9" t="inlineStr">
        <is>
          <t>Faculty sensitisation sessions</t>
        </is>
      </c>
      <c r="D21" s="10" t="inlineStr">
        <is>
          <t>No.</t>
        </is>
      </c>
      <c r="E21" s="10" t="inlineStr"/>
      <c r="F21" s="10" t="inlineStr"/>
      <c r="G21" s="10">
        <f>IFERROR(ROUND((E21-F21)/IF(F21=0,1,F21)*100,1),"")</f>
        <v/>
      </c>
      <c r="H21" s="9" t="inlineStr"/>
    </row>
    <row r="22" ht="22" customHeight="1"/>
    <row r="23" ht="24" customHeight="1">
      <c r="B23" s="36" t="inlineStr">
        <is>
          <t>SECTION 3 — SURVEILLANCE &amp; DETECTION</t>
        </is>
      </c>
    </row>
    <row r="24" ht="22" customHeight="1">
      <c r="B24" s="32" t="inlineStr">
        <is>
          <t>Sl.</t>
        </is>
      </c>
      <c r="C24" s="32" t="inlineStr">
        <is>
          <t>Performance Metric</t>
        </is>
      </c>
      <c r="D24" s="32" t="inlineStr">
        <is>
          <t>Unit</t>
        </is>
      </c>
      <c r="E24" s="32" t="inlineStr">
        <is>
          <t>Current A.Y.</t>
        </is>
      </c>
      <c r="F24" s="32" t="inlineStr">
        <is>
          <t>Previous A.Y.</t>
        </is>
      </c>
      <c r="G24" s="32" t="inlineStr">
        <is>
          <t>Change</t>
        </is>
      </c>
      <c r="H24" s="32" t="inlineStr">
        <is>
          <t>Remarks</t>
        </is>
      </c>
    </row>
    <row r="25" ht="22" customHeight="1">
      <c r="B25" s="33" t="n">
        <v>1</v>
      </c>
      <c r="C25" s="34" t="inlineStr">
        <is>
          <t>Hostel surprise checks conducted</t>
        </is>
      </c>
      <c r="D25" s="35" t="inlineStr">
        <is>
          <t>No.</t>
        </is>
      </c>
      <c r="E25" s="35" t="inlineStr"/>
      <c r="F25" s="35" t="inlineStr"/>
      <c r="G25" s="35">
        <f>IFERROR(ROUND((E25-F25)/IF(F25=0,1,F25)*100,1),"")</f>
        <v/>
      </c>
      <c r="H25" s="34" t="inlineStr"/>
    </row>
    <row r="26" ht="22" customHeight="1">
      <c r="B26" s="8" t="n">
        <v>2</v>
      </c>
      <c r="C26" s="9" t="inlineStr">
        <is>
          <t>Anonymous tips received</t>
        </is>
      </c>
      <c r="D26" s="10" t="inlineStr">
        <is>
          <t>No.</t>
        </is>
      </c>
      <c r="E26" s="10" t="inlineStr"/>
      <c r="F26" s="10" t="inlineStr"/>
      <c r="G26" s="10">
        <f>IFERROR(ROUND((E26-F26)/IF(F26=0,1,F26)*100,1),"")</f>
        <v/>
      </c>
      <c r="H26" s="9" t="inlineStr"/>
    </row>
    <row r="27" ht="22" customHeight="1">
      <c r="B27" s="33" t="n">
        <v>3</v>
      </c>
      <c r="C27" s="34" t="inlineStr">
        <is>
          <t>Cases identified through warning signs</t>
        </is>
      </c>
      <c r="D27" s="35" t="inlineStr">
        <is>
          <t>No.</t>
        </is>
      </c>
      <c r="E27" s="35" t="inlineStr"/>
      <c r="F27" s="35" t="inlineStr"/>
      <c r="G27" s="35">
        <f>IFERROR(ROUND((E27-F27)/IF(F27=0,1,F27)*100,1),"")</f>
        <v/>
      </c>
      <c r="H27" s="34" t="inlineStr"/>
    </row>
    <row r="28" ht="22" customHeight="1">
      <c r="B28" s="8" t="n">
        <v>4</v>
      </c>
      <c r="C28" s="9" t="inlineStr">
        <is>
          <t>Cases identified through complaints</t>
        </is>
      </c>
      <c r="D28" s="10" t="inlineStr">
        <is>
          <t>No.</t>
        </is>
      </c>
      <c r="E28" s="10" t="inlineStr"/>
      <c r="F28" s="10" t="inlineStr"/>
      <c r="G28" s="10">
        <f>IFERROR(ROUND((E28-F28)/IF(F28=0,1,F28)*100,1),"")</f>
        <v/>
      </c>
      <c r="H28" s="9" t="inlineStr"/>
    </row>
    <row r="29" ht="22" customHeight="1">
      <c r="B29" s="33" t="n">
        <v>5</v>
      </c>
      <c r="C29" s="34" t="inlineStr">
        <is>
          <t>Total cases registered</t>
        </is>
      </c>
      <c r="D29" s="35" t="inlineStr">
        <is>
          <t>No.</t>
        </is>
      </c>
      <c r="E29" s="35" t="inlineStr"/>
      <c r="F29" s="35" t="inlineStr"/>
      <c r="G29" s="35">
        <f>IFERROR(ROUND((E29-F29)/IF(F29=0,1,F29)*100,1),"")</f>
        <v/>
      </c>
      <c r="H29" s="34" t="inlineStr"/>
    </row>
    <row r="30" ht="22" customHeight="1">
      <c r="B30" s="8" t="n">
        <v>6</v>
      </c>
      <c r="C30" s="9" t="inlineStr">
        <is>
          <t>High-severity cases</t>
        </is>
      </c>
      <c r="D30" s="10" t="inlineStr">
        <is>
          <t>No.</t>
        </is>
      </c>
      <c r="E30" s="10" t="inlineStr"/>
      <c r="F30" s="10" t="inlineStr"/>
      <c r="G30" s="10">
        <f>IFERROR(ROUND((E30-F30)/IF(F30=0,1,F30)*100,1),"")</f>
        <v/>
      </c>
      <c r="H30" s="9" t="inlineStr"/>
    </row>
    <row r="31" ht="22" customHeight="1"/>
    <row r="32" ht="24" customHeight="1">
      <c r="B32" s="61" t="inlineStr">
        <is>
          <t>SECTION 4 — INTERVENTION &amp; OUTCOMES</t>
        </is>
      </c>
    </row>
    <row r="33" ht="22" customHeight="1">
      <c r="B33" s="74" t="inlineStr">
        <is>
          <t>Sl.</t>
        </is>
      </c>
      <c r="C33" s="74" t="inlineStr">
        <is>
          <t>Performance Metric</t>
        </is>
      </c>
      <c r="D33" s="74" t="inlineStr">
        <is>
          <t>Unit</t>
        </is>
      </c>
      <c r="E33" s="74" t="inlineStr">
        <is>
          <t>Current A.Y.</t>
        </is>
      </c>
      <c r="F33" s="74" t="inlineStr">
        <is>
          <t>Previous A.Y.</t>
        </is>
      </c>
      <c r="G33" s="74" t="inlineStr">
        <is>
          <t>Change</t>
        </is>
      </c>
      <c r="H33" s="74" t="inlineStr">
        <is>
          <t>Remarks</t>
        </is>
      </c>
    </row>
    <row r="34" ht="22" customHeight="1">
      <c r="B34" s="75" t="n">
        <v>1</v>
      </c>
      <c r="C34" s="80" t="inlineStr">
        <is>
          <t>Students receiving counselling</t>
        </is>
      </c>
      <c r="D34" s="24" t="inlineStr">
        <is>
          <t>No.</t>
        </is>
      </c>
      <c r="E34" s="24" t="inlineStr"/>
      <c r="F34" s="24" t="inlineStr"/>
      <c r="G34" s="24">
        <f>IFERROR(ROUND((E34-F34)/IF(F34=0,1,F34)*100,1),"")</f>
        <v/>
      </c>
      <c r="H34" s="80" t="inlineStr"/>
    </row>
    <row r="35" ht="22" customHeight="1">
      <c r="B35" s="8" t="n">
        <v>2</v>
      </c>
      <c r="C35" s="9" t="inlineStr">
        <is>
          <t>Rehabilitation referrals made</t>
        </is>
      </c>
      <c r="D35" s="10" t="inlineStr">
        <is>
          <t>No.</t>
        </is>
      </c>
      <c r="E35" s="10" t="inlineStr"/>
      <c r="F35" s="10" t="inlineStr"/>
      <c r="G35" s="10">
        <f>IFERROR(ROUND((E35-F35)/IF(F35=0,1,F35)*100,1),"")</f>
        <v/>
      </c>
      <c r="H35" s="9" t="inlineStr"/>
    </row>
    <row r="36" ht="22" customHeight="1">
      <c r="B36" s="75" t="n">
        <v>3</v>
      </c>
      <c r="C36" s="80" t="inlineStr">
        <is>
          <t>Students returned to academics post-rehab</t>
        </is>
      </c>
      <c r="D36" s="24" t="inlineStr">
        <is>
          <t>No.</t>
        </is>
      </c>
      <c r="E36" s="24" t="inlineStr"/>
      <c r="F36" s="24" t="inlineStr"/>
      <c r="G36" s="24">
        <f>IFERROR(ROUND((E36-F36)/IF(F36=0,1,F36)*100,1),"")</f>
        <v/>
      </c>
      <c r="H36" s="80" t="inlineStr"/>
    </row>
    <row r="37" ht="22" customHeight="1">
      <c r="B37" s="8" t="n">
        <v>4</v>
      </c>
      <c r="C37" s="9" t="inlineStr">
        <is>
          <t>Cases referred to police</t>
        </is>
      </c>
      <c r="D37" s="10" t="inlineStr">
        <is>
          <t>No.</t>
        </is>
      </c>
      <c r="E37" s="10" t="inlineStr"/>
      <c r="F37" s="10" t="inlineStr"/>
      <c r="G37" s="10">
        <f>IFERROR(ROUND((E37-F37)/IF(F37=0,1,F37)*100,1),"")</f>
        <v/>
      </c>
      <c r="H37" s="9" t="inlineStr"/>
    </row>
    <row r="38" ht="22" customHeight="1">
      <c r="B38" s="75" t="n">
        <v>5</v>
      </c>
      <c r="C38" s="80" t="inlineStr">
        <is>
          <t>Cases closed / resolved</t>
        </is>
      </c>
      <c r="D38" s="24" t="inlineStr">
        <is>
          <t>No.</t>
        </is>
      </c>
      <c r="E38" s="24" t="inlineStr"/>
      <c r="F38" s="24" t="inlineStr"/>
      <c r="G38" s="24">
        <f>IFERROR(ROUND((E38-F38)/IF(F38=0,1,F38)*100,1),"")</f>
        <v/>
      </c>
      <c r="H38" s="80" t="inlineStr"/>
    </row>
    <row r="39" ht="22" customHeight="1">
      <c r="B39" s="8" t="n">
        <v>6</v>
      </c>
      <c r="C39" s="9" t="inlineStr">
        <is>
          <t>Rehabilitation success rate (%)</t>
        </is>
      </c>
      <c r="D39" s="10" t="inlineStr">
        <is>
          <t>% recovered</t>
        </is>
      </c>
      <c r="E39" s="10" t="inlineStr"/>
      <c r="F39" s="10" t="inlineStr"/>
      <c r="G39" s="10">
        <f>IFERROR(ROUND((E39-F39)/IF(F39=0,1,F39)*100,1),"")</f>
        <v/>
      </c>
      <c r="H39" s="9" t="inlineStr"/>
    </row>
    <row r="40" ht="22" customHeight="1"/>
    <row r="41" ht="24" customHeight="1">
      <c r="B41" s="51" t="inlineStr">
        <is>
          <t>SECTION 5 — QUALITY &amp; COMPLIANCE</t>
        </is>
      </c>
    </row>
    <row r="42" ht="22" customHeight="1">
      <c r="B42" s="76" t="inlineStr">
        <is>
          <t>Sl.</t>
        </is>
      </c>
      <c r="C42" s="76" t="inlineStr">
        <is>
          <t>Performance Metric</t>
        </is>
      </c>
      <c r="D42" s="76" t="inlineStr">
        <is>
          <t>Unit</t>
        </is>
      </c>
      <c r="E42" s="76" t="inlineStr">
        <is>
          <t>Current A.Y.</t>
        </is>
      </c>
      <c r="F42" s="76" t="inlineStr">
        <is>
          <t>Previous A.Y.</t>
        </is>
      </c>
      <c r="G42" s="76" t="inlineStr">
        <is>
          <t>Change</t>
        </is>
      </c>
      <c r="H42" s="76" t="inlineStr">
        <is>
          <t>Remarks</t>
        </is>
      </c>
    </row>
    <row r="43" ht="22" customHeight="1">
      <c r="B43" s="77" t="n">
        <v>1</v>
      </c>
      <c r="C43" s="81" t="inlineStr">
        <is>
          <t>NAAC data submitted</t>
        </is>
      </c>
      <c r="D43" s="78" t="inlineStr">
        <is>
          <t>Y/N</t>
        </is>
      </c>
      <c r="E43" s="78" t="inlineStr"/>
      <c r="F43" s="78" t="inlineStr"/>
      <c r="G43" s="78">
        <f>IFERROR(ROUND((E43-F43)/IF(F43=0,1,F43)*100,1),"")</f>
        <v/>
      </c>
      <c r="H43" s="81" t="inlineStr"/>
    </row>
    <row r="44" ht="22" customHeight="1">
      <c r="B44" s="8" t="n">
        <v>2</v>
      </c>
      <c r="C44" s="9" t="inlineStr">
        <is>
          <t>UGC compliance report submitted</t>
        </is>
      </c>
      <c r="D44" s="10" t="inlineStr">
        <is>
          <t>Y/N</t>
        </is>
      </c>
      <c r="E44" s="10" t="inlineStr"/>
      <c r="F44" s="10" t="inlineStr"/>
      <c r="G44" s="10">
        <f>IFERROR(ROUND((E44-F44)/IF(F44=0,1,F44)*100,1),"")</f>
        <v/>
      </c>
      <c r="H44" s="9" t="inlineStr"/>
    </row>
    <row r="45" ht="22" customHeight="1">
      <c r="B45" s="77" t="n">
        <v>3</v>
      </c>
      <c r="C45" s="81" t="inlineStr">
        <is>
          <t>Counsellor student feedback score (/5)</t>
        </is>
      </c>
      <c r="D45" s="78" t="inlineStr">
        <is>
          <t>Score</t>
        </is>
      </c>
      <c r="E45" s="78" t="inlineStr"/>
      <c r="F45" s="78" t="inlineStr"/>
      <c r="G45" s="78">
        <f>IFERROR(ROUND((E45-F45)/IF(F45=0,1,F45)*100,1),"")</f>
        <v/>
      </c>
      <c r="H45" s="81" t="inlineStr"/>
    </row>
    <row r="46" ht="22" customHeight="1">
      <c r="B46" s="8" t="n">
        <v>4</v>
      </c>
      <c r="C46" s="9" t="inlineStr">
        <is>
          <t>Drug-free campus declaration maintained</t>
        </is>
      </c>
      <c r="D46" s="10" t="inlineStr">
        <is>
          <t>Y/N</t>
        </is>
      </c>
      <c r="E46" s="10" t="inlineStr"/>
      <c r="F46" s="10" t="inlineStr"/>
      <c r="G46" s="10">
        <f>IFERROR(ROUND((E46-F46)/IF(F46=0,1,F46)*100,1),"")</f>
        <v/>
      </c>
      <c r="H46" s="9" t="inlineStr"/>
    </row>
    <row r="47" ht="22" customHeight="1">
      <c r="B47" s="77" t="n">
        <v>5</v>
      </c>
      <c r="C47" s="81" t="inlineStr">
        <is>
          <t>Zero trafficking incidents</t>
        </is>
      </c>
      <c r="D47" s="78" t="inlineStr">
        <is>
          <t>Y/N</t>
        </is>
      </c>
      <c r="E47" s="78" t="inlineStr"/>
      <c r="F47" s="78" t="inlineStr"/>
      <c r="G47" s="78">
        <f>IFERROR(ROUND((E47-F47)/IF(F47=0,1,F47)*100,1),"")</f>
        <v/>
      </c>
      <c r="H47" s="81" t="inlineStr"/>
    </row>
    <row r="48" ht="22" customHeight="1">
      <c r="B48" s="8" t="n">
        <v>6</v>
      </c>
      <c r="C48" s="9" t="inlineStr">
        <is>
          <t>ADC website presence</t>
        </is>
      </c>
      <c r="D48" s="10" t="inlineStr">
        <is>
          <t>Y/N</t>
        </is>
      </c>
      <c r="E48" s="10" t="inlineStr"/>
      <c r="F48" s="10" t="inlineStr"/>
      <c r="G48" s="10">
        <f>IFERROR(ROUND((E48-F48)/IF(F48=0,1,F48)*100,1),"")</f>
        <v/>
      </c>
      <c r="H48" s="9" t="inlineStr"/>
    </row>
    <row r="49" ht="22" customHeight="1"/>
    <row r="50" ht="20" customHeight="1">
      <c r="B50" s="17" t="inlineStr">
        <is>
          <t>Annual Report (aggregate only) submitted to: UGC (compliance report), Management, IQAC (NAAC AQAR Criterion V.3 — Student Welfare), Governing Body. Case records (with coded identities) retained under lock for 5 years.</t>
        </is>
      </c>
    </row>
    <row r="51" ht="22" customHeight="1">
      <c r="B51" s="31" t="inlineStr">
        <is>
          <t>ADC Member Secretary: ___________________    ADC Chairperson (Principal): ___________________    IQAC Coordinator: ___________________    Date: ___________________</t>
        </is>
      </c>
    </row>
    <row r="52" ht="22" customHeight="1"/>
    <row r="53" ht="22" customHeight="1"/>
    <row r="54" ht="22" customHeight="1"/>
    <row r="55" ht="22" customHeight="1"/>
    <row r="56" ht="22" customHeight="1"/>
    <row r="57" ht="22" customHeight="1"/>
  </sheetData>
  <mergeCells count="10">
    <mergeCell ref="B14:H14"/>
    <mergeCell ref="B32:H32"/>
    <mergeCell ref="B50:H50"/>
    <mergeCell ref="B51:H51"/>
    <mergeCell ref="B41:H41"/>
    <mergeCell ref="B4:H4"/>
    <mergeCell ref="B2:H2"/>
    <mergeCell ref="B3:H3"/>
    <mergeCell ref="B5:H5"/>
    <mergeCell ref="B23:H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2026-05-01T08:40:29Z</dcterms:created>
  <dcterms:modified xmlns:dcterms="http://purl.org/dc/terms/" xmlns:xsi="http://www.w3.org/2001/XMLSchema-instance" xsi:type="dcterms:W3CDTF">2026-05-01T08:40:30Z</dcterms:modified>
</cp:coreProperties>
</file>