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F-01 CO Attainment" sheetId="2" state="visible" r:id="rId2"/>
    <sheet xmlns:r="http://schemas.openxmlformats.org/officeDocument/2006/relationships" name="F-02 PO-PSO Attainment" sheetId="3" state="visible" r:id="rId3"/>
    <sheet xmlns:r="http://schemas.openxmlformats.org/officeDocument/2006/relationships" name="F-03 CIE Marks Entry" sheetId="4" state="visible" r:id="rId4"/>
    <sheet xmlns:r="http://schemas.openxmlformats.org/officeDocument/2006/relationships" name="F-04 SEE Marks &amp; Analysis" sheetId="5" state="visible" r:id="rId5"/>
    <sheet xmlns:r="http://schemas.openxmlformats.org/officeDocument/2006/relationships" name="F-05 Course Exit Survey" sheetId="6" state="visible" r:id="rId6"/>
    <sheet xmlns:r="http://schemas.openxmlformats.org/officeDocument/2006/relationships" name="F-06 Program Exit Survey" sheetId="7" state="visible" r:id="rId7"/>
    <sheet xmlns:r="http://schemas.openxmlformats.org/officeDocument/2006/relationships" name="F-07&amp;08 Stakeholder Feedback" sheetId="8" state="visible" r:id="rId8"/>
    <sheet xmlns:r="http://schemas.openxmlformats.org/officeDocument/2006/relationships" name="F-09 Enrollment &amp; Grad Data" sheetId="9" state="visible" r:id="rId9"/>
    <sheet xmlns:r="http://schemas.openxmlformats.org/officeDocument/2006/relationships" name="F-10 PAC Meeting Minu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2"/>
    </font>
    <font>
      <name val="Arial"/>
      <color rgb="001F3864"/>
      <sz val="10"/>
    </font>
    <font>
      <name val="Arial"/>
      <b val="1"/>
      <color rgb="00FFFFFF"/>
      <sz val="11"/>
    </font>
    <font>
      <name val="Arial"/>
      <b val="1"/>
      <color rgb="00404040"/>
      <sz val="10"/>
    </font>
    <font>
      <name val="Arial"/>
      <color rgb="00404040"/>
      <sz val="10"/>
    </font>
    <font>
      <name val="Arial"/>
      <b val="1"/>
      <color rgb="001F3864"/>
      <sz val="10"/>
    </font>
    <font>
      <name val="Arial"/>
      <color rgb="00595959"/>
      <sz val="9"/>
    </font>
    <font>
      <name val="Arial"/>
      <b val="1"/>
      <color rgb="00FFFFFF"/>
      <sz val="14"/>
    </font>
    <font>
      <name val="Arial"/>
      <color rgb="001F3864"/>
      <sz val="9"/>
    </font>
    <font>
      <name val="Arial"/>
      <b val="1"/>
      <color rgb="00FFFFFF"/>
      <sz val="10"/>
    </font>
    <font>
      <name val="Arial"/>
      <b val="1"/>
      <color rgb="00404040"/>
      <sz val="9"/>
    </font>
    <font>
      <name val="Arial"/>
      <color rgb="00404040"/>
      <sz val="8"/>
    </font>
    <font>
      <name val="Arial"/>
      <b val="1"/>
      <color rgb="00FFFFFF"/>
      <sz val="9"/>
    </font>
    <font>
      <name val="Arial"/>
      <b val="1"/>
      <color rgb="002E75B6"/>
      <sz val="10"/>
    </font>
    <font>
      <name val="Arial"/>
      <color rgb="00404040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9A22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70AD47"/>
      </patternFill>
    </fill>
    <fill>
      <patternFill patternType="solid">
        <fgColor rgb="00ED7D31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1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15" fillId="7" borderId="1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5" customWidth="1" min="3" max="3"/>
    <col width="20" customWidth="1" min="4" max="4"/>
    <col width="20" customWidth="1" min="5" max="5"/>
    <col width="3" customWidth="1" min="6" max="6"/>
  </cols>
  <sheetData>
    <row r="1" ht="12" customHeight="1"/>
    <row r="2" ht="55" customHeight="1">
      <c r="B2" s="1" t="inlineStr">
        <is>
          <t>PROGRAM ASSESSMENT COMMITTEE (PAC)
OBE IMPLEMENTATION COMMITTEE</t>
        </is>
      </c>
    </row>
    <row r="3" ht="30" customHeight="1">
      <c r="B3" s="2" t="inlineStr">
        <is>
          <t>Data Collection Formats — Master Workbook</t>
        </is>
      </c>
    </row>
    <row r="4" ht="20" customHeight="1">
      <c r="B4" s="3" t="inlineStr">
        <is>
          <t>Academic Year: _____________  Programme: _____________  Prepared by: _____________</t>
        </is>
      </c>
    </row>
    <row r="5" ht="18" customHeight="1">
      <c r="B5" s="4" t="inlineStr">
        <is>
          <t>Sheet No.</t>
        </is>
      </c>
      <c r="C5" s="4" t="inlineStr">
        <is>
          <t>Format / Form Name</t>
        </is>
      </c>
      <c r="D5" s="4" t="inlineStr">
        <is>
          <t>Purpose</t>
        </is>
      </c>
      <c r="E5" s="4" t="inlineStr">
        <is>
          <t>Frequency</t>
        </is>
      </c>
    </row>
    <row r="6" ht="22" customHeight="1">
      <c r="B6" s="5" t="inlineStr">
        <is>
          <t>F-01</t>
        </is>
      </c>
      <c r="C6" s="6" t="inlineStr">
        <is>
          <t>CO Attainment (Direct)</t>
        </is>
      </c>
      <c r="D6" s="6" t="inlineStr">
        <is>
          <t>Record CO-wise attainment from assessments</t>
        </is>
      </c>
      <c r="E6" s="7" t="inlineStr">
        <is>
          <t>Each Semester</t>
        </is>
      </c>
    </row>
    <row r="7" ht="22" customHeight="1">
      <c r="B7" s="8" t="inlineStr">
        <is>
          <t>F-02</t>
        </is>
      </c>
      <c r="C7" s="9" t="inlineStr">
        <is>
          <t>PO/PSO Attainment</t>
        </is>
      </c>
      <c r="D7" s="9" t="inlineStr">
        <is>
          <t>Map CO→PO/PSO &amp; compute attainment</t>
        </is>
      </c>
      <c r="E7" s="10" t="inlineStr">
        <is>
          <t>Each Semester</t>
        </is>
      </c>
    </row>
    <row r="8" ht="22" customHeight="1">
      <c r="B8" s="5" t="inlineStr">
        <is>
          <t>F-03</t>
        </is>
      </c>
      <c r="C8" s="6" t="inlineStr">
        <is>
          <t>CIE Marks Entry</t>
        </is>
      </c>
      <c r="D8" s="6" t="inlineStr">
        <is>
          <t>Internal marks for all assessment components</t>
        </is>
      </c>
      <c r="E8" s="7" t="inlineStr">
        <is>
          <t>Continuous</t>
        </is>
      </c>
    </row>
    <row r="9" ht="22" customHeight="1">
      <c r="B9" s="8" t="inlineStr">
        <is>
          <t>F-04</t>
        </is>
      </c>
      <c r="C9" s="9" t="inlineStr">
        <is>
          <t>SEE Marks &amp; Analysis</t>
        </is>
      </c>
      <c r="D9" s="9" t="inlineStr">
        <is>
          <t>Semester End Exam marks &amp; analysis</t>
        </is>
      </c>
      <c r="E9" s="10" t="inlineStr">
        <is>
          <t>Each Semester</t>
        </is>
      </c>
    </row>
    <row r="10" ht="22" customHeight="1">
      <c r="B10" s="5" t="inlineStr">
        <is>
          <t>F-05</t>
        </is>
      </c>
      <c r="C10" s="6" t="inlineStr">
        <is>
          <t>Course Exit Survey</t>
        </is>
      </c>
      <c r="D10" s="6" t="inlineStr">
        <is>
          <t>Student feedback on CO delivery</t>
        </is>
      </c>
      <c r="E10" s="7" t="inlineStr">
        <is>
          <t>End of Course</t>
        </is>
      </c>
    </row>
    <row r="11" ht="22" customHeight="1">
      <c r="B11" s="8" t="inlineStr">
        <is>
          <t>F-06</t>
        </is>
      </c>
      <c r="C11" s="9" t="inlineStr">
        <is>
          <t>Program Exit Survey</t>
        </is>
      </c>
      <c r="D11" s="9" t="inlineStr">
        <is>
          <t>Graduate feedback on PO achievement</t>
        </is>
      </c>
      <c r="E11" s="10" t="inlineStr">
        <is>
          <t>On Graduation</t>
        </is>
      </c>
    </row>
    <row r="12" ht="22" customHeight="1">
      <c r="B12" s="5" t="inlineStr">
        <is>
          <t>F-07</t>
        </is>
      </c>
      <c r="C12" s="6" t="inlineStr">
        <is>
          <t>Employer Feedback</t>
        </is>
      </c>
      <c r="D12" s="6" t="inlineStr">
        <is>
          <t>Industry/employer survey on PO relevance</t>
        </is>
      </c>
      <c r="E12" s="7" t="inlineStr">
        <is>
          <t>Annual</t>
        </is>
      </c>
    </row>
    <row r="13" ht="22" customHeight="1">
      <c r="B13" s="8" t="inlineStr">
        <is>
          <t>F-08</t>
        </is>
      </c>
      <c r="C13" s="9" t="inlineStr">
        <is>
          <t>Alumni Feedback</t>
        </is>
      </c>
      <c r="D13" s="9" t="inlineStr">
        <is>
          <t>Alumni input on program effectiveness</t>
        </is>
      </c>
      <c r="E13" s="10" t="inlineStr">
        <is>
          <t>Annual/Biennial</t>
        </is>
      </c>
    </row>
    <row r="14" ht="22" customHeight="1">
      <c r="B14" s="5" t="inlineStr">
        <is>
          <t>F-09</t>
        </is>
      </c>
      <c r="C14" s="6" t="inlineStr">
        <is>
          <t>CAY Enrollment &amp; Grad</t>
        </is>
      </c>
      <c r="D14" s="6" t="inlineStr">
        <is>
          <t>Capture enrollment, pass-out, placement data</t>
        </is>
      </c>
      <c r="E14" s="7" t="inlineStr">
        <is>
          <t>Annual</t>
        </is>
      </c>
    </row>
    <row r="15" ht="22" customHeight="1">
      <c r="B15" s="8" t="inlineStr">
        <is>
          <t>F-10</t>
        </is>
      </c>
      <c r="C15" s="9" t="inlineStr">
        <is>
          <t>PAC Meeting Minutes</t>
        </is>
      </c>
      <c r="D15" s="9" t="inlineStr">
        <is>
          <t>Record decisions, actions, follow-ups</t>
        </is>
      </c>
      <c r="E15" s="10" t="inlineStr">
        <is>
          <t>Each Meeting</t>
        </is>
      </c>
    </row>
    <row r="16" ht="22" customHeight="1"/>
    <row r="17" ht="22" customHeight="1"/>
    <row r="18" ht="22" customHeight="1"/>
    <row r="19" ht="22" customHeight="1"/>
    <row r="20" ht="22" customHeight="1"/>
    <row r="21" ht="22" customHeight="1">
      <c r="B21" s="11" t="inlineStr">
        <is>
          <t>Instructions:</t>
        </is>
      </c>
    </row>
    <row r="22" ht="22" customHeight="1">
      <c r="B22" s="12" t="inlineStr">
        <is>
          <t>• Fill one workbook per programme per academic year.</t>
        </is>
      </c>
    </row>
    <row r="23" ht="22" customHeight="1">
      <c r="B23" s="12" t="inlineStr">
        <is>
          <t>• CO = Course Outcome  |  PO = Program Outcome  |  PSO = Program Specific Outcome</t>
        </is>
      </c>
    </row>
    <row r="24" ht="22" customHeight="1">
      <c r="B24" s="12" t="inlineStr">
        <is>
          <t>• Attainment target (direct): ≥60% of students scoring ≥50% of max marks.</t>
        </is>
      </c>
    </row>
    <row r="25">
      <c r="B25" s="12" t="inlineStr">
        <is>
          <t>• Overall PO attainment = 80% Direct + 20% Indirect (adjust per institute policy).</t>
        </is>
      </c>
    </row>
  </sheetData>
  <mergeCells count="7">
    <mergeCell ref="B23:E23"/>
    <mergeCell ref="B4:E4"/>
    <mergeCell ref="B25:E25"/>
    <mergeCell ref="B3:E3"/>
    <mergeCell ref="B2:E2"/>
    <mergeCell ref="B24:E24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0" customHeight="1">
      <c r="B2" s="13" t="inlineStr">
        <is>
          <t>F-01: COURSE OUTCOME (CO) ATTAINMENT — DIRECT METHOD</t>
        </is>
      </c>
    </row>
    <row r="3" ht="25" customHeight="1">
      <c r="B3" s="14" t="inlineStr">
        <is>
          <t>Course: ___________________  Course Code: _______  Faculty: ___________________  Semester: _______  A.Y.: _______</t>
        </is>
      </c>
    </row>
    <row r="4" ht="25" customHeight="1">
      <c r="B4" s="15" t="inlineStr">
        <is>
          <t>CO No.</t>
        </is>
      </c>
      <c r="C4" s="15" t="inlineStr">
        <is>
          <t>CO Statement (brief)</t>
        </is>
      </c>
      <c r="D4" s="15" t="inlineStr">
        <is>
          <t>Max Marks
(Assessment)</t>
        </is>
      </c>
      <c r="E4" s="15" t="inlineStr">
        <is>
          <t>No. of Students
Appeared</t>
        </is>
      </c>
      <c r="F4" s="15" t="inlineStr">
        <is>
          <t>No. of Students
Attained Target</t>
        </is>
      </c>
      <c r="G4" s="15" t="inlineStr">
        <is>
          <t>Attainment
Level (%)</t>
        </is>
      </c>
      <c r="H4" s="15" t="inlineStr">
        <is>
          <t>CO Attainment
Level (0/1/2/3)</t>
        </is>
      </c>
      <c r="I4" s="15" t="inlineStr">
        <is>
          <t>Target
Level</t>
        </is>
      </c>
      <c r="J4" s="15" t="inlineStr">
        <is>
          <t>Target
Met? (Y/N)</t>
        </is>
      </c>
    </row>
    <row r="5" ht="25" customHeight="1">
      <c r="B5" s="8" t="inlineStr">
        <is>
          <t>CO1</t>
        </is>
      </c>
      <c r="C5" s="10" t="n"/>
      <c r="D5" s="10" t="n"/>
      <c r="E5" s="10" t="n"/>
      <c r="F5" s="10" t="n"/>
      <c r="G5" s="10">
        <f>IFERROR(ROUND(F5/E5*100,1),"")</f>
        <v/>
      </c>
      <c r="H5" s="10">
        <f>IFERROR(IF(G5&gt;=60,3,IF(G5&gt;=50,2,IF(G5&gt;=40,1,0))),"")</f>
        <v/>
      </c>
      <c r="I5" s="10" t="n">
        <v>2</v>
      </c>
      <c r="J5" s="10">
        <f>IFERROR(IF(H5&gt;=I5,"Y","N"),"")</f>
        <v/>
      </c>
    </row>
    <row r="6" ht="22" customHeight="1">
      <c r="B6" s="16" t="inlineStr">
        <is>
          <t>CO2</t>
        </is>
      </c>
      <c r="C6" s="17" t="n"/>
      <c r="D6" s="17" t="n"/>
      <c r="E6" s="17" t="n"/>
      <c r="F6" s="17" t="n"/>
      <c r="G6" s="17">
        <f>IFERROR(ROUND(F6/E6*100,1),"")</f>
        <v/>
      </c>
      <c r="H6" s="17">
        <f>IFERROR(IF(G6&gt;=60,3,IF(G6&gt;=50,2,IF(G6&gt;=40,1,0))),"")</f>
        <v/>
      </c>
      <c r="I6" s="17" t="n">
        <v>2</v>
      </c>
      <c r="J6" s="17">
        <f>IFERROR(IF(H6&gt;=I6,"Y","N"),"")</f>
        <v/>
      </c>
    </row>
    <row r="7" ht="22" customHeight="1">
      <c r="B7" s="8" t="inlineStr">
        <is>
          <t>CO3</t>
        </is>
      </c>
      <c r="C7" s="10" t="n"/>
      <c r="D7" s="10" t="n"/>
      <c r="E7" s="10" t="n"/>
      <c r="F7" s="10" t="n"/>
      <c r="G7" s="10">
        <f>IFERROR(ROUND(F7/E7*100,1),"")</f>
        <v/>
      </c>
      <c r="H7" s="10">
        <f>IFERROR(IF(G7&gt;=60,3,IF(G7&gt;=50,2,IF(G7&gt;=40,1,0))),"")</f>
        <v/>
      </c>
      <c r="I7" s="10" t="n">
        <v>2</v>
      </c>
      <c r="J7" s="10">
        <f>IFERROR(IF(H7&gt;=I7,"Y","N"),"")</f>
        <v/>
      </c>
    </row>
    <row r="8" ht="22" customHeight="1">
      <c r="B8" s="16" t="inlineStr">
        <is>
          <t>CO4</t>
        </is>
      </c>
      <c r="C8" s="17" t="n"/>
      <c r="D8" s="17" t="n"/>
      <c r="E8" s="17" t="n"/>
      <c r="F8" s="17" t="n"/>
      <c r="G8" s="17">
        <f>IFERROR(ROUND(F8/E8*100,1),"")</f>
        <v/>
      </c>
      <c r="H8" s="17">
        <f>IFERROR(IF(G8&gt;=60,3,IF(G8&gt;=50,2,IF(G8&gt;=40,1,0))),"")</f>
        <v/>
      </c>
      <c r="I8" s="17" t="n">
        <v>2</v>
      </c>
      <c r="J8" s="17">
        <f>IFERROR(IF(H8&gt;=I8,"Y","N"),"")</f>
        <v/>
      </c>
    </row>
    <row r="9" ht="22" customHeight="1">
      <c r="B9" s="8" t="inlineStr">
        <is>
          <t>CO5</t>
        </is>
      </c>
      <c r="C9" s="10" t="n"/>
      <c r="D9" s="10" t="n"/>
      <c r="E9" s="10" t="n"/>
      <c r="F9" s="10" t="n"/>
      <c r="G9" s="10">
        <f>IFERROR(ROUND(F9/E9*100,1),"")</f>
        <v/>
      </c>
      <c r="H9" s="10">
        <f>IFERROR(IF(G9&gt;=60,3,IF(G9&gt;=50,2,IF(G9&gt;=40,1,0))),"")</f>
        <v/>
      </c>
      <c r="I9" s="10" t="n">
        <v>2</v>
      </c>
      <c r="J9" s="10">
        <f>IFERROR(IF(H9&gt;=I9,"Y","N"),"")</f>
        <v/>
      </c>
    </row>
    <row r="10" ht="22" customHeight="1">
      <c r="B10" s="16" t="inlineStr">
        <is>
          <t>CO6</t>
        </is>
      </c>
      <c r="C10" s="17" t="n"/>
      <c r="D10" s="17" t="n"/>
      <c r="E10" s="17" t="n"/>
      <c r="F10" s="17" t="n"/>
      <c r="G10" s="17">
        <f>IFERROR(ROUND(F10/E10*100,1),"")</f>
        <v/>
      </c>
      <c r="H10" s="17">
        <f>IFERROR(IF(G10&gt;=60,3,IF(G10&gt;=50,2,IF(G10&gt;=40,1,0))),"")</f>
        <v/>
      </c>
      <c r="I10" s="17" t="n">
        <v>2</v>
      </c>
      <c r="J10" s="17">
        <f>IFERROR(IF(H10&gt;=I10,"Y","N"),"")</f>
        <v/>
      </c>
    </row>
    <row r="11" ht="22" customHeight="1">
      <c r="B11" s="8" t="inlineStr">
        <is>
          <t>CO7</t>
        </is>
      </c>
      <c r="C11" s="10" t="n"/>
      <c r="D11" s="10" t="n"/>
      <c r="E11" s="10" t="n"/>
      <c r="F11" s="10" t="n"/>
      <c r="G11" s="10">
        <f>IFERROR(ROUND(F11/E11*100,1),"")</f>
        <v/>
      </c>
      <c r="H11" s="10">
        <f>IFERROR(IF(G11&gt;=60,3,IF(G11&gt;=50,2,IF(G11&gt;=40,1,0))),"")</f>
        <v/>
      </c>
      <c r="I11" s="10" t="n">
        <v>2</v>
      </c>
      <c r="J11" s="10">
        <f>IFERROR(IF(H11&gt;=I11,"Y","N"),"")</f>
        <v/>
      </c>
    </row>
    <row r="12" ht="22" customHeight="1">
      <c r="B12" s="16" t="inlineStr">
        <is>
          <t>CO8</t>
        </is>
      </c>
      <c r="C12" s="17" t="n"/>
      <c r="D12" s="17" t="n"/>
      <c r="E12" s="17" t="n"/>
      <c r="F12" s="17" t="n"/>
      <c r="G12" s="17">
        <f>IFERROR(ROUND(F12/E12*100,1),"")</f>
        <v/>
      </c>
      <c r="H12" s="17">
        <f>IFERROR(IF(G12&gt;=60,3,IF(G12&gt;=50,2,IF(G12&gt;=40,1,0))),"")</f>
        <v/>
      </c>
      <c r="I12" s="17" t="n">
        <v>2</v>
      </c>
      <c r="J12" s="17">
        <f>IFERROR(IF(H12&gt;=I12,"Y","N"),"")</f>
        <v/>
      </c>
    </row>
    <row r="13" ht="22" customHeight="1">
      <c r="B13" s="8" t="inlineStr">
        <is>
          <t>CO9</t>
        </is>
      </c>
      <c r="C13" s="10" t="n"/>
      <c r="D13" s="10" t="n"/>
      <c r="E13" s="10" t="n"/>
      <c r="F13" s="10" t="n"/>
      <c r="G13" s="10">
        <f>IFERROR(ROUND(F13/E13*100,1),"")</f>
        <v/>
      </c>
      <c r="H13" s="10">
        <f>IFERROR(IF(G13&gt;=60,3,IF(G13&gt;=50,2,IF(G13&gt;=40,1,0))),"")</f>
        <v/>
      </c>
      <c r="I13" s="10" t="n">
        <v>2</v>
      </c>
      <c r="J13" s="10">
        <f>IFERROR(IF(H13&gt;=I13,"Y","N"),"")</f>
        <v/>
      </c>
    </row>
    <row r="14" ht="22" customHeight="1">
      <c r="B14" s="18" t="inlineStr">
        <is>
          <t>Average CO Attainment Level</t>
        </is>
      </c>
      <c r="D14" s="19" t="n"/>
      <c r="E14" s="19" t="n"/>
      <c r="F14" s="19" t="n"/>
      <c r="G14" s="19" t="n"/>
      <c r="H14" s="19">
        <f>IFERROR(ROUND(AVERAGE(H5:H13),2),"")</f>
        <v/>
      </c>
      <c r="I14" s="19" t="n"/>
      <c r="J14" s="19" t="n"/>
    </row>
    <row r="15" ht="22" customHeight="1"/>
    <row r="16" ht="22" customHeight="1">
      <c r="B16" s="18" t="inlineStr">
        <is>
          <t>Attainment Scale</t>
        </is>
      </c>
    </row>
    <row r="17" ht="22" customHeight="1">
      <c r="B17" s="20" t="inlineStr">
        <is>
          <t>Level 0: &lt;40% attainment</t>
        </is>
      </c>
      <c r="D17" s="21" t="inlineStr">
        <is>
          <t>Level 1: 40–49% attainment</t>
        </is>
      </c>
      <c r="F17" s="22" t="inlineStr">
        <is>
          <t>Level 2: 50–59% attainment</t>
        </is>
      </c>
      <c r="H17" s="23" t="inlineStr">
        <is>
          <t>Level 3: ≥60% attainment</t>
        </is>
      </c>
    </row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</sheetData>
  <mergeCells count="8">
    <mergeCell ref="B3:J3"/>
    <mergeCell ref="D17:E17"/>
    <mergeCell ref="B14:C14"/>
    <mergeCell ref="B17:C17"/>
    <mergeCell ref="B2:J2"/>
    <mergeCell ref="F17:G17"/>
    <mergeCell ref="B16:J16"/>
    <mergeCell ref="H17:I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3" customWidth="1" min="15" max="15"/>
  </cols>
  <sheetData>
    <row r="1" ht="10" customHeight="1"/>
    <row r="2" ht="40" customHeight="1">
      <c r="B2" s="13" t="inlineStr">
        <is>
          <t>F-02: PO / PSO ATTAINMENT COMPUTATION SHEET</t>
        </is>
      </c>
    </row>
    <row r="3" ht="25" customHeight="1">
      <c r="B3" s="14" t="inlineStr">
        <is>
          <t>Programme: ___________________  Department: ___________________  Semester: _______  A.Y.: _______</t>
        </is>
      </c>
    </row>
    <row r="4" ht="30" customHeight="1">
      <c r="B4" s="18" t="inlineStr">
        <is>
          <t>Course</t>
        </is>
      </c>
      <c r="C4" s="24" t="inlineStr">
        <is>
          <t>PO1</t>
        </is>
      </c>
      <c r="D4" s="24" t="inlineStr">
        <is>
          <t>PO2</t>
        </is>
      </c>
      <c r="E4" s="24" t="inlineStr">
        <is>
          <t>PO3</t>
        </is>
      </c>
      <c r="F4" s="24" t="inlineStr">
        <is>
          <t>PO4</t>
        </is>
      </c>
      <c r="G4" s="24" t="inlineStr">
        <is>
          <t>PO5</t>
        </is>
      </c>
      <c r="H4" s="24" t="inlineStr">
        <is>
          <t>PO6</t>
        </is>
      </c>
      <c r="I4" s="24" t="inlineStr">
        <is>
          <t>PO7</t>
        </is>
      </c>
      <c r="J4" s="24" t="inlineStr">
        <is>
          <t>PO8</t>
        </is>
      </c>
      <c r="K4" s="24" t="inlineStr">
        <is>
          <t>PO9</t>
        </is>
      </c>
      <c r="L4" s="24" t="inlineStr">
        <is>
          <t>PO10</t>
        </is>
      </c>
      <c r="M4" s="24" t="inlineStr">
        <is>
          <t>PO11</t>
        </is>
      </c>
      <c r="N4" s="24" t="inlineStr">
        <is>
          <t>PSO1</t>
        </is>
      </c>
    </row>
    <row r="5" ht="30" customHeight="1">
      <c r="C5" s="25" t="inlineStr">
        <is>
          <t>← Enter CO Attainment levels per course</t>
        </is>
      </c>
      <c r="N5" s="26" t="n"/>
    </row>
    <row r="6" ht="22" customHeight="1">
      <c r="B6" s="27" t="inlineStr">
        <is>
          <t>Course 1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</row>
    <row r="7" ht="22" customHeight="1">
      <c r="B7" s="28" t="inlineStr">
        <is>
          <t>Course 2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22" customHeight="1">
      <c r="B8" s="27" t="inlineStr">
        <is>
          <t>Course 3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</row>
    <row r="9" ht="22" customHeight="1">
      <c r="B9" s="28" t="inlineStr">
        <is>
          <t>Course 4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22" customHeight="1">
      <c r="B10" s="27" t="inlineStr">
        <is>
          <t>Course 5</t>
        </is>
      </c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</row>
    <row r="11" ht="22" customHeight="1">
      <c r="B11" s="28" t="inlineStr">
        <is>
          <t>Course 6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22" customHeight="1">
      <c r="B12" s="27" t="inlineStr">
        <is>
          <t>Course 7</t>
        </is>
      </c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</row>
    <row r="13" ht="22" customHeight="1">
      <c r="B13" s="28" t="inlineStr">
        <is>
          <t>Course 8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22" customHeight="1">
      <c r="B14" s="29" t="inlineStr">
        <is>
          <t>Avg PO Attainment</t>
        </is>
      </c>
      <c r="C14" s="19">
        <f>IFERROR(ROUND(AVERAGE(C6:C13),2),"")</f>
        <v/>
      </c>
      <c r="D14" s="19">
        <f>IFERROR(ROUND(AVERAGE(D6:D13),2),"")</f>
        <v/>
      </c>
      <c r="E14" s="19">
        <f>IFERROR(ROUND(AVERAGE(E6:E13),2),"")</f>
        <v/>
      </c>
      <c r="F14" s="19">
        <f>IFERROR(ROUND(AVERAGE(F6:F13),2),"")</f>
        <v/>
      </c>
      <c r="G14" s="19">
        <f>IFERROR(ROUND(AVERAGE(G6:G13),2),"")</f>
        <v/>
      </c>
      <c r="H14" s="19">
        <f>IFERROR(ROUND(AVERAGE(H6:H13),2),"")</f>
        <v/>
      </c>
      <c r="I14" s="19">
        <f>IFERROR(ROUND(AVERAGE(I6:I13),2),"")</f>
        <v/>
      </c>
      <c r="J14" s="19">
        <f>IFERROR(ROUND(AVERAGE(J6:J13),2),"")</f>
        <v/>
      </c>
      <c r="K14" s="19">
        <f>IFERROR(ROUND(AVERAGE(K6:K13),2),"")</f>
        <v/>
      </c>
      <c r="L14" s="19">
        <f>IFERROR(ROUND(AVERAGE(L6:L13),2),"")</f>
        <v/>
      </c>
      <c r="M14" s="19">
        <f>IFERROR(ROUND(AVERAGE(M6:M13),2),"")</f>
        <v/>
      </c>
      <c r="N14" s="19">
        <f>IFERROR(ROUND(AVERAGE(N6:N13),2),"")</f>
        <v/>
      </c>
    </row>
    <row r="15" ht="22" customHeight="1"/>
    <row r="16" ht="22" customHeight="1">
      <c r="B16" s="30" t="inlineStr">
        <is>
          <t>INDIRECT ATTAINMENT (Course Exit + Program Exit Surveys)</t>
        </is>
      </c>
    </row>
    <row r="17" ht="22" customHeight="1">
      <c r="B17" s="31" t="inlineStr">
        <is>
          <t>PO No.</t>
        </is>
      </c>
      <c r="C17" s="31" t="inlineStr">
        <is>
          <t>PO1</t>
        </is>
      </c>
      <c r="D17" s="31" t="inlineStr">
        <is>
          <t>PO2</t>
        </is>
      </c>
      <c r="E17" s="31" t="inlineStr">
        <is>
          <t>PO3</t>
        </is>
      </c>
      <c r="F17" s="31" t="inlineStr">
        <is>
          <t>PO4</t>
        </is>
      </c>
      <c r="G17" s="31" t="inlineStr">
        <is>
          <t>PO5</t>
        </is>
      </c>
      <c r="H17" s="31" t="inlineStr">
        <is>
          <t>PO6</t>
        </is>
      </c>
      <c r="I17" s="31" t="inlineStr">
        <is>
          <t>PO7</t>
        </is>
      </c>
      <c r="J17" s="31" t="inlineStr">
        <is>
          <t>PO8</t>
        </is>
      </c>
      <c r="K17" s="31" t="inlineStr">
        <is>
          <t>PO9</t>
        </is>
      </c>
      <c r="L17" s="31" t="inlineStr">
        <is>
          <t>PO10</t>
        </is>
      </c>
      <c r="M17" s="31" t="inlineStr">
        <is>
          <t>PO11</t>
        </is>
      </c>
      <c r="N17" s="31" t="inlineStr">
        <is>
          <t>PO12</t>
        </is>
      </c>
      <c r="O17" s="31" t="inlineStr">
        <is>
          <t>PSO1</t>
        </is>
      </c>
    </row>
    <row r="18" ht="22" customHeight="1">
      <c r="B18" s="32" t="inlineStr">
        <is>
          <t>Indirect Attainment Level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 ht="22" customHeight="1">
      <c r="B19" s="32" t="inlineStr">
        <is>
          <t>Overall Attainment
(80% D + 20% I)</t>
        </is>
      </c>
      <c r="C19" s="33">
        <f>IFERROR(ROUND(C14*0.8+C18*0.2,2),"")</f>
        <v/>
      </c>
      <c r="D19" s="33">
        <f>IFERROR(ROUND(D14*0.8+D18*0.2,2),"")</f>
        <v/>
      </c>
      <c r="E19" s="33">
        <f>IFERROR(ROUND(E14*0.8+E18*0.2,2),"")</f>
        <v/>
      </c>
      <c r="F19" s="33">
        <f>IFERROR(ROUND(F14*0.8+F18*0.2,2),"")</f>
        <v/>
      </c>
      <c r="G19" s="33">
        <f>IFERROR(ROUND(G14*0.8+G18*0.2,2),"")</f>
        <v/>
      </c>
      <c r="H19" s="33">
        <f>IFERROR(ROUND(H14*0.8+H18*0.2,2),"")</f>
        <v/>
      </c>
      <c r="I19" s="33">
        <f>IFERROR(ROUND(I14*0.8+I18*0.2,2),"")</f>
        <v/>
      </c>
      <c r="J19" s="33">
        <f>IFERROR(ROUND(J14*0.8+J18*0.2,2),"")</f>
        <v/>
      </c>
      <c r="K19" s="33">
        <f>IFERROR(ROUND(K14*0.8+K18*0.2,2),"")</f>
        <v/>
      </c>
      <c r="L19" s="33">
        <f>IFERROR(ROUND(L14*0.8+L18*0.2,2),"")</f>
        <v/>
      </c>
      <c r="M19" s="33">
        <f>IFERROR(ROUND(M14*0.8+M18*0.2,2),"")</f>
        <v/>
      </c>
      <c r="N19" s="33">
        <f>IFERROR(ROUND(N14*0.8+N18*0.2,2),"")</f>
        <v/>
      </c>
      <c r="O19" s="33">
        <f>IFERROR(ROUND(O14*0.8+O18*0.2,2),"")</f>
        <v/>
      </c>
    </row>
    <row r="20" ht="22" customHeight="1"/>
    <row r="21" ht="22" customHeight="1"/>
  </sheetData>
  <mergeCells count="6">
    <mergeCell ref="B16:N16"/>
    <mergeCell ref="B4:B5"/>
    <mergeCell ref="B3:N3"/>
    <mergeCell ref="N4:N5"/>
    <mergeCell ref="B14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3" customWidth="1" min="14" max="14"/>
  </cols>
  <sheetData>
    <row r="1" ht="10" customHeight="1"/>
    <row r="2" ht="40" customHeight="1">
      <c r="B2" s="13" t="inlineStr">
        <is>
          <t>F-03: CONTINUOUS INTERNAL EVALUATION (CIE) MARKS ENTRY</t>
        </is>
      </c>
    </row>
    <row r="3" ht="25" customHeight="1">
      <c r="B3" s="14" t="inlineStr">
        <is>
          <t>Course: ___________________  Code: _______  Faculty: ___________________  Sem: _______  A.Y.: _______</t>
        </is>
      </c>
    </row>
    <row r="4" ht="30" customHeight="1">
      <c r="B4" s="24" t="inlineStr">
        <is>
          <t>Sl.No.</t>
        </is>
      </c>
      <c r="C4" s="24" t="inlineStr">
        <is>
          <t>Student Name</t>
        </is>
      </c>
      <c r="D4" s="24" t="inlineStr">
        <is>
          <t>USN</t>
        </is>
      </c>
      <c r="E4" s="24" t="inlineStr">
        <is>
          <t>IA-1
(25)</t>
        </is>
      </c>
      <c r="F4" s="24" t="inlineStr">
        <is>
          <t>IA-2
(25)</t>
        </is>
      </c>
      <c r="G4" s="24" t="inlineStr">
        <is>
          <t>IA-3
(25)</t>
        </is>
      </c>
      <c r="H4" s="24" t="inlineStr">
        <is>
          <t>Assignment
(10)</t>
        </is>
      </c>
      <c r="I4" s="24" t="inlineStr">
        <is>
          <t>Quiz
(10)</t>
        </is>
      </c>
      <c r="J4" s="24" t="inlineStr">
        <is>
          <t>Lab/
Mini-Proj
(20)</t>
        </is>
      </c>
      <c r="K4" s="24" t="inlineStr">
        <is>
          <t>Total CIE
(100)</t>
        </is>
      </c>
      <c r="L4" s="24" t="inlineStr">
        <is>
          <t>CO Mapped
(Primary)</t>
        </is>
      </c>
    </row>
    <row r="5" ht="30" customHeight="1">
      <c r="B5" s="8" t="n">
        <v>1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34">
        <f>IFERROR(SUM(E5:J5),"")</f>
        <v/>
      </c>
      <c r="L5" s="10" t="n"/>
    </row>
    <row r="6" ht="20" customHeight="1">
      <c r="B6" s="16" t="n">
        <v>2</v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33">
        <f>IFERROR(SUM(E6:J6),"")</f>
        <v/>
      </c>
      <c r="L6" s="17" t="n"/>
    </row>
    <row r="7" ht="20" customHeight="1">
      <c r="B7" s="8" t="n">
        <v>3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34">
        <f>IFERROR(SUM(E7:J7),"")</f>
        <v/>
      </c>
      <c r="L7" s="10" t="n"/>
    </row>
    <row r="8" ht="20" customHeight="1">
      <c r="B8" s="16" t="n">
        <v>4</v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33">
        <f>IFERROR(SUM(E8:J8),"")</f>
        <v/>
      </c>
      <c r="L8" s="17" t="n"/>
    </row>
    <row r="9" ht="20" customHeight="1">
      <c r="B9" s="8" t="n">
        <v>5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34">
        <f>IFERROR(SUM(E9:J9),"")</f>
        <v/>
      </c>
      <c r="L9" s="10" t="n"/>
    </row>
    <row r="10" ht="20" customHeight="1">
      <c r="B10" s="16" t="n">
        <v>6</v>
      </c>
      <c r="C10" s="17" t="n"/>
      <c r="D10" s="17" t="n"/>
      <c r="E10" s="17" t="n"/>
      <c r="F10" s="17" t="n"/>
      <c r="G10" s="17" t="n"/>
      <c r="H10" s="17" t="n"/>
      <c r="I10" s="17" t="n"/>
      <c r="J10" s="17" t="n"/>
      <c r="K10" s="33">
        <f>IFERROR(SUM(E10:J10),"")</f>
        <v/>
      </c>
      <c r="L10" s="17" t="n"/>
    </row>
    <row r="11" ht="20" customHeight="1">
      <c r="B11" s="8" t="n">
        <v>7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34">
        <f>IFERROR(SUM(E11:J11),"")</f>
        <v/>
      </c>
      <c r="L11" s="10" t="n"/>
    </row>
    <row r="12" ht="20" customHeight="1">
      <c r="B12" s="16" t="n">
        <v>8</v>
      </c>
      <c r="C12" s="17" t="n"/>
      <c r="D12" s="17" t="n"/>
      <c r="E12" s="17" t="n"/>
      <c r="F12" s="17" t="n"/>
      <c r="G12" s="17" t="n"/>
      <c r="H12" s="17" t="n"/>
      <c r="I12" s="17" t="n"/>
      <c r="J12" s="17" t="n"/>
      <c r="K12" s="33">
        <f>IFERROR(SUM(E12:J12),"")</f>
        <v/>
      </c>
      <c r="L12" s="17" t="n"/>
    </row>
    <row r="13" ht="20" customHeight="1">
      <c r="B13" s="8" t="n">
        <v>9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34">
        <f>IFERROR(SUM(E13:J13),"")</f>
        <v/>
      </c>
      <c r="L13" s="10" t="n"/>
    </row>
    <row r="14" ht="20" customHeight="1">
      <c r="B14" s="16" t="n">
        <v>10</v>
      </c>
      <c r="C14" s="17" t="n"/>
      <c r="D14" s="17" t="n"/>
      <c r="E14" s="17" t="n"/>
      <c r="F14" s="17" t="n"/>
      <c r="G14" s="17" t="n"/>
      <c r="H14" s="17" t="n"/>
      <c r="I14" s="17" t="n"/>
      <c r="J14" s="17" t="n"/>
      <c r="K14" s="33">
        <f>IFERROR(SUM(E14:J14),"")</f>
        <v/>
      </c>
      <c r="L14" s="17" t="n"/>
    </row>
    <row r="15" ht="20" customHeight="1">
      <c r="B15" s="8" t="n">
        <v>11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34">
        <f>IFERROR(SUM(E15:J15),"")</f>
        <v/>
      </c>
      <c r="L15" s="10" t="n"/>
    </row>
    <row r="16" ht="20" customHeight="1">
      <c r="B16" s="16" t="n">
        <v>12</v>
      </c>
      <c r="C16" s="17" t="n"/>
      <c r="D16" s="17" t="n"/>
      <c r="E16" s="17" t="n"/>
      <c r="F16" s="17" t="n"/>
      <c r="G16" s="17" t="n"/>
      <c r="H16" s="17" t="n"/>
      <c r="I16" s="17" t="n"/>
      <c r="J16" s="17" t="n"/>
      <c r="K16" s="33">
        <f>IFERROR(SUM(E16:J16),"")</f>
        <v/>
      </c>
      <c r="L16" s="17" t="n"/>
    </row>
    <row r="17" ht="20" customHeight="1">
      <c r="B17" s="8" t="n">
        <v>13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34">
        <f>IFERROR(SUM(E17:J17),"")</f>
        <v/>
      </c>
      <c r="L17" s="10" t="n"/>
    </row>
    <row r="18" ht="20" customHeight="1">
      <c r="B18" s="16" t="n">
        <v>14</v>
      </c>
      <c r="C18" s="17" t="n"/>
      <c r="D18" s="17" t="n"/>
      <c r="E18" s="17" t="n"/>
      <c r="F18" s="17" t="n"/>
      <c r="G18" s="17" t="n"/>
      <c r="H18" s="17" t="n"/>
      <c r="I18" s="17" t="n"/>
      <c r="J18" s="17" t="n"/>
      <c r="K18" s="33">
        <f>IFERROR(SUM(E18:J18),"")</f>
        <v/>
      </c>
      <c r="L18" s="17" t="n"/>
    </row>
    <row r="19" ht="20" customHeight="1">
      <c r="B19" s="8" t="n">
        <v>15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34">
        <f>IFERROR(SUM(E19:J19),"")</f>
        <v/>
      </c>
      <c r="L19" s="10" t="n"/>
    </row>
    <row r="20" ht="20" customHeight="1">
      <c r="B20" s="16" t="n">
        <v>16</v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33">
        <f>IFERROR(SUM(E20:J20),"")</f>
        <v/>
      </c>
      <c r="L20" s="17" t="n"/>
    </row>
    <row r="21" ht="20" customHeight="1">
      <c r="B21" s="8" t="n">
        <v>17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34">
        <f>IFERROR(SUM(E21:J21),"")</f>
        <v/>
      </c>
      <c r="L21" s="10" t="n"/>
    </row>
    <row r="22" ht="20" customHeight="1">
      <c r="B22" s="16" t="n">
        <v>18</v>
      </c>
      <c r="C22" s="17" t="n"/>
      <c r="D22" s="17" t="n"/>
      <c r="E22" s="17" t="n"/>
      <c r="F22" s="17" t="n"/>
      <c r="G22" s="17" t="n"/>
      <c r="H22" s="17" t="n"/>
      <c r="I22" s="17" t="n"/>
      <c r="J22" s="17" t="n"/>
      <c r="K22" s="33">
        <f>IFERROR(SUM(E22:J22),"")</f>
        <v/>
      </c>
      <c r="L22" s="17" t="n"/>
    </row>
    <row r="23" ht="20" customHeight="1">
      <c r="B23" s="8" t="n">
        <v>19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34">
        <f>IFERROR(SUM(E23:J23),"")</f>
        <v/>
      </c>
      <c r="L23" s="10" t="n"/>
    </row>
    <row r="24" ht="20" customHeight="1">
      <c r="B24" s="16" t="n">
        <v>20</v>
      </c>
      <c r="C24" s="17" t="n"/>
      <c r="D24" s="17" t="n"/>
      <c r="E24" s="17" t="n"/>
      <c r="F24" s="17" t="n"/>
      <c r="G24" s="17" t="n"/>
      <c r="H24" s="17" t="n"/>
      <c r="I24" s="17" t="n"/>
      <c r="J24" s="17" t="n"/>
      <c r="K24" s="33">
        <f>IFERROR(SUM(E24:J24),"")</f>
        <v/>
      </c>
      <c r="L24" s="17" t="n"/>
    </row>
    <row r="25" ht="20" customHeight="1">
      <c r="B25" s="8" t="n">
        <v>21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34">
        <f>IFERROR(SUM(E25:J25),"")</f>
        <v/>
      </c>
      <c r="L25" s="10" t="n"/>
    </row>
    <row r="26" ht="20" customHeight="1">
      <c r="B26" s="16" t="n">
        <v>22</v>
      </c>
      <c r="C26" s="17" t="n"/>
      <c r="D26" s="17" t="n"/>
      <c r="E26" s="17" t="n"/>
      <c r="F26" s="17" t="n"/>
      <c r="G26" s="17" t="n"/>
      <c r="H26" s="17" t="n"/>
      <c r="I26" s="17" t="n"/>
      <c r="J26" s="17" t="n"/>
      <c r="K26" s="33">
        <f>IFERROR(SUM(E26:J26),"")</f>
        <v/>
      </c>
      <c r="L26" s="17" t="n"/>
    </row>
    <row r="27" ht="20" customHeight="1">
      <c r="B27" s="8" t="n">
        <v>23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34">
        <f>IFERROR(SUM(E27:J27),"")</f>
        <v/>
      </c>
      <c r="L27" s="10" t="n"/>
    </row>
    <row r="28" ht="20" customHeight="1">
      <c r="B28" s="16" t="n">
        <v>24</v>
      </c>
      <c r="C28" s="17" t="n"/>
      <c r="D28" s="17" t="n"/>
      <c r="E28" s="17" t="n"/>
      <c r="F28" s="17" t="n"/>
      <c r="G28" s="17" t="n"/>
      <c r="H28" s="17" t="n"/>
      <c r="I28" s="17" t="n"/>
      <c r="J28" s="17" t="n"/>
      <c r="K28" s="33">
        <f>IFERROR(SUM(E28:J28),"")</f>
        <v/>
      </c>
      <c r="L28" s="17" t="n"/>
    </row>
    <row r="29" ht="20" customHeight="1">
      <c r="B29" s="8" t="n">
        <v>25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34">
        <f>IFERROR(SUM(E29:J29),"")</f>
        <v/>
      </c>
      <c r="L29" s="10" t="n"/>
    </row>
    <row r="30" ht="20" customHeight="1">
      <c r="B30" s="16" t="n">
        <v>26</v>
      </c>
      <c r="C30" s="17" t="n"/>
      <c r="D30" s="17" t="n"/>
      <c r="E30" s="17" t="n"/>
      <c r="F30" s="17" t="n"/>
      <c r="G30" s="17" t="n"/>
      <c r="H30" s="17" t="n"/>
      <c r="I30" s="17" t="n"/>
      <c r="J30" s="17" t="n"/>
      <c r="K30" s="33">
        <f>IFERROR(SUM(E30:J30),"")</f>
        <v/>
      </c>
      <c r="L30" s="17" t="n"/>
    </row>
    <row r="31" ht="20" customHeight="1">
      <c r="B31" s="8" t="n">
        <v>27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34">
        <f>IFERROR(SUM(E31:J31),"")</f>
        <v/>
      </c>
      <c r="L31" s="10" t="n"/>
    </row>
    <row r="32" ht="20" customHeight="1">
      <c r="B32" s="16" t="n">
        <v>28</v>
      </c>
      <c r="C32" s="17" t="n"/>
      <c r="D32" s="17" t="n"/>
      <c r="E32" s="17" t="n"/>
      <c r="F32" s="17" t="n"/>
      <c r="G32" s="17" t="n"/>
      <c r="H32" s="17" t="n"/>
      <c r="I32" s="17" t="n"/>
      <c r="J32" s="17" t="n"/>
      <c r="K32" s="33">
        <f>IFERROR(SUM(E32:J32),"")</f>
        <v/>
      </c>
      <c r="L32" s="17" t="n"/>
    </row>
    <row r="33" ht="20" customHeight="1">
      <c r="B33" s="8" t="n">
        <v>29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34">
        <f>IFERROR(SUM(E33:J33),"")</f>
        <v/>
      </c>
      <c r="L33" s="10" t="n"/>
    </row>
    <row r="34" ht="20" customHeight="1">
      <c r="B34" s="16" t="n">
        <v>30</v>
      </c>
      <c r="C34" s="17" t="n"/>
      <c r="D34" s="17" t="n"/>
      <c r="E34" s="17" t="n"/>
      <c r="F34" s="17" t="n"/>
      <c r="G34" s="17" t="n"/>
      <c r="H34" s="17" t="n"/>
      <c r="I34" s="17" t="n"/>
      <c r="J34" s="17" t="n"/>
      <c r="K34" s="33">
        <f>IFERROR(SUM(E34:J34),"")</f>
        <v/>
      </c>
      <c r="L34" s="17" t="n"/>
    </row>
    <row r="35" ht="20" customHeight="1">
      <c r="B35" s="18" t="inlineStr">
        <is>
          <t>Max Marks</t>
        </is>
      </c>
      <c r="E35" s="19" t="n">
        <v>25</v>
      </c>
      <c r="F35" s="19" t="n">
        <v>25</v>
      </c>
      <c r="G35" s="19" t="n">
        <v>25</v>
      </c>
      <c r="H35" s="19" t="n">
        <v>10</v>
      </c>
      <c r="I35" s="19" t="n">
        <v>10</v>
      </c>
      <c r="J35" s="19" t="n">
        <v>20</v>
      </c>
      <c r="K35" s="19" t="n">
        <v>115</v>
      </c>
    </row>
    <row r="36">
      <c r="B36" s="18" t="inlineStr">
        <is>
          <t>Class Average</t>
        </is>
      </c>
      <c r="E36" s="31">
        <f>IFERROR(ROUND(AVERAGE(E5:E34),2),"")</f>
        <v/>
      </c>
      <c r="F36" s="31">
        <f>IFERROR(ROUND(AVERAGE(F5:F34),2),"")</f>
        <v/>
      </c>
      <c r="G36" s="31">
        <f>IFERROR(ROUND(AVERAGE(G5:G34),2),"")</f>
        <v/>
      </c>
      <c r="H36" s="31">
        <f>IFERROR(ROUND(AVERAGE(H5:H34),2),"")</f>
        <v/>
      </c>
      <c r="I36" s="31">
        <f>IFERROR(ROUND(AVERAGE(I5:I34),2),"")</f>
        <v/>
      </c>
      <c r="J36" s="31">
        <f>IFERROR(ROUND(AVERAGE(J5:J34),2),"")</f>
        <v/>
      </c>
      <c r="K36" s="31">
        <f>IFERROR(ROUND(AVERAGE(K5:K34),2),"")</f>
        <v/>
      </c>
    </row>
  </sheetData>
  <mergeCells count="4">
    <mergeCell ref="B3:M3"/>
    <mergeCell ref="B36:C36"/>
    <mergeCell ref="B2:M2"/>
    <mergeCell ref="B35:C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" customWidth="1" min="12" max="12"/>
  </cols>
  <sheetData>
    <row r="1" ht="10" customHeight="1"/>
    <row r="2" ht="40" customHeight="1">
      <c r="B2" s="13" t="inlineStr">
        <is>
          <t>F-04: SEMESTER END EXAMINATION (SEE) MARKS &amp; ANALYSIS</t>
        </is>
      </c>
    </row>
    <row r="3" ht="25" customHeight="1">
      <c r="B3" s="14" t="inlineStr">
        <is>
          <t>Course: ___________________  Code: _______  Faculty: ___________________  Sem: _______  A.Y.: _______</t>
        </is>
      </c>
    </row>
    <row r="4" ht="30" customHeight="1">
      <c r="B4" s="35" t="inlineStr">
        <is>
          <t>Sl.No.</t>
        </is>
      </c>
      <c r="C4" s="35" t="inlineStr">
        <is>
          <t>Student Name</t>
        </is>
      </c>
      <c r="D4" s="35" t="inlineStr">
        <is>
          <t>USN</t>
        </is>
      </c>
      <c r="E4" s="35" t="inlineStr">
        <is>
          <t>SEE Marks
(100)</t>
        </is>
      </c>
      <c r="F4" s="35" t="inlineStr">
        <is>
          <t>CO1 Marks</t>
        </is>
      </c>
      <c r="G4" s="35" t="inlineStr">
        <is>
          <t>CO2 Marks</t>
        </is>
      </c>
      <c r="H4" s="35" t="inlineStr">
        <is>
          <t>CO3 Marks</t>
        </is>
      </c>
      <c r="I4" s="35" t="inlineStr">
        <is>
          <t>CO4 Marks</t>
        </is>
      </c>
      <c r="J4" s="35" t="inlineStr">
        <is>
          <t>CO5 Marks</t>
        </is>
      </c>
      <c r="K4" s="35" t="inlineStr">
        <is>
          <t>Grade</t>
        </is>
      </c>
    </row>
    <row r="5" ht="20" customHeight="1">
      <c r="B5" s="8" t="n">
        <v>1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>
        <f>IFERROR(IF(E5&gt;=90,"O",IF(E5&gt;=80,"A+",IF(E5&gt;=70,"A",IF(E5&gt;=60,"B+",IF(E5&gt;=50,"B",IF(E5&gt;=40,"C","F")))))),"")</f>
        <v/>
      </c>
    </row>
    <row r="6" ht="20" customHeight="1">
      <c r="B6" s="33" t="n">
        <v>2</v>
      </c>
      <c r="C6" s="36" t="n"/>
      <c r="D6" s="36" t="n"/>
      <c r="E6" s="36" t="n"/>
      <c r="F6" s="36" t="n"/>
      <c r="G6" s="36" t="n"/>
      <c r="H6" s="36" t="n"/>
      <c r="I6" s="36" t="n"/>
      <c r="J6" s="36" t="n"/>
      <c r="K6" s="37">
        <f>IFERROR(IF(E6&gt;=90,"O",IF(E6&gt;=80,"A+",IF(E6&gt;=70,"A",IF(E6&gt;=60,"B+",IF(E6&gt;=50,"B",IF(E6&gt;=40,"C","F")))))),"")</f>
        <v/>
      </c>
    </row>
    <row r="7" ht="20" customHeight="1">
      <c r="B7" s="8" t="n">
        <v>3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>
        <f>IFERROR(IF(E7&gt;=90,"O",IF(E7&gt;=80,"A+",IF(E7&gt;=70,"A",IF(E7&gt;=60,"B+",IF(E7&gt;=50,"B",IF(E7&gt;=40,"C","F")))))),"")</f>
        <v/>
      </c>
    </row>
    <row r="8" ht="20" customHeight="1">
      <c r="B8" s="33" t="n">
        <v>4</v>
      </c>
      <c r="C8" s="36" t="n"/>
      <c r="D8" s="36" t="n"/>
      <c r="E8" s="36" t="n"/>
      <c r="F8" s="36" t="n"/>
      <c r="G8" s="36" t="n"/>
      <c r="H8" s="36" t="n"/>
      <c r="I8" s="36" t="n"/>
      <c r="J8" s="36" t="n"/>
      <c r="K8" s="37">
        <f>IFERROR(IF(E8&gt;=90,"O",IF(E8&gt;=80,"A+",IF(E8&gt;=70,"A",IF(E8&gt;=60,"B+",IF(E8&gt;=50,"B",IF(E8&gt;=40,"C","F")))))),"")</f>
        <v/>
      </c>
    </row>
    <row r="9" ht="20" customHeight="1">
      <c r="B9" s="8" t="n">
        <v>5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>
        <f>IFERROR(IF(E9&gt;=90,"O",IF(E9&gt;=80,"A+",IF(E9&gt;=70,"A",IF(E9&gt;=60,"B+",IF(E9&gt;=50,"B",IF(E9&gt;=40,"C","F")))))),"")</f>
        <v/>
      </c>
    </row>
    <row r="10" ht="20" customHeight="1">
      <c r="B10" s="33" t="n">
        <v>6</v>
      </c>
      <c r="C10" s="36" t="n"/>
      <c r="D10" s="36" t="n"/>
      <c r="E10" s="36" t="n"/>
      <c r="F10" s="36" t="n"/>
      <c r="G10" s="36" t="n"/>
      <c r="H10" s="36" t="n"/>
      <c r="I10" s="36" t="n"/>
      <c r="J10" s="36" t="n"/>
      <c r="K10" s="37">
        <f>IFERROR(IF(E10&gt;=90,"O",IF(E10&gt;=80,"A+",IF(E10&gt;=70,"A",IF(E10&gt;=60,"B+",IF(E10&gt;=50,"B",IF(E10&gt;=40,"C","F")))))),"")</f>
        <v/>
      </c>
    </row>
    <row r="11" ht="20" customHeight="1">
      <c r="B11" s="8" t="n">
        <v>7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>
        <f>IFERROR(IF(E11&gt;=90,"O",IF(E11&gt;=80,"A+",IF(E11&gt;=70,"A",IF(E11&gt;=60,"B+",IF(E11&gt;=50,"B",IF(E11&gt;=40,"C","F")))))),"")</f>
        <v/>
      </c>
    </row>
    <row r="12" ht="20" customHeight="1">
      <c r="B12" s="33" t="n">
        <v>8</v>
      </c>
      <c r="C12" s="36" t="n"/>
      <c r="D12" s="36" t="n"/>
      <c r="E12" s="36" t="n"/>
      <c r="F12" s="36" t="n"/>
      <c r="G12" s="36" t="n"/>
      <c r="H12" s="36" t="n"/>
      <c r="I12" s="36" t="n"/>
      <c r="J12" s="36" t="n"/>
      <c r="K12" s="37">
        <f>IFERROR(IF(E12&gt;=90,"O",IF(E12&gt;=80,"A+",IF(E12&gt;=70,"A",IF(E12&gt;=60,"B+",IF(E12&gt;=50,"B",IF(E12&gt;=40,"C","F")))))),"")</f>
        <v/>
      </c>
    </row>
    <row r="13" ht="20" customHeight="1">
      <c r="B13" s="8" t="n">
        <v>9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>
        <f>IFERROR(IF(E13&gt;=90,"O",IF(E13&gt;=80,"A+",IF(E13&gt;=70,"A",IF(E13&gt;=60,"B+",IF(E13&gt;=50,"B",IF(E13&gt;=40,"C","F")))))),"")</f>
        <v/>
      </c>
    </row>
    <row r="14" ht="20" customHeight="1">
      <c r="B14" s="33" t="n">
        <v>10</v>
      </c>
      <c r="C14" s="36" t="n"/>
      <c r="D14" s="36" t="n"/>
      <c r="E14" s="36" t="n"/>
      <c r="F14" s="36" t="n"/>
      <c r="G14" s="36" t="n"/>
      <c r="H14" s="36" t="n"/>
      <c r="I14" s="36" t="n"/>
      <c r="J14" s="36" t="n"/>
      <c r="K14" s="37">
        <f>IFERROR(IF(E14&gt;=90,"O",IF(E14&gt;=80,"A+",IF(E14&gt;=70,"A",IF(E14&gt;=60,"B+",IF(E14&gt;=50,"B",IF(E14&gt;=40,"C","F")))))),"")</f>
        <v/>
      </c>
    </row>
    <row r="15" ht="20" customHeight="1">
      <c r="B15" s="8" t="n">
        <v>11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>
        <f>IFERROR(IF(E15&gt;=90,"O",IF(E15&gt;=80,"A+",IF(E15&gt;=70,"A",IF(E15&gt;=60,"B+",IF(E15&gt;=50,"B",IF(E15&gt;=40,"C","F")))))),"")</f>
        <v/>
      </c>
    </row>
    <row r="16" ht="20" customHeight="1">
      <c r="B16" s="33" t="n">
        <v>12</v>
      </c>
      <c r="C16" s="36" t="n"/>
      <c r="D16" s="36" t="n"/>
      <c r="E16" s="36" t="n"/>
      <c r="F16" s="36" t="n"/>
      <c r="G16" s="36" t="n"/>
      <c r="H16" s="36" t="n"/>
      <c r="I16" s="36" t="n"/>
      <c r="J16" s="36" t="n"/>
      <c r="K16" s="37">
        <f>IFERROR(IF(E16&gt;=90,"O",IF(E16&gt;=80,"A+",IF(E16&gt;=70,"A",IF(E16&gt;=60,"B+",IF(E16&gt;=50,"B",IF(E16&gt;=40,"C","F")))))),"")</f>
        <v/>
      </c>
    </row>
    <row r="17" ht="20" customHeight="1">
      <c r="B17" s="8" t="n">
        <v>13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>
        <f>IFERROR(IF(E17&gt;=90,"O",IF(E17&gt;=80,"A+",IF(E17&gt;=70,"A",IF(E17&gt;=60,"B+",IF(E17&gt;=50,"B",IF(E17&gt;=40,"C","F")))))),"")</f>
        <v/>
      </c>
    </row>
    <row r="18" ht="20" customHeight="1">
      <c r="B18" s="33" t="n">
        <v>14</v>
      </c>
      <c r="C18" s="36" t="n"/>
      <c r="D18" s="36" t="n"/>
      <c r="E18" s="36" t="n"/>
      <c r="F18" s="36" t="n"/>
      <c r="G18" s="36" t="n"/>
      <c r="H18" s="36" t="n"/>
      <c r="I18" s="36" t="n"/>
      <c r="J18" s="36" t="n"/>
      <c r="K18" s="37">
        <f>IFERROR(IF(E18&gt;=90,"O",IF(E18&gt;=80,"A+",IF(E18&gt;=70,"A",IF(E18&gt;=60,"B+",IF(E18&gt;=50,"B",IF(E18&gt;=40,"C","F")))))),"")</f>
        <v/>
      </c>
    </row>
    <row r="19" ht="20" customHeight="1">
      <c r="B19" s="8" t="n">
        <v>15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>
        <f>IFERROR(IF(E19&gt;=90,"O",IF(E19&gt;=80,"A+",IF(E19&gt;=70,"A",IF(E19&gt;=60,"B+",IF(E19&gt;=50,"B",IF(E19&gt;=40,"C","F")))))),"")</f>
        <v/>
      </c>
    </row>
    <row r="20" ht="20" customHeight="1">
      <c r="B20" s="33" t="n">
        <v>16</v>
      </c>
      <c r="C20" s="36" t="n"/>
      <c r="D20" s="36" t="n"/>
      <c r="E20" s="36" t="n"/>
      <c r="F20" s="36" t="n"/>
      <c r="G20" s="36" t="n"/>
      <c r="H20" s="36" t="n"/>
      <c r="I20" s="36" t="n"/>
      <c r="J20" s="36" t="n"/>
      <c r="K20" s="37">
        <f>IFERROR(IF(E20&gt;=90,"O",IF(E20&gt;=80,"A+",IF(E20&gt;=70,"A",IF(E20&gt;=60,"B+",IF(E20&gt;=50,"B",IF(E20&gt;=40,"C","F")))))),"")</f>
        <v/>
      </c>
    </row>
    <row r="21" ht="20" customHeight="1">
      <c r="B21" s="8" t="n">
        <v>17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>
        <f>IFERROR(IF(E21&gt;=90,"O",IF(E21&gt;=80,"A+",IF(E21&gt;=70,"A",IF(E21&gt;=60,"B+",IF(E21&gt;=50,"B",IF(E21&gt;=40,"C","F")))))),"")</f>
        <v/>
      </c>
    </row>
    <row r="22" ht="20" customHeight="1">
      <c r="B22" s="33" t="n">
        <v>18</v>
      </c>
      <c r="C22" s="36" t="n"/>
      <c r="D22" s="36" t="n"/>
      <c r="E22" s="36" t="n"/>
      <c r="F22" s="36" t="n"/>
      <c r="G22" s="36" t="n"/>
      <c r="H22" s="36" t="n"/>
      <c r="I22" s="36" t="n"/>
      <c r="J22" s="36" t="n"/>
      <c r="K22" s="37">
        <f>IFERROR(IF(E22&gt;=90,"O",IF(E22&gt;=80,"A+",IF(E22&gt;=70,"A",IF(E22&gt;=60,"B+",IF(E22&gt;=50,"B",IF(E22&gt;=40,"C","F")))))),"")</f>
        <v/>
      </c>
    </row>
    <row r="23" ht="20" customHeight="1">
      <c r="B23" s="8" t="n">
        <v>19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>
        <f>IFERROR(IF(E23&gt;=90,"O",IF(E23&gt;=80,"A+",IF(E23&gt;=70,"A",IF(E23&gt;=60,"B+",IF(E23&gt;=50,"B",IF(E23&gt;=40,"C","F")))))),"")</f>
        <v/>
      </c>
    </row>
    <row r="24" ht="20" customHeight="1">
      <c r="B24" s="33" t="n">
        <v>20</v>
      </c>
      <c r="C24" s="36" t="n"/>
      <c r="D24" s="36" t="n"/>
      <c r="E24" s="36" t="n"/>
      <c r="F24" s="36" t="n"/>
      <c r="G24" s="36" t="n"/>
      <c r="H24" s="36" t="n"/>
      <c r="I24" s="36" t="n"/>
      <c r="J24" s="36" t="n"/>
      <c r="K24" s="37">
        <f>IFERROR(IF(E24&gt;=90,"O",IF(E24&gt;=80,"A+",IF(E24&gt;=70,"A",IF(E24&gt;=60,"B+",IF(E24&gt;=50,"B",IF(E24&gt;=40,"C","F")))))),"")</f>
        <v/>
      </c>
    </row>
    <row r="25" ht="20" customHeight="1">
      <c r="B25" s="8" t="n">
        <v>21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>
        <f>IFERROR(IF(E25&gt;=90,"O",IF(E25&gt;=80,"A+",IF(E25&gt;=70,"A",IF(E25&gt;=60,"B+",IF(E25&gt;=50,"B",IF(E25&gt;=40,"C","F")))))),"")</f>
        <v/>
      </c>
    </row>
    <row r="26" ht="20" customHeight="1">
      <c r="B26" s="33" t="n">
        <v>22</v>
      </c>
      <c r="C26" s="36" t="n"/>
      <c r="D26" s="36" t="n"/>
      <c r="E26" s="36" t="n"/>
      <c r="F26" s="36" t="n"/>
      <c r="G26" s="36" t="n"/>
      <c r="H26" s="36" t="n"/>
      <c r="I26" s="36" t="n"/>
      <c r="J26" s="36" t="n"/>
      <c r="K26" s="37">
        <f>IFERROR(IF(E26&gt;=90,"O",IF(E26&gt;=80,"A+",IF(E26&gt;=70,"A",IF(E26&gt;=60,"B+",IF(E26&gt;=50,"B",IF(E26&gt;=40,"C","F")))))),"")</f>
        <v/>
      </c>
    </row>
    <row r="27" ht="20" customHeight="1">
      <c r="B27" s="8" t="n">
        <v>23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>
        <f>IFERROR(IF(E27&gt;=90,"O",IF(E27&gt;=80,"A+",IF(E27&gt;=70,"A",IF(E27&gt;=60,"B+",IF(E27&gt;=50,"B",IF(E27&gt;=40,"C","F")))))),"")</f>
        <v/>
      </c>
    </row>
    <row r="28" ht="20" customHeight="1">
      <c r="B28" s="33" t="n">
        <v>24</v>
      </c>
      <c r="C28" s="36" t="n"/>
      <c r="D28" s="36" t="n"/>
      <c r="E28" s="36" t="n"/>
      <c r="F28" s="36" t="n"/>
      <c r="G28" s="36" t="n"/>
      <c r="H28" s="36" t="n"/>
      <c r="I28" s="36" t="n"/>
      <c r="J28" s="36" t="n"/>
      <c r="K28" s="37">
        <f>IFERROR(IF(E28&gt;=90,"O",IF(E28&gt;=80,"A+",IF(E28&gt;=70,"A",IF(E28&gt;=60,"B+",IF(E28&gt;=50,"B",IF(E28&gt;=40,"C","F")))))),"")</f>
        <v/>
      </c>
    </row>
    <row r="29" ht="20" customHeight="1">
      <c r="B29" s="8" t="n">
        <v>25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>
        <f>IFERROR(IF(E29&gt;=90,"O",IF(E29&gt;=80,"A+",IF(E29&gt;=70,"A",IF(E29&gt;=60,"B+",IF(E29&gt;=50,"B",IF(E29&gt;=40,"C","F")))))),"")</f>
        <v/>
      </c>
    </row>
    <row r="30" ht="20" customHeight="1">
      <c r="B30" s="33" t="n">
        <v>26</v>
      </c>
      <c r="C30" s="36" t="n"/>
      <c r="D30" s="36" t="n"/>
      <c r="E30" s="36" t="n"/>
      <c r="F30" s="36" t="n"/>
      <c r="G30" s="36" t="n"/>
      <c r="H30" s="36" t="n"/>
      <c r="I30" s="36" t="n"/>
      <c r="J30" s="36" t="n"/>
      <c r="K30" s="37">
        <f>IFERROR(IF(E30&gt;=90,"O",IF(E30&gt;=80,"A+",IF(E30&gt;=70,"A",IF(E30&gt;=60,"B+",IF(E30&gt;=50,"B",IF(E30&gt;=40,"C","F")))))),"")</f>
        <v/>
      </c>
    </row>
    <row r="31" ht="20" customHeight="1">
      <c r="B31" s="8" t="n">
        <v>27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>
        <f>IFERROR(IF(E31&gt;=90,"O",IF(E31&gt;=80,"A+",IF(E31&gt;=70,"A",IF(E31&gt;=60,"B+",IF(E31&gt;=50,"B",IF(E31&gt;=40,"C","F")))))),"")</f>
        <v/>
      </c>
    </row>
    <row r="32" ht="20" customHeight="1">
      <c r="B32" s="33" t="n">
        <v>28</v>
      </c>
      <c r="C32" s="36" t="n"/>
      <c r="D32" s="36" t="n"/>
      <c r="E32" s="36" t="n"/>
      <c r="F32" s="36" t="n"/>
      <c r="G32" s="36" t="n"/>
      <c r="H32" s="36" t="n"/>
      <c r="I32" s="36" t="n"/>
      <c r="J32" s="36" t="n"/>
      <c r="K32" s="37">
        <f>IFERROR(IF(E32&gt;=90,"O",IF(E32&gt;=80,"A+",IF(E32&gt;=70,"A",IF(E32&gt;=60,"B+",IF(E32&gt;=50,"B",IF(E32&gt;=40,"C","F")))))),"")</f>
        <v/>
      </c>
    </row>
    <row r="33" ht="20" customHeight="1">
      <c r="B33" s="8" t="n">
        <v>29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>
        <f>IFERROR(IF(E33&gt;=90,"O",IF(E33&gt;=80,"A+",IF(E33&gt;=70,"A",IF(E33&gt;=60,"B+",IF(E33&gt;=50,"B",IF(E33&gt;=40,"C","F")))))),"")</f>
        <v/>
      </c>
    </row>
    <row r="34" ht="20" customHeight="1">
      <c r="B34" s="33" t="n">
        <v>30</v>
      </c>
      <c r="C34" s="36" t="n"/>
      <c r="D34" s="36" t="n"/>
      <c r="E34" s="36" t="n"/>
      <c r="F34" s="36" t="n"/>
      <c r="G34" s="36" t="n"/>
      <c r="H34" s="36" t="n"/>
      <c r="I34" s="36" t="n"/>
      <c r="J34" s="36" t="n"/>
      <c r="K34" s="37">
        <f>IFERROR(IF(E34&gt;=90,"O",IF(E34&gt;=80,"A+",IF(E34&gt;=70,"A",IF(E34&gt;=60,"B+",IF(E34&gt;=50,"B",IF(E34&gt;=40,"C","F")))))),"")</f>
        <v/>
      </c>
    </row>
    <row r="35" ht="20" customHeight="1"/>
    <row r="36" ht="20" customHeight="1">
      <c r="B36" s="38" t="inlineStr">
        <is>
          <t>RESULT ANALYSIS</t>
        </is>
      </c>
    </row>
    <row r="37" ht="20" customHeight="1">
      <c r="B37" s="39" t="inlineStr">
        <is>
          <t>Pass Count</t>
        </is>
      </c>
      <c r="C37" s="40" t="n"/>
      <c r="D37" s="41" t="n"/>
      <c r="E37" s="42">
        <f>COUNTIF(E5:E34,"&gt;="&amp;40)</f>
        <v/>
      </c>
    </row>
    <row r="38" ht="20" customHeight="1">
      <c r="B38" s="39" t="inlineStr">
        <is>
          <t>Fail Count</t>
        </is>
      </c>
      <c r="C38" s="40" t="n"/>
      <c r="D38" s="41" t="n"/>
      <c r="E38" s="42">
        <f>COUNTIF(E5:E34,"&lt;"&amp;40)</f>
        <v/>
      </c>
    </row>
    <row r="39" ht="20" customHeight="1">
      <c r="B39" s="39" t="inlineStr">
        <is>
          <t>Pass %</t>
        </is>
      </c>
      <c r="C39" s="40" t="n"/>
      <c r="D39" s="41" t="n"/>
      <c r="E39" s="42">
        <f>IFERROR(ROUND(B37/COUNT(E5:E34)*100,1),"")</f>
        <v/>
      </c>
    </row>
    <row r="40">
      <c r="B40" s="39" t="inlineStr">
        <is>
          <t>Class Average</t>
        </is>
      </c>
      <c r="C40" s="40" t="n"/>
      <c r="D40" s="41" t="n"/>
      <c r="E40" s="42">
        <f>IFERROR(ROUND(AVERAGE(E5:E34),1),"")</f>
        <v/>
      </c>
    </row>
    <row r="41">
      <c r="B41" s="39" t="inlineStr">
        <is>
          <t>Highest</t>
        </is>
      </c>
      <c r="C41" s="40" t="n"/>
      <c r="D41" s="41" t="n"/>
      <c r="E41" s="42">
        <f>IFERROR(MAX(E5:E34),"")</f>
        <v/>
      </c>
    </row>
    <row r="42">
      <c r="B42" s="39" t="inlineStr">
        <is>
          <t>Lowest</t>
        </is>
      </c>
      <c r="C42" s="40" t="n"/>
      <c r="D42" s="41" t="n"/>
      <c r="E42" s="42">
        <f>IFERROR(MIN(E5:E34),"")</f>
        <v/>
      </c>
    </row>
  </sheetData>
  <mergeCells count="9">
    <mergeCell ref="B42:D42"/>
    <mergeCell ref="B37:D37"/>
    <mergeCell ref="B41:D41"/>
    <mergeCell ref="B40:D40"/>
    <mergeCell ref="B2:K2"/>
    <mergeCell ref="B39:D39"/>
    <mergeCell ref="B38:D38"/>
    <mergeCell ref="B3:K3"/>
    <mergeCell ref="B36:K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" customWidth="1" min="10" max="10"/>
  </cols>
  <sheetData>
    <row r="1" ht="10" customHeight="1"/>
    <row r="2" ht="40" customHeight="1">
      <c r="B2" s="13" t="inlineStr">
        <is>
          <t>F-05: COURSE EXIT SURVEY — STUDENT FEEDBACK</t>
        </is>
      </c>
    </row>
    <row r="3" ht="25" customHeight="1">
      <c r="B3" s="14" t="inlineStr">
        <is>
          <t>Course: ___________________  Faculty: ___________________  Section: _______  Date: _______</t>
        </is>
      </c>
    </row>
    <row r="4" ht="25" customHeight="1">
      <c r="B4" s="43" t="inlineStr">
        <is>
          <t>Rating Scale: 1 = Strongly Disagree  |  2 = Disagree  |  3 = Neutral  |  4 = Agree  |  5 = Strongly Agree</t>
        </is>
      </c>
    </row>
    <row r="5" ht="25" customHeight="1">
      <c r="B5" s="44" t="inlineStr">
        <is>
          <t>Q.No.</t>
        </is>
      </c>
      <c r="C5" s="44" t="inlineStr">
        <is>
          <t>Survey Question (CO-Mapped)</t>
        </is>
      </c>
      <c r="D5" s="44" t="inlineStr">
        <is>
          <t>CO
Mapped</t>
        </is>
      </c>
      <c r="E5" s="44" t="inlineStr">
        <is>
          <t>Total
Resp.</t>
        </is>
      </c>
      <c r="F5" s="44" t="inlineStr">
        <is>
          <t>Avg
Rating</t>
        </is>
      </c>
      <c r="G5" s="44" t="inlineStr">
        <is>
          <t>SD</t>
        </is>
      </c>
      <c r="H5" s="44" t="inlineStr">
        <is>
          <t>Attainment
(Avg/5×100)</t>
        </is>
      </c>
      <c r="I5" s="44" t="inlineStr">
        <is>
          <t>Remarks</t>
        </is>
      </c>
    </row>
    <row r="6" ht="22" customHeight="1">
      <c r="B6" s="16" t="inlineStr">
        <is>
          <t>Q1</t>
        </is>
      </c>
      <c r="C6" s="45" t="inlineStr">
        <is>
          <t>The course objectives were clearly communicated at the start.</t>
        </is>
      </c>
      <c r="D6" s="17" t="inlineStr">
        <is>
          <t>CO1</t>
        </is>
      </c>
      <c r="E6" s="17" t="inlineStr"/>
      <c r="F6" s="17" t="inlineStr"/>
      <c r="G6" s="17" t="inlineStr"/>
      <c r="H6" s="36">
        <f>IFERROR(ROUND(F6/5*100,1),"")</f>
        <v/>
      </c>
      <c r="I6" s="45" t="inlineStr"/>
    </row>
    <row r="7" ht="22" customHeight="1">
      <c r="B7" s="8" t="inlineStr">
        <is>
          <t>Q2</t>
        </is>
      </c>
      <c r="C7" s="9" t="inlineStr">
        <is>
          <t>The teaching methodology helped me understand course concepts.</t>
        </is>
      </c>
      <c r="D7" s="10" t="inlineStr">
        <is>
          <t>CO1</t>
        </is>
      </c>
      <c r="E7" s="10" t="inlineStr"/>
      <c r="F7" s="10" t="inlineStr"/>
      <c r="G7" s="10" t="inlineStr"/>
      <c r="H7" s="46">
        <f>IFERROR(ROUND(F7/5*100,1),"")</f>
        <v/>
      </c>
      <c r="I7" s="9" t="inlineStr"/>
    </row>
    <row r="8" ht="22" customHeight="1">
      <c r="B8" s="16" t="inlineStr">
        <is>
          <t>Q3</t>
        </is>
      </c>
      <c r="C8" s="45" t="inlineStr">
        <is>
          <t>I am able to apply the concepts learned to solve problems.</t>
        </is>
      </c>
      <c r="D8" s="17" t="inlineStr">
        <is>
          <t>CO2</t>
        </is>
      </c>
      <c r="E8" s="17" t="inlineStr"/>
      <c r="F8" s="17" t="inlineStr"/>
      <c r="G8" s="17" t="inlineStr"/>
      <c r="H8" s="36">
        <f>IFERROR(ROUND(F8/5*100,1),"")</f>
        <v/>
      </c>
      <c r="I8" s="45" t="inlineStr"/>
    </row>
    <row r="9" ht="22" customHeight="1">
      <c r="B9" s="8" t="inlineStr">
        <is>
          <t>Q4</t>
        </is>
      </c>
      <c r="C9" s="9" t="inlineStr">
        <is>
          <t>The assignments and lab work enhanced my understanding.</t>
        </is>
      </c>
      <c r="D9" s="10" t="inlineStr">
        <is>
          <t>CO3</t>
        </is>
      </c>
      <c r="E9" s="10" t="inlineStr"/>
      <c r="F9" s="10" t="inlineStr"/>
      <c r="G9" s="10" t="inlineStr"/>
      <c r="H9" s="46">
        <f>IFERROR(ROUND(F9/5*100,1),"")</f>
        <v/>
      </c>
      <c r="I9" s="9" t="inlineStr"/>
    </row>
    <row r="10" ht="22" customHeight="1">
      <c r="B10" s="16" t="inlineStr">
        <is>
          <t>Q5</t>
        </is>
      </c>
      <c r="C10" s="45" t="inlineStr">
        <is>
          <t>I can relate the course content to real-world applications.</t>
        </is>
      </c>
      <c r="D10" s="17" t="inlineStr">
        <is>
          <t>CO3</t>
        </is>
      </c>
      <c r="E10" s="17" t="inlineStr"/>
      <c r="F10" s="17" t="inlineStr"/>
      <c r="G10" s="17" t="inlineStr"/>
      <c r="H10" s="36">
        <f>IFERROR(ROUND(F10/5*100,1),"")</f>
        <v/>
      </c>
      <c r="I10" s="45" t="inlineStr"/>
    </row>
    <row r="11" ht="22" customHeight="1">
      <c r="B11" s="8" t="inlineStr">
        <is>
          <t>Q6</t>
        </is>
      </c>
      <c r="C11" s="9" t="inlineStr">
        <is>
          <t>The assessment methods were fair and aligned with learning.</t>
        </is>
      </c>
      <c r="D11" s="10" t="inlineStr">
        <is>
          <t>CO4</t>
        </is>
      </c>
      <c r="E11" s="10" t="inlineStr"/>
      <c r="F11" s="10" t="inlineStr"/>
      <c r="G11" s="10" t="inlineStr"/>
      <c r="H11" s="46">
        <f>IFERROR(ROUND(F11/5*100,1),"")</f>
        <v/>
      </c>
      <c r="I11" s="9" t="inlineStr"/>
    </row>
    <row r="12" ht="22" customHeight="1">
      <c r="B12" s="16" t="inlineStr">
        <is>
          <t>Q7</t>
        </is>
      </c>
      <c r="C12" s="45" t="inlineStr">
        <is>
          <t>Overall, I have achieved the expected learning outcomes.</t>
        </is>
      </c>
      <c r="D12" s="17" t="inlineStr">
        <is>
          <t>CO5</t>
        </is>
      </c>
      <c r="E12" s="17" t="inlineStr"/>
      <c r="F12" s="17" t="inlineStr"/>
      <c r="G12" s="17" t="inlineStr"/>
      <c r="H12" s="36">
        <f>IFERROR(ROUND(F12/5*100,1),"")</f>
        <v/>
      </c>
      <c r="I12" s="45" t="inlineStr"/>
    </row>
    <row r="13" ht="22" customHeight="1"/>
    <row r="14" ht="22" customHeight="1">
      <c r="B14" s="47" t="inlineStr">
        <is>
          <t>SUMMARY</t>
        </is>
      </c>
    </row>
    <row r="15" ht="22" customHeight="1">
      <c r="B15" s="48" t="inlineStr">
        <is>
          <t>Overall Average Attainment</t>
        </is>
      </c>
      <c r="F15" s="49">
        <f>IFERROR(ROUND(AVERAGE(H6:H12),1),"")</f>
        <v/>
      </c>
    </row>
    <row r="16" ht="22" customHeight="1">
      <c r="B16" s="48" t="inlineStr">
        <is>
          <t>No. of COs Meeting Target (≥60%)</t>
        </is>
      </c>
      <c r="F16" s="49">
        <f>IFERROR(COUNTIF(H6:H12,"&gt;="&amp;60),"")</f>
        <v/>
      </c>
    </row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</sheetData>
  <mergeCells count="6">
    <mergeCell ref="B2:I2"/>
    <mergeCell ref="B16:E16"/>
    <mergeCell ref="B15:E15"/>
    <mergeCell ref="B3:I3"/>
    <mergeCell ref="B14:I14"/>
    <mergeCell ref="B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" customWidth="1" min="10" max="10"/>
  </cols>
  <sheetData>
    <row r="1" ht="10" customHeight="1"/>
    <row r="2" ht="40" customHeight="1">
      <c r="B2" s="13" t="inlineStr">
        <is>
          <t>F-06: PROGRAM EXIT SURVEY — GRADUATE FEEDBACK</t>
        </is>
      </c>
    </row>
    <row r="3" ht="25" customHeight="1">
      <c r="B3" s="14" t="inlineStr">
        <is>
          <t>Programme: ___________________  Batch: _______  Date of Survey: _______</t>
        </is>
      </c>
    </row>
    <row r="4" ht="25" customHeight="1">
      <c r="B4" s="43" t="inlineStr">
        <is>
          <t>Rating Scale: 1 = Very Poor  |  2 = Poor  |  3 = Average  |  4 = Good  |  5 = Excellent</t>
        </is>
      </c>
    </row>
    <row r="5" ht="25" customHeight="1">
      <c r="B5" s="50" t="inlineStr">
        <is>
          <t>Q.No.</t>
        </is>
      </c>
      <c r="C5" s="50" t="inlineStr">
        <is>
          <t>Survey Question (PO-Mapped)</t>
        </is>
      </c>
      <c r="D5" s="50" t="inlineStr">
        <is>
          <t>PO
Mapped</t>
        </is>
      </c>
      <c r="E5" s="50" t="inlineStr">
        <is>
          <t>Total
Resp.</t>
        </is>
      </c>
      <c r="F5" s="50" t="inlineStr">
        <is>
          <t>Avg
Rating</t>
        </is>
      </c>
      <c r="G5" s="50" t="inlineStr">
        <is>
          <t>Attainment
(Avg/5×3)</t>
        </is>
      </c>
      <c r="H5" s="50" t="inlineStr">
        <is>
          <t>Target
(≥2)</t>
        </is>
      </c>
      <c r="I5" s="50" t="inlineStr">
        <is>
          <t>Met?
(Y/N)</t>
        </is>
      </c>
    </row>
    <row r="6" ht="22" customHeight="1">
      <c r="B6" s="51" t="inlineStr">
        <is>
          <t>Q1</t>
        </is>
      </c>
      <c r="C6" s="52" t="inlineStr">
        <is>
          <t>The program developed my engineering/technical knowledge.</t>
        </is>
      </c>
      <c r="D6" s="53" t="inlineStr">
        <is>
          <t>PO1</t>
        </is>
      </c>
      <c r="E6" s="53" t="inlineStr"/>
      <c r="F6" s="53" t="inlineStr"/>
      <c r="G6" s="51">
        <f>IFERROR(ROUND(F6/5*3,2),"")</f>
        <v/>
      </c>
      <c r="H6" s="53" t="n">
        <v>2</v>
      </c>
      <c r="I6" s="53">
        <f>IFERROR(IF(G6&gt;=H6,"Y","N"),"")</f>
        <v/>
      </c>
    </row>
    <row r="7" ht="22" customHeight="1">
      <c r="B7" s="8" t="inlineStr">
        <is>
          <t>Q2</t>
        </is>
      </c>
      <c r="C7" s="9" t="inlineStr">
        <is>
          <t>I can analyze and solve complex engineering problems.</t>
        </is>
      </c>
      <c r="D7" s="10" t="inlineStr">
        <is>
          <t>PO2</t>
        </is>
      </c>
      <c r="E7" s="10" t="inlineStr"/>
      <c r="F7" s="10" t="inlineStr"/>
      <c r="G7" s="51">
        <f>IFERROR(ROUND(F7/5*3,2),"")</f>
        <v/>
      </c>
      <c r="H7" s="10" t="n">
        <v>2</v>
      </c>
      <c r="I7" s="10">
        <f>IFERROR(IF(G7&gt;=H7,"Y","N"),"")</f>
        <v/>
      </c>
    </row>
    <row r="8" ht="22" customHeight="1">
      <c r="B8" s="51" t="inlineStr">
        <is>
          <t>Q3</t>
        </is>
      </c>
      <c r="C8" s="52" t="inlineStr">
        <is>
          <t>I can design solutions considering societal constraints.</t>
        </is>
      </c>
      <c r="D8" s="53" t="inlineStr">
        <is>
          <t>PO3</t>
        </is>
      </c>
      <c r="E8" s="53" t="inlineStr"/>
      <c r="F8" s="53" t="inlineStr"/>
      <c r="G8" s="51">
        <f>IFERROR(ROUND(F8/5*3,2),"")</f>
        <v/>
      </c>
      <c r="H8" s="53" t="n">
        <v>2</v>
      </c>
      <c r="I8" s="53">
        <f>IFERROR(IF(G8&gt;=H8,"Y","N"),"")</f>
        <v/>
      </c>
    </row>
    <row r="9" ht="22" customHeight="1">
      <c r="B9" s="8" t="inlineStr">
        <is>
          <t>Q4</t>
        </is>
      </c>
      <c r="C9" s="9" t="inlineStr">
        <is>
          <t>I can investigate problems using research-based knowledge.</t>
        </is>
      </c>
      <c r="D9" s="10" t="inlineStr">
        <is>
          <t>PO4</t>
        </is>
      </c>
      <c r="E9" s="10" t="inlineStr"/>
      <c r="F9" s="10" t="inlineStr"/>
      <c r="G9" s="51">
        <f>IFERROR(ROUND(F9/5*3,2),"")</f>
        <v/>
      </c>
      <c r="H9" s="10" t="n">
        <v>2</v>
      </c>
      <c r="I9" s="10">
        <f>IFERROR(IF(G9&gt;=H9,"Y","N"),"")</f>
        <v/>
      </c>
    </row>
    <row r="10" ht="22" customHeight="1">
      <c r="B10" s="51" t="inlineStr">
        <is>
          <t>Q5</t>
        </is>
      </c>
      <c r="C10" s="52" t="inlineStr">
        <is>
          <t>I am proficient in using modern engineering tools/software.</t>
        </is>
      </c>
      <c r="D10" s="53" t="inlineStr">
        <is>
          <t>PO5</t>
        </is>
      </c>
      <c r="E10" s="53" t="inlineStr"/>
      <c r="F10" s="53" t="inlineStr"/>
      <c r="G10" s="51">
        <f>IFERROR(ROUND(F10/5*3,2),"")</f>
        <v/>
      </c>
      <c r="H10" s="53" t="n">
        <v>2</v>
      </c>
      <c r="I10" s="53">
        <f>IFERROR(IF(G10&gt;=H10,"Y","N"),"")</f>
        <v/>
      </c>
    </row>
    <row r="11" ht="22" customHeight="1">
      <c r="B11" s="8" t="inlineStr">
        <is>
          <t>Q6</t>
        </is>
      </c>
      <c r="C11" s="9" t="inlineStr">
        <is>
          <t>I understand environmental and sustainability impacts.</t>
        </is>
      </c>
      <c r="D11" s="10" t="inlineStr">
        <is>
          <t>PO6</t>
        </is>
      </c>
      <c r="E11" s="10" t="inlineStr"/>
      <c r="F11" s="10" t="inlineStr"/>
      <c r="G11" s="51">
        <f>IFERROR(ROUND(F11/5*3,2),"")</f>
        <v/>
      </c>
      <c r="H11" s="10" t="n">
        <v>2</v>
      </c>
      <c r="I11" s="10">
        <f>IFERROR(IF(G11&gt;=H11,"Y","N"),"")</f>
        <v/>
      </c>
    </row>
    <row r="12" ht="22" customHeight="1">
      <c r="B12" s="51" t="inlineStr">
        <is>
          <t>Q7</t>
        </is>
      </c>
      <c r="C12" s="52" t="inlineStr">
        <is>
          <t>I adhere to professional ethics in my work.</t>
        </is>
      </c>
      <c r="D12" s="53" t="inlineStr">
        <is>
          <t>PO8</t>
        </is>
      </c>
      <c r="E12" s="53" t="inlineStr"/>
      <c r="F12" s="53" t="inlineStr"/>
      <c r="G12" s="51">
        <f>IFERROR(ROUND(F12/5*3,2),"")</f>
        <v/>
      </c>
      <c r="H12" s="53" t="n">
        <v>2</v>
      </c>
      <c r="I12" s="53">
        <f>IFERROR(IF(G12&gt;=H12,"Y","N"),"")</f>
        <v/>
      </c>
    </row>
    <row r="13" ht="22" customHeight="1">
      <c r="B13" s="8" t="inlineStr">
        <is>
          <t>Q8</t>
        </is>
      </c>
      <c r="C13" s="9" t="inlineStr">
        <is>
          <t>I can communicate effectively in team settings.</t>
        </is>
      </c>
      <c r="D13" s="10" t="inlineStr">
        <is>
          <t>PO9</t>
        </is>
      </c>
      <c r="E13" s="10" t="inlineStr"/>
      <c r="F13" s="10" t="inlineStr"/>
      <c r="G13" s="51">
        <f>IFERROR(ROUND(F13/5*3,2),"")</f>
        <v/>
      </c>
      <c r="H13" s="10" t="n">
        <v>2</v>
      </c>
      <c r="I13" s="10">
        <f>IFERROR(IF(G13&gt;=H13,"Y","N"),"")</f>
        <v/>
      </c>
    </row>
    <row r="14" ht="22" customHeight="1">
      <c r="B14" s="51" t="inlineStr">
        <is>
          <t>Q9</t>
        </is>
      </c>
      <c r="C14" s="52" t="inlineStr">
        <is>
          <t>I have developed project management skills.</t>
        </is>
      </c>
      <c r="D14" s="53" t="inlineStr">
        <is>
          <t>PO10</t>
        </is>
      </c>
      <c r="E14" s="53" t="inlineStr"/>
      <c r="F14" s="53" t="inlineStr"/>
      <c r="G14" s="51">
        <f>IFERROR(ROUND(F14/5*3,2),"")</f>
        <v/>
      </c>
      <c r="H14" s="53" t="n">
        <v>2</v>
      </c>
      <c r="I14" s="53">
        <f>IFERROR(IF(G14&gt;=H14,"Y","N"),"")</f>
        <v/>
      </c>
    </row>
    <row r="15" ht="22" customHeight="1">
      <c r="B15" s="8" t="inlineStr">
        <is>
          <t>Q10</t>
        </is>
      </c>
      <c r="C15" s="9" t="inlineStr">
        <is>
          <t>I engage in self-directed lifelong learning.</t>
        </is>
      </c>
      <c r="D15" s="10" t="inlineStr">
        <is>
          <t>PO12</t>
        </is>
      </c>
      <c r="E15" s="10" t="inlineStr"/>
      <c r="F15" s="10" t="inlineStr"/>
      <c r="G15" s="51">
        <f>IFERROR(ROUND(F15/5*3,2),"")</f>
        <v/>
      </c>
      <c r="H15" s="10" t="n">
        <v>2</v>
      </c>
      <c r="I15" s="10">
        <f>IFERROR(IF(G15&gt;=H15,"Y","N"),"")</f>
        <v/>
      </c>
    </row>
    <row r="16" ht="22" customHeight="1">
      <c r="B16" s="51" t="inlineStr">
        <is>
          <t>Q11</t>
        </is>
      </c>
      <c r="C16" s="52" t="inlineStr">
        <is>
          <t>The program prepared me for industry/higher studies.</t>
        </is>
      </c>
      <c r="D16" s="53" t="inlineStr">
        <is>
          <t>PSO1</t>
        </is>
      </c>
      <c r="E16" s="53" t="inlineStr"/>
      <c r="F16" s="53" t="inlineStr"/>
      <c r="G16" s="51">
        <f>IFERROR(ROUND(F16/5*3,2),"")</f>
        <v/>
      </c>
      <c r="H16" s="53" t="n">
        <v>2</v>
      </c>
      <c r="I16" s="53">
        <f>IFERROR(IF(G16&gt;=H16,"Y","N"),"")</f>
        <v/>
      </c>
    </row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</sheetData>
  <mergeCells count="3">
    <mergeCell ref="B3:I3"/>
    <mergeCell ref="B2:I2"/>
    <mergeCell ref="B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</cols>
  <sheetData>
    <row r="1" ht="10" customHeight="1"/>
    <row r="2" ht="40" customHeight="1">
      <c r="B2" s="13" t="inlineStr">
        <is>
          <t>F-07 &amp; F-08: EMPLOYER &amp; ALUMNI FEEDBACK FORM</t>
        </is>
      </c>
    </row>
    <row r="3" ht="25" customHeight="1">
      <c r="B3" s="14" t="inlineStr">
        <is>
          <t>Respondent Type: [ ] Employer  [ ] Alumni   Name/Org: ___________________  Date: _______</t>
        </is>
      </c>
    </row>
    <row r="4" ht="25" customHeight="1"/>
    <row r="5" ht="25" customHeight="1">
      <c r="B5" s="54" t="inlineStr">
        <is>
          <t>SECTION A — EMPLOYER FEEDBACK (F-07)</t>
        </is>
      </c>
    </row>
    <row r="6" ht="22" customHeight="1">
      <c r="B6" s="50" t="inlineStr">
        <is>
          <t>Q.No.</t>
        </is>
      </c>
      <c r="C6" s="50" t="inlineStr">
        <is>
          <t>Feedback Item (PO-Linked)</t>
        </is>
      </c>
      <c r="D6" s="50" t="inlineStr">
        <is>
          <t>PO
Linked</t>
        </is>
      </c>
      <c r="E6" s="50" t="inlineStr">
        <is>
          <t>Rating
(1-5)</t>
        </is>
      </c>
      <c r="F6" s="50" t="inlineStr">
        <is>
          <t>Importance
(H/M/L)</t>
        </is>
      </c>
      <c r="G6" s="50" t="inlineStr">
        <is>
          <t>Remarks</t>
        </is>
      </c>
    </row>
    <row r="7" ht="22" customHeight="1">
      <c r="B7" s="51" t="inlineStr">
        <is>
          <t>E1</t>
        </is>
      </c>
      <c r="C7" s="52" t="inlineStr">
        <is>
          <t>Technical competence of graduates</t>
        </is>
      </c>
      <c r="D7" s="53" t="inlineStr">
        <is>
          <t>PO1/PO2</t>
        </is>
      </c>
      <c r="E7" s="53" t="inlineStr"/>
      <c r="F7" s="53" t="inlineStr"/>
      <c r="G7" s="53" t="inlineStr"/>
    </row>
    <row r="8" ht="22" customHeight="1">
      <c r="B8" s="8" t="inlineStr">
        <is>
          <t>E2</t>
        </is>
      </c>
      <c r="C8" s="9" t="inlineStr">
        <is>
          <t>Problem-solving and analytical ability</t>
        </is>
      </c>
      <c r="D8" s="10" t="inlineStr">
        <is>
          <t>PO3/PO4</t>
        </is>
      </c>
      <c r="E8" s="10" t="inlineStr"/>
      <c r="F8" s="10" t="inlineStr"/>
      <c r="G8" s="10" t="inlineStr"/>
    </row>
    <row r="9" ht="22" customHeight="1">
      <c r="B9" s="51" t="inlineStr">
        <is>
          <t>E3</t>
        </is>
      </c>
      <c r="C9" s="52" t="inlineStr">
        <is>
          <t>Communication and presentation skills</t>
        </is>
      </c>
      <c r="D9" s="53" t="inlineStr">
        <is>
          <t>PO10</t>
        </is>
      </c>
      <c r="E9" s="53" t="inlineStr"/>
      <c r="F9" s="53" t="inlineStr"/>
      <c r="G9" s="53" t="inlineStr"/>
    </row>
    <row r="10" ht="22" customHeight="1">
      <c r="B10" s="8" t="inlineStr">
        <is>
          <t>E4</t>
        </is>
      </c>
      <c r="C10" s="9" t="inlineStr">
        <is>
          <t>Teamwork and leadership qualities</t>
        </is>
      </c>
      <c r="D10" s="10" t="inlineStr">
        <is>
          <t>PO9</t>
        </is>
      </c>
      <c r="E10" s="10" t="inlineStr"/>
      <c r="F10" s="10" t="inlineStr"/>
      <c r="G10" s="10" t="inlineStr"/>
    </row>
    <row r="11" ht="22" customHeight="1">
      <c r="B11" s="51" t="inlineStr">
        <is>
          <t>E5</t>
        </is>
      </c>
      <c r="C11" s="52" t="inlineStr">
        <is>
          <t>Professional ethics and conduct</t>
        </is>
      </c>
      <c r="D11" s="53" t="inlineStr">
        <is>
          <t>PO8</t>
        </is>
      </c>
      <c r="E11" s="53" t="inlineStr"/>
      <c r="F11" s="53" t="inlineStr"/>
      <c r="G11" s="53" t="inlineStr"/>
    </row>
    <row r="12" ht="22" customHeight="1">
      <c r="B12" s="8" t="inlineStr">
        <is>
          <t>E6</t>
        </is>
      </c>
      <c r="C12" s="9" t="inlineStr">
        <is>
          <t>Adaptability and learning agility</t>
        </is>
      </c>
      <c r="D12" s="10" t="inlineStr">
        <is>
          <t>PO12</t>
        </is>
      </c>
      <c r="E12" s="10" t="inlineStr"/>
      <c r="F12" s="10" t="inlineStr"/>
      <c r="G12" s="10" t="inlineStr"/>
    </row>
    <row r="13" ht="22" customHeight="1">
      <c r="B13" s="51" t="inlineStr">
        <is>
          <t>E7</t>
        </is>
      </c>
      <c r="C13" s="52" t="inlineStr">
        <is>
          <t>Overall readiness for industry</t>
        </is>
      </c>
      <c r="D13" s="53" t="inlineStr">
        <is>
          <t>PO1-PO12</t>
        </is>
      </c>
      <c r="E13" s="53" t="inlineStr"/>
      <c r="F13" s="53" t="inlineStr"/>
      <c r="G13" s="53" t="inlineStr"/>
    </row>
    <row r="14" ht="22" customHeight="1"/>
    <row r="15" ht="22" customHeight="1">
      <c r="B15" s="55" t="inlineStr">
        <is>
          <t>SECTION B — ALUMNI FEEDBACK (F-08)</t>
        </is>
      </c>
    </row>
    <row r="16" ht="22" customHeight="1">
      <c r="B16" s="24" t="inlineStr">
        <is>
          <t>Q.No.</t>
        </is>
      </c>
      <c r="C16" s="24" t="inlineStr">
        <is>
          <t>Feedback Item (PO-Linked)</t>
        </is>
      </c>
      <c r="D16" s="24" t="inlineStr">
        <is>
          <t>PO
Linked</t>
        </is>
      </c>
      <c r="E16" s="24" t="inlineStr">
        <is>
          <t>Rating
(1-5)</t>
        </is>
      </c>
      <c r="F16" s="24" t="inlineStr">
        <is>
          <t>Gap
Analysis</t>
        </is>
      </c>
      <c r="G16" s="24" t="inlineStr">
        <is>
          <t>Suggestions</t>
        </is>
      </c>
    </row>
    <row r="17" ht="22" customHeight="1">
      <c r="B17" s="16" t="inlineStr">
        <is>
          <t>A1</t>
        </is>
      </c>
      <c r="C17" s="45" t="inlineStr">
        <is>
          <t>Curriculum relevance to current industry needs</t>
        </is>
      </c>
      <c r="D17" s="17" t="inlineStr">
        <is>
          <t>PO1</t>
        </is>
      </c>
      <c r="E17" s="17" t="inlineStr"/>
      <c r="F17" s="17" t="inlineStr"/>
      <c r="G17" s="17" t="inlineStr"/>
    </row>
    <row r="18" ht="22" customHeight="1">
      <c r="B18" s="8" t="inlineStr">
        <is>
          <t>A2</t>
        </is>
      </c>
      <c r="C18" s="9" t="inlineStr">
        <is>
          <t>Quality of laboratory/practical training</t>
        </is>
      </c>
      <c r="D18" s="10" t="inlineStr">
        <is>
          <t>PO5</t>
        </is>
      </c>
      <c r="E18" s="10" t="inlineStr"/>
      <c r="F18" s="10" t="inlineStr"/>
      <c r="G18" s="10" t="inlineStr"/>
    </row>
    <row r="19" ht="22" customHeight="1">
      <c r="B19" s="16" t="inlineStr">
        <is>
          <t>A3</t>
        </is>
      </c>
      <c r="C19" s="45" t="inlineStr">
        <is>
          <t>Opportunities for research/innovation</t>
        </is>
      </c>
      <c r="D19" s="17" t="inlineStr">
        <is>
          <t>PO4</t>
        </is>
      </c>
      <c r="E19" s="17" t="inlineStr"/>
      <c r="F19" s="17" t="inlineStr"/>
      <c r="G19" s="17" t="inlineStr"/>
    </row>
    <row r="20" ht="22" customHeight="1">
      <c r="B20" s="8" t="inlineStr">
        <is>
          <t>A4</t>
        </is>
      </c>
      <c r="C20" s="9" t="inlineStr">
        <is>
          <t>Industry-institute interaction during study</t>
        </is>
      </c>
      <c r="D20" s="10" t="inlineStr">
        <is>
          <t>PO3</t>
        </is>
      </c>
      <c r="E20" s="10" t="inlineStr"/>
      <c r="F20" s="10" t="inlineStr"/>
      <c r="G20" s="10" t="inlineStr"/>
    </row>
    <row r="21" ht="22" customHeight="1">
      <c r="B21" s="16" t="inlineStr">
        <is>
          <t>A5</t>
        </is>
      </c>
      <c r="C21" s="45" t="inlineStr">
        <is>
          <t>Career guidance and placement support</t>
        </is>
      </c>
      <c r="D21" s="17" t="inlineStr">
        <is>
          <t>PO10</t>
        </is>
      </c>
      <c r="E21" s="17" t="inlineStr"/>
      <c r="F21" s="17" t="inlineStr"/>
      <c r="G21" s="17" t="inlineStr"/>
    </row>
    <row r="22" ht="22" customHeight="1">
      <c r="B22" s="8" t="inlineStr">
        <is>
          <t>A6</t>
        </is>
      </c>
      <c r="C22" s="9" t="inlineStr">
        <is>
          <t>Overall satisfaction with the program</t>
        </is>
      </c>
      <c r="D22" s="10" t="inlineStr">
        <is>
          <t>All POs</t>
        </is>
      </c>
      <c r="E22" s="10" t="inlineStr"/>
      <c r="F22" s="10" t="inlineStr"/>
      <c r="G22" s="10" t="inlineStr"/>
    </row>
    <row r="23" ht="22" customHeight="1">
      <c r="B23" s="16" t="inlineStr">
        <is>
          <t>A7</t>
        </is>
      </c>
      <c r="C23" s="45" t="inlineStr">
        <is>
          <t>Recommended improvements (open)</t>
        </is>
      </c>
      <c r="D23" s="17" t="inlineStr">
        <is>
          <t>—</t>
        </is>
      </c>
      <c r="E23" s="17" t="inlineStr"/>
      <c r="F23" s="17" t="inlineStr"/>
      <c r="G23" s="17" t="inlineStr"/>
    </row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</sheetData>
  <mergeCells count="4">
    <mergeCell ref="B3:H3"/>
    <mergeCell ref="B5:H5"/>
    <mergeCell ref="B2:H2"/>
    <mergeCell ref="B15:H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0" customHeight="1">
      <c r="B2" s="13" t="inlineStr">
        <is>
          <t>F-09: ENROLLMENT, GRADUATION &amp; PLACEMENT DATA</t>
        </is>
      </c>
    </row>
    <row r="3" ht="25" customHeight="1">
      <c r="B3" s="14" t="inlineStr">
        <is>
          <t>Programme: ___________________  Prepared by: ___________________</t>
        </is>
      </c>
    </row>
    <row r="4" ht="30" customHeight="1">
      <c r="B4" s="24" t="inlineStr">
        <is>
          <t>Metric</t>
        </is>
      </c>
      <c r="C4" s="24" t="inlineStr">
        <is>
          <t>CAY
(Current A.Y.)</t>
        </is>
      </c>
      <c r="D4" s="24" t="inlineStr">
        <is>
          <t>CAYm1
(A.Y. -1)</t>
        </is>
      </c>
      <c r="E4" s="24" t="inlineStr">
        <is>
          <t>CAYm2
(A.Y. -2)</t>
        </is>
      </c>
      <c r="F4" s="24" t="inlineStr">
        <is>
          <t>CAYm3
(A.Y. -3)</t>
        </is>
      </c>
      <c r="G4" s="24" t="inlineStr">
        <is>
          <t>5-Year
Average</t>
        </is>
      </c>
      <c r="H4" s="24" t="inlineStr">
        <is>
          <t>Remarks</t>
        </is>
      </c>
    </row>
    <row r="5" ht="22" customHeight="1">
      <c r="B5" s="27" t="inlineStr">
        <is>
          <t>Total Sanctioned Intake</t>
        </is>
      </c>
      <c r="C5" s="17" t="n"/>
      <c r="D5" s="17" t="n"/>
      <c r="E5" s="17" t="n"/>
      <c r="F5" s="17" t="n"/>
      <c r="G5" s="31">
        <f>IFERROR(ROUND(AVERAGE(C5:F5),1),"")</f>
        <v/>
      </c>
      <c r="H5" s="17" t="n"/>
    </row>
    <row r="6" ht="22" customHeight="1">
      <c r="B6" s="28" t="inlineStr">
        <is>
          <t>Students Admitted (Year 1)</t>
        </is>
      </c>
      <c r="C6" s="10" t="n"/>
      <c r="D6" s="10" t="n"/>
      <c r="E6" s="10" t="n"/>
      <c r="F6" s="10" t="n"/>
      <c r="G6" s="8">
        <f>IFERROR(ROUND(AVERAGE(C6:F6),1),"")</f>
        <v/>
      </c>
      <c r="H6" s="10" t="n"/>
    </row>
    <row r="7" ht="22" customHeight="1">
      <c r="B7" s="27" t="inlineStr">
        <is>
          <t>Lateral Entry Admissions</t>
        </is>
      </c>
      <c r="C7" s="17" t="n"/>
      <c r="D7" s="17" t="n"/>
      <c r="E7" s="17" t="n"/>
      <c r="F7" s="17" t="n"/>
      <c r="G7" s="31">
        <f>IFERROR(ROUND(AVERAGE(C7:F7),1),"")</f>
        <v/>
      </c>
      <c r="H7" s="17" t="n"/>
    </row>
    <row r="8" ht="22" customHeight="1">
      <c r="B8" s="28" t="inlineStr">
        <is>
          <t>Total Students on Roll</t>
        </is>
      </c>
      <c r="C8" s="10" t="n"/>
      <c r="D8" s="10" t="n"/>
      <c r="E8" s="10" t="n"/>
      <c r="F8" s="10" t="n"/>
      <c r="G8" s="8">
        <f>IFERROR(ROUND(AVERAGE(C8:F8),1),"")</f>
        <v/>
      </c>
      <c r="H8" s="10" t="n"/>
    </row>
    <row r="9" ht="22" customHeight="1">
      <c r="B9" s="27" t="inlineStr">
        <is>
          <t>Students Appeared for SEE</t>
        </is>
      </c>
      <c r="C9" s="17" t="n"/>
      <c r="D9" s="17" t="n"/>
      <c r="E9" s="17" t="n"/>
      <c r="F9" s="17" t="n"/>
      <c r="G9" s="31">
        <f>IFERROR(ROUND(AVERAGE(C9:F9),1),"")</f>
        <v/>
      </c>
      <c r="H9" s="17" t="n"/>
    </row>
    <row r="10" ht="22" customHeight="1">
      <c r="B10" s="28" t="inlineStr">
        <is>
          <t>Students Passed (All Clear)</t>
        </is>
      </c>
      <c r="C10" s="10" t="n"/>
      <c r="D10" s="10" t="n"/>
      <c r="E10" s="10" t="n"/>
      <c r="F10" s="10" t="n"/>
      <c r="G10" s="8">
        <f>IFERROR(ROUND(AVERAGE(C10:F10),1),"")</f>
        <v/>
      </c>
      <c r="H10" s="10" t="n"/>
    </row>
    <row r="11" ht="22" customHeight="1">
      <c r="B11" s="27" t="inlineStr">
        <is>
          <t>Pass Percentage</t>
        </is>
      </c>
      <c r="C11" s="17" t="n"/>
      <c r="D11" s="17" t="n"/>
      <c r="E11" s="17" t="n"/>
      <c r="F11" s="17" t="n"/>
      <c r="G11" s="31">
        <f>IFERROR(ROUND(AVERAGE(C11:F11),1),"")</f>
        <v/>
      </c>
      <c r="H11" s="17" t="n"/>
    </row>
    <row r="12" ht="22" customHeight="1">
      <c r="B12" s="28" t="inlineStr">
        <is>
          <t>Students Graduated (Final Year)</t>
        </is>
      </c>
      <c r="C12" s="10" t="n"/>
      <c r="D12" s="10" t="n"/>
      <c r="E12" s="10" t="n"/>
      <c r="F12" s="10" t="n"/>
      <c r="G12" s="8">
        <f>IFERROR(ROUND(AVERAGE(C12:F12),1),"")</f>
        <v/>
      </c>
      <c r="H12" s="10" t="n"/>
    </row>
    <row r="13" ht="22" customHeight="1">
      <c r="B13" s="27" t="inlineStr">
        <is>
          <t>Graduation Rate (%)</t>
        </is>
      </c>
      <c r="C13" s="17" t="n"/>
      <c r="D13" s="17" t="n"/>
      <c r="E13" s="17" t="n"/>
      <c r="F13" s="17" t="n"/>
      <c r="G13" s="31">
        <f>IFERROR(ROUND(AVERAGE(C13:F13),1),"")</f>
        <v/>
      </c>
      <c r="H13" s="17" t="n"/>
    </row>
    <row r="14" ht="22" customHeight="1">
      <c r="B14" s="28" t="inlineStr">
        <is>
          <t>Students Placed (Industry)</t>
        </is>
      </c>
      <c r="C14" s="10" t="n"/>
      <c r="D14" s="10" t="n"/>
      <c r="E14" s="10" t="n"/>
      <c r="F14" s="10" t="n"/>
      <c r="G14" s="8">
        <f>IFERROR(ROUND(AVERAGE(C14:F14),1),"")</f>
        <v/>
      </c>
      <c r="H14" s="10" t="n"/>
    </row>
    <row r="15" ht="22" customHeight="1">
      <c r="B15" s="27" t="inlineStr">
        <is>
          <t>Higher Studies (Enrolled)</t>
        </is>
      </c>
      <c r="C15" s="17" t="n"/>
      <c r="D15" s="17" t="n"/>
      <c r="E15" s="17" t="n"/>
      <c r="F15" s="17" t="n"/>
      <c r="G15" s="31">
        <f>IFERROR(ROUND(AVERAGE(C15:F15),1),"")</f>
        <v/>
      </c>
      <c r="H15" s="17" t="n"/>
    </row>
    <row r="16" ht="22" customHeight="1">
      <c r="B16" s="28" t="inlineStr">
        <is>
          <t>Entrepreneurship / Self-Employed</t>
        </is>
      </c>
      <c r="C16" s="10" t="n"/>
      <c r="D16" s="10" t="n"/>
      <c r="E16" s="10" t="n"/>
      <c r="F16" s="10" t="n"/>
      <c r="G16" s="8">
        <f>IFERROR(ROUND(AVERAGE(C16:F16),1),"")</f>
        <v/>
      </c>
      <c r="H16" s="10" t="n"/>
    </row>
    <row r="17" ht="22" customHeight="1">
      <c r="B17" s="27" t="inlineStr">
        <is>
          <t>Placement Rate (%)</t>
        </is>
      </c>
      <c r="C17" s="17" t="n"/>
      <c r="D17" s="17" t="n"/>
      <c r="E17" s="17" t="n"/>
      <c r="F17" s="17" t="n"/>
      <c r="G17" s="31">
        <f>IFERROR(ROUND(AVERAGE(C17:F17),1),"")</f>
        <v/>
      </c>
      <c r="H17" s="17" t="n"/>
    </row>
    <row r="18" ht="22" customHeight="1">
      <c r="B18" s="28" t="inlineStr">
        <is>
          <t>Average CTC (LPA)</t>
        </is>
      </c>
      <c r="C18" s="10" t="n"/>
      <c r="D18" s="10" t="n"/>
      <c r="E18" s="10" t="n"/>
      <c r="F18" s="10" t="n"/>
      <c r="G18" s="8">
        <f>IFERROR(ROUND(AVERAGE(C18:F18),1),"")</f>
        <v/>
      </c>
      <c r="H18" s="10" t="n"/>
    </row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</sheetData>
  <mergeCells count="2">
    <mergeCell ref="B3:I3"/>
    <mergeCell ref="B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20" customWidth="1" min="4" max="4"/>
    <col width="15" customWidth="1" min="5" max="5"/>
    <col width="15" customWidth="1" min="6" max="6"/>
    <col width="20" customWidth="1" min="7" max="7"/>
    <col width="3" customWidth="1" min="8" max="8"/>
  </cols>
  <sheetData>
    <row r="1" ht="10" customHeight="1"/>
    <row r="2" ht="40" customHeight="1">
      <c r="B2" s="13" t="inlineStr">
        <is>
          <t>F-10: PAC / OBE IMPLEMENTATION COMMITTEE — MEETING MINUTES</t>
        </is>
      </c>
    </row>
    <row r="3" ht="25" customHeight="1">
      <c r="B3" s="56" t="inlineStr">
        <is>
          <t>Meeting No.:</t>
        </is>
      </c>
      <c r="C3" s="9" t="inlineStr">
        <is>
          <t>____________</t>
        </is>
      </c>
      <c r="D3" s="56" t="inlineStr">
        <is>
          <t>Date:</t>
        </is>
      </c>
      <c r="E3" s="9" t="inlineStr">
        <is>
          <t>____________</t>
        </is>
      </c>
      <c r="F3" s="56" t="inlineStr">
        <is>
          <t>Venue:</t>
        </is>
      </c>
      <c r="G3" s="9" t="inlineStr">
        <is>
          <t>____________</t>
        </is>
      </c>
    </row>
    <row r="4" ht="22" customHeight="1">
      <c r="B4" s="56" t="inlineStr">
        <is>
          <t>Chairperson:</t>
        </is>
      </c>
      <c r="C4" s="9" t="inlineStr">
        <is>
          <t>____________</t>
        </is>
      </c>
      <c r="D4" s="56" t="inlineStr">
        <is>
          <t>Secretary:</t>
        </is>
      </c>
      <c r="E4" s="9" t="inlineStr">
        <is>
          <t>____________</t>
        </is>
      </c>
      <c r="F4" s="56" t="inlineStr">
        <is>
          <t>Meeting Type:</t>
        </is>
      </c>
      <c r="G4" s="9" t="inlineStr">
        <is>
          <t>____________</t>
        </is>
      </c>
    </row>
    <row r="5" ht="22" customHeight="1">
      <c r="B5" s="56" t="inlineStr">
        <is>
          <t>A.Y.:</t>
        </is>
      </c>
      <c r="C5" s="9" t="inlineStr">
        <is>
          <t>____________</t>
        </is>
      </c>
      <c r="D5" s="56" t="inlineStr">
        <is>
          <t>Semester:</t>
        </is>
      </c>
      <c r="E5" s="9" t="inlineStr">
        <is>
          <t>____________</t>
        </is>
      </c>
      <c r="F5" s="56" t="inlineStr">
        <is>
          <t>Next Meeting:</t>
        </is>
      </c>
      <c r="G5" s="9" t="inlineStr">
        <is>
          <t>____________</t>
        </is>
      </c>
    </row>
    <row r="6" ht="22" customHeight="1">
      <c r="B6" s="55" t="inlineStr">
        <is>
          <t>ATTENDEES</t>
        </is>
      </c>
    </row>
    <row r="7" ht="22" customHeight="1">
      <c r="B7" s="57" t="inlineStr">
        <is>
          <t>Sl.</t>
        </is>
      </c>
      <c r="C7" s="57" t="inlineStr">
        <is>
          <t>Name</t>
        </is>
      </c>
      <c r="D7" s="57" t="inlineStr">
        <is>
          <t>Designation</t>
        </is>
      </c>
      <c r="E7" s="57" t="inlineStr">
        <is>
          <t>Department</t>
        </is>
      </c>
      <c r="F7" s="57" t="inlineStr">
        <is>
          <t>Signature</t>
        </is>
      </c>
    </row>
    <row r="8" ht="22" customHeight="1">
      <c r="B8" s="10" t="n">
        <v>1</v>
      </c>
      <c r="C8" s="10" t="inlineStr"/>
      <c r="D8" s="10" t="inlineStr"/>
      <c r="E8" s="10" t="inlineStr"/>
      <c r="F8" s="10" t="inlineStr"/>
    </row>
    <row r="9" ht="30" customHeight="1">
      <c r="B9" s="17" t="n">
        <v>2</v>
      </c>
      <c r="C9" s="17" t="inlineStr"/>
      <c r="D9" s="17" t="inlineStr"/>
      <c r="E9" s="17" t="inlineStr"/>
      <c r="F9" s="17" t="inlineStr"/>
    </row>
    <row r="10" ht="22" customHeight="1">
      <c r="B10" s="10" t="n">
        <v>3</v>
      </c>
      <c r="C10" s="10" t="inlineStr"/>
      <c r="D10" s="10" t="inlineStr"/>
      <c r="E10" s="10" t="inlineStr"/>
      <c r="F10" s="10" t="inlineStr"/>
    </row>
    <row r="11" ht="22" customHeight="1">
      <c r="B11" s="17" t="n">
        <v>4</v>
      </c>
      <c r="C11" s="17" t="inlineStr"/>
      <c r="D11" s="17" t="inlineStr"/>
      <c r="E11" s="17" t="inlineStr"/>
      <c r="F11" s="17" t="inlineStr"/>
    </row>
    <row r="12" ht="22" customHeight="1">
      <c r="B12" s="10" t="n">
        <v>5</v>
      </c>
      <c r="C12" s="10" t="inlineStr"/>
      <c r="D12" s="10" t="inlineStr"/>
      <c r="E12" s="10" t="inlineStr"/>
      <c r="F12" s="10" t="inlineStr"/>
    </row>
    <row r="13" ht="22" customHeight="1">
      <c r="B13" s="55" t="inlineStr">
        <is>
          <t>AGENDA &amp; DISCUSSION POINTS</t>
        </is>
      </c>
    </row>
    <row r="14" ht="22" customHeight="1">
      <c r="B14" s="44" t="inlineStr">
        <is>
          <t>Item
No.</t>
        </is>
      </c>
      <c r="C14" s="44" t="inlineStr">
        <is>
          <t>Agenda Item / Discussion</t>
        </is>
      </c>
      <c r="D14" s="44" t="inlineStr">
        <is>
          <t>Decision / Resolution</t>
        </is>
      </c>
      <c r="E14" s="44" t="inlineStr">
        <is>
          <t>Responsible
Person</t>
        </is>
      </c>
      <c r="F14" s="44" t="inlineStr">
        <is>
          <t>Due
Date</t>
        </is>
      </c>
      <c r="G14" s="44" t="inlineStr">
        <is>
          <t>Status</t>
        </is>
      </c>
    </row>
    <row r="15" ht="28" customHeight="1">
      <c r="B15" s="10" t="n">
        <v>1</v>
      </c>
      <c r="C15" s="9" t="inlineStr"/>
      <c r="D15" s="9" t="inlineStr"/>
      <c r="E15" s="10" t="inlineStr"/>
      <c r="F15" s="10" t="inlineStr"/>
      <c r="G15" s="10" t="inlineStr"/>
    </row>
    <row r="16" ht="28" customHeight="1">
      <c r="B16" s="37" t="n">
        <v>2</v>
      </c>
      <c r="C16" s="58" t="inlineStr"/>
      <c r="D16" s="58" t="inlineStr"/>
      <c r="E16" s="37" t="inlineStr"/>
      <c r="F16" s="37" t="inlineStr"/>
      <c r="G16" s="37" t="inlineStr"/>
    </row>
    <row r="17" ht="28" customHeight="1">
      <c r="B17" s="10" t="n">
        <v>3</v>
      </c>
      <c r="C17" s="9" t="inlineStr"/>
      <c r="D17" s="9" t="inlineStr"/>
      <c r="E17" s="10" t="inlineStr"/>
      <c r="F17" s="10" t="inlineStr"/>
      <c r="G17" s="10" t="inlineStr"/>
    </row>
    <row r="18" ht="28" customHeight="1">
      <c r="B18" s="37" t="n">
        <v>4</v>
      </c>
      <c r="C18" s="58" t="inlineStr"/>
      <c r="D18" s="58" t="inlineStr"/>
      <c r="E18" s="37" t="inlineStr"/>
      <c r="F18" s="37" t="inlineStr"/>
      <c r="G18" s="37" t="inlineStr"/>
    </row>
    <row r="19" ht="28" customHeight="1">
      <c r="B19" s="10" t="n">
        <v>5</v>
      </c>
      <c r="C19" s="9" t="inlineStr"/>
      <c r="D19" s="9" t="inlineStr"/>
      <c r="E19" s="10" t="inlineStr"/>
      <c r="F19" s="10" t="inlineStr"/>
      <c r="G19" s="10" t="inlineStr"/>
    </row>
    <row r="20" ht="28" customHeight="1">
      <c r="B20" s="37" t="n">
        <v>6</v>
      </c>
      <c r="C20" s="58" t="inlineStr"/>
      <c r="D20" s="58" t="inlineStr"/>
      <c r="E20" s="37" t="inlineStr"/>
      <c r="F20" s="37" t="inlineStr"/>
      <c r="G20" s="37" t="inlineStr"/>
    </row>
    <row r="21" ht="28" customHeight="1">
      <c r="B21" s="10" t="n">
        <v>7</v>
      </c>
      <c r="C21" s="9" t="inlineStr"/>
      <c r="D21" s="9" t="inlineStr"/>
      <c r="E21" s="10" t="inlineStr"/>
      <c r="F21" s="10" t="inlineStr"/>
      <c r="G21" s="10" t="inlineStr"/>
    </row>
    <row r="22" ht="28" customHeight="1">
      <c r="B22" s="37" t="n">
        <v>8</v>
      </c>
      <c r="C22" s="58" t="inlineStr"/>
      <c r="D22" s="58" t="inlineStr"/>
      <c r="E22" s="37" t="inlineStr"/>
      <c r="F22" s="37" t="inlineStr"/>
      <c r="G22" s="37" t="inlineStr"/>
    </row>
    <row r="23" ht="28" customHeight="1">
      <c r="B23" s="10" t="n">
        <v>9</v>
      </c>
      <c r="C23" s="9" t="inlineStr"/>
      <c r="D23" s="9" t="inlineStr"/>
      <c r="E23" s="10" t="inlineStr"/>
      <c r="F23" s="10" t="inlineStr"/>
      <c r="G23" s="10" t="inlineStr"/>
    </row>
    <row r="24" ht="28" customHeight="1">
      <c r="B24" s="37" t="n">
        <v>10</v>
      </c>
      <c r="C24" s="58" t="inlineStr"/>
      <c r="D24" s="58" t="inlineStr"/>
      <c r="E24" s="37" t="inlineStr"/>
      <c r="F24" s="37" t="inlineStr"/>
      <c r="G24" s="37" t="inlineStr"/>
    </row>
    <row r="25" ht="28" customHeight="1">
      <c r="B25" s="10" t="n">
        <v>11</v>
      </c>
      <c r="C25" s="9" t="inlineStr"/>
      <c r="D25" s="9" t="inlineStr"/>
      <c r="E25" s="10" t="inlineStr"/>
      <c r="F25" s="10" t="inlineStr"/>
      <c r="G25" s="10" t="inlineStr"/>
    </row>
    <row r="26" ht="28" customHeight="1">
      <c r="B26" s="37" t="n">
        <v>12</v>
      </c>
      <c r="C26" s="58" t="inlineStr"/>
      <c r="D26" s="58" t="inlineStr"/>
      <c r="E26" s="37" t="inlineStr"/>
      <c r="F26" s="37" t="inlineStr"/>
      <c r="G26" s="37" t="inlineStr"/>
    </row>
    <row r="27" ht="28" customHeight="1">
      <c r="B27" s="10" t="n">
        <v>13</v>
      </c>
      <c r="C27" s="9" t="inlineStr"/>
      <c r="D27" s="9" t="inlineStr"/>
      <c r="E27" s="10" t="inlineStr"/>
      <c r="F27" s="10" t="inlineStr"/>
      <c r="G27" s="10" t="inlineStr"/>
    </row>
    <row r="28" ht="28" customHeight="1">
      <c r="B28" s="37" t="n">
        <v>14</v>
      </c>
      <c r="C28" s="58" t="inlineStr"/>
      <c r="D28" s="58" t="inlineStr"/>
      <c r="E28" s="37" t="inlineStr"/>
      <c r="F28" s="37" t="inlineStr"/>
      <c r="G28" s="37" t="inlineStr"/>
    </row>
    <row r="29" ht="28" customHeight="1">
      <c r="B29" s="10" t="n">
        <v>15</v>
      </c>
      <c r="C29" s="9" t="inlineStr"/>
      <c r="D29" s="9" t="inlineStr"/>
      <c r="E29" s="10" t="inlineStr"/>
      <c r="F29" s="10" t="inlineStr"/>
      <c r="G29" s="10" t="inlineStr"/>
    </row>
    <row r="30" ht="22" customHeight="1">
      <c r="B30" s="38" t="inlineStr">
        <is>
          <t>ACTION ITEMS TRACKER</t>
        </is>
      </c>
    </row>
    <row r="31" ht="22" customHeight="1">
      <c r="B31" s="35" t="inlineStr">
        <is>
          <t>Action
No.</t>
        </is>
      </c>
      <c r="C31" s="35" t="inlineStr">
        <is>
          <t>Action Item</t>
        </is>
      </c>
      <c r="D31" s="35" t="inlineStr">
        <is>
          <t>Owner</t>
        </is>
      </c>
      <c r="E31" s="35" t="inlineStr">
        <is>
          <t>Start
Date</t>
        </is>
      </c>
      <c r="F31" s="35" t="inlineStr">
        <is>
          <t>Target
Date</t>
        </is>
      </c>
      <c r="G31" s="35" t="inlineStr">
        <is>
          <t>Status</t>
        </is>
      </c>
    </row>
    <row r="32" ht="22" customHeight="1">
      <c r="B32" s="10" t="n">
        <v>1</v>
      </c>
      <c r="C32" s="9" t="inlineStr"/>
      <c r="D32" s="10" t="inlineStr"/>
      <c r="E32" s="10" t="inlineStr"/>
      <c r="F32" s="10" t="inlineStr"/>
      <c r="G32" s="10" t="inlineStr"/>
    </row>
    <row r="33" ht="22" customHeight="1">
      <c r="B33" s="36" t="n">
        <v>2</v>
      </c>
      <c r="C33" s="59" t="inlineStr"/>
      <c r="D33" s="36" t="inlineStr"/>
      <c r="E33" s="36" t="inlineStr"/>
      <c r="F33" s="36" t="inlineStr"/>
      <c r="G33" s="36" t="inlineStr"/>
    </row>
    <row r="34" ht="22" customHeight="1">
      <c r="B34" s="10" t="n">
        <v>3</v>
      </c>
      <c r="C34" s="9" t="inlineStr"/>
      <c r="D34" s="10" t="inlineStr"/>
      <c r="E34" s="10" t="inlineStr"/>
      <c r="F34" s="10" t="inlineStr"/>
      <c r="G34" s="10" t="inlineStr"/>
    </row>
    <row r="35" ht="22" customHeight="1">
      <c r="B35" s="36" t="n">
        <v>4</v>
      </c>
      <c r="C35" s="59" t="inlineStr"/>
      <c r="D35" s="36" t="inlineStr"/>
      <c r="E35" s="36" t="inlineStr"/>
      <c r="F35" s="36" t="inlineStr"/>
      <c r="G35" s="36" t="inlineStr"/>
    </row>
    <row r="36" ht="22" customHeight="1">
      <c r="B36" s="10" t="n">
        <v>5</v>
      </c>
      <c r="C36" s="9" t="inlineStr"/>
      <c r="D36" s="10" t="inlineStr"/>
      <c r="E36" s="10" t="inlineStr"/>
      <c r="F36" s="10" t="inlineStr"/>
      <c r="G36" s="10" t="inlineStr"/>
    </row>
    <row r="37" ht="22" customHeight="1">
      <c r="B37" s="36" t="n">
        <v>6</v>
      </c>
      <c r="C37" s="59" t="inlineStr"/>
      <c r="D37" s="36" t="inlineStr"/>
      <c r="E37" s="36" t="inlineStr"/>
      <c r="F37" s="36" t="inlineStr"/>
      <c r="G37" s="36" t="inlineStr"/>
    </row>
    <row r="38" ht="22" customHeight="1">
      <c r="B38" s="10" t="n">
        <v>7</v>
      </c>
      <c r="C38" s="9" t="inlineStr"/>
      <c r="D38" s="10" t="inlineStr"/>
      <c r="E38" s="10" t="inlineStr"/>
      <c r="F38" s="10" t="inlineStr"/>
      <c r="G38" s="10" t="inlineStr"/>
    </row>
    <row r="39" ht="22" customHeight="1">
      <c r="B39" s="36" t="n">
        <v>8</v>
      </c>
      <c r="C39" s="59" t="inlineStr"/>
      <c r="D39" s="36" t="inlineStr"/>
      <c r="E39" s="36" t="inlineStr"/>
      <c r="F39" s="36" t="inlineStr"/>
      <c r="G39" s="36" t="inlineStr"/>
    </row>
    <row r="40" ht="22" customHeight="1">
      <c r="B40" s="18" t="inlineStr">
        <is>
          <t>SIGNATURES</t>
        </is>
      </c>
    </row>
    <row r="41" ht="50" customHeight="1">
      <c r="B41" s="60" t="inlineStr">
        <is>
          <t>Chairperson
___________________</t>
        </is>
      </c>
      <c r="C41" s="60" t="inlineStr">
        <is>
          <t>Programme Coordinator
___________________</t>
        </is>
      </c>
      <c r="D41" s="60" t="inlineStr">
        <is>
          <t>HOD
___________________</t>
        </is>
      </c>
      <c r="E41" s="60" t="inlineStr">
        <is>
          <t>PAC Member
___________________</t>
        </is>
      </c>
      <c r="F41" s="60" t="inlineStr">
        <is>
          <t>Quality Coordinator
___________________</t>
        </is>
      </c>
    </row>
    <row r="42" ht="22" customHeight="1"/>
    <row r="43" ht="22" customHeight="1"/>
    <row r="44" ht="22" customHeight="1"/>
  </sheetData>
  <mergeCells count="5">
    <mergeCell ref="B2:G2"/>
    <mergeCell ref="B40:G40"/>
    <mergeCell ref="B13:G13"/>
    <mergeCell ref="B30:G30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2026-04-19T04:04:42Z</dcterms:created>
  <dcterms:modified xmlns:dcterms="http://purl.org/dc/terms/" xmlns:xsi="http://www.w3.org/2001/XMLSchema-instance" xsi:type="dcterms:W3CDTF">2026-04-19T04:04:42Z</dcterms:modified>
</cp:coreProperties>
</file>