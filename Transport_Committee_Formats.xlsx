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C-00 Composition" sheetId="2" state="visible" r:id="rId2"/>
    <sheet xmlns:r="http://schemas.openxmlformats.org/officeDocument/2006/relationships" name="TC-NA Notice &amp; Agenda" sheetId="3" state="visible" r:id="rId3"/>
    <sheet xmlns:r="http://schemas.openxmlformats.org/officeDocument/2006/relationships" name="TC-AT Attendance" sheetId="4" state="visible" r:id="rId4"/>
    <sheet xmlns:r="http://schemas.openxmlformats.org/officeDocument/2006/relationships" name="TC-MM Minutes" sheetId="5" state="visible" r:id="rId5"/>
    <sheet xmlns:r="http://schemas.openxmlformats.org/officeDocument/2006/relationships" name="TC-ATR Action Report" sheetId="6" state="visible" r:id="rId6"/>
    <sheet xmlns:r="http://schemas.openxmlformats.org/officeDocument/2006/relationships" name="TC-04 Fleet Master Register" sheetId="7" state="visible" r:id="rId7"/>
    <sheet xmlns:r="http://schemas.openxmlformats.org/officeDocument/2006/relationships" name="TC-05 Fitness &amp; Permit" sheetId="8" state="visible" r:id="rId8"/>
    <sheet xmlns:r="http://schemas.openxmlformats.org/officeDocument/2006/relationships" name="TC-07 Vehicle Daily Log" sheetId="9" state="visible" r:id="rId9"/>
    <sheet xmlns:r="http://schemas.openxmlformats.org/officeDocument/2006/relationships" name="TC-08 Maintenance Register" sheetId="10" state="visible" r:id="rId10"/>
    <sheet xmlns:r="http://schemas.openxmlformats.org/officeDocument/2006/relationships" name="TC-09 Breakdown &amp; Incident" sheetId="11" state="visible" r:id="rId11"/>
    <sheet xmlns:r="http://schemas.openxmlformats.org/officeDocument/2006/relationships" name="TC-10 Fuel Consumption" sheetId="12" state="visible" r:id="rId12"/>
    <sheet xmlns:r="http://schemas.openxmlformats.org/officeDocument/2006/relationships" name="TC-13 Driver &amp; Conductor Reg" sheetId="13" state="visible" r:id="rId13"/>
    <sheet xmlns:r="http://schemas.openxmlformats.org/officeDocument/2006/relationships" name="TC-18 Route Master Register" sheetId="14" state="visible" r:id="rId14"/>
    <sheet xmlns:r="http://schemas.openxmlformats.org/officeDocument/2006/relationships" name="TC-21 Special Trip Register" sheetId="15" state="visible" r:id="rId15"/>
    <sheet xmlns:r="http://schemas.openxmlformats.org/officeDocument/2006/relationships" name="TC-22 Student Bus Pass Reg" sheetId="16" state="visible" r:id="rId16"/>
    <sheet xmlns:r="http://schemas.openxmlformats.org/officeDocument/2006/relationships" name="TC-30 Bus Safety Checklist" sheetId="17" state="visible" r:id="rId17"/>
    <sheet xmlns:r="http://schemas.openxmlformats.org/officeDocument/2006/relationships" name="TC-34 Complaint Register" sheetId="18" state="visible" r:id="rId18"/>
    <sheet xmlns:r="http://schemas.openxmlformats.org/officeDocument/2006/relationships" name="TC-35 Satisfaction Survey" sheetId="19" state="visible" r:id="rId19"/>
    <sheet xmlns:r="http://schemas.openxmlformats.org/officeDocument/2006/relationships" name="TC-36 KPI Dashboard" sheetId="20" state="visible" r:id="rId20"/>
    <sheet xmlns:r="http://schemas.openxmlformats.org/officeDocument/2006/relationships" name="TC-37 Annual Repor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E3A5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1E3A5F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B91C1C"/>
      <sz val="10"/>
    </font>
    <font>
      <name val="Arial"/>
      <b val="1"/>
      <color rgb="00B45309"/>
      <sz val="10"/>
    </font>
    <font>
      <name val="Arial"/>
      <b val="1"/>
      <color rgb="000F172A"/>
      <sz val="9"/>
    </font>
  </fonts>
  <fills count="21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BEA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FEE2E2"/>
      </patternFill>
    </fill>
    <fill>
      <patternFill patternType="solid">
        <fgColor rgb="00B91C1C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7" borderId="1" pivotButton="0" quotePrefix="0" xfId="0"/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TRANSPORT COMMITTEE
Data Collection Formats — Master Workbook</t>
        </is>
      </c>
    </row>
    <row r="3" ht="28" customHeight="1">
      <c r="B3" s="2" t="inlineStr">
        <is>
          <t>Institution: _________________________  Transport Officer /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TC-00</t>
        </is>
      </c>
      <c r="C6" s="6" t="inlineStr">
        <is>
          <t>Committee Composition &amp; Members Register</t>
        </is>
      </c>
      <c r="D6" s="6" t="inlineStr">
        <is>
          <t>Record transport committee members and staff</t>
        </is>
      </c>
      <c r="E6" s="7" t="inlineStr">
        <is>
          <t>Annual</t>
        </is>
      </c>
    </row>
    <row r="7" ht="20" customHeight="1">
      <c r="B7" s="8" t="inlineStr">
        <is>
          <t>TC-NA</t>
        </is>
      </c>
      <c r="C7" s="9" t="inlineStr">
        <is>
          <t>Meeting Notice, Agenda &amp; Dispatch Record</t>
        </is>
      </c>
      <c r="D7" s="9" t="inlineStr">
        <is>
          <t>Formal notice and agenda for TC meetings</t>
        </is>
      </c>
      <c r="E7" s="10" t="inlineStr">
        <is>
          <t>Each Meeting</t>
        </is>
      </c>
    </row>
    <row r="8" ht="20" customHeight="1">
      <c r="B8" s="5" t="inlineStr">
        <is>
          <t>TC-AT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TC-MM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TC-ATR</t>
        </is>
      </c>
      <c r="C10" s="6" t="inlineStr">
        <is>
          <t>Action Taken Report</t>
        </is>
      </c>
      <c r="D10" s="6" t="inlineStr">
        <is>
          <t>Track implementation of TC resolutions</t>
        </is>
      </c>
      <c r="E10" s="7" t="inlineStr">
        <is>
          <t>Each Meeting</t>
        </is>
      </c>
    </row>
    <row r="11" ht="20" customHeight="1">
      <c r="B11" s="4" t="inlineStr">
        <is>
          <t>── POLICY &amp; PLANNING ──</t>
        </is>
      </c>
    </row>
    <row r="12" ht="20" customHeight="1">
      <c r="B12" s="5" t="inlineStr">
        <is>
          <t>TC-01</t>
        </is>
      </c>
      <c r="C12" s="6" t="inlineStr">
        <is>
          <t>Transport Policy &amp; Service Framework</t>
        </is>
      </c>
      <c r="D12" s="6" t="inlineStr">
        <is>
          <t>Document transport rules, norms &amp; passenger rights</t>
        </is>
      </c>
      <c r="E12" s="7" t="inlineStr">
        <is>
          <t>Annual</t>
        </is>
      </c>
    </row>
    <row r="13" ht="20" customHeight="1">
      <c r="B13" s="8" t="inlineStr">
        <is>
          <t>TC-02</t>
        </is>
      </c>
      <c r="C13" s="9" t="inlineStr">
        <is>
          <t>Annual Transport Service Calendar &amp; Plan</t>
        </is>
      </c>
      <c r="D13" s="9" t="inlineStr">
        <is>
          <t>Plan routes, schedules, capacity &amp; seasonal adjustments</t>
        </is>
      </c>
      <c r="E13" s="10" t="inlineStr">
        <is>
          <t>Annual</t>
        </is>
      </c>
    </row>
    <row r="14" ht="20" customHeight="1">
      <c r="B14" s="5" t="inlineStr">
        <is>
          <t>TC-03</t>
        </is>
      </c>
      <c r="C14" s="6" t="inlineStr">
        <is>
          <t>Transport Budget &amp; Resource Plan</t>
        </is>
      </c>
      <c r="D14" s="6" t="inlineStr">
        <is>
          <t>Plan fuel, maintenance, staff &amp; capital expenditure</t>
        </is>
      </c>
      <c r="E14" s="7" t="inlineStr">
        <is>
          <t>Annual</t>
        </is>
      </c>
    </row>
    <row r="15" ht="20" customHeight="1">
      <c r="B15" s="4" t="inlineStr">
        <is>
          <t>── FLEET MANAGEMENT ──</t>
        </is>
      </c>
    </row>
    <row r="16" ht="20" customHeight="1">
      <c r="B16" s="5" t="inlineStr">
        <is>
          <t>TC-04</t>
        </is>
      </c>
      <c r="C16" s="6" t="inlineStr">
        <is>
          <t>Fleet Master Register</t>
        </is>
      </c>
      <c r="D16" s="6" t="inlineStr">
        <is>
          <t>Comprehensive register of all institutional vehicles</t>
        </is>
      </c>
      <c r="E16" s="7" t="inlineStr">
        <is>
          <t>Annual / On Addition</t>
        </is>
      </c>
    </row>
    <row r="17" ht="20" customHeight="1">
      <c r="B17" s="8" t="inlineStr">
        <is>
          <t>TC-05</t>
        </is>
      </c>
      <c r="C17" s="9" t="inlineStr">
        <is>
          <t>Vehicle Fitness &amp; Permit Register</t>
        </is>
      </c>
      <c r="D17" s="9" t="inlineStr">
        <is>
          <t>Track fitness certificates, permits &amp; RTO compliance</t>
        </is>
      </c>
      <c r="E17" s="10" t="inlineStr">
        <is>
          <t>Annual / Per Vehicle</t>
        </is>
      </c>
    </row>
    <row r="18" ht="20" customHeight="1">
      <c r="B18" s="5" t="inlineStr">
        <is>
          <t>TC-06</t>
        </is>
      </c>
      <c r="C18" s="6" t="inlineStr">
        <is>
          <t>Vehicle Insurance Register</t>
        </is>
      </c>
      <c r="D18" s="6" t="inlineStr">
        <is>
          <t>Track vehicle insurance policies and renewals</t>
        </is>
      </c>
      <c r="E18" s="7" t="inlineStr">
        <is>
          <t>Annual / Per Vehicle</t>
        </is>
      </c>
    </row>
    <row r="19" ht="20" customHeight="1">
      <c r="B19" s="8" t="inlineStr">
        <is>
          <t>TC-07</t>
        </is>
      </c>
      <c r="C19" s="9" t="inlineStr">
        <is>
          <t>Vehicle Daily Log Book</t>
        </is>
      </c>
      <c r="D19" s="9" t="inlineStr">
        <is>
          <t>Record daily trips, fuel, distance &amp; driver for each bus</t>
        </is>
      </c>
      <c r="E19" s="10" t="inlineStr">
        <is>
          <t>Daily / Per Vehicle</t>
        </is>
      </c>
    </row>
    <row r="20" ht="20" customHeight="1">
      <c r="B20" s="5" t="inlineStr">
        <is>
          <t>TC-08</t>
        </is>
      </c>
      <c r="C20" s="6" t="inlineStr">
        <is>
          <t>Vehicle Maintenance &amp; Service Register</t>
        </is>
      </c>
      <c r="D20" s="6" t="inlineStr">
        <is>
          <t>Schedule and track all vehicle maintenance and repairs</t>
        </is>
      </c>
      <c r="E20" s="7" t="inlineStr">
        <is>
          <t>Monthly / Per Service</t>
        </is>
      </c>
    </row>
    <row r="21" ht="20" customHeight="1">
      <c r="B21" s="8" t="inlineStr">
        <is>
          <t>TC-09</t>
        </is>
      </c>
      <c r="C21" s="9" t="inlineStr">
        <is>
          <t>Vehicle Breakdown &amp; Incident Register</t>
        </is>
      </c>
      <c r="D21" s="9" t="inlineStr">
        <is>
          <t>Log breakdowns, accidents and emergency incidents</t>
        </is>
      </c>
      <c r="E21" s="10" t="inlineStr">
        <is>
          <t>Per Incident</t>
        </is>
      </c>
    </row>
    <row r="22" ht="20" customHeight="1">
      <c r="B22" s="5" t="inlineStr">
        <is>
          <t>TC-10</t>
        </is>
      </c>
      <c r="C22" s="6" t="inlineStr">
        <is>
          <t>Vehicle Fuel Consumption Register</t>
        </is>
      </c>
      <c r="D22" s="6" t="inlineStr">
        <is>
          <t>Track fuel fill-ups, consumption and efficiency</t>
        </is>
      </c>
      <c r="E22" s="7" t="inlineStr">
        <is>
          <t>Per Fill-up / Monthly</t>
        </is>
      </c>
    </row>
    <row r="23" ht="20" customHeight="1">
      <c r="B23" s="8" t="inlineStr">
        <is>
          <t>TC-11</t>
        </is>
      </c>
      <c r="C23" s="9" t="inlineStr">
        <is>
          <t>Vehicle Tyre &amp; Battery Register</t>
        </is>
      </c>
      <c r="D23" s="9" t="inlineStr">
        <is>
          <t>Track tyre and battery replacement history</t>
        </is>
      </c>
      <c r="E23" s="10" t="inlineStr">
        <is>
          <t>Per Change</t>
        </is>
      </c>
    </row>
    <row r="24" ht="20" customHeight="1">
      <c r="B24" s="5" t="inlineStr">
        <is>
          <t>TC-12</t>
        </is>
      </c>
      <c r="C24" s="6" t="inlineStr">
        <is>
          <t>Spare Parts &amp; Inventory Register</t>
        </is>
      </c>
      <c r="D24" s="6" t="inlineStr">
        <is>
          <t>Track spare parts procurement and stock</t>
        </is>
      </c>
      <c r="E24" s="7" t="inlineStr">
        <is>
          <t>Monthly</t>
        </is>
      </c>
    </row>
    <row r="25" ht="20" customHeight="1">
      <c r="B25" s="4" t="inlineStr">
        <is>
          <t>── DRIVER &amp; STAFF MANAGEMENT ──</t>
        </is>
      </c>
    </row>
    <row r="26" ht="20" customHeight="1">
      <c r="B26" s="5" t="inlineStr">
        <is>
          <t>TC-13</t>
        </is>
      </c>
      <c r="C26" s="6" t="inlineStr">
        <is>
          <t>Driver &amp; Conductor Register</t>
        </is>
      </c>
      <c r="D26" s="6" t="inlineStr">
        <is>
          <t>Record driver/conductor details, licences &amp; training</t>
        </is>
      </c>
      <c r="E26" s="7" t="inlineStr">
        <is>
          <t>Annual</t>
        </is>
      </c>
    </row>
    <row r="27" ht="20" customHeight="1">
      <c r="B27" s="8" t="inlineStr">
        <is>
          <t>TC-14</t>
        </is>
      </c>
      <c r="C27" s="9" t="inlineStr">
        <is>
          <t>Driver Licence &amp; Medical Fitness Register</t>
        </is>
      </c>
      <c r="D27" s="9" t="inlineStr">
        <is>
          <t>Track driving licence validity and annual medical tests</t>
        </is>
      </c>
      <c r="E27" s="10" t="inlineStr">
        <is>
          <t>Annual</t>
        </is>
      </c>
    </row>
    <row r="28" ht="20" customHeight="1">
      <c r="B28" s="5" t="inlineStr">
        <is>
          <t>TC-15</t>
        </is>
      </c>
      <c r="C28" s="6" t="inlineStr">
        <is>
          <t>Driver Daily Duty Roster</t>
        </is>
      </c>
      <c r="D28" s="6" t="inlineStr">
        <is>
          <t>Assign and track driver and conductor duties</t>
        </is>
      </c>
      <c r="E28" s="7" t="inlineStr">
        <is>
          <t>Daily</t>
        </is>
      </c>
    </row>
    <row r="29" ht="20" customHeight="1">
      <c r="B29" s="8" t="inlineStr">
        <is>
          <t>TC-16</t>
        </is>
      </c>
      <c r="C29" s="9" t="inlineStr">
        <is>
          <t>Driver Performance &amp; Conduct Register</t>
        </is>
      </c>
      <c r="D29" s="9" t="inlineStr">
        <is>
          <t>Track driver performance, complaints and commendations</t>
        </is>
      </c>
      <c r="E29" s="10" t="inlineStr">
        <is>
          <t>Monthly</t>
        </is>
      </c>
    </row>
    <row r="30" ht="20" customHeight="1">
      <c r="B30" s="5" t="inlineStr">
        <is>
          <t>TC-17</t>
        </is>
      </c>
      <c r="C30" s="6" t="inlineStr">
        <is>
          <t>Driver Training &amp; Safety Programme Register</t>
        </is>
      </c>
      <c r="D30" s="6" t="inlineStr">
        <is>
          <t>Document driver safety training and refresher sessions</t>
        </is>
      </c>
      <c r="E30" s="7" t="inlineStr">
        <is>
          <t>Annual / Quarterly</t>
        </is>
      </c>
    </row>
    <row r="31" ht="20" customHeight="1">
      <c r="B31" s="4" t="inlineStr">
        <is>
          <t>── ROUTES &amp; SCHEDULES ──</t>
        </is>
      </c>
    </row>
    <row r="32" ht="20" customHeight="1">
      <c r="B32" s="5" t="inlineStr">
        <is>
          <t>TC-18</t>
        </is>
      </c>
      <c r="C32" s="6" t="inlineStr">
        <is>
          <t>Route Master Register</t>
        </is>
      </c>
      <c r="D32" s="6" t="inlineStr">
        <is>
          <t>Document all bus routes with stops, distances, timings</t>
        </is>
      </c>
      <c r="E32" s="7" t="inlineStr">
        <is>
          <t>Annual / On Change</t>
        </is>
      </c>
    </row>
    <row r="33" ht="20" customHeight="1">
      <c r="B33" s="8" t="inlineStr">
        <is>
          <t>TC-19</t>
        </is>
      </c>
      <c r="C33" s="9" t="inlineStr">
        <is>
          <t>Daily Bus Schedule &amp; Timetable</t>
        </is>
      </c>
      <c r="D33" s="9" t="inlineStr">
        <is>
          <t>Publish daily bus departure and arrival timetable</t>
        </is>
      </c>
      <c r="E33" s="10" t="inlineStr">
        <is>
          <t>Each Semester</t>
        </is>
      </c>
    </row>
    <row r="34" ht="20" customHeight="1">
      <c r="B34" s="5" t="inlineStr">
        <is>
          <t>TC-20</t>
        </is>
      </c>
      <c r="C34" s="6" t="inlineStr">
        <is>
          <t>Route Change / Revision Register</t>
        </is>
      </c>
      <c r="D34" s="6" t="inlineStr">
        <is>
          <t>Track route additions, changes and temporary diversions</t>
        </is>
      </c>
      <c r="E34" s="7" t="inlineStr">
        <is>
          <t>Per Change</t>
        </is>
      </c>
    </row>
    <row r="35" ht="20" customHeight="1">
      <c r="B35" s="8" t="inlineStr">
        <is>
          <t>TC-21</t>
        </is>
      </c>
      <c r="C35" s="9" t="inlineStr">
        <is>
          <t>Special Trip &amp; Chartered Bus Register</t>
        </is>
      </c>
      <c r="D35" s="9" t="inlineStr">
        <is>
          <t>Manage special trips — industrial visits, events, fests</t>
        </is>
      </c>
      <c r="E35" s="10" t="inlineStr">
        <is>
          <t>Per Trip</t>
        </is>
      </c>
    </row>
    <row r="36" ht="20" customHeight="1">
      <c r="B36" s="4" t="inlineStr">
        <is>
          <t>── PASSENGER REGISTRATION &amp; PASSES ──</t>
        </is>
      </c>
    </row>
    <row r="37" ht="20" customHeight="1">
      <c r="B37" s="8" t="inlineStr">
        <is>
          <t>TC-22</t>
        </is>
      </c>
      <c r="C37" s="9" t="inlineStr">
        <is>
          <t>Student Bus Pass Register</t>
        </is>
      </c>
      <c r="D37" s="9" t="inlineStr">
        <is>
          <t>Register students for institutional bus passes</t>
        </is>
      </c>
      <c r="E37" s="10" t="inlineStr">
        <is>
          <t>Annual / Each Semester</t>
        </is>
      </c>
    </row>
    <row r="38" ht="20" customHeight="1">
      <c r="B38" s="5" t="inlineStr">
        <is>
          <t>TC-23</t>
        </is>
      </c>
      <c r="C38" s="6" t="inlineStr">
        <is>
          <t>Faculty &amp; Staff Bus Pass Register</t>
        </is>
      </c>
      <c r="D38" s="6" t="inlineStr">
        <is>
          <t>Register faculty and staff for institutional bus passes</t>
        </is>
      </c>
      <c r="E38" s="7" t="inlineStr">
        <is>
          <t>Annual</t>
        </is>
      </c>
    </row>
    <row r="39" ht="20" customHeight="1">
      <c r="B39" s="8" t="inlineStr">
        <is>
          <t>TC-24</t>
        </is>
      </c>
      <c r="C39" s="9" t="inlineStr">
        <is>
          <t>Bus Pass Issue &amp; Renewal Register</t>
        </is>
      </c>
      <c r="D39" s="9" t="inlineStr">
        <is>
          <t>Track issuance and renewal of all bus passes</t>
        </is>
      </c>
      <c r="E39" s="10" t="inlineStr">
        <is>
          <t>Annual / Each Semester</t>
        </is>
      </c>
    </row>
    <row r="40" ht="20" customHeight="1">
      <c r="B40" s="5" t="inlineStr">
        <is>
          <t>TC-25</t>
        </is>
      </c>
      <c r="C40" s="6" t="inlineStr">
        <is>
          <t>Daily Passenger Headcount Register</t>
        </is>
      </c>
      <c r="D40" s="6" t="inlineStr">
        <is>
          <t>Track daily student/staff count per bus per trip</t>
        </is>
      </c>
      <c r="E40" s="7" t="inlineStr">
        <is>
          <t>Daily</t>
        </is>
      </c>
    </row>
    <row r="41" ht="20" customHeight="1">
      <c r="B41" s="4" t="inlineStr">
        <is>
          <t>── FEES &amp; FINANCE ──</t>
        </is>
      </c>
    </row>
    <row r="42" ht="20" customHeight="1">
      <c r="B42" s="5" t="inlineStr">
        <is>
          <t>TC-26</t>
        </is>
      </c>
      <c r="C42" s="6" t="inlineStr">
        <is>
          <t>Transport Fee Collection Register</t>
        </is>
      </c>
      <c r="D42" s="6" t="inlineStr">
        <is>
          <t>Track transport fee collected from students and staff</t>
        </is>
      </c>
      <c r="E42" s="7" t="inlineStr">
        <is>
          <t>Each Semester</t>
        </is>
      </c>
    </row>
    <row r="43" ht="20" customHeight="1">
      <c r="B43" s="8" t="inlineStr">
        <is>
          <t>TC-27</t>
        </is>
      </c>
      <c r="C43" s="9" t="inlineStr">
        <is>
          <t>Transport Expenditure Register</t>
        </is>
      </c>
      <c r="D43" s="9" t="inlineStr">
        <is>
          <t>Track all transport-related expenditure</t>
        </is>
      </c>
      <c r="E43" s="10" t="inlineStr">
        <is>
          <t>Monthly</t>
        </is>
      </c>
    </row>
    <row r="44" ht="20" customHeight="1">
      <c r="B44" s="5" t="inlineStr">
        <is>
          <t>TC-28</t>
        </is>
      </c>
      <c r="C44" s="6" t="inlineStr">
        <is>
          <t>Transport Fee Concession Register</t>
        </is>
      </c>
      <c r="D44" s="6" t="inlineStr">
        <is>
          <t>Track fee concessions given to eligible students</t>
        </is>
      </c>
      <c r="E44" s="7" t="inlineStr">
        <is>
          <t>Annual</t>
        </is>
      </c>
    </row>
    <row r="45" ht="20" customHeight="1">
      <c r="B45" s="4" t="inlineStr">
        <is>
          <t>── SAFETY &amp; COMPLIANCE ──</t>
        </is>
      </c>
    </row>
    <row r="46" ht="20" customHeight="1">
      <c r="B46" s="5" t="inlineStr">
        <is>
          <t>TC-29</t>
        </is>
      </c>
      <c r="C46" s="6" t="inlineStr">
        <is>
          <t>Student / Passenger Safety Checklist</t>
        </is>
      </c>
      <c r="D46" s="6" t="inlineStr">
        <is>
          <t>Daily safety check before each bus service</t>
        </is>
      </c>
      <c r="E46" s="7" t="inlineStr">
        <is>
          <t>Daily</t>
        </is>
      </c>
    </row>
    <row r="47" ht="20" customHeight="1">
      <c r="B47" s="8" t="inlineStr">
        <is>
          <t>TC-30</t>
        </is>
      </c>
      <c r="C47" s="9" t="inlineStr">
        <is>
          <t>Bus Safety Inspection Checklist</t>
        </is>
      </c>
      <c r="D47" s="9" t="inlineStr">
        <is>
          <t>Pre-trip and post-trip safety inspection log</t>
        </is>
      </c>
      <c r="E47" s="10" t="inlineStr">
        <is>
          <t>Daily / Per Trip</t>
        </is>
      </c>
    </row>
    <row r="48" ht="20" customHeight="1">
      <c r="B48" s="5" t="inlineStr">
        <is>
          <t>TC-31</t>
        </is>
      </c>
      <c r="C48" s="6" t="inlineStr">
        <is>
          <t>Accident &amp; Emergency Register</t>
        </is>
      </c>
      <c r="D48" s="6" t="inlineStr">
        <is>
          <t>Document accidents, near-misses and emergency responses</t>
        </is>
      </c>
      <c r="E48" s="7" t="inlineStr">
        <is>
          <t>Per Incident</t>
        </is>
      </c>
    </row>
    <row r="49" ht="20" customHeight="1">
      <c r="B49" s="8" t="inlineStr">
        <is>
          <t>TC-32</t>
        </is>
      </c>
      <c r="C49" s="9" t="inlineStr">
        <is>
          <t>CCTV &amp; Tracking System Register</t>
        </is>
      </c>
      <c r="D49" s="9" t="inlineStr">
        <is>
          <t>Track CCTV, GPS and tracking system status</t>
        </is>
      </c>
      <c r="E49" s="10" t="inlineStr">
        <is>
          <t>Monthly</t>
        </is>
      </c>
    </row>
    <row r="50" ht="20" customHeight="1">
      <c r="B50" s="5" t="inlineStr">
        <is>
          <t>TC-33</t>
        </is>
      </c>
      <c r="C50" s="6" t="inlineStr">
        <is>
          <t>Transport Rules Violation Register</t>
        </is>
      </c>
      <c r="D50" s="6" t="inlineStr">
        <is>
          <t>Log violations of transport code by students/drivers</t>
        </is>
      </c>
      <c r="E50" s="7" t="inlineStr">
        <is>
          <t>Per Incident</t>
        </is>
      </c>
    </row>
    <row r="51" ht="20" customHeight="1">
      <c r="B51" s="4" t="inlineStr">
        <is>
          <t>── COMPLAINT &amp; FEEDBACK ──</t>
        </is>
      </c>
    </row>
    <row r="52" ht="20" customHeight="1">
      <c r="B52" s="5" t="inlineStr">
        <is>
          <t>TC-34</t>
        </is>
      </c>
      <c r="C52" s="6" t="inlineStr">
        <is>
          <t>Passenger Complaint Register</t>
        </is>
      </c>
      <c r="D52" s="6" t="inlineStr">
        <is>
          <t>Receive and resolve complaints on transport services</t>
        </is>
      </c>
      <c r="E52" s="7" t="inlineStr">
        <is>
          <t>Continuous</t>
        </is>
      </c>
    </row>
    <row r="53" ht="20" customHeight="1">
      <c r="B53" s="8" t="inlineStr">
        <is>
          <t>TC-35</t>
        </is>
      </c>
      <c r="C53" s="9" t="inlineStr">
        <is>
          <t>Student Transport Satisfaction Survey</t>
        </is>
      </c>
      <c r="D53" s="9" t="inlineStr">
        <is>
          <t>Annual survey on transport service quality</t>
        </is>
      </c>
      <c r="E53" s="10" t="inlineStr">
        <is>
          <t>Annual</t>
        </is>
      </c>
    </row>
    <row r="54" ht="20" customHeight="1">
      <c r="B54" s="4" t="inlineStr">
        <is>
          <t>── MONITORING &amp; REPORTING ──</t>
        </is>
      </c>
    </row>
    <row r="55" ht="20" customHeight="1">
      <c r="B55" s="8" t="inlineStr">
        <is>
          <t>TC-36</t>
        </is>
      </c>
      <c r="C55" s="9" t="inlineStr">
        <is>
          <t>Transport KPI Dashboard</t>
        </is>
      </c>
      <c r="D55" s="9" t="inlineStr">
        <is>
          <t>Track all transport KPIs — fleet, safety, satisfaction</t>
        </is>
      </c>
      <c r="E55" s="10" t="inlineStr">
        <is>
          <t>Monthly / Quarterly</t>
        </is>
      </c>
    </row>
    <row r="56" ht="20" customHeight="1">
      <c r="B56" s="5" t="inlineStr">
        <is>
          <t>TC-37</t>
        </is>
      </c>
      <c r="C56" s="6" t="inlineStr">
        <is>
          <t>Transport Annual Report Compilation Form</t>
        </is>
      </c>
      <c r="D56" s="6" t="inlineStr">
        <is>
          <t>Year-end report for management, NAAC and governance</t>
        </is>
      </c>
      <c r="E56" s="7" t="inlineStr">
        <is>
          <t>Annual</t>
        </is>
      </c>
    </row>
    <row r="57" ht="21" customHeight="1"/>
    <row r="58" ht="21" customHeight="1"/>
    <row r="59" ht="21" customHeight="1"/>
    <row r="116">
      <c r="B116" s="11" t="inlineStr">
        <is>
          <t>• All institutional vehicles must have valid RC, fitness certificate, permit, insurance and PUC — check monthly.</t>
        </is>
      </c>
    </row>
    <row r="117">
      <c r="B117" s="11" t="inlineStr">
        <is>
          <t>• Drivers must hold a valid heavy motor vehicle (HMV) licence. Annual medical fitness test is mandatory.</t>
        </is>
      </c>
    </row>
    <row r="118">
      <c r="B118" s="11" t="inlineStr">
        <is>
          <t>• CCTV cameras inside buses are mandatory as per Motor Vehicle Act amendments — inspect and maintain monthly.</t>
        </is>
      </c>
    </row>
    <row r="119">
      <c r="B119" s="11" t="inlineStr">
        <is>
          <t>• GPS / vehicle tracking system to be operational at all times — enables real-time monitoring and safety.</t>
        </is>
      </c>
    </row>
    <row r="120">
      <c r="B120" s="11" t="inlineStr">
        <is>
          <t>• Bus passes must be verified before boarding — no unauthorised travel. Headcount per trip is mandatory.</t>
        </is>
      </c>
    </row>
    <row r="121">
      <c r="B121" s="11" t="inlineStr">
        <is>
          <t>• Any accident / incident must be reported to police, RTO and management within 24 hours.</t>
        </is>
      </c>
    </row>
    <row r="122">
      <c r="B122" s="11" t="inlineStr">
        <is>
          <t>• Transport fee concessions for economically weaker students must be approved by Principal and noted in Finance.</t>
        </is>
      </c>
    </row>
    <row r="123">
      <c r="B123" s="11" t="inlineStr">
        <is>
          <t>• Driver duty roster must ensure no driver operates beyond 8 hours per day as per Motor Transport Workers Act.</t>
        </is>
      </c>
    </row>
    <row r="124">
      <c r="B124" s="11" t="inlineStr">
        <is>
          <t>• Transport data feeds into: NAAC AQAR Criterion IV.2 (Library / Infrastructure), student welfare records.</t>
        </is>
      </c>
    </row>
    <row r="125">
      <c r="B125" s="11" t="inlineStr">
        <is>
          <t>• Annual vehicle fitness renewal deadlines must be tracked — operating without fitness certificate is a legal offence.</t>
        </is>
      </c>
    </row>
  </sheetData>
  <mergeCells count="22">
    <mergeCell ref="B118:E118"/>
    <mergeCell ref="B15:E15"/>
    <mergeCell ref="B124:E124"/>
    <mergeCell ref="B5:E5"/>
    <mergeCell ref="B51:E51"/>
    <mergeCell ref="B123:E123"/>
    <mergeCell ref="B36:E36"/>
    <mergeCell ref="B45:E45"/>
    <mergeCell ref="B41:E41"/>
    <mergeCell ref="B54:E54"/>
    <mergeCell ref="B25:E25"/>
    <mergeCell ref="B3:E3"/>
    <mergeCell ref="B125:E125"/>
    <mergeCell ref="B121:E121"/>
    <mergeCell ref="B31:E31"/>
    <mergeCell ref="B122:E122"/>
    <mergeCell ref="B11:E11"/>
    <mergeCell ref="B120:E120"/>
    <mergeCell ref="B2:E2"/>
    <mergeCell ref="B117:E117"/>
    <mergeCell ref="B119:E119"/>
    <mergeCell ref="B116:E1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TC-00: TRANSPORT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TC</t>
        </is>
      </c>
      <c r="F4" s="13" t="inlineStr">
        <is>
          <t>Domain / Expertise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TC Leadership &amp; Oversight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Transport Officer / Administrative Officer</t>
        </is>
      </c>
      <c r="E6" s="8" t="inlineStr">
        <is>
          <t>TC Coordinator</t>
        </is>
      </c>
      <c r="F6" s="10" t="inlineStr">
        <is>
          <t>Daily Transport Operations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Senior Admin Officer / Vehicle In-charge</t>
        </is>
      </c>
      <c r="E7" s="14" t="inlineStr">
        <is>
          <t>Fleet Manager</t>
        </is>
      </c>
      <c r="F7" s="16" t="inlineStr">
        <is>
          <t>Fleet &amp; Maintenance Oversight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Senior Faculty (Civil / Mechanical)</t>
        </is>
      </c>
      <c r="E8" s="8" t="inlineStr">
        <is>
          <t>Faculty Member – 1</t>
        </is>
      </c>
      <c r="F8" s="10" t="inlineStr">
        <is>
          <t>Safety &amp; Infrastructure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Faculty (Any Dept.)</t>
        </is>
      </c>
      <c r="E9" s="14" t="inlineStr">
        <is>
          <t>Faculty Member – 2</t>
        </is>
      </c>
      <c r="F9" s="16" t="inlineStr">
        <is>
          <t>Student Welfare &amp; Transport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Accounts Officer / Finance Officer</t>
        </is>
      </c>
      <c r="E10" s="8" t="inlineStr">
        <is>
          <t>Finance Representative</t>
        </is>
      </c>
      <c r="F10" s="10" t="inlineStr">
        <is>
          <t>Transport Budget &amp; Fee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Campus Security Head</t>
        </is>
      </c>
      <c r="E11" s="14" t="inlineStr">
        <is>
          <t>Security Officer</t>
        </is>
      </c>
      <c r="F11" s="16" t="inlineStr">
        <is>
          <t>Safety &amp; CCTV Monitoring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Senior Driver / Transport Supervisor</t>
        </is>
      </c>
      <c r="E12" s="8" t="inlineStr">
        <is>
          <t>Head Driver / Supervisor</t>
        </is>
      </c>
      <c r="F12" s="10" t="inlineStr">
        <is>
          <t>Driver Coordination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Student Council (Male) — Transport Rep</t>
        </is>
      </c>
      <c r="E13" s="14" t="inlineStr">
        <is>
          <t>Student Representative – 1</t>
        </is>
      </c>
      <c r="F13" s="16" t="inlineStr">
        <is>
          <t>Male Student Feedback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Student Council (Female) — Transport Rep</t>
        </is>
      </c>
      <c r="E14" s="8" t="inlineStr">
        <is>
          <t>Student Representative – 2</t>
        </is>
      </c>
      <c r="F14" s="10" t="inlineStr">
        <is>
          <t>Female Student Safety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Campus Doctor / Health Officer</t>
        </is>
      </c>
      <c r="E15" s="14" t="inlineStr">
        <is>
          <t>Medical Officer</t>
        </is>
      </c>
      <c r="F15" s="16" t="inlineStr">
        <is>
          <t>Medical Emergency Protocol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Chief Warden</t>
        </is>
      </c>
      <c r="E16" s="8" t="inlineStr">
        <is>
          <t>Hostel Warden (Ex-off.)</t>
        </is>
      </c>
      <c r="F16" s="10" t="inlineStr">
        <is>
          <t>Hostel Student Transport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IQAC In-charge</t>
        </is>
      </c>
      <c r="E17" s="14" t="inlineStr">
        <is>
          <t>IQAC Coordinator (Ex-off.)</t>
        </is>
      </c>
      <c r="F17" s="16" t="inlineStr">
        <is>
          <t>Quality &amp; Accreditation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Finance Officer</t>
        </is>
      </c>
      <c r="E18" s="8" t="inlineStr">
        <is>
          <t>Finance Officer (Ex-off.)</t>
        </is>
      </c>
      <c r="F18" s="10" t="inlineStr">
        <is>
          <t>Fee &amp; Expenditure Approval</t>
        </is>
      </c>
      <c r="G18" s="9" t="inlineStr"/>
      <c r="H18" s="10" t="inlineStr"/>
      <c r="I18" s="10" t="inlineStr"/>
    </row>
    <row r="19" ht="22" customHeight="1"/>
    <row r="20" ht="20" customHeight="1">
      <c r="B20" s="17" t="inlineStr">
        <is>
          <t>TC meets monthly minimum. Head Driver attends as operational voice. Student reps raise real-time passenger concerns. Medical Officer critical for emergency response protocol.</t>
        </is>
      </c>
    </row>
    <row r="21" ht="22" customHeight="1"/>
    <row r="22" ht="22" customHeight="1"/>
    <row r="23" ht="22" customHeight="1"/>
    <row r="24" ht="22" customHeight="1"/>
    <row r="25" ht="22" customHeight="1"/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TRANSPORT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TC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Fleet status — fitness, permits, insurance renewal updates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Vehicle maintenance — pending services and major repairs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Fuel consumption analysis — efficiency and variances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Driver roster — absenteeism, replacements, discipline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Bus pass issuance — new registrations and renewals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Passenger headcount — occupancy and demand analysis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Route changes — requests, approvals and implementation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Special trips — upcoming industrial visits, events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Safety incidents — breakdowns, accidents, near-misses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CCTV / GPS tracking — status and maintenance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Passenger complaints — pending and resolved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Transport fee collection — status and defaulters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Fee concessions — applications and approvals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Driver training / safety programme update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Budget review — expenditure vs. allocation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Any Other Matter with Permission of Chairperson (AOMPC)</t>
        </is>
      </c>
      <c r="D30" s="10" t="inlineStr"/>
      <c r="E30" s="10" t="inlineStr"/>
    </row>
    <row r="31" ht="24" customHeight="1"/>
    <row r="32" ht="24" customHeight="1">
      <c r="B32" s="20" t="inlineStr">
        <is>
          <t>DISPATCH RECORD</t>
        </is>
      </c>
    </row>
    <row r="33" ht="24" customHeight="1">
      <c r="B33" s="21" t="inlineStr">
        <is>
          <t>Sl.</t>
        </is>
      </c>
      <c r="C33" s="21" t="inlineStr">
        <is>
          <t>Member Name &amp; Role</t>
        </is>
      </c>
      <c r="D33" s="21" t="inlineStr">
        <is>
          <t>Mode</t>
        </is>
      </c>
      <c r="E33" s="21" t="inlineStr">
        <is>
          <t>Date &amp; Acknowledgement</t>
        </is>
      </c>
    </row>
    <row r="34" ht="22" customHeight="1">
      <c r="B34" s="22" t="n"/>
      <c r="C34" s="22" t="n"/>
      <c r="D34" s="22" t="n"/>
      <c r="E34" s="22" t="n"/>
    </row>
    <row r="35" ht="22" customHeight="1">
      <c r="B35" s="10" t="n"/>
      <c r="C35" s="10" t="n"/>
      <c r="D35" s="10" t="n"/>
      <c r="E35" s="10" t="n"/>
    </row>
    <row r="36" ht="22" customHeight="1">
      <c r="B36" s="22" t="n"/>
      <c r="C36" s="22" t="n"/>
      <c r="D36" s="22" t="n"/>
      <c r="E36" s="22" t="n"/>
    </row>
    <row r="37" ht="22" customHeight="1">
      <c r="B37" s="10" t="n"/>
      <c r="C37" s="10" t="n"/>
      <c r="D37" s="10" t="n"/>
      <c r="E37" s="10" t="n"/>
    </row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TRANSPORT COMMITTEE: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/>
    <row r="22" ht="24" customHeight="1">
      <c r="B22" s="20" t="inlineStr">
        <is>
          <t>QUORUM VERIFICATION</t>
        </is>
      </c>
    </row>
    <row r="23" ht="22" customHeight="1">
      <c r="B23" s="23" t="inlineStr">
        <is>
          <t>Total TC Members</t>
        </is>
      </c>
      <c r="G23" s="24" t="inlineStr"/>
    </row>
    <row r="24" ht="22" customHeight="1">
      <c r="B24" s="25" t="inlineStr">
        <is>
          <t>Present (Physical)</t>
        </is>
      </c>
      <c r="G24" s="24">
        <f>COUNTIF(F5:F20,"P")</f>
        <v/>
      </c>
    </row>
    <row r="25" ht="22" customHeight="1">
      <c r="B25" s="23" t="inlineStr">
        <is>
          <t>Present (VC)</t>
        </is>
      </c>
      <c r="G25" s="24" t="inlineStr"/>
    </row>
    <row r="26" ht="22" customHeight="1">
      <c r="B26" s="25" t="inlineStr">
        <is>
          <t>Total Effective</t>
        </is>
      </c>
      <c r="G26" s="24">
        <f>IFERROR(C24+C25,"")</f>
        <v/>
      </c>
    </row>
    <row r="27" ht="22" customHeight="1">
      <c r="B27" s="23" t="inlineStr">
        <is>
          <t>Quorum Required (50%)</t>
        </is>
      </c>
      <c r="G27" s="24" t="inlineStr"/>
    </row>
    <row r="28">
      <c r="B28" s="25" t="inlineStr">
        <is>
          <t>Quorum Achieved?</t>
        </is>
      </c>
      <c r="G28" s="26">
        <f>IFERROR(IF(C26&gt;=C27,"YES — Meeting Valid","NO — Adjourned"),"")</f>
        <v/>
      </c>
    </row>
  </sheetData>
  <mergeCells count="15">
    <mergeCell ref="G24:I24"/>
    <mergeCell ref="G28:I28"/>
    <mergeCell ref="B24:F24"/>
    <mergeCell ref="G27:I27"/>
    <mergeCell ref="B2:I2"/>
    <mergeCell ref="B25:F25"/>
    <mergeCell ref="G23:I23"/>
    <mergeCell ref="B28:F28"/>
    <mergeCell ref="B3:I3"/>
    <mergeCell ref="B22:I22"/>
    <mergeCell ref="B23:F23"/>
    <mergeCell ref="G26:I26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TRANSPORT COMMITTEE: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TC/RES/001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TC/RES/002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TC/RES/003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TC/RES/004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TC/RES/005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TC/RES/006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TC/RES/007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TC/RES/008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TC/RES/009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TC/RES/010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TC/RES/011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TC/RES/012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/>
    <row r="19" ht="30" customHeight="1">
      <c r="B19" s="29" t="inlineStr">
        <is>
          <t>Next Meeting: _______    Chairperson: ___________________    TC Coordinator: ___________________</t>
        </is>
      </c>
    </row>
    <row r="20" ht="30" customHeight="1"/>
    <row r="21" ht="30" customHeight="1"/>
  </sheetData>
  <mergeCells count="4">
    <mergeCell ref="B3:G3"/>
    <mergeCell ref="B2:G2"/>
    <mergeCell ref="B4:G4"/>
    <mergeCell ref="B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TRANSPORT COMMITTEE: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TC/RES/001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TC/RES/002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TC/RES/003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TC/RES/004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TC/RES/005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TC/RES/006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TC/RES/007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TC/RES/008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TC/RES/009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TC/RES/010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TC/RES/011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TC/RES/012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TC/RES/013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/>
    <row r="19" ht="24" customHeight="1">
      <c r="B19" s="34" t="inlineStr">
        <is>
          <t>ATR SUMMARY</t>
        </is>
      </c>
    </row>
    <row r="20" ht="26" customHeight="1">
      <c r="B20" s="35" t="inlineStr">
        <is>
          <t>Total Resolutions Under Review</t>
        </is>
      </c>
      <c r="F20" s="36">
        <f>COUNTA(B5:B17)</f>
        <v/>
      </c>
    </row>
    <row r="21" ht="26" customHeight="1">
      <c r="B21" s="25" t="inlineStr">
        <is>
          <t>Implemented</t>
        </is>
      </c>
      <c r="F21" s="37">
        <f>COUNTIF(H5:H17,"Implemented")</f>
        <v/>
      </c>
    </row>
    <row r="22" ht="26" customHeight="1">
      <c r="B22" s="35" t="inlineStr">
        <is>
          <t>In Progress</t>
        </is>
      </c>
      <c r="F22" s="36">
        <f>COUNTIF(H5:H17,"In Progress")</f>
        <v/>
      </c>
    </row>
    <row r="23" ht="26" customHeight="1">
      <c r="B23" s="25" t="inlineStr">
        <is>
          <t>Pending</t>
        </is>
      </c>
      <c r="F23" s="37">
        <f>COUNTIF(H5:H17,"Pending")</f>
        <v/>
      </c>
    </row>
    <row r="24" ht="26" customHeight="1">
      <c r="B24" s="35" t="inlineStr">
        <is>
          <t>Deferred</t>
        </is>
      </c>
      <c r="F24" s="36">
        <f>COUNTIF(H5:H17,"Deferred")</f>
        <v/>
      </c>
    </row>
    <row r="25">
      <c r="B25" s="25" t="inlineStr">
        <is>
          <t>Implementation Rate (%)</t>
        </is>
      </c>
      <c r="F25" s="37">
        <f>IFERROR(ROUND(C21/C20*100,1),"")</f>
        <v/>
      </c>
    </row>
  </sheetData>
  <mergeCells count="15">
    <mergeCell ref="F20:H20"/>
    <mergeCell ref="F23:H23"/>
    <mergeCell ref="B23:E23"/>
    <mergeCell ref="F21:H21"/>
    <mergeCell ref="F22:H22"/>
    <mergeCell ref="B21:E21"/>
    <mergeCell ref="B2:H2"/>
    <mergeCell ref="B25:E25"/>
    <mergeCell ref="B24:E24"/>
    <mergeCell ref="B20:E20"/>
    <mergeCell ref="B3:H3"/>
    <mergeCell ref="B19:H19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TC-04: FLEET MASTER REGISTER — ALL INSTITUTIONAL VEHICLES</t>
        </is>
      </c>
    </row>
    <row r="3" ht="20" customHeight="1">
      <c r="B3" s="2" t="inlineStr">
        <is>
          <t>Institution: _________________________  Transport Officer: ___________________  Last Updated: _______</t>
        </is>
      </c>
    </row>
    <row r="4" ht="25" customHeight="1">
      <c r="B4" s="13" t="inlineStr">
        <is>
          <t>Vehicle
Ref.</t>
        </is>
      </c>
      <c r="C4" s="13" t="inlineStr">
        <is>
          <t>Vehicle Type /
Make &amp; Model</t>
        </is>
      </c>
      <c r="D4" s="13" t="inlineStr">
        <is>
          <t>Registration
Number</t>
        </is>
      </c>
      <c r="E4" s="13" t="inlineStr">
        <is>
          <t>Year of
Manufacture</t>
        </is>
      </c>
      <c r="F4" s="13" t="inlineStr">
        <is>
          <t>Seating
Capacity</t>
        </is>
      </c>
      <c r="G4" s="13" t="inlineStr">
        <is>
          <t>Fuel
Type</t>
        </is>
      </c>
      <c r="H4" s="13" t="inlineStr">
        <is>
          <t>Engine No.</t>
        </is>
      </c>
      <c r="I4" s="13" t="inlineStr">
        <is>
          <t>Chassis No.</t>
        </is>
      </c>
      <c r="J4" s="13" t="inlineStr">
        <is>
          <t>Assigned
Route</t>
        </is>
      </c>
      <c r="K4" s="13" t="inlineStr">
        <is>
          <t>Assigned
Driver</t>
        </is>
      </c>
      <c r="L4" s="13" t="inlineStr">
        <is>
          <t>Current
Status</t>
        </is>
      </c>
    </row>
    <row r="5" ht="22" customHeight="1">
      <c r="B5" s="14" t="inlineStr">
        <is>
          <t>VEH/001</t>
        </is>
      </c>
      <c r="C5" s="15" t="inlineStr">
        <is>
          <t>Bus (Large — 56 seater)</t>
        </is>
      </c>
      <c r="D5" s="16" t="inlineStr"/>
      <c r="E5" s="16" t="inlineStr"/>
      <c r="F5" s="16" t="inlineStr"/>
      <c r="G5" s="16" t="inlineStr">
        <is>
          <t>Diesel</t>
        </is>
      </c>
      <c r="H5" s="16" t="inlineStr"/>
      <c r="I5" s="16" t="inlineStr"/>
      <c r="J5" s="16" t="inlineStr"/>
      <c r="K5" s="15" t="inlineStr"/>
      <c r="L5" s="16" t="inlineStr">
        <is>
          <t>On Road — Active</t>
        </is>
      </c>
    </row>
    <row r="6" ht="22" customHeight="1">
      <c r="B6" s="8" t="inlineStr">
        <is>
          <t>VEH/002</t>
        </is>
      </c>
      <c r="C6" s="9" t="inlineStr">
        <is>
          <t>Bus (Medium — 40 seater)</t>
        </is>
      </c>
      <c r="D6" s="10" t="inlineStr"/>
      <c r="E6" s="10" t="inlineStr"/>
      <c r="F6" s="10" t="inlineStr"/>
      <c r="G6" s="10" t="inlineStr">
        <is>
          <t>CNG</t>
        </is>
      </c>
      <c r="H6" s="10" t="inlineStr"/>
      <c r="I6" s="10" t="inlineStr"/>
      <c r="J6" s="10" t="inlineStr"/>
      <c r="K6" s="9" t="inlineStr"/>
      <c r="L6" s="10" t="inlineStr">
        <is>
          <t>Under Maintenance</t>
        </is>
      </c>
    </row>
    <row r="7" ht="22" customHeight="1">
      <c r="B7" s="14" t="inlineStr">
        <is>
          <t>VEH/003</t>
        </is>
      </c>
      <c r="C7" s="15" t="inlineStr">
        <is>
          <t>Bus (Mini — 26 seater)</t>
        </is>
      </c>
      <c r="D7" s="16" t="inlineStr"/>
      <c r="E7" s="16" t="inlineStr"/>
      <c r="F7" s="16" t="inlineStr"/>
      <c r="G7" s="16" t="inlineStr">
        <is>
          <t>Electric</t>
        </is>
      </c>
      <c r="H7" s="16" t="inlineStr"/>
      <c r="I7" s="16" t="inlineStr"/>
      <c r="J7" s="16" t="inlineStr"/>
      <c r="K7" s="15" t="inlineStr"/>
      <c r="L7" s="16" t="inlineStr">
        <is>
          <t>Off Road — Repair</t>
        </is>
      </c>
    </row>
    <row r="8" ht="22" customHeight="1">
      <c r="B8" s="8" t="inlineStr">
        <is>
          <t>VEH/004</t>
        </is>
      </c>
      <c r="C8" s="9" t="inlineStr">
        <is>
          <t>Bus (Mini — 20 seater)</t>
        </is>
      </c>
      <c r="D8" s="10" t="inlineStr"/>
      <c r="E8" s="10" t="inlineStr"/>
      <c r="F8" s="10" t="inlineStr"/>
      <c r="G8" s="10" t="inlineStr">
        <is>
          <t>Petrol</t>
        </is>
      </c>
      <c r="H8" s="10" t="inlineStr"/>
      <c r="I8" s="10" t="inlineStr"/>
      <c r="J8" s="10" t="inlineStr"/>
      <c r="K8" s="9" t="inlineStr"/>
      <c r="L8" s="10" t="inlineStr">
        <is>
          <t>Scrapped</t>
        </is>
      </c>
    </row>
    <row r="9" ht="22" customHeight="1">
      <c r="B9" s="14" t="inlineStr">
        <is>
          <t>VEH/005</t>
        </is>
      </c>
      <c r="C9" s="15" t="inlineStr">
        <is>
          <t>Van (Staff — 10 seater)</t>
        </is>
      </c>
      <c r="D9" s="16" t="inlineStr"/>
      <c r="E9" s="16" t="inlineStr"/>
      <c r="F9" s="16" t="inlineStr"/>
      <c r="G9" s="16" t="inlineStr">
        <is>
          <t>CNG + Petrol</t>
        </is>
      </c>
      <c r="H9" s="16" t="inlineStr"/>
      <c r="I9" s="16" t="inlineStr"/>
      <c r="J9" s="16" t="inlineStr"/>
      <c r="K9" s="15" t="inlineStr"/>
      <c r="L9" s="16" t="inlineStr">
        <is>
          <t>Outsourced</t>
        </is>
      </c>
    </row>
    <row r="10" ht="22" customHeight="1">
      <c r="B10" s="8" t="inlineStr">
        <is>
          <t>VEH/006</t>
        </is>
      </c>
      <c r="C10" s="9" t="inlineStr">
        <is>
          <t>Ambulance</t>
        </is>
      </c>
      <c r="D10" s="10" t="inlineStr"/>
      <c r="E10" s="10" t="inlineStr"/>
      <c r="F10" s="10" t="inlineStr"/>
      <c r="G10" s="10" t="inlineStr">
        <is>
          <t>Diesel</t>
        </is>
      </c>
      <c r="H10" s="10" t="inlineStr"/>
      <c r="I10" s="10" t="inlineStr"/>
      <c r="J10" s="10" t="inlineStr"/>
      <c r="K10" s="9" t="inlineStr"/>
      <c r="L10" s="10" t="inlineStr">
        <is>
          <t>On Road — Active</t>
        </is>
      </c>
    </row>
    <row r="11" ht="22" customHeight="1">
      <c r="B11" s="14" t="inlineStr">
        <is>
          <t>VEH/007</t>
        </is>
      </c>
      <c r="C11" s="15" t="inlineStr">
        <is>
          <t>SUV / Car (Official)</t>
        </is>
      </c>
      <c r="D11" s="16" t="inlineStr"/>
      <c r="E11" s="16" t="inlineStr"/>
      <c r="F11" s="16" t="inlineStr"/>
      <c r="G11" s="16" t="inlineStr">
        <is>
          <t>CNG</t>
        </is>
      </c>
      <c r="H11" s="16" t="inlineStr"/>
      <c r="I11" s="16" t="inlineStr"/>
      <c r="J11" s="16" t="inlineStr"/>
      <c r="K11" s="15" t="inlineStr"/>
      <c r="L11" s="16" t="inlineStr">
        <is>
          <t>Under Maintenance</t>
        </is>
      </c>
    </row>
    <row r="12" ht="22" customHeight="1">
      <c r="B12" s="8" t="inlineStr">
        <is>
          <t>VEH/008</t>
        </is>
      </c>
      <c r="C12" s="9" t="inlineStr">
        <is>
          <t>Tempo Traveller (14 seater)</t>
        </is>
      </c>
      <c r="D12" s="10" t="inlineStr"/>
      <c r="E12" s="10" t="inlineStr"/>
      <c r="F12" s="10" t="inlineStr"/>
      <c r="G12" s="10" t="inlineStr">
        <is>
          <t>Electric</t>
        </is>
      </c>
      <c r="H12" s="10" t="inlineStr"/>
      <c r="I12" s="10" t="inlineStr"/>
      <c r="J12" s="10" t="inlineStr"/>
      <c r="K12" s="9" t="inlineStr"/>
      <c r="L12" s="10" t="inlineStr">
        <is>
          <t>Off Road — Repair</t>
        </is>
      </c>
    </row>
    <row r="13" ht="22" customHeight="1">
      <c r="B13" s="14" t="inlineStr">
        <is>
          <t>VEH/009</t>
        </is>
      </c>
      <c r="C13" s="15" t="inlineStr">
        <is>
          <t>Goods Vehicle / Lorry</t>
        </is>
      </c>
      <c r="D13" s="16" t="inlineStr"/>
      <c r="E13" s="16" t="inlineStr"/>
      <c r="F13" s="16" t="inlineStr"/>
      <c r="G13" s="16" t="inlineStr">
        <is>
          <t>Petrol</t>
        </is>
      </c>
      <c r="H13" s="16" t="inlineStr"/>
      <c r="I13" s="16" t="inlineStr"/>
      <c r="J13" s="16" t="inlineStr"/>
      <c r="K13" s="15" t="inlineStr"/>
      <c r="L13" s="16" t="inlineStr">
        <is>
          <t>Scrapped</t>
        </is>
      </c>
    </row>
    <row r="14" ht="22" customHeight="1">
      <c r="B14" s="8" t="inlineStr">
        <is>
          <t>VEH/010</t>
        </is>
      </c>
      <c r="C14" s="9" t="inlineStr">
        <is>
          <t>Auto / Two Wheeler (Service)</t>
        </is>
      </c>
      <c r="D14" s="10" t="inlineStr"/>
      <c r="E14" s="10" t="inlineStr"/>
      <c r="F14" s="10" t="inlineStr"/>
      <c r="G14" s="10" t="inlineStr">
        <is>
          <t>CNG + Petrol</t>
        </is>
      </c>
      <c r="H14" s="10" t="inlineStr"/>
      <c r="I14" s="10" t="inlineStr"/>
      <c r="J14" s="10" t="inlineStr"/>
      <c r="K14" s="9" t="inlineStr"/>
      <c r="L14" s="10" t="inlineStr">
        <is>
          <t>Outsourced</t>
        </is>
      </c>
    </row>
    <row r="15" ht="22" customHeight="1">
      <c r="B15" s="14" t="inlineStr">
        <is>
          <t>VEH/011</t>
        </is>
      </c>
      <c r="C15" s="15" t="inlineStr">
        <is>
          <t>Bus (Large — 56 seater)</t>
        </is>
      </c>
      <c r="D15" s="16" t="inlineStr"/>
      <c r="E15" s="16" t="inlineStr"/>
      <c r="F15" s="16" t="inlineStr"/>
      <c r="G15" s="16" t="inlineStr">
        <is>
          <t>Diesel</t>
        </is>
      </c>
      <c r="H15" s="16" t="inlineStr"/>
      <c r="I15" s="16" t="inlineStr"/>
      <c r="J15" s="16" t="inlineStr"/>
      <c r="K15" s="15" t="inlineStr"/>
      <c r="L15" s="16" t="inlineStr">
        <is>
          <t>On Road — Active</t>
        </is>
      </c>
    </row>
    <row r="16" ht="22" customHeight="1">
      <c r="B16" s="8" t="inlineStr">
        <is>
          <t>VEH/012</t>
        </is>
      </c>
      <c r="C16" s="9" t="inlineStr">
        <is>
          <t>Bus (Medium — 40 seater)</t>
        </is>
      </c>
      <c r="D16" s="10" t="inlineStr"/>
      <c r="E16" s="10" t="inlineStr"/>
      <c r="F16" s="10" t="inlineStr"/>
      <c r="G16" s="10" t="inlineStr">
        <is>
          <t>CNG</t>
        </is>
      </c>
      <c r="H16" s="10" t="inlineStr"/>
      <c r="I16" s="10" t="inlineStr"/>
      <c r="J16" s="10" t="inlineStr"/>
      <c r="K16" s="9" t="inlineStr"/>
      <c r="L16" s="10" t="inlineStr">
        <is>
          <t>Under Maintenance</t>
        </is>
      </c>
    </row>
    <row r="17" ht="22" customHeight="1">
      <c r="B17" s="14" t="inlineStr">
        <is>
          <t>VEH/013</t>
        </is>
      </c>
      <c r="C17" s="15" t="inlineStr">
        <is>
          <t>Bus (Mini — 26 seater)</t>
        </is>
      </c>
      <c r="D17" s="16" t="inlineStr"/>
      <c r="E17" s="16" t="inlineStr"/>
      <c r="F17" s="16" t="inlineStr"/>
      <c r="G17" s="16" t="inlineStr">
        <is>
          <t>Electric</t>
        </is>
      </c>
      <c r="H17" s="16" t="inlineStr"/>
      <c r="I17" s="16" t="inlineStr"/>
      <c r="J17" s="16" t="inlineStr"/>
      <c r="K17" s="15" t="inlineStr"/>
      <c r="L17" s="16" t="inlineStr">
        <is>
          <t>Off Road — Repair</t>
        </is>
      </c>
    </row>
    <row r="18" ht="22" customHeight="1">
      <c r="B18" s="8" t="inlineStr">
        <is>
          <t>VEH/014</t>
        </is>
      </c>
      <c r="C18" s="9" t="inlineStr">
        <is>
          <t>Bus (Mini — 20 seater)</t>
        </is>
      </c>
      <c r="D18" s="10" t="inlineStr"/>
      <c r="E18" s="10" t="inlineStr"/>
      <c r="F18" s="10" t="inlineStr"/>
      <c r="G18" s="10" t="inlineStr">
        <is>
          <t>Petrol</t>
        </is>
      </c>
      <c r="H18" s="10" t="inlineStr"/>
      <c r="I18" s="10" t="inlineStr"/>
      <c r="J18" s="10" t="inlineStr"/>
      <c r="K18" s="9" t="inlineStr"/>
      <c r="L18" s="10" t="inlineStr">
        <is>
          <t>Scrapped</t>
        </is>
      </c>
    </row>
    <row r="19" ht="22" customHeight="1">
      <c r="B19" s="14" t="inlineStr">
        <is>
          <t>VEH/015</t>
        </is>
      </c>
      <c r="C19" s="15" t="inlineStr">
        <is>
          <t>Van (Staff — 10 seater)</t>
        </is>
      </c>
      <c r="D19" s="16" t="inlineStr"/>
      <c r="E19" s="16" t="inlineStr"/>
      <c r="F19" s="16" t="inlineStr"/>
      <c r="G19" s="16" t="inlineStr">
        <is>
          <t>CNG + Petrol</t>
        </is>
      </c>
      <c r="H19" s="16" t="inlineStr"/>
      <c r="I19" s="16" t="inlineStr"/>
      <c r="J19" s="16" t="inlineStr"/>
      <c r="K19" s="15" t="inlineStr"/>
      <c r="L19" s="16" t="inlineStr">
        <is>
          <t>Outsourced</t>
        </is>
      </c>
    </row>
    <row r="20" ht="22" customHeight="1">
      <c r="B20" s="8" t="inlineStr">
        <is>
          <t>VEH/016</t>
        </is>
      </c>
      <c r="C20" s="9" t="inlineStr">
        <is>
          <t>Ambulance</t>
        </is>
      </c>
      <c r="D20" s="10" t="inlineStr"/>
      <c r="E20" s="10" t="inlineStr"/>
      <c r="F20" s="10" t="inlineStr"/>
      <c r="G20" s="10" t="inlineStr">
        <is>
          <t>Diesel</t>
        </is>
      </c>
      <c r="H20" s="10" t="inlineStr"/>
      <c r="I20" s="10" t="inlineStr"/>
      <c r="J20" s="10" t="inlineStr"/>
      <c r="K20" s="9" t="inlineStr"/>
      <c r="L20" s="10" t="inlineStr">
        <is>
          <t>On Road — Active</t>
        </is>
      </c>
    </row>
    <row r="21" ht="22" customHeight="1">
      <c r="B21" s="14" t="inlineStr">
        <is>
          <t>VEH/017</t>
        </is>
      </c>
      <c r="C21" s="15" t="inlineStr">
        <is>
          <t>SUV / Car (Official)</t>
        </is>
      </c>
      <c r="D21" s="16" t="inlineStr"/>
      <c r="E21" s="16" t="inlineStr"/>
      <c r="F21" s="16" t="inlineStr"/>
      <c r="G21" s="16" t="inlineStr">
        <is>
          <t>CNG</t>
        </is>
      </c>
      <c r="H21" s="16" t="inlineStr"/>
      <c r="I21" s="16" t="inlineStr"/>
      <c r="J21" s="16" t="inlineStr"/>
      <c r="K21" s="15" t="inlineStr"/>
      <c r="L21" s="16" t="inlineStr">
        <is>
          <t>Under Maintenance</t>
        </is>
      </c>
    </row>
    <row r="22" ht="22" customHeight="1">
      <c r="B22" s="8" t="inlineStr">
        <is>
          <t>VEH/018</t>
        </is>
      </c>
      <c r="C22" s="9" t="inlineStr">
        <is>
          <t>Tempo Traveller (14 seater)</t>
        </is>
      </c>
      <c r="D22" s="10" t="inlineStr"/>
      <c r="E22" s="10" t="inlineStr"/>
      <c r="F22" s="10" t="inlineStr"/>
      <c r="G22" s="10" t="inlineStr">
        <is>
          <t>Electric</t>
        </is>
      </c>
      <c r="H22" s="10" t="inlineStr"/>
      <c r="I22" s="10" t="inlineStr"/>
      <c r="J22" s="10" t="inlineStr"/>
      <c r="K22" s="9" t="inlineStr"/>
      <c r="L22" s="10" t="inlineStr">
        <is>
          <t>Off Road — Repair</t>
        </is>
      </c>
    </row>
    <row r="23" ht="22" customHeight="1">
      <c r="B23" s="14" t="inlineStr">
        <is>
          <t>VEH/019</t>
        </is>
      </c>
      <c r="C23" s="15" t="inlineStr">
        <is>
          <t>Goods Vehicle / Lorry</t>
        </is>
      </c>
      <c r="D23" s="16" t="inlineStr"/>
      <c r="E23" s="16" t="inlineStr"/>
      <c r="F23" s="16" t="inlineStr"/>
      <c r="G23" s="16" t="inlineStr">
        <is>
          <t>Petrol</t>
        </is>
      </c>
      <c r="H23" s="16" t="inlineStr"/>
      <c r="I23" s="16" t="inlineStr"/>
      <c r="J23" s="16" t="inlineStr"/>
      <c r="K23" s="15" t="inlineStr"/>
      <c r="L23" s="16" t="inlineStr">
        <is>
          <t>Scrapped</t>
        </is>
      </c>
    </row>
    <row r="24" ht="22" customHeight="1">
      <c r="B24" s="8" t="inlineStr">
        <is>
          <t>VEH/020</t>
        </is>
      </c>
      <c r="C24" s="9" t="inlineStr">
        <is>
          <t>Auto / Two Wheeler (Service)</t>
        </is>
      </c>
      <c r="D24" s="10" t="inlineStr"/>
      <c r="E24" s="10" t="inlineStr"/>
      <c r="F24" s="10" t="inlineStr"/>
      <c r="G24" s="10" t="inlineStr">
        <is>
          <t>CNG + Petrol</t>
        </is>
      </c>
      <c r="H24" s="10" t="inlineStr"/>
      <c r="I24" s="10" t="inlineStr"/>
      <c r="J24" s="10" t="inlineStr"/>
      <c r="K24" s="9" t="inlineStr"/>
      <c r="L24" s="10" t="inlineStr">
        <is>
          <t>Outsourced</t>
        </is>
      </c>
    </row>
    <row r="25" ht="22" customHeight="1"/>
    <row r="26" ht="24" customHeight="1">
      <c r="B26" s="34" t="inlineStr">
        <is>
          <t>FLEET SUMMARY</t>
        </is>
      </c>
    </row>
    <row r="27" ht="22" customHeight="1">
      <c r="B27" s="38" t="inlineStr">
        <is>
          <t>Total Vehicles</t>
        </is>
      </c>
      <c r="F27" s="36">
        <f>COUNTA(B5:B24)</f>
        <v/>
      </c>
    </row>
    <row r="28" ht="22" customHeight="1">
      <c r="B28" s="25" t="inlineStr">
        <is>
          <t>Active / On Road</t>
        </is>
      </c>
      <c r="F28" s="37">
        <f>COUNTIF(L5:L24,"On Road — Active")</f>
        <v/>
      </c>
    </row>
    <row r="29" ht="22" customHeight="1">
      <c r="B29" s="38" t="inlineStr">
        <is>
          <t>Under Maintenance</t>
        </is>
      </c>
      <c r="F29" s="36">
        <f>COUNTIF(L5:L24,"Under Maintenance")</f>
        <v/>
      </c>
    </row>
    <row r="30" ht="22" customHeight="1">
      <c r="B30" s="25" t="inlineStr">
        <is>
          <t>Off Road / Repair</t>
        </is>
      </c>
      <c r="F30" s="37">
        <f>COUNTIF(L5:L24,"Off Road — Repair")</f>
        <v/>
      </c>
    </row>
    <row r="31" ht="22" customHeight="1">
      <c r="B31" s="38" t="inlineStr">
        <is>
          <t>Total Seating Capacity (all buses)</t>
        </is>
      </c>
      <c r="F31" s="36">
        <f>IFERROR(SUM(F5:F24),"")</f>
        <v/>
      </c>
    </row>
    <row r="32" ht="22" customHeight="1">
      <c r="B32" s="25" t="inlineStr">
        <is>
          <t>Diesel Vehicles</t>
        </is>
      </c>
      <c r="F32" s="37">
        <f>COUNTIF(G5:G24,"Diesel")</f>
        <v/>
      </c>
    </row>
    <row r="33" ht="22" customHeight="1"/>
    <row r="34" ht="22" customHeight="1"/>
    <row r="35" ht="22" customHeight="1"/>
  </sheetData>
  <mergeCells count="15">
    <mergeCell ref="F31:L31"/>
    <mergeCell ref="B31:E31"/>
    <mergeCell ref="B26:L26"/>
    <mergeCell ref="B27:E27"/>
    <mergeCell ref="F28:L28"/>
    <mergeCell ref="F32:L32"/>
    <mergeCell ref="F27:L27"/>
    <mergeCell ref="F30:L30"/>
    <mergeCell ref="B30:E30"/>
    <mergeCell ref="B3:L3"/>
    <mergeCell ref="B2:L2"/>
    <mergeCell ref="B29:E29"/>
    <mergeCell ref="F29:L29"/>
    <mergeCell ref="B28:E28"/>
    <mergeCell ref="B32:E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TC-05: VEHICLE FITNESS CERTIFICATE, PERMIT &amp; PUC COMPLIANCE REGISTER</t>
        </is>
      </c>
    </row>
    <row r="3" ht="20" customHeight="1">
      <c r="B3" s="17" t="inlineStr">
        <is>
          <t>Statutory Requirement: Every vehicle must have valid RC, Fitness Certificate, Route Permit, Insurance, and PUC at all times. Operating without any of these is a punishable legal offence.</t>
        </is>
      </c>
    </row>
    <row r="4" ht="25" customHeight="1">
      <c r="B4" s="13" t="inlineStr">
        <is>
          <t>Vehicle
Ref.</t>
        </is>
      </c>
      <c r="C4" s="13" t="inlineStr">
        <is>
          <t>Reg. No.</t>
        </is>
      </c>
      <c r="D4" s="13" t="inlineStr">
        <is>
          <t>Fitness Cert.
No.</t>
        </is>
      </c>
      <c r="E4" s="13" t="inlineStr">
        <is>
          <t>Fitness
Valid Upto</t>
        </is>
      </c>
      <c r="F4" s="13" t="inlineStr">
        <is>
          <t>Route Permit
No.</t>
        </is>
      </c>
      <c r="G4" s="13" t="inlineStr">
        <is>
          <t>Permit
Valid Upto</t>
        </is>
      </c>
      <c r="H4" s="13" t="inlineStr">
        <is>
          <t>PUC
Valid Upto</t>
        </is>
      </c>
      <c r="I4" s="13" t="inlineStr">
        <is>
          <t>Tax
Paid Upto</t>
        </is>
      </c>
      <c r="J4" s="13" t="inlineStr">
        <is>
          <t>Days to
Expiry (Fitness)</t>
        </is>
      </c>
      <c r="K4" s="13" t="inlineStr">
        <is>
          <t>Status</t>
        </is>
      </c>
    </row>
    <row r="5" ht="22" customHeight="1">
      <c r="B5" s="14" t="inlineStr">
        <is>
          <t>VEH/001</t>
        </is>
      </c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39">
        <f>IFERROR(E5-TODAY(),"")</f>
        <v/>
      </c>
      <c r="K5" s="16">
        <f>IFERROR(IF(E5&lt;TODAY(),"EXPIRED — Immediate Action",IF(E5-TODAY()&lt;=30,"Expiring Soon","Valid")),"")</f>
        <v/>
      </c>
    </row>
    <row r="6" ht="22" customHeight="1">
      <c r="B6" s="8" t="inlineStr">
        <is>
          <t>VEH/002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40">
        <f>IFERROR(E6-TODAY(),"")</f>
        <v/>
      </c>
      <c r="K6" s="10">
        <f>IFERROR(IF(E6&lt;TODAY(),"EXPIRED — Immediate Action",IF(E6-TODAY()&lt;=30,"Expiring Soon","Valid")),"")</f>
        <v/>
      </c>
    </row>
    <row r="7" ht="22" customHeight="1">
      <c r="B7" s="14" t="inlineStr">
        <is>
          <t>VEH/003</t>
        </is>
      </c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39">
        <f>IFERROR(E7-TODAY(),"")</f>
        <v/>
      </c>
      <c r="K7" s="16">
        <f>IFERROR(IF(E7&lt;TODAY(),"EXPIRED — Immediate Action",IF(E7-TODAY()&lt;=30,"Expiring Soon","Valid")),"")</f>
        <v/>
      </c>
    </row>
    <row r="8" ht="22" customHeight="1">
      <c r="B8" s="8" t="inlineStr">
        <is>
          <t>VEH/004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40">
        <f>IFERROR(E8-TODAY(),"")</f>
        <v/>
      </c>
      <c r="K8" s="10">
        <f>IFERROR(IF(E8&lt;TODAY(),"EXPIRED — Immediate Action",IF(E8-TODAY()&lt;=30,"Expiring Soon","Valid")),"")</f>
        <v/>
      </c>
    </row>
    <row r="9" ht="22" customHeight="1">
      <c r="B9" s="14" t="inlineStr">
        <is>
          <t>VEH/005</t>
        </is>
      </c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39">
        <f>IFERROR(E9-TODAY(),"")</f>
        <v/>
      </c>
      <c r="K9" s="16">
        <f>IFERROR(IF(E9&lt;TODAY(),"EXPIRED — Immediate Action",IF(E9-TODAY()&lt;=30,"Expiring Soon","Valid")),"")</f>
        <v/>
      </c>
    </row>
    <row r="10" ht="22" customHeight="1">
      <c r="B10" s="8" t="inlineStr">
        <is>
          <t>VEH/006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40">
        <f>IFERROR(E10-TODAY(),"")</f>
        <v/>
      </c>
      <c r="K10" s="10">
        <f>IFERROR(IF(E10&lt;TODAY(),"EXPIRED — Immediate Action",IF(E10-TODAY()&lt;=30,"Expiring Soon","Valid")),"")</f>
        <v/>
      </c>
    </row>
    <row r="11" ht="22" customHeight="1">
      <c r="B11" s="14" t="inlineStr">
        <is>
          <t>VEH/007</t>
        </is>
      </c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39">
        <f>IFERROR(E11-TODAY(),"")</f>
        <v/>
      </c>
      <c r="K11" s="16">
        <f>IFERROR(IF(E11&lt;TODAY(),"EXPIRED — Immediate Action",IF(E11-TODAY()&lt;=30,"Expiring Soon","Valid")),"")</f>
        <v/>
      </c>
    </row>
    <row r="12" ht="22" customHeight="1">
      <c r="B12" s="8" t="inlineStr">
        <is>
          <t>VEH/008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40">
        <f>IFERROR(E12-TODAY(),"")</f>
        <v/>
      </c>
      <c r="K12" s="10">
        <f>IFERROR(IF(E12&lt;TODAY(),"EXPIRED — Immediate Action",IF(E12-TODAY()&lt;=30,"Expiring Soon","Valid")),"")</f>
        <v/>
      </c>
    </row>
    <row r="13" ht="22" customHeight="1">
      <c r="B13" s="14" t="inlineStr">
        <is>
          <t>VEH/009</t>
        </is>
      </c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39">
        <f>IFERROR(E13-TODAY(),"")</f>
        <v/>
      </c>
      <c r="K13" s="16">
        <f>IFERROR(IF(E13&lt;TODAY(),"EXPIRED — Immediate Action",IF(E13-TODAY()&lt;=30,"Expiring Soon","Valid")),"")</f>
        <v/>
      </c>
    </row>
    <row r="14" ht="22" customHeight="1">
      <c r="B14" s="8" t="inlineStr">
        <is>
          <t>VEH/010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40">
        <f>IFERROR(E14-TODAY(),"")</f>
        <v/>
      </c>
      <c r="K14" s="10">
        <f>IFERROR(IF(E14&lt;TODAY(),"EXPIRED — Immediate Action",IF(E14-TODAY()&lt;=30,"Expiring Soon","Valid")),"")</f>
        <v/>
      </c>
    </row>
    <row r="15" ht="22" customHeight="1">
      <c r="B15" s="14" t="inlineStr">
        <is>
          <t>VEH/011</t>
        </is>
      </c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39">
        <f>IFERROR(E15-TODAY(),"")</f>
        <v/>
      </c>
      <c r="K15" s="16">
        <f>IFERROR(IF(E15&lt;TODAY(),"EXPIRED — Immediate Action",IF(E15-TODAY()&lt;=30,"Expiring Soon","Valid")),"")</f>
        <v/>
      </c>
    </row>
    <row r="16" ht="22" customHeight="1">
      <c r="B16" s="8" t="inlineStr">
        <is>
          <t>VEH/012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40">
        <f>IFERROR(E16-TODAY(),"")</f>
        <v/>
      </c>
      <c r="K16" s="10">
        <f>IFERROR(IF(E16&lt;TODAY(),"EXPIRED — Immediate Action",IF(E16-TODAY()&lt;=30,"Expiring Soon","Valid")),"")</f>
        <v/>
      </c>
    </row>
    <row r="17" ht="22" customHeight="1">
      <c r="B17" s="14" t="inlineStr">
        <is>
          <t>VEH/013</t>
        </is>
      </c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39">
        <f>IFERROR(E17-TODAY(),"")</f>
        <v/>
      </c>
      <c r="K17" s="16">
        <f>IFERROR(IF(E17&lt;TODAY(),"EXPIRED — Immediate Action",IF(E17-TODAY()&lt;=30,"Expiring Soon","Valid")),"")</f>
        <v/>
      </c>
    </row>
    <row r="18" ht="22" customHeight="1">
      <c r="B18" s="8" t="inlineStr">
        <is>
          <t>VEH/014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40">
        <f>IFERROR(E18-TODAY(),"")</f>
        <v/>
      </c>
      <c r="K18" s="10">
        <f>IFERROR(IF(E18&lt;TODAY(),"EXPIRED — Immediate Action",IF(E18-TODAY()&lt;=30,"Expiring Soon","Valid")),"")</f>
        <v/>
      </c>
    </row>
    <row r="19" ht="22" customHeight="1">
      <c r="B19" s="14" t="inlineStr">
        <is>
          <t>VEH/015</t>
        </is>
      </c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  <c r="J19" s="39">
        <f>IFERROR(E19-TODAY(),"")</f>
        <v/>
      </c>
      <c r="K19" s="16">
        <f>IFERROR(IF(E19&lt;TODAY(),"EXPIRED — Immediate Action",IF(E19-TODAY()&lt;=30,"Expiring Soon","Valid")),"")</f>
        <v/>
      </c>
    </row>
    <row r="20" ht="22" customHeight="1">
      <c r="B20" s="8" t="inlineStr">
        <is>
          <t>VEH/016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40">
        <f>IFERROR(E20-TODAY(),"")</f>
        <v/>
      </c>
      <c r="K20" s="10">
        <f>IFERROR(IF(E20&lt;TODAY(),"EXPIRED — Immediate Action",IF(E20-TODAY()&lt;=30,"Expiring Soon","Valid")),"")</f>
        <v/>
      </c>
    </row>
    <row r="21" ht="22" customHeight="1">
      <c r="B21" s="14" t="inlineStr">
        <is>
          <t>VEH/017</t>
        </is>
      </c>
      <c r="C21" s="16" t="inlineStr"/>
      <c r="D21" s="16" t="inlineStr"/>
      <c r="E21" s="16" t="inlineStr"/>
      <c r="F21" s="16" t="inlineStr"/>
      <c r="G21" s="16" t="inlineStr"/>
      <c r="H21" s="16" t="inlineStr"/>
      <c r="I21" s="16" t="inlineStr"/>
      <c r="J21" s="39">
        <f>IFERROR(E21-TODAY(),"")</f>
        <v/>
      </c>
      <c r="K21" s="16">
        <f>IFERROR(IF(E21&lt;TODAY(),"EXPIRED — Immediate Action",IF(E21-TODAY()&lt;=30,"Expiring Soon","Valid")),"")</f>
        <v/>
      </c>
    </row>
    <row r="22" ht="22" customHeight="1">
      <c r="B22" s="8" t="inlineStr">
        <is>
          <t>VEH/018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40">
        <f>IFERROR(E22-TODAY(),"")</f>
        <v/>
      </c>
      <c r="K22" s="10">
        <f>IFERROR(IF(E22&lt;TODAY(),"EXPIRED — Immediate Action",IF(E22-TODAY()&lt;=30,"Expiring Soon","Valid")),"")</f>
        <v/>
      </c>
    </row>
    <row r="23" ht="22" customHeight="1">
      <c r="B23" s="14" t="inlineStr">
        <is>
          <t>VEH/019</t>
        </is>
      </c>
      <c r="C23" s="16" t="inlineStr"/>
      <c r="D23" s="16" t="inlineStr"/>
      <c r="E23" s="16" t="inlineStr"/>
      <c r="F23" s="16" t="inlineStr"/>
      <c r="G23" s="16" t="inlineStr"/>
      <c r="H23" s="16" t="inlineStr"/>
      <c r="I23" s="16" t="inlineStr"/>
      <c r="J23" s="39">
        <f>IFERROR(E23-TODAY(),"")</f>
        <v/>
      </c>
      <c r="K23" s="16">
        <f>IFERROR(IF(E23&lt;TODAY(),"EXPIRED — Immediate Action",IF(E23-TODAY()&lt;=30,"Expiring Soon","Valid")),"")</f>
        <v/>
      </c>
    </row>
    <row r="24" ht="22" customHeight="1">
      <c r="B24" s="8" t="inlineStr">
        <is>
          <t>VEH/020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40">
        <f>IFERROR(E24-TODAY(),"")</f>
        <v/>
      </c>
      <c r="K24" s="10">
        <f>IFERROR(IF(E24&lt;TODAY(),"EXPIRED — Immediate Action",IF(E24-TODAY()&lt;=30,"Expiring Soon","Valid")),"")</f>
        <v/>
      </c>
    </row>
    <row r="25" ht="22" customHeight="1"/>
    <row r="26" ht="24" customHeight="1">
      <c r="B26" s="34" t="inlineStr">
        <is>
          <t>COMPLIANCE SUMMARY</t>
        </is>
      </c>
    </row>
    <row r="27" ht="22" customHeight="1">
      <c r="B27" s="38" t="inlineStr">
        <is>
          <t>Total Vehicles</t>
        </is>
      </c>
      <c r="F27" s="41">
        <f>COUNTA(B5:B24)</f>
        <v/>
      </c>
    </row>
    <row r="28" ht="22" customHeight="1">
      <c r="B28" s="25" t="inlineStr">
        <is>
          <t>Fitness Certificate — Valid</t>
        </is>
      </c>
      <c r="F28" s="37">
        <f>COUNTIF(K5:K24,"Valid")</f>
        <v/>
      </c>
    </row>
    <row r="29" ht="22" customHeight="1">
      <c r="B29" s="38" t="inlineStr">
        <is>
          <t>Fitness Certificate — Expired</t>
        </is>
      </c>
      <c r="F29" s="41">
        <f>COUNTIF(K5:K24,"EXPIRED — Immediate Action")</f>
        <v/>
      </c>
    </row>
    <row r="30" ht="22" customHeight="1">
      <c r="B30" s="25" t="inlineStr">
        <is>
          <t>Fitness Certificate — Expiring in 30 Days</t>
        </is>
      </c>
      <c r="F30" s="37">
        <f>COUNTIF(K5:K24,"Expiring Soon")</f>
        <v/>
      </c>
    </row>
    <row r="31" ht="22" customHeight="1">
      <c r="B31" s="38" t="inlineStr">
        <is>
          <t>Vehicles with All Documents Current</t>
        </is>
      </c>
      <c r="F31" s="41" t="inlineStr"/>
    </row>
    <row r="32" ht="22" customHeight="1">
      <c r="B32" s="25" t="inlineStr">
        <is>
          <t>Vehicles Needing Immediate Attention</t>
        </is>
      </c>
      <c r="F32" s="37" t="inlineStr"/>
    </row>
    <row r="33" ht="22" customHeight="1"/>
  </sheetData>
  <mergeCells count="15">
    <mergeCell ref="B31:E31"/>
    <mergeCell ref="B27:E27"/>
    <mergeCell ref="B26:K26"/>
    <mergeCell ref="F28:K28"/>
    <mergeCell ref="F32:K32"/>
    <mergeCell ref="B30:E30"/>
    <mergeCell ref="F31:K31"/>
    <mergeCell ref="F27:K27"/>
    <mergeCell ref="B29:E29"/>
    <mergeCell ref="B2:K2"/>
    <mergeCell ref="B28:E28"/>
    <mergeCell ref="F30:K30"/>
    <mergeCell ref="B3:K3"/>
    <mergeCell ref="F29:K29"/>
    <mergeCell ref="B32:E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TC-07: VEHICLE DAILY LOG BOOK</t>
        </is>
      </c>
    </row>
    <row r="3" ht="20" customHeight="1">
      <c r="B3" s="2" t="inlineStr">
        <is>
          <t>Vehicle Ref.: _______  Reg. No.: _______  Driver: ___________________  Month: _______  A.Y.: _______</t>
        </is>
      </c>
    </row>
    <row r="4" ht="25" customHeight="1">
      <c r="B4" s="13" t="inlineStr">
        <is>
          <t>Date</t>
        </is>
      </c>
      <c r="C4" s="13" t="inlineStr">
        <is>
          <t>Route /
Trip</t>
        </is>
      </c>
      <c r="D4" s="13" t="inlineStr">
        <is>
          <t>Trip
Type</t>
        </is>
      </c>
      <c r="E4" s="13" t="inlineStr">
        <is>
          <t>Departure
Time</t>
        </is>
      </c>
      <c r="F4" s="13" t="inlineStr">
        <is>
          <t>Return
Time</t>
        </is>
      </c>
      <c r="G4" s="13" t="inlineStr">
        <is>
          <t>Odometer
Start (km)</t>
        </is>
      </c>
      <c r="H4" s="13" t="inlineStr">
        <is>
          <t>Odometer
End (km)</t>
        </is>
      </c>
      <c r="I4" s="13" t="inlineStr">
        <is>
          <t>Distance
(km)</t>
        </is>
      </c>
      <c r="J4" s="13" t="inlineStr">
        <is>
          <t>Fuel
Issued (L)</t>
        </is>
      </c>
      <c r="K4" s="13" t="inlineStr">
        <is>
          <t>Passengers
Carried</t>
        </is>
      </c>
      <c r="L4" s="13" t="inlineStr">
        <is>
          <t>Driver
Signature</t>
        </is>
      </c>
    </row>
    <row r="5" ht="22" customHeight="1">
      <c r="B5" s="16" t="inlineStr"/>
      <c r="C5" s="15" t="inlineStr"/>
      <c r="D5" s="16" t="inlineStr">
        <is>
          <t>Morning Route (Students)</t>
        </is>
      </c>
      <c r="E5" s="16" t="inlineStr"/>
      <c r="F5" s="16" t="inlineStr"/>
      <c r="G5" s="16" t="inlineStr"/>
      <c r="H5" s="16" t="inlineStr"/>
      <c r="I5" s="42">
        <f>IFERROR(H5-G5,"")</f>
        <v/>
      </c>
      <c r="J5" s="16" t="inlineStr"/>
      <c r="K5" s="16" t="inlineStr"/>
      <c r="L5" s="16" t="inlineStr"/>
    </row>
    <row r="6" ht="22" customHeight="1">
      <c r="B6" s="10" t="inlineStr"/>
      <c r="C6" s="9" t="inlineStr"/>
      <c r="D6" s="10" t="inlineStr">
        <is>
          <t>Evening Route (Students)</t>
        </is>
      </c>
      <c r="E6" s="10" t="inlineStr"/>
      <c r="F6" s="10" t="inlineStr"/>
      <c r="G6" s="10" t="inlineStr"/>
      <c r="H6" s="10" t="inlineStr"/>
      <c r="I6" s="37">
        <f>IFERROR(H6-G6,"")</f>
        <v/>
      </c>
      <c r="J6" s="10" t="inlineStr"/>
      <c r="K6" s="10" t="inlineStr"/>
      <c r="L6" s="10" t="inlineStr"/>
    </row>
    <row r="7" ht="22" customHeight="1">
      <c r="B7" s="16" t="inlineStr"/>
      <c r="C7" s="15" t="inlineStr"/>
      <c r="D7" s="16" t="inlineStr">
        <is>
          <t>Staff Pickup</t>
        </is>
      </c>
      <c r="E7" s="16" t="inlineStr"/>
      <c r="F7" s="16" t="inlineStr"/>
      <c r="G7" s="16" t="inlineStr"/>
      <c r="H7" s="16" t="inlineStr"/>
      <c r="I7" s="42">
        <f>IFERROR(H7-G7,"")</f>
        <v/>
      </c>
      <c r="J7" s="16" t="inlineStr"/>
      <c r="K7" s="16" t="inlineStr"/>
      <c r="L7" s="16" t="inlineStr"/>
    </row>
    <row r="8" ht="22" customHeight="1">
      <c r="B8" s="10" t="inlineStr"/>
      <c r="C8" s="9" t="inlineStr"/>
      <c r="D8" s="10" t="inlineStr">
        <is>
          <t>Staff Drop</t>
        </is>
      </c>
      <c r="E8" s="10" t="inlineStr"/>
      <c r="F8" s="10" t="inlineStr"/>
      <c r="G8" s="10" t="inlineStr"/>
      <c r="H8" s="10" t="inlineStr"/>
      <c r="I8" s="37">
        <f>IFERROR(H8-G8,"")</f>
        <v/>
      </c>
      <c r="J8" s="10" t="inlineStr"/>
      <c r="K8" s="10" t="inlineStr"/>
      <c r="L8" s="10" t="inlineStr"/>
    </row>
    <row r="9" ht="22" customHeight="1">
      <c r="B9" s="16" t="inlineStr"/>
      <c r="C9" s="15" t="inlineStr"/>
      <c r="D9" s="16" t="inlineStr">
        <is>
          <t>Special Trip</t>
        </is>
      </c>
      <c r="E9" s="16" t="inlineStr"/>
      <c r="F9" s="16" t="inlineStr"/>
      <c r="G9" s="16" t="inlineStr"/>
      <c r="H9" s="16" t="inlineStr"/>
      <c r="I9" s="42">
        <f>IFERROR(H9-G9,"")</f>
        <v/>
      </c>
      <c r="J9" s="16" t="inlineStr"/>
      <c r="K9" s="16" t="inlineStr"/>
      <c r="L9" s="16" t="inlineStr"/>
    </row>
    <row r="10" ht="22" customHeight="1">
      <c r="B10" s="10" t="inlineStr"/>
      <c r="C10" s="9" t="inlineStr"/>
      <c r="D10" s="10" t="inlineStr">
        <is>
          <t>Industrial Visit</t>
        </is>
      </c>
      <c r="E10" s="10" t="inlineStr"/>
      <c r="F10" s="10" t="inlineStr"/>
      <c r="G10" s="10" t="inlineStr"/>
      <c r="H10" s="10" t="inlineStr"/>
      <c r="I10" s="37">
        <f>IFERROR(H10-G10,"")</f>
        <v/>
      </c>
      <c r="J10" s="10" t="inlineStr"/>
      <c r="K10" s="10" t="inlineStr"/>
      <c r="L10" s="10" t="inlineStr"/>
    </row>
    <row r="11" ht="22" customHeight="1">
      <c r="B11" s="16" t="inlineStr"/>
      <c r="C11" s="15" t="inlineStr"/>
      <c r="D11" s="16" t="inlineStr">
        <is>
          <t>Sports Event</t>
        </is>
      </c>
      <c r="E11" s="16" t="inlineStr"/>
      <c r="F11" s="16" t="inlineStr"/>
      <c r="G11" s="16" t="inlineStr"/>
      <c r="H11" s="16" t="inlineStr"/>
      <c r="I11" s="42">
        <f>IFERROR(H11-G11,"")</f>
        <v/>
      </c>
      <c r="J11" s="16" t="inlineStr"/>
      <c r="K11" s="16" t="inlineStr"/>
      <c r="L11" s="16" t="inlineStr"/>
    </row>
    <row r="12" ht="22" customHeight="1">
      <c r="B12" s="10" t="inlineStr"/>
      <c r="C12" s="9" t="inlineStr"/>
      <c r="D12" s="10" t="inlineStr">
        <is>
          <t>Exam Duty</t>
        </is>
      </c>
      <c r="E12" s="10" t="inlineStr"/>
      <c r="F12" s="10" t="inlineStr"/>
      <c r="G12" s="10" t="inlineStr"/>
      <c r="H12" s="10" t="inlineStr"/>
      <c r="I12" s="37">
        <f>IFERROR(H12-G12,"")</f>
        <v/>
      </c>
      <c r="J12" s="10" t="inlineStr"/>
      <c r="K12" s="10" t="inlineStr"/>
      <c r="L12" s="10" t="inlineStr"/>
    </row>
    <row r="13" ht="22" customHeight="1">
      <c r="B13" s="16" t="inlineStr"/>
      <c r="C13" s="15" t="inlineStr"/>
      <c r="D13" s="16" t="inlineStr">
        <is>
          <t>Charter / Hired</t>
        </is>
      </c>
      <c r="E13" s="16" t="inlineStr"/>
      <c r="F13" s="16" t="inlineStr"/>
      <c r="G13" s="16" t="inlineStr"/>
      <c r="H13" s="16" t="inlineStr"/>
      <c r="I13" s="42">
        <f>IFERROR(H13-G13,"")</f>
        <v/>
      </c>
      <c r="J13" s="16" t="inlineStr"/>
      <c r="K13" s="16" t="inlineStr"/>
      <c r="L13" s="16" t="inlineStr"/>
    </row>
    <row r="14" ht="22" customHeight="1">
      <c r="B14" s="10" t="inlineStr"/>
      <c r="C14" s="9" t="inlineStr"/>
      <c r="D14" s="10" t="inlineStr">
        <is>
          <t>Maintenance Run</t>
        </is>
      </c>
      <c r="E14" s="10" t="inlineStr"/>
      <c r="F14" s="10" t="inlineStr"/>
      <c r="G14" s="10" t="inlineStr"/>
      <c r="H14" s="10" t="inlineStr"/>
      <c r="I14" s="37">
        <f>IFERROR(H14-G14,"")</f>
        <v/>
      </c>
      <c r="J14" s="10" t="inlineStr"/>
      <c r="K14" s="10" t="inlineStr"/>
      <c r="L14" s="10" t="inlineStr"/>
    </row>
    <row r="15" ht="22" customHeight="1">
      <c r="B15" s="16" t="inlineStr"/>
      <c r="C15" s="15" t="inlineStr"/>
      <c r="D15" s="16" t="inlineStr">
        <is>
          <t>Morning Route (Students)</t>
        </is>
      </c>
      <c r="E15" s="16" t="inlineStr"/>
      <c r="F15" s="16" t="inlineStr"/>
      <c r="G15" s="16" t="inlineStr"/>
      <c r="H15" s="16" t="inlineStr"/>
      <c r="I15" s="42">
        <f>IFERROR(H15-G15,"")</f>
        <v/>
      </c>
      <c r="J15" s="16" t="inlineStr"/>
      <c r="K15" s="16" t="inlineStr"/>
      <c r="L15" s="16" t="inlineStr"/>
    </row>
    <row r="16" ht="22" customHeight="1">
      <c r="B16" s="10" t="inlineStr"/>
      <c r="C16" s="9" t="inlineStr"/>
      <c r="D16" s="10" t="inlineStr">
        <is>
          <t>Evening Route (Students)</t>
        </is>
      </c>
      <c r="E16" s="10" t="inlineStr"/>
      <c r="F16" s="10" t="inlineStr"/>
      <c r="G16" s="10" t="inlineStr"/>
      <c r="H16" s="10" t="inlineStr"/>
      <c r="I16" s="37">
        <f>IFERROR(H16-G16,"")</f>
        <v/>
      </c>
      <c r="J16" s="10" t="inlineStr"/>
      <c r="K16" s="10" t="inlineStr"/>
      <c r="L16" s="10" t="inlineStr"/>
    </row>
    <row r="17" ht="22" customHeight="1">
      <c r="B17" s="16" t="inlineStr"/>
      <c r="C17" s="15" t="inlineStr"/>
      <c r="D17" s="16" t="inlineStr">
        <is>
          <t>Staff Pickup</t>
        </is>
      </c>
      <c r="E17" s="16" t="inlineStr"/>
      <c r="F17" s="16" t="inlineStr"/>
      <c r="G17" s="16" t="inlineStr"/>
      <c r="H17" s="16" t="inlineStr"/>
      <c r="I17" s="42">
        <f>IFERROR(H17-G17,"")</f>
        <v/>
      </c>
      <c r="J17" s="16" t="inlineStr"/>
      <c r="K17" s="16" t="inlineStr"/>
      <c r="L17" s="16" t="inlineStr"/>
    </row>
    <row r="18" ht="22" customHeight="1">
      <c r="B18" s="10" t="inlineStr"/>
      <c r="C18" s="9" t="inlineStr"/>
      <c r="D18" s="10" t="inlineStr">
        <is>
          <t>Staff Drop</t>
        </is>
      </c>
      <c r="E18" s="10" t="inlineStr"/>
      <c r="F18" s="10" t="inlineStr"/>
      <c r="G18" s="10" t="inlineStr"/>
      <c r="H18" s="10" t="inlineStr"/>
      <c r="I18" s="37">
        <f>IFERROR(H18-G18,"")</f>
        <v/>
      </c>
      <c r="J18" s="10" t="inlineStr"/>
      <c r="K18" s="10" t="inlineStr"/>
      <c r="L18" s="10" t="inlineStr"/>
    </row>
    <row r="19" ht="22" customHeight="1">
      <c r="B19" s="16" t="inlineStr"/>
      <c r="C19" s="15" t="inlineStr"/>
      <c r="D19" s="16" t="inlineStr">
        <is>
          <t>Special Trip</t>
        </is>
      </c>
      <c r="E19" s="16" t="inlineStr"/>
      <c r="F19" s="16" t="inlineStr"/>
      <c r="G19" s="16" t="inlineStr"/>
      <c r="H19" s="16" t="inlineStr"/>
      <c r="I19" s="42">
        <f>IFERROR(H19-G19,"")</f>
        <v/>
      </c>
      <c r="J19" s="16" t="inlineStr"/>
      <c r="K19" s="16" t="inlineStr"/>
      <c r="L19" s="16" t="inlineStr"/>
    </row>
    <row r="20" ht="22" customHeight="1">
      <c r="B20" s="10" t="inlineStr"/>
      <c r="C20" s="9" t="inlineStr"/>
      <c r="D20" s="10" t="inlineStr">
        <is>
          <t>Industrial Visit</t>
        </is>
      </c>
      <c r="E20" s="10" t="inlineStr"/>
      <c r="F20" s="10" t="inlineStr"/>
      <c r="G20" s="10" t="inlineStr"/>
      <c r="H20" s="10" t="inlineStr"/>
      <c r="I20" s="37">
        <f>IFERROR(H20-G20,"")</f>
        <v/>
      </c>
      <c r="J20" s="10" t="inlineStr"/>
      <c r="K20" s="10" t="inlineStr"/>
      <c r="L20" s="10" t="inlineStr"/>
    </row>
    <row r="21" ht="22" customHeight="1">
      <c r="B21" s="16" t="inlineStr"/>
      <c r="C21" s="15" t="inlineStr"/>
      <c r="D21" s="16" t="inlineStr">
        <is>
          <t>Sports Event</t>
        </is>
      </c>
      <c r="E21" s="16" t="inlineStr"/>
      <c r="F21" s="16" t="inlineStr"/>
      <c r="G21" s="16" t="inlineStr"/>
      <c r="H21" s="16" t="inlineStr"/>
      <c r="I21" s="42">
        <f>IFERROR(H21-G21,"")</f>
        <v/>
      </c>
      <c r="J21" s="16" t="inlineStr"/>
      <c r="K21" s="16" t="inlineStr"/>
      <c r="L21" s="16" t="inlineStr"/>
    </row>
    <row r="22" ht="22" customHeight="1">
      <c r="B22" s="10" t="inlineStr"/>
      <c r="C22" s="9" t="inlineStr"/>
      <c r="D22" s="10" t="inlineStr">
        <is>
          <t>Exam Duty</t>
        </is>
      </c>
      <c r="E22" s="10" t="inlineStr"/>
      <c r="F22" s="10" t="inlineStr"/>
      <c r="G22" s="10" t="inlineStr"/>
      <c r="H22" s="10" t="inlineStr"/>
      <c r="I22" s="37">
        <f>IFERROR(H22-G22,"")</f>
        <v/>
      </c>
      <c r="J22" s="10" t="inlineStr"/>
      <c r="K22" s="10" t="inlineStr"/>
      <c r="L22" s="10" t="inlineStr"/>
    </row>
    <row r="23" ht="22" customHeight="1">
      <c r="B23" s="16" t="inlineStr"/>
      <c r="C23" s="15" t="inlineStr"/>
      <c r="D23" s="16" t="inlineStr">
        <is>
          <t>Charter / Hired</t>
        </is>
      </c>
      <c r="E23" s="16" t="inlineStr"/>
      <c r="F23" s="16" t="inlineStr"/>
      <c r="G23" s="16" t="inlineStr"/>
      <c r="H23" s="16" t="inlineStr"/>
      <c r="I23" s="42">
        <f>IFERROR(H23-G23,"")</f>
        <v/>
      </c>
      <c r="J23" s="16" t="inlineStr"/>
      <c r="K23" s="16" t="inlineStr"/>
      <c r="L23" s="16" t="inlineStr"/>
    </row>
    <row r="24" ht="22" customHeight="1">
      <c r="B24" s="10" t="inlineStr"/>
      <c r="C24" s="9" t="inlineStr"/>
      <c r="D24" s="10" t="inlineStr">
        <is>
          <t>Maintenance Run</t>
        </is>
      </c>
      <c r="E24" s="10" t="inlineStr"/>
      <c r="F24" s="10" t="inlineStr"/>
      <c r="G24" s="10" t="inlineStr"/>
      <c r="H24" s="10" t="inlineStr"/>
      <c r="I24" s="37">
        <f>IFERROR(H24-G24,"")</f>
        <v/>
      </c>
      <c r="J24" s="10" t="inlineStr"/>
      <c r="K24" s="10" t="inlineStr"/>
      <c r="L24" s="10" t="inlineStr"/>
    </row>
    <row r="25" ht="22" customHeight="1">
      <c r="B25" s="16" t="inlineStr"/>
      <c r="C25" s="15" t="inlineStr"/>
      <c r="D25" s="16" t="inlineStr">
        <is>
          <t>Morning Route (Students)</t>
        </is>
      </c>
      <c r="E25" s="16" t="inlineStr"/>
      <c r="F25" s="16" t="inlineStr"/>
      <c r="G25" s="16" t="inlineStr"/>
      <c r="H25" s="16" t="inlineStr"/>
      <c r="I25" s="42">
        <f>IFERROR(H25-G25,"")</f>
        <v/>
      </c>
      <c r="J25" s="16" t="inlineStr"/>
      <c r="K25" s="16" t="inlineStr"/>
      <c r="L25" s="16" t="inlineStr"/>
    </row>
    <row r="26" ht="22" customHeight="1">
      <c r="B26" s="10" t="inlineStr"/>
      <c r="C26" s="9" t="inlineStr"/>
      <c r="D26" s="10" t="inlineStr">
        <is>
          <t>Evening Route (Students)</t>
        </is>
      </c>
      <c r="E26" s="10" t="inlineStr"/>
      <c r="F26" s="10" t="inlineStr"/>
      <c r="G26" s="10" t="inlineStr"/>
      <c r="H26" s="10" t="inlineStr"/>
      <c r="I26" s="37">
        <f>IFERROR(H26-G26,"")</f>
        <v/>
      </c>
      <c r="J26" s="10" t="inlineStr"/>
      <c r="K26" s="10" t="inlineStr"/>
      <c r="L26" s="10" t="inlineStr"/>
    </row>
    <row r="27" ht="22" customHeight="1">
      <c r="B27" s="16" t="inlineStr"/>
      <c r="C27" s="15" t="inlineStr"/>
      <c r="D27" s="16" t="inlineStr">
        <is>
          <t>Staff Pickup</t>
        </is>
      </c>
      <c r="E27" s="16" t="inlineStr"/>
      <c r="F27" s="16" t="inlineStr"/>
      <c r="G27" s="16" t="inlineStr"/>
      <c r="H27" s="16" t="inlineStr"/>
      <c r="I27" s="42">
        <f>IFERROR(H27-G27,"")</f>
        <v/>
      </c>
      <c r="J27" s="16" t="inlineStr"/>
      <c r="K27" s="16" t="inlineStr"/>
      <c r="L27" s="16" t="inlineStr"/>
    </row>
    <row r="28" ht="22" customHeight="1">
      <c r="B28" s="10" t="inlineStr"/>
      <c r="C28" s="9" t="inlineStr"/>
      <c r="D28" s="10" t="inlineStr">
        <is>
          <t>Staff Drop</t>
        </is>
      </c>
      <c r="E28" s="10" t="inlineStr"/>
      <c r="F28" s="10" t="inlineStr"/>
      <c r="G28" s="10" t="inlineStr"/>
      <c r="H28" s="10" t="inlineStr"/>
      <c r="I28" s="37">
        <f>IFERROR(H28-G28,"")</f>
        <v/>
      </c>
      <c r="J28" s="10" t="inlineStr"/>
      <c r="K28" s="10" t="inlineStr"/>
      <c r="L28" s="10" t="inlineStr"/>
    </row>
    <row r="29" ht="22" customHeight="1">
      <c r="B29" s="16" t="inlineStr"/>
      <c r="C29" s="15" t="inlineStr"/>
      <c r="D29" s="16" t="inlineStr">
        <is>
          <t>Special Trip</t>
        </is>
      </c>
      <c r="E29" s="16" t="inlineStr"/>
      <c r="F29" s="16" t="inlineStr"/>
      <c r="G29" s="16" t="inlineStr"/>
      <c r="H29" s="16" t="inlineStr"/>
      <c r="I29" s="42">
        <f>IFERROR(H29-G29,"")</f>
        <v/>
      </c>
      <c r="J29" s="16" t="inlineStr"/>
      <c r="K29" s="16" t="inlineStr"/>
      <c r="L29" s="16" t="inlineStr"/>
    </row>
    <row r="30" ht="22" customHeight="1">
      <c r="B30" s="10" t="inlineStr"/>
      <c r="C30" s="9" t="inlineStr"/>
      <c r="D30" s="10" t="inlineStr">
        <is>
          <t>Industrial Visit</t>
        </is>
      </c>
      <c r="E30" s="10" t="inlineStr"/>
      <c r="F30" s="10" t="inlineStr"/>
      <c r="G30" s="10" t="inlineStr"/>
      <c r="H30" s="10" t="inlineStr"/>
      <c r="I30" s="37">
        <f>IFERROR(H30-G30,"")</f>
        <v/>
      </c>
      <c r="J30" s="10" t="inlineStr"/>
      <c r="K30" s="10" t="inlineStr"/>
      <c r="L30" s="10" t="inlineStr"/>
    </row>
    <row r="31" ht="22" customHeight="1"/>
    <row r="32" ht="24" customHeight="1">
      <c r="B32" s="34" t="inlineStr">
        <is>
          <t>MONTHLY VEHICLE SUMMARY</t>
        </is>
      </c>
    </row>
    <row r="33" ht="22" customHeight="1">
      <c r="B33" s="38" t="inlineStr">
        <is>
          <t>Total Trips This Month</t>
        </is>
      </c>
      <c r="F33" s="36">
        <f>COUNTA(C5:C30)</f>
        <v/>
      </c>
    </row>
    <row r="34" ht="22" customHeight="1">
      <c r="B34" s="25" t="inlineStr">
        <is>
          <t>Total Distance (km)</t>
        </is>
      </c>
      <c r="F34" s="37">
        <f>IFERROR(SUM(I5:I30),"")</f>
        <v/>
      </c>
    </row>
    <row r="35" ht="22" customHeight="1">
      <c r="B35" s="38" t="inlineStr">
        <is>
          <t>Total Fuel Issued (Litres)</t>
        </is>
      </c>
      <c r="F35" s="36">
        <f>IFERROR(SUM(J5:J30),"")</f>
        <v/>
      </c>
    </row>
    <row r="36">
      <c r="B36" s="25" t="inlineStr">
        <is>
          <t>Fuel Efficiency (km/L)</t>
        </is>
      </c>
      <c r="F36" s="37">
        <f>IFERROR(ROUND(C34/C35,2),"")</f>
        <v/>
      </c>
    </row>
    <row r="37">
      <c r="B37" s="38" t="inlineStr">
        <is>
          <t>Total Passengers Carried</t>
        </is>
      </c>
      <c r="F37" s="36">
        <f>IFERROR(SUM(K5:K30),"")</f>
        <v/>
      </c>
    </row>
    <row r="38">
      <c r="B38" s="25" t="inlineStr">
        <is>
          <t>Average Passengers per Trip</t>
        </is>
      </c>
      <c r="F38" s="37">
        <f>IFERROR(ROUND(C37/C33,0),"")</f>
        <v/>
      </c>
    </row>
  </sheetData>
  <mergeCells count="15">
    <mergeCell ref="F36:L36"/>
    <mergeCell ref="B35:E35"/>
    <mergeCell ref="B37:E37"/>
    <mergeCell ref="F35:L35"/>
    <mergeCell ref="B38:E38"/>
    <mergeCell ref="B3:L3"/>
    <mergeCell ref="B2:L2"/>
    <mergeCell ref="F37:L37"/>
    <mergeCell ref="B33:E33"/>
    <mergeCell ref="F38:L38"/>
    <mergeCell ref="F34:L34"/>
    <mergeCell ref="B34:E34"/>
    <mergeCell ref="B32:L32"/>
    <mergeCell ref="B36:E36"/>
    <mergeCell ref="F33:L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TC-08: VEHICLE MAINTENANCE &amp; SERVICE REGISTER</t>
        </is>
      </c>
    </row>
    <row r="3" ht="20" customHeight="1">
      <c r="B3" s="17" t="inlineStr">
        <is>
          <t>Scheduled maintenance: every 5,000 km or 3 months (whichever is earlier). Major service: every 20,000 km. Retain all service receipts for audit. No vehicle to ply without valid post-service clearance.</t>
        </is>
      </c>
    </row>
    <row r="4" ht="25" customHeight="1">
      <c r="B4" s="21" t="inlineStr">
        <is>
          <t>Service
Ref.</t>
        </is>
      </c>
      <c r="C4" s="21" t="inlineStr">
        <is>
          <t>Vehicle Ref.
/ Reg. No.</t>
        </is>
      </c>
      <c r="D4" s="21" t="inlineStr">
        <is>
          <t>Service Type</t>
        </is>
      </c>
      <c r="E4" s="21" t="inlineStr">
        <is>
          <t>Service Date</t>
        </is>
      </c>
      <c r="F4" s="21" t="inlineStr">
        <is>
          <t>Odometer
(km)</t>
        </is>
      </c>
      <c r="G4" s="21" t="inlineStr">
        <is>
          <t>Next Service
(km)</t>
        </is>
      </c>
      <c r="H4" s="21" t="inlineStr">
        <is>
          <t>Garage /
Workshop</t>
        </is>
      </c>
      <c r="I4" s="21" t="inlineStr">
        <is>
          <t>Cost (₹)</t>
        </is>
      </c>
      <c r="J4" s="21" t="inlineStr">
        <is>
          <t>Status</t>
        </is>
      </c>
    </row>
    <row r="5" ht="22" customHeight="1">
      <c r="B5" s="43" t="inlineStr">
        <is>
          <t>SVC/2024/001</t>
        </is>
      </c>
      <c r="C5" s="22" t="inlineStr"/>
      <c r="D5" s="44" t="inlineStr">
        <is>
          <t>Scheduled Service (5,000 km)</t>
        </is>
      </c>
      <c r="E5" s="22" t="inlineStr"/>
      <c r="F5" s="22" t="inlineStr"/>
      <c r="G5" s="22" t="inlineStr"/>
      <c r="H5" s="44" t="inlineStr"/>
      <c r="I5" s="22" t="inlineStr"/>
      <c r="J5" s="22" t="inlineStr">
        <is>
          <t>Completed</t>
        </is>
      </c>
    </row>
    <row r="6" ht="22" customHeight="1">
      <c r="B6" s="8" t="inlineStr">
        <is>
          <t>SVC/2024/002</t>
        </is>
      </c>
      <c r="C6" s="10" t="inlineStr"/>
      <c r="D6" s="9" t="inlineStr">
        <is>
          <t>Major Service (20,000 km)</t>
        </is>
      </c>
      <c r="E6" s="10" t="inlineStr"/>
      <c r="F6" s="10" t="inlineStr"/>
      <c r="G6" s="10" t="inlineStr"/>
      <c r="H6" s="9" t="inlineStr"/>
      <c r="I6" s="10" t="inlineStr"/>
      <c r="J6" s="10" t="inlineStr">
        <is>
          <t>Completed</t>
        </is>
      </c>
    </row>
    <row r="7" ht="22" customHeight="1">
      <c r="B7" s="43" t="inlineStr">
        <is>
          <t>SVC/2024/003</t>
        </is>
      </c>
      <c r="C7" s="22" t="inlineStr"/>
      <c r="D7" s="44" t="inlineStr">
        <is>
          <t>Oil &amp; Filter Change</t>
        </is>
      </c>
      <c r="E7" s="22" t="inlineStr"/>
      <c r="F7" s="22" t="inlineStr"/>
      <c r="G7" s="22" t="inlineStr"/>
      <c r="H7" s="44" t="inlineStr"/>
      <c r="I7" s="22" t="inlineStr"/>
      <c r="J7" s="22" t="inlineStr">
        <is>
          <t>Completed</t>
        </is>
      </c>
    </row>
    <row r="8" ht="22" customHeight="1">
      <c r="B8" s="8" t="inlineStr">
        <is>
          <t>SVC/2024/004</t>
        </is>
      </c>
      <c r="C8" s="10" t="inlineStr"/>
      <c r="D8" s="9" t="inlineStr">
        <is>
          <t>Tyre Rotation / Balancing</t>
        </is>
      </c>
      <c r="E8" s="10" t="inlineStr"/>
      <c r="F8" s="10" t="inlineStr"/>
      <c r="G8" s="10" t="inlineStr"/>
      <c r="H8" s="9" t="inlineStr"/>
      <c r="I8" s="10" t="inlineStr"/>
      <c r="J8" s="10" t="inlineStr">
        <is>
          <t>Completed</t>
        </is>
      </c>
    </row>
    <row r="9" ht="22" customHeight="1">
      <c r="B9" s="43" t="inlineStr">
        <is>
          <t>SVC/2024/005</t>
        </is>
      </c>
      <c r="C9" s="22" t="inlineStr"/>
      <c r="D9" s="44" t="inlineStr">
        <is>
          <t>Brake Inspection &amp; Repair</t>
        </is>
      </c>
      <c r="E9" s="22" t="inlineStr"/>
      <c r="F9" s="22" t="inlineStr"/>
      <c r="G9" s="22" t="inlineStr"/>
      <c r="H9" s="44" t="inlineStr"/>
      <c r="I9" s="22" t="inlineStr"/>
      <c r="J9" s="22" t="inlineStr">
        <is>
          <t>Completed</t>
        </is>
      </c>
    </row>
    <row r="10" ht="22" customHeight="1">
      <c r="B10" s="8" t="inlineStr">
        <is>
          <t>SVC/2024/006</t>
        </is>
      </c>
      <c r="C10" s="10" t="inlineStr"/>
      <c r="D10" s="9" t="inlineStr">
        <is>
          <t>Battery Check / Replacement</t>
        </is>
      </c>
      <c r="E10" s="10" t="inlineStr"/>
      <c r="F10" s="10" t="inlineStr"/>
      <c r="G10" s="10" t="inlineStr"/>
      <c r="H10" s="9" t="inlineStr"/>
      <c r="I10" s="10" t="inlineStr"/>
      <c r="J10" s="10" t="inlineStr">
        <is>
          <t>Completed</t>
        </is>
      </c>
    </row>
    <row r="11" ht="22" customHeight="1">
      <c r="B11" s="43" t="inlineStr">
        <is>
          <t>SVC/2024/007</t>
        </is>
      </c>
      <c r="C11" s="22" t="inlineStr"/>
      <c r="D11" s="44" t="inlineStr">
        <is>
          <t>AC Service</t>
        </is>
      </c>
      <c r="E11" s="22" t="inlineStr"/>
      <c r="F11" s="22" t="inlineStr"/>
      <c r="G11" s="22" t="inlineStr"/>
      <c r="H11" s="44" t="inlineStr"/>
      <c r="I11" s="22" t="inlineStr"/>
      <c r="J11" s="22" t="inlineStr">
        <is>
          <t>Completed</t>
        </is>
      </c>
    </row>
    <row r="12" ht="22" customHeight="1">
      <c r="B12" s="8" t="inlineStr">
        <is>
          <t>SVC/2024/008</t>
        </is>
      </c>
      <c r="C12" s="10" t="inlineStr"/>
      <c r="D12" s="9" t="inlineStr">
        <is>
          <t>Engine Overhaul</t>
        </is>
      </c>
      <c r="E12" s="10" t="inlineStr"/>
      <c r="F12" s="10" t="inlineStr"/>
      <c r="G12" s="10" t="inlineStr"/>
      <c r="H12" s="9" t="inlineStr"/>
      <c r="I12" s="10" t="inlineStr"/>
      <c r="J12" s="10" t="inlineStr">
        <is>
          <t>Completed</t>
        </is>
      </c>
    </row>
    <row r="13" ht="22" customHeight="1">
      <c r="B13" s="43" t="inlineStr">
        <is>
          <t>SVC/2024/009</t>
        </is>
      </c>
      <c r="C13" s="22" t="inlineStr"/>
      <c r="D13" s="44" t="inlineStr">
        <is>
          <t>Body Work / Denting &amp; Painting</t>
        </is>
      </c>
      <c r="E13" s="22" t="inlineStr"/>
      <c r="F13" s="22" t="inlineStr"/>
      <c r="G13" s="22" t="inlineStr"/>
      <c r="H13" s="44" t="inlineStr"/>
      <c r="I13" s="22" t="inlineStr"/>
      <c r="J13" s="22" t="inlineStr">
        <is>
          <t>Completed</t>
        </is>
      </c>
    </row>
    <row r="14" ht="22" customHeight="1">
      <c r="B14" s="8" t="inlineStr">
        <is>
          <t>SVC/2024/010</t>
        </is>
      </c>
      <c r="C14" s="10" t="inlineStr"/>
      <c r="D14" s="9" t="inlineStr">
        <is>
          <t>Electrical Repair</t>
        </is>
      </c>
      <c r="E14" s="10" t="inlineStr"/>
      <c r="F14" s="10" t="inlineStr"/>
      <c r="G14" s="10" t="inlineStr"/>
      <c r="H14" s="9" t="inlineStr"/>
      <c r="I14" s="10" t="inlineStr"/>
      <c r="J14" s="10" t="inlineStr">
        <is>
          <t>Completed</t>
        </is>
      </c>
    </row>
    <row r="15" ht="22" customHeight="1">
      <c r="B15" s="43" t="inlineStr">
        <is>
          <t>SVC/2024/011</t>
        </is>
      </c>
      <c r="C15" s="22" t="inlineStr"/>
      <c r="D15" s="44" t="inlineStr">
        <is>
          <t>Clutch / Gearbox Repair</t>
        </is>
      </c>
      <c r="E15" s="22" t="inlineStr"/>
      <c r="F15" s="22" t="inlineStr"/>
      <c r="G15" s="22" t="inlineStr"/>
      <c r="H15" s="44" t="inlineStr"/>
      <c r="I15" s="22" t="inlineStr"/>
      <c r="J15" s="22" t="inlineStr">
        <is>
          <t>Completed</t>
        </is>
      </c>
    </row>
    <row r="16" ht="22" customHeight="1">
      <c r="B16" s="8" t="inlineStr">
        <is>
          <t>SVC/2024/012</t>
        </is>
      </c>
      <c r="C16" s="10" t="inlineStr"/>
      <c r="D16" s="9" t="inlineStr">
        <is>
          <t>Radiator / Cooling System</t>
        </is>
      </c>
      <c r="E16" s="10" t="inlineStr"/>
      <c r="F16" s="10" t="inlineStr"/>
      <c r="G16" s="10" t="inlineStr"/>
      <c r="H16" s="9" t="inlineStr"/>
      <c r="I16" s="10" t="inlineStr"/>
      <c r="J16" s="10" t="inlineStr">
        <is>
          <t>Completed</t>
        </is>
      </c>
    </row>
    <row r="17" ht="22" customHeight="1">
      <c r="B17" s="43" t="inlineStr">
        <is>
          <t>SVC/2025/013</t>
        </is>
      </c>
      <c r="C17" s="22" t="inlineStr"/>
      <c r="D17" s="44" t="inlineStr">
        <is>
          <t>Annual Fitness Renewal Prep</t>
        </is>
      </c>
      <c r="E17" s="22" t="inlineStr"/>
      <c r="F17" s="22" t="inlineStr"/>
      <c r="G17" s="22" t="inlineStr"/>
      <c r="H17" s="44" t="inlineStr"/>
      <c r="I17" s="22" t="inlineStr"/>
      <c r="J17" s="22" t="inlineStr">
        <is>
          <t>Completed</t>
        </is>
      </c>
    </row>
    <row r="18" ht="22" customHeight="1">
      <c r="B18" s="8" t="inlineStr">
        <is>
          <t>SVC/2025/014</t>
        </is>
      </c>
      <c r="C18" s="10" t="inlineStr"/>
      <c r="D18" s="9" t="inlineStr">
        <is>
          <t>Road Worthiness Inspection</t>
        </is>
      </c>
      <c r="E18" s="10" t="inlineStr"/>
      <c r="F18" s="10" t="inlineStr"/>
      <c r="G18" s="10" t="inlineStr"/>
      <c r="H18" s="9" t="inlineStr"/>
      <c r="I18" s="10" t="inlineStr"/>
      <c r="J18" s="10" t="inlineStr">
        <is>
          <t>Completed</t>
        </is>
      </c>
    </row>
    <row r="19" ht="22" customHeight="1">
      <c r="B19" s="43" t="inlineStr">
        <is>
          <t>SVC/2025/015</t>
        </is>
      </c>
      <c r="C19" s="22" t="inlineStr"/>
      <c r="D19" s="44" t="inlineStr">
        <is>
          <t>CNG Kit Service</t>
        </is>
      </c>
      <c r="E19" s="22" t="inlineStr"/>
      <c r="F19" s="22" t="inlineStr"/>
      <c r="G19" s="22" t="inlineStr"/>
      <c r="H19" s="44" t="inlineStr"/>
      <c r="I19" s="22" t="inlineStr"/>
      <c r="J19" s="22" t="inlineStr">
        <is>
          <t>Completed</t>
        </is>
      </c>
    </row>
    <row r="20" ht="22" customHeight="1">
      <c r="B20" s="8" t="inlineStr">
        <is>
          <t>SVC/2025/016</t>
        </is>
      </c>
      <c r="C20" s="10" t="inlineStr"/>
      <c r="D20" s="9" t="inlineStr">
        <is>
          <t>Scheduled Service (5,000 km)</t>
        </is>
      </c>
      <c r="E20" s="10" t="inlineStr"/>
      <c r="F20" s="10" t="inlineStr"/>
      <c r="G20" s="10" t="inlineStr"/>
      <c r="H20" s="9" t="inlineStr"/>
      <c r="I20" s="10" t="inlineStr"/>
      <c r="J20" s="10" t="inlineStr">
        <is>
          <t>Completed</t>
        </is>
      </c>
    </row>
    <row r="21" ht="22" customHeight="1">
      <c r="B21" s="43" t="inlineStr">
        <is>
          <t>SVC/2025/017</t>
        </is>
      </c>
      <c r="C21" s="22" t="inlineStr"/>
      <c r="D21" s="44" t="inlineStr">
        <is>
          <t>Major Service (20,000 km)</t>
        </is>
      </c>
      <c r="E21" s="22" t="inlineStr"/>
      <c r="F21" s="22" t="inlineStr"/>
      <c r="G21" s="22" t="inlineStr"/>
      <c r="H21" s="44" t="inlineStr"/>
      <c r="I21" s="22" t="inlineStr"/>
      <c r="J21" s="22" t="inlineStr">
        <is>
          <t>Completed</t>
        </is>
      </c>
    </row>
    <row r="22" ht="22" customHeight="1">
      <c r="B22" s="8" t="inlineStr">
        <is>
          <t>SVC/2025/018</t>
        </is>
      </c>
      <c r="C22" s="10" t="inlineStr"/>
      <c r="D22" s="9" t="inlineStr">
        <is>
          <t>Oil &amp; Filter Change</t>
        </is>
      </c>
      <c r="E22" s="10" t="inlineStr"/>
      <c r="F22" s="10" t="inlineStr"/>
      <c r="G22" s="10" t="inlineStr"/>
      <c r="H22" s="9" t="inlineStr"/>
      <c r="I22" s="10" t="inlineStr"/>
      <c r="J22" s="10" t="inlineStr">
        <is>
          <t>Completed</t>
        </is>
      </c>
    </row>
    <row r="23" ht="22" customHeight="1">
      <c r="B23" s="43" t="inlineStr">
        <is>
          <t>SVC/2025/019</t>
        </is>
      </c>
      <c r="C23" s="22" t="inlineStr"/>
      <c r="D23" s="44" t="inlineStr">
        <is>
          <t>Tyre Rotation / Balancing</t>
        </is>
      </c>
      <c r="E23" s="22" t="inlineStr"/>
      <c r="F23" s="22" t="inlineStr"/>
      <c r="G23" s="22" t="inlineStr"/>
      <c r="H23" s="44" t="inlineStr"/>
      <c r="I23" s="22" t="inlineStr"/>
      <c r="J23" s="22" t="inlineStr">
        <is>
          <t>Completed</t>
        </is>
      </c>
    </row>
    <row r="24" ht="22" customHeight="1">
      <c r="B24" s="8" t="inlineStr">
        <is>
          <t>SVC/2025/020</t>
        </is>
      </c>
      <c r="C24" s="10" t="inlineStr"/>
      <c r="D24" s="9" t="inlineStr">
        <is>
          <t>Brake Inspection &amp; Repair</t>
        </is>
      </c>
      <c r="E24" s="10" t="inlineStr"/>
      <c r="F24" s="10" t="inlineStr"/>
      <c r="G24" s="10" t="inlineStr"/>
      <c r="H24" s="9" t="inlineStr"/>
      <c r="I24" s="10" t="inlineStr"/>
      <c r="J24" s="10" t="inlineStr">
        <is>
          <t>Completed</t>
        </is>
      </c>
    </row>
    <row r="25" ht="22" customHeight="1">
      <c r="B25" s="43" t="inlineStr">
        <is>
          <t>SVC/2025/021</t>
        </is>
      </c>
      <c r="C25" s="22" t="inlineStr"/>
      <c r="D25" s="44" t="inlineStr">
        <is>
          <t>Battery Check / Replacement</t>
        </is>
      </c>
      <c r="E25" s="22" t="inlineStr"/>
      <c r="F25" s="22" t="inlineStr"/>
      <c r="G25" s="22" t="inlineStr"/>
      <c r="H25" s="44" t="inlineStr"/>
      <c r="I25" s="22" t="inlineStr"/>
      <c r="J25" s="22" t="inlineStr">
        <is>
          <t>Completed</t>
        </is>
      </c>
    </row>
    <row r="26" ht="22" customHeight="1">
      <c r="B26" s="8" t="inlineStr">
        <is>
          <t>SVC/2025/022</t>
        </is>
      </c>
      <c r="C26" s="10" t="inlineStr"/>
      <c r="D26" s="9" t="inlineStr">
        <is>
          <t>AC Service</t>
        </is>
      </c>
      <c r="E26" s="10" t="inlineStr"/>
      <c r="F26" s="10" t="inlineStr"/>
      <c r="G26" s="10" t="inlineStr"/>
      <c r="H26" s="9" t="inlineStr"/>
      <c r="I26" s="10" t="inlineStr"/>
      <c r="J26" s="10" t="inlineStr">
        <is>
          <t>Completed</t>
        </is>
      </c>
    </row>
    <row r="27" ht="22" customHeight="1">
      <c r="B27" s="43" t="inlineStr">
        <is>
          <t>SVC/2025/023</t>
        </is>
      </c>
      <c r="C27" s="22" t="inlineStr"/>
      <c r="D27" s="44" t="inlineStr">
        <is>
          <t>Engine Overhaul</t>
        </is>
      </c>
      <c r="E27" s="22" t="inlineStr"/>
      <c r="F27" s="22" t="inlineStr"/>
      <c r="G27" s="22" t="inlineStr"/>
      <c r="H27" s="44" t="inlineStr"/>
      <c r="I27" s="22" t="inlineStr"/>
      <c r="J27" s="22" t="inlineStr">
        <is>
          <t>Completed</t>
        </is>
      </c>
    </row>
    <row r="28" ht="22" customHeight="1">
      <c r="B28" s="8" t="inlineStr">
        <is>
          <t>SVC/2025/024</t>
        </is>
      </c>
      <c r="C28" s="10" t="inlineStr"/>
      <c r="D28" s="9" t="inlineStr">
        <is>
          <t>Body Work / Denting &amp; Painting</t>
        </is>
      </c>
      <c r="E28" s="10" t="inlineStr"/>
      <c r="F28" s="10" t="inlineStr"/>
      <c r="G28" s="10" t="inlineStr"/>
      <c r="H28" s="9" t="inlineStr"/>
      <c r="I28" s="10" t="inlineStr"/>
      <c r="J28" s="10" t="inlineStr">
        <is>
          <t>Completed</t>
        </is>
      </c>
    </row>
    <row r="29" ht="22" customHeight="1"/>
    <row r="30" ht="24" customHeight="1">
      <c r="B30" s="34" t="inlineStr">
        <is>
          <t>MAINTENANCE EXPENDITURE SUMMARY</t>
        </is>
      </c>
    </row>
    <row r="31" ht="22" customHeight="1">
      <c r="B31" s="23" t="inlineStr">
        <is>
          <t>Total Service Events</t>
        </is>
      </c>
      <c r="F31" s="36">
        <f>COUNTA(B5:B28)</f>
        <v/>
      </c>
    </row>
    <row r="32" ht="22" customHeight="1">
      <c r="B32" s="25" t="inlineStr">
        <is>
          <t>Total Maintenance Cost (₹)</t>
        </is>
      </c>
      <c r="F32" s="37">
        <f>IFERROR(SUM(I5:I28),"")</f>
        <v/>
      </c>
    </row>
    <row r="33" ht="22" customHeight="1">
      <c r="B33" s="23" t="inlineStr">
        <is>
          <t>Scheduled Services</t>
        </is>
      </c>
      <c r="F33" s="36">
        <f>COUNTIF(D5:D28,"Scheduled Service (5,000 km)")</f>
        <v/>
      </c>
    </row>
    <row r="34">
      <c r="B34" s="25" t="inlineStr">
        <is>
          <t>Major Services</t>
        </is>
      </c>
      <c r="F34" s="37">
        <f>COUNTIF(D5:D28,"Major Service (20,000 km)")</f>
        <v/>
      </c>
    </row>
    <row r="35">
      <c r="B35" s="23" t="inlineStr">
        <is>
          <t>Average Cost per Service (₹)</t>
        </is>
      </c>
      <c r="F35" s="36">
        <f>IFERROR(ROUND(C32/C31,0),"")</f>
        <v/>
      </c>
    </row>
    <row r="36">
      <c r="B36" s="25" t="inlineStr">
        <is>
          <t>Vehicles Due for Service</t>
        </is>
      </c>
      <c r="F36" s="37" t="inlineStr"/>
    </row>
  </sheetData>
  <mergeCells count="15">
    <mergeCell ref="B31:E31"/>
    <mergeCell ref="B36:E36"/>
    <mergeCell ref="B3:J3"/>
    <mergeCell ref="B35:E35"/>
    <mergeCell ref="F35:J35"/>
    <mergeCell ref="F34:J34"/>
    <mergeCell ref="F36:J36"/>
    <mergeCell ref="B33:E33"/>
    <mergeCell ref="F33:J33"/>
    <mergeCell ref="F31:J31"/>
    <mergeCell ref="B34:E34"/>
    <mergeCell ref="F32:J32"/>
    <mergeCell ref="B30:J30"/>
    <mergeCell ref="B2:J2"/>
    <mergeCell ref="B32:E3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TC-09: VEHICLE BREAKDOWN &amp; INCIDENT REGISTER</t>
        </is>
      </c>
    </row>
    <row r="3" ht="20" customHeight="1">
      <c r="B3" s="17" t="inlineStr">
        <is>
          <t>Any accident must be reported to police (FIR), RTO and management within 24 hours. Passenger safety is paramount — arrange alternative transport immediately on breakdown. Preserve CCTV footage for accident cases.</t>
        </is>
      </c>
    </row>
    <row r="4" ht="25" customHeight="1">
      <c r="B4" s="45" t="inlineStr">
        <is>
          <t>Incident
Ref.</t>
        </is>
      </c>
      <c r="C4" s="45" t="inlineStr">
        <is>
          <t>Vehicle Ref.
/ Reg. No.</t>
        </is>
      </c>
      <c r="D4" s="45" t="inlineStr">
        <is>
          <t>Incident
Type</t>
        </is>
      </c>
      <c r="E4" s="45" t="inlineStr">
        <is>
          <t>Date &amp;
Time</t>
        </is>
      </c>
      <c r="F4" s="45" t="inlineStr">
        <is>
          <t>Location</t>
        </is>
      </c>
      <c r="G4" s="45" t="inlineStr">
        <is>
          <t>Passengers
Involved</t>
        </is>
      </c>
      <c r="H4" s="45" t="inlineStr">
        <is>
          <t>Action
Taken</t>
        </is>
      </c>
      <c r="I4" s="45" t="inlineStr">
        <is>
          <t>Police /
RTO Informed</t>
        </is>
      </c>
      <c r="J4" s="45" t="inlineStr">
        <is>
          <t>Resolution
&amp; Cost (₹)</t>
        </is>
      </c>
    </row>
    <row r="5" ht="24" customHeight="1">
      <c r="B5" s="46" t="inlineStr">
        <is>
          <t>INC/2024/001</t>
        </is>
      </c>
      <c r="C5" s="47" t="inlineStr"/>
      <c r="D5" s="48" t="inlineStr">
        <is>
          <t>Mechanical Breakdown — Engine</t>
        </is>
      </c>
      <c r="E5" s="47" t="inlineStr"/>
      <c r="F5" s="48" t="inlineStr"/>
      <c r="G5" s="47" t="inlineStr"/>
      <c r="H5" s="48" t="inlineStr"/>
      <c r="I5" s="47" t="inlineStr">
        <is>
          <t>Y</t>
        </is>
      </c>
      <c r="J5" s="48" t="inlineStr"/>
    </row>
    <row r="6" ht="24" customHeight="1">
      <c r="B6" s="8" t="inlineStr">
        <is>
          <t>INC/2024/002</t>
        </is>
      </c>
      <c r="C6" s="10" t="inlineStr"/>
      <c r="D6" s="9" t="inlineStr">
        <is>
          <t>Mechanical Breakdown — Tyre Flat</t>
        </is>
      </c>
      <c r="E6" s="10" t="inlineStr"/>
      <c r="F6" s="9" t="inlineStr"/>
      <c r="G6" s="10" t="inlineStr"/>
      <c r="H6" s="9" t="inlineStr"/>
      <c r="I6" s="10" t="inlineStr">
        <is>
          <t>Y</t>
        </is>
      </c>
      <c r="J6" s="9" t="inlineStr"/>
    </row>
    <row r="7" ht="24" customHeight="1">
      <c r="B7" s="46" t="inlineStr">
        <is>
          <t>INC/2024/003</t>
        </is>
      </c>
      <c r="C7" s="47" t="inlineStr"/>
      <c r="D7" s="48" t="inlineStr">
        <is>
          <t>Mechanical Breakdown — Brake Failure</t>
        </is>
      </c>
      <c r="E7" s="47" t="inlineStr"/>
      <c r="F7" s="48" t="inlineStr"/>
      <c r="G7" s="47" t="inlineStr"/>
      <c r="H7" s="48" t="inlineStr"/>
      <c r="I7" s="47" t="inlineStr">
        <is>
          <t>Y</t>
        </is>
      </c>
      <c r="J7" s="48" t="inlineStr"/>
    </row>
    <row r="8" ht="24" customHeight="1">
      <c r="B8" s="8" t="inlineStr">
        <is>
          <t>INC/2024/004</t>
        </is>
      </c>
      <c r="C8" s="10" t="inlineStr"/>
      <c r="D8" s="9" t="inlineStr">
        <is>
          <t>Electrical Failure</t>
        </is>
      </c>
      <c r="E8" s="10" t="inlineStr"/>
      <c r="F8" s="9" t="inlineStr"/>
      <c r="G8" s="10" t="inlineStr"/>
      <c r="H8" s="9" t="inlineStr"/>
      <c r="I8" s="10" t="inlineStr">
        <is>
          <t>Y</t>
        </is>
      </c>
      <c r="J8" s="9" t="inlineStr"/>
    </row>
    <row r="9" ht="24" customHeight="1">
      <c r="B9" s="46" t="inlineStr">
        <is>
          <t>INC/2024/005</t>
        </is>
      </c>
      <c r="C9" s="47" t="inlineStr"/>
      <c r="D9" s="48" t="inlineStr">
        <is>
          <t>Fuel Exhaustion</t>
        </is>
      </c>
      <c r="E9" s="47" t="inlineStr"/>
      <c r="F9" s="48" t="inlineStr"/>
      <c r="G9" s="47" t="inlineStr"/>
      <c r="H9" s="48" t="inlineStr"/>
      <c r="I9" s="47" t="inlineStr">
        <is>
          <t>Y</t>
        </is>
      </c>
      <c r="J9" s="48" t="inlineStr"/>
    </row>
    <row r="10" ht="24" customHeight="1">
      <c r="B10" s="8" t="inlineStr">
        <is>
          <t>INC/2024/006</t>
        </is>
      </c>
      <c r="C10" s="10" t="inlineStr"/>
      <c r="D10" s="9" t="inlineStr">
        <is>
          <t>Minor Accident (no injury)</t>
        </is>
      </c>
      <c r="E10" s="10" t="inlineStr"/>
      <c r="F10" s="9" t="inlineStr"/>
      <c r="G10" s="10" t="inlineStr"/>
      <c r="H10" s="9" t="inlineStr"/>
      <c r="I10" s="10" t="inlineStr">
        <is>
          <t>Y</t>
        </is>
      </c>
      <c r="J10" s="9" t="inlineStr"/>
    </row>
    <row r="11" ht="24" customHeight="1">
      <c r="B11" s="46" t="inlineStr">
        <is>
          <t>INC/2024/007</t>
        </is>
      </c>
      <c r="C11" s="47" t="inlineStr"/>
      <c r="D11" s="48" t="inlineStr">
        <is>
          <t>Accident with Injury</t>
        </is>
      </c>
      <c r="E11" s="47" t="inlineStr"/>
      <c r="F11" s="48" t="inlineStr"/>
      <c r="G11" s="47" t="inlineStr"/>
      <c r="H11" s="48" t="inlineStr"/>
      <c r="I11" s="47" t="inlineStr">
        <is>
          <t>Y</t>
        </is>
      </c>
      <c r="J11" s="48" t="inlineStr"/>
    </row>
    <row r="12" ht="24" customHeight="1">
      <c r="B12" s="8" t="inlineStr">
        <is>
          <t>INC/2024/008</t>
        </is>
      </c>
      <c r="C12" s="10" t="inlineStr"/>
      <c r="D12" s="9" t="inlineStr">
        <is>
          <t>Accident with Property Damage</t>
        </is>
      </c>
      <c r="E12" s="10" t="inlineStr"/>
      <c r="F12" s="9" t="inlineStr"/>
      <c r="G12" s="10" t="inlineStr"/>
      <c r="H12" s="9" t="inlineStr"/>
      <c r="I12" s="10" t="inlineStr">
        <is>
          <t>Y</t>
        </is>
      </c>
      <c r="J12" s="9" t="inlineStr"/>
    </row>
    <row r="13" ht="24" customHeight="1">
      <c r="B13" s="46" t="inlineStr">
        <is>
          <t>INC/2025/009</t>
        </is>
      </c>
      <c r="C13" s="47" t="inlineStr"/>
      <c r="D13" s="48" t="inlineStr">
        <is>
          <t>Road Accident — Third Party</t>
        </is>
      </c>
      <c r="E13" s="47" t="inlineStr"/>
      <c r="F13" s="48" t="inlineStr"/>
      <c r="G13" s="47" t="inlineStr"/>
      <c r="H13" s="48" t="inlineStr"/>
      <c r="I13" s="47" t="inlineStr">
        <is>
          <t>Y</t>
        </is>
      </c>
      <c r="J13" s="48" t="inlineStr"/>
    </row>
    <row r="14" ht="24" customHeight="1">
      <c r="B14" s="8" t="inlineStr">
        <is>
          <t>INC/2025/010</t>
        </is>
      </c>
      <c r="C14" s="10" t="inlineStr"/>
      <c r="D14" s="9" t="inlineStr">
        <is>
          <t>Vehicle Seized by RTO</t>
        </is>
      </c>
      <c r="E14" s="10" t="inlineStr"/>
      <c r="F14" s="9" t="inlineStr"/>
      <c r="G14" s="10" t="inlineStr"/>
      <c r="H14" s="9" t="inlineStr"/>
      <c r="I14" s="10" t="inlineStr">
        <is>
          <t>Y</t>
        </is>
      </c>
      <c r="J14" s="9" t="inlineStr"/>
    </row>
    <row r="15" ht="24" customHeight="1">
      <c r="B15" s="46" t="inlineStr">
        <is>
          <t>INC/2025/011</t>
        </is>
      </c>
      <c r="C15" s="47" t="inlineStr"/>
      <c r="D15" s="48" t="inlineStr">
        <is>
          <t>Other Incident</t>
        </is>
      </c>
      <c r="E15" s="47" t="inlineStr"/>
      <c r="F15" s="48" t="inlineStr"/>
      <c r="G15" s="47" t="inlineStr"/>
      <c r="H15" s="48" t="inlineStr"/>
      <c r="I15" s="47" t="inlineStr">
        <is>
          <t>Y</t>
        </is>
      </c>
      <c r="J15" s="48" t="inlineStr"/>
    </row>
    <row r="16" ht="24" customHeight="1">
      <c r="B16" s="8" t="inlineStr">
        <is>
          <t>INC/2025/012</t>
        </is>
      </c>
      <c r="C16" s="10" t="inlineStr"/>
      <c r="D16" s="9" t="inlineStr">
        <is>
          <t>Mechanical Breakdown — Engine</t>
        </is>
      </c>
      <c r="E16" s="10" t="inlineStr"/>
      <c r="F16" s="9" t="inlineStr"/>
      <c r="G16" s="10" t="inlineStr"/>
      <c r="H16" s="9" t="inlineStr"/>
      <c r="I16" s="10" t="inlineStr">
        <is>
          <t>Y</t>
        </is>
      </c>
      <c r="J16" s="9" t="inlineStr"/>
    </row>
    <row r="17" ht="24" customHeight="1">
      <c r="B17" s="46" t="inlineStr">
        <is>
          <t>INC/2025/013</t>
        </is>
      </c>
      <c r="C17" s="47" t="inlineStr"/>
      <c r="D17" s="48" t="inlineStr">
        <is>
          <t>Mechanical Breakdown — Tyre Flat</t>
        </is>
      </c>
      <c r="E17" s="47" t="inlineStr"/>
      <c r="F17" s="48" t="inlineStr"/>
      <c r="G17" s="47" t="inlineStr"/>
      <c r="H17" s="48" t="inlineStr"/>
      <c r="I17" s="47" t="inlineStr">
        <is>
          <t>Y</t>
        </is>
      </c>
      <c r="J17" s="48" t="inlineStr"/>
    </row>
    <row r="18" ht="24" customHeight="1">
      <c r="B18" s="8" t="inlineStr">
        <is>
          <t>INC/2025/014</t>
        </is>
      </c>
      <c r="C18" s="10" t="inlineStr"/>
      <c r="D18" s="9" t="inlineStr">
        <is>
          <t>Mechanical Breakdown — Brake Failure</t>
        </is>
      </c>
      <c r="E18" s="10" t="inlineStr"/>
      <c r="F18" s="9" t="inlineStr"/>
      <c r="G18" s="10" t="inlineStr"/>
      <c r="H18" s="9" t="inlineStr"/>
      <c r="I18" s="10" t="inlineStr">
        <is>
          <t>Y</t>
        </is>
      </c>
      <c r="J18" s="9" t="inlineStr"/>
    </row>
    <row r="19" ht="24" customHeight="1">
      <c r="B19" s="46" t="inlineStr">
        <is>
          <t>INC/2025/015</t>
        </is>
      </c>
      <c r="C19" s="47" t="inlineStr"/>
      <c r="D19" s="48" t="inlineStr">
        <is>
          <t>Electrical Failure</t>
        </is>
      </c>
      <c r="E19" s="47" t="inlineStr"/>
      <c r="F19" s="48" t="inlineStr"/>
      <c r="G19" s="47" t="inlineStr"/>
      <c r="H19" s="48" t="inlineStr"/>
      <c r="I19" s="47" t="inlineStr">
        <is>
          <t>Y</t>
        </is>
      </c>
      <c r="J19" s="48" t="inlineStr"/>
    </row>
    <row r="20" ht="24" customHeight="1">
      <c r="B20" s="8" t="inlineStr">
        <is>
          <t>INC/2025/016</t>
        </is>
      </c>
      <c r="C20" s="10" t="inlineStr"/>
      <c r="D20" s="9" t="inlineStr">
        <is>
          <t>Fuel Exhaustion</t>
        </is>
      </c>
      <c r="E20" s="10" t="inlineStr"/>
      <c r="F20" s="9" t="inlineStr"/>
      <c r="G20" s="10" t="inlineStr"/>
      <c r="H20" s="9" t="inlineStr"/>
      <c r="I20" s="10" t="inlineStr">
        <is>
          <t>Y</t>
        </is>
      </c>
      <c r="J20" s="9" t="inlineStr"/>
    </row>
    <row r="21" ht="24" customHeight="1"/>
    <row r="22" ht="24" customHeight="1">
      <c r="B22" s="34" t="inlineStr">
        <is>
          <t>INCIDENT STATISTICS</t>
        </is>
      </c>
    </row>
    <row r="23" ht="24" customHeight="1">
      <c r="B23" s="49" t="inlineStr">
        <is>
          <t>Total Incidents This Year</t>
        </is>
      </c>
      <c r="F23" s="36">
        <f>COUNTA(B5:B20)</f>
        <v/>
      </c>
    </row>
    <row r="24" ht="24" customHeight="1">
      <c r="B24" s="25" t="inlineStr">
        <is>
          <t>Breakdowns</t>
        </is>
      </c>
      <c r="F24" s="37">
        <f>COUNTIF(D5:D20,"Mechanical Breakdown — Engine")+COUNTIF(D5:D20,"Mechanical Breakdown — Tyre Flat")</f>
        <v/>
      </c>
    </row>
    <row r="25" ht="24" customHeight="1">
      <c r="B25" s="49" t="inlineStr">
        <is>
          <t>Accidents (Minor)</t>
        </is>
      </c>
      <c r="F25" s="36">
        <f>COUNTIF(D5:D20,"Minor Accident (no injury)")</f>
        <v/>
      </c>
    </row>
    <row r="26" ht="24" customHeight="1">
      <c r="B26" s="25" t="inlineStr">
        <is>
          <t>Accidents with Injury</t>
        </is>
      </c>
      <c r="F26" s="37">
        <f>COUNTIF(D5:D20,"Accident with Injury")</f>
        <v/>
      </c>
    </row>
    <row r="27" ht="24" customHeight="1">
      <c r="B27" s="49" t="inlineStr">
        <is>
          <t>Total Incident Cost (₹)</t>
        </is>
      </c>
      <c r="F27" s="36" t="inlineStr"/>
    </row>
    <row r="28">
      <c r="B28" s="25" t="inlineStr">
        <is>
          <t>Average Resolution Time (hours)</t>
        </is>
      </c>
      <c r="F28" s="37" t="inlineStr"/>
    </row>
  </sheetData>
  <mergeCells count="15">
    <mergeCell ref="B23:E23"/>
    <mergeCell ref="B26:E26"/>
    <mergeCell ref="B3:J3"/>
    <mergeCell ref="B27:E27"/>
    <mergeCell ref="F24:J24"/>
    <mergeCell ref="F23:J23"/>
    <mergeCell ref="B22:J22"/>
    <mergeCell ref="F25:J25"/>
    <mergeCell ref="F27:J27"/>
    <mergeCell ref="B25:E25"/>
    <mergeCell ref="F28:J28"/>
    <mergeCell ref="B24:E24"/>
    <mergeCell ref="B28:E28"/>
    <mergeCell ref="F26:J26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TC-10: VEHICLE FUEL CONSUMPTION REGISTER</t>
        </is>
      </c>
    </row>
    <row r="3" ht="20" customHeight="1">
      <c r="B3" s="2" t="inlineStr">
        <is>
          <t>Month: _______  A.Y.: _______  Transport Officer: ___________________</t>
        </is>
      </c>
    </row>
    <row r="4" ht="25" customHeight="1">
      <c r="B4" s="21" t="inlineStr">
        <is>
          <t>Vehicle
Ref.</t>
        </is>
      </c>
      <c r="C4" s="21" t="inlineStr">
        <is>
          <t>Reg. No.</t>
        </is>
      </c>
      <c r="D4" s="21" t="inlineStr">
        <is>
          <t>Opening
Odo (km)</t>
        </is>
      </c>
      <c r="E4" s="21" t="inlineStr">
        <is>
          <t>Closing
Odo (km)</t>
        </is>
      </c>
      <c r="F4" s="21" t="inlineStr">
        <is>
          <t>Distance
(km)</t>
        </is>
      </c>
      <c r="G4" s="21" t="inlineStr">
        <is>
          <t>Fuel
Type</t>
        </is>
      </c>
      <c r="H4" s="21" t="inlineStr">
        <is>
          <t>Fuel Qty
(Litres)</t>
        </is>
      </c>
      <c r="I4" s="21" t="inlineStr">
        <is>
          <t>Fuel Cost
(₹)</t>
        </is>
      </c>
      <c r="J4" s="21" t="inlineStr">
        <is>
          <t>Efficiency
(km/L)</t>
        </is>
      </c>
      <c r="K4" s="21" t="inlineStr">
        <is>
          <t>Remarks</t>
        </is>
      </c>
    </row>
    <row r="5" ht="22" customHeight="1">
      <c r="B5" s="50" t="inlineStr">
        <is>
          <t>VEH/001</t>
        </is>
      </c>
      <c r="C5" s="22" t="inlineStr"/>
      <c r="D5" s="22" t="inlineStr"/>
      <c r="E5" s="22" t="inlineStr"/>
      <c r="F5" s="50">
        <f>IFERROR(E5-D5,"")</f>
        <v/>
      </c>
      <c r="G5" s="22" t="inlineStr">
        <is>
          <t>Diesel</t>
        </is>
      </c>
      <c r="H5" s="22" t="inlineStr"/>
      <c r="I5" s="22" t="inlineStr"/>
      <c r="J5" s="50">
        <f>IFERROR(ROUND(F5/H5,2),"")</f>
        <v/>
      </c>
      <c r="K5" s="44" t="inlineStr"/>
    </row>
    <row r="6" ht="22" customHeight="1">
      <c r="B6" s="51" t="inlineStr">
        <is>
          <t>VEH/002</t>
        </is>
      </c>
      <c r="C6" s="10" t="inlineStr"/>
      <c r="D6" s="10" t="inlineStr"/>
      <c r="E6" s="10" t="inlineStr"/>
      <c r="F6" s="51">
        <f>IFERROR(E6-D6,"")</f>
        <v/>
      </c>
      <c r="G6" s="10" t="inlineStr">
        <is>
          <t>CNG</t>
        </is>
      </c>
      <c r="H6" s="10" t="inlineStr"/>
      <c r="I6" s="10" t="inlineStr"/>
      <c r="J6" s="51">
        <f>IFERROR(ROUND(F6/H6,2),"")</f>
        <v/>
      </c>
      <c r="K6" s="9" t="inlineStr"/>
    </row>
    <row r="7" ht="22" customHeight="1">
      <c r="B7" s="50" t="inlineStr">
        <is>
          <t>VEH/003</t>
        </is>
      </c>
      <c r="C7" s="22" t="inlineStr"/>
      <c r="D7" s="22" t="inlineStr"/>
      <c r="E7" s="22" t="inlineStr"/>
      <c r="F7" s="50">
        <f>IFERROR(E7-D7,"")</f>
        <v/>
      </c>
      <c r="G7" s="22" t="inlineStr">
        <is>
          <t>Electric</t>
        </is>
      </c>
      <c r="H7" s="22" t="inlineStr"/>
      <c r="I7" s="22" t="inlineStr"/>
      <c r="J7" s="50">
        <f>IFERROR(ROUND(F7/H7,2),"")</f>
        <v/>
      </c>
      <c r="K7" s="44" t="inlineStr"/>
    </row>
    <row r="8" ht="22" customHeight="1">
      <c r="B8" s="51" t="inlineStr">
        <is>
          <t>VEH/004</t>
        </is>
      </c>
      <c r="C8" s="10" t="inlineStr"/>
      <c r="D8" s="10" t="inlineStr"/>
      <c r="E8" s="10" t="inlineStr"/>
      <c r="F8" s="51">
        <f>IFERROR(E8-D8,"")</f>
        <v/>
      </c>
      <c r="G8" s="10" t="inlineStr">
        <is>
          <t>Petrol</t>
        </is>
      </c>
      <c r="H8" s="10" t="inlineStr"/>
      <c r="I8" s="10" t="inlineStr"/>
      <c r="J8" s="51">
        <f>IFERROR(ROUND(F8/H8,2),"")</f>
        <v/>
      </c>
      <c r="K8" s="9" t="inlineStr"/>
    </row>
    <row r="9" ht="22" customHeight="1">
      <c r="B9" s="50" t="inlineStr">
        <is>
          <t>VEH/005</t>
        </is>
      </c>
      <c r="C9" s="22" t="inlineStr"/>
      <c r="D9" s="22" t="inlineStr"/>
      <c r="E9" s="22" t="inlineStr"/>
      <c r="F9" s="50">
        <f>IFERROR(E9-D9,"")</f>
        <v/>
      </c>
      <c r="G9" s="22" t="inlineStr">
        <is>
          <t>CNG + Petrol</t>
        </is>
      </c>
      <c r="H9" s="22" t="inlineStr"/>
      <c r="I9" s="22" t="inlineStr"/>
      <c r="J9" s="50">
        <f>IFERROR(ROUND(F9/H9,2),"")</f>
        <v/>
      </c>
      <c r="K9" s="44" t="inlineStr"/>
    </row>
    <row r="10" ht="22" customHeight="1">
      <c r="B10" s="51" t="inlineStr">
        <is>
          <t>VEH/006</t>
        </is>
      </c>
      <c r="C10" s="10" t="inlineStr"/>
      <c r="D10" s="10" t="inlineStr"/>
      <c r="E10" s="10" t="inlineStr"/>
      <c r="F10" s="51">
        <f>IFERROR(E10-D10,"")</f>
        <v/>
      </c>
      <c r="G10" s="10" t="inlineStr">
        <is>
          <t>Diesel</t>
        </is>
      </c>
      <c r="H10" s="10" t="inlineStr"/>
      <c r="I10" s="10" t="inlineStr"/>
      <c r="J10" s="51">
        <f>IFERROR(ROUND(F10/H10,2),"")</f>
        <v/>
      </c>
      <c r="K10" s="9" t="inlineStr"/>
    </row>
    <row r="11" ht="22" customHeight="1">
      <c r="B11" s="50" t="inlineStr">
        <is>
          <t>VEH/007</t>
        </is>
      </c>
      <c r="C11" s="22" t="inlineStr"/>
      <c r="D11" s="22" t="inlineStr"/>
      <c r="E11" s="22" t="inlineStr"/>
      <c r="F11" s="50">
        <f>IFERROR(E11-D11,"")</f>
        <v/>
      </c>
      <c r="G11" s="22" t="inlineStr">
        <is>
          <t>CNG</t>
        </is>
      </c>
      <c r="H11" s="22" t="inlineStr"/>
      <c r="I11" s="22" t="inlineStr"/>
      <c r="J11" s="50">
        <f>IFERROR(ROUND(F11/H11,2),"")</f>
        <v/>
      </c>
      <c r="K11" s="44" t="inlineStr"/>
    </row>
    <row r="12" ht="22" customHeight="1">
      <c r="B12" s="51" t="inlineStr">
        <is>
          <t>VEH/008</t>
        </is>
      </c>
      <c r="C12" s="10" t="inlineStr"/>
      <c r="D12" s="10" t="inlineStr"/>
      <c r="E12" s="10" t="inlineStr"/>
      <c r="F12" s="51">
        <f>IFERROR(E12-D12,"")</f>
        <v/>
      </c>
      <c r="G12" s="10" t="inlineStr">
        <is>
          <t>Electric</t>
        </is>
      </c>
      <c r="H12" s="10" t="inlineStr"/>
      <c r="I12" s="10" t="inlineStr"/>
      <c r="J12" s="51">
        <f>IFERROR(ROUND(F12/H12,2),"")</f>
        <v/>
      </c>
      <c r="K12" s="9" t="inlineStr"/>
    </row>
    <row r="13" ht="22" customHeight="1">
      <c r="B13" s="50" t="inlineStr">
        <is>
          <t>VEH/009</t>
        </is>
      </c>
      <c r="C13" s="22" t="inlineStr"/>
      <c r="D13" s="22" t="inlineStr"/>
      <c r="E13" s="22" t="inlineStr"/>
      <c r="F13" s="50">
        <f>IFERROR(E13-D13,"")</f>
        <v/>
      </c>
      <c r="G13" s="22" t="inlineStr">
        <is>
          <t>Petrol</t>
        </is>
      </c>
      <c r="H13" s="22" t="inlineStr"/>
      <c r="I13" s="22" t="inlineStr"/>
      <c r="J13" s="50">
        <f>IFERROR(ROUND(F13/H13,2),"")</f>
        <v/>
      </c>
      <c r="K13" s="44" t="inlineStr"/>
    </row>
    <row r="14" ht="22" customHeight="1">
      <c r="B14" s="51" t="inlineStr">
        <is>
          <t>VEH/010</t>
        </is>
      </c>
      <c r="C14" s="10" t="inlineStr"/>
      <c r="D14" s="10" t="inlineStr"/>
      <c r="E14" s="10" t="inlineStr"/>
      <c r="F14" s="51">
        <f>IFERROR(E14-D14,"")</f>
        <v/>
      </c>
      <c r="G14" s="10" t="inlineStr">
        <is>
          <t>CNG + Petrol</t>
        </is>
      </c>
      <c r="H14" s="10" t="inlineStr"/>
      <c r="I14" s="10" t="inlineStr"/>
      <c r="J14" s="51">
        <f>IFERROR(ROUND(F14/H14,2),"")</f>
        <v/>
      </c>
      <c r="K14" s="9" t="inlineStr"/>
    </row>
    <row r="15" ht="22" customHeight="1">
      <c r="B15" s="50" t="inlineStr">
        <is>
          <t>VEH/011</t>
        </is>
      </c>
      <c r="C15" s="22" t="inlineStr"/>
      <c r="D15" s="22" t="inlineStr"/>
      <c r="E15" s="22" t="inlineStr"/>
      <c r="F15" s="50">
        <f>IFERROR(E15-D15,"")</f>
        <v/>
      </c>
      <c r="G15" s="22" t="inlineStr">
        <is>
          <t>Diesel</t>
        </is>
      </c>
      <c r="H15" s="22" t="inlineStr"/>
      <c r="I15" s="22" t="inlineStr"/>
      <c r="J15" s="50">
        <f>IFERROR(ROUND(F15/H15,2),"")</f>
        <v/>
      </c>
      <c r="K15" s="44" t="inlineStr"/>
    </row>
    <row r="16" ht="22" customHeight="1">
      <c r="B16" s="51" t="inlineStr">
        <is>
          <t>VEH/012</t>
        </is>
      </c>
      <c r="C16" s="10" t="inlineStr"/>
      <c r="D16" s="10" t="inlineStr"/>
      <c r="E16" s="10" t="inlineStr"/>
      <c r="F16" s="51">
        <f>IFERROR(E16-D16,"")</f>
        <v/>
      </c>
      <c r="G16" s="10" t="inlineStr">
        <is>
          <t>CNG</t>
        </is>
      </c>
      <c r="H16" s="10" t="inlineStr"/>
      <c r="I16" s="10" t="inlineStr"/>
      <c r="J16" s="51">
        <f>IFERROR(ROUND(F16/H16,2),"")</f>
        <v/>
      </c>
      <c r="K16" s="9" t="inlineStr"/>
    </row>
    <row r="17" ht="22" customHeight="1">
      <c r="B17" s="50" t="inlineStr">
        <is>
          <t>VEH/013</t>
        </is>
      </c>
      <c r="C17" s="22" t="inlineStr"/>
      <c r="D17" s="22" t="inlineStr"/>
      <c r="E17" s="22" t="inlineStr"/>
      <c r="F17" s="50">
        <f>IFERROR(E17-D17,"")</f>
        <v/>
      </c>
      <c r="G17" s="22" t="inlineStr">
        <is>
          <t>Electric</t>
        </is>
      </c>
      <c r="H17" s="22" t="inlineStr"/>
      <c r="I17" s="22" t="inlineStr"/>
      <c r="J17" s="50">
        <f>IFERROR(ROUND(F17/H17,2),"")</f>
        <v/>
      </c>
      <c r="K17" s="44" t="inlineStr"/>
    </row>
    <row r="18" ht="22" customHeight="1">
      <c r="B18" s="51" t="inlineStr">
        <is>
          <t>VEH/014</t>
        </is>
      </c>
      <c r="C18" s="10" t="inlineStr"/>
      <c r="D18" s="10" t="inlineStr"/>
      <c r="E18" s="10" t="inlineStr"/>
      <c r="F18" s="51">
        <f>IFERROR(E18-D18,"")</f>
        <v/>
      </c>
      <c r="G18" s="10" t="inlineStr">
        <is>
          <t>Petrol</t>
        </is>
      </c>
      <c r="H18" s="10" t="inlineStr"/>
      <c r="I18" s="10" t="inlineStr"/>
      <c r="J18" s="51">
        <f>IFERROR(ROUND(F18/H18,2),"")</f>
        <v/>
      </c>
      <c r="K18" s="9" t="inlineStr"/>
    </row>
    <row r="19" ht="22" customHeight="1">
      <c r="B19" s="50" t="inlineStr">
        <is>
          <t>VEH/015</t>
        </is>
      </c>
      <c r="C19" s="22" t="inlineStr"/>
      <c r="D19" s="22" t="inlineStr"/>
      <c r="E19" s="22" t="inlineStr"/>
      <c r="F19" s="50">
        <f>IFERROR(E19-D19,"")</f>
        <v/>
      </c>
      <c r="G19" s="22" t="inlineStr">
        <is>
          <t>CNG + Petrol</t>
        </is>
      </c>
      <c r="H19" s="22" t="inlineStr"/>
      <c r="I19" s="22" t="inlineStr"/>
      <c r="J19" s="50">
        <f>IFERROR(ROUND(F19/H19,2),"")</f>
        <v/>
      </c>
      <c r="K19" s="44" t="inlineStr"/>
    </row>
    <row r="20" ht="22" customHeight="1">
      <c r="B20" s="51" t="inlineStr">
        <is>
          <t>VEH/016</t>
        </is>
      </c>
      <c r="C20" s="10" t="inlineStr"/>
      <c r="D20" s="10" t="inlineStr"/>
      <c r="E20" s="10" t="inlineStr"/>
      <c r="F20" s="51">
        <f>IFERROR(E20-D20,"")</f>
        <v/>
      </c>
      <c r="G20" s="10" t="inlineStr">
        <is>
          <t>Diesel</t>
        </is>
      </c>
      <c r="H20" s="10" t="inlineStr"/>
      <c r="I20" s="10" t="inlineStr"/>
      <c r="J20" s="51">
        <f>IFERROR(ROUND(F20/H20,2),"")</f>
        <v/>
      </c>
      <c r="K20" s="9" t="inlineStr"/>
    </row>
    <row r="21" ht="22" customHeight="1">
      <c r="B21" s="50" t="inlineStr">
        <is>
          <t>VEH/017</t>
        </is>
      </c>
      <c r="C21" s="22" t="inlineStr"/>
      <c r="D21" s="22" t="inlineStr"/>
      <c r="E21" s="22" t="inlineStr"/>
      <c r="F21" s="50">
        <f>IFERROR(E21-D21,"")</f>
        <v/>
      </c>
      <c r="G21" s="22" t="inlineStr">
        <is>
          <t>CNG</t>
        </is>
      </c>
      <c r="H21" s="22" t="inlineStr"/>
      <c r="I21" s="22" t="inlineStr"/>
      <c r="J21" s="50">
        <f>IFERROR(ROUND(F21/H21,2),"")</f>
        <v/>
      </c>
      <c r="K21" s="44" t="inlineStr"/>
    </row>
    <row r="22" ht="22" customHeight="1">
      <c r="B22" s="51" t="inlineStr">
        <is>
          <t>VEH/018</t>
        </is>
      </c>
      <c r="C22" s="10" t="inlineStr"/>
      <c r="D22" s="10" t="inlineStr"/>
      <c r="E22" s="10" t="inlineStr"/>
      <c r="F22" s="51">
        <f>IFERROR(E22-D22,"")</f>
        <v/>
      </c>
      <c r="G22" s="10" t="inlineStr">
        <is>
          <t>Electric</t>
        </is>
      </c>
      <c r="H22" s="10" t="inlineStr"/>
      <c r="I22" s="10" t="inlineStr"/>
      <c r="J22" s="51">
        <f>IFERROR(ROUND(F22/H22,2),"")</f>
        <v/>
      </c>
      <c r="K22" s="9" t="inlineStr"/>
    </row>
    <row r="23" ht="22" customHeight="1">
      <c r="B23" s="50" t="inlineStr">
        <is>
          <t>VEH/019</t>
        </is>
      </c>
      <c r="C23" s="22" t="inlineStr"/>
      <c r="D23" s="22" t="inlineStr"/>
      <c r="E23" s="22" t="inlineStr"/>
      <c r="F23" s="50">
        <f>IFERROR(E23-D23,"")</f>
        <v/>
      </c>
      <c r="G23" s="22" t="inlineStr">
        <is>
          <t>Petrol</t>
        </is>
      </c>
      <c r="H23" s="22" t="inlineStr"/>
      <c r="I23" s="22" t="inlineStr"/>
      <c r="J23" s="50">
        <f>IFERROR(ROUND(F23/H23,2),"")</f>
        <v/>
      </c>
      <c r="K23" s="44" t="inlineStr"/>
    </row>
    <row r="24" ht="22" customHeight="1">
      <c r="B24" s="51" t="inlineStr">
        <is>
          <t>VEH/020</t>
        </is>
      </c>
      <c r="C24" s="10" t="inlineStr"/>
      <c r="D24" s="10" t="inlineStr"/>
      <c r="E24" s="10" t="inlineStr"/>
      <c r="F24" s="51">
        <f>IFERROR(E24-D24,"")</f>
        <v/>
      </c>
      <c r="G24" s="10" t="inlineStr">
        <is>
          <t>CNG + Petrol</t>
        </is>
      </c>
      <c r="H24" s="10" t="inlineStr"/>
      <c r="I24" s="10" t="inlineStr"/>
      <c r="J24" s="51">
        <f>IFERROR(ROUND(F24/H24,2),"")</f>
        <v/>
      </c>
      <c r="K24" s="9" t="inlineStr"/>
    </row>
    <row r="25" ht="22" customHeight="1">
      <c r="B25" s="50" t="inlineStr">
        <is>
          <t>VEH/021</t>
        </is>
      </c>
      <c r="C25" s="22" t="inlineStr"/>
      <c r="D25" s="22" t="inlineStr"/>
      <c r="E25" s="22" t="inlineStr"/>
      <c r="F25" s="50">
        <f>IFERROR(E25-D25,"")</f>
        <v/>
      </c>
      <c r="G25" s="22" t="inlineStr">
        <is>
          <t>Diesel</t>
        </is>
      </c>
      <c r="H25" s="22" t="inlineStr"/>
      <c r="I25" s="22" t="inlineStr"/>
      <c r="J25" s="50">
        <f>IFERROR(ROUND(F25/H25,2),"")</f>
        <v/>
      </c>
      <c r="K25" s="44" t="inlineStr"/>
    </row>
    <row r="26" ht="22" customHeight="1">
      <c r="B26" s="51" t="inlineStr">
        <is>
          <t>VEH/022</t>
        </is>
      </c>
      <c r="C26" s="10" t="inlineStr"/>
      <c r="D26" s="10" t="inlineStr"/>
      <c r="E26" s="10" t="inlineStr"/>
      <c r="F26" s="51">
        <f>IFERROR(E26-D26,"")</f>
        <v/>
      </c>
      <c r="G26" s="10" t="inlineStr">
        <is>
          <t>CNG</t>
        </is>
      </c>
      <c r="H26" s="10" t="inlineStr"/>
      <c r="I26" s="10" t="inlineStr"/>
      <c r="J26" s="51">
        <f>IFERROR(ROUND(F26/H26,2),"")</f>
        <v/>
      </c>
      <c r="K26" s="9" t="inlineStr"/>
    </row>
    <row r="27" ht="22" customHeight="1"/>
    <row r="28" ht="24" customHeight="1">
      <c r="B28" s="34" t="inlineStr">
        <is>
          <t>MONTHLY FUEL SUMMARY</t>
        </is>
      </c>
    </row>
    <row r="29" ht="22" customHeight="1">
      <c r="B29" s="23" t="inlineStr">
        <is>
          <t>Total Distance (all vehicles, km)</t>
        </is>
      </c>
      <c r="F29" s="36">
        <f>IFERROR(SUM(F5:F26),"")</f>
        <v/>
      </c>
    </row>
    <row r="30" ht="22" customHeight="1">
      <c r="B30" s="25" t="inlineStr">
        <is>
          <t>Total Fuel Consumed (Litres)</t>
        </is>
      </c>
      <c r="F30" s="37">
        <f>IFERROR(SUM(H5:H26),"")</f>
        <v/>
      </c>
    </row>
    <row r="31" ht="22" customHeight="1">
      <c r="B31" s="23" t="inlineStr">
        <is>
          <t>Total Fuel Cost (₹)</t>
        </is>
      </c>
      <c r="F31" s="36">
        <f>IFERROR(SUM(I5:I26),"")</f>
        <v/>
      </c>
    </row>
    <row r="32" ht="22" customHeight="1">
      <c r="B32" s="25" t="inlineStr">
        <is>
          <t>Fleet Average Efficiency (km/L)</t>
        </is>
      </c>
      <c r="F32" s="37">
        <f>IFERROR(ROUND(C30/C31,2),"")</f>
        <v/>
      </c>
    </row>
    <row r="33" ht="22" customHeight="1">
      <c r="B33" s="23" t="inlineStr">
        <is>
          <t>Most Efficient Vehicle</t>
        </is>
      </c>
      <c r="F33" s="36" t="inlineStr"/>
    </row>
    <row r="34" ht="22" customHeight="1">
      <c r="B34" s="25" t="inlineStr">
        <is>
          <t>Least Efficient Vehicle — Action Needed</t>
        </is>
      </c>
      <c r="F34" s="37" t="inlineStr"/>
    </row>
    <row r="35" ht="22" customHeight="1"/>
  </sheetData>
  <mergeCells count="15">
    <mergeCell ref="B31:E31"/>
    <mergeCell ref="F34:K34"/>
    <mergeCell ref="F33:K33"/>
    <mergeCell ref="F32:K32"/>
    <mergeCell ref="B34:E34"/>
    <mergeCell ref="B30:E30"/>
    <mergeCell ref="F31:K31"/>
    <mergeCell ref="B32:E32"/>
    <mergeCell ref="B29:E29"/>
    <mergeCell ref="B33:E33"/>
    <mergeCell ref="B2:K2"/>
    <mergeCell ref="B28:K28"/>
    <mergeCell ref="B3:K3"/>
    <mergeCell ref="F29:K29"/>
    <mergeCell ref="F30:K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TC-13: DRIVER, CONDUCTOR &amp; TRANSPORT STAFF REGISTER</t>
        </is>
      </c>
    </row>
    <row r="3" ht="20" customHeight="1">
      <c r="B3" s="17" t="inlineStr">
        <is>
          <t>All drivers must hold valid HMV licence with appropriate endorsement. Conductors must hold badge licence. Annual medical fitness test mandatory. Police verification clearance required for all transport staff.</t>
        </is>
      </c>
    </row>
    <row r="4" ht="25" customHeight="1">
      <c r="B4" s="13" t="inlineStr">
        <is>
          <t>Staff
Ref.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Licence
Number</t>
        </is>
      </c>
      <c r="F4" s="13" t="inlineStr">
        <is>
          <t>Licence
Type</t>
        </is>
      </c>
      <c r="G4" s="13" t="inlineStr">
        <is>
          <t>Licence
Expiry</t>
        </is>
      </c>
      <c r="H4" s="13" t="inlineStr">
        <is>
          <t>Medical
Fitness Date</t>
        </is>
      </c>
      <c r="I4" s="13" t="inlineStr">
        <is>
          <t>Assigned
Vehicle</t>
        </is>
      </c>
      <c r="J4" s="13" t="inlineStr">
        <is>
          <t>Contact
Number</t>
        </is>
      </c>
      <c r="K4" s="13" t="inlineStr">
        <is>
          <t>Status</t>
        </is>
      </c>
    </row>
    <row r="5" ht="22" customHeight="1">
      <c r="B5" s="14" t="inlineStr">
        <is>
          <t>DRV/001</t>
        </is>
      </c>
      <c r="C5" s="15" t="inlineStr"/>
      <c r="D5" s="16" t="inlineStr">
        <is>
          <t>Head Driver</t>
        </is>
      </c>
      <c r="E5" s="16" t="inlineStr"/>
      <c r="F5" s="16" t="inlineStr">
        <is>
          <t>HMV (Heavy Motor Vehicle)</t>
        </is>
      </c>
      <c r="G5" s="16" t="inlineStr"/>
      <c r="H5" s="16" t="inlineStr"/>
      <c r="I5" s="16" t="inlineStr"/>
      <c r="J5" s="16" t="inlineStr"/>
      <c r="K5" s="16" t="inlineStr">
        <is>
          <t>Active</t>
        </is>
      </c>
    </row>
    <row r="6" ht="22" customHeight="1">
      <c r="B6" s="8" t="inlineStr">
        <is>
          <t>DRV/002</t>
        </is>
      </c>
      <c r="C6" s="9" t="inlineStr"/>
      <c r="D6" s="10" t="inlineStr">
        <is>
          <t>Senior Driver</t>
        </is>
      </c>
      <c r="E6" s="10" t="inlineStr"/>
      <c r="F6" s="10" t="inlineStr">
        <is>
          <t>LMV (Light Motor Vehicle)</t>
        </is>
      </c>
      <c r="G6" s="10" t="inlineStr"/>
      <c r="H6" s="10" t="inlineStr"/>
      <c r="I6" s="10" t="inlineStr"/>
      <c r="J6" s="10" t="inlineStr"/>
      <c r="K6" s="10" t="inlineStr">
        <is>
          <t>Active</t>
        </is>
      </c>
    </row>
    <row r="7" ht="22" customHeight="1">
      <c r="B7" s="14" t="inlineStr">
        <is>
          <t>DRV/003</t>
        </is>
      </c>
      <c r="C7" s="15" t="inlineStr"/>
      <c r="D7" s="16" t="inlineStr">
        <is>
          <t>Driver</t>
        </is>
      </c>
      <c r="E7" s="16" t="inlineStr"/>
      <c r="F7" s="16" t="inlineStr">
        <is>
          <t>HMV + PSV (Public Service Vehicle)</t>
        </is>
      </c>
      <c r="G7" s="16" t="inlineStr"/>
      <c r="H7" s="16" t="inlineStr"/>
      <c r="I7" s="16" t="inlineStr"/>
      <c r="J7" s="16" t="inlineStr"/>
      <c r="K7" s="16" t="inlineStr">
        <is>
          <t>Active</t>
        </is>
      </c>
    </row>
    <row r="8" ht="22" customHeight="1">
      <c r="B8" s="8" t="inlineStr">
        <is>
          <t>DRV/004</t>
        </is>
      </c>
      <c r="C8" s="9" t="inlineStr"/>
      <c r="D8" s="10" t="inlineStr">
        <is>
          <t>Relief Driver</t>
        </is>
      </c>
      <c r="E8" s="10" t="inlineStr"/>
      <c r="F8" s="10" t="inlineStr">
        <is>
          <t>LMV + PSV</t>
        </is>
      </c>
      <c r="G8" s="10" t="inlineStr"/>
      <c r="H8" s="10" t="inlineStr"/>
      <c r="I8" s="10" t="inlineStr"/>
      <c r="J8" s="10" t="inlineStr"/>
      <c r="K8" s="10" t="inlineStr">
        <is>
          <t>Active</t>
        </is>
      </c>
    </row>
    <row r="9" ht="22" customHeight="1">
      <c r="B9" s="14" t="inlineStr">
        <is>
          <t>DRV/005</t>
        </is>
      </c>
      <c r="C9" s="15" t="inlineStr"/>
      <c r="D9" s="16" t="inlineStr">
        <is>
          <t>Conductor</t>
        </is>
      </c>
      <c r="E9" s="16" t="inlineStr"/>
      <c r="F9" s="16" t="inlineStr">
        <is>
          <t>Conductor Badge Licence</t>
        </is>
      </c>
      <c r="G9" s="16" t="inlineStr"/>
      <c r="H9" s="16" t="inlineStr"/>
      <c r="I9" s="16" t="inlineStr"/>
      <c r="J9" s="16" t="inlineStr"/>
      <c r="K9" s="16" t="inlineStr">
        <is>
          <t>Active</t>
        </is>
      </c>
    </row>
    <row r="10" ht="22" customHeight="1">
      <c r="B10" s="8" t="inlineStr">
        <is>
          <t>DRV/006</t>
        </is>
      </c>
      <c r="C10" s="9" t="inlineStr"/>
      <c r="D10" s="10" t="inlineStr">
        <is>
          <t>Attendant (Female)</t>
        </is>
      </c>
      <c r="E10" s="10" t="inlineStr"/>
      <c r="F10" s="10" t="inlineStr">
        <is>
          <t>N/A (Non-driving staff)</t>
        </is>
      </c>
      <c r="G10" s="10" t="inlineStr"/>
      <c r="H10" s="10" t="inlineStr"/>
      <c r="I10" s="10" t="inlineStr"/>
      <c r="J10" s="10" t="inlineStr"/>
      <c r="K10" s="10" t="inlineStr">
        <is>
          <t>Active</t>
        </is>
      </c>
    </row>
    <row r="11" ht="22" customHeight="1">
      <c r="B11" s="14" t="inlineStr">
        <is>
          <t>DRV/007</t>
        </is>
      </c>
      <c r="C11" s="15" t="inlineStr"/>
      <c r="D11" s="16" t="inlineStr">
        <is>
          <t>Transport Supervisor</t>
        </is>
      </c>
      <c r="E11" s="16" t="inlineStr"/>
      <c r="F11" s="16" t="inlineStr">
        <is>
          <t>HMV (Heavy Motor Vehicle)</t>
        </is>
      </c>
      <c r="G11" s="16" t="inlineStr"/>
      <c r="H11" s="16" t="inlineStr"/>
      <c r="I11" s="16" t="inlineStr"/>
      <c r="J11" s="16" t="inlineStr"/>
      <c r="K11" s="16" t="inlineStr">
        <is>
          <t>Active</t>
        </is>
      </c>
    </row>
    <row r="12" ht="22" customHeight="1">
      <c r="B12" s="8" t="inlineStr">
        <is>
          <t>DRV/008</t>
        </is>
      </c>
      <c r="C12" s="9" t="inlineStr"/>
      <c r="D12" s="10" t="inlineStr">
        <is>
          <t>Mechanic / Helper</t>
        </is>
      </c>
      <c r="E12" s="10" t="inlineStr"/>
      <c r="F12" s="10" t="inlineStr">
        <is>
          <t>LMV (Light Motor Vehicle)</t>
        </is>
      </c>
      <c r="G12" s="10" t="inlineStr"/>
      <c r="H12" s="10" t="inlineStr"/>
      <c r="I12" s="10" t="inlineStr"/>
      <c r="J12" s="10" t="inlineStr"/>
      <c r="K12" s="10" t="inlineStr">
        <is>
          <t>Active</t>
        </is>
      </c>
    </row>
    <row r="13" ht="22" customHeight="1">
      <c r="B13" s="14" t="inlineStr">
        <is>
          <t>DRV/009</t>
        </is>
      </c>
      <c r="C13" s="15" t="inlineStr"/>
      <c r="D13" s="16" t="inlineStr">
        <is>
          <t>Head Driver</t>
        </is>
      </c>
      <c r="E13" s="16" t="inlineStr"/>
      <c r="F13" s="16" t="inlineStr">
        <is>
          <t>HMV + PSV (Public Service Vehicle)</t>
        </is>
      </c>
      <c r="G13" s="16" t="inlineStr"/>
      <c r="H13" s="16" t="inlineStr"/>
      <c r="I13" s="16" t="inlineStr"/>
      <c r="J13" s="16" t="inlineStr"/>
      <c r="K13" s="16" t="inlineStr">
        <is>
          <t>Active</t>
        </is>
      </c>
    </row>
    <row r="14" ht="22" customHeight="1">
      <c r="B14" s="8" t="inlineStr">
        <is>
          <t>DRV/010</t>
        </is>
      </c>
      <c r="C14" s="9" t="inlineStr"/>
      <c r="D14" s="10" t="inlineStr">
        <is>
          <t>Senior Driver</t>
        </is>
      </c>
      <c r="E14" s="10" t="inlineStr"/>
      <c r="F14" s="10" t="inlineStr">
        <is>
          <t>LMV + PSV</t>
        </is>
      </c>
      <c r="G14" s="10" t="inlineStr"/>
      <c r="H14" s="10" t="inlineStr"/>
      <c r="I14" s="10" t="inlineStr"/>
      <c r="J14" s="10" t="inlineStr"/>
      <c r="K14" s="10" t="inlineStr">
        <is>
          <t>Active</t>
        </is>
      </c>
    </row>
    <row r="15" ht="22" customHeight="1">
      <c r="B15" s="14" t="inlineStr">
        <is>
          <t>DRV/011</t>
        </is>
      </c>
      <c r="C15" s="15" t="inlineStr"/>
      <c r="D15" s="16" t="inlineStr">
        <is>
          <t>Driver</t>
        </is>
      </c>
      <c r="E15" s="16" t="inlineStr"/>
      <c r="F15" s="16" t="inlineStr">
        <is>
          <t>Conductor Badge Licence</t>
        </is>
      </c>
      <c r="G15" s="16" t="inlineStr"/>
      <c r="H15" s="16" t="inlineStr"/>
      <c r="I15" s="16" t="inlineStr"/>
      <c r="J15" s="16" t="inlineStr"/>
      <c r="K15" s="16" t="inlineStr">
        <is>
          <t>Active</t>
        </is>
      </c>
    </row>
    <row r="16" ht="22" customHeight="1">
      <c r="B16" s="8" t="inlineStr">
        <is>
          <t>DRV/012</t>
        </is>
      </c>
      <c r="C16" s="9" t="inlineStr"/>
      <c r="D16" s="10" t="inlineStr">
        <is>
          <t>Relief Driver</t>
        </is>
      </c>
      <c r="E16" s="10" t="inlineStr"/>
      <c r="F16" s="10" t="inlineStr">
        <is>
          <t>N/A (Non-driving staff)</t>
        </is>
      </c>
      <c r="G16" s="10" t="inlineStr"/>
      <c r="H16" s="10" t="inlineStr"/>
      <c r="I16" s="10" t="inlineStr"/>
      <c r="J16" s="10" t="inlineStr"/>
      <c r="K16" s="10" t="inlineStr">
        <is>
          <t>Active</t>
        </is>
      </c>
    </row>
    <row r="17" ht="22" customHeight="1">
      <c r="B17" s="14" t="inlineStr">
        <is>
          <t>DRV/013</t>
        </is>
      </c>
      <c r="C17" s="15" t="inlineStr"/>
      <c r="D17" s="16" t="inlineStr">
        <is>
          <t>Conductor</t>
        </is>
      </c>
      <c r="E17" s="16" t="inlineStr"/>
      <c r="F17" s="16" t="inlineStr">
        <is>
          <t>HMV (Heavy Motor Vehicle)</t>
        </is>
      </c>
      <c r="G17" s="16" t="inlineStr"/>
      <c r="H17" s="16" t="inlineStr"/>
      <c r="I17" s="16" t="inlineStr"/>
      <c r="J17" s="16" t="inlineStr"/>
      <c r="K17" s="16" t="inlineStr">
        <is>
          <t>Active</t>
        </is>
      </c>
    </row>
    <row r="18" ht="22" customHeight="1">
      <c r="B18" s="8" t="inlineStr">
        <is>
          <t>DRV/014</t>
        </is>
      </c>
      <c r="C18" s="9" t="inlineStr"/>
      <c r="D18" s="10" t="inlineStr">
        <is>
          <t>Attendant (Female)</t>
        </is>
      </c>
      <c r="E18" s="10" t="inlineStr"/>
      <c r="F18" s="10" t="inlineStr">
        <is>
          <t>LMV (Light Motor Vehicle)</t>
        </is>
      </c>
      <c r="G18" s="10" t="inlineStr"/>
      <c r="H18" s="10" t="inlineStr"/>
      <c r="I18" s="10" t="inlineStr"/>
      <c r="J18" s="10" t="inlineStr"/>
      <c r="K18" s="10" t="inlineStr">
        <is>
          <t>Active</t>
        </is>
      </c>
    </row>
    <row r="19" ht="22" customHeight="1">
      <c r="B19" s="14" t="inlineStr">
        <is>
          <t>DRV/015</t>
        </is>
      </c>
      <c r="C19" s="15" t="inlineStr"/>
      <c r="D19" s="16" t="inlineStr">
        <is>
          <t>Transport Supervisor</t>
        </is>
      </c>
      <c r="E19" s="16" t="inlineStr"/>
      <c r="F19" s="16" t="inlineStr">
        <is>
          <t>HMV + PSV (Public Service Vehicle)</t>
        </is>
      </c>
      <c r="G19" s="16" t="inlineStr"/>
      <c r="H19" s="16" t="inlineStr"/>
      <c r="I19" s="16" t="inlineStr"/>
      <c r="J19" s="16" t="inlineStr"/>
      <c r="K19" s="16" t="inlineStr">
        <is>
          <t>Active</t>
        </is>
      </c>
    </row>
    <row r="20" ht="22" customHeight="1">
      <c r="B20" s="8" t="inlineStr">
        <is>
          <t>DRV/016</t>
        </is>
      </c>
      <c r="C20" s="9" t="inlineStr"/>
      <c r="D20" s="10" t="inlineStr">
        <is>
          <t>Mechanic / Helper</t>
        </is>
      </c>
      <c r="E20" s="10" t="inlineStr"/>
      <c r="F20" s="10" t="inlineStr">
        <is>
          <t>LMV + PSV</t>
        </is>
      </c>
      <c r="G20" s="10" t="inlineStr"/>
      <c r="H20" s="10" t="inlineStr"/>
      <c r="I20" s="10" t="inlineStr"/>
      <c r="J20" s="10" t="inlineStr"/>
      <c r="K20" s="10" t="inlineStr">
        <is>
          <t>Active</t>
        </is>
      </c>
    </row>
    <row r="21" ht="22" customHeight="1">
      <c r="B21" s="14" t="inlineStr">
        <is>
          <t>DRV/017</t>
        </is>
      </c>
      <c r="C21" s="15" t="inlineStr"/>
      <c r="D21" s="16" t="inlineStr">
        <is>
          <t>Head Driver</t>
        </is>
      </c>
      <c r="E21" s="16" t="inlineStr"/>
      <c r="F21" s="16" t="inlineStr">
        <is>
          <t>Conductor Badge Licence</t>
        </is>
      </c>
      <c r="G21" s="16" t="inlineStr"/>
      <c r="H21" s="16" t="inlineStr"/>
      <c r="I21" s="16" t="inlineStr"/>
      <c r="J21" s="16" t="inlineStr"/>
      <c r="K21" s="16" t="inlineStr">
        <is>
          <t>Active</t>
        </is>
      </c>
    </row>
    <row r="22" ht="22" customHeight="1">
      <c r="B22" s="8" t="inlineStr">
        <is>
          <t>DRV/018</t>
        </is>
      </c>
      <c r="C22" s="9" t="inlineStr"/>
      <c r="D22" s="10" t="inlineStr">
        <is>
          <t>Senior Driver</t>
        </is>
      </c>
      <c r="E22" s="10" t="inlineStr"/>
      <c r="F22" s="10" t="inlineStr">
        <is>
          <t>N/A (Non-driving staff)</t>
        </is>
      </c>
      <c r="G22" s="10" t="inlineStr"/>
      <c r="H22" s="10" t="inlineStr"/>
      <c r="I22" s="10" t="inlineStr"/>
      <c r="J22" s="10" t="inlineStr"/>
      <c r="K22" s="10" t="inlineStr">
        <is>
          <t>Active</t>
        </is>
      </c>
    </row>
    <row r="23" ht="22" customHeight="1">
      <c r="B23" s="14" t="inlineStr">
        <is>
          <t>DRV/019</t>
        </is>
      </c>
      <c r="C23" s="15" t="inlineStr"/>
      <c r="D23" s="16" t="inlineStr">
        <is>
          <t>Driver</t>
        </is>
      </c>
      <c r="E23" s="16" t="inlineStr"/>
      <c r="F23" s="16" t="inlineStr">
        <is>
          <t>HMV (Heavy Motor Vehicle)</t>
        </is>
      </c>
      <c r="G23" s="16" t="inlineStr"/>
      <c r="H23" s="16" t="inlineStr"/>
      <c r="I23" s="16" t="inlineStr"/>
      <c r="J23" s="16" t="inlineStr"/>
      <c r="K23" s="16" t="inlineStr">
        <is>
          <t>Active</t>
        </is>
      </c>
    </row>
    <row r="24" ht="22" customHeight="1">
      <c r="B24" s="8" t="inlineStr">
        <is>
          <t>DRV/020</t>
        </is>
      </c>
      <c r="C24" s="9" t="inlineStr"/>
      <c r="D24" s="10" t="inlineStr">
        <is>
          <t>Relief Driver</t>
        </is>
      </c>
      <c r="E24" s="10" t="inlineStr"/>
      <c r="F24" s="10" t="inlineStr">
        <is>
          <t>LMV (Light Motor Vehicle)</t>
        </is>
      </c>
      <c r="G24" s="10" t="inlineStr"/>
      <c r="H24" s="10" t="inlineStr"/>
      <c r="I24" s="10" t="inlineStr"/>
      <c r="J24" s="10" t="inlineStr"/>
      <c r="K24" s="10" t="inlineStr">
        <is>
          <t>Active</t>
        </is>
      </c>
    </row>
    <row r="25" ht="22" customHeight="1">
      <c r="B25" s="14" t="inlineStr">
        <is>
          <t>DRV/021</t>
        </is>
      </c>
      <c r="C25" s="15" t="inlineStr"/>
      <c r="D25" s="16" t="inlineStr">
        <is>
          <t>Conductor</t>
        </is>
      </c>
      <c r="E25" s="16" t="inlineStr"/>
      <c r="F25" s="16" t="inlineStr">
        <is>
          <t>HMV + PSV (Public Service Vehicle)</t>
        </is>
      </c>
      <c r="G25" s="16" t="inlineStr"/>
      <c r="H25" s="16" t="inlineStr"/>
      <c r="I25" s="16" t="inlineStr"/>
      <c r="J25" s="16" t="inlineStr"/>
      <c r="K25" s="16" t="inlineStr">
        <is>
          <t>Active</t>
        </is>
      </c>
    </row>
    <row r="26" ht="22" customHeight="1">
      <c r="B26" s="8" t="inlineStr">
        <is>
          <t>DRV/022</t>
        </is>
      </c>
      <c r="C26" s="9" t="inlineStr"/>
      <c r="D26" s="10" t="inlineStr">
        <is>
          <t>Attendant (Female)</t>
        </is>
      </c>
      <c r="E26" s="10" t="inlineStr"/>
      <c r="F26" s="10" t="inlineStr">
        <is>
          <t>LMV + PSV</t>
        </is>
      </c>
      <c r="G26" s="10" t="inlineStr"/>
      <c r="H26" s="10" t="inlineStr"/>
      <c r="I26" s="10" t="inlineStr"/>
      <c r="J26" s="10" t="inlineStr"/>
      <c r="K26" s="10" t="inlineStr">
        <is>
          <t>Active</t>
        </is>
      </c>
    </row>
    <row r="27" ht="22" customHeight="1"/>
    <row r="28" ht="24" customHeight="1">
      <c r="B28" s="34" t="inlineStr">
        <is>
          <t>STAFF SUMMARY</t>
        </is>
      </c>
    </row>
    <row r="29" ht="22" customHeight="1">
      <c r="B29" s="38" t="inlineStr">
        <is>
          <t>Total Transport Staff</t>
        </is>
      </c>
      <c r="F29" s="36">
        <f>COUNTA(B5:B26)</f>
        <v/>
      </c>
    </row>
    <row r="30" ht="22" customHeight="1">
      <c r="B30" s="25" t="inlineStr">
        <is>
          <t>Drivers (all categories)</t>
        </is>
      </c>
      <c r="F30" s="37">
        <f>COUNTIF(D5:D26,"Driver")+COUNTIF(D5:D26,"Head Driver")+COUNTIF(D5:D26,"Senior Driver")+COUNTIF(D5:D26,"Relief Driver")</f>
        <v/>
      </c>
    </row>
    <row r="31" ht="22" customHeight="1">
      <c r="B31" s="38" t="inlineStr">
        <is>
          <t>Conductors</t>
        </is>
      </c>
      <c r="F31" s="36">
        <f>COUNTIF(D5:D26,"Conductor")</f>
        <v/>
      </c>
    </row>
    <row r="32">
      <c r="B32" s="25" t="inlineStr">
        <is>
          <t>Licences Expiring in 60 Days</t>
        </is>
      </c>
      <c r="F32" s="37" t="inlineStr"/>
    </row>
    <row r="33">
      <c r="B33" s="38" t="inlineStr">
        <is>
          <t>Medical Fitness — Overdue</t>
        </is>
      </c>
      <c r="F33" s="36" t="inlineStr"/>
    </row>
    <row r="34">
      <c r="B34" s="25" t="inlineStr">
        <is>
          <t>Active Staff</t>
        </is>
      </c>
      <c r="F34" s="37">
        <f>COUNTIF(K5:K26,"Active")</f>
        <v/>
      </c>
    </row>
  </sheetData>
  <mergeCells count="15">
    <mergeCell ref="B31:E31"/>
    <mergeCell ref="F34:K34"/>
    <mergeCell ref="F33:K33"/>
    <mergeCell ref="F32:K32"/>
    <mergeCell ref="B34:E34"/>
    <mergeCell ref="B30:E30"/>
    <mergeCell ref="F31:K31"/>
    <mergeCell ref="B32:E32"/>
    <mergeCell ref="B29:E29"/>
    <mergeCell ref="B33:E33"/>
    <mergeCell ref="B2:K2"/>
    <mergeCell ref="B28:K28"/>
    <mergeCell ref="B3:K3"/>
    <mergeCell ref="F29:K29"/>
    <mergeCell ref="F30:K3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TC-18: BUS ROUTE MASTER REGISTER</t>
        </is>
      </c>
    </row>
    <row r="3" ht="25" customHeight="1">
      <c r="B3" s="2" t="inlineStr">
        <is>
          <t>Institution: _________________________  A.Y.: _______  Transport Officer: ___________________  Effective from: _______</t>
        </is>
      </c>
    </row>
    <row r="4" ht="25" customHeight="1">
      <c r="B4" s="13" t="inlineStr">
        <is>
          <t>Route
No.</t>
        </is>
      </c>
      <c r="C4" s="13" t="inlineStr">
        <is>
          <t>Route Name /
Description</t>
        </is>
      </c>
      <c r="D4" s="13" t="inlineStr">
        <is>
          <t>Stops (Key Points)</t>
        </is>
      </c>
      <c r="E4" s="13" t="inlineStr">
        <is>
          <t>Total
Distance (km)</t>
        </is>
      </c>
      <c r="F4" s="13" t="inlineStr">
        <is>
          <t>Departure
Time</t>
        </is>
      </c>
      <c r="G4" s="13" t="inlineStr">
        <is>
          <t>Return
Time</t>
        </is>
      </c>
      <c r="H4" s="13" t="inlineStr">
        <is>
          <t>Assigned
Vehicle</t>
        </is>
      </c>
      <c r="I4" s="13" t="inlineStr">
        <is>
          <t>Passenger
Capacity</t>
        </is>
      </c>
      <c r="J4" s="13" t="inlineStr">
        <is>
          <t>Status</t>
        </is>
      </c>
    </row>
    <row r="5" ht="22" customHeight="1">
      <c r="B5" s="14" t="inlineStr">
        <is>
          <t>ROUTE-01</t>
        </is>
      </c>
      <c r="C5" s="15" t="inlineStr"/>
      <c r="D5" s="15" t="inlineStr"/>
      <c r="E5" s="16" t="inlineStr"/>
      <c r="F5" s="16" t="inlineStr">
        <is>
          <t>07:30 AM</t>
        </is>
      </c>
      <c r="G5" s="16" t="inlineStr">
        <is>
          <t>06:00 PM</t>
        </is>
      </c>
      <c r="H5" s="16" t="inlineStr"/>
      <c r="I5" s="16" t="inlineStr"/>
      <c r="J5" s="16" t="inlineStr">
        <is>
          <t>Active</t>
        </is>
      </c>
    </row>
    <row r="6" ht="22" customHeight="1">
      <c r="B6" s="8" t="inlineStr">
        <is>
          <t>ROUTE-02</t>
        </is>
      </c>
      <c r="C6" s="9" t="inlineStr"/>
      <c r="D6" s="9" t="inlineStr"/>
      <c r="E6" s="10" t="inlineStr"/>
      <c r="F6" s="10" t="inlineStr">
        <is>
          <t>07:30 AM</t>
        </is>
      </c>
      <c r="G6" s="10" t="inlineStr">
        <is>
          <t>06:00 PM</t>
        </is>
      </c>
      <c r="H6" s="10" t="inlineStr"/>
      <c r="I6" s="10" t="inlineStr"/>
      <c r="J6" s="10" t="inlineStr">
        <is>
          <t>Active</t>
        </is>
      </c>
    </row>
    <row r="7" ht="22" customHeight="1">
      <c r="B7" s="14" t="inlineStr">
        <is>
          <t>ROUTE-03</t>
        </is>
      </c>
      <c r="C7" s="15" t="inlineStr"/>
      <c r="D7" s="15" t="inlineStr"/>
      <c r="E7" s="16" t="inlineStr"/>
      <c r="F7" s="16" t="inlineStr">
        <is>
          <t>07:30 AM</t>
        </is>
      </c>
      <c r="G7" s="16" t="inlineStr">
        <is>
          <t>06:00 PM</t>
        </is>
      </c>
      <c r="H7" s="16" t="inlineStr"/>
      <c r="I7" s="16" t="inlineStr"/>
      <c r="J7" s="16" t="inlineStr">
        <is>
          <t>Active</t>
        </is>
      </c>
    </row>
    <row r="8" ht="22" customHeight="1">
      <c r="B8" s="8" t="inlineStr">
        <is>
          <t>ROUTE-04</t>
        </is>
      </c>
      <c r="C8" s="9" t="inlineStr"/>
      <c r="D8" s="9" t="inlineStr"/>
      <c r="E8" s="10" t="inlineStr"/>
      <c r="F8" s="10" t="inlineStr">
        <is>
          <t>07:30 AM</t>
        </is>
      </c>
      <c r="G8" s="10" t="inlineStr">
        <is>
          <t>06:00 PM</t>
        </is>
      </c>
      <c r="H8" s="10" t="inlineStr"/>
      <c r="I8" s="10" t="inlineStr"/>
      <c r="J8" s="10" t="inlineStr">
        <is>
          <t>Active</t>
        </is>
      </c>
    </row>
    <row r="9" ht="22" customHeight="1">
      <c r="B9" s="14" t="inlineStr">
        <is>
          <t>ROUTE-05</t>
        </is>
      </c>
      <c r="C9" s="15" t="inlineStr"/>
      <c r="D9" s="15" t="inlineStr"/>
      <c r="E9" s="16" t="inlineStr"/>
      <c r="F9" s="16" t="inlineStr">
        <is>
          <t>07:30 AM</t>
        </is>
      </c>
      <c r="G9" s="16" t="inlineStr">
        <is>
          <t>06:00 PM</t>
        </is>
      </c>
      <c r="H9" s="16" t="inlineStr"/>
      <c r="I9" s="16" t="inlineStr"/>
      <c r="J9" s="16" t="inlineStr">
        <is>
          <t>Active</t>
        </is>
      </c>
    </row>
    <row r="10" ht="22" customHeight="1">
      <c r="B10" s="8" t="inlineStr">
        <is>
          <t>ROUTE-06</t>
        </is>
      </c>
      <c r="C10" s="9" t="inlineStr"/>
      <c r="D10" s="9" t="inlineStr"/>
      <c r="E10" s="10" t="inlineStr"/>
      <c r="F10" s="10" t="inlineStr">
        <is>
          <t>07:30 AM</t>
        </is>
      </c>
      <c r="G10" s="10" t="inlineStr">
        <is>
          <t>06:00 PM</t>
        </is>
      </c>
      <c r="H10" s="10" t="inlineStr"/>
      <c r="I10" s="10" t="inlineStr"/>
      <c r="J10" s="10" t="inlineStr">
        <is>
          <t>Active</t>
        </is>
      </c>
    </row>
    <row r="11" ht="22" customHeight="1">
      <c r="B11" s="14" t="inlineStr">
        <is>
          <t>ROUTE-07</t>
        </is>
      </c>
      <c r="C11" s="15" t="inlineStr"/>
      <c r="D11" s="15" t="inlineStr"/>
      <c r="E11" s="16" t="inlineStr"/>
      <c r="F11" s="16" t="inlineStr">
        <is>
          <t>07:30 AM</t>
        </is>
      </c>
      <c r="G11" s="16" t="inlineStr">
        <is>
          <t>06:00 PM</t>
        </is>
      </c>
      <c r="H11" s="16" t="inlineStr"/>
      <c r="I11" s="16" t="inlineStr"/>
      <c r="J11" s="16" t="inlineStr">
        <is>
          <t>Active</t>
        </is>
      </c>
    </row>
    <row r="12" ht="22" customHeight="1">
      <c r="B12" s="8" t="inlineStr">
        <is>
          <t>ROUTE-08</t>
        </is>
      </c>
      <c r="C12" s="9" t="inlineStr"/>
      <c r="D12" s="9" t="inlineStr"/>
      <c r="E12" s="10" t="inlineStr"/>
      <c r="F12" s="10" t="inlineStr">
        <is>
          <t>07:30 AM</t>
        </is>
      </c>
      <c r="G12" s="10" t="inlineStr">
        <is>
          <t>06:00 PM</t>
        </is>
      </c>
      <c r="H12" s="10" t="inlineStr"/>
      <c r="I12" s="10" t="inlineStr"/>
      <c r="J12" s="10" t="inlineStr">
        <is>
          <t>Active</t>
        </is>
      </c>
    </row>
    <row r="13" ht="22" customHeight="1">
      <c r="B13" s="14" t="inlineStr">
        <is>
          <t>ROUTE-09</t>
        </is>
      </c>
      <c r="C13" s="15" t="inlineStr"/>
      <c r="D13" s="15" t="inlineStr"/>
      <c r="E13" s="16" t="inlineStr"/>
      <c r="F13" s="16" t="inlineStr">
        <is>
          <t>07:30 AM</t>
        </is>
      </c>
      <c r="G13" s="16" t="inlineStr">
        <is>
          <t>06:00 PM</t>
        </is>
      </c>
      <c r="H13" s="16" t="inlineStr"/>
      <c r="I13" s="16" t="inlineStr"/>
      <c r="J13" s="16" t="inlineStr">
        <is>
          <t>Active</t>
        </is>
      </c>
    </row>
    <row r="14" ht="22" customHeight="1">
      <c r="B14" s="8" t="inlineStr">
        <is>
          <t>ROUTE-10</t>
        </is>
      </c>
      <c r="C14" s="9" t="inlineStr"/>
      <c r="D14" s="9" t="inlineStr"/>
      <c r="E14" s="10" t="inlineStr"/>
      <c r="F14" s="10" t="inlineStr">
        <is>
          <t>07:30 AM</t>
        </is>
      </c>
      <c r="G14" s="10" t="inlineStr">
        <is>
          <t>06:00 PM</t>
        </is>
      </c>
      <c r="H14" s="10" t="inlineStr"/>
      <c r="I14" s="10" t="inlineStr"/>
      <c r="J14" s="10" t="inlineStr">
        <is>
          <t>Active</t>
        </is>
      </c>
    </row>
    <row r="15" ht="22" customHeight="1">
      <c r="B15" s="14" t="inlineStr">
        <is>
          <t>ROUTE-11</t>
        </is>
      </c>
      <c r="C15" s="15" t="inlineStr"/>
      <c r="D15" s="15" t="inlineStr"/>
      <c r="E15" s="16" t="inlineStr"/>
      <c r="F15" s="16" t="inlineStr">
        <is>
          <t>07:30 AM</t>
        </is>
      </c>
      <c r="G15" s="16" t="inlineStr">
        <is>
          <t>06:00 PM</t>
        </is>
      </c>
      <c r="H15" s="16" t="inlineStr"/>
      <c r="I15" s="16" t="inlineStr"/>
      <c r="J15" s="16" t="inlineStr">
        <is>
          <t>Active</t>
        </is>
      </c>
    </row>
    <row r="16" ht="22" customHeight="1">
      <c r="B16" s="8" t="inlineStr">
        <is>
          <t>ROUTE-12</t>
        </is>
      </c>
      <c r="C16" s="9" t="inlineStr"/>
      <c r="D16" s="9" t="inlineStr"/>
      <c r="E16" s="10" t="inlineStr"/>
      <c r="F16" s="10" t="inlineStr">
        <is>
          <t>07:30 AM</t>
        </is>
      </c>
      <c r="G16" s="10" t="inlineStr">
        <is>
          <t>06:00 PM</t>
        </is>
      </c>
      <c r="H16" s="10" t="inlineStr"/>
      <c r="I16" s="10" t="inlineStr"/>
      <c r="J16" s="10" t="inlineStr">
        <is>
          <t>Active</t>
        </is>
      </c>
    </row>
    <row r="17" ht="22" customHeight="1">
      <c r="B17" s="14" t="inlineStr">
        <is>
          <t>ROUTE-13</t>
        </is>
      </c>
      <c r="C17" s="15" t="inlineStr"/>
      <c r="D17" s="15" t="inlineStr"/>
      <c r="E17" s="16" t="inlineStr"/>
      <c r="F17" s="16" t="inlineStr">
        <is>
          <t>07:30 AM</t>
        </is>
      </c>
      <c r="G17" s="16" t="inlineStr">
        <is>
          <t>06:00 PM</t>
        </is>
      </c>
      <c r="H17" s="16" t="inlineStr"/>
      <c r="I17" s="16" t="inlineStr"/>
      <c r="J17" s="16" t="inlineStr">
        <is>
          <t>Active</t>
        </is>
      </c>
    </row>
    <row r="18" ht="22" customHeight="1">
      <c r="B18" s="8" t="inlineStr">
        <is>
          <t>ROUTE-14</t>
        </is>
      </c>
      <c r="C18" s="9" t="inlineStr"/>
      <c r="D18" s="9" t="inlineStr"/>
      <c r="E18" s="10" t="inlineStr"/>
      <c r="F18" s="10" t="inlineStr">
        <is>
          <t>07:30 AM</t>
        </is>
      </c>
      <c r="G18" s="10" t="inlineStr">
        <is>
          <t>06:00 PM</t>
        </is>
      </c>
      <c r="H18" s="10" t="inlineStr"/>
      <c r="I18" s="10" t="inlineStr"/>
      <c r="J18" s="10" t="inlineStr">
        <is>
          <t>Active</t>
        </is>
      </c>
    </row>
    <row r="19" ht="22" customHeight="1">
      <c r="B19" s="14" t="inlineStr">
        <is>
          <t>ROUTE-15</t>
        </is>
      </c>
      <c r="C19" s="15" t="inlineStr"/>
      <c r="D19" s="15" t="inlineStr"/>
      <c r="E19" s="16" t="inlineStr"/>
      <c r="F19" s="16" t="inlineStr">
        <is>
          <t>07:30 AM</t>
        </is>
      </c>
      <c r="G19" s="16" t="inlineStr">
        <is>
          <t>06:00 PM</t>
        </is>
      </c>
      <c r="H19" s="16" t="inlineStr"/>
      <c r="I19" s="16" t="inlineStr"/>
      <c r="J19" s="16" t="inlineStr">
        <is>
          <t>Active</t>
        </is>
      </c>
    </row>
    <row r="20" ht="22" customHeight="1">
      <c r="B20" s="8" t="inlineStr">
        <is>
          <t>ROUTE-16</t>
        </is>
      </c>
      <c r="C20" s="9" t="inlineStr"/>
      <c r="D20" s="9" t="inlineStr"/>
      <c r="E20" s="10" t="inlineStr"/>
      <c r="F20" s="10" t="inlineStr">
        <is>
          <t>07:30 AM</t>
        </is>
      </c>
      <c r="G20" s="10" t="inlineStr">
        <is>
          <t>06:00 PM</t>
        </is>
      </c>
      <c r="H20" s="10" t="inlineStr"/>
      <c r="I20" s="10" t="inlineStr"/>
      <c r="J20" s="10" t="inlineStr">
        <is>
          <t>Active</t>
        </is>
      </c>
    </row>
    <row r="21" ht="22" customHeight="1">
      <c r="B21" s="14" t="inlineStr">
        <is>
          <t>ROUTE-17</t>
        </is>
      </c>
      <c r="C21" s="15" t="inlineStr"/>
      <c r="D21" s="15" t="inlineStr"/>
      <c r="E21" s="16" t="inlineStr"/>
      <c r="F21" s="16" t="inlineStr">
        <is>
          <t>07:30 AM</t>
        </is>
      </c>
      <c r="G21" s="16" t="inlineStr">
        <is>
          <t>06:00 PM</t>
        </is>
      </c>
      <c r="H21" s="16" t="inlineStr"/>
      <c r="I21" s="16" t="inlineStr"/>
      <c r="J21" s="16" t="inlineStr">
        <is>
          <t>Active</t>
        </is>
      </c>
    </row>
    <row r="22" ht="22" customHeight="1">
      <c r="B22" s="8" t="inlineStr">
        <is>
          <t>ROUTE-18</t>
        </is>
      </c>
      <c r="C22" s="9" t="inlineStr"/>
      <c r="D22" s="9" t="inlineStr"/>
      <c r="E22" s="10" t="inlineStr"/>
      <c r="F22" s="10" t="inlineStr">
        <is>
          <t>07:30 AM</t>
        </is>
      </c>
      <c r="G22" s="10" t="inlineStr">
        <is>
          <t>06:00 PM</t>
        </is>
      </c>
      <c r="H22" s="10" t="inlineStr"/>
      <c r="I22" s="10" t="inlineStr"/>
      <c r="J22" s="10" t="inlineStr">
        <is>
          <t>Active</t>
        </is>
      </c>
    </row>
    <row r="23" ht="22" customHeight="1">
      <c r="B23" s="14" t="inlineStr">
        <is>
          <t>ROUTE-19</t>
        </is>
      </c>
      <c r="C23" s="15" t="inlineStr"/>
      <c r="D23" s="15" t="inlineStr"/>
      <c r="E23" s="16" t="inlineStr"/>
      <c r="F23" s="16" t="inlineStr">
        <is>
          <t>07:30 AM</t>
        </is>
      </c>
      <c r="G23" s="16" t="inlineStr">
        <is>
          <t>06:00 PM</t>
        </is>
      </c>
      <c r="H23" s="16" t="inlineStr"/>
      <c r="I23" s="16" t="inlineStr"/>
      <c r="J23" s="16" t="inlineStr">
        <is>
          <t>Active</t>
        </is>
      </c>
    </row>
    <row r="24" ht="22" customHeight="1">
      <c r="B24" s="8" t="inlineStr">
        <is>
          <t>ROUTE-20</t>
        </is>
      </c>
      <c r="C24" s="9" t="inlineStr"/>
      <c r="D24" s="9" t="inlineStr"/>
      <c r="E24" s="10" t="inlineStr"/>
      <c r="F24" s="10" t="inlineStr">
        <is>
          <t>07:30 AM</t>
        </is>
      </c>
      <c r="G24" s="10" t="inlineStr">
        <is>
          <t>06:00 PM</t>
        </is>
      </c>
      <c r="H24" s="10" t="inlineStr"/>
      <c r="I24" s="10" t="inlineStr"/>
      <c r="J24" s="10" t="inlineStr">
        <is>
          <t>Active</t>
        </is>
      </c>
    </row>
    <row r="25" ht="22" customHeight="1">
      <c r="B25" s="14" t="inlineStr">
        <is>
          <t>ROUTE-21</t>
        </is>
      </c>
      <c r="C25" s="15" t="inlineStr"/>
      <c r="D25" s="15" t="inlineStr"/>
      <c r="E25" s="16" t="inlineStr"/>
      <c r="F25" s="16" t="inlineStr">
        <is>
          <t>07:30 AM</t>
        </is>
      </c>
      <c r="G25" s="16" t="inlineStr">
        <is>
          <t>06:00 PM</t>
        </is>
      </c>
      <c r="H25" s="16" t="inlineStr"/>
      <c r="I25" s="16" t="inlineStr"/>
      <c r="J25" s="16" t="inlineStr">
        <is>
          <t>Active</t>
        </is>
      </c>
    </row>
    <row r="26" ht="22" customHeight="1">
      <c r="B26" s="8" t="inlineStr">
        <is>
          <t>ROUTE-22</t>
        </is>
      </c>
      <c r="C26" s="9" t="inlineStr"/>
      <c r="D26" s="9" t="inlineStr"/>
      <c r="E26" s="10" t="inlineStr"/>
      <c r="F26" s="10" t="inlineStr">
        <is>
          <t>07:30 AM</t>
        </is>
      </c>
      <c r="G26" s="10" t="inlineStr">
        <is>
          <t>06:00 PM</t>
        </is>
      </c>
      <c r="H26" s="10" t="inlineStr"/>
      <c r="I26" s="10" t="inlineStr"/>
      <c r="J26" s="10" t="inlineStr">
        <is>
          <t>Active</t>
        </is>
      </c>
    </row>
    <row r="27" ht="22" customHeight="1"/>
    <row r="28" ht="24" customHeight="1">
      <c r="B28" s="34" t="inlineStr">
        <is>
          <t>ROUTE SUMMARY</t>
        </is>
      </c>
    </row>
    <row r="29" ht="22" customHeight="1">
      <c r="B29" s="38" t="inlineStr">
        <is>
          <t>Total Active Routes</t>
        </is>
      </c>
      <c r="F29" s="36">
        <f>COUNTIF(J5:J26,"Active")</f>
        <v/>
      </c>
    </row>
    <row r="30" ht="22" customHeight="1">
      <c r="B30" s="25" t="inlineStr">
        <is>
          <t>Total Distance Covered Daily (all routes, km)</t>
        </is>
      </c>
      <c r="F30" s="37">
        <f>IFERROR(SUM(E5:E26)*2,"")</f>
        <v/>
      </c>
    </row>
    <row r="31" ht="22" customHeight="1">
      <c r="B31" s="38" t="inlineStr">
        <is>
          <t>Total Passenger Capacity (all routes)</t>
        </is>
      </c>
      <c r="F31" s="36">
        <f>IFERROR(SUM(I5:I26),"")</f>
        <v/>
      </c>
    </row>
    <row r="32" ht="22" customHeight="1">
      <c r="B32" s="25" t="inlineStr">
        <is>
          <t>Routes without Vehicle Assigned</t>
        </is>
      </c>
      <c r="F32" s="37">
        <f>COUNTIF(H5:H26,"")</f>
        <v/>
      </c>
    </row>
    <row r="33" ht="22" customHeight="1">
      <c r="B33" s="38" t="inlineStr">
        <is>
          <t>Longest Route (km)</t>
        </is>
      </c>
      <c r="F33" s="36">
        <f>IFERROR(MAX(E5:E26),"")</f>
        <v/>
      </c>
    </row>
    <row r="34" ht="22" customHeight="1">
      <c r="B34" s="25" t="inlineStr">
        <is>
          <t>Shortest Route (km)</t>
        </is>
      </c>
      <c r="F34" s="37">
        <f>IFERROR(MIN(E5:E26),"")</f>
        <v/>
      </c>
    </row>
    <row r="35" ht="22" customHeight="1"/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TC-21: SPECIAL TRIP &amp; CHARTERED BUS REGISTER</t>
        </is>
      </c>
    </row>
    <row r="3" ht="20" customHeight="1">
      <c r="B3" s="2" t="inlineStr">
        <is>
          <t>A.Y.: _______  Transport Officer: ___________________  All trips require prior written approval from Principal.</t>
        </is>
      </c>
    </row>
    <row r="4" ht="25" customHeight="1">
      <c r="B4" s="21" t="inlineStr">
        <is>
          <t>Trip
Ref.</t>
        </is>
      </c>
      <c r="C4" s="21" t="inlineStr">
        <is>
          <t>Purpose of Trip</t>
        </is>
      </c>
      <c r="D4" s="21" t="inlineStr">
        <is>
          <t>Trip Type</t>
        </is>
      </c>
      <c r="E4" s="21" t="inlineStr">
        <is>
          <t>Date(s)</t>
        </is>
      </c>
      <c r="F4" s="21" t="inlineStr">
        <is>
          <t>Destination</t>
        </is>
      </c>
      <c r="G4" s="21" t="inlineStr">
        <is>
          <t>Vehicle
Assigned</t>
        </is>
      </c>
      <c r="H4" s="21" t="inlineStr">
        <is>
          <t>Passengers</t>
        </is>
      </c>
      <c r="I4" s="21" t="inlineStr">
        <is>
          <t>Departure
Time</t>
        </is>
      </c>
      <c r="J4" s="21" t="inlineStr">
        <is>
          <t>Return
Time</t>
        </is>
      </c>
      <c r="K4" s="21" t="inlineStr">
        <is>
          <t>Total Cost
(₹)</t>
        </is>
      </c>
    </row>
    <row r="5" ht="22" customHeight="1">
      <c r="B5" s="43" t="inlineStr">
        <is>
          <t>TRIP/2024/001</t>
        </is>
      </c>
      <c r="C5" s="44" t="inlineStr"/>
      <c r="D5" s="22" t="inlineStr">
        <is>
          <t>Industrial Visit</t>
        </is>
      </c>
      <c r="E5" s="22" t="inlineStr"/>
      <c r="F5" s="44" t="inlineStr"/>
      <c r="G5" s="22" t="inlineStr"/>
      <c r="H5" s="22" t="inlineStr"/>
      <c r="I5" s="22" t="inlineStr"/>
      <c r="J5" s="22" t="inlineStr"/>
      <c r="K5" s="22" t="inlineStr"/>
    </row>
    <row r="6" ht="22" customHeight="1">
      <c r="B6" s="8" t="inlineStr">
        <is>
          <t>TRIP/2024/002</t>
        </is>
      </c>
      <c r="C6" s="9" t="inlineStr"/>
      <c r="D6" s="10" t="inlineStr">
        <is>
          <t>Sports Event</t>
        </is>
      </c>
      <c r="E6" s="10" t="inlineStr"/>
      <c r="F6" s="9" t="inlineStr"/>
      <c r="G6" s="10" t="inlineStr"/>
      <c r="H6" s="10" t="inlineStr"/>
      <c r="I6" s="10" t="inlineStr"/>
      <c r="J6" s="10" t="inlineStr"/>
      <c r="K6" s="10" t="inlineStr"/>
    </row>
    <row r="7" ht="22" customHeight="1">
      <c r="B7" s="43" t="inlineStr">
        <is>
          <t>TRIP/2024/003</t>
        </is>
      </c>
      <c r="C7" s="44" t="inlineStr"/>
      <c r="D7" s="22" t="inlineStr">
        <is>
          <t>Cultural Fest</t>
        </is>
      </c>
      <c r="E7" s="22" t="inlineStr"/>
      <c r="F7" s="44" t="inlineStr"/>
      <c r="G7" s="22" t="inlineStr"/>
      <c r="H7" s="22" t="inlineStr"/>
      <c r="I7" s="22" t="inlineStr"/>
      <c r="J7" s="22" t="inlineStr"/>
      <c r="K7" s="22" t="inlineStr"/>
    </row>
    <row r="8" ht="22" customHeight="1">
      <c r="B8" s="8" t="inlineStr">
        <is>
          <t>TRIP/2024/004</t>
        </is>
      </c>
      <c r="C8" s="9" t="inlineStr"/>
      <c r="D8" s="10" t="inlineStr">
        <is>
          <t>Examination Duty</t>
        </is>
      </c>
      <c r="E8" s="10" t="inlineStr"/>
      <c r="F8" s="9" t="inlineStr"/>
      <c r="G8" s="10" t="inlineStr"/>
      <c r="H8" s="10" t="inlineStr"/>
      <c r="I8" s="10" t="inlineStr"/>
      <c r="J8" s="10" t="inlineStr"/>
      <c r="K8" s="10" t="inlineStr"/>
    </row>
    <row r="9" ht="22" customHeight="1">
      <c r="B9" s="43" t="inlineStr">
        <is>
          <t>TRIP/2024/005</t>
        </is>
      </c>
      <c r="C9" s="44" t="inlineStr"/>
      <c r="D9" s="22" t="inlineStr">
        <is>
          <t>NSS Camp</t>
        </is>
      </c>
      <c r="E9" s="22" t="inlineStr"/>
      <c r="F9" s="44" t="inlineStr"/>
      <c r="G9" s="22" t="inlineStr"/>
      <c r="H9" s="22" t="inlineStr"/>
      <c r="I9" s="22" t="inlineStr"/>
      <c r="J9" s="22" t="inlineStr"/>
      <c r="K9" s="22" t="inlineStr"/>
    </row>
    <row r="10" ht="22" customHeight="1">
      <c r="B10" s="8" t="inlineStr">
        <is>
          <t>TRIP/2024/006</t>
        </is>
      </c>
      <c r="C10" s="9" t="inlineStr"/>
      <c r="D10" s="10" t="inlineStr">
        <is>
          <t>NCC Camp</t>
        </is>
      </c>
      <c r="E10" s="10" t="inlineStr"/>
      <c r="F10" s="9" t="inlineStr"/>
      <c r="G10" s="10" t="inlineStr"/>
      <c r="H10" s="10" t="inlineStr"/>
      <c r="I10" s="10" t="inlineStr"/>
      <c r="J10" s="10" t="inlineStr"/>
      <c r="K10" s="10" t="inlineStr"/>
    </row>
    <row r="11" ht="22" customHeight="1">
      <c r="B11" s="43" t="inlineStr">
        <is>
          <t>TRIP/2024/007</t>
        </is>
      </c>
      <c r="C11" s="44" t="inlineStr"/>
      <c r="D11" s="22" t="inlineStr">
        <is>
          <t>Study Tour</t>
        </is>
      </c>
      <c r="E11" s="22" t="inlineStr"/>
      <c r="F11" s="44" t="inlineStr"/>
      <c r="G11" s="22" t="inlineStr"/>
      <c r="H11" s="22" t="inlineStr"/>
      <c r="I11" s="22" t="inlineStr"/>
      <c r="J11" s="22" t="inlineStr"/>
      <c r="K11" s="22" t="inlineStr"/>
    </row>
    <row r="12" ht="22" customHeight="1">
      <c r="B12" s="8" t="inlineStr">
        <is>
          <t>TRIP/2024/008</t>
        </is>
      </c>
      <c r="C12" s="9" t="inlineStr"/>
      <c r="D12" s="10" t="inlineStr">
        <is>
          <t>Guest Lecture (External)</t>
        </is>
      </c>
      <c r="E12" s="10" t="inlineStr"/>
      <c r="F12" s="9" t="inlineStr"/>
      <c r="G12" s="10" t="inlineStr"/>
      <c r="H12" s="10" t="inlineStr"/>
      <c r="I12" s="10" t="inlineStr"/>
      <c r="J12" s="10" t="inlineStr"/>
      <c r="K12" s="10" t="inlineStr"/>
    </row>
    <row r="13" ht="22" customHeight="1">
      <c r="B13" s="43" t="inlineStr">
        <is>
          <t>TRIP/2024/009</t>
        </is>
      </c>
      <c r="C13" s="44" t="inlineStr"/>
      <c r="D13" s="22" t="inlineStr">
        <is>
          <t>Medical Emergency</t>
        </is>
      </c>
      <c r="E13" s="22" t="inlineStr"/>
      <c r="F13" s="44" t="inlineStr"/>
      <c r="G13" s="22" t="inlineStr"/>
      <c r="H13" s="22" t="inlineStr"/>
      <c r="I13" s="22" t="inlineStr"/>
      <c r="J13" s="22" t="inlineStr"/>
      <c r="K13" s="22" t="inlineStr"/>
    </row>
    <row r="14" ht="22" customHeight="1">
      <c r="B14" s="8" t="inlineStr">
        <is>
          <t>TRIP/2024/010</t>
        </is>
      </c>
      <c r="C14" s="9" t="inlineStr"/>
      <c r="D14" s="10" t="inlineStr">
        <is>
          <t>Official Duty</t>
        </is>
      </c>
      <c r="E14" s="10" t="inlineStr"/>
      <c r="F14" s="9" t="inlineStr"/>
      <c r="G14" s="10" t="inlineStr"/>
      <c r="H14" s="10" t="inlineStr"/>
      <c r="I14" s="10" t="inlineStr"/>
      <c r="J14" s="10" t="inlineStr"/>
      <c r="K14" s="10" t="inlineStr"/>
    </row>
    <row r="15" ht="22" customHeight="1">
      <c r="B15" s="43" t="inlineStr">
        <is>
          <t>TRIP/2025/011</t>
        </is>
      </c>
      <c r="C15" s="44" t="inlineStr"/>
      <c r="D15" s="22" t="inlineStr">
        <is>
          <t>Convocation</t>
        </is>
      </c>
      <c r="E15" s="22" t="inlineStr"/>
      <c r="F15" s="44" t="inlineStr"/>
      <c r="G15" s="22" t="inlineStr"/>
      <c r="H15" s="22" t="inlineStr"/>
      <c r="I15" s="22" t="inlineStr"/>
      <c r="J15" s="22" t="inlineStr"/>
      <c r="K15" s="22" t="inlineStr"/>
    </row>
    <row r="16" ht="22" customHeight="1">
      <c r="B16" s="8" t="inlineStr">
        <is>
          <t>TRIP/2025/012</t>
        </is>
      </c>
      <c r="C16" s="9" t="inlineStr"/>
      <c r="D16" s="10" t="inlineStr">
        <is>
          <t>Alumni Meet</t>
        </is>
      </c>
      <c r="E16" s="10" t="inlineStr"/>
      <c r="F16" s="9" t="inlineStr"/>
      <c r="G16" s="10" t="inlineStr"/>
      <c r="H16" s="10" t="inlineStr"/>
      <c r="I16" s="10" t="inlineStr"/>
      <c r="J16" s="10" t="inlineStr"/>
      <c r="K16" s="10" t="inlineStr"/>
    </row>
    <row r="17" ht="22" customHeight="1">
      <c r="B17" s="43" t="inlineStr">
        <is>
          <t>TRIP/2025/013</t>
        </is>
      </c>
      <c r="C17" s="44" t="inlineStr"/>
      <c r="D17" s="22" t="inlineStr">
        <is>
          <t>Other</t>
        </is>
      </c>
      <c r="E17" s="22" t="inlineStr"/>
      <c r="F17" s="44" t="inlineStr"/>
      <c r="G17" s="22" t="inlineStr"/>
      <c r="H17" s="22" t="inlineStr"/>
      <c r="I17" s="22" t="inlineStr"/>
      <c r="J17" s="22" t="inlineStr"/>
      <c r="K17" s="22" t="inlineStr"/>
    </row>
    <row r="18" ht="22" customHeight="1">
      <c r="B18" s="8" t="inlineStr">
        <is>
          <t>TRIP/2025/014</t>
        </is>
      </c>
      <c r="C18" s="9" t="inlineStr"/>
      <c r="D18" s="10" t="inlineStr">
        <is>
          <t>Industrial Visit</t>
        </is>
      </c>
      <c r="E18" s="10" t="inlineStr"/>
      <c r="F18" s="9" t="inlineStr"/>
      <c r="G18" s="10" t="inlineStr"/>
      <c r="H18" s="10" t="inlineStr"/>
      <c r="I18" s="10" t="inlineStr"/>
      <c r="J18" s="10" t="inlineStr"/>
      <c r="K18" s="10" t="inlineStr"/>
    </row>
    <row r="19" ht="22" customHeight="1">
      <c r="B19" s="43" t="inlineStr">
        <is>
          <t>TRIP/2025/015</t>
        </is>
      </c>
      <c r="C19" s="44" t="inlineStr"/>
      <c r="D19" s="22" t="inlineStr">
        <is>
          <t>Sports Event</t>
        </is>
      </c>
      <c r="E19" s="22" t="inlineStr"/>
      <c r="F19" s="44" t="inlineStr"/>
      <c r="G19" s="22" t="inlineStr"/>
      <c r="H19" s="22" t="inlineStr"/>
      <c r="I19" s="22" t="inlineStr"/>
      <c r="J19" s="22" t="inlineStr"/>
      <c r="K19" s="22" t="inlineStr"/>
    </row>
    <row r="20" ht="22" customHeight="1">
      <c r="B20" s="8" t="inlineStr">
        <is>
          <t>TRIP/2025/016</t>
        </is>
      </c>
      <c r="C20" s="9" t="inlineStr"/>
      <c r="D20" s="10" t="inlineStr">
        <is>
          <t>Cultural Fest</t>
        </is>
      </c>
      <c r="E20" s="10" t="inlineStr"/>
      <c r="F20" s="9" t="inlineStr"/>
      <c r="G20" s="10" t="inlineStr"/>
      <c r="H20" s="10" t="inlineStr"/>
      <c r="I20" s="10" t="inlineStr"/>
      <c r="J20" s="10" t="inlineStr"/>
      <c r="K20" s="10" t="inlineStr"/>
    </row>
    <row r="21" ht="22" customHeight="1">
      <c r="B21" s="43" t="inlineStr">
        <is>
          <t>TRIP/2025/017</t>
        </is>
      </c>
      <c r="C21" s="44" t="inlineStr"/>
      <c r="D21" s="22" t="inlineStr">
        <is>
          <t>Examination Duty</t>
        </is>
      </c>
      <c r="E21" s="22" t="inlineStr"/>
      <c r="F21" s="44" t="inlineStr"/>
      <c r="G21" s="22" t="inlineStr"/>
      <c r="H21" s="22" t="inlineStr"/>
      <c r="I21" s="22" t="inlineStr"/>
      <c r="J21" s="22" t="inlineStr"/>
      <c r="K21" s="22" t="inlineStr"/>
    </row>
    <row r="22" ht="22" customHeight="1">
      <c r="B22" s="8" t="inlineStr">
        <is>
          <t>TRIP/2025/018</t>
        </is>
      </c>
      <c r="C22" s="9" t="inlineStr"/>
      <c r="D22" s="10" t="inlineStr">
        <is>
          <t>NSS Camp</t>
        </is>
      </c>
      <c r="E22" s="10" t="inlineStr"/>
      <c r="F22" s="9" t="inlineStr"/>
      <c r="G22" s="10" t="inlineStr"/>
      <c r="H22" s="10" t="inlineStr"/>
      <c r="I22" s="10" t="inlineStr"/>
      <c r="J22" s="10" t="inlineStr"/>
      <c r="K22" s="10" t="inlineStr"/>
    </row>
    <row r="23" ht="22" customHeight="1">
      <c r="B23" s="43" t="inlineStr">
        <is>
          <t>TRIP/2025/019</t>
        </is>
      </c>
      <c r="C23" s="44" t="inlineStr"/>
      <c r="D23" s="22" t="inlineStr">
        <is>
          <t>NCC Camp</t>
        </is>
      </c>
      <c r="E23" s="22" t="inlineStr"/>
      <c r="F23" s="44" t="inlineStr"/>
      <c r="G23" s="22" t="inlineStr"/>
      <c r="H23" s="22" t="inlineStr"/>
      <c r="I23" s="22" t="inlineStr"/>
      <c r="J23" s="22" t="inlineStr"/>
      <c r="K23" s="22" t="inlineStr"/>
    </row>
    <row r="24" ht="22" customHeight="1">
      <c r="B24" s="8" t="inlineStr">
        <is>
          <t>TRIP/2025/020</t>
        </is>
      </c>
      <c r="C24" s="9" t="inlineStr"/>
      <c r="D24" s="10" t="inlineStr">
        <is>
          <t>Study Tour</t>
        </is>
      </c>
      <c r="E24" s="10" t="inlineStr"/>
      <c r="F24" s="9" t="inlineStr"/>
      <c r="G24" s="10" t="inlineStr"/>
      <c r="H24" s="10" t="inlineStr"/>
      <c r="I24" s="10" t="inlineStr"/>
      <c r="J24" s="10" t="inlineStr"/>
      <c r="K24" s="10" t="inlineStr"/>
    </row>
    <row r="25" ht="22" customHeight="1"/>
    <row r="26" ht="24" customHeight="1">
      <c r="B26" s="34" t="inlineStr">
        <is>
          <t>SPECIAL TRIP SUMMARY</t>
        </is>
      </c>
    </row>
    <row r="27" ht="22" customHeight="1">
      <c r="B27" s="23" t="inlineStr">
        <is>
          <t>Total Special Trips</t>
        </is>
      </c>
      <c r="F27" s="36">
        <f>COUNTA(B5:B24)</f>
        <v/>
      </c>
    </row>
    <row r="28" ht="22" customHeight="1">
      <c r="B28" s="25" t="inlineStr">
        <is>
          <t>Industrial Visits</t>
        </is>
      </c>
      <c r="F28" s="37">
        <f>COUNTIF(D5:D24,"Industrial Visit")</f>
        <v/>
      </c>
    </row>
    <row r="29" ht="22" customHeight="1">
      <c r="B29" s="23" t="inlineStr">
        <is>
          <t>Sports / Cultural Events</t>
        </is>
      </c>
      <c r="F29" s="36">
        <f>COUNTIF(D5:D24,"Sports Event")+COUNTIF(D5:D24,"Cultural Fest")</f>
        <v/>
      </c>
    </row>
    <row r="30">
      <c r="B30" s="25" t="inlineStr">
        <is>
          <t>Total Revenue from Special Trips (₹)</t>
        </is>
      </c>
      <c r="F30" s="37">
        <f>IFERROR(SUM(K5:K24),"")</f>
        <v/>
      </c>
    </row>
    <row r="31">
      <c r="B31" s="23" t="inlineStr">
        <is>
          <t>Average Passengers per Trip</t>
        </is>
      </c>
      <c r="F31" s="36">
        <f>IFERROR(ROUND(AVERAGE(H5:H24),0),"")</f>
        <v/>
      </c>
    </row>
    <row r="32">
      <c r="B32" s="25" t="inlineStr">
        <is>
          <t>NSS / NCC Camp Trips</t>
        </is>
      </c>
      <c r="F32" s="37">
        <f>COUNTIF(D5:D24,"NSS Camp")+COUNTIF(D5:D24,"NCC Camp")</f>
        <v/>
      </c>
    </row>
  </sheetData>
  <mergeCells count="15">
    <mergeCell ref="B31:E31"/>
    <mergeCell ref="B27:E27"/>
    <mergeCell ref="B26:K26"/>
    <mergeCell ref="F28:K28"/>
    <mergeCell ref="F32:K32"/>
    <mergeCell ref="B30:E30"/>
    <mergeCell ref="F31:K31"/>
    <mergeCell ref="F27:K27"/>
    <mergeCell ref="B29:E29"/>
    <mergeCell ref="B2:K2"/>
    <mergeCell ref="B28:E28"/>
    <mergeCell ref="F30:K30"/>
    <mergeCell ref="B3:K3"/>
    <mergeCell ref="F29:K29"/>
    <mergeCell ref="B32:E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TC-22: STUDENT BUS PASS REGISTER</t>
        </is>
      </c>
    </row>
    <row r="3" ht="20" customHeight="1">
      <c r="B3" s="2" t="inlineStr">
        <is>
          <t>Semester: _______  A.Y.: _______  Transport Officer: ___________________</t>
        </is>
      </c>
    </row>
    <row r="4" ht="25" customHeight="1">
      <c r="B4" s="13" t="inlineStr">
        <is>
          <t>Pass
Ref.</t>
        </is>
      </c>
      <c r="C4" s="13" t="inlineStr">
        <is>
          <t>Student Name</t>
        </is>
      </c>
      <c r="D4" s="13" t="inlineStr">
        <is>
          <t>Roll No.</t>
        </is>
      </c>
      <c r="E4" s="13" t="inlineStr">
        <is>
          <t>Programme
&amp; Year</t>
        </is>
      </c>
      <c r="F4" s="13" t="inlineStr">
        <is>
          <t>Dept.</t>
        </is>
      </c>
      <c r="G4" s="13" t="inlineStr">
        <is>
          <t>Route
No.</t>
        </is>
      </c>
      <c r="H4" s="13" t="inlineStr">
        <is>
          <t>Boarding
Stop</t>
        </is>
      </c>
      <c r="I4" s="13" t="inlineStr">
        <is>
          <t>Fee Paid
(₹)</t>
        </is>
      </c>
      <c r="J4" s="13" t="inlineStr">
        <is>
          <t>Pass
Issued</t>
        </is>
      </c>
      <c r="K4" s="13" t="inlineStr">
        <is>
          <t>Status</t>
        </is>
      </c>
    </row>
    <row r="5" ht="22" customHeight="1">
      <c r="B5" s="14" t="inlineStr">
        <is>
          <t>PASS/0001</t>
        </is>
      </c>
      <c r="C5" s="15" t="inlineStr"/>
      <c r="D5" s="16" t="inlineStr"/>
      <c r="E5" s="16" t="inlineStr"/>
      <c r="F5" s="16" t="inlineStr"/>
      <c r="G5" s="16" t="inlineStr">
        <is>
          <t>ROUTE-01</t>
        </is>
      </c>
      <c r="H5" s="15" t="inlineStr"/>
      <c r="I5" s="16" t="inlineStr"/>
      <c r="J5" s="16" t="inlineStr">
        <is>
          <t>Y</t>
        </is>
      </c>
      <c r="K5" s="16" t="inlineStr">
        <is>
          <t>Active</t>
        </is>
      </c>
    </row>
    <row r="6" ht="22" customHeight="1">
      <c r="B6" s="8" t="inlineStr">
        <is>
          <t>PASS/0002</t>
        </is>
      </c>
      <c r="C6" s="9" t="inlineStr"/>
      <c r="D6" s="10" t="inlineStr"/>
      <c r="E6" s="10" t="inlineStr"/>
      <c r="F6" s="10" t="inlineStr"/>
      <c r="G6" s="10" t="inlineStr">
        <is>
          <t>ROUTE-02</t>
        </is>
      </c>
      <c r="H6" s="9" t="inlineStr"/>
      <c r="I6" s="10" t="inlineStr"/>
      <c r="J6" s="10" t="inlineStr">
        <is>
          <t>Y</t>
        </is>
      </c>
      <c r="K6" s="10" t="inlineStr">
        <is>
          <t>Active</t>
        </is>
      </c>
    </row>
    <row r="7" ht="22" customHeight="1">
      <c r="B7" s="14" t="inlineStr">
        <is>
          <t>PASS/0003</t>
        </is>
      </c>
      <c r="C7" s="15" t="inlineStr"/>
      <c r="D7" s="16" t="inlineStr"/>
      <c r="E7" s="16" t="inlineStr"/>
      <c r="F7" s="16" t="inlineStr"/>
      <c r="G7" s="16" t="inlineStr">
        <is>
          <t>ROUTE-03</t>
        </is>
      </c>
      <c r="H7" s="15" t="inlineStr"/>
      <c r="I7" s="16" t="inlineStr"/>
      <c r="J7" s="16" t="inlineStr">
        <is>
          <t>Y</t>
        </is>
      </c>
      <c r="K7" s="16" t="inlineStr">
        <is>
          <t>Active</t>
        </is>
      </c>
    </row>
    <row r="8" ht="22" customHeight="1">
      <c r="B8" s="8" t="inlineStr">
        <is>
          <t>PASS/0004</t>
        </is>
      </c>
      <c r="C8" s="9" t="inlineStr"/>
      <c r="D8" s="10" t="inlineStr"/>
      <c r="E8" s="10" t="inlineStr"/>
      <c r="F8" s="10" t="inlineStr"/>
      <c r="G8" s="10" t="inlineStr">
        <is>
          <t>ROUTE-04</t>
        </is>
      </c>
      <c r="H8" s="9" t="inlineStr"/>
      <c r="I8" s="10" t="inlineStr"/>
      <c r="J8" s="10" t="inlineStr">
        <is>
          <t>Y</t>
        </is>
      </c>
      <c r="K8" s="10" t="inlineStr">
        <is>
          <t>Active</t>
        </is>
      </c>
    </row>
    <row r="9" ht="22" customHeight="1">
      <c r="B9" s="14" t="inlineStr">
        <is>
          <t>PASS/0005</t>
        </is>
      </c>
      <c r="C9" s="15" t="inlineStr"/>
      <c r="D9" s="16" t="inlineStr"/>
      <c r="E9" s="16" t="inlineStr"/>
      <c r="F9" s="16" t="inlineStr"/>
      <c r="G9" s="16" t="inlineStr">
        <is>
          <t>ROUTE-05</t>
        </is>
      </c>
      <c r="H9" s="15" t="inlineStr"/>
      <c r="I9" s="16" t="inlineStr"/>
      <c r="J9" s="16" t="inlineStr">
        <is>
          <t>Y</t>
        </is>
      </c>
      <c r="K9" s="16" t="inlineStr">
        <is>
          <t>Active</t>
        </is>
      </c>
    </row>
    <row r="10" ht="22" customHeight="1">
      <c r="B10" s="8" t="inlineStr">
        <is>
          <t>PASS/0006</t>
        </is>
      </c>
      <c r="C10" s="9" t="inlineStr"/>
      <c r="D10" s="10" t="inlineStr"/>
      <c r="E10" s="10" t="inlineStr"/>
      <c r="F10" s="10" t="inlineStr"/>
      <c r="G10" s="10" t="inlineStr">
        <is>
          <t>ROUTE-06</t>
        </is>
      </c>
      <c r="H10" s="9" t="inlineStr"/>
      <c r="I10" s="10" t="inlineStr"/>
      <c r="J10" s="10" t="inlineStr">
        <is>
          <t>Y</t>
        </is>
      </c>
      <c r="K10" s="10" t="inlineStr">
        <is>
          <t>Active</t>
        </is>
      </c>
    </row>
    <row r="11" ht="22" customHeight="1">
      <c r="B11" s="14" t="inlineStr">
        <is>
          <t>PASS/0007</t>
        </is>
      </c>
      <c r="C11" s="15" t="inlineStr"/>
      <c r="D11" s="16" t="inlineStr"/>
      <c r="E11" s="16" t="inlineStr"/>
      <c r="F11" s="16" t="inlineStr"/>
      <c r="G11" s="16" t="inlineStr">
        <is>
          <t>ROUTE-07</t>
        </is>
      </c>
      <c r="H11" s="15" t="inlineStr"/>
      <c r="I11" s="16" t="inlineStr"/>
      <c r="J11" s="16" t="inlineStr">
        <is>
          <t>Y</t>
        </is>
      </c>
      <c r="K11" s="16" t="inlineStr">
        <is>
          <t>Active</t>
        </is>
      </c>
    </row>
    <row r="12" ht="22" customHeight="1">
      <c r="B12" s="8" t="inlineStr">
        <is>
          <t>PASS/0008</t>
        </is>
      </c>
      <c r="C12" s="9" t="inlineStr"/>
      <c r="D12" s="10" t="inlineStr"/>
      <c r="E12" s="10" t="inlineStr"/>
      <c r="F12" s="10" t="inlineStr"/>
      <c r="G12" s="10" t="inlineStr">
        <is>
          <t>ROUTE-08</t>
        </is>
      </c>
      <c r="H12" s="9" t="inlineStr"/>
      <c r="I12" s="10" t="inlineStr"/>
      <c r="J12" s="10" t="inlineStr">
        <is>
          <t>Y</t>
        </is>
      </c>
      <c r="K12" s="10" t="inlineStr">
        <is>
          <t>Active</t>
        </is>
      </c>
    </row>
    <row r="13" ht="22" customHeight="1">
      <c r="B13" s="14" t="inlineStr">
        <is>
          <t>PASS/0009</t>
        </is>
      </c>
      <c r="C13" s="15" t="inlineStr"/>
      <c r="D13" s="16" t="inlineStr"/>
      <c r="E13" s="16" t="inlineStr"/>
      <c r="F13" s="16" t="inlineStr"/>
      <c r="G13" s="16" t="inlineStr">
        <is>
          <t>ROUTE-09</t>
        </is>
      </c>
      <c r="H13" s="15" t="inlineStr"/>
      <c r="I13" s="16" t="inlineStr"/>
      <c r="J13" s="16" t="inlineStr">
        <is>
          <t>Y</t>
        </is>
      </c>
      <c r="K13" s="16" t="inlineStr">
        <is>
          <t>Active</t>
        </is>
      </c>
    </row>
    <row r="14" ht="22" customHeight="1">
      <c r="B14" s="8" t="inlineStr">
        <is>
          <t>PASS/0010</t>
        </is>
      </c>
      <c r="C14" s="9" t="inlineStr"/>
      <c r="D14" s="10" t="inlineStr"/>
      <c r="E14" s="10" t="inlineStr"/>
      <c r="F14" s="10" t="inlineStr"/>
      <c r="G14" s="10" t="inlineStr">
        <is>
          <t>ROUTE-10</t>
        </is>
      </c>
      <c r="H14" s="9" t="inlineStr"/>
      <c r="I14" s="10" t="inlineStr"/>
      <c r="J14" s="10" t="inlineStr">
        <is>
          <t>Y</t>
        </is>
      </c>
      <c r="K14" s="10" t="inlineStr">
        <is>
          <t>Active</t>
        </is>
      </c>
    </row>
    <row r="15" ht="22" customHeight="1">
      <c r="B15" s="14" t="inlineStr">
        <is>
          <t>PASS/0011</t>
        </is>
      </c>
      <c r="C15" s="15" t="inlineStr"/>
      <c r="D15" s="16" t="inlineStr"/>
      <c r="E15" s="16" t="inlineStr"/>
      <c r="F15" s="16" t="inlineStr"/>
      <c r="G15" s="16" t="inlineStr">
        <is>
          <t>ROUTE-11</t>
        </is>
      </c>
      <c r="H15" s="15" t="inlineStr"/>
      <c r="I15" s="16" t="inlineStr"/>
      <c r="J15" s="16" t="inlineStr">
        <is>
          <t>Y</t>
        </is>
      </c>
      <c r="K15" s="16" t="inlineStr">
        <is>
          <t>Active</t>
        </is>
      </c>
    </row>
    <row r="16" ht="22" customHeight="1">
      <c r="B16" s="8" t="inlineStr">
        <is>
          <t>PASS/0012</t>
        </is>
      </c>
      <c r="C16" s="9" t="inlineStr"/>
      <c r="D16" s="10" t="inlineStr"/>
      <c r="E16" s="10" t="inlineStr"/>
      <c r="F16" s="10" t="inlineStr"/>
      <c r="G16" s="10" t="inlineStr">
        <is>
          <t>ROUTE-12</t>
        </is>
      </c>
      <c r="H16" s="9" t="inlineStr"/>
      <c r="I16" s="10" t="inlineStr"/>
      <c r="J16" s="10" t="inlineStr">
        <is>
          <t>Y</t>
        </is>
      </c>
      <c r="K16" s="10" t="inlineStr">
        <is>
          <t>Active</t>
        </is>
      </c>
    </row>
    <row r="17" ht="22" customHeight="1">
      <c r="B17" s="14" t="inlineStr">
        <is>
          <t>PASS/0013</t>
        </is>
      </c>
      <c r="C17" s="15" t="inlineStr"/>
      <c r="D17" s="16" t="inlineStr"/>
      <c r="E17" s="16" t="inlineStr"/>
      <c r="F17" s="16" t="inlineStr"/>
      <c r="G17" s="16" t="inlineStr">
        <is>
          <t>ROUTE-13</t>
        </is>
      </c>
      <c r="H17" s="15" t="inlineStr"/>
      <c r="I17" s="16" t="inlineStr"/>
      <c r="J17" s="16" t="inlineStr">
        <is>
          <t>Y</t>
        </is>
      </c>
      <c r="K17" s="16" t="inlineStr">
        <is>
          <t>Active</t>
        </is>
      </c>
    </row>
    <row r="18" ht="22" customHeight="1">
      <c r="B18" s="8" t="inlineStr">
        <is>
          <t>PASS/0014</t>
        </is>
      </c>
      <c r="C18" s="9" t="inlineStr"/>
      <c r="D18" s="10" t="inlineStr"/>
      <c r="E18" s="10" t="inlineStr"/>
      <c r="F18" s="10" t="inlineStr"/>
      <c r="G18" s="10" t="inlineStr">
        <is>
          <t>ROUTE-14</t>
        </is>
      </c>
      <c r="H18" s="9" t="inlineStr"/>
      <c r="I18" s="10" t="inlineStr"/>
      <c r="J18" s="10" t="inlineStr">
        <is>
          <t>Y</t>
        </is>
      </c>
      <c r="K18" s="10" t="inlineStr">
        <is>
          <t>Active</t>
        </is>
      </c>
    </row>
    <row r="19" ht="22" customHeight="1">
      <c r="B19" s="14" t="inlineStr">
        <is>
          <t>PASS/0015</t>
        </is>
      </c>
      <c r="C19" s="15" t="inlineStr"/>
      <c r="D19" s="16" t="inlineStr"/>
      <c r="E19" s="16" t="inlineStr"/>
      <c r="F19" s="16" t="inlineStr"/>
      <c r="G19" s="16" t="inlineStr">
        <is>
          <t>ROUTE-15</t>
        </is>
      </c>
      <c r="H19" s="15" t="inlineStr"/>
      <c r="I19" s="16" t="inlineStr"/>
      <c r="J19" s="16" t="inlineStr">
        <is>
          <t>Y</t>
        </is>
      </c>
      <c r="K19" s="16" t="inlineStr">
        <is>
          <t>Active</t>
        </is>
      </c>
    </row>
    <row r="20" ht="22" customHeight="1">
      <c r="B20" s="8" t="inlineStr">
        <is>
          <t>PASS/0016</t>
        </is>
      </c>
      <c r="C20" s="9" t="inlineStr"/>
      <c r="D20" s="10" t="inlineStr"/>
      <c r="E20" s="10" t="inlineStr"/>
      <c r="F20" s="10" t="inlineStr"/>
      <c r="G20" s="10" t="inlineStr">
        <is>
          <t>ROUTE-16</t>
        </is>
      </c>
      <c r="H20" s="9" t="inlineStr"/>
      <c r="I20" s="10" t="inlineStr"/>
      <c r="J20" s="10" t="inlineStr">
        <is>
          <t>Y</t>
        </is>
      </c>
      <c r="K20" s="10" t="inlineStr">
        <is>
          <t>Active</t>
        </is>
      </c>
    </row>
    <row r="21" ht="22" customHeight="1">
      <c r="B21" s="14" t="inlineStr">
        <is>
          <t>PASS/0017</t>
        </is>
      </c>
      <c r="C21" s="15" t="inlineStr"/>
      <c r="D21" s="16" t="inlineStr"/>
      <c r="E21" s="16" t="inlineStr"/>
      <c r="F21" s="16" t="inlineStr"/>
      <c r="G21" s="16" t="inlineStr">
        <is>
          <t>ROUTE-17</t>
        </is>
      </c>
      <c r="H21" s="15" t="inlineStr"/>
      <c r="I21" s="16" t="inlineStr"/>
      <c r="J21" s="16" t="inlineStr">
        <is>
          <t>Y</t>
        </is>
      </c>
      <c r="K21" s="16" t="inlineStr">
        <is>
          <t>Active</t>
        </is>
      </c>
    </row>
    <row r="22" ht="22" customHeight="1">
      <c r="B22" s="8" t="inlineStr">
        <is>
          <t>PASS/0018</t>
        </is>
      </c>
      <c r="C22" s="9" t="inlineStr"/>
      <c r="D22" s="10" t="inlineStr"/>
      <c r="E22" s="10" t="inlineStr"/>
      <c r="F22" s="10" t="inlineStr"/>
      <c r="G22" s="10" t="inlineStr">
        <is>
          <t>ROUTE-18</t>
        </is>
      </c>
      <c r="H22" s="9" t="inlineStr"/>
      <c r="I22" s="10" t="inlineStr"/>
      <c r="J22" s="10" t="inlineStr">
        <is>
          <t>Y</t>
        </is>
      </c>
      <c r="K22" s="10" t="inlineStr">
        <is>
          <t>Active</t>
        </is>
      </c>
    </row>
    <row r="23" ht="22" customHeight="1">
      <c r="B23" s="14" t="inlineStr">
        <is>
          <t>PASS/0019</t>
        </is>
      </c>
      <c r="C23" s="15" t="inlineStr"/>
      <c r="D23" s="16" t="inlineStr"/>
      <c r="E23" s="16" t="inlineStr"/>
      <c r="F23" s="16" t="inlineStr"/>
      <c r="G23" s="16" t="inlineStr">
        <is>
          <t>ROUTE-19</t>
        </is>
      </c>
      <c r="H23" s="15" t="inlineStr"/>
      <c r="I23" s="16" t="inlineStr"/>
      <c r="J23" s="16" t="inlineStr">
        <is>
          <t>Y</t>
        </is>
      </c>
      <c r="K23" s="16" t="inlineStr">
        <is>
          <t>Active</t>
        </is>
      </c>
    </row>
    <row r="24" ht="22" customHeight="1">
      <c r="B24" s="8" t="inlineStr">
        <is>
          <t>PASS/0020</t>
        </is>
      </c>
      <c r="C24" s="9" t="inlineStr"/>
      <c r="D24" s="10" t="inlineStr"/>
      <c r="E24" s="10" t="inlineStr"/>
      <c r="F24" s="10" t="inlineStr"/>
      <c r="G24" s="10" t="inlineStr">
        <is>
          <t>ROUTE-20</t>
        </is>
      </c>
      <c r="H24" s="9" t="inlineStr"/>
      <c r="I24" s="10" t="inlineStr"/>
      <c r="J24" s="10" t="inlineStr">
        <is>
          <t>Y</t>
        </is>
      </c>
      <c r="K24" s="10" t="inlineStr">
        <is>
          <t>Active</t>
        </is>
      </c>
    </row>
    <row r="25" ht="22" customHeight="1">
      <c r="B25" s="14" t="inlineStr">
        <is>
          <t>PASS/0021</t>
        </is>
      </c>
      <c r="C25" s="15" t="inlineStr"/>
      <c r="D25" s="16" t="inlineStr"/>
      <c r="E25" s="16" t="inlineStr"/>
      <c r="F25" s="16" t="inlineStr"/>
      <c r="G25" s="16" t="inlineStr">
        <is>
          <t>ROUTE-21</t>
        </is>
      </c>
      <c r="H25" s="15" t="inlineStr"/>
      <c r="I25" s="16" t="inlineStr"/>
      <c r="J25" s="16" t="inlineStr">
        <is>
          <t>Y</t>
        </is>
      </c>
      <c r="K25" s="16" t="inlineStr">
        <is>
          <t>Active</t>
        </is>
      </c>
    </row>
    <row r="26" ht="22" customHeight="1">
      <c r="B26" s="8" t="inlineStr">
        <is>
          <t>PASS/0022</t>
        </is>
      </c>
      <c r="C26" s="9" t="inlineStr"/>
      <c r="D26" s="10" t="inlineStr"/>
      <c r="E26" s="10" t="inlineStr"/>
      <c r="F26" s="10" t="inlineStr"/>
      <c r="G26" s="10" t="inlineStr">
        <is>
          <t>ROUTE-22</t>
        </is>
      </c>
      <c r="H26" s="9" t="inlineStr"/>
      <c r="I26" s="10" t="inlineStr"/>
      <c r="J26" s="10" t="inlineStr">
        <is>
          <t>Y</t>
        </is>
      </c>
      <c r="K26" s="10" t="inlineStr">
        <is>
          <t>Active</t>
        </is>
      </c>
    </row>
    <row r="27" ht="22" customHeight="1">
      <c r="B27" s="14" t="inlineStr">
        <is>
          <t>PASS/0023</t>
        </is>
      </c>
      <c r="C27" s="15" t="inlineStr"/>
      <c r="D27" s="16" t="inlineStr"/>
      <c r="E27" s="16" t="inlineStr"/>
      <c r="F27" s="16" t="inlineStr"/>
      <c r="G27" s="16" t="inlineStr">
        <is>
          <t>ROUTE-01</t>
        </is>
      </c>
      <c r="H27" s="15" t="inlineStr"/>
      <c r="I27" s="16" t="inlineStr"/>
      <c r="J27" s="16" t="inlineStr">
        <is>
          <t>Y</t>
        </is>
      </c>
      <c r="K27" s="16" t="inlineStr">
        <is>
          <t>Active</t>
        </is>
      </c>
    </row>
    <row r="28" ht="22" customHeight="1">
      <c r="B28" s="8" t="inlineStr">
        <is>
          <t>PASS/0024</t>
        </is>
      </c>
      <c r="C28" s="9" t="inlineStr"/>
      <c r="D28" s="10" t="inlineStr"/>
      <c r="E28" s="10" t="inlineStr"/>
      <c r="F28" s="10" t="inlineStr"/>
      <c r="G28" s="10" t="inlineStr">
        <is>
          <t>ROUTE-02</t>
        </is>
      </c>
      <c r="H28" s="9" t="inlineStr"/>
      <c r="I28" s="10" t="inlineStr"/>
      <c r="J28" s="10" t="inlineStr">
        <is>
          <t>Y</t>
        </is>
      </c>
      <c r="K28" s="10" t="inlineStr">
        <is>
          <t>Active</t>
        </is>
      </c>
    </row>
    <row r="29" ht="22" customHeight="1">
      <c r="B29" s="14" t="inlineStr">
        <is>
          <t>PASS/0025</t>
        </is>
      </c>
      <c r="C29" s="15" t="inlineStr"/>
      <c r="D29" s="16" t="inlineStr"/>
      <c r="E29" s="16" t="inlineStr"/>
      <c r="F29" s="16" t="inlineStr"/>
      <c r="G29" s="16" t="inlineStr">
        <is>
          <t>ROUTE-03</t>
        </is>
      </c>
      <c r="H29" s="15" t="inlineStr"/>
      <c r="I29" s="16" t="inlineStr"/>
      <c r="J29" s="16" t="inlineStr">
        <is>
          <t>Y</t>
        </is>
      </c>
      <c r="K29" s="16" t="inlineStr">
        <is>
          <t>Active</t>
        </is>
      </c>
    </row>
    <row r="30" ht="22" customHeight="1">
      <c r="B30" s="8" t="inlineStr">
        <is>
          <t>PASS/0026</t>
        </is>
      </c>
      <c r="C30" s="9" t="inlineStr"/>
      <c r="D30" s="10" t="inlineStr"/>
      <c r="E30" s="10" t="inlineStr"/>
      <c r="F30" s="10" t="inlineStr"/>
      <c r="G30" s="10" t="inlineStr">
        <is>
          <t>ROUTE-04</t>
        </is>
      </c>
      <c r="H30" s="9" t="inlineStr"/>
      <c r="I30" s="10" t="inlineStr"/>
      <c r="J30" s="10" t="inlineStr">
        <is>
          <t>Y</t>
        </is>
      </c>
      <c r="K30" s="10" t="inlineStr">
        <is>
          <t>Active</t>
        </is>
      </c>
    </row>
    <row r="31" ht="22" customHeight="1">
      <c r="B31" s="14" t="inlineStr">
        <is>
          <t>PASS/0027</t>
        </is>
      </c>
      <c r="C31" s="15" t="inlineStr"/>
      <c r="D31" s="16" t="inlineStr"/>
      <c r="E31" s="16" t="inlineStr"/>
      <c r="F31" s="16" t="inlineStr"/>
      <c r="G31" s="16" t="inlineStr">
        <is>
          <t>ROUTE-05</t>
        </is>
      </c>
      <c r="H31" s="15" t="inlineStr"/>
      <c r="I31" s="16" t="inlineStr"/>
      <c r="J31" s="16" t="inlineStr">
        <is>
          <t>Y</t>
        </is>
      </c>
      <c r="K31" s="16" t="inlineStr">
        <is>
          <t>Active</t>
        </is>
      </c>
    </row>
    <row r="32" ht="22" customHeight="1">
      <c r="B32" s="8" t="inlineStr">
        <is>
          <t>PASS/0028</t>
        </is>
      </c>
      <c r="C32" s="9" t="inlineStr"/>
      <c r="D32" s="10" t="inlineStr"/>
      <c r="E32" s="10" t="inlineStr"/>
      <c r="F32" s="10" t="inlineStr"/>
      <c r="G32" s="10" t="inlineStr">
        <is>
          <t>ROUTE-06</t>
        </is>
      </c>
      <c r="H32" s="9" t="inlineStr"/>
      <c r="I32" s="10" t="inlineStr"/>
      <c r="J32" s="10" t="inlineStr">
        <is>
          <t>Y</t>
        </is>
      </c>
      <c r="K32" s="10" t="inlineStr">
        <is>
          <t>Active</t>
        </is>
      </c>
    </row>
    <row r="33" ht="22" customHeight="1">
      <c r="B33" s="14" t="inlineStr">
        <is>
          <t>PASS/0029</t>
        </is>
      </c>
      <c r="C33" s="15" t="inlineStr"/>
      <c r="D33" s="16" t="inlineStr"/>
      <c r="E33" s="16" t="inlineStr"/>
      <c r="F33" s="16" t="inlineStr"/>
      <c r="G33" s="16" t="inlineStr">
        <is>
          <t>ROUTE-07</t>
        </is>
      </c>
      <c r="H33" s="15" t="inlineStr"/>
      <c r="I33" s="16" t="inlineStr"/>
      <c r="J33" s="16" t="inlineStr">
        <is>
          <t>Y</t>
        </is>
      </c>
      <c r="K33" s="16" t="inlineStr">
        <is>
          <t>Active</t>
        </is>
      </c>
    </row>
    <row r="34" ht="22" customHeight="1">
      <c r="B34" s="8" t="inlineStr">
        <is>
          <t>PASS/0030</t>
        </is>
      </c>
      <c r="C34" s="9" t="inlineStr"/>
      <c r="D34" s="10" t="inlineStr"/>
      <c r="E34" s="10" t="inlineStr"/>
      <c r="F34" s="10" t="inlineStr"/>
      <c r="G34" s="10" t="inlineStr">
        <is>
          <t>ROUTE-08</t>
        </is>
      </c>
      <c r="H34" s="9" t="inlineStr"/>
      <c r="I34" s="10" t="inlineStr"/>
      <c r="J34" s="10" t="inlineStr">
        <is>
          <t>Y</t>
        </is>
      </c>
      <c r="K34" s="10" t="inlineStr">
        <is>
          <t>Active</t>
        </is>
      </c>
    </row>
    <row r="35" ht="22" customHeight="1">
      <c r="B35" s="14" t="inlineStr">
        <is>
          <t>PASS/0031</t>
        </is>
      </c>
      <c r="C35" s="15" t="inlineStr"/>
      <c r="D35" s="16" t="inlineStr"/>
      <c r="E35" s="16" t="inlineStr"/>
      <c r="F35" s="16" t="inlineStr"/>
      <c r="G35" s="16" t="inlineStr">
        <is>
          <t>ROUTE-09</t>
        </is>
      </c>
      <c r="H35" s="15" t="inlineStr"/>
      <c r="I35" s="16" t="inlineStr"/>
      <c r="J35" s="16" t="inlineStr">
        <is>
          <t>Y</t>
        </is>
      </c>
      <c r="K35" s="16" t="inlineStr">
        <is>
          <t>Active</t>
        </is>
      </c>
    </row>
    <row r="36" ht="22" customHeight="1">
      <c r="B36" s="8" t="inlineStr">
        <is>
          <t>PASS/0032</t>
        </is>
      </c>
      <c r="C36" s="9" t="inlineStr"/>
      <c r="D36" s="10" t="inlineStr"/>
      <c r="E36" s="10" t="inlineStr"/>
      <c r="F36" s="10" t="inlineStr"/>
      <c r="G36" s="10" t="inlineStr">
        <is>
          <t>ROUTE-10</t>
        </is>
      </c>
      <c r="H36" s="9" t="inlineStr"/>
      <c r="I36" s="10" t="inlineStr"/>
      <c r="J36" s="10" t="inlineStr">
        <is>
          <t>Y</t>
        </is>
      </c>
      <c r="K36" s="10" t="inlineStr">
        <is>
          <t>Active</t>
        </is>
      </c>
    </row>
    <row r="37" ht="22" customHeight="1"/>
    <row r="38" ht="24" customHeight="1">
      <c r="B38" s="34" t="inlineStr">
        <is>
          <t>BUS PASS SUMMARY</t>
        </is>
      </c>
    </row>
    <row r="39">
      <c r="B39" s="38" t="inlineStr">
        <is>
          <t>Total Bus Passes Issued</t>
        </is>
      </c>
      <c r="F39" s="36">
        <f>COUNTA(B5:B36)</f>
        <v/>
      </c>
    </row>
    <row r="40">
      <c r="B40" s="25" t="inlineStr">
        <is>
          <t>Active Passes</t>
        </is>
      </c>
      <c r="F40" s="37">
        <f>COUNTIF(K5:K36,"Active")</f>
        <v/>
      </c>
    </row>
    <row r="41">
      <c r="B41" s="38" t="inlineStr">
        <is>
          <t>Passes Suspended</t>
        </is>
      </c>
      <c r="F41" s="36">
        <f>COUNTIF(K5:K36,"Suspended")</f>
        <v/>
      </c>
    </row>
    <row r="42">
      <c r="B42" s="25" t="inlineStr">
        <is>
          <t>Total Fee Collected (₹)</t>
        </is>
      </c>
      <c r="F42" s="37">
        <f>IFERROR(SUM(I5:I36),"")</f>
        <v/>
      </c>
    </row>
    <row r="43">
      <c r="B43" s="38" t="inlineStr">
        <is>
          <t>Routes with Highest Demand</t>
        </is>
      </c>
      <c r="F43" s="36" t="inlineStr"/>
    </row>
    <row r="44">
      <c r="B44" s="25" t="inlineStr">
        <is>
          <t>Female Students with Pass</t>
        </is>
      </c>
      <c r="F44" s="37" t="inlineStr"/>
    </row>
  </sheetData>
  <mergeCells count="15">
    <mergeCell ref="B40:E40"/>
    <mergeCell ref="B41:E41"/>
    <mergeCell ref="B43:E43"/>
    <mergeCell ref="F42:K42"/>
    <mergeCell ref="B44:E44"/>
    <mergeCell ref="F40:K40"/>
    <mergeCell ref="F41:K41"/>
    <mergeCell ref="B39:E39"/>
    <mergeCell ref="B38:K38"/>
    <mergeCell ref="B2:K2"/>
    <mergeCell ref="F43:K43"/>
    <mergeCell ref="B42:E42"/>
    <mergeCell ref="F44:K44"/>
    <mergeCell ref="B3:K3"/>
    <mergeCell ref="F39:K3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G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22" customWidth="1" min="4" max="4"/>
    <col width="12" customWidth="1" min="5" max="5"/>
    <col width="16" customWidth="1" min="6" max="6"/>
    <col width="16" customWidth="1" min="7" max="7"/>
    <col width="3" customWidth="1" min="8" max="8"/>
  </cols>
  <sheetData>
    <row r="1" ht="10" customHeight="1"/>
    <row r="2" ht="48" customHeight="1">
      <c r="B2" s="12" t="inlineStr">
        <is>
          <t>TC-30: DAILY BUS SAFETY INSPECTION CHECKLIST (PRE-TRIP &amp; POST-TRIP)</t>
        </is>
      </c>
    </row>
    <row r="3" ht="20" customHeight="1">
      <c r="B3" s="17" t="inlineStr">
        <is>
          <t>Pre-trip inspection MANDATORY before every service. Any defect rated ≤2 must be rectified before the bus is permitted to ply. Driver and TC Supervisor must both sign.</t>
        </is>
      </c>
    </row>
    <row r="4" ht="25" customHeight="1">
      <c r="B4" s="2" t="inlineStr">
        <is>
          <t>Date: _______  Vehicle: _______  Reg. No.: _______  Driver: ___________________  Route: _______</t>
        </is>
      </c>
    </row>
    <row r="5" ht="26" customHeight="1">
      <c r="B5" s="13" t="inlineStr">
        <is>
          <t>Sl.</t>
        </is>
      </c>
      <c r="C5" s="13" t="inlineStr">
        <is>
          <t>Safety Item</t>
        </is>
      </c>
      <c r="D5" s="13" t="inlineStr">
        <is>
          <t>Standard / Norm</t>
        </is>
      </c>
      <c r="E5" s="13" t="inlineStr">
        <is>
          <t>Rating
(1–5)</t>
        </is>
      </c>
      <c r="F5" s="13" t="inlineStr">
        <is>
          <t>Pre-Trip
OK (Y/N)</t>
        </is>
      </c>
      <c r="G5" s="13" t="inlineStr">
        <is>
          <t>Post-Trip
OK (Y/N)</t>
        </is>
      </c>
    </row>
    <row r="6" ht="24" customHeight="1">
      <c r="B6" s="19" t="inlineStr">
        <is>
          <t>A. VEHICLE EXTERIOR &amp; STRUCTURE</t>
        </is>
      </c>
    </row>
    <row r="7" ht="26" customHeight="1">
      <c r="B7" s="52" t="n">
        <v>1</v>
      </c>
      <c r="C7" s="53" t="inlineStr">
        <is>
          <t>Tyres — pressure, tread depth, no cuts</t>
        </is>
      </c>
      <c r="D7" s="53" t="inlineStr">
        <is>
          <t>Tyre pressure as per manufacturer spec; tread ≥1.6mm</t>
        </is>
      </c>
      <c r="E7" s="54" t="inlineStr"/>
      <c r="F7" s="54" t="inlineStr"/>
      <c r="G7" s="54" t="inlineStr"/>
    </row>
    <row r="8" ht="26" customHeight="1">
      <c r="B8" s="55" t="n">
        <v>2</v>
      </c>
      <c r="C8" s="56" t="inlineStr">
        <is>
          <t>Spare tyre — present and inflated</t>
        </is>
      </c>
      <c r="D8" s="56" t="inlineStr">
        <is>
          <t>Serviceable spare tyre mounted and accessible</t>
        </is>
      </c>
      <c r="E8" s="57" t="inlineStr"/>
      <c r="F8" s="57" t="inlineStr"/>
      <c r="G8" s="57" t="inlineStr"/>
    </row>
    <row r="9" ht="26" customHeight="1">
      <c r="B9" s="52" t="n">
        <v>3</v>
      </c>
      <c r="C9" s="53" t="inlineStr">
        <is>
          <t>Lights — headlamps, brake lights, indicators</t>
        </is>
      </c>
      <c r="D9" s="53" t="inlineStr">
        <is>
          <t>All lights functional; no cracks or missing bulbs</t>
        </is>
      </c>
      <c r="E9" s="54" t="inlineStr"/>
      <c r="F9" s="54" t="inlineStr"/>
      <c r="G9" s="54" t="inlineStr"/>
    </row>
    <row r="10" ht="26" customHeight="1">
      <c r="B10" s="55" t="n">
        <v>4</v>
      </c>
      <c r="C10" s="56" t="inlineStr">
        <is>
          <t>Wipers and windshield washers</t>
        </is>
      </c>
      <c r="D10" s="56" t="inlineStr">
        <is>
          <t>Wipers operational; windshield clean and crack-free</t>
        </is>
      </c>
      <c r="E10" s="57" t="inlineStr"/>
      <c r="F10" s="57" t="inlineStr"/>
      <c r="G10" s="57" t="inlineStr"/>
    </row>
    <row r="11" ht="26" customHeight="1">
      <c r="B11" s="52" t="n">
        <v>5</v>
      </c>
      <c r="C11" s="53" t="inlineStr">
        <is>
          <t>Mirrors — rear view, side mirrors intact</t>
        </is>
      </c>
      <c r="D11" s="53" t="inlineStr">
        <is>
          <t>All mirrors present, clean and properly adjusted</t>
        </is>
      </c>
      <c r="E11" s="54" t="inlineStr"/>
      <c r="F11" s="54" t="inlineStr"/>
      <c r="G11" s="54" t="inlineStr"/>
    </row>
    <row r="12" ht="26" customHeight="1">
      <c r="B12" s="55" t="n">
        <v>6</v>
      </c>
      <c r="C12" s="56" t="inlineStr">
        <is>
          <t>Body — no sharp edges, damaged panels</t>
        </is>
      </c>
      <c r="D12" s="56" t="inlineStr">
        <is>
          <t>No protruding metal; all panels secure</t>
        </is>
      </c>
      <c r="E12" s="57" t="inlineStr"/>
      <c r="F12" s="57" t="inlineStr"/>
      <c r="G12" s="57" t="inlineStr"/>
    </row>
    <row r="13" ht="26" customHeight="1">
      <c r="B13" s="52" t="n">
        <v>7</v>
      </c>
      <c r="C13" s="53" t="inlineStr">
        <is>
          <t>Doors — all operational and secure</t>
        </is>
      </c>
      <c r="D13" s="53" t="inlineStr">
        <is>
          <t>All passenger doors open/close properly; no jams</t>
        </is>
      </c>
      <c r="E13" s="54" t="inlineStr"/>
      <c r="F13" s="54" t="inlineStr"/>
      <c r="G13" s="54" t="inlineStr"/>
    </row>
    <row r="14" ht="26" customHeight="1">
      <c r="B14" s="55" t="n">
        <v>8</v>
      </c>
      <c r="C14" s="56" t="inlineStr">
        <is>
          <t>Fire extinguisher present and charged</t>
        </is>
      </c>
      <c r="D14" s="56" t="inlineStr">
        <is>
          <t>2 kg dry powder extinguisher; seal intact; pressure OK</t>
        </is>
      </c>
      <c r="E14" s="57" t="inlineStr"/>
      <c r="F14" s="57" t="inlineStr"/>
      <c r="G14" s="57" t="inlineStr"/>
    </row>
    <row r="15" ht="26" customHeight="1">
      <c r="B15" s="52" t="n">
        <v>9</v>
      </c>
      <c r="C15" s="53" t="inlineStr">
        <is>
          <t>First aid kit stocked and accessible</t>
        </is>
      </c>
      <c r="D15" s="53" t="inlineStr">
        <is>
          <t>Kit has bandages, antiseptic, scissors, emergency contacts</t>
        </is>
      </c>
      <c r="E15" s="54" t="inlineStr"/>
      <c r="F15" s="54" t="inlineStr"/>
      <c r="G15" s="54" t="inlineStr"/>
    </row>
    <row r="16" ht="26" customHeight="1">
      <c r="B16" s="55" t="n">
        <v>10</v>
      </c>
      <c r="C16" s="56" t="inlineStr">
        <is>
          <t>Emergency exit functional</t>
        </is>
      </c>
      <c r="D16" s="56" t="inlineStr">
        <is>
          <t>Emergency door/window opens easily from inside</t>
        </is>
      </c>
      <c r="E16" s="57" t="inlineStr"/>
      <c r="F16" s="57" t="inlineStr"/>
      <c r="G16" s="57" t="inlineStr"/>
    </row>
    <row r="17" ht="26" customHeight="1"/>
    <row r="18" ht="24" customHeight="1">
      <c r="B18" s="58" t="inlineStr">
        <is>
          <t>B. ENGINE &amp; MECHANICAL</t>
        </is>
      </c>
    </row>
    <row r="19" ht="26" customHeight="1">
      <c r="B19" s="59" t="n">
        <v>1</v>
      </c>
      <c r="C19" s="60" t="inlineStr">
        <is>
          <t>Engine oil level adequate</t>
        </is>
      </c>
      <c r="D19" s="60" t="inlineStr">
        <is>
          <t>Between MIN and MAX marks on dipstick</t>
        </is>
      </c>
      <c r="E19" s="61" t="inlineStr"/>
      <c r="F19" s="61" t="inlineStr"/>
      <c r="G19" s="61" t="inlineStr"/>
    </row>
    <row r="20" ht="26" customHeight="1">
      <c r="B20" s="55" t="n">
        <v>2</v>
      </c>
      <c r="C20" s="56" t="inlineStr">
        <is>
          <t>Coolant level adequate</t>
        </is>
      </c>
      <c r="D20" s="56" t="inlineStr">
        <is>
          <t>Coolant at correct level; no leaks</t>
        </is>
      </c>
      <c r="E20" s="57" t="inlineStr"/>
      <c r="F20" s="57" t="inlineStr"/>
      <c r="G20" s="57" t="inlineStr"/>
    </row>
    <row r="21" ht="26" customHeight="1">
      <c r="B21" s="59" t="n">
        <v>3</v>
      </c>
      <c r="C21" s="60" t="inlineStr">
        <is>
          <t>Brake fluid level adequate</t>
        </is>
      </c>
      <c r="D21" s="60" t="inlineStr">
        <is>
          <t>At correct level; no leaks</t>
        </is>
      </c>
      <c r="E21" s="61" t="inlineStr"/>
      <c r="F21" s="61" t="inlineStr"/>
      <c r="G21" s="61" t="inlineStr"/>
    </row>
    <row r="22" ht="26" customHeight="1">
      <c r="B22" s="55" t="n">
        <v>4</v>
      </c>
      <c r="C22" s="56" t="inlineStr">
        <is>
          <t>Brakes — effective and responsive</t>
        </is>
      </c>
      <c r="D22" s="56" t="inlineStr">
        <is>
          <t>Brake test: stops straight, no pull; handbrake holds</t>
        </is>
      </c>
      <c r="E22" s="57" t="inlineStr"/>
      <c r="F22" s="57" t="inlineStr"/>
      <c r="G22" s="57" t="inlineStr"/>
    </row>
    <row r="23" ht="26" customHeight="1">
      <c r="B23" s="59" t="n">
        <v>5</v>
      </c>
      <c r="C23" s="60" t="inlineStr">
        <is>
          <t>Steering — responsive and no play</t>
        </is>
      </c>
      <c r="D23" s="60" t="inlineStr">
        <is>
          <t>No excessive free play; straight tracking</t>
        </is>
      </c>
      <c r="E23" s="61" t="inlineStr"/>
      <c r="F23" s="61" t="inlineStr"/>
      <c r="G23" s="61" t="inlineStr"/>
    </row>
    <row r="24" ht="26" customHeight="1">
      <c r="B24" s="55" t="n">
        <v>6</v>
      </c>
      <c r="C24" s="56" t="inlineStr">
        <is>
          <t>Horn functional</t>
        </is>
      </c>
      <c r="D24" s="56" t="inlineStr">
        <is>
          <t>Horn audible from 20m; not excessively loud</t>
        </is>
      </c>
      <c r="E24" s="57" t="inlineStr"/>
      <c r="F24" s="57" t="inlineStr"/>
      <c r="G24" s="57" t="inlineStr"/>
    </row>
    <row r="25" ht="26" customHeight="1">
      <c r="B25" s="59" t="n">
        <v>7</v>
      </c>
      <c r="C25" s="60" t="inlineStr">
        <is>
          <t>Fuel level adequate for route</t>
        </is>
      </c>
      <c r="D25" s="60" t="inlineStr">
        <is>
          <t>Sufficient fuel for complete route; no reserve</t>
        </is>
      </c>
      <c r="E25" s="61" t="inlineStr"/>
      <c r="F25" s="61" t="inlineStr"/>
      <c r="G25" s="61" t="inlineStr"/>
    </row>
    <row r="26" ht="26" customHeight="1">
      <c r="B26" s="55" t="n">
        <v>8</v>
      </c>
      <c r="C26" s="56" t="inlineStr">
        <is>
          <t>CNG / LPG system leak check (if applicable)</t>
        </is>
      </c>
      <c r="D26" s="56" t="inlineStr">
        <is>
          <t>No gas smell; all connections tight</t>
        </is>
      </c>
      <c r="E26" s="57" t="inlineStr"/>
      <c r="F26" s="57" t="inlineStr"/>
      <c r="G26" s="57" t="inlineStr"/>
    </row>
    <row r="27" ht="26" customHeight="1"/>
    <row r="28" ht="24" customHeight="1">
      <c r="B28" s="34" t="inlineStr">
        <is>
          <t>C. INTERIOR &amp; PASSENGER SAFETY</t>
        </is>
      </c>
    </row>
    <row r="29" ht="26" customHeight="1">
      <c r="B29" s="62" t="n">
        <v>1</v>
      </c>
      <c r="C29" s="63" t="inlineStr">
        <is>
          <t>Seats — all seats firmly fixed, no broken parts</t>
        </is>
      </c>
      <c r="D29" s="63" t="inlineStr">
        <is>
          <t>No loose or broken seat frames; no sharp edges</t>
        </is>
      </c>
      <c r="E29" s="64" t="inlineStr"/>
      <c r="F29" s="64" t="inlineStr"/>
      <c r="G29" s="64" t="inlineStr"/>
    </row>
    <row r="30" ht="26" customHeight="1">
      <c r="B30" s="55" t="n">
        <v>2</v>
      </c>
      <c r="C30" s="56" t="inlineStr">
        <is>
          <t>Aisle clear — no obstructions</t>
        </is>
      </c>
      <c r="D30" s="56" t="inlineStr">
        <is>
          <t>No items blocking aisle or emergency exit</t>
        </is>
      </c>
      <c r="E30" s="57" t="inlineStr"/>
      <c r="F30" s="57" t="inlineStr"/>
      <c r="G30" s="57" t="inlineStr"/>
    </row>
    <row r="31" ht="26" customHeight="1">
      <c r="B31" s="62" t="n">
        <v>3</v>
      </c>
      <c r="C31" s="63" t="inlineStr">
        <is>
          <t>Handrails / grab handles secure</t>
        </is>
      </c>
      <c r="D31" s="63" t="inlineStr">
        <is>
          <t>All handrails firmly bolted; no wobble</t>
        </is>
      </c>
      <c r="E31" s="64" t="inlineStr"/>
      <c r="F31" s="64" t="inlineStr"/>
      <c r="G31" s="64" t="inlineStr"/>
    </row>
    <row r="32" ht="26" customHeight="1">
      <c r="B32" s="55" t="n">
        <v>4</v>
      </c>
      <c r="C32" s="56" t="inlineStr">
        <is>
          <t>CCTV cameras operational</t>
        </is>
      </c>
      <c r="D32" s="56" t="inlineStr">
        <is>
          <t>All cameras functional; recording indicator active</t>
        </is>
      </c>
      <c r="E32" s="57" t="inlineStr"/>
      <c r="F32" s="57" t="inlineStr"/>
      <c r="G32" s="57" t="inlineStr"/>
    </row>
    <row r="33" ht="26" customHeight="1">
      <c r="B33" s="62" t="n">
        <v>5</v>
      </c>
      <c r="C33" s="63" t="inlineStr">
        <is>
          <t>GPS / vehicle tracker operational</t>
        </is>
      </c>
      <c r="D33" s="63" t="inlineStr">
        <is>
          <t>Green indicator; institution can track vehicle live</t>
        </is>
      </c>
      <c r="E33" s="64" t="inlineStr"/>
      <c r="F33" s="64" t="inlineStr"/>
      <c r="G33" s="64" t="inlineStr"/>
    </row>
    <row r="34" ht="26" customHeight="1">
      <c r="B34" s="55" t="n">
        <v>6</v>
      </c>
      <c r="C34" s="56" t="inlineStr">
        <is>
          <t>Speed governor functional</t>
        </is>
      </c>
      <c r="D34" s="56" t="inlineStr">
        <is>
          <t>Governor set to 50 km/h (school zone) or 60 km/h</t>
        </is>
      </c>
      <c r="E34" s="57" t="inlineStr"/>
      <c r="F34" s="57" t="inlineStr"/>
      <c r="G34" s="57" t="inlineStr"/>
    </row>
    <row r="35" ht="26" customHeight="1">
      <c r="B35" s="62" t="n">
        <v>7</v>
      </c>
      <c r="C35" s="63" t="inlineStr">
        <is>
          <t>Passenger safety notices displayed</t>
        </is>
      </c>
      <c r="D35" s="63" t="inlineStr">
        <is>
          <t>Seating capacity, emergency contacts displayed</t>
        </is>
      </c>
      <c r="E35" s="64" t="inlineStr"/>
      <c r="F35" s="64" t="inlineStr"/>
      <c r="G35" s="64" t="inlineStr"/>
    </row>
    <row r="36" ht="26" customHeight="1">
      <c r="B36" s="55" t="n">
        <v>8</v>
      </c>
      <c r="C36" s="56" t="inlineStr">
        <is>
          <t>Conductor's emergency contact list present</t>
        </is>
      </c>
      <c r="D36" s="56" t="inlineStr">
        <is>
          <t>Updated list with TC office, police, hospital nos.</t>
        </is>
      </c>
      <c r="E36" s="57" t="inlineStr"/>
      <c r="F36" s="57" t="inlineStr"/>
      <c r="G36" s="57" t="inlineStr"/>
    </row>
    <row r="37" ht="26" customHeight="1"/>
    <row r="38" ht="24" customHeight="1">
      <c r="B38" s="20" t="inlineStr">
        <is>
          <t>D. DRIVER COMPLIANCE</t>
        </is>
      </c>
    </row>
    <row r="39" ht="26" customHeight="1">
      <c r="B39" s="65" t="n">
        <v>1</v>
      </c>
      <c r="C39" s="66" t="inlineStr">
        <is>
          <t>Driver — valid HMV licence present</t>
        </is>
      </c>
      <c r="D39" s="66" t="inlineStr">
        <is>
          <t>Original licence; not expired; not surrendered</t>
        </is>
      </c>
      <c r="E39" s="67" t="inlineStr"/>
      <c r="F39" s="67" t="inlineStr"/>
      <c r="G39" s="67" t="inlineStr"/>
    </row>
    <row r="40" ht="26" customHeight="1">
      <c r="B40" s="55" t="n">
        <v>2</v>
      </c>
      <c r="C40" s="56" t="inlineStr">
        <is>
          <t>Driver — medical fitness certificate current</t>
        </is>
      </c>
      <c r="D40" s="56" t="inlineStr">
        <is>
          <t>Annual medical check within last 12 months</t>
        </is>
      </c>
      <c r="E40" s="57" t="inlineStr"/>
      <c r="F40" s="57" t="inlineStr"/>
      <c r="G40" s="57" t="inlineStr"/>
    </row>
    <row r="41" ht="26" customHeight="1">
      <c r="B41" s="65" t="n">
        <v>3</v>
      </c>
      <c r="C41" s="66" t="inlineStr">
        <is>
          <t>Driver — no alcohol/substance use</t>
        </is>
      </c>
      <c r="D41" s="66" t="inlineStr">
        <is>
          <t>Zero tolerance; breathalyser test if suspected</t>
        </is>
      </c>
      <c r="E41" s="67" t="inlineStr"/>
      <c r="F41" s="67" t="inlineStr"/>
      <c r="G41" s="67" t="inlineStr"/>
    </row>
    <row r="42" ht="26" customHeight="1">
      <c r="B42" s="55" t="n">
        <v>4</v>
      </c>
      <c r="C42" s="56" t="inlineStr">
        <is>
          <t>Uniform / ID badge worn</t>
        </is>
      </c>
      <c r="D42" s="56" t="inlineStr">
        <is>
          <t>Institutional uniform and ID badge visible</t>
        </is>
      </c>
      <c r="E42" s="57" t="inlineStr"/>
      <c r="F42" s="57" t="inlineStr"/>
      <c r="G42" s="57" t="inlineStr"/>
    </row>
    <row r="43" ht="26" customHeight="1">
      <c r="B43" s="65" t="n">
        <v>5</v>
      </c>
      <c r="C43" s="66" t="inlineStr">
        <is>
          <t>Vehicle registration documents available</t>
        </is>
      </c>
      <c r="D43" s="66" t="inlineStr">
        <is>
          <t>RC book, fitness cert, permit, insurance — all in bus</t>
        </is>
      </c>
      <c r="E43" s="67" t="inlineStr"/>
      <c r="F43" s="67" t="inlineStr"/>
      <c r="G43" s="67" t="inlineStr"/>
    </row>
    <row r="44" ht="26" customHeight="1">
      <c r="B44" s="55" t="n">
        <v>6</v>
      </c>
      <c r="C44" s="56" t="inlineStr">
        <is>
          <t>Trip report / log book updated</t>
        </is>
      </c>
      <c r="D44" s="56" t="inlineStr">
        <is>
          <t>Previous trip entries complete and signed</t>
        </is>
      </c>
      <c r="E44" s="57" t="inlineStr"/>
      <c r="F44" s="57" t="inlineStr"/>
      <c r="G44" s="57" t="inlineStr"/>
    </row>
    <row r="45" ht="26" customHeight="1"/>
    <row r="46" ht="28" customHeight="1">
      <c r="B46" s="29" t="inlineStr">
        <is>
          <t>Driver Signature: ___________________    Conductor Signature: ___________________    TC Supervisor: ___________________    Date &amp; Time: ___________________</t>
        </is>
      </c>
    </row>
    <row r="47" ht="26" customHeight="1"/>
    <row r="48" ht="26" customHeight="1"/>
    <row r="49" ht="26" customHeight="1"/>
    <row r="50" ht="26" customHeight="1"/>
    <row r="51" ht="26" customHeight="1"/>
    <row r="52" ht="26" customHeight="1"/>
    <row r="53" ht="26" customHeight="1"/>
    <row r="54" ht="26" customHeight="1"/>
  </sheetData>
  <mergeCells count="8">
    <mergeCell ref="B3:G3"/>
    <mergeCell ref="B2:G2"/>
    <mergeCell ref="B38:G38"/>
    <mergeCell ref="B28:G28"/>
    <mergeCell ref="B46:G46"/>
    <mergeCell ref="B4:G4"/>
    <mergeCell ref="B18:G18"/>
    <mergeCell ref="B6:G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TC-34: PASSENGER COMPLAINT &amp; FEEDBACK REGISTER</t>
        </is>
      </c>
    </row>
    <row r="3" ht="20" customHeight="1">
      <c r="B3" s="2" t="inlineStr">
        <is>
          <t>A.Y.: _______  Transport Officer: ___________________  Resolution Target: 48 hours</t>
        </is>
      </c>
    </row>
    <row r="4" ht="25" customHeight="1">
      <c r="B4" s="13" t="inlineStr">
        <is>
          <t>Complaint
Ref.</t>
        </is>
      </c>
      <c r="C4" s="13" t="inlineStr">
        <is>
          <t>Complainant
(Name / Roll)</t>
        </is>
      </c>
      <c r="D4" s="13" t="inlineStr">
        <is>
          <t>Date</t>
        </is>
      </c>
      <c r="E4" s="13" t="inlineStr">
        <is>
          <t>Nature of
Complaint</t>
        </is>
      </c>
      <c r="F4" s="13" t="inlineStr">
        <is>
          <t>Vehicle /
Route</t>
        </is>
      </c>
      <c r="G4" s="13" t="inlineStr">
        <is>
          <t>Priority
(H/M/L)</t>
        </is>
      </c>
      <c r="H4" s="13" t="inlineStr">
        <is>
          <t>Action
Taken</t>
        </is>
      </c>
      <c r="I4" s="13" t="inlineStr">
        <is>
          <t>Resolution
Date</t>
        </is>
      </c>
      <c r="J4" s="13" t="inlineStr">
        <is>
          <t>Status</t>
        </is>
      </c>
    </row>
    <row r="5" ht="24" customHeight="1">
      <c r="B5" s="14" t="inlineStr">
        <is>
          <t>TC/COMP/001</t>
        </is>
      </c>
      <c r="C5" s="15" t="inlineStr"/>
      <c r="D5" s="16" t="inlineStr"/>
      <c r="E5" s="15" t="inlineStr">
        <is>
          <t>Late departure / arrival</t>
        </is>
      </c>
      <c r="F5" s="16" t="inlineStr"/>
      <c r="G5" s="14" t="inlineStr">
        <is>
          <t>H</t>
        </is>
      </c>
      <c r="H5" s="15" t="inlineStr"/>
      <c r="I5" s="16" t="inlineStr"/>
      <c r="J5" s="16" t="inlineStr">
        <is>
          <t>Pending</t>
        </is>
      </c>
    </row>
    <row r="6" ht="24" customHeight="1">
      <c r="B6" s="8" t="inlineStr">
        <is>
          <t>TC/COMP/002</t>
        </is>
      </c>
      <c r="C6" s="9" t="inlineStr"/>
      <c r="D6" s="10" t="inlineStr"/>
      <c r="E6" s="9" t="inlineStr">
        <is>
          <t>Overcrowding beyond capacity</t>
        </is>
      </c>
      <c r="F6" s="10" t="inlineStr"/>
      <c r="G6" s="8" t="inlineStr">
        <is>
          <t>M</t>
        </is>
      </c>
      <c r="H6" s="9" t="inlineStr"/>
      <c r="I6" s="10" t="inlineStr"/>
      <c r="J6" s="10" t="inlineStr">
        <is>
          <t>Pending</t>
        </is>
      </c>
    </row>
    <row r="7" ht="24" customHeight="1">
      <c r="B7" s="14" t="inlineStr">
        <is>
          <t>TC/COMP/003</t>
        </is>
      </c>
      <c r="C7" s="15" t="inlineStr"/>
      <c r="D7" s="16" t="inlineStr"/>
      <c r="E7" s="15" t="inlineStr">
        <is>
          <t>Rash / reckless driving</t>
        </is>
      </c>
      <c r="F7" s="16" t="inlineStr"/>
      <c r="G7" s="14" t="inlineStr">
        <is>
          <t>L</t>
        </is>
      </c>
      <c r="H7" s="15" t="inlineStr"/>
      <c r="I7" s="16" t="inlineStr"/>
      <c r="J7" s="16" t="inlineStr">
        <is>
          <t>Pending</t>
        </is>
      </c>
    </row>
    <row r="8" ht="24" customHeight="1">
      <c r="B8" s="8" t="inlineStr">
        <is>
          <t>TC/COMP/004</t>
        </is>
      </c>
      <c r="C8" s="9" t="inlineStr"/>
      <c r="D8" s="10" t="inlineStr"/>
      <c r="E8" s="9" t="inlineStr">
        <is>
          <t>Driver misbehaviour</t>
        </is>
      </c>
      <c r="F8" s="10" t="inlineStr"/>
      <c r="G8" s="8" t="inlineStr">
        <is>
          <t>H</t>
        </is>
      </c>
      <c r="H8" s="9" t="inlineStr"/>
      <c r="I8" s="10" t="inlineStr"/>
      <c r="J8" s="10" t="inlineStr">
        <is>
          <t>Pending</t>
        </is>
      </c>
    </row>
    <row r="9" ht="24" customHeight="1">
      <c r="B9" s="14" t="inlineStr">
        <is>
          <t>TC/COMP/005</t>
        </is>
      </c>
      <c r="C9" s="15" t="inlineStr"/>
      <c r="D9" s="16" t="inlineStr"/>
      <c r="E9" s="15" t="inlineStr">
        <is>
          <t>Conductor misconduct</t>
        </is>
      </c>
      <c r="F9" s="16" t="inlineStr"/>
      <c r="G9" s="14" t="inlineStr">
        <is>
          <t>M</t>
        </is>
      </c>
      <c r="H9" s="15" t="inlineStr"/>
      <c r="I9" s="16" t="inlineStr"/>
      <c r="J9" s="16" t="inlineStr">
        <is>
          <t>Pending</t>
        </is>
      </c>
    </row>
    <row r="10" ht="24" customHeight="1">
      <c r="B10" s="8" t="inlineStr">
        <is>
          <t>TC/COMP/006</t>
        </is>
      </c>
      <c r="C10" s="9" t="inlineStr"/>
      <c r="D10" s="10" t="inlineStr"/>
      <c r="E10" s="9" t="inlineStr">
        <is>
          <t>CCTV not functioning</t>
        </is>
      </c>
      <c r="F10" s="10" t="inlineStr"/>
      <c r="G10" s="8" t="inlineStr">
        <is>
          <t>H</t>
        </is>
      </c>
      <c r="H10" s="9" t="inlineStr"/>
      <c r="I10" s="10" t="inlineStr"/>
      <c r="J10" s="10" t="inlineStr">
        <is>
          <t>Pending</t>
        </is>
      </c>
    </row>
    <row r="11" ht="24" customHeight="1">
      <c r="B11" s="14" t="inlineStr">
        <is>
          <t>TC/COMP/007</t>
        </is>
      </c>
      <c r="C11" s="15" t="inlineStr"/>
      <c r="D11" s="16" t="inlineStr"/>
      <c r="E11" s="15" t="inlineStr">
        <is>
          <t>AC / fan not working</t>
        </is>
      </c>
      <c r="F11" s="16" t="inlineStr"/>
      <c r="G11" s="14" t="inlineStr">
        <is>
          <t>M</t>
        </is>
      </c>
      <c r="H11" s="15" t="inlineStr"/>
      <c r="I11" s="16" t="inlineStr"/>
      <c r="J11" s="16" t="inlineStr">
        <is>
          <t>Pending</t>
        </is>
      </c>
    </row>
    <row r="12" ht="24" customHeight="1">
      <c r="B12" s="8" t="inlineStr">
        <is>
          <t>TC/COMP/008</t>
        </is>
      </c>
      <c r="C12" s="9" t="inlineStr"/>
      <c r="D12" s="10" t="inlineStr"/>
      <c r="E12" s="9" t="inlineStr">
        <is>
          <t>Route deviation</t>
        </is>
      </c>
      <c r="F12" s="10" t="inlineStr"/>
      <c r="G12" s="8" t="inlineStr">
        <is>
          <t>L</t>
        </is>
      </c>
      <c r="H12" s="9" t="inlineStr"/>
      <c r="I12" s="10" t="inlineStr"/>
      <c r="J12" s="10" t="inlineStr">
        <is>
          <t>Pending</t>
        </is>
      </c>
    </row>
    <row r="13" ht="24" customHeight="1">
      <c r="B13" s="14" t="inlineStr">
        <is>
          <t>TC/COMP/009</t>
        </is>
      </c>
      <c r="C13" s="15" t="inlineStr"/>
      <c r="D13" s="16" t="inlineStr"/>
      <c r="E13" s="15" t="inlineStr">
        <is>
          <t>Bus skipped stop</t>
        </is>
      </c>
      <c r="F13" s="16" t="inlineStr"/>
      <c r="G13" s="14" t="inlineStr">
        <is>
          <t>H</t>
        </is>
      </c>
      <c r="H13" s="15" t="inlineStr"/>
      <c r="I13" s="16" t="inlineStr"/>
      <c r="J13" s="16" t="inlineStr">
        <is>
          <t>Pending</t>
        </is>
      </c>
    </row>
    <row r="14" ht="24" customHeight="1">
      <c r="B14" s="8" t="inlineStr">
        <is>
          <t>TC/COMP/010</t>
        </is>
      </c>
      <c r="C14" s="9" t="inlineStr"/>
      <c r="D14" s="10" t="inlineStr"/>
      <c r="E14" s="9" t="inlineStr">
        <is>
          <t>Safety hazard on bus</t>
        </is>
      </c>
      <c r="F14" s="10" t="inlineStr"/>
      <c r="G14" s="8" t="inlineStr">
        <is>
          <t>M</t>
        </is>
      </c>
      <c r="H14" s="9" t="inlineStr"/>
      <c r="I14" s="10" t="inlineStr"/>
      <c r="J14" s="10" t="inlineStr">
        <is>
          <t>Pending</t>
        </is>
      </c>
    </row>
    <row r="15" ht="24" customHeight="1">
      <c r="B15" s="14" t="inlineStr">
        <is>
          <t>TC/COMP/011</t>
        </is>
      </c>
      <c r="C15" s="15" t="inlineStr"/>
      <c r="D15" s="16" t="inlineStr"/>
      <c r="E15" s="15" t="inlineStr">
        <is>
          <t>Overcharging / fee issue</t>
        </is>
      </c>
      <c r="F15" s="16" t="inlineStr"/>
      <c r="G15" s="14" t="inlineStr">
        <is>
          <t>H</t>
        </is>
      </c>
      <c r="H15" s="15" t="inlineStr"/>
      <c r="I15" s="16" t="inlineStr"/>
      <c r="J15" s="16" t="inlineStr">
        <is>
          <t>Pending</t>
        </is>
      </c>
    </row>
    <row r="16" ht="24" customHeight="1">
      <c r="B16" s="8" t="inlineStr">
        <is>
          <t>TC/COMP/012</t>
        </is>
      </c>
      <c r="C16" s="9" t="inlineStr"/>
      <c r="D16" s="10" t="inlineStr"/>
      <c r="E16" s="9" t="inlineStr">
        <is>
          <t>Bus cancelled without notice</t>
        </is>
      </c>
      <c r="F16" s="10" t="inlineStr"/>
      <c r="G16" s="8" t="inlineStr">
        <is>
          <t>M</t>
        </is>
      </c>
      <c r="H16" s="9" t="inlineStr"/>
      <c r="I16" s="10" t="inlineStr"/>
      <c r="J16" s="10" t="inlineStr">
        <is>
          <t>Pending</t>
        </is>
      </c>
    </row>
    <row r="17" ht="24" customHeight="1">
      <c r="B17" s="14" t="inlineStr">
        <is>
          <t>TC/COMP/013</t>
        </is>
      </c>
      <c r="C17" s="15" t="inlineStr"/>
      <c r="D17" s="16" t="inlineStr"/>
      <c r="E17" s="15" t="inlineStr">
        <is>
          <t>Harassment / eve-teasing on bus</t>
        </is>
      </c>
      <c r="F17" s="16" t="inlineStr"/>
      <c r="G17" s="14" t="inlineStr">
        <is>
          <t>L</t>
        </is>
      </c>
      <c r="H17" s="15" t="inlineStr"/>
      <c r="I17" s="16" t="inlineStr"/>
      <c r="J17" s="16" t="inlineStr">
        <is>
          <t>Pending</t>
        </is>
      </c>
    </row>
    <row r="18" ht="24" customHeight="1">
      <c r="B18" s="8" t="inlineStr">
        <is>
          <t>TC/COMP/014</t>
        </is>
      </c>
      <c r="C18" s="9" t="inlineStr"/>
      <c r="D18" s="10" t="inlineStr"/>
      <c r="E18" s="9" t="inlineStr">
        <is>
          <t>Unauthorised passengers</t>
        </is>
      </c>
      <c r="F18" s="10" t="inlineStr"/>
      <c r="G18" s="8" t="inlineStr">
        <is>
          <t>H</t>
        </is>
      </c>
      <c r="H18" s="9" t="inlineStr"/>
      <c r="I18" s="10" t="inlineStr"/>
      <c r="J18" s="10" t="inlineStr">
        <is>
          <t>Pending</t>
        </is>
      </c>
    </row>
    <row r="19" ht="24" customHeight="1">
      <c r="B19" s="14" t="inlineStr">
        <is>
          <t>TC/COMP/015</t>
        </is>
      </c>
      <c r="C19" s="15" t="inlineStr"/>
      <c r="D19" s="16" t="inlineStr"/>
      <c r="E19" s="15" t="inlineStr">
        <is>
          <t>Other complaint</t>
        </is>
      </c>
      <c r="F19" s="16" t="inlineStr"/>
      <c r="G19" s="14" t="inlineStr">
        <is>
          <t>M</t>
        </is>
      </c>
      <c r="H19" s="15" t="inlineStr"/>
      <c r="I19" s="16" t="inlineStr"/>
      <c r="J19" s="16" t="inlineStr">
        <is>
          <t>Pending</t>
        </is>
      </c>
    </row>
    <row r="20" ht="24" customHeight="1">
      <c r="B20" s="8" t="inlineStr">
        <is>
          <t>TC/COMP/016</t>
        </is>
      </c>
      <c r="C20" s="9" t="inlineStr"/>
      <c r="D20" s="10" t="inlineStr"/>
      <c r="E20" s="9" t="inlineStr">
        <is>
          <t>Late departure / arrival</t>
        </is>
      </c>
      <c r="F20" s="10" t="inlineStr"/>
      <c r="G20" s="8" t="inlineStr">
        <is>
          <t>H</t>
        </is>
      </c>
      <c r="H20" s="9" t="inlineStr"/>
      <c r="I20" s="10" t="inlineStr"/>
      <c r="J20" s="10" t="inlineStr">
        <is>
          <t>Pending</t>
        </is>
      </c>
    </row>
    <row r="21" ht="24" customHeight="1">
      <c r="B21" s="14" t="inlineStr">
        <is>
          <t>TC/COMP/017</t>
        </is>
      </c>
      <c r="C21" s="15" t="inlineStr"/>
      <c r="D21" s="16" t="inlineStr"/>
      <c r="E21" s="15" t="inlineStr">
        <is>
          <t>Overcrowding beyond capacity</t>
        </is>
      </c>
      <c r="F21" s="16" t="inlineStr"/>
      <c r="G21" s="14" t="inlineStr">
        <is>
          <t>M</t>
        </is>
      </c>
      <c r="H21" s="15" t="inlineStr"/>
      <c r="I21" s="16" t="inlineStr"/>
      <c r="J21" s="16" t="inlineStr">
        <is>
          <t>Pending</t>
        </is>
      </c>
    </row>
    <row r="22" ht="24" customHeight="1">
      <c r="B22" s="8" t="inlineStr">
        <is>
          <t>TC/COMP/018</t>
        </is>
      </c>
      <c r="C22" s="9" t="inlineStr"/>
      <c r="D22" s="10" t="inlineStr"/>
      <c r="E22" s="9" t="inlineStr">
        <is>
          <t>Rash / reckless driving</t>
        </is>
      </c>
      <c r="F22" s="10" t="inlineStr"/>
      <c r="G22" s="8" t="inlineStr">
        <is>
          <t>L</t>
        </is>
      </c>
      <c r="H22" s="9" t="inlineStr"/>
      <c r="I22" s="10" t="inlineStr"/>
      <c r="J22" s="10" t="inlineStr">
        <is>
          <t>Pending</t>
        </is>
      </c>
    </row>
    <row r="23" ht="24" customHeight="1">
      <c r="B23" s="14" t="inlineStr">
        <is>
          <t>TC/COMP/019</t>
        </is>
      </c>
      <c r="C23" s="15" t="inlineStr"/>
      <c r="D23" s="16" t="inlineStr"/>
      <c r="E23" s="15" t="inlineStr">
        <is>
          <t>Driver misbehaviour</t>
        </is>
      </c>
      <c r="F23" s="16" t="inlineStr"/>
      <c r="G23" s="14" t="inlineStr">
        <is>
          <t>H</t>
        </is>
      </c>
      <c r="H23" s="15" t="inlineStr"/>
      <c r="I23" s="16" t="inlineStr"/>
      <c r="J23" s="16" t="inlineStr">
        <is>
          <t>Pending</t>
        </is>
      </c>
    </row>
    <row r="24" ht="24" customHeight="1">
      <c r="B24" s="8" t="inlineStr">
        <is>
          <t>TC/COMP/020</t>
        </is>
      </c>
      <c r="C24" s="9" t="inlineStr"/>
      <c r="D24" s="10" t="inlineStr"/>
      <c r="E24" s="9" t="inlineStr">
        <is>
          <t>Conductor misconduct</t>
        </is>
      </c>
      <c r="F24" s="10" t="inlineStr"/>
      <c r="G24" s="8" t="inlineStr">
        <is>
          <t>M</t>
        </is>
      </c>
      <c r="H24" s="9" t="inlineStr"/>
      <c r="I24" s="10" t="inlineStr"/>
      <c r="J24" s="10" t="inlineStr">
        <is>
          <t>Pending</t>
        </is>
      </c>
    </row>
    <row r="25" ht="24" customHeight="1">
      <c r="B25" s="14" t="inlineStr">
        <is>
          <t>TC/COMP/021</t>
        </is>
      </c>
      <c r="C25" s="15" t="inlineStr"/>
      <c r="D25" s="16" t="inlineStr"/>
      <c r="E25" s="15" t="inlineStr">
        <is>
          <t>CCTV not functioning</t>
        </is>
      </c>
      <c r="F25" s="16" t="inlineStr"/>
      <c r="G25" s="14" t="inlineStr">
        <is>
          <t>H</t>
        </is>
      </c>
      <c r="H25" s="15" t="inlineStr"/>
      <c r="I25" s="16" t="inlineStr"/>
      <c r="J25" s="16" t="inlineStr">
        <is>
          <t>Pending</t>
        </is>
      </c>
    </row>
    <row r="26" ht="24" customHeight="1">
      <c r="B26" s="8" t="inlineStr">
        <is>
          <t>TC/COMP/022</t>
        </is>
      </c>
      <c r="C26" s="9" t="inlineStr"/>
      <c r="D26" s="10" t="inlineStr"/>
      <c r="E26" s="9" t="inlineStr">
        <is>
          <t>AC / fan not working</t>
        </is>
      </c>
      <c r="F26" s="10" t="inlineStr"/>
      <c r="G26" s="8" t="inlineStr">
        <is>
          <t>M</t>
        </is>
      </c>
      <c r="H26" s="9" t="inlineStr"/>
      <c r="I26" s="10" t="inlineStr"/>
      <c r="J26" s="10" t="inlineStr">
        <is>
          <t>Pending</t>
        </is>
      </c>
    </row>
    <row r="27" ht="24" customHeight="1"/>
    <row r="28" ht="24" customHeight="1">
      <c r="B28" s="34" t="inlineStr">
        <is>
          <t>COMPLAINT STATISTICS</t>
        </is>
      </c>
    </row>
    <row r="29" ht="24" customHeight="1">
      <c r="B29" s="38" t="inlineStr">
        <is>
          <t>Total Complaints</t>
        </is>
      </c>
      <c r="F29" s="36">
        <f>COUNTA(B5:B26)</f>
        <v/>
      </c>
    </row>
    <row r="30" ht="24" customHeight="1">
      <c r="B30" s="25" t="inlineStr">
        <is>
          <t>High Priority (H)</t>
        </is>
      </c>
      <c r="F30" s="37">
        <f>COUNTIF(G5:G26,"H")</f>
        <v/>
      </c>
    </row>
    <row r="31" ht="24" customHeight="1">
      <c r="B31" s="38" t="inlineStr">
        <is>
          <t>Resolved</t>
        </is>
      </c>
      <c r="F31" s="36">
        <f>COUNTIF(J5:J26,"Resolved")</f>
        <v/>
      </c>
    </row>
    <row r="32">
      <c r="B32" s="25" t="inlineStr">
        <is>
          <t>Pending</t>
        </is>
      </c>
      <c r="F32" s="37">
        <f>COUNTIF(J5:J26,"Pending")</f>
        <v/>
      </c>
    </row>
    <row r="33">
      <c r="B33" s="38" t="inlineStr">
        <is>
          <t>Resolution Rate (%)</t>
        </is>
      </c>
      <c r="F33" s="36">
        <f>IFERROR(ROUND(C30/C29*100,1),"")</f>
        <v/>
      </c>
    </row>
    <row r="34">
      <c r="B34" s="25" t="inlineStr">
        <is>
          <t>Most Common Complaint Type</t>
        </is>
      </c>
      <c r="F34" s="37" t="inlineStr"/>
    </row>
  </sheetData>
  <mergeCells count="15">
    <mergeCell ref="B31:E31"/>
    <mergeCell ref="F30:J30"/>
    <mergeCell ref="B3:J3"/>
    <mergeCell ref="F29:J29"/>
    <mergeCell ref="B28:J28"/>
    <mergeCell ref="F34:J34"/>
    <mergeCell ref="B30:E30"/>
    <mergeCell ref="B29:E29"/>
    <mergeCell ref="B33:E33"/>
    <mergeCell ref="F33:J33"/>
    <mergeCell ref="F31:J31"/>
    <mergeCell ref="B34:E34"/>
    <mergeCell ref="F32:J32"/>
    <mergeCell ref="B2:J2"/>
    <mergeCell ref="B32:E3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TC-35: STUDENT TRANSPORT SATISFACTION SURVEY — ANNUAL</t>
        </is>
      </c>
    </row>
    <row r="3" ht="25" customHeight="1">
      <c r="B3" s="2" t="inlineStr">
        <is>
          <t>A.Y.: _______  Respondents: _______  Date: _______  Transport Officer: ___________________</t>
        </is>
      </c>
    </row>
    <row r="4" ht="22" customHeight="1">
      <c r="B4" s="68" t="inlineStr">
        <is>
          <t>Scale: 1 = Very Dissatisfied  |  2 = Dissatisfied  |  3 = Neutral  |  4 = Satisfied  |  5 = Very Satisfied</t>
        </is>
      </c>
    </row>
    <row r="5" ht="24" customHeight="1">
      <c r="B5" s="19" t="inlineStr">
        <is>
          <t>A. PUNCTUALITY &amp; RELIABILITY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Very
Satisfied (5)</t>
        </is>
      </c>
      <c r="E6" s="13" t="inlineStr">
        <is>
          <t>Satisfied
(4)</t>
        </is>
      </c>
      <c r="F6" s="13" t="inlineStr">
        <is>
          <t>Neutral
(3)</t>
        </is>
      </c>
      <c r="G6" s="13" t="inlineStr">
        <is>
          <t>Dissatisfied
(2)</t>
        </is>
      </c>
      <c r="H6" s="13" t="inlineStr">
        <is>
          <t>Very
Dissatisfied 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Bus departure time — on-time performance</t>
        </is>
      </c>
      <c r="D7" s="16" t="inlineStr"/>
      <c r="E7" s="16" t="inlineStr"/>
      <c r="F7" s="16" t="inlineStr"/>
      <c r="G7" s="16" t="inlineStr"/>
      <c r="H7" s="16" t="inlineStr"/>
      <c r="I7" s="42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Bus arrival at institution — on-time consistency</t>
        </is>
      </c>
      <c r="D8" s="10" t="inlineStr"/>
      <c r="E8" s="10" t="inlineStr"/>
      <c r="F8" s="10" t="inlineStr"/>
      <c r="G8" s="10" t="inlineStr"/>
      <c r="H8" s="10" t="inlineStr"/>
      <c r="I8" s="37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Frequency of unscheduled cancellations</t>
        </is>
      </c>
      <c r="D9" s="16" t="inlineStr"/>
      <c r="E9" s="16" t="inlineStr"/>
      <c r="F9" s="16" t="inlineStr"/>
      <c r="G9" s="16" t="inlineStr"/>
      <c r="H9" s="16" t="inlineStr"/>
      <c r="I9" s="42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Communication of delays or route changes</t>
        </is>
      </c>
      <c r="D10" s="10" t="inlineStr"/>
      <c r="E10" s="10" t="inlineStr"/>
      <c r="F10" s="10" t="inlineStr"/>
      <c r="G10" s="10" t="inlineStr"/>
      <c r="H10" s="10" t="inlineStr"/>
      <c r="I10" s="37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Reliability of service throughout the semester</t>
        </is>
      </c>
      <c r="D11" s="16" t="inlineStr"/>
      <c r="E11" s="16" t="inlineStr"/>
      <c r="F11" s="16" t="inlineStr"/>
      <c r="G11" s="16" t="inlineStr"/>
      <c r="H11" s="16" t="inlineStr"/>
      <c r="I11" s="42">
        <f>IFERROR(ROUND((D11*5+E11*4+F11*3+G11*2+H11)/SUM(D11:H11),2),"")</f>
        <v/>
      </c>
    </row>
    <row r="12" ht="22" customHeight="1"/>
    <row r="13" ht="24" customHeight="1">
      <c r="B13" s="69" t="inlineStr">
        <is>
          <t>B. SAFETY &amp; COMFORT</t>
        </is>
      </c>
    </row>
    <row r="14" ht="22" customHeight="1">
      <c r="B14" s="45" t="inlineStr">
        <is>
          <t>Q.</t>
        </is>
      </c>
      <c r="C14" s="45" t="inlineStr">
        <is>
          <t>Survey Statement</t>
        </is>
      </c>
      <c r="D14" s="45" t="inlineStr">
        <is>
          <t>Very
Satisfied (5)</t>
        </is>
      </c>
      <c r="E14" s="45" t="inlineStr">
        <is>
          <t>Satisfied
(4)</t>
        </is>
      </c>
      <c r="F14" s="45" t="inlineStr">
        <is>
          <t>Neutral
(3)</t>
        </is>
      </c>
      <c r="G14" s="45" t="inlineStr">
        <is>
          <t>Dissatisfied
(2)</t>
        </is>
      </c>
      <c r="H14" s="45" t="inlineStr">
        <is>
          <t>Very
Dissatisfied (1)</t>
        </is>
      </c>
      <c r="I14" s="45" t="inlineStr">
        <is>
          <t>Avg Score</t>
        </is>
      </c>
    </row>
    <row r="15" ht="22" customHeight="1">
      <c r="B15" s="46" t="inlineStr">
        <is>
          <t>Q6</t>
        </is>
      </c>
      <c r="C15" s="48" t="inlineStr">
        <is>
          <t>Driving behaviour — speed and safety of driver</t>
        </is>
      </c>
      <c r="D15" s="47" t="inlineStr"/>
      <c r="E15" s="47" t="inlineStr"/>
      <c r="F15" s="47" t="inlineStr"/>
      <c r="G15" s="47" t="inlineStr"/>
      <c r="H15" s="47" t="inlineStr"/>
      <c r="I15" s="41">
        <f>IFERROR(ROUND((D15*5+E15*4+F15*3+G15*2+H15)/SUM(D15:H15),2),"")</f>
        <v/>
      </c>
    </row>
    <row r="16" ht="22" customHeight="1">
      <c r="B16" s="8" t="inlineStr">
        <is>
          <t>Q7</t>
        </is>
      </c>
      <c r="C16" s="9" t="inlineStr">
        <is>
          <t>Condition and comfort of seats</t>
        </is>
      </c>
      <c r="D16" s="10" t="inlineStr"/>
      <c r="E16" s="10" t="inlineStr"/>
      <c r="F16" s="10" t="inlineStr"/>
      <c r="G16" s="10" t="inlineStr"/>
      <c r="H16" s="10" t="inlineStr"/>
      <c r="I16" s="37">
        <f>IFERROR(ROUND((D16*5+E16*4+F16*3+G16*2+H16)/SUM(D16:H16),2),"")</f>
        <v/>
      </c>
    </row>
    <row r="17" ht="22" customHeight="1">
      <c r="B17" s="46" t="inlineStr">
        <is>
          <t>Q8</t>
        </is>
      </c>
      <c r="C17" s="48" t="inlineStr">
        <is>
          <t>Cleanliness and hygiene inside the bus</t>
        </is>
      </c>
      <c r="D17" s="47" t="inlineStr"/>
      <c r="E17" s="47" t="inlineStr"/>
      <c r="F17" s="47" t="inlineStr"/>
      <c r="G17" s="47" t="inlineStr"/>
      <c r="H17" s="47" t="inlineStr"/>
      <c r="I17" s="41">
        <f>IFERROR(ROUND((D17*5+E17*4+F17*3+G17*2+H17)/SUM(D17:H17),2),"")</f>
        <v/>
      </c>
    </row>
    <row r="18" ht="22" customHeight="1">
      <c r="B18" s="8" t="inlineStr">
        <is>
          <t>Q9</t>
        </is>
      </c>
      <c r="C18" s="9" t="inlineStr">
        <is>
          <t>Availability and function of AC / fans / ventilation</t>
        </is>
      </c>
      <c r="D18" s="10" t="inlineStr"/>
      <c r="E18" s="10" t="inlineStr"/>
      <c r="F18" s="10" t="inlineStr"/>
      <c r="G18" s="10" t="inlineStr"/>
      <c r="H18" s="10" t="inlineStr"/>
      <c r="I18" s="37">
        <f>IFERROR(ROUND((D18*5+E18*4+F18*3+G18*2+H18)/SUM(D18:H18),2),"")</f>
        <v/>
      </c>
    </row>
    <row r="19" ht="22" customHeight="1">
      <c r="B19" s="46" t="inlineStr">
        <is>
          <t>Q10</t>
        </is>
      </c>
      <c r="C19" s="48" t="inlineStr">
        <is>
          <t>CCTV cameras — awareness that bus is monitored</t>
        </is>
      </c>
      <c r="D19" s="47" t="inlineStr"/>
      <c r="E19" s="47" t="inlineStr"/>
      <c r="F19" s="47" t="inlineStr"/>
      <c r="G19" s="47" t="inlineStr"/>
      <c r="H19" s="47" t="inlineStr"/>
      <c r="I19" s="41">
        <f>IFERROR(ROUND((D19*5+E19*4+F19*3+G19*2+H19)/SUM(D19:H19),2),"")</f>
        <v/>
      </c>
    </row>
    <row r="20" ht="22" customHeight="1">
      <c r="B20" s="8" t="inlineStr">
        <is>
          <t>Q11</t>
        </is>
      </c>
      <c r="C20" s="9" t="inlineStr">
        <is>
          <t>Sense of personal safety on the bus</t>
        </is>
      </c>
      <c r="D20" s="10" t="inlineStr"/>
      <c r="E20" s="10" t="inlineStr"/>
      <c r="F20" s="10" t="inlineStr"/>
      <c r="G20" s="10" t="inlineStr"/>
      <c r="H20" s="10" t="inlineStr"/>
      <c r="I20" s="37">
        <f>IFERROR(ROUND((D20*5+E20*4+F20*3+G20*2+H20)/SUM(D20:H20),2),"")</f>
        <v/>
      </c>
    </row>
    <row r="21" ht="22" customHeight="1">
      <c r="B21" s="46" t="inlineStr">
        <is>
          <t>Q12</t>
        </is>
      </c>
      <c r="C21" s="48" t="inlineStr">
        <is>
          <t>Safety for female students on the bus</t>
        </is>
      </c>
      <c r="D21" s="47" t="inlineStr"/>
      <c r="E21" s="47" t="inlineStr"/>
      <c r="F21" s="47" t="inlineStr"/>
      <c r="G21" s="47" t="inlineStr"/>
      <c r="H21" s="47" t="inlineStr"/>
      <c r="I21" s="41">
        <f>IFERROR(ROUND((D21*5+E21*4+F21*3+G21*2+H21)/SUM(D21:H21),2),"")</f>
        <v/>
      </c>
    </row>
    <row r="22" ht="22" customHeight="1"/>
    <row r="23" ht="24" customHeight="1">
      <c r="B23" s="34" t="inlineStr">
        <is>
          <t>C. ROUTES &amp; COVERAGE</t>
        </is>
      </c>
    </row>
    <row r="24" ht="22" customHeight="1">
      <c r="B24" s="30" t="inlineStr">
        <is>
          <t>Q.</t>
        </is>
      </c>
      <c r="C24" s="30" t="inlineStr">
        <is>
          <t>Survey Statement</t>
        </is>
      </c>
      <c r="D24" s="30" t="inlineStr">
        <is>
          <t>Very
Satisfied (5)</t>
        </is>
      </c>
      <c r="E24" s="30" t="inlineStr">
        <is>
          <t>Satisfied
(4)</t>
        </is>
      </c>
      <c r="F24" s="30" t="inlineStr">
        <is>
          <t>Neutral
(3)</t>
        </is>
      </c>
      <c r="G24" s="30" t="inlineStr">
        <is>
          <t>Dissatisfied
(2)</t>
        </is>
      </c>
      <c r="H24" s="30" t="inlineStr">
        <is>
          <t>Very
Dissatisfied (1)</t>
        </is>
      </c>
      <c r="I24" s="30" t="inlineStr">
        <is>
          <t>Avg Score</t>
        </is>
      </c>
    </row>
    <row r="25" ht="22" customHeight="1">
      <c r="B25" s="31" t="inlineStr">
        <is>
          <t>Q13</t>
        </is>
      </c>
      <c r="C25" s="32" t="inlineStr">
        <is>
          <t>Coverage of your residential area by bus routes</t>
        </is>
      </c>
      <c r="D25" s="33" t="inlineStr"/>
      <c r="E25" s="33" t="inlineStr"/>
      <c r="F25" s="33" t="inlineStr"/>
      <c r="G25" s="33" t="inlineStr"/>
      <c r="H25" s="33" t="inlineStr"/>
      <c r="I25" s="70">
        <f>IFERROR(ROUND((D25*5+E25*4+F25*3+G25*2+H25)/SUM(D25:H25),2),"")</f>
        <v/>
      </c>
    </row>
    <row r="26" ht="22" customHeight="1">
      <c r="B26" s="8" t="inlineStr">
        <is>
          <t>Q14</t>
        </is>
      </c>
      <c r="C26" s="9" t="inlineStr">
        <is>
          <t>Number of bus stops — adequate pick-up points</t>
        </is>
      </c>
      <c r="D26" s="10" t="inlineStr"/>
      <c r="E26" s="10" t="inlineStr"/>
      <c r="F26" s="10" t="inlineStr"/>
      <c r="G26" s="10" t="inlineStr"/>
      <c r="H26" s="10" t="inlineStr"/>
      <c r="I26" s="37">
        <f>IFERROR(ROUND((D26*5+E26*4+F26*3+G26*2+H26)/SUM(D26:H26),2),"")</f>
        <v/>
      </c>
    </row>
    <row r="27" ht="22" customHeight="1">
      <c r="B27" s="31" t="inlineStr">
        <is>
          <t>Q15</t>
        </is>
      </c>
      <c r="C27" s="32" t="inlineStr">
        <is>
          <t>Walk distance from home to nearest bus stop</t>
        </is>
      </c>
      <c r="D27" s="33" t="inlineStr"/>
      <c r="E27" s="33" t="inlineStr"/>
      <c r="F27" s="33" t="inlineStr"/>
      <c r="G27" s="33" t="inlineStr"/>
      <c r="H27" s="33" t="inlineStr"/>
      <c r="I27" s="70">
        <f>IFERROR(ROUND((D27*5+E27*4+F27*3+G27*2+H27)/SUM(D27:H27),2),"")</f>
        <v/>
      </c>
    </row>
    <row r="28" ht="22" customHeight="1">
      <c r="B28" s="8" t="inlineStr">
        <is>
          <t>Q16</t>
        </is>
      </c>
      <c r="C28" s="9" t="inlineStr">
        <is>
          <t>Direct routing — minimal deviations or long routes</t>
        </is>
      </c>
      <c r="D28" s="10" t="inlineStr"/>
      <c r="E28" s="10" t="inlineStr"/>
      <c r="F28" s="10" t="inlineStr"/>
      <c r="G28" s="10" t="inlineStr"/>
      <c r="H28" s="10" t="inlineStr"/>
      <c r="I28" s="37">
        <f>IFERROR(ROUND((D28*5+E28*4+F28*3+G28*2+H28)/SUM(D28:H28),2),"")</f>
        <v/>
      </c>
    </row>
    <row r="29" ht="22" customHeight="1">
      <c r="B29" s="31" t="inlineStr">
        <is>
          <t>Q17</t>
        </is>
      </c>
      <c r="C29" s="32" t="inlineStr">
        <is>
          <t>Availability of service for late-sitting students</t>
        </is>
      </c>
      <c r="D29" s="33" t="inlineStr"/>
      <c r="E29" s="33" t="inlineStr"/>
      <c r="F29" s="33" t="inlineStr"/>
      <c r="G29" s="33" t="inlineStr"/>
      <c r="H29" s="33" t="inlineStr"/>
      <c r="I29" s="70">
        <f>IFERROR(ROUND((D29*5+E29*4+F29*3+G29*2+H29)/SUM(D29:H29),2),"")</f>
        <v/>
      </c>
    </row>
    <row r="30" ht="22" customHeight="1"/>
    <row r="31" ht="24" customHeight="1">
      <c r="B31" s="20" t="inlineStr">
        <is>
          <t>D. STAFF BEHAVIOUR &amp; SERVICE</t>
        </is>
      </c>
    </row>
    <row r="32" ht="22" customHeight="1">
      <c r="B32" s="21" t="inlineStr">
        <is>
          <t>Q.</t>
        </is>
      </c>
      <c r="C32" s="21" t="inlineStr">
        <is>
          <t>Survey Statement</t>
        </is>
      </c>
      <c r="D32" s="21" t="inlineStr">
        <is>
          <t>Very
Satisfied (5)</t>
        </is>
      </c>
      <c r="E32" s="21" t="inlineStr">
        <is>
          <t>Satisfied
(4)</t>
        </is>
      </c>
      <c r="F32" s="21" t="inlineStr">
        <is>
          <t>Neutral
(3)</t>
        </is>
      </c>
      <c r="G32" s="21" t="inlineStr">
        <is>
          <t>Dissatisfied
(2)</t>
        </is>
      </c>
      <c r="H32" s="21" t="inlineStr">
        <is>
          <t>Very
Dissatisfied (1)</t>
        </is>
      </c>
      <c r="I32" s="21" t="inlineStr">
        <is>
          <t>Avg Score</t>
        </is>
      </c>
    </row>
    <row r="33" ht="22" customHeight="1">
      <c r="B33" s="43" t="inlineStr">
        <is>
          <t>Q18</t>
        </is>
      </c>
      <c r="C33" s="44" t="inlineStr">
        <is>
          <t>Behaviour and courtesy of the bus driver</t>
        </is>
      </c>
      <c r="D33" s="22" t="inlineStr"/>
      <c r="E33" s="22" t="inlineStr"/>
      <c r="F33" s="22" t="inlineStr"/>
      <c r="G33" s="22" t="inlineStr"/>
      <c r="H33" s="22" t="inlineStr"/>
      <c r="I33" s="71">
        <f>IFERROR(ROUND((D33*5+E33*4+F33*3+G33*2+H33)/SUM(D33:H33),2),"")</f>
        <v/>
      </c>
    </row>
    <row r="34" ht="22" customHeight="1">
      <c r="B34" s="8" t="inlineStr">
        <is>
          <t>Q19</t>
        </is>
      </c>
      <c r="C34" s="9" t="inlineStr">
        <is>
          <t>Behaviour and helpfulness of the conductor</t>
        </is>
      </c>
      <c r="D34" s="10" t="inlineStr"/>
      <c r="E34" s="10" t="inlineStr"/>
      <c r="F34" s="10" t="inlineStr"/>
      <c r="G34" s="10" t="inlineStr"/>
      <c r="H34" s="10" t="inlineStr"/>
      <c r="I34" s="37">
        <f>IFERROR(ROUND((D34*5+E34*4+F34*3+G34*2+H34)/SUM(D34:H34),2),"")</f>
        <v/>
      </c>
    </row>
    <row r="35" ht="22" customHeight="1">
      <c r="B35" s="43" t="inlineStr">
        <is>
          <t>Q20</t>
        </is>
      </c>
      <c r="C35" s="44" t="inlineStr">
        <is>
          <t>Responsiveness of transport office to queries</t>
        </is>
      </c>
      <c r="D35" s="22" t="inlineStr"/>
      <c r="E35" s="22" t="inlineStr"/>
      <c r="F35" s="22" t="inlineStr"/>
      <c r="G35" s="22" t="inlineStr"/>
      <c r="H35" s="22" t="inlineStr"/>
      <c r="I35" s="71">
        <f>IFERROR(ROUND((D35*5+E35*4+F35*3+G35*2+H35)/SUM(D35:H35),2),"")</f>
        <v/>
      </c>
    </row>
    <row r="36" ht="22" customHeight="1">
      <c r="B36" s="8" t="inlineStr">
        <is>
          <t>Q21</t>
        </is>
      </c>
      <c r="C36" s="9" t="inlineStr">
        <is>
          <t>Bus pass issuance process — ease and speed</t>
        </is>
      </c>
      <c r="D36" s="10" t="inlineStr"/>
      <c r="E36" s="10" t="inlineStr"/>
      <c r="F36" s="10" t="inlineStr"/>
      <c r="G36" s="10" t="inlineStr"/>
      <c r="H36" s="10" t="inlineStr"/>
      <c r="I36" s="37">
        <f>IFERROR(ROUND((D36*5+E36*4+F36*3+G36*2+H36)/SUM(D36:H36),2),"")</f>
        <v/>
      </c>
    </row>
    <row r="37" ht="22" customHeight="1">
      <c r="B37" s="43" t="inlineStr">
        <is>
          <t>Q22</t>
        </is>
      </c>
      <c r="C37" s="44" t="inlineStr">
        <is>
          <t>Complaint resolution — timeliness and outcome</t>
        </is>
      </c>
      <c r="D37" s="22" t="inlineStr"/>
      <c r="E37" s="22" t="inlineStr"/>
      <c r="F37" s="22" t="inlineStr"/>
      <c r="G37" s="22" t="inlineStr"/>
      <c r="H37" s="22" t="inlineStr"/>
      <c r="I37" s="71">
        <f>IFERROR(ROUND((D37*5+E37*4+F37*3+G37*2+H37)/SUM(D37:H37),2),"")</f>
        <v/>
      </c>
    </row>
    <row r="38" ht="22" customHeight="1"/>
    <row r="39" ht="24" customHeight="1">
      <c r="B39" s="72" t="inlineStr">
        <is>
          <t>E. OVERALL EXPERIENCE</t>
        </is>
      </c>
    </row>
    <row r="40" ht="22" customHeight="1">
      <c r="B40" s="73" t="inlineStr">
        <is>
          <t>Q.</t>
        </is>
      </c>
      <c r="C40" s="73" t="inlineStr">
        <is>
          <t>Survey Statement</t>
        </is>
      </c>
      <c r="D40" s="73" t="inlineStr">
        <is>
          <t>Very
Satisfied (5)</t>
        </is>
      </c>
      <c r="E40" s="73" t="inlineStr">
        <is>
          <t>Satisfied
(4)</t>
        </is>
      </c>
      <c r="F40" s="73" t="inlineStr">
        <is>
          <t>Neutral
(3)</t>
        </is>
      </c>
      <c r="G40" s="73" t="inlineStr">
        <is>
          <t>Dissatisfied
(2)</t>
        </is>
      </c>
      <c r="H40" s="73" t="inlineStr">
        <is>
          <t>Very
Dissatisfied (1)</t>
        </is>
      </c>
      <c r="I40" s="73" t="inlineStr">
        <is>
          <t>Avg Score</t>
        </is>
      </c>
    </row>
    <row r="41" ht="22" customHeight="1">
      <c r="B41" s="74" t="inlineStr">
        <is>
          <t>Q23</t>
        </is>
      </c>
      <c r="C41" s="75" t="inlineStr">
        <is>
          <t>Overall satisfaction with institutional transport</t>
        </is>
      </c>
      <c r="D41" s="76" t="inlineStr"/>
      <c r="E41" s="76" t="inlineStr"/>
      <c r="F41" s="76" t="inlineStr"/>
      <c r="G41" s="76" t="inlineStr"/>
      <c r="H41" s="76" t="inlineStr"/>
      <c r="I41" s="77">
        <f>IFERROR(ROUND((D41*5+E41*4+F41*3+G41*2+H41)/SUM(D41:H41),2),"")</f>
        <v/>
      </c>
    </row>
    <row r="42" ht="22" customHeight="1">
      <c r="B42" s="8" t="inlineStr">
        <is>
          <t>Q24</t>
        </is>
      </c>
      <c r="C42" s="9" t="inlineStr">
        <is>
          <t>Value for money (transport fee vs. service quality)</t>
        </is>
      </c>
      <c r="D42" s="10" t="inlineStr"/>
      <c r="E42" s="10" t="inlineStr"/>
      <c r="F42" s="10" t="inlineStr"/>
      <c r="G42" s="10" t="inlineStr"/>
      <c r="H42" s="10" t="inlineStr"/>
      <c r="I42" s="37">
        <f>IFERROR(ROUND((D42*5+E42*4+F42*3+G42*2+H42)/SUM(D42:H42),2),"")</f>
        <v/>
      </c>
    </row>
    <row r="43" ht="22" customHeight="1">
      <c r="B43" s="74" t="inlineStr">
        <is>
          <t>Q25</t>
        </is>
      </c>
      <c r="C43" s="75" t="inlineStr">
        <is>
          <t>Compared to private transport alternatives</t>
        </is>
      </c>
      <c r="D43" s="76" t="inlineStr"/>
      <c r="E43" s="76" t="inlineStr"/>
      <c r="F43" s="76" t="inlineStr"/>
      <c r="G43" s="76" t="inlineStr"/>
      <c r="H43" s="76" t="inlineStr"/>
      <c r="I43" s="77">
        <f>IFERROR(ROUND((D43*5+E43*4+F43*3+G43*2+H43)/SUM(D43:H43),2),"")</f>
        <v/>
      </c>
    </row>
    <row r="44" ht="22" customHeight="1">
      <c r="B44" s="8" t="inlineStr">
        <is>
          <t>Q26</t>
        </is>
      </c>
      <c r="C44" s="9" t="inlineStr">
        <is>
          <t>Would you recommend institutional bus to others?</t>
        </is>
      </c>
      <c r="D44" s="10" t="inlineStr"/>
      <c r="E44" s="10" t="inlineStr"/>
      <c r="F44" s="10" t="inlineStr"/>
      <c r="G44" s="10" t="inlineStr"/>
      <c r="H44" s="10" t="inlineStr"/>
      <c r="I44" s="37">
        <f>IFERROR(ROUND((D44*5+E44*4+F44*3+G44*2+H44)/SUM(D44:H44),2),"")</f>
        <v/>
      </c>
    </row>
    <row r="45" ht="22" customHeight="1"/>
    <row r="46" ht="24" customHeight="1">
      <c r="B46" s="27" t="inlineStr">
        <is>
          <t>SURVEY SUMMARY &amp; ACTION PLAN</t>
        </is>
      </c>
    </row>
    <row r="47" ht="22" customHeight="1">
      <c r="B47" s="28" t="inlineStr">
        <is>
          <t>Section</t>
        </is>
      </c>
      <c r="C47" s="28" t="inlineStr">
        <is>
          <t>Avg Score (/5)</t>
        </is>
      </c>
      <c r="D47" s="28" t="inlineStr">
        <is>
          <t>Satisfaction %</t>
        </is>
      </c>
      <c r="E47" s="28" t="inlineStr">
        <is>
          <t>Benchmark
(≥3.5)</t>
        </is>
      </c>
      <c r="F47" s="28" t="inlineStr">
        <is>
          <t>Gap</t>
        </is>
      </c>
      <c r="G47" s="28" t="inlineStr">
        <is>
          <t>Status</t>
        </is>
      </c>
      <c r="H47" s="28" t="inlineStr">
        <is>
          <t>Priority Action</t>
        </is>
      </c>
    </row>
    <row r="48" ht="22" customHeight="1">
      <c r="B48" s="38" t="inlineStr">
        <is>
          <t>PUNCTUALITY &amp; RELIABILITY</t>
        </is>
      </c>
      <c r="C48" s="16" t="inlineStr"/>
      <c r="D48" s="16">
        <f>IFERROR(ROUND(C48/5*100,1),"")</f>
        <v/>
      </c>
      <c r="E48" s="16" t="n">
        <v>3.5</v>
      </c>
      <c r="F48" s="16">
        <f>IFERROR(ROUND(C48-E48,2),"")</f>
        <v/>
      </c>
      <c r="G48" s="16">
        <f>IFERROR(IF(C48&gt;=3.5,"Satisfactory","Needs Attention"),"")</f>
        <v/>
      </c>
      <c r="H48" s="15" t="inlineStr"/>
      <c r="I48" s="78" t="n"/>
    </row>
    <row r="49" ht="22" customHeight="1">
      <c r="B49" s="25" t="inlineStr">
        <is>
          <t>SAFETY &amp; COMFORT</t>
        </is>
      </c>
      <c r="C49" s="10" t="inlineStr"/>
      <c r="D49" s="10">
        <f>IFERROR(ROUND(C49/5*100,1),"")</f>
        <v/>
      </c>
      <c r="E49" s="10" t="n">
        <v>3.5</v>
      </c>
      <c r="F49" s="10">
        <f>IFERROR(ROUND(C49-E49,2),"")</f>
        <v/>
      </c>
      <c r="G49" s="10">
        <f>IFERROR(IF(C49&gt;=3.5,"Satisfactory","Needs Attention"),"")</f>
        <v/>
      </c>
      <c r="H49" s="9" t="inlineStr"/>
      <c r="I49" s="79" t="n"/>
    </row>
    <row r="50">
      <c r="B50" s="38" t="inlineStr">
        <is>
          <t>ROUTES &amp; COVERAGE</t>
        </is>
      </c>
      <c r="C50" s="16" t="inlineStr"/>
      <c r="D50" s="16">
        <f>IFERROR(ROUND(C50/5*100,1),"")</f>
        <v/>
      </c>
      <c r="E50" s="16" t="n">
        <v>3.5</v>
      </c>
      <c r="F50" s="16">
        <f>IFERROR(ROUND(C50-E50,2),"")</f>
        <v/>
      </c>
      <c r="G50" s="16">
        <f>IFERROR(IF(C50&gt;=3.5,"Satisfactory","Needs Attention"),"")</f>
        <v/>
      </c>
      <c r="H50" s="15" t="inlineStr"/>
      <c r="I50" s="78" t="n"/>
    </row>
    <row r="51">
      <c r="B51" s="25" t="inlineStr">
        <is>
          <t>STAFF BEHAVIOUR &amp; SERVICE</t>
        </is>
      </c>
      <c r="C51" s="10" t="inlineStr"/>
      <c r="D51" s="10">
        <f>IFERROR(ROUND(C51/5*100,1),"")</f>
        <v/>
      </c>
      <c r="E51" s="10" t="n">
        <v>3.5</v>
      </c>
      <c r="F51" s="10">
        <f>IFERROR(ROUND(C51-E51,2),"")</f>
        <v/>
      </c>
      <c r="G51" s="10">
        <f>IFERROR(IF(C51&gt;=3.5,"Satisfactory","Needs Attention"),"")</f>
        <v/>
      </c>
      <c r="H51" s="9" t="inlineStr"/>
      <c r="I51" s="79" t="n"/>
    </row>
    <row r="52">
      <c r="B52" s="38" t="inlineStr">
        <is>
          <t>OVERALL EXPERIENCE</t>
        </is>
      </c>
      <c r="C52" s="16" t="inlineStr"/>
      <c r="D52" s="16">
        <f>IFERROR(ROUND(C52/5*100,1),"")</f>
        <v/>
      </c>
      <c r="E52" s="16" t="n">
        <v>3.5</v>
      </c>
      <c r="F52" s="16">
        <f>IFERROR(ROUND(C52-E52,2),"")</f>
        <v/>
      </c>
      <c r="G52" s="16">
        <f>IFERROR(IF(C52&gt;=3.5,"Satisfactory","Needs Attention"),"")</f>
        <v/>
      </c>
      <c r="H52" s="15" t="inlineStr"/>
      <c r="I52" s="78" t="n"/>
    </row>
  </sheetData>
  <mergeCells count="9">
    <mergeCell ref="B13:I13"/>
    <mergeCell ref="B39:I39"/>
    <mergeCell ref="B2:I2"/>
    <mergeCell ref="B46:I46"/>
    <mergeCell ref="B3:I3"/>
    <mergeCell ref="B5:I5"/>
    <mergeCell ref="B31:I31"/>
    <mergeCell ref="B23:I23"/>
    <mergeCell ref="B4: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TC-36: TRANSPORT COMMITTEE KPI DASHBOARD</t>
        </is>
      </c>
    </row>
    <row r="3" ht="25" customHeight="1">
      <c r="B3" s="2" t="inlineStr">
        <is>
          <t>Month: _______  A.Y.: _______  Transport Officer: ___________________  Date: _______</t>
        </is>
      </c>
    </row>
    <row r="4" ht="24" customHeight="1">
      <c r="B4" s="19" t="inlineStr">
        <is>
          <t>FLEET &amp; COMPLIANCE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Month
Actual</t>
        </is>
      </c>
      <c r="G5" s="13" t="inlineStr">
        <is>
          <t>Current Month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Fleet operational rate (% of vehicles on road)</t>
        </is>
      </c>
      <c r="D6" s="16" t="inlineStr">
        <is>
          <t>% active</t>
        </is>
      </c>
      <c r="E6" s="16" t="inlineStr">
        <is>
          <t>≥90%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Vehicles with all documents valid</t>
        </is>
      </c>
      <c r="D7" s="10" t="inlineStr">
        <is>
          <t>% compliant</t>
        </is>
      </c>
      <c r="E7" s="10" t="inlineStr">
        <is>
          <t>100%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Fitness certificates renewed on time</t>
        </is>
      </c>
      <c r="D8" s="16" t="inlineStr">
        <is>
          <t>% on time</t>
        </is>
      </c>
      <c r="E8" s="16" t="inlineStr">
        <is>
          <t>100%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Insurance renewals on time</t>
        </is>
      </c>
      <c r="D9" s="10" t="inlineStr">
        <is>
          <t>% on time</t>
        </is>
      </c>
      <c r="E9" s="10" t="inlineStr">
        <is>
          <t>100%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CCTV operational rate (% of buses)</t>
        </is>
      </c>
      <c r="D10" s="16" t="inlineStr">
        <is>
          <t>% functional</t>
        </is>
      </c>
      <c r="E10" s="16" t="inlineStr">
        <is>
          <t>100%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GPS / tracker operational rate</t>
        </is>
      </c>
      <c r="D11" s="10" t="inlineStr">
        <is>
          <t>% functional</t>
        </is>
      </c>
      <c r="E11" s="10" t="inlineStr">
        <is>
          <t>100%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69" t="inlineStr">
        <is>
          <t>SAFETY KPIs</t>
        </is>
      </c>
    </row>
    <row r="14" ht="22" customHeight="1">
      <c r="B14" s="45" t="inlineStr">
        <is>
          <t>Sl.</t>
        </is>
      </c>
      <c r="C14" s="45" t="inlineStr">
        <is>
          <t>Key Performance Indicator</t>
        </is>
      </c>
      <c r="D14" s="45" t="inlineStr">
        <is>
          <t>Unit</t>
        </is>
      </c>
      <c r="E14" s="45" t="inlineStr">
        <is>
          <t>Target</t>
        </is>
      </c>
      <c r="F14" s="45" t="inlineStr">
        <is>
          <t>Prev. Month
Actual</t>
        </is>
      </c>
      <c r="G14" s="45" t="inlineStr">
        <is>
          <t>Current Month
Actual</t>
        </is>
      </c>
      <c r="H14" s="45" t="inlineStr">
        <is>
          <t>Status</t>
        </is>
      </c>
      <c r="I14" s="45" t="inlineStr">
        <is>
          <t>Action Required</t>
        </is>
      </c>
    </row>
    <row r="15" ht="22" customHeight="1">
      <c r="B15" s="46" t="n">
        <v>1</v>
      </c>
      <c r="C15" s="48" t="inlineStr">
        <is>
          <t>Accidents per month (target: zero)</t>
        </is>
      </c>
      <c r="D15" s="47" t="inlineStr">
        <is>
          <t>No.</t>
        </is>
      </c>
      <c r="E15" s="47" t="inlineStr">
        <is>
          <t>0</t>
        </is>
      </c>
      <c r="F15" s="47" t="inlineStr"/>
      <c r="G15" s="47" t="inlineStr"/>
      <c r="H15" s="47" t="inlineStr">
        <is>
          <t>On Track</t>
        </is>
      </c>
      <c r="I15" s="48" t="inlineStr"/>
    </row>
    <row r="16" ht="22" customHeight="1">
      <c r="B16" s="8" t="n">
        <v>2</v>
      </c>
      <c r="C16" s="9" t="inlineStr">
        <is>
          <t>Breakdowns per bus per month</t>
        </is>
      </c>
      <c r="D16" s="10" t="inlineStr">
        <is>
          <t>No./bus</t>
        </is>
      </c>
      <c r="E16" s="10" t="inlineStr">
        <is>
          <t>≤1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46" t="n">
        <v>3</v>
      </c>
      <c r="C17" s="48" t="inlineStr">
        <is>
          <t>Daily pre-trip safety checklist completion</t>
        </is>
      </c>
      <c r="D17" s="47" t="inlineStr">
        <is>
          <t>% days</t>
        </is>
      </c>
      <c r="E17" s="47" t="inlineStr">
        <is>
          <t>100%</t>
        </is>
      </c>
      <c r="F17" s="47" t="inlineStr"/>
      <c r="G17" s="47" t="inlineStr"/>
      <c r="H17" s="47" t="inlineStr">
        <is>
          <t>On Track</t>
        </is>
      </c>
      <c r="I17" s="48" t="inlineStr"/>
    </row>
    <row r="18" ht="22" customHeight="1">
      <c r="B18" s="8" t="n">
        <v>4</v>
      </c>
      <c r="C18" s="9" t="inlineStr">
        <is>
          <t>Drivers with valid licence and medical fitness</t>
        </is>
      </c>
      <c r="D18" s="10" t="inlineStr">
        <is>
          <t>% of drivers</t>
        </is>
      </c>
      <c r="E18" s="10" t="inlineStr">
        <is>
          <t>100%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46" t="n">
        <v>5</v>
      </c>
      <c r="C19" s="48" t="inlineStr">
        <is>
          <t>Fatigue incidents (driver &gt; 8 hrs)</t>
        </is>
      </c>
      <c r="D19" s="47" t="inlineStr">
        <is>
          <t>No.</t>
        </is>
      </c>
      <c r="E19" s="47" t="inlineStr">
        <is>
          <t>0</t>
        </is>
      </c>
      <c r="F19" s="47" t="inlineStr"/>
      <c r="G19" s="47" t="inlineStr"/>
      <c r="H19" s="47" t="inlineStr">
        <is>
          <t>On Track</t>
        </is>
      </c>
      <c r="I19" s="48" t="inlineStr"/>
    </row>
    <row r="20" ht="22" customHeight="1">
      <c r="B20" s="8" t="n">
        <v>6</v>
      </c>
      <c r="C20" s="9" t="inlineStr">
        <is>
          <t>Speed governor compliance (no tampering)</t>
        </is>
      </c>
      <c r="D20" s="10" t="inlineStr">
        <is>
          <t>Y/N</t>
        </is>
      </c>
      <c r="E20" s="10" t="inlineStr">
        <is>
          <t>Yes — all buses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/>
    <row r="22" ht="24" customHeight="1">
      <c r="B22" s="34" t="inlineStr">
        <is>
          <t>SERVICE QUALITY KPIs</t>
        </is>
      </c>
    </row>
    <row r="23" ht="22" customHeight="1">
      <c r="B23" s="30" t="inlineStr">
        <is>
          <t>Sl.</t>
        </is>
      </c>
      <c r="C23" s="30" t="inlineStr">
        <is>
          <t>Key Performance Indicator</t>
        </is>
      </c>
      <c r="D23" s="30" t="inlineStr">
        <is>
          <t>Unit</t>
        </is>
      </c>
      <c r="E23" s="30" t="inlineStr">
        <is>
          <t>Target</t>
        </is>
      </c>
      <c r="F23" s="30" t="inlineStr">
        <is>
          <t>Prev. Month
Actual</t>
        </is>
      </c>
      <c r="G23" s="30" t="inlineStr">
        <is>
          <t>Current Month
Actual</t>
        </is>
      </c>
      <c r="H23" s="30" t="inlineStr">
        <is>
          <t>Status</t>
        </is>
      </c>
      <c r="I23" s="30" t="inlineStr">
        <is>
          <t>Action Required</t>
        </is>
      </c>
    </row>
    <row r="24" ht="22" customHeight="1">
      <c r="B24" s="31" t="n">
        <v>1</v>
      </c>
      <c r="C24" s="32" t="inlineStr">
        <is>
          <t>On-time departure rate (% of trips)</t>
        </is>
      </c>
      <c r="D24" s="33" t="inlineStr">
        <is>
          <t>% on time</t>
        </is>
      </c>
      <c r="E24" s="33" t="inlineStr">
        <is>
          <t>≥90%</t>
        </is>
      </c>
      <c r="F24" s="33" t="inlineStr"/>
      <c r="G24" s="33" t="inlineStr"/>
      <c r="H24" s="33" t="inlineStr">
        <is>
          <t>On Track</t>
        </is>
      </c>
      <c r="I24" s="32" t="inlineStr"/>
    </row>
    <row r="25" ht="22" customHeight="1">
      <c r="B25" s="8" t="n">
        <v>2</v>
      </c>
      <c r="C25" s="9" t="inlineStr">
        <is>
          <t>Route cancellations (% of scheduled)</t>
        </is>
      </c>
      <c r="D25" s="10" t="inlineStr">
        <is>
          <t>% cancelled</t>
        </is>
      </c>
      <c r="E25" s="10" t="inlineStr">
        <is>
          <t>≤2%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31" t="n">
        <v>3</v>
      </c>
      <c r="C26" s="32" t="inlineStr">
        <is>
          <t>Bus occupancy rate (% of capacity)</t>
        </is>
      </c>
      <c r="D26" s="33" t="inlineStr">
        <is>
          <t>% occupied</t>
        </is>
      </c>
      <c r="E26" s="33" t="inlineStr">
        <is>
          <t>≥70%</t>
        </is>
      </c>
      <c r="F26" s="33" t="inlineStr"/>
      <c r="G26" s="33" t="inlineStr"/>
      <c r="H26" s="33" t="inlineStr">
        <is>
          <t>On Track</t>
        </is>
      </c>
      <c r="I26" s="32" t="inlineStr"/>
    </row>
    <row r="27" ht="22" customHeight="1">
      <c r="B27" s="8" t="n">
        <v>4</v>
      </c>
      <c r="C27" s="9" t="inlineStr">
        <is>
          <t>Student complaints resolved within 48 hrs</t>
        </is>
      </c>
      <c r="D27" s="10" t="inlineStr">
        <is>
          <t>% resolved</t>
        </is>
      </c>
      <c r="E27" s="10" t="inlineStr">
        <is>
          <t>≥90%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31" t="n">
        <v>5</v>
      </c>
      <c r="C28" s="32" t="inlineStr">
        <is>
          <t>Student satisfaction score (/5)</t>
        </is>
      </c>
      <c r="D28" s="33" t="inlineStr">
        <is>
          <t>Score</t>
        </is>
      </c>
      <c r="E28" s="33" t="inlineStr">
        <is>
          <t>≥3.5</t>
        </is>
      </c>
      <c r="F28" s="33" t="inlineStr"/>
      <c r="G28" s="33" t="inlineStr"/>
      <c r="H28" s="33" t="inlineStr">
        <is>
          <t>On Track</t>
        </is>
      </c>
      <c r="I28" s="32" t="inlineStr"/>
    </row>
    <row r="29" ht="22" customHeight="1">
      <c r="B29" s="8" t="n">
        <v>6</v>
      </c>
      <c r="C29" s="9" t="inlineStr">
        <is>
          <t>Special trip requests fulfilled on time</t>
        </is>
      </c>
      <c r="D29" s="10" t="inlineStr">
        <is>
          <t>% fulfilled</t>
        </is>
      </c>
      <c r="E29" s="10" t="inlineStr">
        <is>
          <t>≥95%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/>
    <row r="31" ht="24" customHeight="1">
      <c r="B31" s="20" t="inlineStr">
        <is>
          <t>FUEL &amp; COST KPIs</t>
        </is>
      </c>
    </row>
    <row r="32" ht="22" customHeight="1">
      <c r="B32" s="21" t="inlineStr">
        <is>
          <t>Sl.</t>
        </is>
      </c>
      <c r="C32" s="21" t="inlineStr">
        <is>
          <t>Key Performance Indicator</t>
        </is>
      </c>
      <c r="D32" s="21" t="inlineStr">
        <is>
          <t>Unit</t>
        </is>
      </c>
      <c r="E32" s="21" t="inlineStr">
        <is>
          <t>Target</t>
        </is>
      </c>
      <c r="F32" s="21" t="inlineStr">
        <is>
          <t>Prev. Month
Actual</t>
        </is>
      </c>
      <c r="G32" s="21" t="inlineStr">
        <is>
          <t>Current Month
Actual</t>
        </is>
      </c>
      <c r="H32" s="21" t="inlineStr">
        <is>
          <t>Status</t>
        </is>
      </c>
      <c r="I32" s="21" t="inlineStr">
        <is>
          <t>Action Required</t>
        </is>
      </c>
    </row>
    <row r="33" ht="22" customHeight="1">
      <c r="B33" s="43" t="n">
        <v>1</v>
      </c>
      <c r="C33" s="44" t="inlineStr">
        <is>
          <t>Fleet average fuel efficiency (km/L)</t>
        </is>
      </c>
      <c r="D33" s="22" t="inlineStr">
        <is>
          <t>km/L</t>
        </is>
      </c>
      <c r="E33" s="22" t="inlineStr">
        <is>
          <t>≥5 km/L (diesel)</t>
        </is>
      </c>
      <c r="F33" s="22" t="inlineStr"/>
      <c r="G33" s="22" t="inlineStr"/>
      <c r="H33" s="22" t="inlineStr">
        <is>
          <t>On Track</t>
        </is>
      </c>
      <c r="I33" s="44" t="inlineStr"/>
    </row>
    <row r="34" ht="22" customHeight="1">
      <c r="B34" s="8" t="n">
        <v>2</v>
      </c>
      <c r="C34" s="9" t="inlineStr">
        <is>
          <t>Fuel cost per km (₹/km)</t>
        </is>
      </c>
      <c r="D34" s="10" t="inlineStr">
        <is>
          <t>₹/km</t>
        </is>
      </c>
      <c r="E34" s="10" t="inlineStr">
        <is>
          <t>Tracked / Decreasing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43" t="n">
        <v>3</v>
      </c>
      <c r="C35" s="44" t="inlineStr">
        <is>
          <t>Monthly maintenance cost per vehicle (₹)</t>
        </is>
      </c>
      <c r="D35" s="22" t="inlineStr">
        <is>
          <t>₹/vehicle</t>
        </is>
      </c>
      <c r="E35" s="22" t="inlineStr">
        <is>
          <t>Within budget</t>
        </is>
      </c>
      <c r="F35" s="22" t="inlineStr"/>
      <c r="G35" s="22" t="inlineStr"/>
      <c r="H35" s="22" t="inlineStr">
        <is>
          <t>On Track</t>
        </is>
      </c>
      <c r="I35" s="44" t="inlineStr"/>
    </row>
    <row r="36" ht="22" customHeight="1">
      <c r="B36" s="8" t="n">
        <v>4</v>
      </c>
      <c r="C36" s="9" t="inlineStr">
        <is>
          <t>Transport fee collection rate (%)</t>
        </is>
      </c>
      <c r="D36" s="10" t="inlineStr">
        <is>
          <t>% collected</t>
        </is>
      </c>
      <c r="E36" s="10" t="inlineStr">
        <is>
          <t>≥95%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43" t="n">
        <v>5</v>
      </c>
      <c r="C37" s="44" t="inlineStr">
        <is>
          <t>Budget utilisation (%)</t>
        </is>
      </c>
      <c r="D37" s="22" t="inlineStr">
        <is>
          <t>% utilised</t>
        </is>
      </c>
      <c r="E37" s="22" t="inlineStr">
        <is>
          <t>85–100%</t>
        </is>
      </c>
      <c r="F37" s="22" t="inlineStr"/>
      <c r="G37" s="22" t="inlineStr"/>
      <c r="H37" s="22" t="inlineStr">
        <is>
          <t>On Track</t>
        </is>
      </c>
      <c r="I37" s="44" t="inlineStr"/>
    </row>
    <row r="38" ht="22" customHeight="1"/>
    <row r="39" ht="24" customHeight="1">
      <c r="B39" s="27" t="inlineStr">
        <is>
          <t>STAFF KPIs</t>
        </is>
      </c>
    </row>
    <row r="40" ht="22" customHeight="1">
      <c r="B40" s="28" t="inlineStr">
        <is>
          <t>Sl.</t>
        </is>
      </c>
      <c r="C40" s="28" t="inlineStr">
        <is>
          <t>Key Performance Indicator</t>
        </is>
      </c>
      <c r="D40" s="28" t="inlineStr">
        <is>
          <t>Unit</t>
        </is>
      </c>
      <c r="E40" s="28" t="inlineStr">
        <is>
          <t>Target</t>
        </is>
      </c>
      <c r="F40" s="28" t="inlineStr">
        <is>
          <t>Prev. Month
Actual</t>
        </is>
      </c>
      <c r="G40" s="28" t="inlineStr">
        <is>
          <t>Current Month
Actual</t>
        </is>
      </c>
      <c r="H40" s="28" t="inlineStr">
        <is>
          <t>Status</t>
        </is>
      </c>
      <c r="I40" s="28" t="inlineStr">
        <is>
          <t>Action Required</t>
        </is>
      </c>
    </row>
    <row r="41" ht="22" customHeight="1">
      <c r="B41" s="80" t="n">
        <v>1</v>
      </c>
      <c r="C41" s="81" t="inlineStr">
        <is>
          <t>Driver absenteeism rate (%)</t>
        </is>
      </c>
      <c r="D41" s="82" t="inlineStr">
        <is>
          <t>% absent</t>
        </is>
      </c>
      <c r="E41" s="82" t="inlineStr">
        <is>
          <t>≤5%</t>
        </is>
      </c>
      <c r="F41" s="82" t="inlineStr"/>
      <c r="G41" s="82" t="inlineStr"/>
      <c r="H41" s="82" t="inlineStr">
        <is>
          <t>On Track</t>
        </is>
      </c>
      <c r="I41" s="81" t="inlineStr"/>
    </row>
    <row r="42" ht="22" customHeight="1">
      <c r="B42" s="8" t="n">
        <v>2</v>
      </c>
      <c r="C42" s="9" t="inlineStr">
        <is>
          <t>Driver licence validity compliance</t>
        </is>
      </c>
      <c r="D42" s="10" t="inlineStr">
        <is>
          <t>% valid</t>
        </is>
      </c>
      <c r="E42" s="10" t="inlineStr">
        <is>
          <t>100%</t>
        </is>
      </c>
      <c r="F42" s="10" t="inlineStr"/>
      <c r="G42" s="10" t="inlineStr"/>
      <c r="H42" s="10" t="inlineStr">
        <is>
          <t>On Track</t>
        </is>
      </c>
      <c r="I42" s="9" t="inlineStr"/>
    </row>
    <row r="43" ht="22" customHeight="1">
      <c r="B43" s="80" t="n">
        <v>3</v>
      </c>
      <c r="C43" s="81" t="inlineStr">
        <is>
          <t>Driver training completed (annual)</t>
        </is>
      </c>
      <c r="D43" s="82" t="inlineStr">
        <is>
          <t>% trained</t>
        </is>
      </c>
      <c r="E43" s="82" t="inlineStr">
        <is>
          <t>100%</t>
        </is>
      </c>
      <c r="F43" s="82" t="inlineStr"/>
      <c r="G43" s="82" t="inlineStr"/>
      <c r="H43" s="82" t="inlineStr">
        <is>
          <t>On Track</t>
        </is>
      </c>
      <c r="I43" s="81" t="inlineStr"/>
    </row>
    <row r="44" ht="22" customHeight="1">
      <c r="B44" s="8" t="n">
        <v>4</v>
      </c>
      <c r="C44" s="9" t="inlineStr">
        <is>
          <t>Disciplinary incidents (driver / conductor)</t>
        </is>
      </c>
      <c r="D44" s="10" t="inlineStr">
        <is>
          <t>No.</t>
        </is>
      </c>
      <c r="E44" s="10" t="inlineStr">
        <is>
          <t>0 target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>
      <c r="B45" s="80" t="n">
        <v>5</v>
      </c>
      <c r="C45" s="81" t="inlineStr">
        <is>
          <t>Staff satisfaction (internal review)</t>
        </is>
      </c>
      <c r="D45" s="82" t="inlineStr">
        <is>
          <t>Rating</t>
        </is>
      </c>
      <c r="E45" s="82" t="inlineStr">
        <is>
          <t>Positive</t>
        </is>
      </c>
      <c r="F45" s="82" t="inlineStr"/>
      <c r="G45" s="82" t="inlineStr"/>
      <c r="H45" s="82" t="inlineStr">
        <is>
          <t>On Track</t>
        </is>
      </c>
      <c r="I45" s="81" t="inlineStr"/>
    </row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7">
    <mergeCell ref="B13:I13"/>
    <mergeCell ref="B39:I39"/>
    <mergeCell ref="B2:I2"/>
    <mergeCell ref="B3:I3"/>
    <mergeCell ref="B22:I22"/>
    <mergeCell ref="B31:I31"/>
    <mergeCell ref="B4:I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TC-37: TRANSPORT ANNUAL REPORT COMPILATION FORM</t>
        </is>
      </c>
    </row>
    <row r="3" ht="25" customHeight="1">
      <c r="B3" s="2" t="inlineStr">
        <is>
          <t>A.Y.: _______  Transport Officer: ___________________  Submitted to: Management / IQAC  Date: _______</t>
        </is>
      </c>
    </row>
    <row r="4" ht="24" customHeight="1">
      <c r="B4" s="19" t="inlineStr">
        <is>
          <t>SECTION 1 — FLEET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vehicles in fleet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Vehicles active / on road</t>
        </is>
      </c>
      <c r="D7" s="10" t="inlineStr">
        <is>
          <t>No.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New vehicles added</t>
        </is>
      </c>
      <c r="D8" s="16" t="inlineStr">
        <is>
          <t>No.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Vehicles scrapped / retired</t>
        </is>
      </c>
      <c r="D9" s="10" t="inlineStr">
        <is>
          <t>No.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Total fleet seating capacity</t>
        </is>
      </c>
      <c r="D10" s="16" t="inlineStr">
        <is>
          <t>Seats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Total distance covered (km)</t>
        </is>
      </c>
      <c r="D11" s="10" t="inlineStr">
        <is>
          <t>km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69" t="inlineStr">
        <is>
          <t>SECTION 2 — SAFETY</t>
        </is>
      </c>
    </row>
    <row r="14" ht="22" customHeight="1">
      <c r="B14" s="45" t="inlineStr">
        <is>
          <t>Sl.</t>
        </is>
      </c>
      <c r="C14" s="45" t="inlineStr">
        <is>
          <t>Performance Metric</t>
        </is>
      </c>
      <c r="D14" s="45" t="inlineStr">
        <is>
          <t>Unit</t>
        </is>
      </c>
      <c r="E14" s="45" t="inlineStr">
        <is>
          <t>Current A.Y.</t>
        </is>
      </c>
      <c r="F14" s="45" t="inlineStr">
        <is>
          <t>Previous A.Y.</t>
        </is>
      </c>
      <c r="G14" s="45" t="inlineStr">
        <is>
          <t>Growth %</t>
        </is>
      </c>
      <c r="H14" s="45" t="inlineStr">
        <is>
          <t>Target Next Year</t>
        </is>
      </c>
    </row>
    <row r="15" ht="22" customHeight="1">
      <c r="B15" s="46" t="n">
        <v>1</v>
      </c>
      <c r="C15" s="48" t="inlineStr">
        <is>
          <t>Total accidents</t>
        </is>
      </c>
      <c r="D15" s="47" t="inlineStr">
        <is>
          <t>No.</t>
        </is>
      </c>
      <c r="E15" s="47" t="inlineStr"/>
      <c r="F15" s="47" t="inlineStr"/>
      <c r="G15" s="47">
        <f>IFERROR(ROUND((E15-F15)/IF(F15=0,1,F15)*100,1),"")</f>
        <v/>
      </c>
      <c r="H15" s="47" t="inlineStr"/>
    </row>
    <row r="16" ht="22" customHeight="1">
      <c r="B16" s="8" t="n">
        <v>2</v>
      </c>
      <c r="C16" s="9" t="inlineStr">
        <is>
          <t>Accidents with injury</t>
        </is>
      </c>
      <c r="D16" s="10" t="inlineStr">
        <is>
          <t>No.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46" t="n">
        <v>3</v>
      </c>
      <c r="C17" s="48" t="inlineStr">
        <is>
          <t>Breakdowns reported</t>
        </is>
      </c>
      <c r="D17" s="47" t="inlineStr">
        <is>
          <t>No.</t>
        </is>
      </c>
      <c r="E17" s="47" t="inlineStr"/>
      <c r="F17" s="47" t="inlineStr"/>
      <c r="G17" s="47">
        <f>IFERROR(ROUND((E17-F17)/IF(F17=0,1,F17)*100,1),"")</f>
        <v/>
      </c>
      <c r="H17" s="47" t="inlineStr"/>
    </row>
    <row r="18" ht="22" customHeight="1">
      <c r="B18" s="8" t="n">
        <v>4</v>
      </c>
      <c r="C18" s="9" t="inlineStr">
        <is>
          <t>Safety inspections completed</t>
        </is>
      </c>
      <c r="D18" s="10" t="inlineStr">
        <is>
          <t>% of days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46" t="n">
        <v>5</v>
      </c>
      <c r="C19" s="48" t="inlineStr">
        <is>
          <t>Driver training sessions conducted</t>
        </is>
      </c>
      <c r="D19" s="47" t="inlineStr">
        <is>
          <t>No.</t>
        </is>
      </c>
      <c r="E19" s="47" t="inlineStr"/>
      <c r="F19" s="47" t="inlineStr"/>
      <c r="G19" s="47">
        <f>IFERROR(ROUND((E19-F19)/IF(F19=0,1,F19)*100,1),"")</f>
        <v/>
      </c>
      <c r="H19" s="47" t="inlineStr"/>
    </row>
    <row r="20" ht="22" customHeight="1">
      <c r="B20" s="8" t="n">
        <v>6</v>
      </c>
      <c r="C20" s="9" t="inlineStr">
        <is>
          <t>Traffic violations recorded</t>
        </is>
      </c>
      <c r="D20" s="10" t="inlineStr">
        <is>
          <t>No.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34" t="inlineStr">
        <is>
          <t>SECTION 3 — SERVICE</t>
        </is>
      </c>
    </row>
    <row r="23" ht="22" customHeight="1">
      <c r="B23" s="30" t="inlineStr">
        <is>
          <t>Sl.</t>
        </is>
      </c>
      <c r="C23" s="30" t="inlineStr">
        <is>
          <t>Performance Metric</t>
        </is>
      </c>
      <c r="D23" s="30" t="inlineStr">
        <is>
          <t>Unit</t>
        </is>
      </c>
      <c r="E23" s="30" t="inlineStr">
        <is>
          <t>Current A.Y.</t>
        </is>
      </c>
      <c r="F23" s="30" t="inlineStr">
        <is>
          <t>Previous A.Y.</t>
        </is>
      </c>
      <c r="G23" s="30" t="inlineStr">
        <is>
          <t>Growth %</t>
        </is>
      </c>
      <c r="H23" s="30" t="inlineStr">
        <is>
          <t>Target Next Year</t>
        </is>
      </c>
    </row>
    <row r="24" ht="22" customHeight="1">
      <c r="B24" s="31" t="n">
        <v>1</v>
      </c>
      <c r="C24" s="32" t="inlineStr">
        <is>
          <t>Bus routes operated</t>
        </is>
      </c>
      <c r="D24" s="33" t="inlineStr">
        <is>
          <t>No.</t>
        </is>
      </c>
      <c r="E24" s="33" t="inlineStr"/>
      <c r="F24" s="33" t="inlineStr"/>
      <c r="G24" s="33">
        <f>IFERROR(ROUND((E24-F24)/IF(F24=0,1,F24)*100,1),"")</f>
        <v/>
      </c>
      <c r="H24" s="33" t="inlineStr"/>
    </row>
    <row r="25" ht="22" customHeight="1">
      <c r="B25" s="8" t="n">
        <v>2</v>
      </c>
      <c r="C25" s="9" t="inlineStr">
        <is>
          <t>Special trips conducted</t>
        </is>
      </c>
      <c r="D25" s="10" t="inlineStr">
        <is>
          <t>No.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31" t="n">
        <v>3</v>
      </c>
      <c r="C26" s="32" t="inlineStr">
        <is>
          <t>Student bus passes issued</t>
        </is>
      </c>
      <c r="D26" s="33" t="inlineStr">
        <is>
          <t>No.</t>
        </is>
      </c>
      <c r="E26" s="33" t="inlineStr"/>
      <c r="F26" s="33" t="inlineStr"/>
      <c r="G26" s="33">
        <f>IFERROR(ROUND((E26-F26)/IF(F26=0,1,F26)*100,1),"")</f>
        <v/>
      </c>
      <c r="H26" s="33" t="inlineStr"/>
    </row>
    <row r="27" ht="22" customHeight="1">
      <c r="B27" s="8" t="n">
        <v>4</v>
      </c>
      <c r="C27" s="9" t="inlineStr">
        <is>
          <t>Staff bus passes issued</t>
        </is>
      </c>
      <c r="D27" s="10" t="inlineStr">
        <is>
          <t>No.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31" t="n">
        <v>5</v>
      </c>
      <c r="C28" s="32" t="inlineStr">
        <is>
          <t>On-time departure rate (%)</t>
        </is>
      </c>
      <c r="D28" s="33" t="inlineStr">
        <is>
          <t>% on time</t>
        </is>
      </c>
      <c r="E28" s="33" t="inlineStr"/>
      <c r="F28" s="33" t="inlineStr"/>
      <c r="G28" s="33">
        <f>IFERROR(ROUND((E28-F28)/IF(F28=0,1,F28)*100,1),"")</f>
        <v/>
      </c>
      <c r="H28" s="33" t="inlineStr"/>
    </row>
    <row r="29" ht="22" customHeight="1">
      <c r="B29" s="8" t="n">
        <v>6</v>
      </c>
      <c r="C29" s="9" t="inlineStr">
        <is>
          <t>Complaints received</t>
        </is>
      </c>
      <c r="D29" s="10" t="inlineStr">
        <is>
          <t>No.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20" t="inlineStr">
        <is>
          <t>SECTION 4 — FUEL &amp; FINANCE</t>
        </is>
      </c>
    </row>
    <row r="32" ht="22" customHeight="1">
      <c r="B32" s="21" t="inlineStr">
        <is>
          <t>Sl.</t>
        </is>
      </c>
      <c r="C32" s="21" t="inlineStr">
        <is>
          <t>Performance Metric</t>
        </is>
      </c>
      <c r="D32" s="21" t="inlineStr">
        <is>
          <t>Unit</t>
        </is>
      </c>
      <c r="E32" s="21" t="inlineStr">
        <is>
          <t>Current A.Y.</t>
        </is>
      </c>
      <c r="F32" s="21" t="inlineStr">
        <is>
          <t>Previous A.Y.</t>
        </is>
      </c>
      <c r="G32" s="21" t="inlineStr">
        <is>
          <t>Growth %</t>
        </is>
      </c>
      <c r="H32" s="21" t="inlineStr">
        <is>
          <t>Target Next Year</t>
        </is>
      </c>
    </row>
    <row r="33" ht="22" customHeight="1">
      <c r="B33" s="43" t="n">
        <v>1</v>
      </c>
      <c r="C33" s="44" t="inlineStr">
        <is>
          <t>Total fuel consumed (Litres)</t>
        </is>
      </c>
      <c r="D33" s="22" t="inlineStr">
        <is>
          <t>Litres</t>
        </is>
      </c>
      <c r="E33" s="22" t="inlineStr"/>
      <c r="F33" s="22" t="inlineStr"/>
      <c r="G33" s="22">
        <f>IFERROR(ROUND((E33-F33)/IF(F33=0,1,F33)*100,1),"")</f>
        <v/>
      </c>
      <c r="H33" s="22" t="inlineStr"/>
    </row>
    <row r="34" ht="22" customHeight="1">
      <c r="B34" s="8" t="n">
        <v>2</v>
      </c>
      <c r="C34" s="9" t="inlineStr">
        <is>
          <t>Total fuel cost (₹L)</t>
        </is>
      </c>
      <c r="D34" s="10" t="inlineStr">
        <is>
          <t>₹L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43" t="n">
        <v>3</v>
      </c>
      <c r="C35" s="44" t="inlineStr">
        <is>
          <t>Average fleet efficiency (km/L)</t>
        </is>
      </c>
      <c r="D35" s="22" t="inlineStr">
        <is>
          <t>km/L</t>
        </is>
      </c>
      <c r="E35" s="22" t="inlineStr"/>
      <c r="F35" s="22" t="inlineStr"/>
      <c r="G35" s="22">
        <f>IFERROR(ROUND((E35-F35)/IF(F35=0,1,F35)*100,1),"")</f>
        <v/>
      </c>
      <c r="H35" s="22" t="inlineStr"/>
    </row>
    <row r="36" ht="22" customHeight="1">
      <c r="B36" s="8" t="n">
        <v>4</v>
      </c>
      <c r="C36" s="9" t="inlineStr">
        <is>
          <t>Total maintenance cost (₹L)</t>
        </is>
      </c>
      <c r="D36" s="10" t="inlineStr">
        <is>
          <t>₹L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43" t="n">
        <v>5</v>
      </c>
      <c r="C37" s="44" t="inlineStr">
        <is>
          <t>Transport fee collected (₹L)</t>
        </is>
      </c>
      <c r="D37" s="22" t="inlineStr">
        <is>
          <t>₹L</t>
        </is>
      </c>
      <c r="E37" s="22" t="inlineStr"/>
      <c r="F37" s="22" t="inlineStr"/>
      <c r="G37" s="22">
        <f>IFERROR(ROUND((E37-F37)/IF(F37=0,1,F37)*100,1),"")</f>
        <v/>
      </c>
      <c r="H37" s="22" t="inlineStr"/>
    </row>
    <row r="38" ht="22" customHeight="1">
      <c r="B38" s="8" t="n">
        <v>6</v>
      </c>
      <c r="C38" s="9" t="inlineStr">
        <is>
          <t>Total transport budget utilised (₹L)</t>
        </is>
      </c>
      <c r="D38" s="10" t="inlineStr">
        <is>
          <t>₹L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72" t="inlineStr">
        <is>
          <t>SECTION 5 — COMPLIANCE &amp; QUALITY</t>
        </is>
      </c>
    </row>
    <row r="41" ht="22" customHeight="1">
      <c r="B41" s="73" t="inlineStr">
        <is>
          <t>Sl.</t>
        </is>
      </c>
      <c r="C41" s="73" t="inlineStr">
        <is>
          <t>Performance Metric</t>
        </is>
      </c>
      <c r="D41" s="73" t="inlineStr">
        <is>
          <t>Unit</t>
        </is>
      </c>
      <c r="E41" s="73" t="inlineStr">
        <is>
          <t>Current A.Y.</t>
        </is>
      </c>
      <c r="F41" s="73" t="inlineStr">
        <is>
          <t>Previous A.Y.</t>
        </is>
      </c>
      <c r="G41" s="73" t="inlineStr">
        <is>
          <t>Growth %</t>
        </is>
      </c>
      <c r="H41" s="73" t="inlineStr">
        <is>
          <t>Target Next Year</t>
        </is>
      </c>
    </row>
    <row r="42" ht="22" customHeight="1">
      <c r="B42" s="74" t="n">
        <v>1</v>
      </c>
      <c r="C42" s="75" t="inlineStr">
        <is>
          <t>Vehicles with all documents valid (%)</t>
        </is>
      </c>
      <c r="D42" s="76" t="inlineStr">
        <is>
          <t>% compliant</t>
        </is>
      </c>
      <c r="E42" s="76" t="inlineStr"/>
      <c r="F42" s="76" t="inlineStr"/>
      <c r="G42" s="76">
        <f>IFERROR(ROUND((E42-F42)/IF(F42=0,1,F42)*100,1),"")</f>
        <v/>
      </c>
      <c r="H42" s="76" t="inlineStr"/>
    </row>
    <row r="43" ht="22" customHeight="1">
      <c r="B43" s="8" t="n">
        <v>2</v>
      </c>
      <c r="C43" s="9" t="inlineStr">
        <is>
          <t>CCTV operational rate (%)</t>
        </is>
      </c>
      <c r="D43" s="10" t="inlineStr">
        <is>
          <t>% functional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74" t="n">
        <v>3</v>
      </c>
      <c r="C44" s="75" t="inlineStr">
        <is>
          <t>Student satisfaction score (/5)</t>
        </is>
      </c>
      <c r="D44" s="76" t="inlineStr">
        <is>
          <t>Score</t>
        </is>
      </c>
      <c r="E44" s="76" t="inlineStr"/>
      <c r="F44" s="76" t="inlineStr"/>
      <c r="G44" s="76">
        <f>IFERROR(ROUND((E44-F44)/IF(F44=0,1,F44)*100,1),"")</f>
        <v/>
      </c>
      <c r="H44" s="76" t="inlineStr"/>
    </row>
    <row r="45" ht="22" customHeight="1">
      <c r="B45" s="8" t="n">
        <v>4</v>
      </c>
      <c r="C45" s="9" t="inlineStr">
        <is>
          <t>Complaints resolved within 48 hrs (%)</t>
        </is>
      </c>
      <c r="D45" s="10" t="inlineStr">
        <is>
          <t>% resolved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74" t="n">
        <v>5</v>
      </c>
      <c r="C46" s="75" t="inlineStr">
        <is>
          <t>NAAC transport data compiled</t>
        </is>
      </c>
      <c r="D46" s="76" t="inlineStr">
        <is>
          <t>Y/N</t>
        </is>
      </c>
      <c r="E46" s="76" t="inlineStr"/>
      <c r="F46" s="76" t="inlineStr"/>
      <c r="G46" s="76">
        <f>IFERROR(ROUND((E46-F46)/IF(F46=0,1,F46)*100,1),"")</f>
        <v/>
      </c>
      <c r="H46" s="76" t="inlineStr"/>
    </row>
    <row r="47" ht="22" customHeight="1">
      <c r="B47" s="8" t="n">
        <v>6</v>
      </c>
      <c r="C47" s="9" t="inlineStr">
        <is>
          <t>Major transport improvements made</t>
        </is>
      </c>
      <c r="D47" s="10" t="inlineStr">
        <is>
          <t>No.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0" customHeight="1">
      <c r="B49" s="17" t="inlineStr">
        <is>
          <t>Annual Report submitted to: Management, IQAC (NAAC AQAR Criterion IV.2 — Infrastructure &amp; Facilities), Governing Body, Finance Committee. Transport compliance records to be submitted to RTO on request.</t>
        </is>
      </c>
    </row>
    <row r="50" ht="22" customHeight="1">
      <c r="B50" s="29" t="inlineStr">
        <is>
          <t>Transport Officer: ___________________    TC Chairperson: ___________________    IQAC Coordinator: ___________________    Date: ___________________</t>
        </is>
      </c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9">
    <mergeCell ref="B22:H22"/>
    <mergeCell ref="B50:H50"/>
    <mergeCell ref="B40:H40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2026-04-25T13:39:05Z</dcterms:created>
  <dcterms:modified xmlns:dcterms="http://purl.org/dc/terms/" xmlns:xsi="http://www.w3.org/2001/XMLSchema-instance" xsi:type="dcterms:W3CDTF">2026-04-25T13:39:06Z</dcterms:modified>
</cp:coreProperties>
</file>