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C-00 Composition" sheetId="2" state="visible" r:id="rId2"/>
    <sheet xmlns:r="http://schemas.openxmlformats.org/officeDocument/2006/relationships" name="HC-NA Notice &amp; Agenda" sheetId="3" state="visible" r:id="rId3"/>
    <sheet xmlns:r="http://schemas.openxmlformats.org/officeDocument/2006/relationships" name="HC-AT Attendance" sheetId="4" state="visible" r:id="rId4"/>
    <sheet xmlns:r="http://schemas.openxmlformats.org/officeDocument/2006/relationships" name="HC-MM Minutes" sheetId="5" state="visible" r:id="rId5"/>
    <sheet xmlns:r="http://schemas.openxmlformats.org/officeDocument/2006/relationships" name="HC-ATR Action Report" sheetId="6" state="visible" r:id="rId6"/>
    <sheet xmlns:r="http://schemas.openxmlformats.org/officeDocument/2006/relationships" name="HC-05 Admission Register" sheetId="7" state="visible" r:id="rId7"/>
    <sheet xmlns:r="http://schemas.openxmlformats.org/officeDocument/2006/relationships" name="HC-06 Room Allotment" sheetId="8" state="visible" r:id="rId8"/>
    <sheet xmlns:r="http://schemas.openxmlformats.org/officeDocument/2006/relationships" name="HC-10 Daily Attendance" sheetId="9" state="visible" r:id="rId9"/>
    <sheet xmlns:r="http://schemas.openxmlformats.org/officeDocument/2006/relationships" name="HC-12 Gate Pass Register" sheetId="10" state="visible" r:id="rId10"/>
    <sheet xmlns:r="http://schemas.openxmlformats.org/officeDocument/2006/relationships" name="HC-14 Leave Register" sheetId="11" state="visible" r:id="rId11"/>
    <sheet xmlns:r="http://schemas.openxmlformats.org/officeDocument/2006/relationships" name="HC-19 Mess Inspection" sheetId="12" state="visible" r:id="rId12"/>
    <sheet xmlns:r="http://schemas.openxmlformats.org/officeDocument/2006/relationships" name="HC-20 Mess Fee Collection" sheetId="13" state="visible" r:id="rId13"/>
    <sheet xmlns:r="http://schemas.openxmlformats.org/officeDocument/2006/relationships" name="HC-32 Hostel Fee Collection" sheetId="14" state="visible" r:id="rId14"/>
    <sheet xmlns:r="http://schemas.openxmlformats.org/officeDocument/2006/relationships" name="HC-25 Room Inspection" sheetId="15" state="visible" r:id="rId15"/>
    <sheet xmlns:r="http://schemas.openxmlformats.org/officeDocument/2006/relationships" name="HC-27 Maintenance Register" sheetId="16" state="visible" r:id="rId16"/>
    <sheet xmlns:r="http://schemas.openxmlformats.org/officeDocument/2006/relationships" name="HC-36 Discipline Register" sheetId="17" state="visible" r:id="rId17"/>
    <sheet xmlns:r="http://schemas.openxmlformats.org/officeDocument/2006/relationships" name="HC-41 Satisfaction Survey" sheetId="18" state="visible" r:id="rId18"/>
    <sheet xmlns:r="http://schemas.openxmlformats.org/officeDocument/2006/relationships" name="HC-42 KPI Dashboard" sheetId="19" state="visible" r:id="rId19"/>
    <sheet xmlns:r="http://schemas.openxmlformats.org/officeDocument/2006/relationships" name="HC-43 Annual Repor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14532D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color rgb="003F2000"/>
      <sz val="9"/>
    </font>
    <font>
      <name val="Arial"/>
      <b val="1"/>
      <color rgb="0014532D"/>
      <sz val="10"/>
    </font>
    <font>
      <name val="Arial"/>
      <b val="1"/>
      <color rgb="00334155"/>
      <sz val="10"/>
    </font>
    <font>
      <name val="Arial"/>
      <b val="1"/>
      <color rgb="00166534"/>
      <sz val="10"/>
    </font>
    <font>
      <name val="Arial"/>
      <color rgb="000F172A"/>
      <sz val="9"/>
    </font>
    <font>
      <name val="Arial"/>
      <b val="1"/>
      <color rgb="000F172A"/>
      <sz val="9"/>
    </font>
    <font>
      <name val="Arial"/>
      <b val="1"/>
      <color rgb="001E3A5F"/>
      <sz val="10"/>
    </font>
  </fonts>
  <fills count="22">
    <fill>
      <patternFill/>
    </fill>
    <fill>
      <patternFill patternType="gray125"/>
    </fill>
    <fill>
      <patternFill patternType="solid">
        <fgColor rgb="000A2000"/>
      </patternFill>
    </fill>
    <fill>
      <patternFill patternType="solid">
        <fgColor rgb="00DCFCE7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14532D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C2410C"/>
      </patternFill>
    </fill>
    <fill>
      <patternFill patternType="solid">
        <fgColor rgb="00FFEDD5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B91C1C"/>
      </patternFill>
    </fill>
    <fill>
      <patternFill patternType="solid">
        <fgColor rgb="00FEE2E2"/>
      </patternFill>
    </fill>
    <fill>
      <patternFill patternType="solid">
        <fgColor rgb="007C3AED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left" vertical="center" wrapText="1"/>
    </xf>
    <xf numFmtId="0" fontId="13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15" fillId="1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3" fillId="20" borderId="0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75" customHeight="1">
      <c r="B2" s="1" t="inlineStr">
        <is>
          <t>HOSTEL COMMITTEE
Data Collection Formats — Master Workbook</t>
        </is>
      </c>
    </row>
    <row r="3" ht="28" customHeight="1">
      <c r="B3" s="2" t="inlineStr">
        <is>
          <t>Institution: _________________________  Chief Warden: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HC-00</t>
        </is>
      </c>
      <c r="C6" s="6" t="inlineStr">
        <is>
          <t>Committee Composition &amp; Members Register</t>
        </is>
      </c>
      <c r="D6" s="6" t="inlineStr">
        <is>
          <t>Record HC members, wardens, matrons &amp; student reps</t>
        </is>
      </c>
      <c r="E6" s="7" t="inlineStr">
        <is>
          <t>Annual</t>
        </is>
      </c>
    </row>
    <row r="7" ht="20" customHeight="1">
      <c r="B7" s="8" t="inlineStr">
        <is>
          <t>HC-NA</t>
        </is>
      </c>
      <c r="C7" s="9" t="inlineStr">
        <is>
          <t>Meeting Notice, Agenda &amp; Dispatch Record</t>
        </is>
      </c>
      <c r="D7" s="9" t="inlineStr">
        <is>
          <t>Formal notice and agenda for HC meetings</t>
        </is>
      </c>
      <c r="E7" s="10" t="inlineStr">
        <is>
          <t>Each Meeting</t>
        </is>
      </c>
    </row>
    <row r="8" ht="20" customHeight="1">
      <c r="B8" s="5" t="inlineStr">
        <is>
          <t>HC-AT</t>
        </is>
      </c>
      <c r="C8" s="6" t="inlineStr">
        <is>
          <t>Attendance &amp; Quorum Register</t>
        </is>
      </c>
      <c r="D8" s="6" t="inlineStr">
        <is>
          <t>Confirm attendance and quorum</t>
        </is>
      </c>
      <c r="E8" s="7" t="inlineStr">
        <is>
          <t>Each Meeting</t>
        </is>
      </c>
    </row>
    <row r="9" ht="20" customHeight="1">
      <c r="B9" s="8" t="inlineStr">
        <is>
          <t>HC-MM</t>
        </is>
      </c>
      <c r="C9" s="9" t="inlineStr">
        <is>
          <t>Meeting Minutes &amp; Resolutions</t>
        </is>
      </c>
      <c r="D9" s="9" t="inlineStr">
        <is>
          <t>Record decisions,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HC-ATR</t>
        </is>
      </c>
      <c r="C10" s="6" t="inlineStr">
        <is>
          <t>Action Taken Report</t>
        </is>
      </c>
      <c r="D10" s="6" t="inlineStr">
        <is>
          <t>Track implementation of HC resolutions</t>
        </is>
      </c>
      <c r="E10" s="7" t="inlineStr">
        <is>
          <t>Each Meeting</t>
        </is>
      </c>
    </row>
    <row r="11" ht="20" customHeight="1">
      <c r="B11" s="4" t="inlineStr">
        <is>
          <t>── POLICY &amp; PLANNING ──</t>
        </is>
      </c>
    </row>
    <row r="12" ht="20" customHeight="1">
      <c r="B12" s="5" t="inlineStr">
        <is>
          <t>HC-01</t>
        </is>
      </c>
      <c r="C12" s="6" t="inlineStr">
        <is>
          <t>Hostel Policy &amp; Rules Handbook</t>
        </is>
      </c>
      <c r="D12" s="6" t="inlineStr">
        <is>
          <t>Document hostel rules, code of conduct &amp; welfare policies</t>
        </is>
      </c>
      <c r="E12" s="7" t="inlineStr">
        <is>
          <t>Annual</t>
        </is>
      </c>
    </row>
    <row r="13" ht="20" customHeight="1">
      <c r="B13" s="8" t="inlineStr">
        <is>
          <t>HC-02</t>
        </is>
      </c>
      <c r="C13" s="9" t="inlineStr">
        <is>
          <t>Annual Hostel Calendar &amp; Activity Plan</t>
        </is>
      </c>
      <c r="D13" s="9" t="inlineStr">
        <is>
          <t>Plan all hostel events, inspections &amp; programs</t>
        </is>
      </c>
      <c r="E13" s="10" t="inlineStr">
        <is>
          <t>Annual</t>
        </is>
      </c>
    </row>
    <row r="14" ht="20" customHeight="1">
      <c r="B14" s="5" t="inlineStr">
        <is>
          <t>HC-03</t>
        </is>
      </c>
      <c r="C14" s="6" t="inlineStr">
        <is>
          <t>Hostel Budget &amp; Maintenance Plan</t>
        </is>
      </c>
      <c r="D14" s="6" t="inlineStr">
        <is>
          <t>Plan annual hostel budget — mess, maintenance, welfare</t>
        </is>
      </c>
      <c r="E14" s="7" t="inlineStr">
        <is>
          <t>Annual</t>
        </is>
      </c>
    </row>
    <row r="15" ht="20" customHeight="1">
      <c r="B15" s="4" t="inlineStr">
        <is>
          <t>── ADMISSION &amp; ROOM ALLOTMENT ──</t>
        </is>
      </c>
    </row>
    <row r="16" ht="20" customHeight="1">
      <c r="B16" s="5" t="inlineStr">
        <is>
          <t>HC-04</t>
        </is>
      </c>
      <c r="C16" s="6" t="inlineStr">
        <is>
          <t>Hostel Admission Application Form</t>
        </is>
      </c>
      <c r="D16" s="6" t="inlineStr">
        <is>
          <t>Collect applications from students seeking hostel</t>
        </is>
      </c>
      <c r="E16" s="7" t="inlineStr">
        <is>
          <t>Annual (Admission)</t>
        </is>
      </c>
    </row>
    <row r="17" ht="20" customHeight="1">
      <c r="B17" s="8" t="inlineStr">
        <is>
          <t>HC-05</t>
        </is>
      </c>
      <c r="C17" s="9" t="inlineStr">
        <is>
          <t>Hostel Admission Register</t>
        </is>
      </c>
      <c r="D17" s="9" t="inlineStr">
        <is>
          <t>Register all admitted hostel students</t>
        </is>
      </c>
      <c r="E17" s="10" t="inlineStr">
        <is>
          <t>Annual</t>
        </is>
      </c>
    </row>
    <row r="18" ht="20" customHeight="1">
      <c r="B18" s="5" t="inlineStr">
        <is>
          <t>HC-06</t>
        </is>
      </c>
      <c r="C18" s="6" t="inlineStr">
        <is>
          <t>Room Allotment Register</t>
        </is>
      </c>
      <c r="D18" s="6" t="inlineStr">
        <is>
          <t>Allocate rooms to students with bed/room numbers</t>
        </is>
      </c>
      <c r="E18" s="7" t="inlineStr">
        <is>
          <t>Annual</t>
        </is>
      </c>
    </row>
    <row r="19" ht="20" customHeight="1">
      <c r="B19" s="8" t="inlineStr">
        <is>
          <t>HC-07</t>
        </is>
      </c>
      <c r="C19" s="9" t="inlineStr">
        <is>
          <t>Room Change / Transfer Register</t>
        </is>
      </c>
      <c r="D19" s="9" t="inlineStr">
        <is>
          <t>Track room changes and inter-hostel transfers</t>
        </is>
      </c>
      <c r="E19" s="10" t="inlineStr">
        <is>
          <t>Per Request</t>
        </is>
      </c>
    </row>
    <row r="20" ht="20" customHeight="1">
      <c r="B20" s="5" t="inlineStr">
        <is>
          <t>HC-08</t>
        </is>
      </c>
      <c r="C20" s="6" t="inlineStr">
        <is>
          <t>Hostel Vacating &amp; Checkout Register</t>
        </is>
      </c>
      <c r="D20" s="6" t="inlineStr">
        <is>
          <t>Process student checkout, room inspection and dues</t>
        </is>
      </c>
      <c r="E20" s="7" t="inlineStr">
        <is>
          <t>Per Vacating</t>
        </is>
      </c>
    </row>
    <row r="21" ht="20" customHeight="1">
      <c r="B21" s="8" t="inlineStr">
        <is>
          <t>HC-09</t>
        </is>
      </c>
      <c r="C21" s="9" t="inlineStr">
        <is>
          <t>Waiting List Register</t>
        </is>
      </c>
      <c r="D21" s="9" t="inlineStr">
        <is>
          <t>Maintain waiting list for hostel accommodation</t>
        </is>
      </c>
      <c r="E21" s="10" t="inlineStr">
        <is>
          <t>Annual</t>
        </is>
      </c>
    </row>
    <row r="22" ht="20" customHeight="1">
      <c r="B22" s="4" t="inlineStr">
        <is>
          <t>── ATTENDANCE &amp; GATE PASS ──</t>
        </is>
      </c>
    </row>
    <row r="23" ht="20" customHeight="1">
      <c r="B23" s="8" t="inlineStr">
        <is>
          <t>HC-10</t>
        </is>
      </c>
      <c r="C23" s="9" t="inlineStr">
        <is>
          <t>Daily Hostel Attendance Register</t>
        </is>
      </c>
      <c r="D23" s="9" t="inlineStr">
        <is>
          <t>Record daily attendance of hostel students</t>
        </is>
      </c>
      <c r="E23" s="10" t="inlineStr">
        <is>
          <t>Daily</t>
        </is>
      </c>
    </row>
    <row r="24" ht="20" customHeight="1">
      <c r="B24" s="5" t="inlineStr">
        <is>
          <t>HC-11</t>
        </is>
      </c>
      <c r="C24" s="6" t="inlineStr">
        <is>
          <t>Late Night / After-Hours Register</t>
        </is>
      </c>
      <c r="D24" s="6" t="inlineStr">
        <is>
          <t>Track students returning after hostel closing hours</t>
        </is>
      </c>
      <c r="E24" s="7" t="inlineStr">
        <is>
          <t>Daily</t>
        </is>
      </c>
    </row>
    <row r="25" ht="20" customHeight="1">
      <c r="B25" s="8" t="inlineStr">
        <is>
          <t>HC-12</t>
        </is>
      </c>
      <c r="C25" s="9" t="inlineStr">
        <is>
          <t>Gate Pass Register — Outgoing</t>
        </is>
      </c>
      <c r="D25" s="9" t="inlineStr">
        <is>
          <t>Register students going out with permission</t>
        </is>
      </c>
      <c r="E25" s="10" t="inlineStr">
        <is>
          <t>Per Pass</t>
        </is>
      </c>
    </row>
    <row r="26" ht="20" customHeight="1">
      <c r="B26" s="5" t="inlineStr">
        <is>
          <t>HC-13</t>
        </is>
      </c>
      <c r="C26" s="6" t="inlineStr">
        <is>
          <t>Gate Pass Register — Incoming</t>
        </is>
      </c>
      <c r="D26" s="6" t="inlineStr">
        <is>
          <t>Record return of students after gate pass</t>
        </is>
      </c>
      <c r="E26" s="7" t="inlineStr">
        <is>
          <t>Per Return</t>
        </is>
      </c>
    </row>
    <row r="27" ht="20" customHeight="1">
      <c r="B27" s="8" t="inlineStr">
        <is>
          <t>HC-14</t>
        </is>
      </c>
      <c r="C27" s="9" t="inlineStr">
        <is>
          <t>Overnight / Weekend Leave Register</t>
        </is>
      </c>
      <c r="D27" s="9" t="inlineStr">
        <is>
          <t>Manage leave applications for overnight absence</t>
        </is>
      </c>
      <c r="E27" s="10" t="inlineStr">
        <is>
          <t>Per Leave</t>
        </is>
      </c>
    </row>
    <row r="28" ht="20" customHeight="1">
      <c r="B28" s="5" t="inlineStr">
        <is>
          <t>HC-15</t>
        </is>
      </c>
      <c r="C28" s="6" t="inlineStr">
        <is>
          <t>Visitor Register</t>
        </is>
      </c>
      <c r="D28" s="6" t="inlineStr">
        <is>
          <t>Record all visitors to the hostel</t>
        </is>
      </c>
      <c r="E28" s="7" t="inlineStr">
        <is>
          <t>Per Visit</t>
        </is>
      </c>
    </row>
    <row r="29" ht="20" customHeight="1">
      <c r="B29" s="8" t="inlineStr">
        <is>
          <t>HC-16</t>
        </is>
      </c>
      <c r="C29" s="9" t="inlineStr">
        <is>
          <t>Emergency Contact &amp; Parental Consent Register</t>
        </is>
      </c>
      <c r="D29" s="9" t="inlineStr">
        <is>
          <t>Collect emergency contacts and leave permissions</t>
        </is>
      </c>
      <c r="E29" s="10" t="inlineStr">
        <is>
          <t>Annual</t>
        </is>
      </c>
    </row>
    <row r="30" ht="20" customHeight="1">
      <c r="B30" s="4" t="inlineStr">
        <is>
          <t>── MESS &amp; CATERING ──</t>
        </is>
      </c>
    </row>
    <row r="31" ht="20" customHeight="1">
      <c r="B31" s="8" t="inlineStr">
        <is>
          <t>HC-17</t>
        </is>
      </c>
      <c r="C31" s="9" t="inlineStr">
        <is>
          <t>Mess Admission &amp; Member Register</t>
        </is>
      </c>
      <c r="D31" s="9" t="inlineStr">
        <is>
          <t>Register mess members and meal plan choices</t>
        </is>
      </c>
      <c r="E31" s="10" t="inlineStr">
        <is>
          <t>Each Semester</t>
        </is>
      </c>
    </row>
    <row r="32" ht="20" customHeight="1">
      <c r="B32" s="5" t="inlineStr">
        <is>
          <t>HC-18</t>
        </is>
      </c>
      <c r="C32" s="6" t="inlineStr">
        <is>
          <t>Daily Mess Attendance Register</t>
        </is>
      </c>
      <c r="D32" s="6" t="inlineStr">
        <is>
          <t>Track meal attendance — breakfast, lunch, dinner</t>
        </is>
      </c>
      <c r="E32" s="7" t="inlineStr">
        <is>
          <t>Daily</t>
        </is>
      </c>
    </row>
    <row r="33" ht="20" customHeight="1">
      <c r="B33" s="8" t="inlineStr">
        <is>
          <t>HC-19</t>
        </is>
      </c>
      <c r="C33" s="9" t="inlineStr">
        <is>
          <t>Mess Menu &amp; Quality Inspection Register</t>
        </is>
      </c>
      <c r="D33" s="9" t="inlineStr">
        <is>
          <t>Inspect and record daily mess menu and quality</t>
        </is>
      </c>
      <c r="E33" s="10" t="inlineStr">
        <is>
          <t>Daily</t>
        </is>
      </c>
    </row>
    <row r="34" ht="20" customHeight="1">
      <c r="B34" s="5" t="inlineStr">
        <is>
          <t>HC-20</t>
        </is>
      </c>
      <c r="C34" s="6" t="inlineStr">
        <is>
          <t>Mess Fee Collection Register</t>
        </is>
      </c>
      <c r="D34" s="6" t="inlineStr">
        <is>
          <t>Track mess fee paid by each student</t>
        </is>
      </c>
      <c r="E34" s="7" t="inlineStr">
        <is>
          <t>Monthly / Semester</t>
        </is>
      </c>
    </row>
    <row r="35" ht="20" customHeight="1">
      <c r="B35" s="8" t="inlineStr">
        <is>
          <t>HC-21</t>
        </is>
      </c>
      <c r="C35" s="9" t="inlineStr">
        <is>
          <t>Mess Expenditure &amp; Accounts Register</t>
        </is>
      </c>
      <c r="D35" s="9" t="inlineStr">
        <is>
          <t>Record daily mess expenses — raw materials, staff</t>
        </is>
      </c>
      <c r="E35" s="10" t="inlineStr">
        <is>
          <t>Daily / Monthly</t>
        </is>
      </c>
    </row>
    <row r="36" ht="20" customHeight="1">
      <c r="B36" s="5" t="inlineStr">
        <is>
          <t>HC-22</t>
        </is>
      </c>
      <c r="C36" s="6" t="inlineStr">
        <is>
          <t>Mess Contractor / Vendor Register</t>
        </is>
      </c>
      <c r="D36" s="6" t="inlineStr">
        <is>
          <t>Manage mess contractor agreement and performance</t>
        </is>
      </c>
      <c r="E36" s="7" t="inlineStr">
        <is>
          <t>Annual</t>
        </is>
      </c>
    </row>
    <row r="37" ht="20" customHeight="1">
      <c r="B37" s="8" t="inlineStr">
        <is>
          <t>HC-23</t>
        </is>
      </c>
      <c r="C37" s="9" t="inlineStr">
        <is>
          <t>Mess Complaint &amp; Feedback Register</t>
        </is>
      </c>
      <c r="D37" s="9" t="inlineStr">
        <is>
          <t>Log and resolve mess quality and service complaints</t>
        </is>
      </c>
      <c r="E37" s="10" t="inlineStr">
        <is>
          <t>Continuous</t>
        </is>
      </c>
    </row>
    <row r="38" ht="20" customHeight="1">
      <c r="B38" s="5" t="inlineStr">
        <is>
          <t>HC-24</t>
        </is>
      </c>
      <c r="C38" s="6" t="inlineStr">
        <is>
          <t>Food Sample Retention Register</t>
        </is>
      </c>
      <c r="D38" s="6" t="inlineStr">
        <is>
          <t>Retain daily food samples as per FSSAI norms</t>
        </is>
      </c>
      <c r="E38" s="7" t="inlineStr">
        <is>
          <t>Daily</t>
        </is>
      </c>
    </row>
    <row r="39" ht="20" customHeight="1">
      <c r="B39" s="4" t="inlineStr">
        <is>
          <t>── FACILITIES &amp; MAINTENANCE ──</t>
        </is>
      </c>
    </row>
    <row r="40" ht="20" customHeight="1">
      <c r="B40" s="5" t="inlineStr">
        <is>
          <t>HC-25</t>
        </is>
      </c>
      <c r="C40" s="6" t="inlineStr">
        <is>
          <t>Room Inspection Checklist</t>
        </is>
      </c>
      <c r="D40" s="6" t="inlineStr">
        <is>
          <t>Periodic inspection of all hostel rooms</t>
        </is>
      </c>
      <c r="E40" s="7" t="inlineStr">
        <is>
          <t>Monthly</t>
        </is>
      </c>
    </row>
    <row r="41" ht="20" customHeight="1">
      <c r="B41" s="8" t="inlineStr">
        <is>
          <t>HC-26</t>
        </is>
      </c>
      <c r="C41" s="9" t="inlineStr">
        <is>
          <t>Common Area Inspection Register</t>
        </is>
      </c>
      <c r="D41" s="9" t="inlineStr">
        <is>
          <t>Inspect common areas — bathrooms, corridors, study hall</t>
        </is>
      </c>
      <c r="E41" s="10" t="inlineStr">
        <is>
          <t>Weekly</t>
        </is>
      </c>
    </row>
    <row r="42" ht="20" customHeight="1">
      <c r="B42" s="5" t="inlineStr">
        <is>
          <t>HC-27</t>
        </is>
      </c>
      <c r="C42" s="6" t="inlineStr">
        <is>
          <t>Maintenance &amp; Repair Request Register</t>
        </is>
      </c>
      <c r="D42" s="6" t="inlineStr">
        <is>
          <t>Log maintenance requests and track resolution</t>
        </is>
      </c>
      <c r="E42" s="7" t="inlineStr">
        <is>
          <t>Continuous</t>
        </is>
      </c>
    </row>
    <row r="43" ht="20" customHeight="1">
      <c r="B43" s="8" t="inlineStr">
        <is>
          <t>HC-28</t>
        </is>
      </c>
      <c r="C43" s="9" t="inlineStr">
        <is>
          <t>Hostel Equipment &amp; Inventory Register</t>
        </is>
      </c>
      <c r="D43" s="9" t="inlineStr">
        <is>
          <t>Inventory of all hostel furniture and equipment</t>
        </is>
      </c>
      <c r="E43" s="10" t="inlineStr">
        <is>
          <t>Annual</t>
        </is>
      </c>
    </row>
    <row r="44" ht="20" customHeight="1">
      <c r="B44" s="5" t="inlineStr">
        <is>
          <t>HC-29</t>
        </is>
      </c>
      <c r="C44" s="6" t="inlineStr">
        <is>
          <t>Electrical &amp; Water Utility Register</t>
        </is>
      </c>
      <c r="D44" s="6" t="inlineStr">
        <is>
          <t>Track electricity and water consumption</t>
        </is>
      </c>
      <c r="E44" s="7" t="inlineStr">
        <is>
          <t>Monthly</t>
        </is>
      </c>
    </row>
    <row r="45" ht="20" customHeight="1">
      <c r="B45" s="8" t="inlineStr">
        <is>
          <t>HC-30</t>
        </is>
      </c>
      <c r="C45" s="9" t="inlineStr">
        <is>
          <t>Pest Control Register</t>
        </is>
      </c>
      <c r="D45" s="9" t="inlineStr">
        <is>
          <t>Record pest control treatments</t>
        </is>
      </c>
      <c r="E45" s="10" t="inlineStr">
        <is>
          <t>Monthly / Quarterly</t>
        </is>
      </c>
    </row>
    <row r="46" ht="20" customHeight="1">
      <c r="B46" s="4" t="inlineStr">
        <is>
          <t>── FEES &amp; FINANCE ──</t>
        </is>
      </c>
    </row>
    <row r="47" ht="20" customHeight="1">
      <c r="B47" s="8" t="inlineStr">
        <is>
          <t>HC-31</t>
        </is>
      </c>
      <c r="C47" s="9" t="inlineStr">
        <is>
          <t>Hostel Fee Structure Register</t>
        </is>
      </c>
      <c r="D47" s="9" t="inlineStr">
        <is>
          <t>Document fee structure for rooms, mess, facilities</t>
        </is>
      </c>
      <c r="E47" s="10" t="inlineStr">
        <is>
          <t>Annual</t>
        </is>
      </c>
    </row>
    <row r="48" ht="20" customHeight="1">
      <c r="B48" s="5" t="inlineStr">
        <is>
          <t>HC-32</t>
        </is>
      </c>
      <c r="C48" s="6" t="inlineStr">
        <is>
          <t>Hostel Fee Collection Register</t>
        </is>
      </c>
      <c r="D48" s="6" t="inlineStr">
        <is>
          <t>Track hostel fee paid by each student</t>
        </is>
      </c>
      <c r="E48" s="7" t="inlineStr">
        <is>
          <t>Each Semester</t>
        </is>
      </c>
    </row>
    <row r="49" ht="20" customHeight="1">
      <c r="B49" s="8" t="inlineStr">
        <is>
          <t>HC-33</t>
        </is>
      </c>
      <c r="C49" s="9" t="inlineStr">
        <is>
          <t>Hostel Fee Defaulter Register</t>
        </is>
      </c>
      <c r="D49" s="9" t="inlineStr">
        <is>
          <t>Track students with pending hostel fees</t>
        </is>
      </c>
      <c r="E49" s="10" t="inlineStr">
        <is>
          <t>Monthly</t>
        </is>
      </c>
    </row>
    <row r="50" ht="20" customHeight="1">
      <c r="B50" s="5" t="inlineStr">
        <is>
          <t>HC-34</t>
        </is>
      </c>
      <c r="C50" s="6" t="inlineStr">
        <is>
          <t>Security Deposit Register</t>
        </is>
      </c>
      <c r="D50" s="6" t="inlineStr">
        <is>
          <t>Track security deposits collected and refunded</t>
        </is>
      </c>
      <c r="E50" s="7" t="inlineStr">
        <is>
          <t>Annual</t>
        </is>
      </c>
    </row>
    <row r="51" ht="20" customHeight="1">
      <c r="B51" s="8" t="inlineStr">
        <is>
          <t>HC-35</t>
        </is>
      </c>
      <c r="C51" s="9" t="inlineStr">
        <is>
          <t>Hostel Revenue &amp; Expenditure Register</t>
        </is>
      </c>
      <c r="D51" s="9" t="inlineStr">
        <is>
          <t>Monthly income and expense tracking for hostel</t>
        </is>
      </c>
      <c r="E51" s="10" t="inlineStr">
        <is>
          <t>Monthly</t>
        </is>
      </c>
    </row>
    <row r="52" ht="20" customHeight="1">
      <c r="B52" s="4" t="inlineStr">
        <is>
          <t>── DISCIPLINE &amp; WELFARE ──</t>
        </is>
      </c>
    </row>
    <row r="53" ht="20" customHeight="1">
      <c r="B53" s="8" t="inlineStr">
        <is>
          <t>HC-36</t>
        </is>
      </c>
      <c r="C53" s="9" t="inlineStr">
        <is>
          <t>Hostel Discipline / Complaint Register</t>
        </is>
      </c>
      <c r="D53" s="9" t="inlineStr">
        <is>
          <t>Log and resolve disciplinary complaints in hostel</t>
        </is>
      </c>
      <c r="E53" s="10" t="inlineStr">
        <is>
          <t>Per Incident</t>
        </is>
      </c>
    </row>
    <row r="54" ht="20" customHeight="1">
      <c r="B54" s="5" t="inlineStr">
        <is>
          <t>HC-37</t>
        </is>
      </c>
      <c r="C54" s="6" t="inlineStr">
        <is>
          <t>Anti-Ragging Hostel Monitoring Register</t>
        </is>
      </c>
      <c r="D54" s="6" t="inlineStr">
        <is>
          <t>Daily monitoring for ragging in hostel</t>
        </is>
      </c>
      <c r="E54" s="7" t="inlineStr">
        <is>
          <t>Daily</t>
        </is>
      </c>
    </row>
    <row r="55" ht="20" customHeight="1">
      <c r="B55" s="8" t="inlineStr">
        <is>
          <t>HC-38</t>
        </is>
      </c>
      <c r="C55" s="9" t="inlineStr">
        <is>
          <t>Student Counselling &amp; Welfare Register</t>
        </is>
      </c>
      <c r="D55" s="9" t="inlineStr">
        <is>
          <t>Track welfare support to hostel students</t>
        </is>
      </c>
      <c r="E55" s="10" t="inlineStr">
        <is>
          <t>Continuous</t>
        </is>
      </c>
    </row>
    <row r="56" ht="20" customHeight="1">
      <c r="B56" s="5" t="inlineStr">
        <is>
          <t>HC-39</t>
        </is>
      </c>
      <c r="C56" s="6" t="inlineStr">
        <is>
          <t>Medical / Health Incident Register</t>
        </is>
      </c>
      <c r="D56" s="6" t="inlineStr">
        <is>
          <t>Log medical incidents and first aid in hostel</t>
        </is>
      </c>
      <c r="E56" s="7" t="inlineStr">
        <is>
          <t>Per Incident</t>
        </is>
      </c>
    </row>
    <row r="57" ht="20" customHeight="1">
      <c r="B57" s="8" t="inlineStr">
        <is>
          <t>HC-40</t>
        </is>
      </c>
      <c r="C57" s="9" t="inlineStr">
        <is>
          <t>Lost &amp; Found Register</t>
        </is>
      </c>
      <c r="D57" s="9" t="inlineStr">
        <is>
          <t>Record lost and found items in hostel</t>
        </is>
      </c>
      <c r="E57" s="10" t="inlineStr">
        <is>
          <t>Per Incident</t>
        </is>
      </c>
    </row>
    <row r="58" ht="20" customHeight="1">
      <c r="B58" s="4" t="inlineStr">
        <is>
          <t>── FEEDBACK &amp; QUALITY ──</t>
        </is>
      </c>
    </row>
    <row r="59" ht="20" customHeight="1">
      <c r="B59" s="8" t="inlineStr">
        <is>
          <t>HC-41</t>
        </is>
      </c>
      <c r="C59" s="9" t="inlineStr">
        <is>
          <t>Student Hostel Satisfaction Survey</t>
        </is>
      </c>
      <c r="D59" s="9" t="inlineStr">
        <is>
          <t>Annual student survey on hostel life quality</t>
        </is>
      </c>
      <c r="E59" s="10" t="inlineStr">
        <is>
          <t>Annual</t>
        </is>
      </c>
    </row>
    <row r="60" ht="20" customHeight="1">
      <c r="B60" s="4" t="inlineStr">
        <is>
          <t>── MONITORING &amp; REPORTING ──</t>
        </is>
      </c>
    </row>
    <row r="61" ht="20" customHeight="1">
      <c r="B61" s="8" t="inlineStr">
        <is>
          <t>HC-42</t>
        </is>
      </c>
      <c r="C61" s="9" t="inlineStr">
        <is>
          <t>Hostel KPI Dashboard</t>
        </is>
      </c>
      <c r="D61" s="9" t="inlineStr">
        <is>
          <t>Track all hostel KPIs — occupancy, fees, quality</t>
        </is>
      </c>
      <c r="E61" s="10" t="inlineStr">
        <is>
          <t>Monthly / Quarterly</t>
        </is>
      </c>
    </row>
    <row r="62" ht="20" customHeight="1">
      <c r="B62" s="5" t="inlineStr">
        <is>
          <t>HC-43</t>
        </is>
      </c>
      <c r="C62" s="6" t="inlineStr">
        <is>
          <t>Hostel Annual Report Compilation Form</t>
        </is>
      </c>
      <c r="D62" s="6" t="inlineStr">
        <is>
          <t>Year-end report for management, NAAC, inspections</t>
        </is>
      </c>
      <c r="E62" s="7" t="inlineStr">
        <is>
          <t>Annual</t>
        </is>
      </c>
    </row>
    <row r="128">
      <c r="B128" s="11" t="inlineStr">
        <is>
          <t>• Hostel Committee oversees both Boys and Girls hostels — separate registers to be maintained for each.</t>
        </is>
      </c>
    </row>
    <row r="129">
      <c r="B129" s="11" t="inlineStr">
        <is>
          <t>• Hostel attendance is mandatory — absent students must submit gate pass or leave application.</t>
        </is>
      </c>
    </row>
    <row r="130">
      <c r="B130" s="11" t="inlineStr">
        <is>
          <t>• FSSAI norms: food samples to be retained for 24 hours daily. Mess inspections to be done before each meal.</t>
        </is>
      </c>
    </row>
    <row r="131">
      <c r="B131" s="11" t="inlineStr">
        <is>
          <t>• Anti-ragging hostel monitoring is mandatory — warden to patrol rooms especially in first 2 weeks of semester.</t>
        </is>
      </c>
    </row>
    <row r="132">
      <c r="B132" s="11" t="inlineStr">
        <is>
          <t>• Hostel fee defaulters list must be shared with Finance and HoDs monthly — academic blockage may apply.</t>
        </is>
      </c>
    </row>
    <row r="133">
      <c r="B133" s="11" t="inlineStr">
        <is>
          <t>• Security deposit refund requires room inspection clearance, no-dues certificate and exit form completion.</t>
        </is>
      </c>
    </row>
    <row r="134">
      <c r="B134" s="11" t="inlineStr">
        <is>
          <t>• NAAC data: Hostel facilities data feeds into Criterion IV (Infrastructure) and V.2 (Student Progression).</t>
        </is>
      </c>
    </row>
    <row r="135">
      <c r="B135" s="11" t="inlineStr">
        <is>
          <t>• All visitors to hostel must be registered — unauthorised visitors are a security risk and must be reported.</t>
        </is>
      </c>
    </row>
    <row r="136">
      <c r="B136" s="11" t="inlineStr">
        <is>
          <t>• Hostel gate closing time, attendance time and leave policy must be clearly displayed on the hostel notice board.</t>
        </is>
      </c>
    </row>
    <row r="137">
      <c r="B137" s="11" t="inlineStr">
        <is>
          <t>• Emergency contact of parents must be verified and updated every semester without fail.</t>
        </is>
      </c>
    </row>
  </sheetData>
  <mergeCells count="22">
    <mergeCell ref="B30:E30"/>
    <mergeCell ref="B15:E15"/>
    <mergeCell ref="B5:E5"/>
    <mergeCell ref="B133:E133"/>
    <mergeCell ref="B129:E129"/>
    <mergeCell ref="B135:E135"/>
    <mergeCell ref="B3:E3"/>
    <mergeCell ref="B134:E134"/>
    <mergeCell ref="B46:E46"/>
    <mergeCell ref="B22:E22"/>
    <mergeCell ref="B131:E131"/>
    <mergeCell ref="B58:E58"/>
    <mergeCell ref="B52:E52"/>
    <mergeCell ref="B130:E130"/>
    <mergeCell ref="B39:E39"/>
    <mergeCell ref="B11:E11"/>
    <mergeCell ref="B2:E2"/>
    <mergeCell ref="B60:E60"/>
    <mergeCell ref="B136:E136"/>
    <mergeCell ref="B132:E132"/>
    <mergeCell ref="B128:E128"/>
    <mergeCell ref="B137:E1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HC-00: HOSTEL COMMITTEE — COMPOSITION REGISTER</t>
        </is>
      </c>
    </row>
    <row r="3" ht="25" customHeight="1">
      <c r="B3" s="2" t="inlineStr">
        <is>
          <t>Institution: _________________________  A.Y.: _______  Constituted on: _______ 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</t>
        </is>
      </c>
      <c r="E4" s="13" t="inlineStr">
        <is>
          <t>Role in HC</t>
        </is>
      </c>
      <c r="F4" s="13" t="inlineStr">
        <is>
          <t>Hostel / Domain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Principal / Director</t>
        </is>
      </c>
      <c r="E5" s="14" t="inlineStr">
        <is>
          <t>Chairperson</t>
        </is>
      </c>
      <c r="F5" s="16" t="inlineStr">
        <is>
          <t>HC Leadership &amp; Final Authority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Senior Faculty — Chief Warden</t>
        </is>
      </c>
      <c r="E6" s="8" t="inlineStr">
        <is>
          <t>Chief Warden</t>
        </is>
      </c>
      <c r="F6" s="10" t="inlineStr">
        <is>
          <t>Overall Hostel Management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Faculty — Boys Hostel Warden</t>
        </is>
      </c>
      <c r="E7" s="14" t="inlineStr">
        <is>
          <t>Boys Hostel Warden – 1</t>
        </is>
      </c>
      <c r="F7" s="16" t="inlineStr">
        <is>
          <t>Boys Hostel Block A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Faculty — Boys Hostel Warden</t>
        </is>
      </c>
      <c r="E8" s="8" t="inlineStr">
        <is>
          <t>Boys Hostel Warden – 2</t>
        </is>
      </c>
      <c r="F8" s="10" t="inlineStr">
        <is>
          <t>Boys Hostel Block B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Senior Female Faculty — Girls Hostel Warden</t>
        </is>
      </c>
      <c r="E9" s="14" t="inlineStr">
        <is>
          <t>Girls Hostel Warden – 1</t>
        </is>
      </c>
      <c r="F9" s="16" t="inlineStr">
        <is>
          <t>Girls Hostel Block A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Female Faculty — Girls Hostel Warden</t>
        </is>
      </c>
      <c r="E10" s="8" t="inlineStr">
        <is>
          <t>Girls Hostel Warden – 2</t>
        </is>
      </c>
      <c r="F10" s="10" t="inlineStr">
        <is>
          <t>Girls Hostel Block B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Matron — Girls Hostel</t>
        </is>
      </c>
      <c r="E11" s="14" t="inlineStr">
        <is>
          <t>Matron / House Mother</t>
        </is>
      </c>
      <c r="F11" s="16" t="inlineStr">
        <is>
          <t>Girls Hostel Day-to-Day Welfare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Mess In-charge / Catering Manager</t>
        </is>
      </c>
      <c r="E12" s="8" t="inlineStr">
        <is>
          <t>Mess Manager</t>
        </is>
      </c>
      <c r="F12" s="10" t="inlineStr">
        <is>
          <t>Mess &amp; Food Services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Civil / Maintenance Engineer</t>
        </is>
      </c>
      <c r="E13" s="14" t="inlineStr">
        <is>
          <t>Maintenance Engineer</t>
        </is>
      </c>
      <c r="F13" s="16" t="inlineStr">
        <is>
          <t>Hostel Infrastructure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Campus Doctor / Nurse</t>
        </is>
      </c>
      <c r="E14" s="8" t="inlineStr">
        <is>
          <t>Medical Officer</t>
        </is>
      </c>
      <c r="F14" s="10" t="inlineStr">
        <is>
          <t>Student Health &amp; Medical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Accounts Officer</t>
        </is>
      </c>
      <c r="E15" s="14" t="inlineStr">
        <is>
          <t>Finance Officer</t>
        </is>
      </c>
      <c r="F15" s="16" t="inlineStr">
        <is>
          <t>Hostel Fees &amp; Finance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Campus Security Head</t>
        </is>
      </c>
      <c r="E16" s="8" t="inlineStr">
        <is>
          <t>Security Officer</t>
        </is>
      </c>
      <c r="F16" s="10" t="inlineStr">
        <is>
          <t>Hostel Security &amp; Entry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Hostel Council President (Boys)</t>
        </is>
      </c>
      <c r="E17" s="14" t="inlineStr">
        <is>
          <t>Student Rep — Boys</t>
        </is>
      </c>
      <c r="F17" s="16" t="inlineStr">
        <is>
          <t>Boys Hostel Student Voice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Hostel Council President (Girls)</t>
        </is>
      </c>
      <c r="E18" s="8" t="inlineStr">
        <is>
          <t>Student Rep — Girls</t>
        </is>
      </c>
      <c r="F18" s="10" t="inlineStr">
        <is>
          <t>Girls Hostel Student Voice</t>
        </is>
      </c>
      <c r="G18" s="9" t="inlineStr"/>
      <c r="H18" s="10" t="inlineStr"/>
      <c r="I18" s="10" t="inlineStr"/>
    </row>
    <row r="19" ht="22" customHeight="1">
      <c r="B19" s="14" t="n">
        <v>15</v>
      </c>
      <c r="C19" s="15" t="inlineStr"/>
      <c r="D19" s="15" t="inlineStr">
        <is>
          <t>Student Mess Secretary (Boys)</t>
        </is>
      </c>
      <c r="E19" s="14" t="inlineStr">
        <is>
          <t>Student Rep – 2 Boys</t>
        </is>
      </c>
      <c r="F19" s="16" t="inlineStr">
        <is>
          <t>Boys Mess Feedback</t>
        </is>
      </c>
      <c r="G19" s="15" t="inlineStr"/>
      <c r="H19" s="16" t="inlineStr"/>
      <c r="I19" s="16" t="inlineStr"/>
    </row>
    <row r="20" ht="22" customHeight="1">
      <c r="B20" s="8" t="n">
        <v>16</v>
      </c>
      <c r="C20" s="9" t="inlineStr"/>
      <c r="D20" s="9" t="inlineStr">
        <is>
          <t>Student Mess Secretary (Girls)</t>
        </is>
      </c>
      <c r="E20" s="8" t="inlineStr">
        <is>
          <t>Student Rep – 2 Girls</t>
        </is>
      </c>
      <c r="F20" s="10" t="inlineStr">
        <is>
          <t>Girls Mess Feedback</t>
        </is>
      </c>
      <c r="G20" s="9" t="inlineStr"/>
      <c r="H20" s="10" t="inlineStr"/>
      <c r="I20" s="10" t="inlineStr"/>
    </row>
    <row r="21" ht="22" customHeight="1">
      <c r="B21" s="14" t="n">
        <v>17</v>
      </c>
      <c r="C21" s="15" t="inlineStr"/>
      <c r="D21" s="15" t="inlineStr">
        <is>
          <t>IQAC In-charge</t>
        </is>
      </c>
      <c r="E21" s="14" t="inlineStr">
        <is>
          <t>IQAC Coordinator (Ex-off.)</t>
        </is>
      </c>
      <c r="F21" s="16" t="inlineStr">
        <is>
          <t>Quality &amp; Accreditation</t>
        </is>
      </c>
      <c r="G21" s="15" t="inlineStr"/>
      <c r="H21" s="16" t="inlineStr"/>
      <c r="I21" s="16" t="inlineStr"/>
    </row>
    <row r="22" ht="22" customHeight="1">
      <c r="B22" s="8" t="n">
        <v>18</v>
      </c>
      <c r="C22" s="9" t="inlineStr"/>
      <c r="D22" s="9" t="inlineStr">
        <is>
          <t>Estate / Works Officer</t>
        </is>
      </c>
      <c r="E22" s="8" t="inlineStr">
        <is>
          <t>Estate Officer (Ex-off.)</t>
        </is>
      </c>
      <c r="F22" s="10" t="inlineStr">
        <is>
          <t>Hostel Building &amp; Facilities</t>
        </is>
      </c>
      <c r="G22" s="9" t="inlineStr"/>
      <c r="H22" s="10" t="inlineStr"/>
      <c r="I22" s="10" t="inlineStr"/>
    </row>
    <row r="23" ht="22" customHeight="1"/>
    <row r="24" ht="20" customHeight="1">
      <c r="B24" s="17" t="inlineStr">
        <is>
          <t>HC meets monthly. Separate meetings for Boys and Girls hostel wardens as needed. All wardens must be available 24×7 by phone. Matron is resident in girls hostel at all times.</t>
        </is>
      </c>
    </row>
    <row r="25" ht="22" customHeight="1"/>
    <row r="26" ht="22" customHeight="1"/>
    <row r="27" ht="22" customHeight="1"/>
    <row r="28" ht="22" customHeight="1"/>
    <row r="29" ht="22" customHeight="1"/>
  </sheetData>
  <mergeCells count="3">
    <mergeCell ref="B3:I3"/>
    <mergeCell ref="B24:I24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2" t="inlineStr">
        <is>
          <t>HOSTEL COMMITTEE: MEETING NOTICE &amp; AGENDA</t>
        </is>
      </c>
    </row>
    <row r="3" ht="22" customHeight="1">
      <c r="B3" s="18" t="inlineStr">
        <is>
          <t>Meeting No.:</t>
        </is>
      </c>
      <c r="C3" s="9" t="n"/>
    </row>
    <row r="4" ht="22" customHeight="1">
      <c r="B4" s="18" t="inlineStr">
        <is>
          <t>Academic Year:</t>
        </is>
      </c>
      <c r="C4" s="9" t="n"/>
    </row>
    <row r="5" ht="22" customHeight="1">
      <c r="B5" s="18" t="inlineStr">
        <is>
          <t>Date:</t>
        </is>
      </c>
      <c r="C5" s="9" t="n"/>
    </row>
    <row r="6" ht="22" customHeight="1">
      <c r="B6" s="18" t="inlineStr">
        <is>
          <t>Time:</t>
        </is>
      </c>
      <c r="C6" s="9" t="n"/>
    </row>
    <row r="7" ht="22" customHeight="1">
      <c r="B7" s="18" t="inlineStr">
        <is>
          <t>Venue:</t>
        </is>
      </c>
      <c r="C7" s="9" t="n"/>
    </row>
    <row r="8" ht="22" customHeight="1">
      <c r="B8" s="18" t="inlineStr">
        <is>
          <t>Mode:</t>
        </is>
      </c>
      <c r="C8" s="9" t="n"/>
    </row>
    <row r="9" ht="22" customHeight="1">
      <c r="B9" s="18" t="inlineStr">
        <is>
          <t>Notice by:</t>
        </is>
      </c>
      <c r="C9" s="9" t="n"/>
    </row>
    <row r="10" ht="22" customHeight="1">
      <c r="B10" s="18" t="inlineStr">
        <is>
          <t>Notice Date:</t>
        </is>
      </c>
      <c r="C10" s="9" t="n"/>
    </row>
    <row r="11" ht="24" customHeight="1">
      <c r="B11" s="19" t="inlineStr">
        <is>
          <t>AGENDA ITEMS</t>
        </is>
      </c>
    </row>
    <row r="12" ht="24" customHeight="1">
      <c r="B12" s="13" t="inlineStr">
        <is>
          <t>Item
No.</t>
        </is>
      </c>
      <c r="C12" s="13" t="inlineStr">
        <is>
          <t>Agenda Item</t>
        </is>
      </c>
      <c r="D12" s="13" t="inlineStr">
        <is>
          <t>Lead</t>
        </is>
      </c>
      <c r="E12" s="13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HC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HC resolutions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Hostel occupancy — current strength and room status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Hostel admission — pending applications and waitlist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Attendance — defaulters and follow-up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Gate pass and leave — compliance status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Mess quality — inspection results and complaints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Mess accounts — monthly expenditure review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Mess fee collection — status and defaulters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Hostel fee collection — status and defaulters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Room inspection findings — maintenance action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Common area and bathroom condition review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Maintenance requests — pending and resolved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Hostel discipline — complaints and action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Anti-ragging monitoring — hostel observations</t>
        </is>
      </c>
      <c r="D27" s="16" t="inlineStr"/>
      <c r="E27" s="16" t="inlineStr"/>
    </row>
    <row r="28" ht="24" customHeight="1">
      <c r="B28" s="8" t="n">
        <v>16</v>
      </c>
      <c r="C28" s="9" t="inlineStr">
        <is>
          <t>Medical incidents — health and welfare</t>
        </is>
      </c>
      <c r="D28" s="10" t="inlineStr"/>
      <c r="E28" s="10" t="inlineStr"/>
    </row>
    <row r="29" ht="24" customHeight="1">
      <c r="B29" s="14" t="n">
        <v>17</v>
      </c>
      <c r="C29" s="15" t="inlineStr">
        <is>
          <t>Security — incidents and improvements</t>
        </is>
      </c>
      <c r="D29" s="16" t="inlineStr"/>
      <c r="E29" s="16" t="inlineStr"/>
    </row>
    <row r="30" ht="24" customHeight="1">
      <c r="B30" s="8" t="n">
        <v>18</v>
      </c>
      <c r="C30" s="9" t="inlineStr">
        <is>
          <t>Student welfare — counselling, distress cases</t>
        </is>
      </c>
      <c r="D30" s="10" t="inlineStr"/>
      <c r="E30" s="10" t="inlineStr"/>
    </row>
    <row r="31" ht="24" customHeight="1">
      <c r="B31" s="14" t="n">
        <v>19</v>
      </c>
      <c r="C31" s="15" t="inlineStr">
        <is>
          <t>NAAC hostel data — compilation status</t>
        </is>
      </c>
      <c r="D31" s="16" t="inlineStr"/>
      <c r="E31" s="16" t="inlineStr"/>
    </row>
    <row r="32" ht="24" customHeight="1">
      <c r="B32" s="8" t="n">
        <v>20</v>
      </c>
      <c r="C32" s="9" t="inlineStr">
        <is>
          <t>Any Other Matter with Permission of Chairperson (AOMPC)</t>
        </is>
      </c>
      <c r="D32" s="10" t="inlineStr"/>
      <c r="E32" s="10" t="inlineStr"/>
    </row>
    <row r="33" ht="24" customHeight="1"/>
    <row r="34" ht="24" customHeight="1">
      <c r="B34" s="20" t="inlineStr">
        <is>
          <t>DISPATCH RECORD</t>
        </is>
      </c>
    </row>
    <row r="35" ht="24" customHeight="1">
      <c r="B35" s="21" t="inlineStr">
        <is>
          <t>Sl.</t>
        </is>
      </c>
      <c r="C35" s="21" t="inlineStr">
        <is>
          <t>Member Name &amp; Role</t>
        </is>
      </c>
      <c r="D35" s="21" t="inlineStr">
        <is>
          <t>Mode</t>
        </is>
      </c>
      <c r="E35" s="21" t="inlineStr">
        <is>
          <t>Date &amp; Acknowledgement</t>
        </is>
      </c>
    </row>
    <row r="36" ht="22" customHeight="1">
      <c r="B36" s="22" t="n"/>
      <c r="C36" s="22" t="n"/>
      <c r="D36" s="22" t="n"/>
      <c r="E36" s="22" t="n"/>
    </row>
    <row r="37" ht="22" customHeight="1">
      <c r="B37" s="10" t="n"/>
      <c r="C37" s="10" t="n"/>
      <c r="D37" s="10" t="n"/>
      <c r="E37" s="10" t="n"/>
    </row>
    <row r="38" ht="22" customHeight="1">
      <c r="B38" s="22" t="n"/>
      <c r="C38" s="22" t="n"/>
      <c r="D38" s="22" t="n"/>
      <c r="E38" s="22" t="n"/>
    </row>
    <row r="39" ht="22" customHeight="1">
      <c r="B39" s="10" t="n"/>
      <c r="C39" s="10" t="n"/>
      <c r="D39" s="10" t="n"/>
      <c r="E39" s="10" t="n"/>
    </row>
  </sheetData>
  <mergeCells count="11">
    <mergeCell ref="C5:E5"/>
    <mergeCell ref="C8:E8"/>
    <mergeCell ref="C9:E9"/>
    <mergeCell ref="C4:E4"/>
    <mergeCell ref="C3:E3"/>
    <mergeCell ref="B11:E11"/>
    <mergeCell ref="B2:E2"/>
    <mergeCell ref="B34:E34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HC: ATTENDANCE &amp; QUORUM REGISTER</t>
        </is>
      </c>
    </row>
    <row r="3" ht="25" customHeight="1">
      <c r="B3" s="2" t="inlineStr">
        <is>
          <t>Meeting No.: _______  Date: _______  Total Strength: _______  Quorum Required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Role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Holder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>
      <c r="B20" s="8" t="n">
        <v>16</v>
      </c>
      <c r="C20" s="9" t="inlineStr"/>
      <c r="D20" s="9" t="inlineStr"/>
      <c r="E20" s="10" t="inlineStr">
        <is>
          <t>Physical</t>
        </is>
      </c>
      <c r="F20" s="10" t="inlineStr"/>
      <c r="G20" s="10" t="inlineStr">
        <is>
          <t>N</t>
        </is>
      </c>
      <c r="H20" s="10" t="inlineStr"/>
      <c r="I20" s="10" t="inlineStr"/>
    </row>
    <row r="21" ht="22" customHeight="1">
      <c r="B21" s="14" t="n">
        <v>17</v>
      </c>
      <c r="C21" s="15" t="inlineStr"/>
      <c r="D21" s="15" t="inlineStr"/>
      <c r="E21" s="16" t="inlineStr">
        <is>
          <t>Physical</t>
        </is>
      </c>
      <c r="F21" s="16" t="inlineStr"/>
      <c r="G21" s="16" t="inlineStr">
        <is>
          <t>N</t>
        </is>
      </c>
      <c r="H21" s="16" t="inlineStr"/>
      <c r="I21" s="16" t="inlineStr"/>
    </row>
    <row r="22" ht="22" customHeight="1">
      <c r="B22" s="8" t="n">
        <v>18</v>
      </c>
      <c r="C22" s="9" t="inlineStr"/>
      <c r="D22" s="9" t="inlineStr"/>
      <c r="E22" s="10" t="inlineStr">
        <is>
          <t>Physical</t>
        </is>
      </c>
      <c r="F22" s="10" t="inlineStr"/>
      <c r="G22" s="10" t="inlineStr">
        <is>
          <t>N</t>
        </is>
      </c>
      <c r="H22" s="10" t="inlineStr"/>
      <c r="I22" s="10" t="inlineStr"/>
    </row>
    <row r="23" ht="22" customHeight="1">
      <c r="B23" s="14" t="n">
        <v>19</v>
      </c>
      <c r="C23" s="15" t="inlineStr"/>
      <c r="D23" s="15" t="inlineStr"/>
      <c r="E23" s="16" t="inlineStr">
        <is>
          <t>Physical</t>
        </is>
      </c>
      <c r="F23" s="16" t="inlineStr"/>
      <c r="G23" s="16" t="inlineStr">
        <is>
          <t>N</t>
        </is>
      </c>
      <c r="H23" s="16" t="inlineStr"/>
      <c r="I23" s="16" t="inlineStr"/>
    </row>
    <row r="24" ht="22" customHeight="1">
      <c r="B24" s="8" t="n">
        <v>20</v>
      </c>
      <c r="C24" s="9" t="inlineStr"/>
      <c r="D24" s="9" t="inlineStr"/>
      <c r="E24" s="10" t="inlineStr">
        <is>
          <t>Physical</t>
        </is>
      </c>
      <c r="F24" s="10" t="inlineStr"/>
      <c r="G24" s="10" t="inlineStr">
        <is>
          <t>N</t>
        </is>
      </c>
      <c r="H24" s="10" t="inlineStr"/>
      <c r="I24" s="10" t="inlineStr"/>
    </row>
    <row r="25" ht="22" customHeight="1"/>
    <row r="26" ht="24" customHeight="1">
      <c r="B26" s="20" t="inlineStr">
        <is>
          <t>QUORUM VERIFICATION</t>
        </is>
      </c>
    </row>
    <row r="27" ht="22" customHeight="1">
      <c r="B27" s="23" t="inlineStr">
        <is>
          <t>Total HC Members</t>
        </is>
      </c>
      <c r="G27" s="24" t="inlineStr"/>
    </row>
    <row r="28" ht="22" customHeight="1">
      <c r="B28" s="25" t="inlineStr">
        <is>
          <t>Present (Physical)</t>
        </is>
      </c>
      <c r="G28" s="24">
        <f>COUNTIF(F5:F24,"P")</f>
        <v/>
      </c>
    </row>
    <row r="29" ht="22" customHeight="1">
      <c r="B29" s="23" t="inlineStr">
        <is>
          <t>Present (VC)</t>
        </is>
      </c>
      <c r="G29" s="24" t="inlineStr"/>
    </row>
    <row r="30">
      <c r="B30" s="25" t="inlineStr">
        <is>
          <t>Total Effective</t>
        </is>
      </c>
      <c r="G30" s="24">
        <f>IFERROR(C28+C29,"")</f>
        <v/>
      </c>
    </row>
    <row r="31">
      <c r="B31" s="23" t="inlineStr">
        <is>
          <t>Quorum Required (50%)</t>
        </is>
      </c>
      <c r="G31" s="24" t="inlineStr"/>
    </row>
    <row r="32">
      <c r="B32" s="25" t="inlineStr">
        <is>
          <t>Quorum Achieved?</t>
        </is>
      </c>
      <c r="G32" s="26">
        <f>IFERROR(IF(C30&gt;=C31,"YES — Meeting Valid","NO — Adjourned"),"")</f>
        <v/>
      </c>
    </row>
  </sheetData>
  <mergeCells count="15">
    <mergeCell ref="B30:F30"/>
    <mergeCell ref="B29:F29"/>
    <mergeCell ref="G32:I32"/>
    <mergeCell ref="G28:I28"/>
    <mergeCell ref="G27:I27"/>
    <mergeCell ref="B2:I2"/>
    <mergeCell ref="B28:F28"/>
    <mergeCell ref="G31:I31"/>
    <mergeCell ref="B3:I3"/>
    <mergeCell ref="B31:F31"/>
    <mergeCell ref="B32:F32"/>
    <mergeCell ref="G29:I29"/>
    <mergeCell ref="G30:I30"/>
    <mergeCell ref="B27:F27"/>
    <mergeCell ref="B26:I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2" t="inlineStr">
        <is>
          <t>HC: MEETING MINUTES &amp; RESOLUTIONS</t>
        </is>
      </c>
    </row>
    <row r="3" ht="25" customHeight="1">
      <c r="B3" s="2" t="inlineStr">
        <is>
          <t>Meeting No.: _______  Date: _______  Venue: _______  Chairperson: ___________________</t>
        </is>
      </c>
    </row>
    <row r="4" ht="24" customHeight="1">
      <c r="B4" s="27" t="inlineStr">
        <is>
          <t>DISCUSSION &amp; RESOLUTIONS</t>
        </is>
      </c>
    </row>
    <row r="5" ht="30" customHeight="1">
      <c r="B5" s="28" t="inlineStr">
        <is>
          <t>Resolution
No.</t>
        </is>
      </c>
      <c r="C5" s="28" t="inlineStr">
        <is>
          <t>Discussion &amp; Resolution</t>
        </is>
      </c>
      <c r="D5" s="28" t="inlineStr">
        <is>
          <t>Responsible</t>
        </is>
      </c>
      <c r="E5" s="28" t="inlineStr">
        <is>
          <t>Voting</t>
        </is>
      </c>
      <c r="F5" s="28" t="inlineStr">
        <is>
          <t>Target
Date</t>
        </is>
      </c>
      <c r="G5" s="28" t="inlineStr">
        <is>
          <t>Status</t>
        </is>
      </c>
    </row>
    <row r="6" ht="30" customHeight="1">
      <c r="B6" s="14" t="inlineStr">
        <is>
          <t>HC/RES/001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0" customHeight="1">
      <c r="B7" s="8" t="inlineStr">
        <is>
          <t>HC/RES/002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0" customHeight="1">
      <c r="B8" s="14" t="inlineStr">
        <is>
          <t>HC/RES/003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0" customHeight="1">
      <c r="B9" s="8" t="inlineStr">
        <is>
          <t>HC/RES/004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0" customHeight="1">
      <c r="B10" s="14" t="inlineStr">
        <is>
          <t>HC/RES/005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0" customHeight="1">
      <c r="B11" s="8" t="inlineStr">
        <is>
          <t>HC/RES/006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0" customHeight="1">
      <c r="B12" s="14" t="inlineStr">
        <is>
          <t>HC/RES/007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0" customHeight="1">
      <c r="B13" s="8" t="inlineStr">
        <is>
          <t>HC/RES/008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0" customHeight="1">
      <c r="B14" s="14" t="inlineStr">
        <is>
          <t>HC/RES/009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0" customHeight="1">
      <c r="B15" s="8" t="inlineStr">
        <is>
          <t>HC/RES/010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0" customHeight="1">
      <c r="B16" s="14" t="inlineStr">
        <is>
          <t>HC/RES/011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0" customHeight="1">
      <c r="B17" s="8" t="inlineStr">
        <is>
          <t>HC/RES/012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0" customHeight="1">
      <c r="B18" s="14" t="inlineStr">
        <is>
          <t>HC/RES/013</t>
        </is>
      </c>
      <c r="C18" s="15" t="inlineStr"/>
      <c r="D18" s="16" t="inlineStr"/>
      <c r="E18" s="16" t="inlineStr"/>
      <c r="F18" s="16" t="inlineStr"/>
      <c r="G18" s="16" t="inlineStr">
        <is>
          <t>Pending</t>
        </is>
      </c>
    </row>
    <row r="19" ht="30" customHeight="1">
      <c r="B19" s="8" t="inlineStr">
        <is>
          <t>HC/RES/014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29" t="inlineStr">
        <is>
          <t>Next Meeting: _______    Chairperson: ___________________    Chief Warden: ___________________</t>
        </is>
      </c>
    </row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HC: ACTION TAKEN REPORT (ATR)</t>
        </is>
      </c>
    </row>
    <row r="3" ht="25" customHeight="1">
      <c r="B3" s="2" t="inlineStr">
        <is>
          <t>Current Meeting No.: _______  Date: _______  Previous Meeting Ref.: _______</t>
        </is>
      </c>
    </row>
    <row r="4" ht="25" customHeight="1">
      <c r="B4" s="30" t="inlineStr">
        <is>
          <t>Resolution
No.</t>
        </is>
      </c>
      <c r="C4" s="30" t="inlineStr">
        <is>
          <t>Resolution / Decision</t>
        </is>
      </c>
      <c r="D4" s="30" t="inlineStr">
        <is>
          <t>Action Required</t>
        </is>
      </c>
      <c r="E4" s="30" t="inlineStr">
        <is>
          <t>Responsible</t>
        </is>
      </c>
      <c r="F4" s="30" t="inlineStr">
        <is>
          <t>Target
Date</t>
        </is>
      </c>
      <c r="G4" s="30" t="inlineStr">
        <is>
          <t>Completion
Date</t>
        </is>
      </c>
      <c r="H4" s="30" t="inlineStr">
        <is>
          <t>Status</t>
        </is>
      </c>
    </row>
    <row r="5" ht="26" customHeight="1">
      <c r="B5" s="31" t="inlineStr">
        <is>
          <t>HC/RES/001</t>
        </is>
      </c>
      <c r="C5" s="32" t="inlineStr"/>
      <c r="D5" s="32" t="inlineStr"/>
      <c r="E5" s="33" t="inlineStr"/>
      <c r="F5" s="33" t="inlineStr"/>
      <c r="G5" s="33" t="inlineStr"/>
      <c r="H5" s="32" t="inlineStr">
        <is>
          <t>In Progress</t>
        </is>
      </c>
    </row>
    <row r="6" ht="26" customHeight="1">
      <c r="B6" s="8" t="inlineStr">
        <is>
          <t>HC/RES/002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1" t="inlineStr">
        <is>
          <t>HC/RES/003</t>
        </is>
      </c>
      <c r="C7" s="32" t="inlineStr"/>
      <c r="D7" s="32" t="inlineStr"/>
      <c r="E7" s="33" t="inlineStr"/>
      <c r="F7" s="33" t="inlineStr"/>
      <c r="G7" s="33" t="inlineStr"/>
      <c r="H7" s="32" t="inlineStr">
        <is>
          <t>In Progress</t>
        </is>
      </c>
    </row>
    <row r="8" ht="26" customHeight="1">
      <c r="B8" s="8" t="inlineStr">
        <is>
          <t>HC/RES/004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1" t="inlineStr">
        <is>
          <t>HC/RES/005</t>
        </is>
      </c>
      <c r="C9" s="32" t="inlineStr"/>
      <c r="D9" s="32" t="inlineStr"/>
      <c r="E9" s="33" t="inlineStr"/>
      <c r="F9" s="33" t="inlineStr"/>
      <c r="G9" s="33" t="inlineStr"/>
      <c r="H9" s="32" t="inlineStr">
        <is>
          <t>In Progress</t>
        </is>
      </c>
    </row>
    <row r="10" ht="26" customHeight="1">
      <c r="B10" s="8" t="inlineStr">
        <is>
          <t>HC/RES/006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1" t="inlineStr">
        <is>
          <t>HC/RES/007</t>
        </is>
      </c>
      <c r="C11" s="32" t="inlineStr"/>
      <c r="D11" s="32" t="inlineStr"/>
      <c r="E11" s="33" t="inlineStr"/>
      <c r="F11" s="33" t="inlineStr"/>
      <c r="G11" s="33" t="inlineStr"/>
      <c r="H11" s="32" t="inlineStr">
        <is>
          <t>In Progress</t>
        </is>
      </c>
    </row>
    <row r="12" ht="26" customHeight="1">
      <c r="B12" s="8" t="inlineStr">
        <is>
          <t>HC/RES/008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1" t="inlineStr">
        <is>
          <t>HC/RES/009</t>
        </is>
      </c>
      <c r="C13" s="32" t="inlineStr"/>
      <c r="D13" s="32" t="inlineStr"/>
      <c r="E13" s="33" t="inlineStr"/>
      <c r="F13" s="33" t="inlineStr"/>
      <c r="G13" s="33" t="inlineStr"/>
      <c r="H13" s="32" t="inlineStr">
        <is>
          <t>In Progress</t>
        </is>
      </c>
    </row>
    <row r="14" ht="26" customHeight="1">
      <c r="B14" s="8" t="inlineStr">
        <is>
          <t>HC/RES/010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1" t="inlineStr">
        <is>
          <t>HC/RES/011</t>
        </is>
      </c>
      <c r="C15" s="32" t="inlineStr"/>
      <c r="D15" s="32" t="inlineStr"/>
      <c r="E15" s="33" t="inlineStr"/>
      <c r="F15" s="33" t="inlineStr"/>
      <c r="G15" s="33" t="inlineStr"/>
      <c r="H15" s="32" t="inlineStr">
        <is>
          <t>In Progress</t>
        </is>
      </c>
    </row>
    <row r="16" ht="26" customHeight="1">
      <c r="B16" s="8" t="inlineStr">
        <is>
          <t>HC/RES/012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1" t="inlineStr">
        <is>
          <t>HC/RES/013</t>
        </is>
      </c>
      <c r="C17" s="32" t="inlineStr"/>
      <c r="D17" s="32" t="inlineStr"/>
      <c r="E17" s="33" t="inlineStr"/>
      <c r="F17" s="33" t="inlineStr"/>
      <c r="G17" s="33" t="inlineStr"/>
      <c r="H17" s="32" t="inlineStr">
        <is>
          <t>In Progress</t>
        </is>
      </c>
    </row>
    <row r="18" ht="26" customHeight="1">
      <c r="B18" s="8" t="inlineStr">
        <is>
          <t>HC/RES/014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/>
    <row r="20" ht="24" customHeight="1">
      <c r="B20" s="34" t="inlineStr">
        <is>
          <t>ATR SUMMARY</t>
        </is>
      </c>
    </row>
    <row r="21" ht="26" customHeight="1">
      <c r="B21" s="35" t="inlineStr">
        <is>
          <t>Total Resolutions Under Review</t>
        </is>
      </c>
      <c r="F21" s="36">
        <f>COUNTA(B5:B18)</f>
        <v/>
      </c>
    </row>
    <row r="22" ht="26" customHeight="1">
      <c r="B22" s="25" t="inlineStr">
        <is>
          <t>Implemented</t>
        </is>
      </c>
      <c r="F22" s="37">
        <f>COUNTIF(H5:H18,"Implemented")</f>
        <v/>
      </c>
    </row>
    <row r="23" ht="26" customHeight="1">
      <c r="B23" s="35" t="inlineStr">
        <is>
          <t>In Progress</t>
        </is>
      </c>
      <c r="F23" s="36">
        <f>COUNTIF(H5:H18,"In Progress")</f>
        <v/>
      </c>
    </row>
    <row r="24" ht="26" customHeight="1">
      <c r="B24" s="25" t="inlineStr">
        <is>
          <t>Pending</t>
        </is>
      </c>
      <c r="F24" s="37">
        <f>COUNTIF(H5:H18,"Pending")</f>
        <v/>
      </c>
    </row>
    <row r="25">
      <c r="B25" s="35" t="inlineStr">
        <is>
          <t>Deferred</t>
        </is>
      </c>
      <c r="F25" s="36">
        <f>COUNTIF(H5:H18,"Deferred")</f>
        <v/>
      </c>
    </row>
    <row r="26">
      <c r="B26" s="25" t="inlineStr">
        <is>
          <t>Implementation Rate (%)</t>
        </is>
      </c>
      <c r="F26" s="37">
        <f>IFERROR(ROUND(C22/C21*100,1),"")</f>
        <v/>
      </c>
    </row>
  </sheetData>
  <mergeCells count="15">
    <mergeCell ref="F23:H23"/>
    <mergeCell ref="B23:E23"/>
    <mergeCell ref="B26:E26"/>
    <mergeCell ref="F22:H22"/>
    <mergeCell ref="B21:E21"/>
    <mergeCell ref="F26:H26"/>
    <mergeCell ref="B2:H2"/>
    <mergeCell ref="B25:E25"/>
    <mergeCell ref="B24:E24"/>
    <mergeCell ref="B3:H3"/>
    <mergeCell ref="F21:H21"/>
    <mergeCell ref="B20:H20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3" customWidth="1" min="13" max="13"/>
  </cols>
  <sheetData>
    <row r="1" ht="10" customHeight="1"/>
    <row r="2" ht="48" customHeight="1">
      <c r="B2" s="12" t="inlineStr">
        <is>
          <t>HC-05: HOSTEL ADMISSION REGISTER</t>
        </is>
      </c>
    </row>
    <row r="3" ht="20" customHeight="1">
      <c r="B3" s="2" t="inlineStr">
        <is>
          <t>Hostel Name: _______  [ ] Boys  [ ] Girls  A.Y.: _______  Chief Warden: ___________________  Total Capacity: _______</t>
        </is>
      </c>
    </row>
    <row r="4" ht="25" customHeight="1">
      <c r="B4" s="13" t="inlineStr">
        <is>
          <t>Adm.
Ref.</t>
        </is>
      </c>
      <c r="C4" s="13" t="inlineStr">
        <is>
          <t>Student Name</t>
        </is>
      </c>
      <c r="D4" s="13" t="inlineStr">
        <is>
          <t>Roll No.</t>
        </is>
      </c>
      <c r="E4" s="13" t="inlineStr">
        <is>
          <t>Programme
&amp; Year</t>
        </is>
      </c>
      <c r="F4" s="13" t="inlineStr">
        <is>
          <t>Dept.</t>
        </is>
      </c>
      <c r="G4" s="13" t="inlineStr">
        <is>
          <t>Home
District</t>
        </is>
      </c>
      <c r="H4" s="13" t="inlineStr">
        <is>
          <t>Blood
Group</t>
        </is>
      </c>
      <c r="I4" s="13" t="inlineStr">
        <is>
          <t>Emergency
Contact</t>
        </is>
      </c>
      <c r="J4" s="13" t="inlineStr">
        <is>
          <t>Room
No.</t>
        </is>
      </c>
      <c r="K4" s="13" t="inlineStr">
        <is>
          <t>Date of
Joining</t>
        </is>
      </c>
      <c r="L4" s="13" t="inlineStr">
        <is>
          <t>Status</t>
        </is>
      </c>
    </row>
    <row r="5" ht="22" customHeight="1">
      <c r="B5" s="14" t="inlineStr">
        <is>
          <t>HA/0001</t>
        </is>
      </c>
      <c r="C5" s="15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>
        <is>
          <t>Active</t>
        </is>
      </c>
    </row>
    <row r="6" ht="22" customHeight="1">
      <c r="B6" s="8" t="inlineStr">
        <is>
          <t>HA/0002</t>
        </is>
      </c>
      <c r="C6" s="9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>
        <is>
          <t>Active</t>
        </is>
      </c>
    </row>
    <row r="7" ht="22" customHeight="1">
      <c r="B7" s="14" t="inlineStr">
        <is>
          <t>HA/0003</t>
        </is>
      </c>
      <c r="C7" s="15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>
        <is>
          <t>Active</t>
        </is>
      </c>
    </row>
    <row r="8" ht="22" customHeight="1">
      <c r="B8" s="8" t="inlineStr">
        <is>
          <t>HA/0004</t>
        </is>
      </c>
      <c r="C8" s="9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>
        <is>
          <t>Active</t>
        </is>
      </c>
    </row>
    <row r="9" ht="22" customHeight="1">
      <c r="B9" s="14" t="inlineStr">
        <is>
          <t>HA/0005</t>
        </is>
      </c>
      <c r="C9" s="15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>
        <is>
          <t>Active</t>
        </is>
      </c>
    </row>
    <row r="10" ht="22" customHeight="1">
      <c r="B10" s="8" t="inlineStr">
        <is>
          <t>HA/0006</t>
        </is>
      </c>
      <c r="C10" s="9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>
        <is>
          <t>Active</t>
        </is>
      </c>
    </row>
    <row r="11" ht="22" customHeight="1">
      <c r="B11" s="14" t="inlineStr">
        <is>
          <t>HA/0007</t>
        </is>
      </c>
      <c r="C11" s="15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>
        <is>
          <t>Active</t>
        </is>
      </c>
    </row>
    <row r="12" ht="22" customHeight="1">
      <c r="B12" s="8" t="inlineStr">
        <is>
          <t>HA/0008</t>
        </is>
      </c>
      <c r="C12" s="9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>
        <is>
          <t>Active</t>
        </is>
      </c>
    </row>
    <row r="13" ht="22" customHeight="1">
      <c r="B13" s="14" t="inlineStr">
        <is>
          <t>HA/0009</t>
        </is>
      </c>
      <c r="C13" s="15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  <c r="L13" s="16" t="inlineStr">
        <is>
          <t>Active</t>
        </is>
      </c>
    </row>
    <row r="14" ht="22" customHeight="1">
      <c r="B14" s="8" t="inlineStr">
        <is>
          <t>HA/0010</t>
        </is>
      </c>
      <c r="C14" s="9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>
        <is>
          <t>Active</t>
        </is>
      </c>
    </row>
    <row r="15" ht="22" customHeight="1">
      <c r="B15" s="14" t="inlineStr">
        <is>
          <t>HA/0011</t>
        </is>
      </c>
      <c r="C15" s="15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>
        <is>
          <t>Active</t>
        </is>
      </c>
    </row>
    <row r="16" ht="22" customHeight="1">
      <c r="B16" s="8" t="inlineStr">
        <is>
          <t>HA/0012</t>
        </is>
      </c>
      <c r="C16" s="9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>
        <is>
          <t>Active</t>
        </is>
      </c>
    </row>
    <row r="17" ht="22" customHeight="1">
      <c r="B17" s="14" t="inlineStr">
        <is>
          <t>HA/0013</t>
        </is>
      </c>
      <c r="C17" s="15" t="inlineStr"/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6" t="inlineStr"/>
      <c r="L17" s="16" t="inlineStr">
        <is>
          <t>Active</t>
        </is>
      </c>
    </row>
    <row r="18" ht="22" customHeight="1">
      <c r="B18" s="8" t="inlineStr">
        <is>
          <t>HA/0014</t>
        </is>
      </c>
      <c r="C18" s="9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>
        <is>
          <t>Active</t>
        </is>
      </c>
    </row>
    <row r="19" ht="22" customHeight="1">
      <c r="B19" s="14" t="inlineStr">
        <is>
          <t>HA/0015</t>
        </is>
      </c>
      <c r="C19" s="15" t="inlineStr"/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6" t="inlineStr"/>
      <c r="L19" s="16" t="inlineStr">
        <is>
          <t>Active</t>
        </is>
      </c>
    </row>
    <row r="20" ht="22" customHeight="1">
      <c r="B20" s="8" t="inlineStr">
        <is>
          <t>HA/0016</t>
        </is>
      </c>
      <c r="C20" s="9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>
        <is>
          <t>Active</t>
        </is>
      </c>
    </row>
    <row r="21" ht="22" customHeight="1">
      <c r="B21" s="14" t="inlineStr">
        <is>
          <t>HA/0017</t>
        </is>
      </c>
      <c r="C21" s="15" t="inlineStr"/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6" t="inlineStr"/>
      <c r="L21" s="16" t="inlineStr">
        <is>
          <t>Active</t>
        </is>
      </c>
    </row>
    <row r="22" ht="22" customHeight="1">
      <c r="B22" s="8" t="inlineStr">
        <is>
          <t>HA/0018</t>
        </is>
      </c>
      <c r="C22" s="9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>
        <is>
          <t>Active</t>
        </is>
      </c>
    </row>
    <row r="23" ht="22" customHeight="1">
      <c r="B23" s="14" t="inlineStr">
        <is>
          <t>HA/0019</t>
        </is>
      </c>
      <c r="C23" s="15" t="inlineStr"/>
      <c r="D23" s="16" t="inlineStr"/>
      <c r="E23" s="16" t="inlineStr"/>
      <c r="F23" s="16" t="inlineStr"/>
      <c r="G23" s="16" t="inlineStr"/>
      <c r="H23" s="16" t="inlineStr"/>
      <c r="I23" s="16" t="inlineStr"/>
      <c r="J23" s="16" t="inlineStr"/>
      <c r="K23" s="16" t="inlineStr"/>
      <c r="L23" s="16" t="inlineStr">
        <is>
          <t>Active</t>
        </is>
      </c>
    </row>
    <row r="24" ht="22" customHeight="1">
      <c r="B24" s="8" t="inlineStr">
        <is>
          <t>HA/0020</t>
        </is>
      </c>
      <c r="C24" s="9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>
        <is>
          <t>Active</t>
        </is>
      </c>
    </row>
    <row r="25" ht="22" customHeight="1">
      <c r="B25" s="14" t="inlineStr">
        <is>
          <t>HA/0021</t>
        </is>
      </c>
      <c r="C25" s="15" t="inlineStr"/>
      <c r="D25" s="16" t="inlineStr"/>
      <c r="E25" s="16" t="inlineStr"/>
      <c r="F25" s="16" t="inlineStr"/>
      <c r="G25" s="16" t="inlineStr"/>
      <c r="H25" s="16" t="inlineStr"/>
      <c r="I25" s="16" t="inlineStr"/>
      <c r="J25" s="16" t="inlineStr"/>
      <c r="K25" s="16" t="inlineStr"/>
      <c r="L25" s="16" t="inlineStr">
        <is>
          <t>Active</t>
        </is>
      </c>
    </row>
    <row r="26" ht="22" customHeight="1">
      <c r="B26" s="8" t="inlineStr">
        <is>
          <t>HA/0022</t>
        </is>
      </c>
      <c r="C26" s="9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>
        <is>
          <t>Active</t>
        </is>
      </c>
    </row>
    <row r="27" ht="22" customHeight="1">
      <c r="B27" s="14" t="inlineStr">
        <is>
          <t>HA/0023</t>
        </is>
      </c>
      <c r="C27" s="15" t="inlineStr"/>
      <c r="D27" s="16" t="inlineStr"/>
      <c r="E27" s="16" t="inlineStr"/>
      <c r="F27" s="16" t="inlineStr"/>
      <c r="G27" s="16" t="inlineStr"/>
      <c r="H27" s="16" t="inlineStr"/>
      <c r="I27" s="16" t="inlineStr"/>
      <c r="J27" s="16" t="inlineStr"/>
      <c r="K27" s="16" t="inlineStr"/>
      <c r="L27" s="16" t="inlineStr">
        <is>
          <t>Active</t>
        </is>
      </c>
    </row>
    <row r="28" ht="22" customHeight="1">
      <c r="B28" s="8" t="inlineStr">
        <is>
          <t>HA/0024</t>
        </is>
      </c>
      <c r="C28" s="9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>
        <is>
          <t>Active</t>
        </is>
      </c>
    </row>
    <row r="29" ht="22" customHeight="1">
      <c r="B29" s="14" t="inlineStr">
        <is>
          <t>HA/0025</t>
        </is>
      </c>
      <c r="C29" s="15" t="inlineStr"/>
      <c r="D29" s="16" t="inlineStr"/>
      <c r="E29" s="16" t="inlineStr"/>
      <c r="F29" s="16" t="inlineStr"/>
      <c r="G29" s="16" t="inlineStr"/>
      <c r="H29" s="16" t="inlineStr"/>
      <c r="I29" s="16" t="inlineStr"/>
      <c r="J29" s="16" t="inlineStr"/>
      <c r="K29" s="16" t="inlineStr"/>
      <c r="L29" s="16" t="inlineStr">
        <is>
          <t>Active</t>
        </is>
      </c>
    </row>
    <row r="30" ht="22" customHeight="1">
      <c r="B30" s="8" t="inlineStr">
        <is>
          <t>HA/0026</t>
        </is>
      </c>
      <c r="C30" s="9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>
        <is>
          <t>Active</t>
        </is>
      </c>
    </row>
    <row r="31" ht="22" customHeight="1">
      <c r="B31" s="14" t="inlineStr">
        <is>
          <t>HA/0027</t>
        </is>
      </c>
      <c r="C31" s="15" t="inlineStr"/>
      <c r="D31" s="16" t="inlineStr"/>
      <c r="E31" s="16" t="inlineStr"/>
      <c r="F31" s="16" t="inlineStr"/>
      <c r="G31" s="16" t="inlineStr"/>
      <c r="H31" s="16" t="inlineStr"/>
      <c r="I31" s="16" t="inlineStr"/>
      <c r="J31" s="16" t="inlineStr"/>
      <c r="K31" s="16" t="inlineStr"/>
      <c r="L31" s="16" t="inlineStr">
        <is>
          <t>Active</t>
        </is>
      </c>
    </row>
    <row r="32" ht="22" customHeight="1">
      <c r="B32" s="8" t="inlineStr">
        <is>
          <t>HA/0028</t>
        </is>
      </c>
      <c r="C32" s="9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>
        <is>
          <t>Active</t>
        </is>
      </c>
    </row>
    <row r="33" ht="22" customHeight="1">
      <c r="B33" s="14" t="inlineStr">
        <is>
          <t>HA/0029</t>
        </is>
      </c>
      <c r="C33" s="15" t="inlineStr"/>
      <c r="D33" s="16" t="inlineStr"/>
      <c r="E33" s="16" t="inlineStr"/>
      <c r="F33" s="16" t="inlineStr"/>
      <c r="G33" s="16" t="inlineStr"/>
      <c r="H33" s="16" t="inlineStr"/>
      <c r="I33" s="16" t="inlineStr"/>
      <c r="J33" s="16" t="inlineStr"/>
      <c r="K33" s="16" t="inlineStr"/>
      <c r="L33" s="16" t="inlineStr">
        <is>
          <t>Active</t>
        </is>
      </c>
    </row>
    <row r="34" ht="22" customHeight="1">
      <c r="B34" s="8" t="inlineStr">
        <is>
          <t>HA/0030</t>
        </is>
      </c>
      <c r="C34" s="9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>
        <is>
          <t>Active</t>
        </is>
      </c>
    </row>
    <row r="35" ht="22" customHeight="1">
      <c r="B35" s="14" t="inlineStr">
        <is>
          <t>HA/0031</t>
        </is>
      </c>
      <c r="C35" s="15" t="inlineStr"/>
      <c r="D35" s="16" t="inlineStr"/>
      <c r="E35" s="16" t="inlineStr"/>
      <c r="F35" s="16" t="inlineStr"/>
      <c r="G35" s="16" t="inlineStr"/>
      <c r="H35" s="16" t="inlineStr"/>
      <c r="I35" s="16" t="inlineStr"/>
      <c r="J35" s="16" t="inlineStr"/>
      <c r="K35" s="16" t="inlineStr"/>
      <c r="L35" s="16" t="inlineStr">
        <is>
          <t>Active</t>
        </is>
      </c>
    </row>
    <row r="36" ht="22" customHeight="1">
      <c r="B36" s="8" t="inlineStr">
        <is>
          <t>HA/0032</t>
        </is>
      </c>
      <c r="C36" s="9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>
        <is>
          <t>Active</t>
        </is>
      </c>
    </row>
    <row r="37" ht="22" customHeight="1">
      <c r="B37" s="14" t="inlineStr">
        <is>
          <t>HA/0033</t>
        </is>
      </c>
      <c r="C37" s="15" t="inlineStr"/>
      <c r="D37" s="16" t="inlineStr"/>
      <c r="E37" s="16" t="inlineStr"/>
      <c r="F37" s="16" t="inlineStr"/>
      <c r="G37" s="16" t="inlineStr"/>
      <c r="H37" s="16" t="inlineStr"/>
      <c r="I37" s="16" t="inlineStr"/>
      <c r="J37" s="16" t="inlineStr"/>
      <c r="K37" s="16" t="inlineStr"/>
      <c r="L37" s="16" t="inlineStr">
        <is>
          <t>Active</t>
        </is>
      </c>
    </row>
    <row r="38" ht="22" customHeight="1">
      <c r="B38" s="8" t="inlineStr">
        <is>
          <t>HA/0034</t>
        </is>
      </c>
      <c r="C38" s="9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0" t="inlineStr">
        <is>
          <t>Active</t>
        </is>
      </c>
    </row>
    <row r="39" ht="22" customHeight="1"/>
    <row r="40" ht="24" customHeight="1">
      <c r="B40" s="34" t="inlineStr">
        <is>
          <t>ADMISSION SUMMARY</t>
        </is>
      </c>
    </row>
    <row r="41" ht="22" customHeight="1">
      <c r="B41" s="38" t="inlineStr">
        <is>
          <t>Total Students Admitted</t>
        </is>
      </c>
      <c r="F41" s="36">
        <f>COUNTA(B5:B38)</f>
        <v/>
      </c>
    </row>
    <row r="42">
      <c r="B42" s="25" t="inlineStr">
        <is>
          <t>Total Capacity</t>
        </is>
      </c>
      <c r="F42" s="37" t="inlineStr"/>
    </row>
    <row r="43">
      <c r="B43" s="38" t="inlineStr">
        <is>
          <t>Occupancy Rate (%)</t>
        </is>
      </c>
      <c r="F43" s="36">
        <f>IFERROR(ROUND(C42/C43*100,1),"")</f>
        <v/>
      </c>
    </row>
    <row r="44">
      <c r="B44" s="25" t="inlineStr">
        <is>
          <t>Students Active</t>
        </is>
      </c>
      <c r="F44" s="37">
        <f>COUNTIF(L5:L38,"Active")</f>
        <v/>
      </c>
    </row>
    <row r="45">
      <c r="B45" s="38" t="inlineStr">
        <is>
          <t>Students Vacated</t>
        </is>
      </c>
      <c r="F45" s="36">
        <f>COUNTIF(L5:L38,"Vacated")</f>
        <v/>
      </c>
    </row>
    <row r="46">
      <c r="B46" s="25" t="inlineStr">
        <is>
          <t>Male Students</t>
        </is>
      </c>
      <c r="F46" s="37" t="inlineStr"/>
    </row>
  </sheetData>
  <mergeCells count="15">
    <mergeCell ref="F45:L45"/>
    <mergeCell ref="B45:E45"/>
    <mergeCell ref="F46:L46"/>
    <mergeCell ref="B41:E41"/>
    <mergeCell ref="B46:E46"/>
    <mergeCell ref="F41:L41"/>
    <mergeCell ref="B43:E43"/>
    <mergeCell ref="F44:L44"/>
    <mergeCell ref="B44:E44"/>
    <mergeCell ref="B3:L3"/>
    <mergeCell ref="B2:L2"/>
    <mergeCell ref="F43:L43"/>
    <mergeCell ref="B42:E42"/>
    <mergeCell ref="F42:L42"/>
    <mergeCell ref="B40:L4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0" customWidth="1" min="3" max="3"/>
    <col width="10" customWidth="1" min="4" max="4"/>
    <col width="22" customWidth="1" min="5" max="5"/>
    <col width="22" customWidth="1" min="6" max="6"/>
    <col width="22" customWidth="1" min="7" max="7"/>
    <col width="12" customWidth="1" min="8" max="8"/>
    <col width="12" customWidth="1" min="9" max="9"/>
    <col width="12" customWidth="1" min="10" max="10"/>
    <col width="3" customWidth="1" min="11" max="11"/>
  </cols>
  <sheetData>
    <row r="1" ht="10" customHeight="1"/>
    <row r="2" ht="48" customHeight="1">
      <c r="B2" s="12" t="inlineStr">
        <is>
          <t>HC-06: ROOM ALLOTMENT REGISTER</t>
        </is>
      </c>
    </row>
    <row r="3" ht="20" customHeight="1">
      <c r="B3" s="2" t="inlineStr">
        <is>
          <t>Hostel: _______  Block: _______  A.Y.: _______  Warden: ___________________  Total Rooms: _______</t>
        </is>
      </c>
    </row>
    <row r="4" ht="25" customHeight="1">
      <c r="B4" s="13" t="inlineStr">
        <is>
          <t>Room
No.</t>
        </is>
      </c>
      <c r="C4" s="13" t="inlineStr">
        <is>
          <t>Room
Type</t>
        </is>
      </c>
      <c r="D4" s="13" t="inlineStr">
        <is>
          <t>Capacity
(Beds)</t>
        </is>
      </c>
      <c r="E4" s="13" t="inlineStr">
        <is>
          <t>Student 1 (Name / Roll No.)</t>
        </is>
      </c>
      <c r="F4" s="13" t="inlineStr">
        <is>
          <t>Student 2 (Name / Roll No.)</t>
        </is>
      </c>
      <c r="G4" s="13" t="inlineStr">
        <is>
          <t>Student 3 (Name / Roll No.)</t>
        </is>
      </c>
      <c r="H4" s="13" t="inlineStr">
        <is>
          <t>Beds
Occupied</t>
        </is>
      </c>
      <c r="I4" s="13" t="inlineStr">
        <is>
          <t>Beds
Vacant</t>
        </is>
      </c>
      <c r="J4" s="13" t="inlineStr">
        <is>
          <t>Room
Status</t>
        </is>
      </c>
    </row>
    <row r="5" ht="22" customHeight="1">
      <c r="B5" s="14" t="inlineStr">
        <is>
          <t>101</t>
        </is>
      </c>
      <c r="C5" s="16" t="inlineStr">
        <is>
          <t>Double Sharing</t>
        </is>
      </c>
      <c r="D5" s="16" t="n">
        <v>3</v>
      </c>
      <c r="E5" s="15" t="inlineStr"/>
      <c r="F5" s="15" t="inlineStr"/>
      <c r="G5" s="15" t="inlineStr"/>
      <c r="H5" s="16" t="n">
        <v>1</v>
      </c>
      <c r="I5" s="36">
        <f>IFERROR(D5-H5,"")</f>
        <v/>
      </c>
      <c r="J5" s="16" t="inlineStr">
        <is>
          <t>Full</t>
        </is>
      </c>
    </row>
    <row r="6" ht="22" customHeight="1">
      <c r="B6" s="8" t="inlineStr">
        <is>
          <t>102</t>
        </is>
      </c>
      <c r="C6" s="10" t="inlineStr">
        <is>
          <t>Triple Sharing</t>
        </is>
      </c>
      <c r="D6" s="10" t="n">
        <v>3</v>
      </c>
      <c r="E6" s="9" t="inlineStr"/>
      <c r="F6" s="9" t="inlineStr"/>
      <c r="G6" s="9" t="inlineStr"/>
      <c r="H6" s="10" t="n">
        <v>2</v>
      </c>
      <c r="I6" s="37">
        <f>IFERROR(D6-H6,"")</f>
        <v/>
      </c>
      <c r="J6" s="10" t="inlineStr">
        <is>
          <t>Full</t>
        </is>
      </c>
    </row>
    <row r="7" ht="22" customHeight="1">
      <c r="B7" s="14" t="inlineStr">
        <is>
          <t>103</t>
        </is>
      </c>
      <c r="C7" s="16" t="inlineStr">
        <is>
          <t>Dormitory (4+)</t>
        </is>
      </c>
      <c r="D7" s="16" t="n">
        <v>3</v>
      </c>
      <c r="E7" s="15" t="inlineStr"/>
      <c r="F7" s="15" t="inlineStr"/>
      <c r="G7" s="15" t="inlineStr"/>
      <c r="H7" s="16" t="n">
        <v>3</v>
      </c>
      <c r="I7" s="36">
        <f>IFERROR(D7-H7,"")</f>
        <v/>
      </c>
      <c r="J7" s="16" t="inlineStr">
        <is>
          <t>Full</t>
        </is>
      </c>
    </row>
    <row r="8" ht="22" customHeight="1">
      <c r="B8" s="8" t="inlineStr">
        <is>
          <t>104</t>
        </is>
      </c>
      <c r="C8" s="10" t="inlineStr">
        <is>
          <t>Double Sharing</t>
        </is>
      </c>
      <c r="D8" s="10" t="n">
        <v>3</v>
      </c>
      <c r="E8" s="9" t="inlineStr"/>
      <c r="F8" s="9" t="inlineStr"/>
      <c r="G8" s="9" t="inlineStr"/>
      <c r="H8" s="10" t="n">
        <v>1</v>
      </c>
      <c r="I8" s="37">
        <f>IFERROR(D8-H8,"")</f>
        <v/>
      </c>
      <c r="J8" s="10" t="inlineStr">
        <is>
          <t>Full</t>
        </is>
      </c>
    </row>
    <row r="9" ht="22" customHeight="1">
      <c r="B9" s="14" t="inlineStr">
        <is>
          <t>105</t>
        </is>
      </c>
      <c r="C9" s="16" t="inlineStr">
        <is>
          <t>Triple Sharing</t>
        </is>
      </c>
      <c r="D9" s="16" t="n">
        <v>3</v>
      </c>
      <c r="E9" s="15" t="inlineStr"/>
      <c r="F9" s="15" t="inlineStr"/>
      <c r="G9" s="15" t="inlineStr"/>
      <c r="H9" s="16" t="n">
        <v>2</v>
      </c>
      <c r="I9" s="36">
        <f>IFERROR(D9-H9,"")</f>
        <v/>
      </c>
      <c r="J9" s="16" t="inlineStr">
        <is>
          <t>Partially Occupied</t>
        </is>
      </c>
    </row>
    <row r="10" ht="22" customHeight="1">
      <c r="B10" s="8" t="inlineStr">
        <is>
          <t>106</t>
        </is>
      </c>
      <c r="C10" s="10" t="inlineStr">
        <is>
          <t>Dormitory (4+)</t>
        </is>
      </c>
      <c r="D10" s="10" t="n">
        <v>3</v>
      </c>
      <c r="E10" s="9" t="inlineStr"/>
      <c r="F10" s="9" t="inlineStr"/>
      <c r="G10" s="9" t="inlineStr"/>
      <c r="H10" s="10" t="n">
        <v>3</v>
      </c>
      <c r="I10" s="37">
        <f>IFERROR(D10-H10,"")</f>
        <v/>
      </c>
      <c r="J10" s="10" t="inlineStr">
        <is>
          <t>Full</t>
        </is>
      </c>
    </row>
    <row r="11" ht="22" customHeight="1">
      <c r="B11" s="14" t="inlineStr">
        <is>
          <t>107</t>
        </is>
      </c>
      <c r="C11" s="16" t="inlineStr">
        <is>
          <t>Double Sharing</t>
        </is>
      </c>
      <c r="D11" s="16" t="n">
        <v>3</v>
      </c>
      <c r="E11" s="15" t="inlineStr"/>
      <c r="F11" s="15" t="inlineStr"/>
      <c r="G11" s="15" t="inlineStr"/>
      <c r="H11" s="16" t="n">
        <v>1</v>
      </c>
      <c r="I11" s="36">
        <f>IFERROR(D11-H11,"")</f>
        <v/>
      </c>
      <c r="J11" s="16" t="inlineStr">
        <is>
          <t>Full</t>
        </is>
      </c>
    </row>
    <row r="12" ht="22" customHeight="1">
      <c r="B12" s="8" t="inlineStr">
        <is>
          <t>108</t>
        </is>
      </c>
      <c r="C12" s="10" t="inlineStr">
        <is>
          <t>Triple Sharing</t>
        </is>
      </c>
      <c r="D12" s="10" t="n">
        <v>3</v>
      </c>
      <c r="E12" s="9" t="inlineStr"/>
      <c r="F12" s="9" t="inlineStr"/>
      <c r="G12" s="9" t="inlineStr"/>
      <c r="H12" s="10" t="n">
        <v>2</v>
      </c>
      <c r="I12" s="37">
        <f>IFERROR(D12-H12,"")</f>
        <v/>
      </c>
      <c r="J12" s="10" t="inlineStr">
        <is>
          <t>Full</t>
        </is>
      </c>
    </row>
    <row r="13" ht="22" customHeight="1">
      <c r="B13" s="14" t="inlineStr">
        <is>
          <t>109</t>
        </is>
      </c>
      <c r="C13" s="16" t="inlineStr">
        <is>
          <t>Dormitory (4+)</t>
        </is>
      </c>
      <c r="D13" s="16" t="n">
        <v>3</v>
      </c>
      <c r="E13" s="15" t="inlineStr"/>
      <c r="F13" s="15" t="inlineStr"/>
      <c r="G13" s="15" t="inlineStr"/>
      <c r="H13" s="16" t="n">
        <v>3</v>
      </c>
      <c r="I13" s="36">
        <f>IFERROR(D13-H13,"")</f>
        <v/>
      </c>
      <c r="J13" s="16" t="inlineStr">
        <is>
          <t>Full</t>
        </is>
      </c>
    </row>
    <row r="14" ht="22" customHeight="1">
      <c r="B14" s="8" t="inlineStr">
        <is>
          <t>110</t>
        </is>
      </c>
      <c r="C14" s="10" t="inlineStr">
        <is>
          <t>Double Sharing</t>
        </is>
      </c>
      <c r="D14" s="10" t="n">
        <v>3</v>
      </c>
      <c r="E14" s="9" t="inlineStr"/>
      <c r="F14" s="9" t="inlineStr"/>
      <c r="G14" s="9" t="inlineStr"/>
      <c r="H14" s="10" t="n">
        <v>1</v>
      </c>
      <c r="I14" s="37">
        <f>IFERROR(D14-H14,"")</f>
        <v/>
      </c>
      <c r="J14" s="10" t="inlineStr">
        <is>
          <t>Partially Occupied</t>
        </is>
      </c>
    </row>
    <row r="15" ht="22" customHeight="1">
      <c r="B15" s="14" t="inlineStr">
        <is>
          <t>111</t>
        </is>
      </c>
      <c r="C15" s="16" t="inlineStr">
        <is>
          <t>Triple Sharing</t>
        </is>
      </c>
      <c r="D15" s="16" t="n">
        <v>3</v>
      </c>
      <c r="E15" s="15" t="inlineStr"/>
      <c r="F15" s="15" t="inlineStr"/>
      <c r="G15" s="15" t="inlineStr"/>
      <c r="H15" s="16" t="n">
        <v>2</v>
      </c>
      <c r="I15" s="36">
        <f>IFERROR(D15-H15,"")</f>
        <v/>
      </c>
      <c r="J15" s="16" t="inlineStr">
        <is>
          <t>Full</t>
        </is>
      </c>
    </row>
    <row r="16" ht="22" customHeight="1">
      <c r="B16" s="8" t="inlineStr">
        <is>
          <t>112</t>
        </is>
      </c>
      <c r="C16" s="10" t="inlineStr">
        <is>
          <t>Dormitory (4+)</t>
        </is>
      </c>
      <c r="D16" s="10" t="n">
        <v>3</v>
      </c>
      <c r="E16" s="9" t="inlineStr"/>
      <c r="F16" s="9" t="inlineStr"/>
      <c r="G16" s="9" t="inlineStr"/>
      <c r="H16" s="10" t="n">
        <v>3</v>
      </c>
      <c r="I16" s="37">
        <f>IFERROR(D16-H16,"")</f>
        <v/>
      </c>
      <c r="J16" s="10" t="inlineStr">
        <is>
          <t>Full</t>
        </is>
      </c>
    </row>
    <row r="17" ht="22" customHeight="1">
      <c r="B17" s="14" t="inlineStr">
        <is>
          <t>113</t>
        </is>
      </c>
      <c r="C17" s="16" t="inlineStr">
        <is>
          <t>Double Sharing</t>
        </is>
      </c>
      <c r="D17" s="16" t="n">
        <v>3</v>
      </c>
      <c r="E17" s="15" t="inlineStr"/>
      <c r="F17" s="15" t="inlineStr"/>
      <c r="G17" s="15" t="inlineStr"/>
      <c r="H17" s="16" t="n">
        <v>1</v>
      </c>
      <c r="I17" s="36">
        <f>IFERROR(D17-H17,"")</f>
        <v/>
      </c>
      <c r="J17" s="16" t="inlineStr">
        <is>
          <t>Full</t>
        </is>
      </c>
    </row>
    <row r="18" ht="22" customHeight="1">
      <c r="B18" s="8" t="inlineStr">
        <is>
          <t>114</t>
        </is>
      </c>
      <c r="C18" s="10" t="inlineStr">
        <is>
          <t>Triple Sharing</t>
        </is>
      </c>
      <c r="D18" s="10" t="n">
        <v>3</v>
      </c>
      <c r="E18" s="9" t="inlineStr"/>
      <c r="F18" s="9" t="inlineStr"/>
      <c r="G18" s="9" t="inlineStr"/>
      <c r="H18" s="10" t="n">
        <v>2</v>
      </c>
      <c r="I18" s="37">
        <f>IFERROR(D18-H18,"")</f>
        <v/>
      </c>
      <c r="J18" s="10" t="inlineStr">
        <is>
          <t>Full</t>
        </is>
      </c>
    </row>
    <row r="19" ht="22" customHeight="1">
      <c r="B19" s="14" t="inlineStr">
        <is>
          <t>115</t>
        </is>
      </c>
      <c r="C19" s="16" t="inlineStr">
        <is>
          <t>Dormitory (4+)</t>
        </is>
      </c>
      <c r="D19" s="16" t="n">
        <v>3</v>
      </c>
      <c r="E19" s="15" t="inlineStr"/>
      <c r="F19" s="15" t="inlineStr"/>
      <c r="G19" s="15" t="inlineStr"/>
      <c r="H19" s="16" t="n">
        <v>3</v>
      </c>
      <c r="I19" s="36">
        <f>IFERROR(D19-H19,"")</f>
        <v/>
      </c>
      <c r="J19" s="16" t="inlineStr">
        <is>
          <t>Partially Occupied</t>
        </is>
      </c>
    </row>
    <row r="20" ht="22" customHeight="1">
      <c r="B20" s="8" t="inlineStr">
        <is>
          <t>116</t>
        </is>
      </c>
      <c r="C20" s="10" t="inlineStr">
        <is>
          <t>Double Sharing</t>
        </is>
      </c>
      <c r="D20" s="10" t="n">
        <v>3</v>
      </c>
      <c r="E20" s="9" t="inlineStr"/>
      <c r="F20" s="9" t="inlineStr"/>
      <c r="G20" s="9" t="inlineStr"/>
      <c r="H20" s="10" t="n">
        <v>1</v>
      </c>
      <c r="I20" s="37">
        <f>IFERROR(D20-H20,"")</f>
        <v/>
      </c>
      <c r="J20" s="10" t="inlineStr">
        <is>
          <t>Full</t>
        </is>
      </c>
    </row>
    <row r="21" ht="22" customHeight="1">
      <c r="B21" s="14" t="inlineStr">
        <is>
          <t>117</t>
        </is>
      </c>
      <c r="C21" s="16" t="inlineStr">
        <is>
          <t>Triple Sharing</t>
        </is>
      </c>
      <c r="D21" s="16" t="n">
        <v>3</v>
      </c>
      <c r="E21" s="15" t="inlineStr"/>
      <c r="F21" s="15" t="inlineStr"/>
      <c r="G21" s="15" t="inlineStr"/>
      <c r="H21" s="16" t="n">
        <v>2</v>
      </c>
      <c r="I21" s="36">
        <f>IFERROR(D21-H21,"")</f>
        <v/>
      </c>
      <c r="J21" s="16" t="inlineStr">
        <is>
          <t>Full</t>
        </is>
      </c>
    </row>
    <row r="22" ht="22" customHeight="1">
      <c r="B22" s="8" t="inlineStr">
        <is>
          <t>118</t>
        </is>
      </c>
      <c r="C22" s="10" t="inlineStr">
        <is>
          <t>Dormitory (4+)</t>
        </is>
      </c>
      <c r="D22" s="10" t="n">
        <v>3</v>
      </c>
      <c r="E22" s="9" t="inlineStr"/>
      <c r="F22" s="9" t="inlineStr"/>
      <c r="G22" s="9" t="inlineStr"/>
      <c r="H22" s="10" t="n">
        <v>3</v>
      </c>
      <c r="I22" s="37">
        <f>IFERROR(D22-H22,"")</f>
        <v/>
      </c>
      <c r="J22" s="10" t="inlineStr">
        <is>
          <t>Full</t>
        </is>
      </c>
    </row>
    <row r="23" ht="22" customHeight="1">
      <c r="B23" s="14" t="inlineStr">
        <is>
          <t>119</t>
        </is>
      </c>
      <c r="C23" s="16" t="inlineStr">
        <is>
          <t>Double Sharing</t>
        </is>
      </c>
      <c r="D23" s="16" t="n">
        <v>3</v>
      </c>
      <c r="E23" s="15" t="inlineStr"/>
      <c r="F23" s="15" t="inlineStr"/>
      <c r="G23" s="15" t="inlineStr"/>
      <c r="H23" s="16" t="n">
        <v>1</v>
      </c>
      <c r="I23" s="36">
        <f>IFERROR(D23-H23,"")</f>
        <v/>
      </c>
      <c r="J23" s="16" t="inlineStr">
        <is>
          <t>Full</t>
        </is>
      </c>
    </row>
    <row r="24" ht="22" customHeight="1">
      <c r="B24" s="8" t="inlineStr">
        <is>
          <t>120</t>
        </is>
      </c>
      <c r="C24" s="10" t="inlineStr">
        <is>
          <t>Triple Sharing</t>
        </is>
      </c>
      <c r="D24" s="10" t="n">
        <v>3</v>
      </c>
      <c r="E24" s="9" t="inlineStr"/>
      <c r="F24" s="9" t="inlineStr"/>
      <c r="G24" s="9" t="inlineStr"/>
      <c r="H24" s="10" t="n">
        <v>2</v>
      </c>
      <c r="I24" s="37">
        <f>IFERROR(D24-H24,"")</f>
        <v/>
      </c>
      <c r="J24" s="10" t="inlineStr">
        <is>
          <t>Partially Occupied</t>
        </is>
      </c>
    </row>
    <row r="25" ht="22" customHeight="1">
      <c r="B25" s="14" t="inlineStr">
        <is>
          <t>121</t>
        </is>
      </c>
      <c r="C25" s="16" t="inlineStr">
        <is>
          <t>Dormitory (4+)</t>
        </is>
      </c>
      <c r="D25" s="16" t="n">
        <v>3</v>
      </c>
      <c r="E25" s="15" t="inlineStr"/>
      <c r="F25" s="15" t="inlineStr"/>
      <c r="G25" s="15" t="inlineStr"/>
      <c r="H25" s="16" t="n">
        <v>3</v>
      </c>
      <c r="I25" s="36">
        <f>IFERROR(D25-H25,"")</f>
        <v/>
      </c>
      <c r="J25" s="16" t="inlineStr">
        <is>
          <t>Full</t>
        </is>
      </c>
    </row>
    <row r="26" ht="22" customHeight="1">
      <c r="B26" s="8" t="inlineStr">
        <is>
          <t>122</t>
        </is>
      </c>
      <c r="C26" s="10" t="inlineStr">
        <is>
          <t>Double Sharing</t>
        </is>
      </c>
      <c r="D26" s="10" t="n">
        <v>3</v>
      </c>
      <c r="E26" s="9" t="inlineStr"/>
      <c r="F26" s="9" t="inlineStr"/>
      <c r="G26" s="9" t="inlineStr"/>
      <c r="H26" s="10" t="n">
        <v>1</v>
      </c>
      <c r="I26" s="37">
        <f>IFERROR(D26-H26,"")</f>
        <v/>
      </c>
      <c r="J26" s="10" t="inlineStr">
        <is>
          <t>Full</t>
        </is>
      </c>
    </row>
    <row r="27" ht="22" customHeight="1">
      <c r="B27" s="14" t="inlineStr">
        <is>
          <t>123</t>
        </is>
      </c>
      <c r="C27" s="16" t="inlineStr">
        <is>
          <t>Triple Sharing</t>
        </is>
      </c>
      <c r="D27" s="16" t="n">
        <v>3</v>
      </c>
      <c r="E27" s="15" t="inlineStr"/>
      <c r="F27" s="15" t="inlineStr"/>
      <c r="G27" s="15" t="inlineStr"/>
      <c r="H27" s="16" t="n">
        <v>2</v>
      </c>
      <c r="I27" s="36">
        <f>IFERROR(D27-H27,"")</f>
        <v/>
      </c>
      <c r="J27" s="16" t="inlineStr">
        <is>
          <t>Full</t>
        </is>
      </c>
    </row>
    <row r="28" ht="22" customHeight="1">
      <c r="B28" s="8" t="inlineStr">
        <is>
          <t>124</t>
        </is>
      </c>
      <c r="C28" s="10" t="inlineStr">
        <is>
          <t>Dormitory (4+)</t>
        </is>
      </c>
      <c r="D28" s="10" t="n">
        <v>3</v>
      </c>
      <c r="E28" s="9" t="inlineStr"/>
      <c r="F28" s="9" t="inlineStr"/>
      <c r="G28" s="9" t="inlineStr"/>
      <c r="H28" s="10" t="n">
        <v>3</v>
      </c>
      <c r="I28" s="37">
        <f>IFERROR(D28-H28,"")</f>
        <v/>
      </c>
      <c r="J28" s="10" t="inlineStr">
        <is>
          <t>Full</t>
        </is>
      </c>
    </row>
    <row r="29" ht="22" customHeight="1">
      <c r="B29" s="14" t="inlineStr">
        <is>
          <t>125</t>
        </is>
      </c>
      <c r="C29" s="16" t="inlineStr">
        <is>
          <t>Double Sharing</t>
        </is>
      </c>
      <c r="D29" s="16" t="n">
        <v>3</v>
      </c>
      <c r="E29" s="15" t="inlineStr"/>
      <c r="F29" s="15" t="inlineStr"/>
      <c r="G29" s="15" t="inlineStr"/>
      <c r="H29" s="16" t="n">
        <v>1</v>
      </c>
      <c r="I29" s="36">
        <f>IFERROR(D29-H29,"")</f>
        <v/>
      </c>
      <c r="J29" s="16" t="inlineStr">
        <is>
          <t>Partially Occupied</t>
        </is>
      </c>
    </row>
    <row r="30" ht="22" customHeight="1">
      <c r="B30" s="8" t="inlineStr">
        <is>
          <t>126</t>
        </is>
      </c>
      <c r="C30" s="10" t="inlineStr">
        <is>
          <t>Triple Sharing</t>
        </is>
      </c>
      <c r="D30" s="10" t="n">
        <v>3</v>
      </c>
      <c r="E30" s="9" t="inlineStr"/>
      <c r="F30" s="9" t="inlineStr"/>
      <c r="G30" s="9" t="inlineStr"/>
      <c r="H30" s="10" t="n">
        <v>2</v>
      </c>
      <c r="I30" s="37">
        <f>IFERROR(D30-H30,"")</f>
        <v/>
      </c>
      <c r="J30" s="10" t="inlineStr">
        <is>
          <t>Full</t>
        </is>
      </c>
    </row>
    <row r="31" ht="22" customHeight="1">
      <c r="B31" s="14" t="inlineStr">
        <is>
          <t>127</t>
        </is>
      </c>
      <c r="C31" s="16" t="inlineStr">
        <is>
          <t>Dormitory (4+)</t>
        </is>
      </c>
      <c r="D31" s="16" t="n">
        <v>3</v>
      </c>
      <c r="E31" s="15" t="inlineStr"/>
      <c r="F31" s="15" t="inlineStr"/>
      <c r="G31" s="15" t="inlineStr"/>
      <c r="H31" s="16" t="n">
        <v>3</v>
      </c>
      <c r="I31" s="36">
        <f>IFERROR(D31-H31,"")</f>
        <v/>
      </c>
      <c r="J31" s="16" t="inlineStr">
        <is>
          <t>Full</t>
        </is>
      </c>
    </row>
    <row r="32" ht="22" customHeight="1">
      <c r="B32" s="8" t="inlineStr">
        <is>
          <t>128</t>
        </is>
      </c>
      <c r="C32" s="10" t="inlineStr">
        <is>
          <t>Double Sharing</t>
        </is>
      </c>
      <c r="D32" s="10" t="n">
        <v>3</v>
      </c>
      <c r="E32" s="9" t="inlineStr"/>
      <c r="F32" s="9" t="inlineStr"/>
      <c r="G32" s="9" t="inlineStr"/>
      <c r="H32" s="10" t="n">
        <v>1</v>
      </c>
      <c r="I32" s="37">
        <f>IFERROR(D32-H32,"")</f>
        <v/>
      </c>
      <c r="J32" s="10" t="inlineStr">
        <is>
          <t>Full</t>
        </is>
      </c>
    </row>
    <row r="33" ht="22" customHeight="1">
      <c r="B33" s="14" t="inlineStr">
        <is>
          <t>129</t>
        </is>
      </c>
      <c r="C33" s="16" t="inlineStr">
        <is>
          <t>Triple Sharing</t>
        </is>
      </c>
      <c r="D33" s="16" t="n">
        <v>3</v>
      </c>
      <c r="E33" s="15" t="inlineStr"/>
      <c r="F33" s="15" t="inlineStr"/>
      <c r="G33" s="15" t="inlineStr"/>
      <c r="H33" s="16" t="n">
        <v>2</v>
      </c>
      <c r="I33" s="36">
        <f>IFERROR(D33-H33,"")</f>
        <v/>
      </c>
      <c r="J33" s="16" t="inlineStr">
        <is>
          <t>Full</t>
        </is>
      </c>
    </row>
    <row r="34" ht="22" customHeight="1">
      <c r="B34" s="8" t="inlineStr">
        <is>
          <t>130</t>
        </is>
      </c>
      <c r="C34" s="10" t="inlineStr">
        <is>
          <t>Dormitory (4+)</t>
        </is>
      </c>
      <c r="D34" s="10" t="n">
        <v>3</v>
      </c>
      <c r="E34" s="9" t="inlineStr"/>
      <c r="F34" s="9" t="inlineStr"/>
      <c r="G34" s="9" t="inlineStr"/>
      <c r="H34" s="10" t="n">
        <v>3</v>
      </c>
      <c r="I34" s="37">
        <f>IFERROR(D34-H34,"")</f>
        <v/>
      </c>
      <c r="J34" s="10" t="inlineStr">
        <is>
          <t>Partially Occupied</t>
        </is>
      </c>
    </row>
    <row r="35" ht="22" customHeight="1">
      <c r="B35" s="14" t="inlineStr">
        <is>
          <t>131</t>
        </is>
      </c>
      <c r="C35" s="16" t="inlineStr">
        <is>
          <t>Double Sharing</t>
        </is>
      </c>
      <c r="D35" s="16" t="n">
        <v>3</v>
      </c>
      <c r="E35" s="15" t="inlineStr"/>
      <c r="F35" s="15" t="inlineStr"/>
      <c r="G35" s="15" t="inlineStr"/>
      <c r="H35" s="16" t="n">
        <v>1</v>
      </c>
      <c r="I35" s="36">
        <f>IFERROR(D35-H35,"")</f>
        <v/>
      </c>
      <c r="J35" s="16" t="inlineStr">
        <is>
          <t>Full</t>
        </is>
      </c>
    </row>
    <row r="36" ht="22" customHeight="1">
      <c r="B36" s="8" t="inlineStr">
        <is>
          <t>132</t>
        </is>
      </c>
      <c r="C36" s="10" t="inlineStr">
        <is>
          <t>Triple Sharing</t>
        </is>
      </c>
      <c r="D36" s="10" t="n">
        <v>3</v>
      </c>
      <c r="E36" s="9" t="inlineStr"/>
      <c r="F36" s="9" t="inlineStr"/>
      <c r="G36" s="9" t="inlineStr"/>
      <c r="H36" s="10" t="n">
        <v>2</v>
      </c>
      <c r="I36" s="37">
        <f>IFERROR(D36-H36,"")</f>
        <v/>
      </c>
      <c r="J36" s="10" t="inlineStr">
        <is>
          <t>Full</t>
        </is>
      </c>
    </row>
    <row r="37" ht="22" customHeight="1">
      <c r="B37" s="14" t="inlineStr">
        <is>
          <t>133</t>
        </is>
      </c>
      <c r="C37" s="16" t="inlineStr">
        <is>
          <t>Dormitory (4+)</t>
        </is>
      </c>
      <c r="D37" s="16" t="n">
        <v>3</v>
      </c>
      <c r="E37" s="15" t="inlineStr"/>
      <c r="F37" s="15" t="inlineStr"/>
      <c r="G37" s="15" t="inlineStr"/>
      <c r="H37" s="16" t="n">
        <v>3</v>
      </c>
      <c r="I37" s="36">
        <f>IFERROR(D37-H37,"")</f>
        <v/>
      </c>
      <c r="J37" s="16" t="inlineStr">
        <is>
          <t>Full</t>
        </is>
      </c>
    </row>
    <row r="38" ht="22" customHeight="1">
      <c r="B38" s="8" t="inlineStr">
        <is>
          <t>134</t>
        </is>
      </c>
      <c r="C38" s="10" t="inlineStr">
        <is>
          <t>Double Sharing</t>
        </is>
      </c>
      <c r="D38" s="10" t="n">
        <v>3</v>
      </c>
      <c r="E38" s="9" t="inlineStr"/>
      <c r="F38" s="9" t="inlineStr"/>
      <c r="G38" s="9" t="inlineStr"/>
      <c r="H38" s="10" t="n">
        <v>1</v>
      </c>
      <c r="I38" s="37">
        <f>IFERROR(D38-H38,"")</f>
        <v/>
      </c>
      <c r="J38" s="10" t="inlineStr">
        <is>
          <t>Full</t>
        </is>
      </c>
    </row>
    <row r="39" ht="22" customHeight="1">
      <c r="B39" s="14" t="inlineStr">
        <is>
          <t>135</t>
        </is>
      </c>
      <c r="C39" s="16" t="inlineStr">
        <is>
          <t>Triple Sharing</t>
        </is>
      </c>
      <c r="D39" s="16" t="n">
        <v>3</v>
      </c>
      <c r="E39" s="15" t="inlineStr"/>
      <c r="F39" s="15" t="inlineStr"/>
      <c r="G39" s="15" t="inlineStr"/>
      <c r="H39" s="16" t="n">
        <v>2</v>
      </c>
      <c r="I39" s="36">
        <f>IFERROR(D39-H39,"")</f>
        <v/>
      </c>
      <c r="J39" s="16" t="inlineStr">
        <is>
          <t>Partially Occupied</t>
        </is>
      </c>
    </row>
    <row r="40" ht="22" customHeight="1">
      <c r="B40" s="8" t="inlineStr">
        <is>
          <t>136</t>
        </is>
      </c>
      <c r="C40" s="10" t="inlineStr">
        <is>
          <t>Dormitory (4+)</t>
        </is>
      </c>
      <c r="D40" s="10" t="n">
        <v>3</v>
      </c>
      <c r="E40" s="9" t="inlineStr"/>
      <c r="F40" s="9" t="inlineStr"/>
      <c r="G40" s="9" t="inlineStr"/>
      <c r="H40" s="10" t="n">
        <v>3</v>
      </c>
      <c r="I40" s="37">
        <f>IFERROR(D40-H40,"")</f>
        <v/>
      </c>
      <c r="J40" s="10" t="inlineStr">
        <is>
          <t>Full</t>
        </is>
      </c>
    </row>
    <row r="41" ht="22" customHeight="1"/>
    <row r="42" ht="24" customHeight="1">
      <c r="B42" s="34" t="inlineStr">
        <is>
          <t>ROOM OCCUPANCY SUMMARY</t>
        </is>
      </c>
    </row>
    <row r="43" ht="22" customHeight="1">
      <c r="B43" s="38" t="inlineStr">
        <is>
          <t>Total Rooms</t>
        </is>
      </c>
      <c r="F43" s="36">
        <f>COUNTA(B5:B40)</f>
        <v/>
      </c>
    </row>
    <row r="44">
      <c r="B44" s="25" t="inlineStr">
        <is>
          <t>Fully Occupied Rooms</t>
        </is>
      </c>
      <c r="F44" s="37">
        <f>COUNTIF(J5:J40,"Full")</f>
        <v/>
      </c>
    </row>
    <row r="45">
      <c r="B45" s="38" t="inlineStr">
        <is>
          <t>Partially Occupied</t>
        </is>
      </c>
      <c r="F45" s="36">
        <f>COUNTIF(J5:J40,"Partially Occupied")</f>
        <v/>
      </c>
    </row>
    <row r="46">
      <c r="B46" s="25" t="inlineStr">
        <is>
          <t>Vacant Rooms</t>
        </is>
      </c>
      <c r="F46" s="37">
        <f>COUNTIF(J5:J40,"Vacant")</f>
        <v/>
      </c>
    </row>
    <row r="47">
      <c r="B47" s="38" t="inlineStr">
        <is>
          <t>Total Bed Capacity</t>
        </is>
      </c>
      <c r="F47" s="36">
        <f>IFERROR(SUM(D5:D40),"")</f>
        <v/>
      </c>
    </row>
    <row r="48">
      <c r="B48" s="25" t="inlineStr">
        <is>
          <t>Total Beds Occupied</t>
        </is>
      </c>
      <c r="F48" s="37">
        <f>IFERROR(SUM(H5:H40),"")</f>
        <v/>
      </c>
    </row>
  </sheetData>
  <mergeCells count="15">
    <mergeCell ref="B45:E45"/>
    <mergeCell ref="F44:J44"/>
    <mergeCell ref="F43:J43"/>
    <mergeCell ref="B3:J3"/>
    <mergeCell ref="B43:E43"/>
    <mergeCell ref="B42:J42"/>
    <mergeCell ref="F47:J47"/>
    <mergeCell ref="F48:J48"/>
    <mergeCell ref="B44:E44"/>
    <mergeCell ref="B48:E48"/>
    <mergeCell ref="F45:J45"/>
    <mergeCell ref="F46:J46"/>
    <mergeCell ref="B47:E47"/>
    <mergeCell ref="B46:E46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S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" customWidth="1" min="19" max="19"/>
  </cols>
  <sheetData>
    <row r="1" ht="10" customHeight="1"/>
    <row r="2" ht="48" customHeight="1">
      <c r="B2" s="12" t="inlineStr">
        <is>
          <t>HC-10: DAILY HOSTEL ATTENDANCE REGISTER</t>
        </is>
      </c>
    </row>
    <row r="3" ht="20" customHeight="1">
      <c r="B3" s="2" t="inlineStr">
        <is>
          <t>Hostel: _______  Month: _______  A.Y.: _______  Warden: ___________________  Attendance Time: 10:00 PM</t>
        </is>
      </c>
    </row>
    <row r="4" ht="25" customHeight="1">
      <c r="B4" s="13" t="inlineStr">
        <is>
          <t>Adm.
Ref.</t>
        </is>
      </c>
      <c r="C4" s="13" t="inlineStr">
        <is>
          <t>Student Name</t>
        </is>
      </c>
      <c r="D4" s="13" t="inlineStr">
        <is>
          <t>1</t>
        </is>
      </c>
      <c r="E4" s="13" t="inlineStr">
        <is>
          <t>2</t>
        </is>
      </c>
      <c r="F4" s="13" t="inlineStr">
        <is>
          <t>3</t>
        </is>
      </c>
      <c r="G4" s="13" t="inlineStr">
        <is>
          <t>4</t>
        </is>
      </c>
      <c r="H4" s="13" t="inlineStr">
        <is>
          <t>5</t>
        </is>
      </c>
      <c r="I4" s="13" t="inlineStr">
        <is>
          <t>6</t>
        </is>
      </c>
      <c r="J4" s="13" t="inlineStr">
        <is>
          <t>7</t>
        </is>
      </c>
      <c r="K4" s="13" t="inlineStr">
        <is>
          <t>8</t>
        </is>
      </c>
      <c r="L4" s="13" t="inlineStr">
        <is>
          <t>9</t>
        </is>
      </c>
      <c r="M4" s="13" t="inlineStr">
        <is>
          <t>10</t>
        </is>
      </c>
      <c r="N4" s="13" t="inlineStr">
        <is>
          <t>11</t>
        </is>
      </c>
      <c r="O4" s="13" t="inlineStr">
        <is>
          <t>12</t>
        </is>
      </c>
      <c r="P4" s="13" t="inlineStr">
        <is>
          <t>13</t>
        </is>
      </c>
      <c r="Q4" s="13" t="inlineStr">
        <is>
          <t>14</t>
        </is>
      </c>
      <c r="R4" s="13" t="inlineStr">
        <is>
          <t>15</t>
        </is>
      </c>
      <c r="S4" s="13" t="inlineStr">
        <is>
          <t>Present
Days</t>
        </is>
      </c>
    </row>
    <row r="5" ht="22" customHeight="1">
      <c r="B5" s="14" t="inlineStr">
        <is>
          <t>HA/0001</t>
        </is>
      </c>
      <c r="C5" s="15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6" t="inlineStr"/>
      <c r="S5" s="36">
        <f>IFERROR(COUNTIF(E5:S5,"P"),"")</f>
        <v/>
      </c>
    </row>
    <row r="6" ht="22" customHeight="1">
      <c r="B6" s="8" t="inlineStr">
        <is>
          <t>HA/0002</t>
        </is>
      </c>
      <c r="C6" s="9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37">
        <f>IFERROR(COUNTIF(E6:S6,"P"),"")</f>
        <v/>
      </c>
    </row>
    <row r="7" ht="22" customHeight="1">
      <c r="B7" s="14" t="inlineStr">
        <is>
          <t>HA/0003</t>
        </is>
      </c>
      <c r="C7" s="15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36">
        <f>IFERROR(COUNTIF(E7:S7,"P"),"")</f>
        <v/>
      </c>
    </row>
    <row r="8" ht="22" customHeight="1">
      <c r="B8" s="8" t="inlineStr">
        <is>
          <t>HA/0004</t>
        </is>
      </c>
      <c r="C8" s="9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37">
        <f>IFERROR(COUNTIF(E8:S8,"P"),"")</f>
        <v/>
      </c>
    </row>
    <row r="9" ht="22" customHeight="1">
      <c r="B9" s="14" t="inlineStr">
        <is>
          <t>HA/0005</t>
        </is>
      </c>
      <c r="C9" s="15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36">
        <f>IFERROR(COUNTIF(E9:S9,"P"),"")</f>
        <v/>
      </c>
    </row>
    <row r="10" ht="22" customHeight="1">
      <c r="B10" s="8" t="inlineStr">
        <is>
          <t>HA/0006</t>
        </is>
      </c>
      <c r="C10" s="9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37">
        <f>IFERROR(COUNTIF(E10:S10,"P"),"")</f>
        <v/>
      </c>
    </row>
    <row r="11" ht="22" customHeight="1">
      <c r="B11" s="14" t="inlineStr">
        <is>
          <t>HA/0007</t>
        </is>
      </c>
      <c r="C11" s="15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36">
        <f>IFERROR(COUNTIF(E11:S11,"P"),"")</f>
        <v/>
      </c>
    </row>
    <row r="12" ht="22" customHeight="1">
      <c r="B12" s="8" t="inlineStr">
        <is>
          <t>HA/0008</t>
        </is>
      </c>
      <c r="C12" s="9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37">
        <f>IFERROR(COUNTIF(E12:S12,"P"),"")</f>
        <v/>
      </c>
    </row>
    <row r="13" ht="22" customHeight="1">
      <c r="B13" s="14" t="inlineStr">
        <is>
          <t>HA/0009</t>
        </is>
      </c>
      <c r="C13" s="15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36">
        <f>IFERROR(COUNTIF(E13:S13,"P"),"")</f>
        <v/>
      </c>
    </row>
    <row r="14" ht="22" customHeight="1">
      <c r="B14" s="8" t="inlineStr">
        <is>
          <t>HA/0010</t>
        </is>
      </c>
      <c r="C14" s="9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37">
        <f>IFERROR(COUNTIF(E14:S14,"P"),"")</f>
        <v/>
      </c>
    </row>
    <row r="15" ht="22" customHeight="1">
      <c r="B15" s="14" t="inlineStr">
        <is>
          <t>HA/0011</t>
        </is>
      </c>
      <c r="C15" s="15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36">
        <f>IFERROR(COUNTIF(E15:S15,"P"),"")</f>
        <v/>
      </c>
    </row>
    <row r="16" ht="22" customHeight="1">
      <c r="B16" s="8" t="inlineStr">
        <is>
          <t>HA/0012</t>
        </is>
      </c>
      <c r="C16" s="9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37">
        <f>IFERROR(COUNTIF(E16:S16,"P"),"")</f>
        <v/>
      </c>
    </row>
    <row r="17" ht="22" customHeight="1">
      <c r="B17" s="14" t="inlineStr">
        <is>
          <t>HA/0013</t>
        </is>
      </c>
      <c r="C17" s="15" t="inlineStr"/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6" t="inlineStr"/>
      <c r="L17" s="16" t="inlineStr"/>
      <c r="M17" s="16" t="inlineStr"/>
      <c r="N17" s="16" t="inlineStr"/>
      <c r="O17" s="16" t="inlineStr"/>
      <c r="P17" s="16" t="inlineStr"/>
      <c r="Q17" s="16" t="inlineStr"/>
      <c r="R17" s="16" t="inlineStr"/>
      <c r="S17" s="36">
        <f>IFERROR(COUNTIF(E17:S17,"P"),"")</f>
        <v/>
      </c>
    </row>
    <row r="18" ht="22" customHeight="1">
      <c r="B18" s="8" t="inlineStr">
        <is>
          <t>HA/0014</t>
        </is>
      </c>
      <c r="C18" s="9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37">
        <f>IFERROR(COUNTIF(E18:S18,"P"),"")</f>
        <v/>
      </c>
    </row>
    <row r="19" ht="22" customHeight="1">
      <c r="B19" s="14" t="inlineStr">
        <is>
          <t>HA/0015</t>
        </is>
      </c>
      <c r="C19" s="15" t="inlineStr"/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6" t="inlineStr"/>
      <c r="L19" s="16" t="inlineStr"/>
      <c r="M19" s="16" t="inlineStr"/>
      <c r="N19" s="16" t="inlineStr"/>
      <c r="O19" s="16" t="inlineStr"/>
      <c r="P19" s="16" t="inlineStr"/>
      <c r="Q19" s="16" t="inlineStr"/>
      <c r="R19" s="16" t="inlineStr"/>
      <c r="S19" s="36">
        <f>IFERROR(COUNTIF(E19:S19,"P"),"")</f>
        <v/>
      </c>
    </row>
    <row r="20" ht="22" customHeight="1">
      <c r="B20" s="8" t="inlineStr">
        <is>
          <t>HA/0016</t>
        </is>
      </c>
      <c r="C20" s="9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37">
        <f>IFERROR(COUNTIF(E20:S20,"P"),"")</f>
        <v/>
      </c>
    </row>
    <row r="21" ht="22" customHeight="1">
      <c r="B21" s="14" t="inlineStr">
        <is>
          <t>HA/0017</t>
        </is>
      </c>
      <c r="C21" s="15" t="inlineStr"/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6" t="inlineStr"/>
      <c r="L21" s="16" t="inlineStr"/>
      <c r="M21" s="16" t="inlineStr"/>
      <c r="N21" s="16" t="inlineStr"/>
      <c r="O21" s="16" t="inlineStr"/>
      <c r="P21" s="16" t="inlineStr"/>
      <c r="Q21" s="16" t="inlineStr"/>
      <c r="R21" s="16" t="inlineStr"/>
      <c r="S21" s="36">
        <f>IFERROR(COUNTIF(E21:S21,"P"),"")</f>
        <v/>
      </c>
    </row>
    <row r="22" ht="22" customHeight="1">
      <c r="B22" s="8" t="inlineStr">
        <is>
          <t>HA/0018</t>
        </is>
      </c>
      <c r="C22" s="9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37">
        <f>IFERROR(COUNTIF(E22:S22,"P"),"")</f>
        <v/>
      </c>
    </row>
    <row r="23" ht="22" customHeight="1">
      <c r="B23" s="14" t="inlineStr">
        <is>
          <t>HA/0019</t>
        </is>
      </c>
      <c r="C23" s="15" t="inlineStr"/>
      <c r="D23" s="16" t="inlineStr"/>
      <c r="E23" s="16" t="inlineStr"/>
      <c r="F23" s="16" t="inlineStr"/>
      <c r="G23" s="16" t="inlineStr"/>
      <c r="H23" s="16" t="inlineStr"/>
      <c r="I23" s="16" t="inlineStr"/>
      <c r="J23" s="16" t="inlineStr"/>
      <c r="K23" s="16" t="inlineStr"/>
      <c r="L23" s="16" t="inlineStr"/>
      <c r="M23" s="16" t="inlineStr"/>
      <c r="N23" s="16" t="inlineStr"/>
      <c r="O23" s="16" t="inlineStr"/>
      <c r="P23" s="16" t="inlineStr"/>
      <c r="Q23" s="16" t="inlineStr"/>
      <c r="R23" s="16" t="inlineStr"/>
      <c r="S23" s="36">
        <f>IFERROR(COUNTIF(E23:S23,"P"),"")</f>
        <v/>
      </c>
    </row>
    <row r="24" ht="22" customHeight="1">
      <c r="B24" s="8" t="inlineStr">
        <is>
          <t>HA/0020</t>
        </is>
      </c>
      <c r="C24" s="9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37">
        <f>IFERROR(COUNTIF(E24:S24,"P"),"")</f>
        <v/>
      </c>
    </row>
    <row r="25" ht="22" customHeight="1">
      <c r="B25" s="14" t="inlineStr">
        <is>
          <t>HA/0021</t>
        </is>
      </c>
      <c r="C25" s="15" t="inlineStr"/>
      <c r="D25" s="16" t="inlineStr"/>
      <c r="E25" s="16" t="inlineStr"/>
      <c r="F25" s="16" t="inlineStr"/>
      <c r="G25" s="16" t="inlineStr"/>
      <c r="H25" s="16" t="inlineStr"/>
      <c r="I25" s="16" t="inlineStr"/>
      <c r="J25" s="16" t="inlineStr"/>
      <c r="K25" s="16" t="inlineStr"/>
      <c r="L25" s="16" t="inlineStr"/>
      <c r="M25" s="16" t="inlineStr"/>
      <c r="N25" s="16" t="inlineStr"/>
      <c r="O25" s="16" t="inlineStr"/>
      <c r="P25" s="16" t="inlineStr"/>
      <c r="Q25" s="16" t="inlineStr"/>
      <c r="R25" s="16" t="inlineStr"/>
      <c r="S25" s="36">
        <f>IFERROR(COUNTIF(E25:S25,"P"),"")</f>
        <v/>
      </c>
    </row>
    <row r="26" ht="22" customHeight="1">
      <c r="B26" s="8" t="inlineStr">
        <is>
          <t>HA/0022</t>
        </is>
      </c>
      <c r="C26" s="9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37">
        <f>IFERROR(COUNTIF(E26:S26,"P"),"")</f>
        <v/>
      </c>
    </row>
    <row r="27" ht="22" customHeight="1">
      <c r="B27" s="14" t="inlineStr">
        <is>
          <t>HA/0023</t>
        </is>
      </c>
      <c r="C27" s="15" t="inlineStr"/>
      <c r="D27" s="16" t="inlineStr"/>
      <c r="E27" s="16" t="inlineStr"/>
      <c r="F27" s="16" t="inlineStr"/>
      <c r="G27" s="16" t="inlineStr"/>
      <c r="H27" s="16" t="inlineStr"/>
      <c r="I27" s="16" t="inlineStr"/>
      <c r="J27" s="16" t="inlineStr"/>
      <c r="K27" s="16" t="inlineStr"/>
      <c r="L27" s="16" t="inlineStr"/>
      <c r="M27" s="16" t="inlineStr"/>
      <c r="N27" s="16" t="inlineStr"/>
      <c r="O27" s="16" t="inlineStr"/>
      <c r="P27" s="16" t="inlineStr"/>
      <c r="Q27" s="16" t="inlineStr"/>
      <c r="R27" s="16" t="inlineStr"/>
      <c r="S27" s="36">
        <f>IFERROR(COUNTIF(E27:S27,"P"),"")</f>
        <v/>
      </c>
    </row>
    <row r="28" ht="22" customHeight="1">
      <c r="B28" s="8" t="inlineStr">
        <is>
          <t>HA/0024</t>
        </is>
      </c>
      <c r="C28" s="9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37">
        <f>IFERROR(COUNTIF(E28:S28,"P"),"")</f>
        <v/>
      </c>
    </row>
    <row r="29" ht="22" customHeight="1">
      <c r="B29" s="14" t="inlineStr">
        <is>
          <t>HA/0025</t>
        </is>
      </c>
      <c r="C29" s="15" t="inlineStr"/>
      <c r="D29" s="16" t="inlineStr"/>
      <c r="E29" s="16" t="inlineStr"/>
      <c r="F29" s="16" t="inlineStr"/>
      <c r="G29" s="16" t="inlineStr"/>
      <c r="H29" s="16" t="inlineStr"/>
      <c r="I29" s="16" t="inlineStr"/>
      <c r="J29" s="16" t="inlineStr"/>
      <c r="K29" s="16" t="inlineStr"/>
      <c r="L29" s="16" t="inlineStr"/>
      <c r="M29" s="16" t="inlineStr"/>
      <c r="N29" s="16" t="inlineStr"/>
      <c r="O29" s="16" t="inlineStr"/>
      <c r="P29" s="16" t="inlineStr"/>
      <c r="Q29" s="16" t="inlineStr"/>
      <c r="R29" s="16" t="inlineStr"/>
      <c r="S29" s="36">
        <f>IFERROR(COUNTIF(E29:S29,"P"),"")</f>
        <v/>
      </c>
    </row>
    <row r="30" ht="22" customHeight="1">
      <c r="B30" s="8" t="inlineStr">
        <is>
          <t>HA/0026</t>
        </is>
      </c>
      <c r="C30" s="9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37">
        <f>IFERROR(COUNTIF(E30:S30,"P"),"")</f>
        <v/>
      </c>
    </row>
    <row r="31" ht="22" customHeight="1">
      <c r="B31" s="14" t="inlineStr">
        <is>
          <t>HA/0027</t>
        </is>
      </c>
      <c r="C31" s="15" t="inlineStr"/>
      <c r="D31" s="16" t="inlineStr"/>
      <c r="E31" s="16" t="inlineStr"/>
      <c r="F31" s="16" t="inlineStr"/>
      <c r="G31" s="16" t="inlineStr"/>
      <c r="H31" s="16" t="inlineStr"/>
      <c r="I31" s="16" t="inlineStr"/>
      <c r="J31" s="16" t="inlineStr"/>
      <c r="K31" s="16" t="inlineStr"/>
      <c r="L31" s="16" t="inlineStr"/>
      <c r="M31" s="16" t="inlineStr"/>
      <c r="N31" s="16" t="inlineStr"/>
      <c r="O31" s="16" t="inlineStr"/>
      <c r="P31" s="16" t="inlineStr"/>
      <c r="Q31" s="16" t="inlineStr"/>
      <c r="R31" s="16" t="inlineStr"/>
      <c r="S31" s="36">
        <f>IFERROR(COUNTIF(E31:S31,"P"),"")</f>
        <v/>
      </c>
    </row>
    <row r="32" ht="22" customHeight="1">
      <c r="B32" s="8" t="inlineStr">
        <is>
          <t>HA/0028</t>
        </is>
      </c>
      <c r="C32" s="9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37">
        <f>IFERROR(COUNTIF(E32:S32,"P"),"")</f>
        <v/>
      </c>
    </row>
    <row r="33" ht="22" customHeight="1">
      <c r="B33" s="14" t="inlineStr">
        <is>
          <t>HA/0029</t>
        </is>
      </c>
      <c r="C33" s="15" t="inlineStr"/>
      <c r="D33" s="16" t="inlineStr"/>
      <c r="E33" s="16" t="inlineStr"/>
      <c r="F33" s="16" t="inlineStr"/>
      <c r="G33" s="16" t="inlineStr"/>
      <c r="H33" s="16" t="inlineStr"/>
      <c r="I33" s="16" t="inlineStr"/>
      <c r="J33" s="16" t="inlineStr"/>
      <c r="K33" s="16" t="inlineStr"/>
      <c r="L33" s="16" t="inlineStr"/>
      <c r="M33" s="16" t="inlineStr"/>
      <c r="N33" s="16" t="inlineStr"/>
      <c r="O33" s="16" t="inlineStr"/>
      <c r="P33" s="16" t="inlineStr"/>
      <c r="Q33" s="16" t="inlineStr"/>
      <c r="R33" s="16" t="inlineStr"/>
      <c r="S33" s="36">
        <f>IFERROR(COUNTIF(E33:S33,"P"),"")</f>
        <v/>
      </c>
    </row>
    <row r="34" ht="22" customHeight="1">
      <c r="B34" s="8" t="inlineStr">
        <is>
          <t>HA/0030</t>
        </is>
      </c>
      <c r="C34" s="9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37">
        <f>IFERROR(COUNTIF(E34:S34,"P"),"")</f>
        <v/>
      </c>
    </row>
    <row r="35" ht="22" customHeight="1"/>
    <row r="36" ht="24" customHeight="1">
      <c r="B36" s="34" t="inlineStr">
        <is>
          <t>MONTHLY ATTENDANCE SUMMARY</t>
        </is>
      </c>
    </row>
    <row r="37" ht="22" customHeight="1">
      <c r="B37" s="38" t="inlineStr">
        <is>
          <t>Total Students</t>
        </is>
      </c>
      <c r="F37" s="36">
        <f>COUNTA(B5:B34)</f>
        <v/>
      </c>
    </row>
    <row r="38">
      <c r="B38" s="25" t="inlineStr">
        <is>
          <t>Students with 100% Attendance</t>
        </is>
      </c>
      <c r="F38" s="37">
        <f>COUNTIF(S5:S34,"="&amp;15)</f>
        <v/>
      </c>
    </row>
    <row r="39">
      <c r="B39" s="38" t="inlineStr">
        <is>
          <t>Students with &lt; 75% Attendance</t>
        </is>
      </c>
      <c r="F39" s="36">
        <f>COUNTIF(S5:S34,"&lt;"&amp;12)</f>
        <v/>
      </c>
    </row>
    <row r="40">
      <c r="B40" s="25" t="inlineStr">
        <is>
          <t>Average Attendance (%)</t>
        </is>
      </c>
      <c r="F40" s="37">
        <f>IFERROR(ROUND(AVERAGE(S5:S34)/15*100,1),"")</f>
        <v/>
      </c>
    </row>
    <row r="41">
      <c r="B41" s="38" t="inlineStr">
        <is>
          <t>Absentees Today (last column)</t>
        </is>
      </c>
      <c r="F41" s="36" t="inlineStr"/>
    </row>
    <row r="42">
      <c r="B42" s="25" t="inlineStr">
        <is>
          <t>Follow-up Calls Made</t>
        </is>
      </c>
      <c r="F42" s="37" t="inlineStr"/>
    </row>
  </sheetData>
  <mergeCells count="15">
    <mergeCell ref="B40:E40"/>
    <mergeCell ref="B41:E41"/>
    <mergeCell ref="F42:R42"/>
    <mergeCell ref="F40:R40"/>
    <mergeCell ref="F38:R38"/>
    <mergeCell ref="F41:R41"/>
    <mergeCell ref="B42:E42"/>
    <mergeCell ref="B38:E38"/>
    <mergeCell ref="B3:R3"/>
    <mergeCell ref="B2:R2"/>
    <mergeCell ref="B39:E39"/>
    <mergeCell ref="B37:E37"/>
    <mergeCell ref="F37:R37"/>
    <mergeCell ref="F39:R39"/>
    <mergeCell ref="B36:R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K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HC-12 / HC-13: GATE PASS REGISTER — OUTGOING &amp; INCOMING</t>
        </is>
      </c>
    </row>
    <row r="3" ht="20" customHeight="1">
      <c r="B3" s="17" t="inlineStr">
        <is>
          <t>All students leaving hostel must obtain gate pass from warden. Gate pass to mention purpose, destination, expected return time and contact number. Students not returning by scheduled time — parents to be informed.</t>
        </is>
      </c>
    </row>
    <row r="4" ht="25" customHeight="1">
      <c r="B4" s="39" t="inlineStr">
        <is>
          <t>GP
Ref.</t>
        </is>
      </c>
      <c r="C4" s="39" t="inlineStr">
        <is>
          <t>Student Name</t>
        </is>
      </c>
      <c r="D4" s="39" t="inlineStr">
        <is>
          <t>Room No.</t>
        </is>
      </c>
      <c r="E4" s="39" t="inlineStr">
        <is>
          <t>Date
Out</t>
        </is>
      </c>
      <c r="F4" s="39" t="inlineStr">
        <is>
          <t>Time
Out</t>
        </is>
      </c>
      <c r="G4" s="39" t="inlineStr">
        <is>
          <t>Destination /
Purpose</t>
        </is>
      </c>
      <c r="H4" s="39" t="inlineStr">
        <is>
          <t>Expected
Return</t>
        </is>
      </c>
      <c r="I4" s="39" t="inlineStr">
        <is>
          <t>Warden
Approval</t>
        </is>
      </c>
      <c r="J4" s="39" t="inlineStr">
        <is>
          <t>Actual
Return</t>
        </is>
      </c>
      <c r="K4" s="39" t="inlineStr">
        <is>
          <t>Status</t>
        </is>
      </c>
    </row>
    <row r="5" ht="22" customHeight="1">
      <c r="B5" s="40" t="inlineStr">
        <is>
          <t>GP/0001</t>
        </is>
      </c>
      <c r="C5" s="41" t="inlineStr"/>
      <c r="D5" s="42" t="inlineStr"/>
      <c r="E5" s="42" t="inlineStr"/>
      <c r="F5" s="42" t="inlineStr"/>
      <c r="G5" s="41" t="inlineStr">
        <is>
          <t>Local outing / Shopping</t>
        </is>
      </c>
      <c r="H5" s="42" t="inlineStr"/>
      <c r="I5" s="42" t="inlineStr">
        <is>
          <t>Y</t>
        </is>
      </c>
      <c r="J5" s="42" t="inlineStr"/>
      <c r="K5" s="42" t="inlineStr">
        <is>
          <t>Returned</t>
        </is>
      </c>
    </row>
    <row r="6" ht="22" customHeight="1">
      <c r="B6" s="8" t="inlineStr">
        <is>
          <t>GP/0002</t>
        </is>
      </c>
      <c r="C6" s="9" t="inlineStr"/>
      <c r="D6" s="10" t="inlineStr"/>
      <c r="E6" s="10" t="inlineStr"/>
      <c r="F6" s="10" t="inlineStr"/>
      <c r="G6" s="9" t="inlineStr">
        <is>
          <t>Home visit (within day)</t>
        </is>
      </c>
      <c r="H6" s="10" t="inlineStr"/>
      <c r="I6" s="10" t="inlineStr">
        <is>
          <t>Y</t>
        </is>
      </c>
      <c r="J6" s="10" t="inlineStr"/>
      <c r="K6" s="10" t="inlineStr">
        <is>
          <t>Returned</t>
        </is>
      </c>
    </row>
    <row r="7" ht="22" customHeight="1">
      <c r="B7" s="40" t="inlineStr">
        <is>
          <t>GP/0003</t>
        </is>
      </c>
      <c r="C7" s="41" t="inlineStr"/>
      <c r="D7" s="42" t="inlineStr"/>
      <c r="E7" s="42" t="inlineStr"/>
      <c r="F7" s="42" t="inlineStr"/>
      <c r="G7" s="41" t="inlineStr">
        <is>
          <t>Medical appointment</t>
        </is>
      </c>
      <c r="H7" s="42" t="inlineStr"/>
      <c r="I7" s="42" t="inlineStr">
        <is>
          <t>Y</t>
        </is>
      </c>
      <c r="J7" s="42" t="inlineStr"/>
      <c r="K7" s="42" t="inlineStr">
        <is>
          <t>Returned</t>
        </is>
      </c>
    </row>
    <row r="8" ht="22" customHeight="1">
      <c r="B8" s="8" t="inlineStr">
        <is>
          <t>GP/0004</t>
        </is>
      </c>
      <c r="C8" s="9" t="inlineStr"/>
      <c r="D8" s="10" t="inlineStr"/>
      <c r="E8" s="10" t="inlineStr"/>
      <c r="F8" s="10" t="inlineStr"/>
      <c r="G8" s="9" t="inlineStr">
        <is>
          <t>Coaching / tuition class</t>
        </is>
      </c>
      <c r="H8" s="10" t="inlineStr"/>
      <c r="I8" s="10" t="inlineStr">
        <is>
          <t>Y</t>
        </is>
      </c>
      <c r="J8" s="10" t="inlineStr"/>
      <c r="K8" s="10" t="inlineStr">
        <is>
          <t>Returned</t>
        </is>
      </c>
    </row>
    <row r="9" ht="22" customHeight="1">
      <c r="B9" s="40" t="inlineStr">
        <is>
          <t>GP/0005</t>
        </is>
      </c>
      <c r="C9" s="41" t="inlineStr"/>
      <c r="D9" s="42" t="inlineStr"/>
      <c r="E9" s="42" t="inlineStr"/>
      <c r="F9" s="42" t="inlineStr"/>
      <c r="G9" s="41" t="inlineStr">
        <is>
          <t>Educational visit</t>
        </is>
      </c>
      <c r="H9" s="42" t="inlineStr"/>
      <c r="I9" s="42" t="inlineStr">
        <is>
          <t>Y</t>
        </is>
      </c>
      <c r="J9" s="42" t="inlineStr"/>
      <c r="K9" s="42" t="inlineStr">
        <is>
          <t>Returned</t>
        </is>
      </c>
    </row>
    <row r="10" ht="22" customHeight="1">
      <c r="B10" s="8" t="inlineStr">
        <is>
          <t>GP/0006</t>
        </is>
      </c>
      <c r="C10" s="9" t="inlineStr"/>
      <c r="D10" s="10" t="inlineStr"/>
      <c r="E10" s="10" t="inlineStr"/>
      <c r="F10" s="10" t="inlineStr"/>
      <c r="G10" s="9" t="inlineStr">
        <is>
          <t>Sports event</t>
        </is>
      </c>
      <c r="H10" s="10" t="inlineStr"/>
      <c r="I10" s="10" t="inlineStr">
        <is>
          <t>Y</t>
        </is>
      </c>
      <c r="J10" s="10" t="inlineStr"/>
      <c r="K10" s="10" t="inlineStr">
        <is>
          <t>Returned</t>
        </is>
      </c>
    </row>
    <row r="11" ht="22" customHeight="1">
      <c r="B11" s="40" t="inlineStr">
        <is>
          <t>GP/0007</t>
        </is>
      </c>
      <c r="C11" s="41" t="inlineStr"/>
      <c r="D11" s="42" t="inlineStr"/>
      <c r="E11" s="42" t="inlineStr"/>
      <c r="F11" s="42" t="inlineStr"/>
      <c r="G11" s="41" t="inlineStr">
        <is>
          <t>Cultural programme</t>
        </is>
      </c>
      <c r="H11" s="42" t="inlineStr"/>
      <c r="I11" s="42" t="inlineStr">
        <is>
          <t>Y</t>
        </is>
      </c>
      <c r="J11" s="42" t="inlineStr"/>
      <c r="K11" s="42" t="inlineStr">
        <is>
          <t>Returned</t>
        </is>
      </c>
    </row>
    <row r="12" ht="22" customHeight="1">
      <c r="B12" s="8" t="inlineStr">
        <is>
          <t>GP/0008</t>
        </is>
      </c>
      <c r="C12" s="9" t="inlineStr"/>
      <c r="D12" s="10" t="inlineStr"/>
      <c r="E12" s="10" t="inlineStr"/>
      <c r="F12" s="10" t="inlineStr"/>
      <c r="G12" s="9" t="inlineStr">
        <is>
          <t>Emergency</t>
        </is>
      </c>
      <c r="H12" s="10" t="inlineStr"/>
      <c r="I12" s="10" t="inlineStr">
        <is>
          <t>Y</t>
        </is>
      </c>
      <c r="J12" s="10" t="inlineStr"/>
      <c r="K12" s="10" t="inlineStr">
        <is>
          <t>Returned</t>
        </is>
      </c>
    </row>
    <row r="13" ht="22" customHeight="1">
      <c r="B13" s="40" t="inlineStr">
        <is>
          <t>GP/0009</t>
        </is>
      </c>
      <c r="C13" s="41" t="inlineStr"/>
      <c r="D13" s="42" t="inlineStr"/>
      <c r="E13" s="42" t="inlineStr"/>
      <c r="F13" s="42" t="inlineStr"/>
      <c r="G13" s="41" t="inlineStr">
        <is>
          <t>Official duty</t>
        </is>
      </c>
      <c r="H13" s="42" t="inlineStr"/>
      <c r="I13" s="42" t="inlineStr">
        <is>
          <t>Y</t>
        </is>
      </c>
      <c r="J13" s="42" t="inlineStr"/>
      <c r="K13" s="42" t="inlineStr">
        <is>
          <t>Returned</t>
        </is>
      </c>
    </row>
    <row r="14" ht="22" customHeight="1">
      <c r="B14" s="8" t="inlineStr">
        <is>
          <t>GP/0010</t>
        </is>
      </c>
      <c r="C14" s="9" t="inlineStr"/>
      <c r="D14" s="10" t="inlineStr"/>
      <c r="E14" s="10" t="inlineStr"/>
      <c r="F14" s="10" t="inlineStr"/>
      <c r="G14" s="9" t="inlineStr">
        <is>
          <t>Other approved purpose</t>
        </is>
      </c>
      <c r="H14" s="10" t="inlineStr"/>
      <c r="I14" s="10" t="inlineStr">
        <is>
          <t>Y</t>
        </is>
      </c>
      <c r="J14" s="10" t="inlineStr"/>
      <c r="K14" s="10" t="inlineStr">
        <is>
          <t>Returned</t>
        </is>
      </c>
    </row>
    <row r="15" ht="22" customHeight="1">
      <c r="B15" s="40" t="inlineStr">
        <is>
          <t>GP/0011</t>
        </is>
      </c>
      <c r="C15" s="41" t="inlineStr"/>
      <c r="D15" s="42" t="inlineStr"/>
      <c r="E15" s="42" t="inlineStr"/>
      <c r="F15" s="42" t="inlineStr"/>
      <c r="G15" s="41" t="inlineStr">
        <is>
          <t>Local outing / Shopping</t>
        </is>
      </c>
      <c r="H15" s="42" t="inlineStr"/>
      <c r="I15" s="42" t="inlineStr">
        <is>
          <t>Y</t>
        </is>
      </c>
      <c r="J15" s="42" t="inlineStr"/>
      <c r="K15" s="42" t="inlineStr">
        <is>
          <t>Returned</t>
        </is>
      </c>
    </row>
    <row r="16" ht="22" customHeight="1">
      <c r="B16" s="8" t="inlineStr">
        <is>
          <t>GP/0012</t>
        </is>
      </c>
      <c r="C16" s="9" t="inlineStr"/>
      <c r="D16" s="10" t="inlineStr"/>
      <c r="E16" s="10" t="inlineStr"/>
      <c r="F16" s="10" t="inlineStr"/>
      <c r="G16" s="9" t="inlineStr">
        <is>
          <t>Home visit (within day)</t>
        </is>
      </c>
      <c r="H16" s="10" t="inlineStr"/>
      <c r="I16" s="10" t="inlineStr">
        <is>
          <t>Y</t>
        </is>
      </c>
      <c r="J16" s="10" t="inlineStr"/>
      <c r="K16" s="10" t="inlineStr">
        <is>
          <t>Returned</t>
        </is>
      </c>
    </row>
    <row r="17" ht="22" customHeight="1">
      <c r="B17" s="40" t="inlineStr">
        <is>
          <t>GP/0013</t>
        </is>
      </c>
      <c r="C17" s="41" t="inlineStr"/>
      <c r="D17" s="42" t="inlineStr"/>
      <c r="E17" s="42" t="inlineStr"/>
      <c r="F17" s="42" t="inlineStr"/>
      <c r="G17" s="41" t="inlineStr">
        <is>
          <t>Medical appointment</t>
        </is>
      </c>
      <c r="H17" s="42" t="inlineStr"/>
      <c r="I17" s="42" t="inlineStr">
        <is>
          <t>Y</t>
        </is>
      </c>
      <c r="J17" s="42" t="inlineStr"/>
      <c r="K17" s="42" t="inlineStr">
        <is>
          <t>Returned</t>
        </is>
      </c>
    </row>
    <row r="18" ht="22" customHeight="1">
      <c r="B18" s="8" t="inlineStr">
        <is>
          <t>GP/0014</t>
        </is>
      </c>
      <c r="C18" s="9" t="inlineStr"/>
      <c r="D18" s="10" t="inlineStr"/>
      <c r="E18" s="10" t="inlineStr"/>
      <c r="F18" s="10" t="inlineStr"/>
      <c r="G18" s="9" t="inlineStr">
        <is>
          <t>Coaching / tuition class</t>
        </is>
      </c>
      <c r="H18" s="10" t="inlineStr"/>
      <c r="I18" s="10" t="inlineStr">
        <is>
          <t>Y</t>
        </is>
      </c>
      <c r="J18" s="10" t="inlineStr"/>
      <c r="K18" s="10" t="inlineStr">
        <is>
          <t>Returned</t>
        </is>
      </c>
    </row>
    <row r="19" ht="22" customHeight="1">
      <c r="B19" s="40" t="inlineStr">
        <is>
          <t>GP/0015</t>
        </is>
      </c>
      <c r="C19" s="41" t="inlineStr"/>
      <c r="D19" s="42" t="inlineStr"/>
      <c r="E19" s="42" t="inlineStr"/>
      <c r="F19" s="42" t="inlineStr"/>
      <c r="G19" s="41" t="inlineStr">
        <is>
          <t>Educational visit</t>
        </is>
      </c>
      <c r="H19" s="42" t="inlineStr"/>
      <c r="I19" s="42" t="inlineStr">
        <is>
          <t>Y</t>
        </is>
      </c>
      <c r="J19" s="42" t="inlineStr"/>
      <c r="K19" s="42" t="inlineStr">
        <is>
          <t>Returned</t>
        </is>
      </c>
    </row>
    <row r="20" ht="22" customHeight="1">
      <c r="B20" s="8" t="inlineStr">
        <is>
          <t>GP/0016</t>
        </is>
      </c>
      <c r="C20" s="9" t="inlineStr"/>
      <c r="D20" s="10" t="inlineStr"/>
      <c r="E20" s="10" t="inlineStr"/>
      <c r="F20" s="10" t="inlineStr"/>
      <c r="G20" s="9" t="inlineStr">
        <is>
          <t>Sports event</t>
        </is>
      </c>
      <c r="H20" s="10" t="inlineStr"/>
      <c r="I20" s="10" t="inlineStr">
        <is>
          <t>Y</t>
        </is>
      </c>
      <c r="J20" s="10" t="inlineStr"/>
      <c r="K20" s="10" t="inlineStr">
        <is>
          <t>Returned</t>
        </is>
      </c>
    </row>
    <row r="21" ht="22" customHeight="1">
      <c r="B21" s="40" t="inlineStr">
        <is>
          <t>GP/0017</t>
        </is>
      </c>
      <c r="C21" s="41" t="inlineStr"/>
      <c r="D21" s="42" t="inlineStr"/>
      <c r="E21" s="42" t="inlineStr"/>
      <c r="F21" s="42" t="inlineStr"/>
      <c r="G21" s="41" t="inlineStr">
        <is>
          <t>Cultural programme</t>
        </is>
      </c>
      <c r="H21" s="42" t="inlineStr"/>
      <c r="I21" s="42" t="inlineStr">
        <is>
          <t>Y</t>
        </is>
      </c>
      <c r="J21" s="42" t="inlineStr"/>
      <c r="K21" s="42" t="inlineStr">
        <is>
          <t>Returned</t>
        </is>
      </c>
    </row>
    <row r="22" ht="22" customHeight="1">
      <c r="B22" s="8" t="inlineStr">
        <is>
          <t>GP/0018</t>
        </is>
      </c>
      <c r="C22" s="9" t="inlineStr"/>
      <c r="D22" s="10" t="inlineStr"/>
      <c r="E22" s="10" t="inlineStr"/>
      <c r="F22" s="10" t="inlineStr"/>
      <c r="G22" s="9" t="inlineStr">
        <is>
          <t>Emergency</t>
        </is>
      </c>
      <c r="H22" s="10" t="inlineStr"/>
      <c r="I22" s="10" t="inlineStr">
        <is>
          <t>Y</t>
        </is>
      </c>
      <c r="J22" s="10" t="inlineStr"/>
      <c r="K22" s="10" t="inlineStr">
        <is>
          <t>Returned</t>
        </is>
      </c>
    </row>
    <row r="23" ht="22" customHeight="1">
      <c r="B23" s="40" t="inlineStr">
        <is>
          <t>GP/0019</t>
        </is>
      </c>
      <c r="C23" s="41" t="inlineStr"/>
      <c r="D23" s="42" t="inlineStr"/>
      <c r="E23" s="42" t="inlineStr"/>
      <c r="F23" s="42" t="inlineStr"/>
      <c r="G23" s="41" t="inlineStr">
        <is>
          <t>Official duty</t>
        </is>
      </c>
      <c r="H23" s="42" t="inlineStr"/>
      <c r="I23" s="42" t="inlineStr">
        <is>
          <t>Y</t>
        </is>
      </c>
      <c r="J23" s="42" t="inlineStr"/>
      <c r="K23" s="42" t="inlineStr">
        <is>
          <t>Returned</t>
        </is>
      </c>
    </row>
    <row r="24" ht="22" customHeight="1">
      <c r="B24" s="8" t="inlineStr">
        <is>
          <t>GP/0020</t>
        </is>
      </c>
      <c r="C24" s="9" t="inlineStr"/>
      <c r="D24" s="10" t="inlineStr"/>
      <c r="E24" s="10" t="inlineStr"/>
      <c r="F24" s="10" t="inlineStr"/>
      <c r="G24" s="9" t="inlineStr">
        <is>
          <t>Other approved purpose</t>
        </is>
      </c>
      <c r="H24" s="10" t="inlineStr"/>
      <c r="I24" s="10" t="inlineStr">
        <is>
          <t>Y</t>
        </is>
      </c>
      <c r="J24" s="10" t="inlineStr"/>
      <c r="K24" s="10" t="inlineStr">
        <is>
          <t>Returned</t>
        </is>
      </c>
    </row>
    <row r="25" ht="22" customHeight="1">
      <c r="B25" s="40" t="inlineStr">
        <is>
          <t>GP/0021</t>
        </is>
      </c>
      <c r="C25" s="41" t="inlineStr"/>
      <c r="D25" s="42" t="inlineStr"/>
      <c r="E25" s="42" t="inlineStr"/>
      <c r="F25" s="42" t="inlineStr"/>
      <c r="G25" s="41" t="inlineStr">
        <is>
          <t>Local outing / Shopping</t>
        </is>
      </c>
      <c r="H25" s="42" t="inlineStr"/>
      <c r="I25" s="42" t="inlineStr">
        <is>
          <t>Y</t>
        </is>
      </c>
      <c r="J25" s="42" t="inlineStr"/>
      <c r="K25" s="42" t="inlineStr">
        <is>
          <t>Returned</t>
        </is>
      </c>
    </row>
    <row r="26" ht="22" customHeight="1">
      <c r="B26" s="8" t="inlineStr">
        <is>
          <t>GP/0022</t>
        </is>
      </c>
      <c r="C26" s="9" t="inlineStr"/>
      <c r="D26" s="10" t="inlineStr"/>
      <c r="E26" s="10" t="inlineStr"/>
      <c r="F26" s="10" t="inlineStr"/>
      <c r="G26" s="9" t="inlineStr">
        <is>
          <t>Home visit (within day)</t>
        </is>
      </c>
      <c r="H26" s="10" t="inlineStr"/>
      <c r="I26" s="10" t="inlineStr">
        <is>
          <t>Y</t>
        </is>
      </c>
      <c r="J26" s="10" t="inlineStr"/>
      <c r="K26" s="10" t="inlineStr">
        <is>
          <t>Returned</t>
        </is>
      </c>
    </row>
    <row r="27" ht="22" customHeight="1">
      <c r="B27" s="40" t="inlineStr">
        <is>
          <t>GP/0023</t>
        </is>
      </c>
      <c r="C27" s="41" t="inlineStr"/>
      <c r="D27" s="42" t="inlineStr"/>
      <c r="E27" s="42" t="inlineStr"/>
      <c r="F27" s="42" t="inlineStr"/>
      <c r="G27" s="41" t="inlineStr">
        <is>
          <t>Medical appointment</t>
        </is>
      </c>
      <c r="H27" s="42" t="inlineStr"/>
      <c r="I27" s="42" t="inlineStr">
        <is>
          <t>Y</t>
        </is>
      </c>
      <c r="J27" s="42" t="inlineStr"/>
      <c r="K27" s="42" t="inlineStr">
        <is>
          <t>Returned</t>
        </is>
      </c>
    </row>
    <row r="28" ht="22" customHeight="1">
      <c r="B28" s="8" t="inlineStr">
        <is>
          <t>GP/0024</t>
        </is>
      </c>
      <c r="C28" s="9" t="inlineStr"/>
      <c r="D28" s="10" t="inlineStr"/>
      <c r="E28" s="10" t="inlineStr"/>
      <c r="F28" s="10" t="inlineStr"/>
      <c r="G28" s="9" t="inlineStr">
        <is>
          <t>Coaching / tuition class</t>
        </is>
      </c>
      <c r="H28" s="10" t="inlineStr"/>
      <c r="I28" s="10" t="inlineStr">
        <is>
          <t>Y</t>
        </is>
      </c>
      <c r="J28" s="10" t="inlineStr"/>
      <c r="K28" s="10" t="inlineStr">
        <is>
          <t>Returned</t>
        </is>
      </c>
    </row>
    <row r="29" ht="22" customHeight="1">
      <c r="B29" s="40" t="inlineStr">
        <is>
          <t>GP/0025</t>
        </is>
      </c>
      <c r="C29" s="41" t="inlineStr"/>
      <c r="D29" s="42" t="inlineStr"/>
      <c r="E29" s="42" t="inlineStr"/>
      <c r="F29" s="42" t="inlineStr"/>
      <c r="G29" s="41" t="inlineStr">
        <is>
          <t>Educational visit</t>
        </is>
      </c>
      <c r="H29" s="42" t="inlineStr"/>
      <c r="I29" s="42" t="inlineStr">
        <is>
          <t>Y</t>
        </is>
      </c>
      <c r="J29" s="42" t="inlineStr"/>
      <c r="K29" s="42" t="inlineStr">
        <is>
          <t>Returned</t>
        </is>
      </c>
    </row>
    <row r="30" ht="22" customHeight="1">
      <c r="B30" s="8" t="inlineStr">
        <is>
          <t>GP/0026</t>
        </is>
      </c>
      <c r="C30" s="9" t="inlineStr"/>
      <c r="D30" s="10" t="inlineStr"/>
      <c r="E30" s="10" t="inlineStr"/>
      <c r="F30" s="10" t="inlineStr"/>
      <c r="G30" s="9" t="inlineStr">
        <is>
          <t>Sports event</t>
        </is>
      </c>
      <c r="H30" s="10" t="inlineStr"/>
      <c r="I30" s="10" t="inlineStr">
        <is>
          <t>Y</t>
        </is>
      </c>
      <c r="J30" s="10" t="inlineStr"/>
      <c r="K30" s="10" t="inlineStr">
        <is>
          <t>Returned</t>
        </is>
      </c>
    </row>
    <row r="31" ht="22" customHeight="1">
      <c r="B31" s="40" t="inlineStr">
        <is>
          <t>GP/0027</t>
        </is>
      </c>
      <c r="C31" s="41" t="inlineStr"/>
      <c r="D31" s="42" t="inlineStr"/>
      <c r="E31" s="42" t="inlineStr"/>
      <c r="F31" s="42" t="inlineStr"/>
      <c r="G31" s="41" t="inlineStr">
        <is>
          <t>Cultural programme</t>
        </is>
      </c>
      <c r="H31" s="42" t="inlineStr"/>
      <c r="I31" s="42" t="inlineStr">
        <is>
          <t>Y</t>
        </is>
      </c>
      <c r="J31" s="42" t="inlineStr"/>
      <c r="K31" s="42" t="inlineStr">
        <is>
          <t>Returned</t>
        </is>
      </c>
    </row>
    <row r="32" ht="22" customHeight="1">
      <c r="B32" s="8" t="inlineStr">
        <is>
          <t>GP/0028</t>
        </is>
      </c>
      <c r="C32" s="9" t="inlineStr"/>
      <c r="D32" s="10" t="inlineStr"/>
      <c r="E32" s="10" t="inlineStr"/>
      <c r="F32" s="10" t="inlineStr"/>
      <c r="G32" s="9" t="inlineStr">
        <is>
          <t>Emergency</t>
        </is>
      </c>
      <c r="H32" s="10" t="inlineStr"/>
      <c r="I32" s="10" t="inlineStr">
        <is>
          <t>Y</t>
        </is>
      </c>
      <c r="J32" s="10" t="inlineStr"/>
      <c r="K32" s="10" t="inlineStr">
        <is>
          <t>Returned</t>
        </is>
      </c>
    </row>
    <row r="33" ht="22" customHeight="1"/>
    <row r="34" ht="24" customHeight="1">
      <c r="B34" s="34" t="inlineStr">
        <is>
          <t>GATE PASS STATISTICS</t>
        </is>
      </c>
    </row>
    <row r="35" ht="22" customHeight="1">
      <c r="B35" s="43" t="inlineStr">
        <is>
          <t>Total Gate Passes Issued</t>
        </is>
      </c>
      <c r="F35" s="36">
        <f>COUNTA(B5:B32)</f>
        <v/>
      </c>
    </row>
    <row r="36">
      <c r="B36" s="25" t="inlineStr">
        <is>
          <t>Returned on Time</t>
        </is>
      </c>
      <c r="F36" s="37">
        <f>COUNTIF(K5:K32,"Returned")</f>
        <v/>
      </c>
    </row>
    <row r="37">
      <c r="B37" s="43" t="inlineStr">
        <is>
          <t>Overstay / Late Return</t>
        </is>
      </c>
      <c r="F37" s="36">
        <f>COUNTIF(K5:K32,"Late Return")</f>
        <v/>
      </c>
    </row>
    <row r="38">
      <c r="B38" s="25" t="inlineStr">
        <is>
          <t>Missing / Not Returned</t>
        </is>
      </c>
      <c r="F38" s="37">
        <f>COUNTIF(K5:K32,"Not Returned")</f>
        <v/>
      </c>
    </row>
    <row r="39">
      <c r="B39" s="43" t="inlineStr">
        <is>
          <t>Medical / Emergency Passes</t>
        </is>
      </c>
      <c r="F39" s="36">
        <f>COUNTIF(G5:G32,"Medical appointment")+COUNTIF(G5:G32,"Emergency")</f>
        <v/>
      </c>
    </row>
    <row r="40">
      <c r="B40" s="25" t="inlineStr">
        <is>
          <t>Parent Informed (for late)</t>
        </is>
      </c>
      <c r="F40" s="37" t="inlineStr"/>
    </row>
  </sheetData>
  <mergeCells count="15">
    <mergeCell ref="B36:E36"/>
    <mergeCell ref="B40:E40"/>
    <mergeCell ref="F38:K38"/>
    <mergeCell ref="B35:E35"/>
    <mergeCell ref="F36:K36"/>
    <mergeCell ref="B37:E37"/>
    <mergeCell ref="B38:E38"/>
    <mergeCell ref="F40:K40"/>
    <mergeCell ref="B39:E39"/>
    <mergeCell ref="F35:K35"/>
    <mergeCell ref="B2:K2"/>
    <mergeCell ref="B34:K34"/>
    <mergeCell ref="F39:K39"/>
    <mergeCell ref="B3:K3"/>
    <mergeCell ref="F37:K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K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HC-14: OVERNIGHT / WEEKEND LEAVE REGISTER</t>
        </is>
      </c>
    </row>
    <row r="3" ht="20" customHeight="1">
      <c r="B3" s="17" t="inlineStr">
        <is>
          <t>Overnight / weekend leave requires: (1) Written application with parent/guardian consent, (2) Warden approval minimum 24 hours in advance, (3) Return on scheduled date. Failure to return on time = parent notification.</t>
        </is>
      </c>
    </row>
    <row r="4" ht="25" customHeight="1">
      <c r="B4" s="13" t="inlineStr">
        <is>
          <t>Leave
Ref.</t>
        </is>
      </c>
      <c r="C4" s="13" t="inlineStr">
        <is>
          <t>Student Name</t>
        </is>
      </c>
      <c r="D4" s="13" t="inlineStr">
        <is>
          <t>Room No.</t>
        </is>
      </c>
      <c r="E4" s="13" t="inlineStr">
        <is>
          <t>Leave
From</t>
        </is>
      </c>
      <c r="F4" s="13" t="inlineStr">
        <is>
          <t>Leave Upto
(Date)</t>
        </is>
      </c>
      <c r="G4" s="13" t="inlineStr">
        <is>
          <t>Destination
&amp; Address</t>
        </is>
      </c>
      <c r="H4" s="13" t="inlineStr">
        <is>
          <t>Parent
Consent</t>
        </is>
      </c>
      <c r="I4" s="13" t="inlineStr">
        <is>
          <t>Warden
Approval</t>
        </is>
      </c>
      <c r="J4" s="13" t="inlineStr">
        <is>
          <t>Actual
Return Date</t>
        </is>
      </c>
      <c r="K4" s="13" t="inlineStr">
        <is>
          <t>Status</t>
        </is>
      </c>
    </row>
    <row r="5" ht="22" customHeight="1">
      <c r="B5" s="14" t="inlineStr">
        <is>
          <t>LV/0001</t>
        </is>
      </c>
      <c r="C5" s="15" t="inlineStr"/>
      <c r="D5" s="16" t="inlineStr"/>
      <c r="E5" s="16" t="inlineStr"/>
      <c r="F5" s="16" t="inlineStr"/>
      <c r="G5" s="15" t="inlineStr"/>
      <c r="H5" s="16" t="inlineStr">
        <is>
          <t>Y</t>
        </is>
      </c>
      <c r="I5" s="16" t="inlineStr">
        <is>
          <t>Y</t>
        </is>
      </c>
      <c r="J5" s="16" t="inlineStr"/>
      <c r="K5" s="16" t="inlineStr">
        <is>
          <t>Returned on Time</t>
        </is>
      </c>
    </row>
    <row r="6" ht="22" customHeight="1">
      <c r="B6" s="8" t="inlineStr">
        <is>
          <t>LV/0002</t>
        </is>
      </c>
      <c r="C6" s="9" t="inlineStr"/>
      <c r="D6" s="10" t="inlineStr"/>
      <c r="E6" s="10" t="inlineStr"/>
      <c r="F6" s="10" t="inlineStr"/>
      <c r="G6" s="9" t="inlineStr"/>
      <c r="H6" s="10" t="inlineStr">
        <is>
          <t>Y</t>
        </is>
      </c>
      <c r="I6" s="10" t="inlineStr">
        <is>
          <t>Y</t>
        </is>
      </c>
      <c r="J6" s="10" t="inlineStr"/>
      <c r="K6" s="10" t="inlineStr">
        <is>
          <t>Returned on Time</t>
        </is>
      </c>
    </row>
    <row r="7" ht="22" customHeight="1">
      <c r="B7" s="14" t="inlineStr">
        <is>
          <t>LV/0003</t>
        </is>
      </c>
      <c r="C7" s="15" t="inlineStr"/>
      <c r="D7" s="16" t="inlineStr"/>
      <c r="E7" s="16" t="inlineStr"/>
      <c r="F7" s="16" t="inlineStr"/>
      <c r="G7" s="15" t="inlineStr"/>
      <c r="H7" s="16" t="inlineStr">
        <is>
          <t>Y</t>
        </is>
      </c>
      <c r="I7" s="16" t="inlineStr">
        <is>
          <t>Y</t>
        </is>
      </c>
      <c r="J7" s="16" t="inlineStr"/>
      <c r="K7" s="16" t="inlineStr">
        <is>
          <t>Returned on Time</t>
        </is>
      </c>
    </row>
    <row r="8" ht="22" customHeight="1">
      <c r="B8" s="8" t="inlineStr">
        <is>
          <t>LV/0004</t>
        </is>
      </c>
      <c r="C8" s="9" t="inlineStr"/>
      <c r="D8" s="10" t="inlineStr"/>
      <c r="E8" s="10" t="inlineStr"/>
      <c r="F8" s="10" t="inlineStr"/>
      <c r="G8" s="9" t="inlineStr"/>
      <c r="H8" s="10" t="inlineStr">
        <is>
          <t>Y</t>
        </is>
      </c>
      <c r="I8" s="10" t="inlineStr">
        <is>
          <t>Y</t>
        </is>
      </c>
      <c r="J8" s="10" t="inlineStr"/>
      <c r="K8" s="10" t="inlineStr">
        <is>
          <t>Returned on Time</t>
        </is>
      </c>
    </row>
    <row r="9" ht="22" customHeight="1">
      <c r="B9" s="14" t="inlineStr">
        <is>
          <t>LV/0005</t>
        </is>
      </c>
      <c r="C9" s="15" t="inlineStr"/>
      <c r="D9" s="16" t="inlineStr"/>
      <c r="E9" s="16" t="inlineStr"/>
      <c r="F9" s="16" t="inlineStr"/>
      <c r="G9" s="15" t="inlineStr"/>
      <c r="H9" s="16" t="inlineStr">
        <is>
          <t>Y</t>
        </is>
      </c>
      <c r="I9" s="16" t="inlineStr">
        <is>
          <t>Y</t>
        </is>
      </c>
      <c r="J9" s="16" t="inlineStr"/>
      <c r="K9" s="16" t="inlineStr">
        <is>
          <t>Returned on Time</t>
        </is>
      </c>
    </row>
    <row r="10" ht="22" customHeight="1">
      <c r="B10" s="8" t="inlineStr">
        <is>
          <t>LV/0006</t>
        </is>
      </c>
      <c r="C10" s="9" t="inlineStr"/>
      <c r="D10" s="10" t="inlineStr"/>
      <c r="E10" s="10" t="inlineStr"/>
      <c r="F10" s="10" t="inlineStr"/>
      <c r="G10" s="9" t="inlineStr"/>
      <c r="H10" s="10" t="inlineStr">
        <is>
          <t>Y</t>
        </is>
      </c>
      <c r="I10" s="10" t="inlineStr">
        <is>
          <t>Y</t>
        </is>
      </c>
      <c r="J10" s="10" t="inlineStr"/>
      <c r="K10" s="10" t="inlineStr">
        <is>
          <t>Returned on Time</t>
        </is>
      </c>
    </row>
    <row r="11" ht="22" customHeight="1">
      <c r="B11" s="14" t="inlineStr">
        <is>
          <t>LV/0007</t>
        </is>
      </c>
      <c r="C11" s="15" t="inlineStr"/>
      <c r="D11" s="16" t="inlineStr"/>
      <c r="E11" s="16" t="inlineStr"/>
      <c r="F11" s="16" t="inlineStr"/>
      <c r="G11" s="15" t="inlineStr"/>
      <c r="H11" s="16" t="inlineStr">
        <is>
          <t>Y</t>
        </is>
      </c>
      <c r="I11" s="16" t="inlineStr">
        <is>
          <t>Y</t>
        </is>
      </c>
      <c r="J11" s="16" t="inlineStr"/>
      <c r="K11" s="16" t="inlineStr">
        <is>
          <t>Returned on Time</t>
        </is>
      </c>
    </row>
    <row r="12" ht="22" customHeight="1">
      <c r="B12" s="8" t="inlineStr">
        <is>
          <t>LV/0008</t>
        </is>
      </c>
      <c r="C12" s="9" t="inlineStr"/>
      <c r="D12" s="10" t="inlineStr"/>
      <c r="E12" s="10" t="inlineStr"/>
      <c r="F12" s="10" t="inlineStr"/>
      <c r="G12" s="9" t="inlineStr"/>
      <c r="H12" s="10" t="inlineStr">
        <is>
          <t>Y</t>
        </is>
      </c>
      <c r="I12" s="10" t="inlineStr">
        <is>
          <t>Y</t>
        </is>
      </c>
      <c r="J12" s="10" t="inlineStr"/>
      <c r="K12" s="10" t="inlineStr">
        <is>
          <t>Returned on Time</t>
        </is>
      </c>
    </row>
    <row r="13" ht="22" customHeight="1">
      <c r="B13" s="14" t="inlineStr">
        <is>
          <t>LV/0009</t>
        </is>
      </c>
      <c r="C13" s="15" t="inlineStr"/>
      <c r="D13" s="16" t="inlineStr"/>
      <c r="E13" s="16" t="inlineStr"/>
      <c r="F13" s="16" t="inlineStr"/>
      <c r="G13" s="15" t="inlineStr"/>
      <c r="H13" s="16" t="inlineStr">
        <is>
          <t>Y</t>
        </is>
      </c>
      <c r="I13" s="16" t="inlineStr">
        <is>
          <t>Y</t>
        </is>
      </c>
      <c r="J13" s="16" t="inlineStr"/>
      <c r="K13" s="16" t="inlineStr">
        <is>
          <t>Returned on Time</t>
        </is>
      </c>
    </row>
    <row r="14" ht="22" customHeight="1">
      <c r="B14" s="8" t="inlineStr">
        <is>
          <t>LV/0010</t>
        </is>
      </c>
      <c r="C14" s="9" t="inlineStr"/>
      <c r="D14" s="10" t="inlineStr"/>
      <c r="E14" s="10" t="inlineStr"/>
      <c r="F14" s="10" t="inlineStr"/>
      <c r="G14" s="9" t="inlineStr"/>
      <c r="H14" s="10" t="inlineStr">
        <is>
          <t>Y</t>
        </is>
      </c>
      <c r="I14" s="10" t="inlineStr">
        <is>
          <t>Y</t>
        </is>
      </c>
      <c r="J14" s="10" t="inlineStr"/>
      <c r="K14" s="10" t="inlineStr">
        <is>
          <t>Returned on Time</t>
        </is>
      </c>
    </row>
    <row r="15" ht="22" customHeight="1">
      <c r="B15" s="14" t="inlineStr">
        <is>
          <t>LV/0011</t>
        </is>
      </c>
      <c r="C15" s="15" t="inlineStr"/>
      <c r="D15" s="16" t="inlineStr"/>
      <c r="E15" s="16" t="inlineStr"/>
      <c r="F15" s="16" t="inlineStr"/>
      <c r="G15" s="15" t="inlineStr"/>
      <c r="H15" s="16" t="inlineStr">
        <is>
          <t>Y</t>
        </is>
      </c>
      <c r="I15" s="16" t="inlineStr">
        <is>
          <t>Y</t>
        </is>
      </c>
      <c r="J15" s="16" t="inlineStr"/>
      <c r="K15" s="16" t="inlineStr">
        <is>
          <t>Returned on Time</t>
        </is>
      </c>
    </row>
    <row r="16" ht="22" customHeight="1">
      <c r="B16" s="8" t="inlineStr">
        <is>
          <t>LV/0012</t>
        </is>
      </c>
      <c r="C16" s="9" t="inlineStr"/>
      <c r="D16" s="10" t="inlineStr"/>
      <c r="E16" s="10" t="inlineStr"/>
      <c r="F16" s="10" t="inlineStr"/>
      <c r="G16" s="9" t="inlineStr"/>
      <c r="H16" s="10" t="inlineStr">
        <is>
          <t>Y</t>
        </is>
      </c>
      <c r="I16" s="10" t="inlineStr">
        <is>
          <t>Y</t>
        </is>
      </c>
      <c r="J16" s="10" t="inlineStr"/>
      <c r="K16" s="10" t="inlineStr">
        <is>
          <t>Returned on Time</t>
        </is>
      </c>
    </row>
    <row r="17" ht="22" customHeight="1">
      <c r="B17" s="14" t="inlineStr">
        <is>
          <t>LV/0013</t>
        </is>
      </c>
      <c r="C17" s="15" t="inlineStr"/>
      <c r="D17" s="16" t="inlineStr"/>
      <c r="E17" s="16" t="inlineStr"/>
      <c r="F17" s="16" t="inlineStr"/>
      <c r="G17" s="15" t="inlineStr"/>
      <c r="H17" s="16" t="inlineStr">
        <is>
          <t>Y</t>
        </is>
      </c>
      <c r="I17" s="16" t="inlineStr">
        <is>
          <t>Y</t>
        </is>
      </c>
      <c r="J17" s="16" t="inlineStr"/>
      <c r="K17" s="16" t="inlineStr">
        <is>
          <t>Returned on Time</t>
        </is>
      </c>
    </row>
    <row r="18" ht="22" customHeight="1">
      <c r="B18" s="8" t="inlineStr">
        <is>
          <t>LV/0014</t>
        </is>
      </c>
      <c r="C18" s="9" t="inlineStr"/>
      <c r="D18" s="10" t="inlineStr"/>
      <c r="E18" s="10" t="inlineStr"/>
      <c r="F18" s="10" t="inlineStr"/>
      <c r="G18" s="9" t="inlineStr"/>
      <c r="H18" s="10" t="inlineStr">
        <is>
          <t>Y</t>
        </is>
      </c>
      <c r="I18" s="10" t="inlineStr">
        <is>
          <t>Y</t>
        </is>
      </c>
      <c r="J18" s="10" t="inlineStr"/>
      <c r="K18" s="10" t="inlineStr">
        <is>
          <t>Returned on Time</t>
        </is>
      </c>
    </row>
    <row r="19" ht="22" customHeight="1">
      <c r="B19" s="14" t="inlineStr">
        <is>
          <t>LV/0015</t>
        </is>
      </c>
      <c r="C19" s="15" t="inlineStr"/>
      <c r="D19" s="16" t="inlineStr"/>
      <c r="E19" s="16" t="inlineStr"/>
      <c r="F19" s="16" t="inlineStr"/>
      <c r="G19" s="15" t="inlineStr"/>
      <c r="H19" s="16" t="inlineStr">
        <is>
          <t>Y</t>
        </is>
      </c>
      <c r="I19" s="16" t="inlineStr">
        <is>
          <t>Y</t>
        </is>
      </c>
      <c r="J19" s="16" t="inlineStr"/>
      <c r="K19" s="16" t="inlineStr">
        <is>
          <t>Returned on Time</t>
        </is>
      </c>
    </row>
    <row r="20" ht="22" customHeight="1">
      <c r="B20" s="8" t="inlineStr">
        <is>
          <t>LV/0016</t>
        </is>
      </c>
      <c r="C20" s="9" t="inlineStr"/>
      <c r="D20" s="10" t="inlineStr"/>
      <c r="E20" s="10" t="inlineStr"/>
      <c r="F20" s="10" t="inlineStr"/>
      <c r="G20" s="9" t="inlineStr"/>
      <c r="H20" s="10" t="inlineStr">
        <is>
          <t>Y</t>
        </is>
      </c>
      <c r="I20" s="10" t="inlineStr">
        <is>
          <t>Y</t>
        </is>
      </c>
      <c r="J20" s="10" t="inlineStr"/>
      <c r="K20" s="10" t="inlineStr">
        <is>
          <t>Returned on Time</t>
        </is>
      </c>
    </row>
    <row r="21" ht="22" customHeight="1">
      <c r="B21" s="14" t="inlineStr">
        <is>
          <t>LV/0017</t>
        </is>
      </c>
      <c r="C21" s="15" t="inlineStr"/>
      <c r="D21" s="16" t="inlineStr"/>
      <c r="E21" s="16" t="inlineStr"/>
      <c r="F21" s="16" t="inlineStr"/>
      <c r="G21" s="15" t="inlineStr"/>
      <c r="H21" s="16" t="inlineStr">
        <is>
          <t>Y</t>
        </is>
      </c>
      <c r="I21" s="16" t="inlineStr">
        <is>
          <t>Y</t>
        </is>
      </c>
      <c r="J21" s="16" t="inlineStr"/>
      <c r="K21" s="16" t="inlineStr">
        <is>
          <t>Returned on Time</t>
        </is>
      </c>
    </row>
    <row r="22" ht="22" customHeight="1">
      <c r="B22" s="8" t="inlineStr">
        <is>
          <t>LV/0018</t>
        </is>
      </c>
      <c r="C22" s="9" t="inlineStr"/>
      <c r="D22" s="10" t="inlineStr"/>
      <c r="E22" s="10" t="inlineStr"/>
      <c r="F22" s="10" t="inlineStr"/>
      <c r="G22" s="9" t="inlineStr"/>
      <c r="H22" s="10" t="inlineStr">
        <is>
          <t>Y</t>
        </is>
      </c>
      <c r="I22" s="10" t="inlineStr">
        <is>
          <t>Y</t>
        </is>
      </c>
      <c r="J22" s="10" t="inlineStr"/>
      <c r="K22" s="10" t="inlineStr">
        <is>
          <t>Returned on Time</t>
        </is>
      </c>
    </row>
    <row r="23" ht="22" customHeight="1">
      <c r="B23" s="14" t="inlineStr">
        <is>
          <t>LV/0019</t>
        </is>
      </c>
      <c r="C23" s="15" t="inlineStr"/>
      <c r="D23" s="16" t="inlineStr"/>
      <c r="E23" s="16" t="inlineStr"/>
      <c r="F23" s="16" t="inlineStr"/>
      <c r="G23" s="15" t="inlineStr"/>
      <c r="H23" s="16" t="inlineStr">
        <is>
          <t>Y</t>
        </is>
      </c>
      <c r="I23" s="16" t="inlineStr">
        <is>
          <t>Y</t>
        </is>
      </c>
      <c r="J23" s="16" t="inlineStr"/>
      <c r="K23" s="16" t="inlineStr">
        <is>
          <t>Returned on Time</t>
        </is>
      </c>
    </row>
    <row r="24" ht="22" customHeight="1">
      <c r="B24" s="8" t="inlineStr">
        <is>
          <t>LV/0020</t>
        </is>
      </c>
      <c r="C24" s="9" t="inlineStr"/>
      <c r="D24" s="10" t="inlineStr"/>
      <c r="E24" s="10" t="inlineStr"/>
      <c r="F24" s="10" t="inlineStr"/>
      <c r="G24" s="9" t="inlineStr"/>
      <c r="H24" s="10" t="inlineStr">
        <is>
          <t>Y</t>
        </is>
      </c>
      <c r="I24" s="10" t="inlineStr">
        <is>
          <t>Y</t>
        </is>
      </c>
      <c r="J24" s="10" t="inlineStr"/>
      <c r="K24" s="10" t="inlineStr">
        <is>
          <t>Returned on Time</t>
        </is>
      </c>
    </row>
    <row r="25" ht="22" customHeight="1">
      <c r="B25" s="14" t="inlineStr">
        <is>
          <t>LV/0021</t>
        </is>
      </c>
      <c r="C25" s="15" t="inlineStr"/>
      <c r="D25" s="16" t="inlineStr"/>
      <c r="E25" s="16" t="inlineStr"/>
      <c r="F25" s="16" t="inlineStr"/>
      <c r="G25" s="15" t="inlineStr"/>
      <c r="H25" s="16" t="inlineStr">
        <is>
          <t>Y</t>
        </is>
      </c>
      <c r="I25" s="16" t="inlineStr">
        <is>
          <t>Y</t>
        </is>
      </c>
      <c r="J25" s="16" t="inlineStr"/>
      <c r="K25" s="16" t="inlineStr">
        <is>
          <t>Returned on Time</t>
        </is>
      </c>
    </row>
    <row r="26" ht="22" customHeight="1">
      <c r="B26" s="8" t="inlineStr">
        <is>
          <t>LV/0022</t>
        </is>
      </c>
      <c r="C26" s="9" t="inlineStr"/>
      <c r="D26" s="10" t="inlineStr"/>
      <c r="E26" s="10" t="inlineStr"/>
      <c r="F26" s="10" t="inlineStr"/>
      <c r="G26" s="9" t="inlineStr"/>
      <c r="H26" s="10" t="inlineStr">
        <is>
          <t>Y</t>
        </is>
      </c>
      <c r="I26" s="10" t="inlineStr">
        <is>
          <t>Y</t>
        </is>
      </c>
      <c r="J26" s="10" t="inlineStr"/>
      <c r="K26" s="10" t="inlineStr">
        <is>
          <t>Returned on Time</t>
        </is>
      </c>
    </row>
    <row r="27" ht="22" customHeight="1"/>
    <row r="28" ht="24" customHeight="1">
      <c r="B28" s="34" t="inlineStr">
        <is>
          <t>LEAVE SUMMARY</t>
        </is>
      </c>
    </row>
    <row r="29" ht="22" customHeight="1">
      <c r="B29" s="38" t="inlineStr">
        <is>
          <t>Total Leave Applications</t>
        </is>
      </c>
      <c r="F29" s="36">
        <f>COUNTA(B5:B26)</f>
        <v/>
      </c>
    </row>
    <row r="30">
      <c r="B30" s="25" t="inlineStr">
        <is>
          <t>Approved</t>
        </is>
      </c>
      <c r="F30" s="37">
        <f>COUNTIF(I5:I26,"Y")</f>
        <v/>
      </c>
    </row>
    <row r="31">
      <c r="B31" s="38" t="inlineStr">
        <is>
          <t>Returned on Time</t>
        </is>
      </c>
      <c r="F31" s="36">
        <f>COUNTIF(K5:K26,"Returned on Time")</f>
        <v/>
      </c>
    </row>
    <row r="32">
      <c r="B32" s="25" t="inlineStr">
        <is>
          <t>Overstay Cases</t>
        </is>
      </c>
      <c r="F32" s="37">
        <f>COUNTIF(K5:K26,"Overstay")</f>
        <v/>
      </c>
    </row>
    <row r="33">
      <c r="B33" s="38" t="inlineStr">
        <is>
          <t>Not Returned</t>
        </is>
      </c>
      <c r="F33" s="36">
        <f>COUNTIF(K5:K26,"Not Returned")</f>
        <v/>
      </c>
    </row>
    <row r="34">
      <c r="B34" s="25" t="inlineStr">
        <is>
          <t>Parent Consent Not Obtained</t>
        </is>
      </c>
      <c r="F34" s="37">
        <f>COUNTIF(H5:H26,"N")</f>
        <v/>
      </c>
    </row>
  </sheetData>
  <mergeCells count="15">
    <mergeCell ref="B31:E31"/>
    <mergeCell ref="F34:K34"/>
    <mergeCell ref="F33:K33"/>
    <mergeCell ref="F32:K32"/>
    <mergeCell ref="B34:E34"/>
    <mergeCell ref="B30:E30"/>
    <mergeCell ref="F31:K31"/>
    <mergeCell ref="B32:E32"/>
    <mergeCell ref="B29:E29"/>
    <mergeCell ref="B33:E33"/>
    <mergeCell ref="B2:K2"/>
    <mergeCell ref="B28:K28"/>
    <mergeCell ref="B3:K3"/>
    <mergeCell ref="F29:K29"/>
    <mergeCell ref="F30:K3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HC-19: DAILY MESS MENU &amp; QUALITY INSPECTION REGISTER</t>
        </is>
      </c>
    </row>
    <row r="3" ht="20" customHeight="1">
      <c r="B3" s="17" t="inlineStr">
        <is>
          <t>Inspect mess BEFORE each meal — check food quality, hygiene, quantity and menu adherence. Rating: 1=Very Poor, 2=Poor, 3=Average, 4=Good, 5=Excellent. Any rating ≤ 2 must be escalated to Chief Warden immediately.</t>
        </is>
      </c>
    </row>
    <row r="4" ht="25" customHeight="1">
      <c r="B4" s="2" t="inlineStr">
        <is>
          <t>Date: _______  Hostel: _______  Inspector: ___________________  Mess Manager: ___________________</t>
        </is>
      </c>
    </row>
    <row r="5" ht="24" customHeight="1">
      <c r="B5" s="19" t="inlineStr">
        <is>
          <t>BREAKFAST</t>
        </is>
      </c>
    </row>
    <row r="6" ht="26" customHeight="1">
      <c r="B6" s="13" t="inlineStr">
        <is>
          <t>Sl.</t>
        </is>
      </c>
      <c r="C6" s="13" t="inlineStr">
        <is>
          <t>Inspection Item</t>
        </is>
      </c>
      <c r="D6" s="13" t="inlineStr">
        <is>
          <t>Standard</t>
        </is>
      </c>
      <c r="E6" s="13" t="inlineStr">
        <is>
          <t>Rating
(1–5)</t>
        </is>
      </c>
      <c r="F6" s="13" t="inlineStr">
        <is>
          <t>Observation</t>
        </is>
      </c>
      <c r="G6" s="13" t="inlineStr">
        <is>
          <t>Action
Required</t>
        </is>
      </c>
      <c r="H6" s="13" t="inlineStr">
        <is>
          <t>Inspector
Sign</t>
        </is>
      </c>
    </row>
    <row r="7" ht="26" customHeight="1">
      <c r="B7" s="44" t="n">
        <v>1</v>
      </c>
      <c r="C7" s="45" t="inlineStr">
        <is>
          <t>Menu displayed on notice board</t>
        </is>
      </c>
      <c r="D7" s="45" t="inlineStr">
        <is>
          <t>As per weekly menu plan</t>
        </is>
      </c>
      <c r="E7" s="46" t="inlineStr"/>
      <c r="F7" s="45" t="inlineStr"/>
      <c r="G7" s="45" t="inlineStr"/>
      <c r="H7" s="46" t="inlineStr"/>
    </row>
    <row r="8" ht="26" customHeight="1">
      <c r="B8" s="47" t="n">
        <v>2</v>
      </c>
      <c r="C8" s="48" t="inlineStr">
        <is>
          <t>Food freshly prepared — not stale</t>
        </is>
      </c>
      <c r="D8" s="48" t="inlineStr">
        <is>
          <t>No off smell; not reheated leftover</t>
        </is>
      </c>
      <c r="E8" s="49" t="inlineStr"/>
      <c r="F8" s="48" t="inlineStr"/>
      <c r="G8" s="48" t="inlineStr"/>
      <c r="H8" s="49" t="inlineStr"/>
    </row>
    <row r="9" ht="26" customHeight="1">
      <c r="B9" s="44" t="n">
        <v>3</v>
      </c>
      <c r="C9" s="45" t="inlineStr">
        <is>
          <t>Quantity adequate for all students</t>
        </is>
      </c>
      <c r="D9" s="45" t="inlineStr">
        <is>
          <t>No shortage; second serving available</t>
        </is>
      </c>
      <c r="E9" s="46" t="inlineStr"/>
      <c r="F9" s="45" t="inlineStr"/>
      <c r="G9" s="45" t="inlineStr"/>
      <c r="H9" s="46" t="inlineStr"/>
    </row>
    <row r="10" ht="26" customHeight="1">
      <c r="B10" s="47" t="n">
        <v>4</v>
      </c>
      <c r="C10" s="48" t="inlineStr">
        <is>
          <t>Utensils / serving equipment clean</t>
        </is>
      </c>
      <c r="D10" s="48" t="inlineStr">
        <is>
          <t>Washed, dried and sanitised</t>
        </is>
      </c>
      <c r="E10" s="49" t="inlineStr"/>
      <c r="F10" s="48" t="inlineStr"/>
      <c r="G10" s="48" t="inlineStr"/>
      <c r="H10" s="49" t="inlineStr"/>
    </row>
    <row r="11" ht="26" customHeight="1">
      <c r="B11" s="44" t="n">
        <v>5</v>
      </c>
      <c r="C11" s="45" t="inlineStr">
        <is>
          <t>Mess area / dining tables clean</t>
        </is>
      </c>
      <c r="D11" s="45" t="inlineStr">
        <is>
          <t>Tables wiped; floor swept</t>
        </is>
      </c>
      <c r="E11" s="46" t="inlineStr"/>
      <c r="F11" s="45" t="inlineStr"/>
      <c r="G11" s="45" t="inlineStr"/>
      <c r="H11" s="46" t="inlineStr"/>
    </row>
    <row r="12" ht="26" customHeight="1">
      <c r="B12" s="47" t="n">
        <v>6</v>
      </c>
      <c r="C12" s="48" t="inlineStr">
        <is>
          <t>Food sample retained (labelled, dated)</t>
        </is>
      </c>
      <c r="D12" s="48" t="inlineStr">
        <is>
          <t>100g in sealed container — refrigerator</t>
        </is>
      </c>
      <c r="E12" s="49" t="inlineStr"/>
      <c r="F12" s="48" t="inlineStr"/>
      <c r="G12" s="48" t="inlineStr"/>
      <c r="H12" s="49" t="inlineStr"/>
    </row>
    <row r="13" ht="26" customHeight="1"/>
    <row r="14" ht="24" customHeight="1">
      <c r="B14" s="50" t="inlineStr">
        <is>
          <t>LUNCH</t>
        </is>
      </c>
    </row>
    <row r="15" ht="26" customHeight="1">
      <c r="B15" s="39" t="inlineStr">
        <is>
          <t>Sl.</t>
        </is>
      </c>
      <c r="C15" s="39" t="inlineStr">
        <is>
          <t>Inspection Item</t>
        </is>
      </c>
      <c r="D15" s="39" t="inlineStr">
        <is>
          <t>Standard</t>
        </is>
      </c>
      <c r="E15" s="39" t="inlineStr">
        <is>
          <t>Rating
(1–5)</t>
        </is>
      </c>
      <c r="F15" s="39" t="inlineStr">
        <is>
          <t>Observation</t>
        </is>
      </c>
      <c r="G15" s="39" t="inlineStr">
        <is>
          <t>Action
Required</t>
        </is>
      </c>
      <c r="H15" s="39" t="inlineStr">
        <is>
          <t>Inspector
Sign</t>
        </is>
      </c>
    </row>
    <row r="16" ht="26" customHeight="1">
      <c r="B16" s="51" t="n">
        <v>1</v>
      </c>
      <c r="C16" s="52" t="inlineStr">
        <is>
          <t>Rice / chapati — freshly cooked</t>
        </is>
      </c>
      <c r="D16" s="52" t="inlineStr">
        <is>
          <t>Hot and freshly made</t>
        </is>
      </c>
      <c r="E16" s="53" t="inlineStr"/>
      <c r="F16" s="52" t="inlineStr"/>
      <c r="G16" s="52" t="inlineStr"/>
      <c r="H16" s="53" t="inlineStr"/>
    </row>
    <row r="17" ht="26" customHeight="1">
      <c r="B17" s="47" t="n">
        <v>2</v>
      </c>
      <c r="C17" s="48" t="inlineStr">
        <is>
          <t>Dal / curry — taste and consistency</t>
        </is>
      </c>
      <c r="D17" s="48" t="inlineStr">
        <is>
          <t>Cooked through; no raw taste</t>
        </is>
      </c>
      <c r="E17" s="49" t="inlineStr"/>
      <c r="F17" s="48" t="inlineStr"/>
      <c r="G17" s="48" t="inlineStr"/>
      <c r="H17" s="49" t="inlineStr"/>
    </row>
    <row r="18" ht="26" customHeight="1">
      <c r="B18" s="51" t="n">
        <v>3</v>
      </c>
      <c r="C18" s="52" t="inlineStr">
        <is>
          <t>Vegetables — fresh and cooked properly</t>
        </is>
      </c>
      <c r="D18" s="52" t="inlineStr">
        <is>
          <t>No wilted or over-fried veggies</t>
        </is>
      </c>
      <c r="E18" s="53" t="inlineStr"/>
      <c r="F18" s="52" t="inlineStr"/>
      <c r="G18" s="52" t="inlineStr"/>
      <c r="H18" s="53" t="inlineStr"/>
    </row>
    <row r="19" ht="26" customHeight="1">
      <c r="B19" s="47" t="n">
        <v>4</v>
      </c>
      <c r="C19" s="48" t="inlineStr">
        <is>
          <t>Salad / raita — hygienically prepared</t>
        </is>
      </c>
      <c r="D19" s="48" t="inlineStr">
        <is>
          <t>Fresh, covered; no contamination</t>
        </is>
      </c>
      <c r="E19" s="49" t="inlineStr"/>
      <c r="F19" s="48" t="inlineStr"/>
      <c r="G19" s="48" t="inlineStr"/>
      <c r="H19" s="49" t="inlineStr"/>
    </row>
    <row r="20" ht="26" customHeight="1">
      <c r="B20" s="51" t="n">
        <v>5</v>
      </c>
      <c r="C20" s="52" t="inlineStr">
        <is>
          <t>Quantity adequate for all students</t>
        </is>
      </c>
      <c r="D20" s="52" t="inlineStr">
        <is>
          <t>No shortage; second helping available</t>
        </is>
      </c>
      <c r="E20" s="53" t="inlineStr"/>
      <c r="F20" s="52" t="inlineStr"/>
      <c r="G20" s="52" t="inlineStr"/>
      <c r="H20" s="53" t="inlineStr"/>
    </row>
    <row r="21" ht="26" customHeight="1">
      <c r="B21" s="47" t="n">
        <v>6</v>
      </c>
      <c r="C21" s="48" t="inlineStr">
        <is>
          <t>Food sample retained</t>
        </is>
      </c>
      <c r="D21" s="48" t="inlineStr">
        <is>
          <t>100g per item, refrigerated</t>
        </is>
      </c>
      <c r="E21" s="49" t="inlineStr"/>
      <c r="F21" s="48" t="inlineStr"/>
      <c r="G21" s="48" t="inlineStr"/>
      <c r="H21" s="49" t="inlineStr"/>
    </row>
    <row r="22" ht="26" customHeight="1"/>
    <row r="23" ht="24" customHeight="1">
      <c r="B23" s="54" t="inlineStr">
        <is>
          <t>DINNER</t>
        </is>
      </c>
    </row>
    <row r="24" ht="26" customHeight="1">
      <c r="B24" s="55" t="inlineStr">
        <is>
          <t>Sl.</t>
        </is>
      </c>
      <c r="C24" s="55" t="inlineStr">
        <is>
          <t>Inspection Item</t>
        </is>
      </c>
      <c r="D24" s="55" t="inlineStr">
        <is>
          <t>Standard</t>
        </is>
      </c>
      <c r="E24" s="55" t="inlineStr">
        <is>
          <t>Rating
(1–5)</t>
        </is>
      </c>
      <c r="F24" s="55" t="inlineStr">
        <is>
          <t>Observation</t>
        </is>
      </c>
      <c r="G24" s="55" t="inlineStr">
        <is>
          <t>Action
Required</t>
        </is>
      </c>
      <c r="H24" s="55" t="inlineStr">
        <is>
          <t>Inspector
Sign</t>
        </is>
      </c>
    </row>
    <row r="25" ht="26" customHeight="1">
      <c r="B25" s="56" t="n">
        <v>1</v>
      </c>
      <c r="C25" s="57" t="inlineStr">
        <is>
          <t>Hot food served before 8:30 PM</t>
        </is>
      </c>
      <c r="D25" s="57" t="inlineStr">
        <is>
          <t>Not cold or reheated from lunch</t>
        </is>
      </c>
      <c r="E25" s="58" t="inlineStr"/>
      <c r="F25" s="57" t="inlineStr"/>
      <c r="G25" s="57" t="inlineStr"/>
      <c r="H25" s="58" t="inlineStr"/>
    </row>
    <row r="26" ht="26" customHeight="1">
      <c r="B26" s="47" t="n">
        <v>2</v>
      </c>
      <c r="C26" s="48" t="inlineStr">
        <is>
          <t>Dinner menu different from lunch</t>
        </is>
      </c>
      <c r="D26" s="48" t="inlineStr">
        <is>
          <t>No repetition of same curry/sabzi</t>
        </is>
      </c>
      <c r="E26" s="49" t="inlineStr"/>
      <c r="F26" s="48" t="inlineStr"/>
      <c r="G26" s="48" t="inlineStr"/>
      <c r="H26" s="49" t="inlineStr"/>
    </row>
    <row r="27" ht="26" customHeight="1">
      <c r="B27" s="56" t="n">
        <v>3</v>
      </c>
      <c r="C27" s="57" t="inlineStr">
        <is>
          <t>Adequate variety for all dietary needs</t>
        </is>
      </c>
      <c r="D27" s="57" t="inlineStr">
        <is>
          <t>Veg available; special diets if any</t>
        </is>
      </c>
      <c r="E27" s="58" t="inlineStr"/>
      <c r="F27" s="57" t="inlineStr"/>
      <c r="G27" s="57" t="inlineStr"/>
      <c r="H27" s="58" t="inlineStr"/>
    </row>
    <row r="28" ht="26" customHeight="1">
      <c r="B28" s="47" t="n">
        <v>4</v>
      </c>
      <c r="C28" s="48" t="inlineStr">
        <is>
          <t>Dining area clean and lit adequately</t>
        </is>
      </c>
      <c r="D28" s="48" t="inlineStr">
        <is>
          <t>No dim lighting; no pests</t>
        </is>
      </c>
      <c r="E28" s="49" t="inlineStr"/>
      <c r="F28" s="48" t="inlineStr"/>
      <c r="G28" s="48" t="inlineStr"/>
      <c r="H28" s="49" t="inlineStr"/>
    </row>
    <row r="29" ht="26" customHeight="1">
      <c r="B29" s="56" t="n">
        <v>5</v>
      </c>
      <c r="C29" s="57" t="inlineStr">
        <is>
          <t>Leftover / waste food disposed safely</t>
        </is>
      </c>
      <c r="D29" s="57" t="inlineStr">
        <is>
          <t>Not fed back into supply chain</t>
        </is>
      </c>
      <c r="E29" s="58" t="inlineStr"/>
      <c r="F29" s="57" t="inlineStr"/>
      <c r="G29" s="57" t="inlineStr"/>
      <c r="H29" s="58" t="inlineStr"/>
    </row>
    <row r="30" ht="26" customHeight="1">
      <c r="B30" s="47" t="n">
        <v>6</v>
      </c>
      <c r="C30" s="48" t="inlineStr">
        <is>
          <t>Food sample retained</t>
        </is>
      </c>
      <c r="D30" s="48" t="inlineStr">
        <is>
          <t>All dinner items — refrigerated</t>
        </is>
      </c>
      <c r="E30" s="49" t="inlineStr"/>
      <c r="F30" s="48" t="inlineStr"/>
      <c r="G30" s="48" t="inlineStr"/>
      <c r="H30" s="49" t="inlineStr"/>
    </row>
    <row r="31" ht="26" customHeight="1"/>
    <row r="32" ht="26" customHeight="1">
      <c r="B32" s="29" t="inlineStr">
        <is>
          <t>Chief Warden Sign.: ___________________    Mess Manager: ___________________    Student Mess Rep: ___________________    Date: ___________________</t>
        </is>
      </c>
    </row>
    <row r="33" ht="26" customHeight="1"/>
    <row r="34" ht="26" customHeight="1"/>
    <row r="35" ht="26" customHeight="1"/>
    <row r="36" ht="26" customHeight="1"/>
    <row r="37" ht="26" customHeight="1"/>
    <row r="38" ht="26" customHeight="1"/>
    <row r="39" ht="26" customHeight="1"/>
    <row r="40" ht="26" customHeight="1"/>
    <row r="41" ht="26" customHeight="1"/>
  </sheetData>
  <mergeCells count="7">
    <mergeCell ref="B14:H14"/>
    <mergeCell ref="B32:H32"/>
    <mergeCell ref="B4:H4"/>
    <mergeCell ref="B2:H2"/>
    <mergeCell ref="B3:H3"/>
    <mergeCell ref="B5:H5"/>
    <mergeCell ref="B23:H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K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HC-20: MESS FEE COLLECTION REGISTER</t>
        </is>
      </c>
    </row>
    <row r="3" ht="20" customHeight="1">
      <c r="B3" s="2" t="inlineStr">
        <is>
          <t>Hostel: _______  Month: _______  Mess Rate: ₹ _______/month  Total Students: _______  Warden: ___________________</t>
        </is>
      </c>
    </row>
    <row r="4" ht="25" customHeight="1">
      <c r="B4" s="13" t="inlineStr">
        <is>
          <t>Adm.
Ref.</t>
        </is>
      </c>
      <c r="C4" s="13" t="inlineStr">
        <is>
          <t>Student Name</t>
        </is>
      </c>
      <c r="D4" s="13" t="inlineStr">
        <is>
          <t>Room No.</t>
        </is>
      </c>
      <c r="E4" s="13" t="inlineStr">
        <is>
          <t>Programme
/ Year</t>
        </is>
      </c>
      <c r="F4" s="13" t="inlineStr">
        <is>
          <t>Mess Rate
(₹)</t>
        </is>
      </c>
      <c r="G4" s="13" t="inlineStr">
        <is>
          <t>Amount
Paid (₹)</t>
        </is>
      </c>
      <c r="H4" s="13" t="inlineStr">
        <is>
          <t>Date
Paid</t>
        </is>
      </c>
      <c r="I4" s="13" t="inlineStr">
        <is>
          <t>Receipt
No.</t>
        </is>
      </c>
      <c r="J4" s="13" t="inlineStr">
        <is>
          <t>Balance
Due (₹)</t>
        </is>
      </c>
      <c r="K4" s="13" t="inlineStr">
        <is>
          <t>Status</t>
        </is>
      </c>
    </row>
    <row r="5" ht="22" customHeight="1">
      <c r="B5" s="14" t="inlineStr">
        <is>
          <t>HA/0001</t>
        </is>
      </c>
      <c r="C5" s="15" t="inlineStr"/>
      <c r="D5" s="16" t="inlineStr"/>
      <c r="E5" s="16" t="inlineStr"/>
      <c r="F5" s="16" t="inlineStr"/>
      <c r="G5" s="16" t="inlineStr"/>
      <c r="H5" s="16" t="inlineStr"/>
      <c r="I5" s="16" t="inlineStr"/>
      <c r="J5" s="36">
        <f>IFERROR(F5-G5,"")</f>
        <v/>
      </c>
      <c r="K5" s="16">
        <f>IFERROR(IF(J5&lt;=0,"Paid","Due — ₹"&amp;J5),"")</f>
        <v/>
      </c>
    </row>
    <row r="6" ht="22" customHeight="1">
      <c r="B6" s="8" t="inlineStr">
        <is>
          <t>HA/0002</t>
        </is>
      </c>
      <c r="C6" s="9" t="inlineStr"/>
      <c r="D6" s="10" t="inlineStr"/>
      <c r="E6" s="10" t="inlineStr"/>
      <c r="F6" s="10" t="inlineStr"/>
      <c r="G6" s="10" t="inlineStr"/>
      <c r="H6" s="10" t="inlineStr"/>
      <c r="I6" s="10" t="inlineStr"/>
      <c r="J6" s="37">
        <f>IFERROR(F6-G6,"")</f>
        <v/>
      </c>
      <c r="K6" s="10">
        <f>IFERROR(IF(J6&lt;=0,"Paid","Due — ₹"&amp;J6),"")</f>
        <v/>
      </c>
    </row>
    <row r="7" ht="22" customHeight="1">
      <c r="B7" s="14" t="inlineStr">
        <is>
          <t>HA/0003</t>
        </is>
      </c>
      <c r="C7" s="15" t="inlineStr"/>
      <c r="D7" s="16" t="inlineStr"/>
      <c r="E7" s="16" t="inlineStr"/>
      <c r="F7" s="16" t="inlineStr"/>
      <c r="G7" s="16" t="inlineStr"/>
      <c r="H7" s="16" t="inlineStr"/>
      <c r="I7" s="16" t="inlineStr"/>
      <c r="J7" s="36">
        <f>IFERROR(F7-G7,"")</f>
        <v/>
      </c>
      <c r="K7" s="16">
        <f>IFERROR(IF(J7&lt;=0,"Paid","Due — ₹"&amp;J7),"")</f>
        <v/>
      </c>
    </row>
    <row r="8" ht="22" customHeight="1">
      <c r="B8" s="8" t="inlineStr">
        <is>
          <t>HA/0004</t>
        </is>
      </c>
      <c r="C8" s="9" t="inlineStr"/>
      <c r="D8" s="10" t="inlineStr"/>
      <c r="E8" s="10" t="inlineStr"/>
      <c r="F8" s="10" t="inlineStr"/>
      <c r="G8" s="10" t="inlineStr"/>
      <c r="H8" s="10" t="inlineStr"/>
      <c r="I8" s="10" t="inlineStr"/>
      <c r="J8" s="37">
        <f>IFERROR(F8-G8,"")</f>
        <v/>
      </c>
      <c r="K8" s="10">
        <f>IFERROR(IF(J8&lt;=0,"Paid","Due — ₹"&amp;J8),"")</f>
        <v/>
      </c>
    </row>
    <row r="9" ht="22" customHeight="1">
      <c r="B9" s="14" t="inlineStr">
        <is>
          <t>HA/0005</t>
        </is>
      </c>
      <c r="C9" s="15" t="inlineStr"/>
      <c r="D9" s="16" t="inlineStr"/>
      <c r="E9" s="16" t="inlineStr"/>
      <c r="F9" s="16" t="inlineStr"/>
      <c r="G9" s="16" t="inlineStr"/>
      <c r="H9" s="16" t="inlineStr"/>
      <c r="I9" s="16" t="inlineStr"/>
      <c r="J9" s="36">
        <f>IFERROR(F9-G9,"")</f>
        <v/>
      </c>
      <c r="K9" s="16">
        <f>IFERROR(IF(J9&lt;=0,"Paid","Due — ₹"&amp;J9),"")</f>
        <v/>
      </c>
    </row>
    <row r="10" ht="22" customHeight="1">
      <c r="B10" s="8" t="inlineStr">
        <is>
          <t>HA/0006</t>
        </is>
      </c>
      <c r="C10" s="9" t="inlineStr"/>
      <c r="D10" s="10" t="inlineStr"/>
      <c r="E10" s="10" t="inlineStr"/>
      <c r="F10" s="10" t="inlineStr"/>
      <c r="G10" s="10" t="inlineStr"/>
      <c r="H10" s="10" t="inlineStr"/>
      <c r="I10" s="10" t="inlineStr"/>
      <c r="J10" s="37">
        <f>IFERROR(F10-G10,"")</f>
        <v/>
      </c>
      <c r="K10" s="10">
        <f>IFERROR(IF(J10&lt;=0,"Paid","Due — ₹"&amp;J10),"")</f>
        <v/>
      </c>
    </row>
    <row r="11" ht="22" customHeight="1">
      <c r="B11" s="14" t="inlineStr">
        <is>
          <t>HA/0007</t>
        </is>
      </c>
      <c r="C11" s="15" t="inlineStr"/>
      <c r="D11" s="16" t="inlineStr"/>
      <c r="E11" s="16" t="inlineStr"/>
      <c r="F11" s="16" t="inlineStr"/>
      <c r="G11" s="16" t="inlineStr"/>
      <c r="H11" s="16" t="inlineStr"/>
      <c r="I11" s="16" t="inlineStr"/>
      <c r="J11" s="36">
        <f>IFERROR(F11-G11,"")</f>
        <v/>
      </c>
      <c r="K11" s="16">
        <f>IFERROR(IF(J11&lt;=0,"Paid","Due — ₹"&amp;J11),"")</f>
        <v/>
      </c>
    </row>
    <row r="12" ht="22" customHeight="1">
      <c r="B12" s="8" t="inlineStr">
        <is>
          <t>HA/0008</t>
        </is>
      </c>
      <c r="C12" s="9" t="inlineStr"/>
      <c r="D12" s="10" t="inlineStr"/>
      <c r="E12" s="10" t="inlineStr"/>
      <c r="F12" s="10" t="inlineStr"/>
      <c r="G12" s="10" t="inlineStr"/>
      <c r="H12" s="10" t="inlineStr"/>
      <c r="I12" s="10" t="inlineStr"/>
      <c r="J12" s="37">
        <f>IFERROR(F12-G12,"")</f>
        <v/>
      </c>
      <c r="K12" s="10">
        <f>IFERROR(IF(J12&lt;=0,"Paid","Due — ₹"&amp;J12),"")</f>
        <v/>
      </c>
    </row>
    <row r="13" ht="22" customHeight="1">
      <c r="B13" s="14" t="inlineStr">
        <is>
          <t>HA/0009</t>
        </is>
      </c>
      <c r="C13" s="15" t="inlineStr"/>
      <c r="D13" s="16" t="inlineStr"/>
      <c r="E13" s="16" t="inlineStr"/>
      <c r="F13" s="16" t="inlineStr"/>
      <c r="G13" s="16" t="inlineStr"/>
      <c r="H13" s="16" t="inlineStr"/>
      <c r="I13" s="16" t="inlineStr"/>
      <c r="J13" s="36">
        <f>IFERROR(F13-G13,"")</f>
        <v/>
      </c>
      <c r="K13" s="16">
        <f>IFERROR(IF(J13&lt;=0,"Paid","Due — ₹"&amp;J13),"")</f>
        <v/>
      </c>
    </row>
    <row r="14" ht="22" customHeight="1">
      <c r="B14" s="8" t="inlineStr">
        <is>
          <t>HA/0010</t>
        </is>
      </c>
      <c r="C14" s="9" t="inlineStr"/>
      <c r="D14" s="10" t="inlineStr"/>
      <c r="E14" s="10" t="inlineStr"/>
      <c r="F14" s="10" t="inlineStr"/>
      <c r="G14" s="10" t="inlineStr"/>
      <c r="H14" s="10" t="inlineStr"/>
      <c r="I14" s="10" t="inlineStr"/>
      <c r="J14" s="37">
        <f>IFERROR(F14-G14,"")</f>
        <v/>
      </c>
      <c r="K14" s="10">
        <f>IFERROR(IF(J14&lt;=0,"Paid","Due — ₹"&amp;J14),"")</f>
        <v/>
      </c>
    </row>
    <row r="15" ht="22" customHeight="1">
      <c r="B15" s="14" t="inlineStr">
        <is>
          <t>HA/0011</t>
        </is>
      </c>
      <c r="C15" s="15" t="inlineStr"/>
      <c r="D15" s="16" t="inlineStr"/>
      <c r="E15" s="16" t="inlineStr"/>
      <c r="F15" s="16" t="inlineStr"/>
      <c r="G15" s="16" t="inlineStr"/>
      <c r="H15" s="16" t="inlineStr"/>
      <c r="I15" s="16" t="inlineStr"/>
      <c r="J15" s="36">
        <f>IFERROR(F15-G15,"")</f>
        <v/>
      </c>
      <c r="K15" s="16">
        <f>IFERROR(IF(J15&lt;=0,"Paid","Due — ₹"&amp;J15),"")</f>
        <v/>
      </c>
    </row>
    <row r="16" ht="22" customHeight="1">
      <c r="B16" s="8" t="inlineStr">
        <is>
          <t>HA/0012</t>
        </is>
      </c>
      <c r="C16" s="9" t="inlineStr"/>
      <c r="D16" s="10" t="inlineStr"/>
      <c r="E16" s="10" t="inlineStr"/>
      <c r="F16" s="10" t="inlineStr"/>
      <c r="G16" s="10" t="inlineStr"/>
      <c r="H16" s="10" t="inlineStr"/>
      <c r="I16" s="10" t="inlineStr"/>
      <c r="J16" s="37">
        <f>IFERROR(F16-G16,"")</f>
        <v/>
      </c>
      <c r="K16" s="10">
        <f>IFERROR(IF(J16&lt;=0,"Paid","Due — ₹"&amp;J16),"")</f>
        <v/>
      </c>
    </row>
    <row r="17" ht="22" customHeight="1">
      <c r="B17" s="14" t="inlineStr">
        <is>
          <t>HA/0013</t>
        </is>
      </c>
      <c r="C17" s="15" t="inlineStr"/>
      <c r="D17" s="16" t="inlineStr"/>
      <c r="E17" s="16" t="inlineStr"/>
      <c r="F17" s="16" t="inlineStr"/>
      <c r="G17" s="16" t="inlineStr"/>
      <c r="H17" s="16" t="inlineStr"/>
      <c r="I17" s="16" t="inlineStr"/>
      <c r="J17" s="36">
        <f>IFERROR(F17-G17,"")</f>
        <v/>
      </c>
      <c r="K17" s="16">
        <f>IFERROR(IF(J17&lt;=0,"Paid","Due — ₹"&amp;J17),"")</f>
        <v/>
      </c>
    </row>
    <row r="18" ht="22" customHeight="1">
      <c r="B18" s="8" t="inlineStr">
        <is>
          <t>HA/0014</t>
        </is>
      </c>
      <c r="C18" s="9" t="inlineStr"/>
      <c r="D18" s="10" t="inlineStr"/>
      <c r="E18" s="10" t="inlineStr"/>
      <c r="F18" s="10" t="inlineStr"/>
      <c r="G18" s="10" t="inlineStr"/>
      <c r="H18" s="10" t="inlineStr"/>
      <c r="I18" s="10" t="inlineStr"/>
      <c r="J18" s="37">
        <f>IFERROR(F18-G18,"")</f>
        <v/>
      </c>
      <c r="K18" s="10">
        <f>IFERROR(IF(J18&lt;=0,"Paid","Due — ₹"&amp;J18),"")</f>
        <v/>
      </c>
    </row>
    <row r="19" ht="22" customHeight="1">
      <c r="B19" s="14" t="inlineStr">
        <is>
          <t>HA/0015</t>
        </is>
      </c>
      <c r="C19" s="15" t="inlineStr"/>
      <c r="D19" s="16" t="inlineStr"/>
      <c r="E19" s="16" t="inlineStr"/>
      <c r="F19" s="16" t="inlineStr"/>
      <c r="G19" s="16" t="inlineStr"/>
      <c r="H19" s="16" t="inlineStr"/>
      <c r="I19" s="16" t="inlineStr"/>
      <c r="J19" s="36">
        <f>IFERROR(F19-G19,"")</f>
        <v/>
      </c>
      <c r="K19" s="16">
        <f>IFERROR(IF(J19&lt;=0,"Paid","Due — ₹"&amp;J19),"")</f>
        <v/>
      </c>
    </row>
    <row r="20" ht="22" customHeight="1">
      <c r="B20" s="8" t="inlineStr">
        <is>
          <t>HA/0016</t>
        </is>
      </c>
      <c r="C20" s="9" t="inlineStr"/>
      <c r="D20" s="10" t="inlineStr"/>
      <c r="E20" s="10" t="inlineStr"/>
      <c r="F20" s="10" t="inlineStr"/>
      <c r="G20" s="10" t="inlineStr"/>
      <c r="H20" s="10" t="inlineStr"/>
      <c r="I20" s="10" t="inlineStr"/>
      <c r="J20" s="37">
        <f>IFERROR(F20-G20,"")</f>
        <v/>
      </c>
      <c r="K20" s="10">
        <f>IFERROR(IF(J20&lt;=0,"Paid","Due — ₹"&amp;J20),"")</f>
        <v/>
      </c>
    </row>
    <row r="21" ht="22" customHeight="1">
      <c r="B21" s="14" t="inlineStr">
        <is>
          <t>HA/0017</t>
        </is>
      </c>
      <c r="C21" s="15" t="inlineStr"/>
      <c r="D21" s="16" t="inlineStr"/>
      <c r="E21" s="16" t="inlineStr"/>
      <c r="F21" s="16" t="inlineStr"/>
      <c r="G21" s="16" t="inlineStr"/>
      <c r="H21" s="16" t="inlineStr"/>
      <c r="I21" s="16" t="inlineStr"/>
      <c r="J21" s="36">
        <f>IFERROR(F21-G21,"")</f>
        <v/>
      </c>
      <c r="K21" s="16">
        <f>IFERROR(IF(J21&lt;=0,"Paid","Due — ₹"&amp;J21),"")</f>
        <v/>
      </c>
    </row>
    <row r="22" ht="22" customHeight="1">
      <c r="B22" s="8" t="inlineStr">
        <is>
          <t>HA/0018</t>
        </is>
      </c>
      <c r="C22" s="9" t="inlineStr"/>
      <c r="D22" s="10" t="inlineStr"/>
      <c r="E22" s="10" t="inlineStr"/>
      <c r="F22" s="10" t="inlineStr"/>
      <c r="G22" s="10" t="inlineStr"/>
      <c r="H22" s="10" t="inlineStr"/>
      <c r="I22" s="10" t="inlineStr"/>
      <c r="J22" s="37">
        <f>IFERROR(F22-G22,"")</f>
        <v/>
      </c>
      <c r="K22" s="10">
        <f>IFERROR(IF(J22&lt;=0,"Paid","Due — ₹"&amp;J22),"")</f>
        <v/>
      </c>
    </row>
    <row r="23" ht="22" customHeight="1">
      <c r="B23" s="14" t="inlineStr">
        <is>
          <t>HA/0019</t>
        </is>
      </c>
      <c r="C23" s="15" t="inlineStr"/>
      <c r="D23" s="16" t="inlineStr"/>
      <c r="E23" s="16" t="inlineStr"/>
      <c r="F23" s="16" t="inlineStr"/>
      <c r="G23" s="16" t="inlineStr"/>
      <c r="H23" s="16" t="inlineStr"/>
      <c r="I23" s="16" t="inlineStr"/>
      <c r="J23" s="36">
        <f>IFERROR(F23-G23,"")</f>
        <v/>
      </c>
      <c r="K23" s="16">
        <f>IFERROR(IF(J23&lt;=0,"Paid","Due — ₹"&amp;J23),"")</f>
        <v/>
      </c>
    </row>
    <row r="24" ht="22" customHeight="1">
      <c r="B24" s="8" t="inlineStr">
        <is>
          <t>HA/0020</t>
        </is>
      </c>
      <c r="C24" s="9" t="inlineStr"/>
      <c r="D24" s="10" t="inlineStr"/>
      <c r="E24" s="10" t="inlineStr"/>
      <c r="F24" s="10" t="inlineStr"/>
      <c r="G24" s="10" t="inlineStr"/>
      <c r="H24" s="10" t="inlineStr"/>
      <c r="I24" s="10" t="inlineStr"/>
      <c r="J24" s="37">
        <f>IFERROR(F24-G24,"")</f>
        <v/>
      </c>
      <c r="K24" s="10">
        <f>IFERROR(IF(J24&lt;=0,"Paid","Due — ₹"&amp;J24),"")</f>
        <v/>
      </c>
    </row>
    <row r="25" ht="22" customHeight="1">
      <c r="B25" s="14" t="inlineStr">
        <is>
          <t>HA/0021</t>
        </is>
      </c>
      <c r="C25" s="15" t="inlineStr"/>
      <c r="D25" s="16" t="inlineStr"/>
      <c r="E25" s="16" t="inlineStr"/>
      <c r="F25" s="16" t="inlineStr"/>
      <c r="G25" s="16" t="inlineStr"/>
      <c r="H25" s="16" t="inlineStr"/>
      <c r="I25" s="16" t="inlineStr"/>
      <c r="J25" s="36">
        <f>IFERROR(F25-G25,"")</f>
        <v/>
      </c>
      <c r="K25" s="16">
        <f>IFERROR(IF(J25&lt;=0,"Paid","Due — ₹"&amp;J25),"")</f>
        <v/>
      </c>
    </row>
    <row r="26" ht="22" customHeight="1">
      <c r="B26" s="8" t="inlineStr">
        <is>
          <t>HA/0022</t>
        </is>
      </c>
      <c r="C26" s="9" t="inlineStr"/>
      <c r="D26" s="10" t="inlineStr"/>
      <c r="E26" s="10" t="inlineStr"/>
      <c r="F26" s="10" t="inlineStr"/>
      <c r="G26" s="10" t="inlineStr"/>
      <c r="H26" s="10" t="inlineStr"/>
      <c r="I26" s="10" t="inlineStr"/>
      <c r="J26" s="37">
        <f>IFERROR(F26-G26,"")</f>
        <v/>
      </c>
      <c r="K26" s="10">
        <f>IFERROR(IF(J26&lt;=0,"Paid","Due — ₹"&amp;J26),"")</f>
        <v/>
      </c>
    </row>
    <row r="27" ht="22" customHeight="1">
      <c r="B27" s="14" t="inlineStr">
        <is>
          <t>HA/0023</t>
        </is>
      </c>
      <c r="C27" s="15" t="inlineStr"/>
      <c r="D27" s="16" t="inlineStr"/>
      <c r="E27" s="16" t="inlineStr"/>
      <c r="F27" s="16" t="inlineStr"/>
      <c r="G27" s="16" t="inlineStr"/>
      <c r="H27" s="16" t="inlineStr"/>
      <c r="I27" s="16" t="inlineStr"/>
      <c r="J27" s="36">
        <f>IFERROR(F27-G27,"")</f>
        <v/>
      </c>
      <c r="K27" s="16">
        <f>IFERROR(IF(J27&lt;=0,"Paid","Due — ₹"&amp;J27),"")</f>
        <v/>
      </c>
    </row>
    <row r="28" ht="22" customHeight="1">
      <c r="B28" s="8" t="inlineStr">
        <is>
          <t>HA/0024</t>
        </is>
      </c>
      <c r="C28" s="9" t="inlineStr"/>
      <c r="D28" s="10" t="inlineStr"/>
      <c r="E28" s="10" t="inlineStr"/>
      <c r="F28" s="10" t="inlineStr"/>
      <c r="G28" s="10" t="inlineStr"/>
      <c r="H28" s="10" t="inlineStr"/>
      <c r="I28" s="10" t="inlineStr"/>
      <c r="J28" s="37">
        <f>IFERROR(F28-G28,"")</f>
        <v/>
      </c>
      <c r="K28" s="10">
        <f>IFERROR(IF(J28&lt;=0,"Paid","Due — ₹"&amp;J28),"")</f>
        <v/>
      </c>
    </row>
    <row r="29" ht="22" customHeight="1">
      <c r="B29" s="14" t="inlineStr">
        <is>
          <t>HA/0025</t>
        </is>
      </c>
      <c r="C29" s="15" t="inlineStr"/>
      <c r="D29" s="16" t="inlineStr"/>
      <c r="E29" s="16" t="inlineStr"/>
      <c r="F29" s="16" t="inlineStr"/>
      <c r="G29" s="16" t="inlineStr"/>
      <c r="H29" s="16" t="inlineStr"/>
      <c r="I29" s="16" t="inlineStr"/>
      <c r="J29" s="36">
        <f>IFERROR(F29-G29,"")</f>
        <v/>
      </c>
      <c r="K29" s="16">
        <f>IFERROR(IF(J29&lt;=0,"Paid","Due — ₹"&amp;J29),"")</f>
        <v/>
      </c>
    </row>
    <row r="30" ht="22" customHeight="1">
      <c r="B30" s="8" t="inlineStr">
        <is>
          <t>HA/0026</t>
        </is>
      </c>
      <c r="C30" s="9" t="inlineStr"/>
      <c r="D30" s="10" t="inlineStr"/>
      <c r="E30" s="10" t="inlineStr"/>
      <c r="F30" s="10" t="inlineStr"/>
      <c r="G30" s="10" t="inlineStr"/>
      <c r="H30" s="10" t="inlineStr"/>
      <c r="I30" s="10" t="inlineStr"/>
      <c r="J30" s="37">
        <f>IFERROR(F30-G30,"")</f>
        <v/>
      </c>
      <c r="K30" s="10">
        <f>IFERROR(IF(J30&lt;=0,"Paid","Due — ₹"&amp;J30),"")</f>
        <v/>
      </c>
    </row>
    <row r="31" ht="22" customHeight="1">
      <c r="B31" s="14" t="inlineStr">
        <is>
          <t>HA/0027</t>
        </is>
      </c>
      <c r="C31" s="15" t="inlineStr"/>
      <c r="D31" s="16" t="inlineStr"/>
      <c r="E31" s="16" t="inlineStr"/>
      <c r="F31" s="16" t="inlineStr"/>
      <c r="G31" s="16" t="inlineStr"/>
      <c r="H31" s="16" t="inlineStr"/>
      <c r="I31" s="16" t="inlineStr"/>
      <c r="J31" s="36">
        <f>IFERROR(F31-G31,"")</f>
        <v/>
      </c>
      <c r="K31" s="16">
        <f>IFERROR(IF(J31&lt;=0,"Paid","Due — ₹"&amp;J31),"")</f>
        <v/>
      </c>
    </row>
    <row r="32" ht="22" customHeight="1">
      <c r="B32" s="8" t="inlineStr">
        <is>
          <t>HA/0028</t>
        </is>
      </c>
      <c r="C32" s="9" t="inlineStr"/>
      <c r="D32" s="10" t="inlineStr"/>
      <c r="E32" s="10" t="inlineStr"/>
      <c r="F32" s="10" t="inlineStr"/>
      <c r="G32" s="10" t="inlineStr"/>
      <c r="H32" s="10" t="inlineStr"/>
      <c r="I32" s="10" t="inlineStr"/>
      <c r="J32" s="37">
        <f>IFERROR(F32-G32,"")</f>
        <v/>
      </c>
      <c r="K32" s="10">
        <f>IFERROR(IF(J32&lt;=0,"Paid","Due — ₹"&amp;J32),"")</f>
        <v/>
      </c>
    </row>
    <row r="33" ht="22" customHeight="1"/>
    <row r="34" ht="24" customHeight="1">
      <c r="B34" s="34" t="inlineStr">
        <is>
          <t>MESS FEE SUMMARY</t>
        </is>
      </c>
    </row>
    <row r="35" ht="22" customHeight="1">
      <c r="B35" s="38" t="inlineStr">
        <is>
          <t>Total Students in Mess</t>
        </is>
      </c>
      <c r="F35" s="36">
        <f>COUNTA(B5:B32)</f>
        <v/>
      </c>
    </row>
    <row r="36">
      <c r="B36" s="25" t="inlineStr">
        <is>
          <t>Total Fee Due (₹)</t>
        </is>
      </c>
      <c r="F36" s="37">
        <f>IFERROR(SUM(F5:F32),"")</f>
        <v/>
      </c>
    </row>
    <row r="37">
      <c r="B37" s="38" t="inlineStr">
        <is>
          <t>Total Fee Collected (₹)</t>
        </is>
      </c>
      <c r="F37" s="36">
        <f>IFERROR(SUM(G5:G32),"")</f>
        <v/>
      </c>
    </row>
    <row r="38">
      <c r="B38" s="25" t="inlineStr">
        <is>
          <t>Total Balance Outstanding (₹)</t>
        </is>
      </c>
      <c r="F38" s="37">
        <f>IFERROR(SUM(J5:J32),"")</f>
        <v/>
      </c>
    </row>
    <row r="39">
      <c r="B39" s="38" t="inlineStr">
        <is>
          <t>Students with Full Payment</t>
        </is>
      </c>
      <c r="F39" s="36">
        <f>COUNTIF(K5:K32,"Paid")</f>
        <v/>
      </c>
    </row>
    <row r="40">
      <c r="B40" s="25" t="inlineStr">
        <is>
          <t>Collection Rate (%)</t>
        </is>
      </c>
      <c r="F40" s="37">
        <f>IFERROR(ROUND(C38/C37*100,1),"")</f>
        <v/>
      </c>
    </row>
  </sheetData>
  <mergeCells count="15">
    <mergeCell ref="B36:E36"/>
    <mergeCell ref="B40:E40"/>
    <mergeCell ref="F38:K38"/>
    <mergeCell ref="B35:E35"/>
    <mergeCell ref="F36:K36"/>
    <mergeCell ref="B37:E37"/>
    <mergeCell ref="B38:E38"/>
    <mergeCell ref="F40:K40"/>
    <mergeCell ref="B39:E39"/>
    <mergeCell ref="F35:K35"/>
    <mergeCell ref="B2:K2"/>
    <mergeCell ref="B34:K34"/>
    <mergeCell ref="F39:K39"/>
    <mergeCell ref="B3:K3"/>
    <mergeCell ref="F37:K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3" customWidth="1" min="13" max="13"/>
  </cols>
  <sheetData>
    <row r="1" ht="10" customHeight="1"/>
    <row r="2" ht="48" customHeight="1">
      <c r="B2" s="12" t="inlineStr">
        <is>
          <t>HC-32: HOSTEL FEE COLLECTION REGISTER</t>
        </is>
      </c>
    </row>
    <row r="3" ht="20" customHeight="1">
      <c r="B3" s="2" t="inlineStr">
        <is>
          <t>Hostel: _______  Semester: _______  A.Y.: _______  Finance Officer: ___________________</t>
        </is>
      </c>
    </row>
    <row r="4" ht="25" customHeight="1">
      <c r="B4" s="55" t="inlineStr">
        <is>
          <t>Adm.
Ref.</t>
        </is>
      </c>
      <c r="C4" s="55" t="inlineStr">
        <is>
          <t>Student Name</t>
        </is>
      </c>
      <c r="D4" s="55" t="inlineStr">
        <is>
          <t>Room
No.</t>
        </is>
      </c>
      <c r="E4" s="55" t="inlineStr">
        <is>
          <t>Room
Rent (₹)</t>
        </is>
      </c>
      <c r="F4" s="55" t="inlineStr">
        <is>
          <t>Electricity
Charges (₹)</t>
        </is>
      </c>
      <c r="G4" s="55" t="inlineStr">
        <is>
          <t>Water
(₹)</t>
        </is>
      </c>
      <c r="H4" s="55" t="inlineStr">
        <is>
          <t>Security
Deposit (₹)</t>
        </is>
      </c>
      <c r="I4" s="55" t="inlineStr">
        <is>
          <t>Other
Charges (₹)</t>
        </is>
      </c>
      <c r="J4" s="55" t="inlineStr">
        <is>
          <t>Total
Due (₹)</t>
        </is>
      </c>
      <c r="K4" s="55" t="inlineStr">
        <is>
          <t>Amount
Paid (₹)</t>
        </is>
      </c>
      <c r="L4" s="55" t="inlineStr">
        <is>
          <t>Status</t>
        </is>
      </c>
    </row>
    <row r="5" ht="22" customHeight="1">
      <c r="B5" s="59" t="inlineStr">
        <is>
          <t>HA/0001</t>
        </is>
      </c>
      <c r="C5" s="60" t="inlineStr"/>
      <c r="D5" s="61" t="inlineStr"/>
      <c r="E5" s="61" t="inlineStr"/>
      <c r="F5" s="61" t="inlineStr"/>
      <c r="G5" s="61" t="inlineStr"/>
      <c r="H5" s="61" t="inlineStr"/>
      <c r="I5" s="61" t="inlineStr"/>
      <c r="J5" s="62">
        <f>IFERROR(E5+F5+G5+H5+I5,"")</f>
        <v/>
      </c>
      <c r="K5" s="61" t="inlineStr"/>
      <c r="L5" s="61">
        <f>IFERROR(IF(K5&gt;=J5,"Paid","Pending — ₹"&amp;(J5-K5)),"")</f>
        <v/>
      </c>
    </row>
    <row r="6" ht="22" customHeight="1">
      <c r="B6" s="8" t="inlineStr">
        <is>
          <t>HA/0002</t>
        </is>
      </c>
      <c r="C6" s="9" t="inlineStr"/>
      <c r="D6" s="10" t="inlineStr"/>
      <c r="E6" s="10" t="inlineStr"/>
      <c r="F6" s="10" t="inlineStr"/>
      <c r="G6" s="10" t="inlineStr"/>
      <c r="H6" s="10" t="inlineStr"/>
      <c r="I6" s="10" t="inlineStr"/>
      <c r="J6" s="63">
        <f>IFERROR(E6+F6+G6+H6+I6,"")</f>
        <v/>
      </c>
      <c r="K6" s="10" t="inlineStr"/>
      <c r="L6" s="10">
        <f>IFERROR(IF(K6&gt;=J6,"Paid","Pending — ₹"&amp;(J6-K6)),"")</f>
        <v/>
      </c>
    </row>
    <row r="7" ht="22" customHeight="1">
      <c r="B7" s="59" t="inlineStr">
        <is>
          <t>HA/0003</t>
        </is>
      </c>
      <c r="C7" s="60" t="inlineStr"/>
      <c r="D7" s="61" t="inlineStr"/>
      <c r="E7" s="61" t="inlineStr"/>
      <c r="F7" s="61" t="inlineStr"/>
      <c r="G7" s="61" t="inlineStr"/>
      <c r="H7" s="61" t="inlineStr"/>
      <c r="I7" s="61" t="inlineStr"/>
      <c r="J7" s="62">
        <f>IFERROR(E7+F7+G7+H7+I7,"")</f>
        <v/>
      </c>
      <c r="K7" s="61" t="inlineStr"/>
      <c r="L7" s="61">
        <f>IFERROR(IF(K7&gt;=J7,"Paid","Pending — ₹"&amp;(J7-K7)),"")</f>
        <v/>
      </c>
    </row>
    <row r="8" ht="22" customHeight="1">
      <c r="B8" s="8" t="inlineStr">
        <is>
          <t>HA/0004</t>
        </is>
      </c>
      <c r="C8" s="9" t="inlineStr"/>
      <c r="D8" s="10" t="inlineStr"/>
      <c r="E8" s="10" t="inlineStr"/>
      <c r="F8" s="10" t="inlineStr"/>
      <c r="G8" s="10" t="inlineStr"/>
      <c r="H8" s="10" t="inlineStr"/>
      <c r="I8" s="10" t="inlineStr"/>
      <c r="J8" s="63">
        <f>IFERROR(E8+F8+G8+H8+I8,"")</f>
        <v/>
      </c>
      <c r="K8" s="10" t="inlineStr"/>
      <c r="L8" s="10">
        <f>IFERROR(IF(K8&gt;=J8,"Paid","Pending — ₹"&amp;(J8-K8)),"")</f>
        <v/>
      </c>
    </row>
    <row r="9" ht="22" customHeight="1">
      <c r="B9" s="59" t="inlineStr">
        <is>
          <t>HA/0005</t>
        </is>
      </c>
      <c r="C9" s="60" t="inlineStr"/>
      <c r="D9" s="61" t="inlineStr"/>
      <c r="E9" s="61" t="inlineStr"/>
      <c r="F9" s="61" t="inlineStr"/>
      <c r="G9" s="61" t="inlineStr"/>
      <c r="H9" s="61" t="inlineStr"/>
      <c r="I9" s="61" t="inlineStr"/>
      <c r="J9" s="62">
        <f>IFERROR(E9+F9+G9+H9+I9,"")</f>
        <v/>
      </c>
      <c r="K9" s="61" t="inlineStr"/>
      <c r="L9" s="61">
        <f>IFERROR(IF(K9&gt;=J9,"Paid","Pending — ₹"&amp;(J9-K9)),"")</f>
        <v/>
      </c>
    </row>
    <row r="10" ht="22" customHeight="1">
      <c r="B10" s="8" t="inlineStr">
        <is>
          <t>HA/0006</t>
        </is>
      </c>
      <c r="C10" s="9" t="inlineStr"/>
      <c r="D10" s="10" t="inlineStr"/>
      <c r="E10" s="10" t="inlineStr"/>
      <c r="F10" s="10" t="inlineStr"/>
      <c r="G10" s="10" t="inlineStr"/>
      <c r="H10" s="10" t="inlineStr"/>
      <c r="I10" s="10" t="inlineStr"/>
      <c r="J10" s="63">
        <f>IFERROR(E10+F10+G10+H10+I10,"")</f>
        <v/>
      </c>
      <c r="K10" s="10" t="inlineStr"/>
      <c r="L10" s="10">
        <f>IFERROR(IF(K10&gt;=J10,"Paid","Pending — ₹"&amp;(J10-K10)),"")</f>
        <v/>
      </c>
    </row>
    <row r="11" ht="22" customHeight="1">
      <c r="B11" s="59" t="inlineStr">
        <is>
          <t>HA/0007</t>
        </is>
      </c>
      <c r="C11" s="60" t="inlineStr"/>
      <c r="D11" s="61" t="inlineStr"/>
      <c r="E11" s="61" t="inlineStr"/>
      <c r="F11" s="61" t="inlineStr"/>
      <c r="G11" s="61" t="inlineStr"/>
      <c r="H11" s="61" t="inlineStr"/>
      <c r="I11" s="61" t="inlineStr"/>
      <c r="J11" s="62">
        <f>IFERROR(E11+F11+G11+H11+I11,"")</f>
        <v/>
      </c>
      <c r="K11" s="61" t="inlineStr"/>
      <c r="L11" s="61">
        <f>IFERROR(IF(K11&gt;=J11,"Paid","Pending — ₹"&amp;(J11-K11)),"")</f>
        <v/>
      </c>
    </row>
    <row r="12" ht="22" customHeight="1">
      <c r="B12" s="8" t="inlineStr">
        <is>
          <t>HA/0008</t>
        </is>
      </c>
      <c r="C12" s="9" t="inlineStr"/>
      <c r="D12" s="10" t="inlineStr"/>
      <c r="E12" s="10" t="inlineStr"/>
      <c r="F12" s="10" t="inlineStr"/>
      <c r="G12" s="10" t="inlineStr"/>
      <c r="H12" s="10" t="inlineStr"/>
      <c r="I12" s="10" t="inlineStr"/>
      <c r="J12" s="63">
        <f>IFERROR(E12+F12+G12+H12+I12,"")</f>
        <v/>
      </c>
      <c r="K12" s="10" t="inlineStr"/>
      <c r="L12" s="10">
        <f>IFERROR(IF(K12&gt;=J12,"Paid","Pending — ₹"&amp;(J12-K12)),"")</f>
        <v/>
      </c>
    </row>
    <row r="13" ht="22" customHeight="1">
      <c r="B13" s="59" t="inlineStr">
        <is>
          <t>HA/0009</t>
        </is>
      </c>
      <c r="C13" s="60" t="inlineStr"/>
      <c r="D13" s="61" t="inlineStr"/>
      <c r="E13" s="61" t="inlineStr"/>
      <c r="F13" s="61" t="inlineStr"/>
      <c r="G13" s="61" t="inlineStr"/>
      <c r="H13" s="61" t="inlineStr"/>
      <c r="I13" s="61" t="inlineStr"/>
      <c r="J13" s="62">
        <f>IFERROR(E13+F13+G13+H13+I13,"")</f>
        <v/>
      </c>
      <c r="K13" s="61" t="inlineStr"/>
      <c r="L13" s="61">
        <f>IFERROR(IF(K13&gt;=J13,"Paid","Pending — ₹"&amp;(J13-K13)),"")</f>
        <v/>
      </c>
    </row>
    <row r="14" ht="22" customHeight="1">
      <c r="B14" s="8" t="inlineStr">
        <is>
          <t>HA/0010</t>
        </is>
      </c>
      <c r="C14" s="9" t="inlineStr"/>
      <c r="D14" s="10" t="inlineStr"/>
      <c r="E14" s="10" t="inlineStr"/>
      <c r="F14" s="10" t="inlineStr"/>
      <c r="G14" s="10" t="inlineStr"/>
      <c r="H14" s="10" t="inlineStr"/>
      <c r="I14" s="10" t="inlineStr"/>
      <c r="J14" s="63">
        <f>IFERROR(E14+F14+G14+H14+I14,"")</f>
        <v/>
      </c>
      <c r="K14" s="10" t="inlineStr"/>
      <c r="L14" s="10">
        <f>IFERROR(IF(K14&gt;=J14,"Paid","Pending — ₹"&amp;(J14-K14)),"")</f>
        <v/>
      </c>
    </row>
    <row r="15" ht="22" customHeight="1">
      <c r="B15" s="59" t="inlineStr">
        <is>
          <t>HA/0011</t>
        </is>
      </c>
      <c r="C15" s="60" t="inlineStr"/>
      <c r="D15" s="61" t="inlineStr"/>
      <c r="E15" s="61" t="inlineStr"/>
      <c r="F15" s="61" t="inlineStr"/>
      <c r="G15" s="61" t="inlineStr"/>
      <c r="H15" s="61" t="inlineStr"/>
      <c r="I15" s="61" t="inlineStr"/>
      <c r="J15" s="62">
        <f>IFERROR(E15+F15+G15+H15+I15,"")</f>
        <v/>
      </c>
      <c r="K15" s="61" t="inlineStr"/>
      <c r="L15" s="61">
        <f>IFERROR(IF(K15&gt;=J15,"Paid","Pending — ₹"&amp;(J15-K15)),"")</f>
        <v/>
      </c>
    </row>
    <row r="16" ht="22" customHeight="1">
      <c r="B16" s="8" t="inlineStr">
        <is>
          <t>HA/0012</t>
        </is>
      </c>
      <c r="C16" s="9" t="inlineStr"/>
      <c r="D16" s="10" t="inlineStr"/>
      <c r="E16" s="10" t="inlineStr"/>
      <c r="F16" s="10" t="inlineStr"/>
      <c r="G16" s="10" t="inlineStr"/>
      <c r="H16" s="10" t="inlineStr"/>
      <c r="I16" s="10" t="inlineStr"/>
      <c r="J16" s="63">
        <f>IFERROR(E16+F16+G16+H16+I16,"")</f>
        <v/>
      </c>
      <c r="K16" s="10" t="inlineStr"/>
      <c r="L16" s="10">
        <f>IFERROR(IF(K16&gt;=J16,"Paid","Pending — ₹"&amp;(J16-K16)),"")</f>
        <v/>
      </c>
    </row>
    <row r="17" ht="22" customHeight="1">
      <c r="B17" s="59" t="inlineStr">
        <is>
          <t>HA/0013</t>
        </is>
      </c>
      <c r="C17" s="60" t="inlineStr"/>
      <c r="D17" s="61" t="inlineStr"/>
      <c r="E17" s="61" t="inlineStr"/>
      <c r="F17" s="61" t="inlineStr"/>
      <c r="G17" s="61" t="inlineStr"/>
      <c r="H17" s="61" t="inlineStr"/>
      <c r="I17" s="61" t="inlineStr"/>
      <c r="J17" s="62">
        <f>IFERROR(E17+F17+G17+H17+I17,"")</f>
        <v/>
      </c>
      <c r="K17" s="61" t="inlineStr"/>
      <c r="L17" s="61">
        <f>IFERROR(IF(K17&gt;=J17,"Paid","Pending — ₹"&amp;(J17-K17)),"")</f>
        <v/>
      </c>
    </row>
    <row r="18" ht="22" customHeight="1">
      <c r="B18" s="8" t="inlineStr">
        <is>
          <t>HA/0014</t>
        </is>
      </c>
      <c r="C18" s="9" t="inlineStr"/>
      <c r="D18" s="10" t="inlineStr"/>
      <c r="E18" s="10" t="inlineStr"/>
      <c r="F18" s="10" t="inlineStr"/>
      <c r="G18" s="10" t="inlineStr"/>
      <c r="H18" s="10" t="inlineStr"/>
      <c r="I18" s="10" t="inlineStr"/>
      <c r="J18" s="63">
        <f>IFERROR(E18+F18+G18+H18+I18,"")</f>
        <v/>
      </c>
      <c r="K18" s="10" t="inlineStr"/>
      <c r="L18" s="10">
        <f>IFERROR(IF(K18&gt;=J18,"Paid","Pending — ₹"&amp;(J18-K18)),"")</f>
        <v/>
      </c>
    </row>
    <row r="19" ht="22" customHeight="1">
      <c r="B19" s="59" t="inlineStr">
        <is>
          <t>HA/0015</t>
        </is>
      </c>
      <c r="C19" s="60" t="inlineStr"/>
      <c r="D19" s="61" t="inlineStr"/>
      <c r="E19" s="61" t="inlineStr"/>
      <c r="F19" s="61" t="inlineStr"/>
      <c r="G19" s="61" t="inlineStr"/>
      <c r="H19" s="61" t="inlineStr"/>
      <c r="I19" s="61" t="inlineStr"/>
      <c r="J19" s="62">
        <f>IFERROR(E19+F19+G19+H19+I19,"")</f>
        <v/>
      </c>
      <c r="K19" s="61" t="inlineStr"/>
      <c r="L19" s="61">
        <f>IFERROR(IF(K19&gt;=J19,"Paid","Pending — ₹"&amp;(J19-K19)),"")</f>
        <v/>
      </c>
    </row>
    <row r="20" ht="22" customHeight="1">
      <c r="B20" s="8" t="inlineStr">
        <is>
          <t>HA/0016</t>
        </is>
      </c>
      <c r="C20" s="9" t="inlineStr"/>
      <c r="D20" s="10" t="inlineStr"/>
      <c r="E20" s="10" t="inlineStr"/>
      <c r="F20" s="10" t="inlineStr"/>
      <c r="G20" s="10" t="inlineStr"/>
      <c r="H20" s="10" t="inlineStr"/>
      <c r="I20" s="10" t="inlineStr"/>
      <c r="J20" s="63">
        <f>IFERROR(E20+F20+G20+H20+I20,"")</f>
        <v/>
      </c>
      <c r="K20" s="10" t="inlineStr"/>
      <c r="L20" s="10">
        <f>IFERROR(IF(K20&gt;=J20,"Paid","Pending — ₹"&amp;(J20-K20)),"")</f>
        <v/>
      </c>
    </row>
    <row r="21" ht="22" customHeight="1">
      <c r="B21" s="59" t="inlineStr">
        <is>
          <t>HA/0017</t>
        </is>
      </c>
      <c r="C21" s="60" t="inlineStr"/>
      <c r="D21" s="61" t="inlineStr"/>
      <c r="E21" s="61" t="inlineStr"/>
      <c r="F21" s="61" t="inlineStr"/>
      <c r="G21" s="61" t="inlineStr"/>
      <c r="H21" s="61" t="inlineStr"/>
      <c r="I21" s="61" t="inlineStr"/>
      <c r="J21" s="62">
        <f>IFERROR(E21+F21+G21+H21+I21,"")</f>
        <v/>
      </c>
      <c r="K21" s="61" t="inlineStr"/>
      <c r="L21" s="61">
        <f>IFERROR(IF(K21&gt;=J21,"Paid","Pending — ₹"&amp;(J21-K21)),"")</f>
        <v/>
      </c>
    </row>
    <row r="22" ht="22" customHeight="1">
      <c r="B22" s="8" t="inlineStr">
        <is>
          <t>HA/0018</t>
        </is>
      </c>
      <c r="C22" s="9" t="inlineStr"/>
      <c r="D22" s="10" t="inlineStr"/>
      <c r="E22" s="10" t="inlineStr"/>
      <c r="F22" s="10" t="inlineStr"/>
      <c r="G22" s="10" t="inlineStr"/>
      <c r="H22" s="10" t="inlineStr"/>
      <c r="I22" s="10" t="inlineStr"/>
      <c r="J22" s="63">
        <f>IFERROR(E22+F22+G22+H22+I22,"")</f>
        <v/>
      </c>
      <c r="K22" s="10" t="inlineStr"/>
      <c r="L22" s="10">
        <f>IFERROR(IF(K22&gt;=J22,"Paid","Pending — ₹"&amp;(J22-K22)),"")</f>
        <v/>
      </c>
    </row>
    <row r="23" ht="22" customHeight="1">
      <c r="B23" s="59" t="inlineStr">
        <is>
          <t>HA/0019</t>
        </is>
      </c>
      <c r="C23" s="60" t="inlineStr"/>
      <c r="D23" s="61" t="inlineStr"/>
      <c r="E23" s="61" t="inlineStr"/>
      <c r="F23" s="61" t="inlineStr"/>
      <c r="G23" s="61" t="inlineStr"/>
      <c r="H23" s="61" t="inlineStr"/>
      <c r="I23" s="61" t="inlineStr"/>
      <c r="J23" s="62">
        <f>IFERROR(E23+F23+G23+H23+I23,"")</f>
        <v/>
      </c>
      <c r="K23" s="61" t="inlineStr"/>
      <c r="L23" s="61">
        <f>IFERROR(IF(K23&gt;=J23,"Paid","Pending — ₹"&amp;(J23-K23)),"")</f>
        <v/>
      </c>
    </row>
    <row r="24" ht="22" customHeight="1">
      <c r="B24" s="8" t="inlineStr">
        <is>
          <t>HA/0020</t>
        </is>
      </c>
      <c r="C24" s="9" t="inlineStr"/>
      <c r="D24" s="10" t="inlineStr"/>
      <c r="E24" s="10" t="inlineStr"/>
      <c r="F24" s="10" t="inlineStr"/>
      <c r="G24" s="10" t="inlineStr"/>
      <c r="H24" s="10" t="inlineStr"/>
      <c r="I24" s="10" t="inlineStr"/>
      <c r="J24" s="63">
        <f>IFERROR(E24+F24+G24+H24+I24,"")</f>
        <v/>
      </c>
      <c r="K24" s="10" t="inlineStr"/>
      <c r="L24" s="10">
        <f>IFERROR(IF(K24&gt;=J24,"Paid","Pending — ₹"&amp;(J24-K24)),"")</f>
        <v/>
      </c>
    </row>
    <row r="25" ht="22" customHeight="1">
      <c r="B25" s="59" t="inlineStr">
        <is>
          <t>HA/0021</t>
        </is>
      </c>
      <c r="C25" s="60" t="inlineStr"/>
      <c r="D25" s="61" t="inlineStr"/>
      <c r="E25" s="61" t="inlineStr"/>
      <c r="F25" s="61" t="inlineStr"/>
      <c r="G25" s="61" t="inlineStr"/>
      <c r="H25" s="61" t="inlineStr"/>
      <c r="I25" s="61" t="inlineStr"/>
      <c r="J25" s="62">
        <f>IFERROR(E25+F25+G25+H25+I25,"")</f>
        <v/>
      </c>
      <c r="K25" s="61" t="inlineStr"/>
      <c r="L25" s="61">
        <f>IFERROR(IF(K25&gt;=J25,"Paid","Pending — ₹"&amp;(J25-K25)),"")</f>
        <v/>
      </c>
    </row>
    <row r="26" ht="22" customHeight="1">
      <c r="B26" s="8" t="inlineStr">
        <is>
          <t>HA/0022</t>
        </is>
      </c>
      <c r="C26" s="9" t="inlineStr"/>
      <c r="D26" s="10" t="inlineStr"/>
      <c r="E26" s="10" t="inlineStr"/>
      <c r="F26" s="10" t="inlineStr"/>
      <c r="G26" s="10" t="inlineStr"/>
      <c r="H26" s="10" t="inlineStr"/>
      <c r="I26" s="10" t="inlineStr"/>
      <c r="J26" s="63">
        <f>IFERROR(E26+F26+G26+H26+I26,"")</f>
        <v/>
      </c>
      <c r="K26" s="10" t="inlineStr"/>
      <c r="L26" s="10">
        <f>IFERROR(IF(K26&gt;=J26,"Paid","Pending — ₹"&amp;(J26-K26)),"")</f>
        <v/>
      </c>
    </row>
    <row r="27" ht="22" customHeight="1">
      <c r="B27" s="59" t="inlineStr">
        <is>
          <t>HA/0023</t>
        </is>
      </c>
      <c r="C27" s="60" t="inlineStr"/>
      <c r="D27" s="61" t="inlineStr"/>
      <c r="E27" s="61" t="inlineStr"/>
      <c r="F27" s="61" t="inlineStr"/>
      <c r="G27" s="61" t="inlineStr"/>
      <c r="H27" s="61" t="inlineStr"/>
      <c r="I27" s="61" t="inlineStr"/>
      <c r="J27" s="62">
        <f>IFERROR(E27+F27+G27+H27+I27,"")</f>
        <v/>
      </c>
      <c r="K27" s="61" t="inlineStr"/>
      <c r="L27" s="61">
        <f>IFERROR(IF(K27&gt;=J27,"Paid","Pending — ₹"&amp;(J27-K27)),"")</f>
        <v/>
      </c>
    </row>
    <row r="28" ht="22" customHeight="1">
      <c r="B28" s="8" t="inlineStr">
        <is>
          <t>HA/0024</t>
        </is>
      </c>
      <c r="C28" s="9" t="inlineStr"/>
      <c r="D28" s="10" t="inlineStr"/>
      <c r="E28" s="10" t="inlineStr"/>
      <c r="F28" s="10" t="inlineStr"/>
      <c r="G28" s="10" t="inlineStr"/>
      <c r="H28" s="10" t="inlineStr"/>
      <c r="I28" s="10" t="inlineStr"/>
      <c r="J28" s="63">
        <f>IFERROR(E28+F28+G28+H28+I28,"")</f>
        <v/>
      </c>
      <c r="K28" s="10" t="inlineStr"/>
      <c r="L28" s="10">
        <f>IFERROR(IF(K28&gt;=J28,"Paid","Pending — ₹"&amp;(J28-K28)),"")</f>
        <v/>
      </c>
    </row>
    <row r="29" ht="22" customHeight="1">
      <c r="B29" s="59" t="inlineStr">
        <is>
          <t>HA/0025</t>
        </is>
      </c>
      <c r="C29" s="60" t="inlineStr"/>
      <c r="D29" s="61" t="inlineStr"/>
      <c r="E29" s="61" t="inlineStr"/>
      <c r="F29" s="61" t="inlineStr"/>
      <c r="G29" s="61" t="inlineStr"/>
      <c r="H29" s="61" t="inlineStr"/>
      <c r="I29" s="61" t="inlineStr"/>
      <c r="J29" s="62">
        <f>IFERROR(E29+F29+G29+H29+I29,"")</f>
        <v/>
      </c>
      <c r="K29" s="61" t="inlineStr"/>
      <c r="L29" s="61">
        <f>IFERROR(IF(K29&gt;=J29,"Paid","Pending — ₹"&amp;(J29-K29)),"")</f>
        <v/>
      </c>
    </row>
    <row r="30" ht="22" customHeight="1">
      <c r="B30" s="8" t="inlineStr">
        <is>
          <t>HA/0026</t>
        </is>
      </c>
      <c r="C30" s="9" t="inlineStr"/>
      <c r="D30" s="10" t="inlineStr"/>
      <c r="E30" s="10" t="inlineStr"/>
      <c r="F30" s="10" t="inlineStr"/>
      <c r="G30" s="10" t="inlineStr"/>
      <c r="H30" s="10" t="inlineStr"/>
      <c r="I30" s="10" t="inlineStr"/>
      <c r="J30" s="63">
        <f>IFERROR(E30+F30+G30+H30+I30,"")</f>
        <v/>
      </c>
      <c r="K30" s="10" t="inlineStr"/>
      <c r="L30" s="10">
        <f>IFERROR(IF(K30&gt;=J30,"Paid","Pending — ₹"&amp;(J30-K30)),"")</f>
        <v/>
      </c>
    </row>
    <row r="31" ht="22" customHeight="1">
      <c r="B31" s="59" t="inlineStr">
        <is>
          <t>HA/0027</t>
        </is>
      </c>
      <c r="C31" s="60" t="inlineStr"/>
      <c r="D31" s="61" t="inlineStr"/>
      <c r="E31" s="61" t="inlineStr"/>
      <c r="F31" s="61" t="inlineStr"/>
      <c r="G31" s="61" t="inlineStr"/>
      <c r="H31" s="61" t="inlineStr"/>
      <c r="I31" s="61" t="inlineStr"/>
      <c r="J31" s="62">
        <f>IFERROR(E31+F31+G31+H31+I31,"")</f>
        <v/>
      </c>
      <c r="K31" s="61" t="inlineStr"/>
      <c r="L31" s="61">
        <f>IFERROR(IF(K31&gt;=J31,"Paid","Pending — ₹"&amp;(J31-K31)),"")</f>
        <v/>
      </c>
    </row>
    <row r="32" ht="22" customHeight="1">
      <c r="B32" s="8" t="inlineStr">
        <is>
          <t>HA/0028</t>
        </is>
      </c>
      <c r="C32" s="9" t="inlineStr"/>
      <c r="D32" s="10" t="inlineStr"/>
      <c r="E32" s="10" t="inlineStr"/>
      <c r="F32" s="10" t="inlineStr"/>
      <c r="G32" s="10" t="inlineStr"/>
      <c r="H32" s="10" t="inlineStr"/>
      <c r="I32" s="10" t="inlineStr"/>
      <c r="J32" s="63">
        <f>IFERROR(E32+F32+G32+H32+I32,"")</f>
        <v/>
      </c>
      <c r="K32" s="10" t="inlineStr"/>
      <c r="L32" s="10">
        <f>IFERROR(IF(K32&gt;=J32,"Paid","Pending — ₹"&amp;(J32-K32)),"")</f>
        <v/>
      </c>
    </row>
    <row r="33" ht="22" customHeight="1"/>
    <row r="34" ht="24" customHeight="1">
      <c r="B34" s="34" t="inlineStr">
        <is>
          <t>HOSTEL FEE SUMMARY</t>
        </is>
      </c>
    </row>
    <row r="35" ht="22" customHeight="1">
      <c r="B35" s="64" t="inlineStr">
        <is>
          <t>Total Students Billed</t>
        </is>
      </c>
      <c r="F35" s="36">
        <f>COUNTA(B5:B32)</f>
        <v/>
      </c>
    </row>
    <row r="36">
      <c r="B36" s="25" t="inlineStr">
        <is>
          <t>Total Hostel Fee Due (₹)</t>
        </is>
      </c>
      <c r="F36" s="37">
        <f>IFERROR(SUM(J5:J32),"")</f>
        <v/>
      </c>
    </row>
    <row r="37">
      <c r="B37" s="64" t="inlineStr">
        <is>
          <t>Total Collected (₹)</t>
        </is>
      </c>
      <c r="F37" s="36">
        <f>IFERROR(SUM(K5:K32),"")</f>
        <v/>
      </c>
    </row>
    <row r="38">
      <c r="B38" s="25" t="inlineStr">
        <is>
          <t>Pending Amount (₹)</t>
        </is>
      </c>
      <c r="F38" s="37">
        <f>IFERROR(C37-C38,"")</f>
        <v/>
      </c>
    </row>
    <row r="39">
      <c r="B39" s="64" t="inlineStr">
        <is>
          <t>Students with Full Payment</t>
        </is>
      </c>
      <c r="F39" s="36">
        <f>COUNTIF(L5:L32,"Paid")</f>
        <v/>
      </c>
    </row>
    <row r="40">
      <c r="B40" s="25" t="inlineStr">
        <is>
          <t>Collection Rate (%)</t>
        </is>
      </c>
      <c r="F40" s="37">
        <f>IFERROR(ROUND(C38/C37*100,1),"")</f>
        <v/>
      </c>
    </row>
  </sheetData>
  <mergeCells count="15">
    <mergeCell ref="B40:E40"/>
    <mergeCell ref="F36:L36"/>
    <mergeCell ref="B35:E35"/>
    <mergeCell ref="F40:L40"/>
    <mergeCell ref="F35:L35"/>
    <mergeCell ref="B38:E38"/>
    <mergeCell ref="B3:L3"/>
    <mergeCell ref="B2:L2"/>
    <mergeCell ref="B34:L34"/>
    <mergeCell ref="F37:L37"/>
    <mergeCell ref="B39:E39"/>
    <mergeCell ref="F39:L39"/>
    <mergeCell ref="B37:E37"/>
    <mergeCell ref="B36:E36"/>
    <mergeCell ref="F38:L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HC-25 / HC-26: ROOM &amp; COMMON AREA INSPECTION CHECKLIST</t>
        </is>
      </c>
    </row>
    <row r="3" ht="20" customHeight="1">
      <c r="B3" s="17" t="inlineStr">
        <is>
          <t>Rating: 1=Very Poor | 2=Poor | 3=Average | 4=Good | 5=Excellent. Any room rated ≤ 2 requires immediate action. Conduct monthly for rooms and weekly for common areas.</t>
        </is>
      </c>
    </row>
    <row r="4" ht="25" customHeight="1">
      <c r="B4" s="2" t="inlineStr">
        <is>
          <t>Date: _______  Block: _______  Warden: ___________________  Student Present: [ ] Yes  [ ] No</t>
        </is>
      </c>
    </row>
    <row r="5" ht="26" customHeight="1">
      <c r="B5" s="13" t="inlineStr">
        <is>
          <t>Sl.</t>
        </is>
      </c>
      <c r="C5" s="13" t="inlineStr">
        <is>
          <t>Inspection Item</t>
        </is>
      </c>
      <c r="D5" s="13" t="inlineStr">
        <is>
          <t>Standard</t>
        </is>
      </c>
      <c r="E5" s="13" t="inlineStr">
        <is>
          <t>Rating
(1–5)</t>
        </is>
      </c>
      <c r="F5" s="13" t="inlineStr">
        <is>
          <t>Observations</t>
        </is>
      </c>
      <c r="G5" s="13" t="inlineStr">
        <is>
          <t>Action
Required</t>
        </is>
      </c>
      <c r="H5" s="13" t="inlineStr">
        <is>
          <t>Deadline</t>
        </is>
      </c>
    </row>
    <row r="6" ht="24" customHeight="1">
      <c r="B6" s="19" t="inlineStr">
        <is>
          <t>A. ROOM CLEANLINESS &amp; HYGIENE</t>
        </is>
      </c>
    </row>
    <row r="7" ht="26" customHeight="1">
      <c r="B7" s="44" t="n">
        <v>1</v>
      </c>
      <c r="C7" s="45" t="inlineStr">
        <is>
          <t>Floor — swept and mopped</t>
        </is>
      </c>
      <c r="D7" s="45" t="inlineStr">
        <is>
          <t>No dust, food particles or dampness</t>
        </is>
      </c>
      <c r="E7" s="46" t="inlineStr"/>
      <c r="F7" s="45" t="inlineStr"/>
      <c r="G7" s="45" t="inlineStr"/>
      <c r="H7" s="46" t="inlineStr"/>
    </row>
    <row r="8" ht="26" customHeight="1">
      <c r="B8" s="47" t="n">
        <v>2</v>
      </c>
      <c r="C8" s="48" t="inlineStr">
        <is>
          <t>Beds — neat, linen clean</t>
        </is>
      </c>
      <c r="D8" s="48" t="inlineStr">
        <is>
          <t>Bedsheets washed weekly; no unwashed linen</t>
        </is>
      </c>
      <c r="E8" s="49" t="inlineStr"/>
      <c r="F8" s="48" t="inlineStr"/>
      <c r="G8" s="48" t="inlineStr"/>
      <c r="H8" s="49" t="inlineStr"/>
    </row>
    <row r="9" ht="26" customHeight="1">
      <c r="B9" s="44" t="n">
        <v>3</v>
      </c>
      <c r="C9" s="45" t="inlineStr">
        <is>
          <t>Study table and shelves — tidy</t>
        </is>
      </c>
      <c r="D9" s="45" t="inlineStr">
        <is>
          <t>Books/items arranged; no food on desk</t>
        </is>
      </c>
      <c r="E9" s="46" t="inlineStr"/>
      <c r="F9" s="45" t="inlineStr"/>
      <c r="G9" s="45" t="inlineStr"/>
      <c r="H9" s="46" t="inlineStr"/>
    </row>
    <row r="10" ht="26" customHeight="1">
      <c r="B10" s="47" t="n">
        <v>4</v>
      </c>
      <c r="C10" s="48" t="inlineStr">
        <is>
          <t>Windows — clean and functional</t>
        </is>
      </c>
      <c r="D10" s="48" t="inlineStr">
        <is>
          <t>No broken glass; curtains clean</t>
        </is>
      </c>
      <c r="E10" s="49" t="inlineStr"/>
      <c r="F10" s="48" t="inlineStr"/>
      <c r="G10" s="48" t="inlineStr"/>
      <c r="H10" s="49" t="inlineStr"/>
    </row>
    <row r="11" ht="26" customHeight="1">
      <c r="B11" s="44" t="n">
        <v>5</v>
      </c>
      <c r="C11" s="45" t="inlineStr">
        <is>
          <t>Walls — no stains or graffiti</t>
        </is>
      </c>
      <c r="D11" s="45" t="inlineStr">
        <is>
          <t>Clean walls; no unauthorised posters</t>
        </is>
      </c>
      <c r="E11" s="46" t="inlineStr"/>
      <c r="F11" s="45" t="inlineStr"/>
      <c r="G11" s="45" t="inlineStr"/>
      <c r="H11" s="46" t="inlineStr"/>
    </row>
    <row r="12" ht="26" customHeight="1">
      <c r="B12" s="47" t="n">
        <v>6</v>
      </c>
      <c r="C12" s="48" t="inlineStr">
        <is>
          <t>Dustbin — present and not overflowing</t>
        </is>
      </c>
      <c r="D12" s="48" t="inlineStr">
        <is>
          <t>Lined bin emptied regularly</t>
        </is>
      </c>
      <c r="E12" s="49" t="inlineStr"/>
      <c r="F12" s="48" t="inlineStr"/>
      <c r="G12" s="48" t="inlineStr"/>
      <c r="H12" s="49" t="inlineStr"/>
    </row>
    <row r="13" ht="26" customHeight="1">
      <c r="B13" s="44" t="n">
        <v>7</v>
      </c>
      <c r="C13" s="45" t="inlineStr">
        <is>
          <t>No food hoarding or pest attraction</t>
        </is>
      </c>
      <c r="D13" s="45" t="inlineStr">
        <is>
          <t>No open food kept in room</t>
        </is>
      </c>
      <c r="E13" s="46" t="inlineStr"/>
      <c r="F13" s="45" t="inlineStr"/>
      <c r="G13" s="45" t="inlineStr"/>
      <c r="H13" s="46" t="inlineStr"/>
    </row>
    <row r="14" ht="26" customHeight="1"/>
    <row r="15" ht="24" customHeight="1">
      <c r="B15" s="50" t="inlineStr">
        <is>
          <t>B. BATHROOM &amp; TOILET (Per Shared Block)</t>
        </is>
      </c>
    </row>
    <row r="16" ht="26" customHeight="1">
      <c r="B16" s="51" t="n">
        <v>1</v>
      </c>
      <c r="C16" s="52" t="inlineStr">
        <is>
          <t>Toilet — clean and functional flush</t>
        </is>
      </c>
      <c r="D16" s="52" t="inlineStr">
        <is>
          <t>No stains; flushing correctly</t>
        </is>
      </c>
      <c r="E16" s="53" t="inlineStr"/>
      <c r="F16" s="52" t="inlineStr"/>
      <c r="G16" s="52" t="inlineStr"/>
      <c r="H16" s="53" t="inlineStr"/>
    </row>
    <row r="17" ht="26" customHeight="1">
      <c r="B17" s="47" t="n">
        <v>2</v>
      </c>
      <c r="C17" s="48" t="inlineStr">
        <is>
          <t>Basin and taps — clean and no leaks</t>
        </is>
      </c>
      <c r="D17" s="48" t="inlineStr">
        <is>
          <t>No dripping; basin clean</t>
        </is>
      </c>
      <c r="E17" s="49" t="inlineStr"/>
      <c r="F17" s="48" t="inlineStr"/>
      <c r="G17" s="48" t="inlineStr"/>
      <c r="H17" s="49" t="inlineStr"/>
    </row>
    <row r="18" ht="26" customHeight="1">
      <c r="B18" s="51" t="n">
        <v>3</v>
      </c>
      <c r="C18" s="52" t="inlineStr">
        <is>
          <t>Floor — no water stagnation</t>
        </is>
      </c>
      <c r="D18" s="52" t="inlineStr">
        <is>
          <t>Dry or well-draining floor</t>
        </is>
      </c>
      <c r="E18" s="53" t="inlineStr"/>
      <c r="F18" s="52" t="inlineStr"/>
      <c r="G18" s="52" t="inlineStr"/>
      <c r="H18" s="53" t="inlineStr"/>
    </row>
    <row r="19" ht="26" customHeight="1">
      <c r="B19" s="47" t="n">
        <v>4</v>
      </c>
      <c r="C19" s="48" t="inlineStr">
        <is>
          <t>Soap / sanitizer available</t>
        </is>
      </c>
      <c r="D19" s="48" t="inlineStr">
        <is>
          <t>Adequate supply visible</t>
        </is>
      </c>
      <c r="E19" s="49" t="inlineStr"/>
      <c r="F19" s="48" t="inlineStr"/>
      <c r="G19" s="48" t="inlineStr"/>
      <c r="H19" s="49" t="inlineStr"/>
    </row>
    <row r="20" ht="26" customHeight="1">
      <c r="B20" s="51" t="n">
        <v>5</v>
      </c>
      <c r="C20" s="52" t="inlineStr">
        <is>
          <t>Exhaust fan — working</t>
        </is>
      </c>
      <c r="D20" s="52" t="inlineStr">
        <is>
          <t>Ventilation functional</t>
        </is>
      </c>
      <c r="E20" s="53" t="inlineStr"/>
      <c r="F20" s="52" t="inlineStr"/>
      <c r="G20" s="52" t="inlineStr"/>
      <c r="H20" s="53" t="inlineStr"/>
    </row>
    <row r="21" ht="26" customHeight="1">
      <c r="B21" s="47" t="n">
        <v>6</v>
      </c>
      <c r="C21" s="48" t="inlineStr">
        <is>
          <t>Dustbin — not overflowing</t>
        </is>
      </c>
      <c r="D21" s="48" t="inlineStr">
        <is>
          <t>Emptied regularly</t>
        </is>
      </c>
      <c r="E21" s="49" t="inlineStr"/>
      <c r="F21" s="48" t="inlineStr"/>
      <c r="G21" s="48" t="inlineStr"/>
      <c r="H21" s="49" t="inlineStr"/>
    </row>
    <row r="22" ht="26" customHeight="1"/>
    <row r="23" ht="24" customHeight="1">
      <c r="B23" s="54" t="inlineStr">
        <is>
          <t>C. ELECTRICAL &amp; SAFETY</t>
        </is>
      </c>
    </row>
    <row r="24" ht="26" customHeight="1">
      <c r="B24" s="56" t="n">
        <v>1</v>
      </c>
      <c r="C24" s="57" t="inlineStr">
        <is>
          <t>Switches and sockets — no damage</t>
        </is>
      </c>
      <c r="D24" s="57" t="inlineStr">
        <is>
          <t>No exposed wiring; switches intact</t>
        </is>
      </c>
      <c r="E24" s="58" t="inlineStr"/>
      <c r="F24" s="57" t="inlineStr"/>
      <c r="G24" s="57" t="inlineStr"/>
      <c r="H24" s="58" t="inlineStr"/>
    </row>
    <row r="25" ht="26" customHeight="1">
      <c r="B25" s="47" t="n">
        <v>2</v>
      </c>
      <c r="C25" s="48" t="inlineStr">
        <is>
          <t>No unauthorised electrical appliances</t>
        </is>
      </c>
      <c r="D25" s="48" t="inlineStr">
        <is>
          <t>No heaters, irons, hot plates</t>
        </is>
      </c>
      <c r="E25" s="49" t="inlineStr"/>
      <c r="F25" s="48" t="inlineStr"/>
      <c r="G25" s="48" t="inlineStr"/>
      <c r="H25" s="49" t="inlineStr"/>
    </row>
    <row r="26" ht="26" customHeight="1">
      <c r="B26" s="56" t="n">
        <v>3</v>
      </c>
      <c r="C26" s="57" t="inlineStr">
        <is>
          <t>Lights and fans — all functional</t>
        </is>
      </c>
      <c r="D26" s="57" t="inlineStr">
        <is>
          <t>No fused bulbs; fans working</t>
        </is>
      </c>
      <c r="E26" s="58" t="inlineStr"/>
      <c r="F26" s="57" t="inlineStr"/>
      <c r="G26" s="57" t="inlineStr"/>
      <c r="H26" s="58" t="inlineStr"/>
    </row>
    <row r="27" ht="26" customHeight="1">
      <c r="B27" s="47" t="n">
        <v>4</v>
      </c>
      <c r="C27" s="48" t="inlineStr">
        <is>
          <t>Fire extinguisher accessible (corridor)</t>
        </is>
      </c>
      <c r="D27" s="48" t="inlineStr">
        <is>
          <t>Unobstructed; seal intact</t>
        </is>
      </c>
      <c r="E27" s="49" t="inlineStr"/>
      <c r="F27" s="48" t="inlineStr"/>
      <c r="G27" s="48" t="inlineStr"/>
      <c r="H27" s="49" t="inlineStr"/>
    </row>
    <row r="28" ht="26" customHeight="1">
      <c r="B28" s="56" t="n">
        <v>5</v>
      </c>
      <c r="C28" s="57" t="inlineStr">
        <is>
          <t>Emergency exit route clear</t>
        </is>
      </c>
      <c r="D28" s="57" t="inlineStr">
        <is>
          <t>No blockage in corridor / staircase</t>
        </is>
      </c>
      <c r="E28" s="58" t="inlineStr"/>
      <c r="F28" s="57" t="inlineStr"/>
      <c r="G28" s="57" t="inlineStr"/>
      <c r="H28" s="58" t="inlineStr"/>
    </row>
    <row r="29" ht="26" customHeight="1"/>
    <row r="30" ht="24" customHeight="1">
      <c r="B30" s="34" t="inlineStr">
        <is>
          <t>D. COMMON AREAS</t>
        </is>
      </c>
    </row>
    <row r="31" ht="26" customHeight="1">
      <c r="B31" s="65" t="n">
        <v>1</v>
      </c>
      <c r="C31" s="66" t="inlineStr">
        <is>
          <t>Corridor — swept and litter-free</t>
        </is>
      </c>
      <c r="D31" s="66" t="inlineStr">
        <is>
          <t>Clean floor; no storage clutter</t>
        </is>
      </c>
      <c r="E31" s="67" t="inlineStr"/>
      <c r="F31" s="66" t="inlineStr"/>
      <c r="G31" s="66" t="inlineStr"/>
      <c r="H31" s="67" t="inlineStr"/>
    </row>
    <row r="32" ht="26" customHeight="1">
      <c r="B32" s="47" t="n">
        <v>2</v>
      </c>
      <c r="C32" s="48" t="inlineStr">
        <is>
          <t>Study / common room — clean and functional</t>
        </is>
      </c>
      <c r="D32" s="48" t="inlineStr">
        <is>
          <t>Seating intact; no damage</t>
        </is>
      </c>
      <c r="E32" s="49" t="inlineStr"/>
      <c r="F32" s="48" t="inlineStr"/>
      <c r="G32" s="48" t="inlineStr"/>
      <c r="H32" s="49" t="inlineStr"/>
    </row>
    <row r="33" ht="26" customHeight="1">
      <c r="B33" s="65" t="n">
        <v>3</v>
      </c>
      <c r="C33" s="66" t="inlineStr">
        <is>
          <t>Notice board — updated, neat</t>
        </is>
      </c>
      <c r="D33" s="66" t="inlineStr">
        <is>
          <t>Current notices; no torn papers</t>
        </is>
      </c>
      <c r="E33" s="67" t="inlineStr"/>
      <c r="F33" s="66" t="inlineStr"/>
      <c r="G33" s="66" t="inlineStr"/>
      <c r="H33" s="67" t="inlineStr"/>
    </row>
    <row r="34" ht="26" customHeight="1">
      <c r="B34" s="47" t="n">
        <v>4</v>
      </c>
      <c r="C34" s="48" t="inlineStr">
        <is>
          <t>Water cooler / dispenser area — clean</t>
        </is>
      </c>
      <c r="D34" s="48" t="inlineStr">
        <is>
          <t>No algae or spillage</t>
        </is>
      </c>
      <c r="E34" s="49" t="inlineStr"/>
      <c r="F34" s="48" t="inlineStr"/>
      <c r="G34" s="48" t="inlineStr"/>
      <c r="H34" s="49" t="inlineStr"/>
    </row>
    <row r="35" ht="26" customHeight="1">
      <c r="B35" s="65" t="n">
        <v>5</v>
      </c>
      <c r="C35" s="66" t="inlineStr">
        <is>
          <t>Main entrance — secure and well-lit</t>
        </is>
      </c>
      <c r="D35" s="66" t="inlineStr">
        <is>
          <t>Gate functioning; adequate light</t>
        </is>
      </c>
      <c r="E35" s="67" t="inlineStr"/>
      <c r="F35" s="66" t="inlineStr"/>
      <c r="G35" s="66" t="inlineStr"/>
      <c r="H35" s="67" t="inlineStr"/>
    </row>
    <row r="36" ht="26" customHeight="1"/>
    <row r="37" ht="26" customHeight="1">
      <c r="B37" s="29" t="inlineStr">
        <is>
          <t>Warden Signature: ___________________    Student Signature: ___________________    Action Completion Date: ___________________</t>
        </is>
      </c>
    </row>
    <row r="38" ht="26" customHeight="1"/>
    <row r="39" ht="26" customHeight="1"/>
    <row r="40" ht="26" customHeight="1"/>
    <row r="41" ht="26" customHeight="1"/>
    <row r="42" ht="26" customHeight="1"/>
    <row r="43" ht="26" customHeight="1"/>
    <row r="44" ht="26" customHeight="1"/>
    <row r="45" ht="26" customHeight="1"/>
    <row r="46" ht="26" customHeight="1"/>
    <row r="47" ht="26" customHeight="1"/>
    <row r="48" ht="26" customHeight="1"/>
    <row r="49" ht="26" customHeight="1"/>
  </sheetData>
  <mergeCells count="8">
    <mergeCell ref="B4:H4"/>
    <mergeCell ref="B6:H6"/>
    <mergeCell ref="B30:H30"/>
    <mergeCell ref="B2:H2"/>
    <mergeCell ref="B15:H15"/>
    <mergeCell ref="B3:H3"/>
    <mergeCell ref="B37:H37"/>
    <mergeCell ref="B23:H2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HC-27: HOSTEL MAINTENANCE &amp; REPAIR REQUEST REGISTER</t>
        </is>
      </c>
    </row>
    <row r="3" ht="20" customHeight="1">
      <c r="B3" s="2" t="inlineStr">
        <is>
          <t>A.Y.: _______  Warden: ___________________  Maintenance In-charge: ___________________</t>
        </is>
      </c>
    </row>
    <row r="4" ht="25" customHeight="1">
      <c r="B4" s="13" t="inlineStr">
        <is>
          <t>Request
Ref.</t>
        </is>
      </c>
      <c r="C4" s="13" t="inlineStr">
        <is>
          <t>Location
(Room / Area)</t>
        </is>
      </c>
      <c r="D4" s="13" t="inlineStr">
        <is>
          <t>Nature of
Complaint</t>
        </is>
      </c>
      <c r="E4" s="13" t="inlineStr">
        <is>
          <t>Priority
(H/M/L)</t>
        </is>
      </c>
      <c r="F4" s="13" t="inlineStr">
        <is>
          <t>Date
Logged</t>
        </is>
      </c>
      <c r="G4" s="13" t="inlineStr">
        <is>
          <t>Assigned
To</t>
        </is>
      </c>
      <c r="H4" s="13" t="inlineStr">
        <is>
          <t>Date
Completed</t>
        </is>
      </c>
      <c r="I4" s="13" t="inlineStr">
        <is>
          <t>Cost (₹)</t>
        </is>
      </c>
      <c r="J4" s="13" t="inlineStr">
        <is>
          <t>Status</t>
        </is>
      </c>
    </row>
    <row r="5" ht="22" customHeight="1">
      <c r="B5" s="14" t="inlineStr">
        <is>
          <t>MR/0001</t>
        </is>
      </c>
      <c r="C5" s="16" t="inlineStr"/>
      <c r="D5" s="15" t="inlineStr">
        <is>
          <t>Plumbing — leaking tap</t>
        </is>
      </c>
      <c r="E5" s="14" t="inlineStr">
        <is>
          <t>H</t>
        </is>
      </c>
      <c r="F5" s="16" t="inlineStr"/>
      <c r="G5" s="16" t="inlineStr">
        <is>
          <t>Maintenance Dept.</t>
        </is>
      </c>
      <c r="H5" s="16" t="inlineStr"/>
      <c r="I5" s="16" t="inlineStr"/>
      <c r="J5" s="16" t="inlineStr">
        <is>
          <t>Pending</t>
        </is>
      </c>
    </row>
    <row r="6" ht="22" customHeight="1">
      <c r="B6" s="8" t="inlineStr">
        <is>
          <t>MR/0002</t>
        </is>
      </c>
      <c r="C6" s="10" t="inlineStr"/>
      <c r="D6" s="9" t="inlineStr">
        <is>
          <t>Plumbing — blocked drain</t>
        </is>
      </c>
      <c r="E6" s="8" t="inlineStr">
        <is>
          <t>M</t>
        </is>
      </c>
      <c r="F6" s="10" t="inlineStr"/>
      <c r="G6" s="10" t="inlineStr">
        <is>
          <t>Maintenance Dept.</t>
        </is>
      </c>
      <c r="H6" s="10" t="inlineStr"/>
      <c r="I6" s="10" t="inlineStr"/>
      <c r="J6" s="10" t="inlineStr">
        <is>
          <t>Pending</t>
        </is>
      </c>
    </row>
    <row r="7" ht="22" customHeight="1">
      <c r="B7" s="14" t="inlineStr">
        <is>
          <t>MR/0003</t>
        </is>
      </c>
      <c r="C7" s="16" t="inlineStr"/>
      <c r="D7" s="15" t="inlineStr">
        <is>
          <t>Electrical — fused light</t>
        </is>
      </c>
      <c r="E7" s="14" t="inlineStr">
        <is>
          <t>L</t>
        </is>
      </c>
      <c r="F7" s="16" t="inlineStr"/>
      <c r="G7" s="16" t="inlineStr">
        <is>
          <t>Maintenance Dept.</t>
        </is>
      </c>
      <c r="H7" s="16" t="inlineStr"/>
      <c r="I7" s="16" t="inlineStr"/>
      <c r="J7" s="16" t="inlineStr">
        <is>
          <t>Pending</t>
        </is>
      </c>
    </row>
    <row r="8" ht="22" customHeight="1">
      <c r="B8" s="8" t="inlineStr">
        <is>
          <t>MR/0004</t>
        </is>
      </c>
      <c r="C8" s="10" t="inlineStr"/>
      <c r="D8" s="9" t="inlineStr">
        <is>
          <t>Electrical — fan not working</t>
        </is>
      </c>
      <c r="E8" s="8" t="inlineStr">
        <is>
          <t>H</t>
        </is>
      </c>
      <c r="F8" s="10" t="inlineStr"/>
      <c r="G8" s="10" t="inlineStr">
        <is>
          <t>Maintenance Dept.</t>
        </is>
      </c>
      <c r="H8" s="10" t="inlineStr"/>
      <c r="I8" s="10" t="inlineStr"/>
      <c r="J8" s="10" t="inlineStr">
        <is>
          <t>Pending</t>
        </is>
      </c>
    </row>
    <row r="9" ht="22" customHeight="1">
      <c r="B9" s="14" t="inlineStr">
        <is>
          <t>MR/0005</t>
        </is>
      </c>
      <c r="C9" s="16" t="inlineStr"/>
      <c r="D9" s="15" t="inlineStr">
        <is>
          <t>Electrical — socket damaged</t>
        </is>
      </c>
      <c r="E9" s="14" t="inlineStr">
        <is>
          <t>M</t>
        </is>
      </c>
      <c r="F9" s="16" t="inlineStr"/>
      <c r="G9" s="16" t="inlineStr">
        <is>
          <t>Maintenance Dept.</t>
        </is>
      </c>
      <c r="H9" s="16" t="inlineStr"/>
      <c r="I9" s="16" t="inlineStr"/>
      <c r="J9" s="16" t="inlineStr">
        <is>
          <t>Pending</t>
        </is>
      </c>
    </row>
    <row r="10" ht="22" customHeight="1">
      <c r="B10" s="8" t="inlineStr">
        <is>
          <t>MR/0006</t>
        </is>
      </c>
      <c r="C10" s="10" t="inlineStr"/>
      <c r="D10" s="9" t="inlineStr">
        <is>
          <t>Door lock / door repair</t>
        </is>
      </c>
      <c r="E10" s="8" t="inlineStr">
        <is>
          <t>L</t>
        </is>
      </c>
      <c r="F10" s="10" t="inlineStr"/>
      <c r="G10" s="10" t="inlineStr">
        <is>
          <t>Maintenance Dept.</t>
        </is>
      </c>
      <c r="H10" s="10" t="inlineStr"/>
      <c r="I10" s="10" t="inlineStr"/>
      <c r="J10" s="10" t="inlineStr">
        <is>
          <t>Pending</t>
        </is>
      </c>
    </row>
    <row r="11" ht="22" customHeight="1">
      <c r="B11" s="14" t="inlineStr">
        <is>
          <t>MR/0007</t>
        </is>
      </c>
      <c r="C11" s="16" t="inlineStr"/>
      <c r="D11" s="15" t="inlineStr">
        <is>
          <t>Window repair / glass</t>
        </is>
      </c>
      <c r="E11" s="14" t="inlineStr">
        <is>
          <t>H</t>
        </is>
      </c>
      <c r="F11" s="16" t="inlineStr"/>
      <c r="G11" s="16" t="inlineStr">
        <is>
          <t>Maintenance Dept.</t>
        </is>
      </c>
      <c r="H11" s="16" t="inlineStr"/>
      <c r="I11" s="16" t="inlineStr"/>
      <c r="J11" s="16" t="inlineStr">
        <is>
          <t>Pending</t>
        </is>
      </c>
    </row>
    <row r="12" ht="22" customHeight="1">
      <c r="B12" s="8" t="inlineStr">
        <is>
          <t>MR/0008</t>
        </is>
      </c>
      <c r="C12" s="10" t="inlineStr"/>
      <c r="D12" s="9" t="inlineStr">
        <is>
          <t>Furniture repair</t>
        </is>
      </c>
      <c r="E12" s="8" t="inlineStr">
        <is>
          <t>M</t>
        </is>
      </c>
      <c r="F12" s="10" t="inlineStr"/>
      <c r="G12" s="10" t="inlineStr">
        <is>
          <t>Maintenance Dept.</t>
        </is>
      </c>
      <c r="H12" s="10" t="inlineStr"/>
      <c r="I12" s="10" t="inlineStr"/>
      <c r="J12" s="10" t="inlineStr">
        <is>
          <t>Pending</t>
        </is>
      </c>
    </row>
    <row r="13" ht="22" customHeight="1">
      <c r="B13" s="14" t="inlineStr">
        <is>
          <t>MR/0009</t>
        </is>
      </c>
      <c r="C13" s="16" t="inlineStr"/>
      <c r="D13" s="15" t="inlineStr">
        <is>
          <t>Bathroom tile / floor repair</t>
        </is>
      </c>
      <c r="E13" s="14" t="inlineStr">
        <is>
          <t>L</t>
        </is>
      </c>
      <c r="F13" s="16" t="inlineStr"/>
      <c r="G13" s="16" t="inlineStr">
        <is>
          <t>Maintenance Dept.</t>
        </is>
      </c>
      <c r="H13" s="16" t="inlineStr"/>
      <c r="I13" s="16" t="inlineStr"/>
      <c r="J13" s="16" t="inlineStr">
        <is>
          <t>Pending</t>
        </is>
      </c>
    </row>
    <row r="14" ht="22" customHeight="1">
      <c r="B14" s="8" t="inlineStr">
        <is>
          <t>MR/0010</t>
        </is>
      </c>
      <c r="C14" s="10" t="inlineStr"/>
      <c r="D14" s="9" t="inlineStr">
        <is>
          <t>Water supply issue</t>
        </is>
      </c>
      <c r="E14" s="8" t="inlineStr">
        <is>
          <t>H</t>
        </is>
      </c>
      <c r="F14" s="10" t="inlineStr"/>
      <c r="G14" s="10" t="inlineStr">
        <is>
          <t>Maintenance Dept.</t>
        </is>
      </c>
      <c r="H14" s="10" t="inlineStr"/>
      <c r="I14" s="10" t="inlineStr"/>
      <c r="J14" s="10" t="inlineStr">
        <is>
          <t>Pending</t>
        </is>
      </c>
    </row>
    <row r="15" ht="22" customHeight="1">
      <c r="B15" s="14" t="inlineStr">
        <is>
          <t>MR/0011</t>
        </is>
      </c>
      <c r="C15" s="16" t="inlineStr"/>
      <c r="D15" s="15" t="inlineStr">
        <is>
          <t>Seepage / damp wall</t>
        </is>
      </c>
      <c r="E15" s="14" t="inlineStr">
        <is>
          <t>M</t>
        </is>
      </c>
      <c r="F15" s="16" t="inlineStr"/>
      <c r="G15" s="16" t="inlineStr">
        <is>
          <t>Maintenance Dept.</t>
        </is>
      </c>
      <c r="H15" s="16" t="inlineStr"/>
      <c r="I15" s="16" t="inlineStr"/>
      <c r="J15" s="16" t="inlineStr">
        <is>
          <t>Pending</t>
        </is>
      </c>
    </row>
    <row r="16" ht="22" customHeight="1">
      <c r="B16" s="8" t="inlineStr">
        <is>
          <t>MR/0012</t>
        </is>
      </c>
      <c r="C16" s="10" t="inlineStr"/>
      <c r="D16" s="9" t="inlineStr">
        <is>
          <t>Pest / insect infestation</t>
        </is>
      </c>
      <c r="E16" s="8" t="inlineStr">
        <is>
          <t>L</t>
        </is>
      </c>
      <c r="F16" s="10" t="inlineStr"/>
      <c r="G16" s="10" t="inlineStr">
        <is>
          <t>Maintenance Dept.</t>
        </is>
      </c>
      <c r="H16" s="10" t="inlineStr"/>
      <c r="I16" s="10" t="inlineStr"/>
      <c r="J16" s="10" t="inlineStr">
        <is>
          <t>Pending</t>
        </is>
      </c>
    </row>
    <row r="17" ht="22" customHeight="1">
      <c r="B17" s="14" t="inlineStr">
        <is>
          <t>MR/0013</t>
        </is>
      </c>
      <c r="C17" s="16" t="inlineStr"/>
      <c r="D17" s="15" t="inlineStr">
        <is>
          <t>CCTV / intercom repair</t>
        </is>
      </c>
      <c r="E17" s="14" t="inlineStr">
        <is>
          <t>H</t>
        </is>
      </c>
      <c r="F17" s="16" t="inlineStr"/>
      <c r="G17" s="16" t="inlineStr">
        <is>
          <t>Maintenance Dept.</t>
        </is>
      </c>
      <c r="H17" s="16" t="inlineStr"/>
      <c r="I17" s="16" t="inlineStr"/>
      <c r="J17" s="16" t="inlineStr">
        <is>
          <t>Pending</t>
        </is>
      </c>
    </row>
    <row r="18" ht="22" customHeight="1">
      <c r="B18" s="8" t="inlineStr">
        <is>
          <t>MR/0014</t>
        </is>
      </c>
      <c r="C18" s="10" t="inlineStr"/>
      <c r="D18" s="9" t="inlineStr">
        <is>
          <t>Painting / whitewash</t>
        </is>
      </c>
      <c r="E18" s="8" t="inlineStr">
        <is>
          <t>M</t>
        </is>
      </c>
      <c r="F18" s="10" t="inlineStr"/>
      <c r="G18" s="10" t="inlineStr">
        <is>
          <t>Maintenance Dept.</t>
        </is>
      </c>
      <c r="H18" s="10" t="inlineStr"/>
      <c r="I18" s="10" t="inlineStr"/>
      <c r="J18" s="10" t="inlineStr">
        <is>
          <t>Pending</t>
        </is>
      </c>
    </row>
    <row r="19" ht="22" customHeight="1">
      <c r="B19" s="14" t="inlineStr">
        <is>
          <t>MR/0015</t>
        </is>
      </c>
      <c r="C19" s="16" t="inlineStr"/>
      <c r="D19" s="15" t="inlineStr">
        <is>
          <t>General carpentry</t>
        </is>
      </c>
      <c r="E19" s="14" t="inlineStr">
        <is>
          <t>L</t>
        </is>
      </c>
      <c r="F19" s="16" t="inlineStr"/>
      <c r="G19" s="16" t="inlineStr">
        <is>
          <t>Maintenance Dept.</t>
        </is>
      </c>
      <c r="H19" s="16" t="inlineStr"/>
      <c r="I19" s="16" t="inlineStr"/>
      <c r="J19" s="16" t="inlineStr">
        <is>
          <t>Pending</t>
        </is>
      </c>
    </row>
    <row r="20" ht="22" customHeight="1">
      <c r="B20" s="8" t="inlineStr">
        <is>
          <t>MR/0016</t>
        </is>
      </c>
      <c r="C20" s="10" t="inlineStr"/>
      <c r="D20" s="9" t="inlineStr">
        <is>
          <t>Plumbing — leaking tap</t>
        </is>
      </c>
      <c r="E20" s="8" t="inlineStr">
        <is>
          <t>H</t>
        </is>
      </c>
      <c r="F20" s="10" t="inlineStr"/>
      <c r="G20" s="10" t="inlineStr">
        <is>
          <t>Maintenance Dept.</t>
        </is>
      </c>
      <c r="H20" s="10" t="inlineStr"/>
      <c r="I20" s="10" t="inlineStr"/>
      <c r="J20" s="10" t="inlineStr">
        <is>
          <t>Pending</t>
        </is>
      </c>
    </row>
    <row r="21" ht="22" customHeight="1">
      <c r="B21" s="14" t="inlineStr">
        <is>
          <t>MR/0017</t>
        </is>
      </c>
      <c r="C21" s="16" t="inlineStr"/>
      <c r="D21" s="15" t="inlineStr">
        <is>
          <t>Plumbing — blocked drain</t>
        </is>
      </c>
      <c r="E21" s="14" t="inlineStr">
        <is>
          <t>M</t>
        </is>
      </c>
      <c r="F21" s="16" t="inlineStr"/>
      <c r="G21" s="16" t="inlineStr">
        <is>
          <t>Maintenance Dept.</t>
        </is>
      </c>
      <c r="H21" s="16" t="inlineStr"/>
      <c r="I21" s="16" t="inlineStr"/>
      <c r="J21" s="16" t="inlineStr">
        <is>
          <t>Pending</t>
        </is>
      </c>
    </row>
    <row r="22" ht="22" customHeight="1">
      <c r="B22" s="8" t="inlineStr">
        <is>
          <t>MR/0018</t>
        </is>
      </c>
      <c r="C22" s="10" t="inlineStr"/>
      <c r="D22" s="9" t="inlineStr">
        <is>
          <t>Electrical — fused light</t>
        </is>
      </c>
      <c r="E22" s="8" t="inlineStr">
        <is>
          <t>L</t>
        </is>
      </c>
      <c r="F22" s="10" t="inlineStr"/>
      <c r="G22" s="10" t="inlineStr">
        <is>
          <t>Maintenance Dept.</t>
        </is>
      </c>
      <c r="H22" s="10" t="inlineStr"/>
      <c r="I22" s="10" t="inlineStr"/>
      <c r="J22" s="10" t="inlineStr">
        <is>
          <t>Pending</t>
        </is>
      </c>
    </row>
    <row r="23" ht="22" customHeight="1">
      <c r="B23" s="14" t="inlineStr">
        <is>
          <t>MR/0019</t>
        </is>
      </c>
      <c r="C23" s="16" t="inlineStr"/>
      <c r="D23" s="15" t="inlineStr">
        <is>
          <t>Electrical — fan not working</t>
        </is>
      </c>
      <c r="E23" s="14" t="inlineStr">
        <is>
          <t>H</t>
        </is>
      </c>
      <c r="F23" s="16" t="inlineStr"/>
      <c r="G23" s="16" t="inlineStr">
        <is>
          <t>Maintenance Dept.</t>
        </is>
      </c>
      <c r="H23" s="16" t="inlineStr"/>
      <c r="I23" s="16" t="inlineStr"/>
      <c r="J23" s="16" t="inlineStr">
        <is>
          <t>Pending</t>
        </is>
      </c>
    </row>
    <row r="24" ht="22" customHeight="1">
      <c r="B24" s="8" t="inlineStr">
        <is>
          <t>MR/0020</t>
        </is>
      </c>
      <c r="C24" s="10" t="inlineStr"/>
      <c r="D24" s="9" t="inlineStr">
        <is>
          <t>Electrical — socket damaged</t>
        </is>
      </c>
      <c r="E24" s="8" t="inlineStr">
        <is>
          <t>M</t>
        </is>
      </c>
      <c r="F24" s="10" t="inlineStr"/>
      <c r="G24" s="10" t="inlineStr">
        <is>
          <t>Maintenance Dept.</t>
        </is>
      </c>
      <c r="H24" s="10" t="inlineStr"/>
      <c r="I24" s="10" t="inlineStr"/>
      <c r="J24" s="10" t="inlineStr">
        <is>
          <t>Pending</t>
        </is>
      </c>
    </row>
    <row r="25" ht="22" customHeight="1">
      <c r="B25" s="14" t="inlineStr">
        <is>
          <t>MR/0021</t>
        </is>
      </c>
      <c r="C25" s="16" t="inlineStr"/>
      <c r="D25" s="15" t="inlineStr">
        <is>
          <t>Door lock / door repair</t>
        </is>
      </c>
      <c r="E25" s="14" t="inlineStr">
        <is>
          <t>L</t>
        </is>
      </c>
      <c r="F25" s="16" t="inlineStr"/>
      <c r="G25" s="16" t="inlineStr">
        <is>
          <t>Maintenance Dept.</t>
        </is>
      </c>
      <c r="H25" s="16" t="inlineStr"/>
      <c r="I25" s="16" t="inlineStr"/>
      <c r="J25" s="16" t="inlineStr">
        <is>
          <t>Pending</t>
        </is>
      </c>
    </row>
    <row r="26" ht="22" customHeight="1">
      <c r="B26" s="8" t="inlineStr">
        <is>
          <t>MR/0022</t>
        </is>
      </c>
      <c r="C26" s="10" t="inlineStr"/>
      <c r="D26" s="9" t="inlineStr">
        <is>
          <t>Window repair / glass</t>
        </is>
      </c>
      <c r="E26" s="8" t="inlineStr">
        <is>
          <t>H</t>
        </is>
      </c>
      <c r="F26" s="10" t="inlineStr"/>
      <c r="G26" s="10" t="inlineStr">
        <is>
          <t>Maintenance Dept.</t>
        </is>
      </c>
      <c r="H26" s="10" t="inlineStr"/>
      <c r="I26" s="10" t="inlineStr"/>
      <c r="J26" s="10" t="inlineStr">
        <is>
          <t>Pending</t>
        </is>
      </c>
    </row>
    <row r="27" ht="22" customHeight="1"/>
    <row r="28" ht="24" customHeight="1">
      <c r="B28" s="34" t="inlineStr">
        <is>
          <t>MAINTENANCE SUMMARY</t>
        </is>
      </c>
    </row>
    <row r="29" ht="22" customHeight="1">
      <c r="B29" s="38" t="inlineStr">
        <is>
          <t>Total Requests Logged</t>
        </is>
      </c>
      <c r="F29" s="36">
        <f>COUNTA(B5:B26)</f>
        <v/>
      </c>
    </row>
    <row r="30">
      <c r="B30" s="25" t="inlineStr">
        <is>
          <t>High Priority</t>
        </is>
      </c>
      <c r="F30" s="37">
        <f>COUNTIF(E5:E26,"H")</f>
        <v/>
      </c>
    </row>
    <row r="31">
      <c r="B31" s="38" t="inlineStr">
        <is>
          <t>Completed</t>
        </is>
      </c>
      <c r="F31" s="36">
        <f>COUNTIF(J5:J26,"Completed")</f>
        <v/>
      </c>
    </row>
    <row r="32">
      <c r="B32" s="25" t="inlineStr">
        <is>
          <t>Pending</t>
        </is>
      </c>
      <c r="F32" s="37">
        <f>COUNTIF(J5:J26,"Pending")</f>
        <v/>
      </c>
    </row>
    <row r="33">
      <c r="B33" s="38" t="inlineStr">
        <is>
          <t>Total Maintenance Cost (₹)</t>
        </is>
      </c>
      <c r="F33" s="36">
        <f>IFERROR(SUM(I5:I26),"")</f>
        <v/>
      </c>
    </row>
    <row r="34">
      <c r="B34" s="25" t="inlineStr">
        <is>
          <t>Average Resolution Time (days)</t>
        </is>
      </c>
      <c r="F34" s="37" t="inlineStr"/>
    </row>
  </sheetData>
  <mergeCells count="15">
    <mergeCell ref="B31:E31"/>
    <mergeCell ref="F30:J30"/>
    <mergeCell ref="B3:J3"/>
    <mergeCell ref="F29:J29"/>
    <mergeCell ref="B28:J28"/>
    <mergeCell ref="F34:J34"/>
    <mergeCell ref="B30:E30"/>
    <mergeCell ref="B29:E29"/>
    <mergeCell ref="B33:E33"/>
    <mergeCell ref="F33:J33"/>
    <mergeCell ref="F31:J31"/>
    <mergeCell ref="B34:E34"/>
    <mergeCell ref="F32:J32"/>
    <mergeCell ref="B2:J2"/>
    <mergeCell ref="B32:E3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HC-36: HOSTEL DISCIPLINE / COMPLAINT REGISTER</t>
        </is>
      </c>
    </row>
    <row r="3" ht="20" customHeight="1">
      <c r="B3" s="17" t="inlineStr">
        <is>
          <t>Ragging cases must be immediately referred to Anti-Ragging Committee. Drug / alcohol use = mandatory parent notification + disciplinary action. Unauthorised visitors = security breach — report to Principal.</t>
        </is>
      </c>
    </row>
    <row r="4" ht="25" customHeight="1">
      <c r="B4" s="68" t="inlineStr">
        <is>
          <t>Complaint
Ref.</t>
        </is>
      </c>
      <c r="C4" s="68" t="inlineStr">
        <is>
          <t>Student
Involved</t>
        </is>
      </c>
      <c r="D4" s="68" t="inlineStr">
        <is>
          <t>Room
No.</t>
        </is>
      </c>
      <c r="E4" s="68" t="inlineStr">
        <is>
          <t>Nature of
Violation</t>
        </is>
      </c>
      <c r="F4" s="68" t="inlineStr">
        <is>
          <t>Date</t>
        </is>
      </c>
      <c r="G4" s="68" t="inlineStr">
        <is>
          <t>Severity
(H/M/L)</t>
        </is>
      </c>
      <c r="H4" s="68" t="inlineStr">
        <is>
          <t>Warden
Action</t>
        </is>
      </c>
      <c r="I4" s="68" t="inlineStr">
        <is>
          <t>Parent
Informed</t>
        </is>
      </c>
      <c r="J4" s="68" t="inlineStr">
        <is>
          <t>Final
Status</t>
        </is>
      </c>
    </row>
    <row r="5" ht="24" customHeight="1">
      <c r="B5" s="69" t="inlineStr">
        <is>
          <t>DISC/0001</t>
        </is>
      </c>
      <c r="C5" s="70" t="inlineStr"/>
      <c r="D5" s="71" t="inlineStr"/>
      <c r="E5" s="70" t="inlineStr">
        <is>
          <t>Noise disturbance after quiet hours</t>
        </is>
      </c>
      <c r="F5" s="71" t="inlineStr"/>
      <c r="G5" s="69" t="inlineStr">
        <is>
          <t>H</t>
        </is>
      </c>
      <c r="H5" s="70" t="inlineStr"/>
      <c r="I5" s="71" t="inlineStr">
        <is>
          <t>Y</t>
        </is>
      </c>
      <c r="J5" s="71" t="inlineStr">
        <is>
          <t>Action Taken</t>
        </is>
      </c>
    </row>
    <row r="6" ht="24" customHeight="1">
      <c r="B6" s="8" t="inlineStr">
        <is>
          <t>DISC/0002</t>
        </is>
      </c>
      <c r="C6" s="9" t="inlineStr"/>
      <c r="D6" s="10" t="inlineStr"/>
      <c r="E6" s="9" t="inlineStr">
        <is>
          <t>Unauthorised guest / visitor in room</t>
        </is>
      </c>
      <c r="F6" s="10" t="inlineStr"/>
      <c r="G6" s="8" t="inlineStr">
        <is>
          <t>M</t>
        </is>
      </c>
      <c r="H6" s="9" t="inlineStr"/>
      <c r="I6" s="10" t="inlineStr">
        <is>
          <t>Y</t>
        </is>
      </c>
      <c r="J6" s="10" t="inlineStr">
        <is>
          <t>Action Taken</t>
        </is>
      </c>
    </row>
    <row r="7" ht="24" customHeight="1">
      <c r="B7" s="69" t="inlineStr">
        <is>
          <t>DISC/0003</t>
        </is>
      </c>
      <c r="C7" s="70" t="inlineStr"/>
      <c r="D7" s="71" t="inlineStr"/>
      <c r="E7" s="70" t="inlineStr">
        <is>
          <t>Ragging / bullying (refer to ARC)</t>
        </is>
      </c>
      <c r="F7" s="71" t="inlineStr"/>
      <c r="G7" s="69" t="inlineStr">
        <is>
          <t>L</t>
        </is>
      </c>
      <c r="H7" s="70" t="inlineStr"/>
      <c r="I7" s="71" t="inlineStr">
        <is>
          <t>Y</t>
        </is>
      </c>
      <c r="J7" s="71" t="inlineStr">
        <is>
          <t>Action Taken</t>
        </is>
      </c>
    </row>
    <row r="8" ht="24" customHeight="1">
      <c r="B8" s="8" t="inlineStr">
        <is>
          <t>DISC/0004</t>
        </is>
      </c>
      <c r="C8" s="9" t="inlineStr"/>
      <c r="D8" s="10" t="inlineStr"/>
      <c r="E8" s="9" t="inlineStr">
        <is>
          <t>Alcohol / intoxicant possession or use</t>
        </is>
      </c>
      <c r="F8" s="10" t="inlineStr"/>
      <c r="G8" s="8" t="inlineStr">
        <is>
          <t>H</t>
        </is>
      </c>
      <c r="H8" s="9" t="inlineStr"/>
      <c r="I8" s="10" t="inlineStr">
        <is>
          <t>Y</t>
        </is>
      </c>
      <c r="J8" s="10" t="inlineStr">
        <is>
          <t>Action Taken</t>
        </is>
      </c>
    </row>
    <row r="9" ht="24" customHeight="1">
      <c r="B9" s="69" t="inlineStr">
        <is>
          <t>DISC/0005</t>
        </is>
      </c>
      <c r="C9" s="70" t="inlineStr"/>
      <c r="D9" s="71" t="inlineStr"/>
      <c r="E9" s="70" t="inlineStr">
        <is>
          <t>Smoking in hostel premises</t>
        </is>
      </c>
      <c r="F9" s="71" t="inlineStr"/>
      <c r="G9" s="69" t="inlineStr">
        <is>
          <t>H</t>
        </is>
      </c>
      <c r="H9" s="70" t="inlineStr"/>
      <c r="I9" s="71" t="inlineStr">
        <is>
          <t>Y</t>
        </is>
      </c>
      <c r="J9" s="71" t="inlineStr">
        <is>
          <t>Action Taken</t>
        </is>
      </c>
    </row>
    <row r="10" ht="24" customHeight="1">
      <c r="B10" s="8" t="inlineStr">
        <is>
          <t>DISC/0006</t>
        </is>
      </c>
      <c r="C10" s="9" t="inlineStr"/>
      <c r="D10" s="10" t="inlineStr"/>
      <c r="E10" s="9" t="inlineStr">
        <is>
          <t>Theft or damage to property</t>
        </is>
      </c>
      <c r="F10" s="10" t="inlineStr"/>
      <c r="G10" s="8" t="inlineStr">
        <is>
          <t>M</t>
        </is>
      </c>
      <c r="H10" s="9" t="inlineStr"/>
      <c r="I10" s="10" t="inlineStr">
        <is>
          <t>Y</t>
        </is>
      </c>
      <c r="J10" s="10" t="inlineStr">
        <is>
          <t>Action Taken</t>
        </is>
      </c>
    </row>
    <row r="11" ht="24" customHeight="1">
      <c r="B11" s="69" t="inlineStr">
        <is>
          <t>DISC/0007</t>
        </is>
      </c>
      <c r="C11" s="70" t="inlineStr"/>
      <c r="D11" s="71" t="inlineStr"/>
      <c r="E11" s="70" t="inlineStr">
        <is>
          <t>Staying out without gate pass</t>
        </is>
      </c>
      <c r="F11" s="71" t="inlineStr"/>
      <c r="G11" s="69" t="inlineStr">
        <is>
          <t>L</t>
        </is>
      </c>
      <c r="H11" s="70" t="inlineStr"/>
      <c r="I11" s="71" t="inlineStr">
        <is>
          <t>Y</t>
        </is>
      </c>
      <c r="J11" s="71" t="inlineStr">
        <is>
          <t>Action Taken</t>
        </is>
      </c>
    </row>
    <row r="12" ht="24" customHeight="1">
      <c r="B12" s="8" t="inlineStr">
        <is>
          <t>DISC/0008</t>
        </is>
      </c>
      <c r="C12" s="9" t="inlineStr"/>
      <c r="D12" s="10" t="inlineStr"/>
      <c r="E12" s="9" t="inlineStr">
        <is>
          <t>Return after hostel closing time</t>
        </is>
      </c>
      <c r="F12" s="10" t="inlineStr"/>
      <c r="G12" s="8" t="inlineStr">
        <is>
          <t>H</t>
        </is>
      </c>
      <c r="H12" s="9" t="inlineStr"/>
      <c r="I12" s="10" t="inlineStr">
        <is>
          <t>Y</t>
        </is>
      </c>
      <c r="J12" s="10" t="inlineStr">
        <is>
          <t>Action Taken</t>
        </is>
      </c>
    </row>
    <row r="13" ht="24" customHeight="1">
      <c r="B13" s="69" t="inlineStr">
        <is>
          <t>DISC/0009</t>
        </is>
      </c>
      <c r="C13" s="70" t="inlineStr"/>
      <c r="D13" s="71" t="inlineStr"/>
      <c r="E13" s="70" t="inlineStr">
        <is>
          <t>Using unauthorised electrical appliance</t>
        </is>
      </c>
      <c r="F13" s="71" t="inlineStr"/>
      <c r="G13" s="69" t="inlineStr">
        <is>
          <t>H</t>
        </is>
      </c>
      <c r="H13" s="70" t="inlineStr"/>
      <c r="I13" s="71" t="inlineStr">
        <is>
          <t>Y</t>
        </is>
      </c>
      <c r="J13" s="71" t="inlineStr">
        <is>
          <t>Action Taken</t>
        </is>
      </c>
    </row>
    <row r="14" ht="24" customHeight="1">
      <c r="B14" s="8" t="inlineStr">
        <is>
          <t>DISC/0010</t>
        </is>
      </c>
      <c r="C14" s="9" t="inlineStr"/>
      <c r="D14" s="10" t="inlineStr"/>
      <c r="E14" s="9" t="inlineStr">
        <is>
          <t>Physical altercation / fight</t>
        </is>
      </c>
      <c r="F14" s="10" t="inlineStr"/>
      <c r="G14" s="8" t="inlineStr">
        <is>
          <t>M</t>
        </is>
      </c>
      <c r="H14" s="9" t="inlineStr"/>
      <c r="I14" s="10" t="inlineStr">
        <is>
          <t>Y</t>
        </is>
      </c>
      <c r="J14" s="10" t="inlineStr">
        <is>
          <t>Action Taken</t>
        </is>
      </c>
    </row>
    <row r="15" ht="24" customHeight="1">
      <c r="B15" s="69" t="inlineStr">
        <is>
          <t>DISC/0011</t>
        </is>
      </c>
      <c r="C15" s="70" t="inlineStr"/>
      <c r="D15" s="71" t="inlineStr"/>
      <c r="E15" s="70" t="inlineStr">
        <is>
          <t>Obscene/threatening behaviour</t>
        </is>
      </c>
      <c r="F15" s="71" t="inlineStr"/>
      <c r="G15" s="69" t="inlineStr">
        <is>
          <t>L</t>
        </is>
      </c>
      <c r="H15" s="70" t="inlineStr"/>
      <c r="I15" s="71" t="inlineStr">
        <is>
          <t>Y</t>
        </is>
      </c>
      <c r="J15" s="71" t="inlineStr">
        <is>
          <t>Action Taken</t>
        </is>
      </c>
    </row>
    <row r="16" ht="24" customHeight="1">
      <c r="B16" s="8" t="inlineStr">
        <is>
          <t>DISC/0012</t>
        </is>
      </c>
      <c r="C16" s="9" t="inlineStr"/>
      <c r="D16" s="10" t="inlineStr"/>
      <c r="E16" s="9" t="inlineStr">
        <is>
          <t>Possession of prohibited items</t>
        </is>
      </c>
      <c r="F16" s="10" t="inlineStr"/>
      <c r="G16" s="8" t="inlineStr">
        <is>
          <t>H</t>
        </is>
      </c>
      <c r="H16" s="9" t="inlineStr"/>
      <c r="I16" s="10" t="inlineStr">
        <is>
          <t>Y</t>
        </is>
      </c>
      <c r="J16" s="10" t="inlineStr">
        <is>
          <t>Action Taken</t>
        </is>
      </c>
    </row>
    <row r="17" ht="24" customHeight="1">
      <c r="B17" s="69" t="inlineStr">
        <is>
          <t>DISC/0013</t>
        </is>
      </c>
      <c r="C17" s="70" t="inlineStr"/>
      <c r="D17" s="71" t="inlineStr"/>
      <c r="E17" s="70" t="inlineStr">
        <is>
          <t>Repeated leave / attendance violation</t>
        </is>
      </c>
      <c r="F17" s="71" t="inlineStr"/>
      <c r="G17" s="69" t="inlineStr">
        <is>
          <t>H</t>
        </is>
      </c>
      <c r="H17" s="70" t="inlineStr"/>
      <c r="I17" s="71" t="inlineStr">
        <is>
          <t>Y</t>
        </is>
      </c>
      <c r="J17" s="71" t="inlineStr">
        <is>
          <t>Action Taken</t>
        </is>
      </c>
    </row>
    <row r="18" ht="24" customHeight="1">
      <c r="B18" s="8" t="inlineStr">
        <is>
          <t>DISC/0014</t>
        </is>
      </c>
      <c r="C18" s="9" t="inlineStr"/>
      <c r="D18" s="10" t="inlineStr"/>
      <c r="E18" s="9" t="inlineStr">
        <is>
          <t>Cleanliness / hygiene violation</t>
        </is>
      </c>
      <c r="F18" s="10" t="inlineStr"/>
      <c r="G18" s="8" t="inlineStr">
        <is>
          <t>M</t>
        </is>
      </c>
      <c r="H18" s="9" t="inlineStr"/>
      <c r="I18" s="10" t="inlineStr">
        <is>
          <t>Y</t>
        </is>
      </c>
      <c r="J18" s="10" t="inlineStr">
        <is>
          <t>Action Taken</t>
        </is>
      </c>
    </row>
    <row r="19" ht="24" customHeight="1">
      <c r="B19" s="69" t="inlineStr">
        <is>
          <t>DISC/0015</t>
        </is>
      </c>
      <c r="C19" s="70" t="inlineStr"/>
      <c r="D19" s="71" t="inlineStr"/>
      <c r="E19" s="70" t="inlineStr">
        <is>
          <t>Other hostel rule violation</t>
        </is>
      </c>
      <c r="F19" s="71" t="inlineStr"/>
      <c r="G19" s="69" t="inlineStr">
        <is>
          <t>L</t>
        </is>
      </c>
      <c r="H19" s="70" t="inlineStr"/>
      <c r="I19" s="71" t="inlineStr">
        <is>
          <t>Y</t>
        </is>
      </c>
      <c r="J19" s="71" t="inlineStr">
        <is>
          <t>Action Taken</t>
        </is>
      </c>
    </row>
    <row r="20" ht="24" customHeight="1">
      <c r="B20" s="8" t="inlineStr">
        <is>
          <t>DISC/0016</t>
        </is>
      </c>
      <c r="C20" s="9" t="inlineStr"/>
      <c r="D20" s="10" t="inlineStr"/>
      <c r="E20" s="9" t="inlineStr">
        <is>
          <t>Noise disturbance after quiet hours</t>
        </is>
      </c>
      <c r="F20" s="10" t="inlineStr"/>
      <c r="G20" s="8" t="inlineStr">
        <is>
          <t>H</t>
        </is>
      </c>
      <c r="H20" s="9" t="inlineStr"/>
      <c r="I20" s="10" t="inlineStr">
        <is>
          <t>Y</t>
        </is>
      </c>
      <c r="J20" s="10" t="inlineStr">
        <is>
          <t>Action Taken</t>
        </is>
      </c>
    </row>
    <row r="21" ht="24" customHeight="1">
      <c r="B21" s="69" t="inlineStr">
        <is>
          <t>DISC/0017</t>
        </is>
      </c>
      <c r="C21" s="70" t="inlineStr"/>
      <c r="D21" s="71" t="inlineStr"/>
      <c r="E21" s="70" t="inlineStr">
        <is>
          <t>Unauthorised guest / visitor in room</t>
        </is>
      </c>
      <c r="F21" s="71" t="inlineStr"/>
      <c r="G21" s="69" t="inlineStr">
        <is>
          <t>H</t>
        </is>
      </c>
      <c r="H21" s="70" t="inlineStr"/>
      <c r="I21" s="71" t="inlineStr">
        <is>
          <t>Y</t>
        </is>
      </c>
      <c r="J21" s="71" t="inlineStr">
        <is>
          <t>Action Taken</t>
        </is>
      </c>
    </row>
    <row r="22" ht="24" customHeight="1">
      <c r="B22" s="8" t="inlineStr">
        <is>
          <t>DISC/0018</t>
        </is>
      </c>
      <c r="C22" s="9" t="inlineStr"/>
      <c r="D22" s="10" t="inlineStr"/>
      <c r="E22" s="9" t="inlineStr">
        <is>
          <t>Ragging / bullying (refer to ARC)</t>
        </is>
      </c>
      <c r="F22" s="10" t="inlineStr"/>
      <c r="G22" s="8" t="inlineStr">
        <is>
          <t>M</t>
        </is>
      </c>
      <c r="H22" s="9" t="inlineStr"/>
      <c r="I22" s="10" t="inlineStr">
        <is>
          <t>Y</t>
        </is>
      </c>
      <c r="J22" s="10" t="inlineStr">
        <is>
          <t>Action Taken</t>
        </is>
      </c>
    </row>
    <row r="23" ht="24" customHeight="1"/>
    <row r="24" ht="24" customHeight="1">
      <c r="B24" s="34" t="inlineStr">
        <is>
          <t>DISCIPLINE STATISTICS</t>
        </is>
      </c>
    </row>
    <row r="25" ht="24" customHeight="1">
      <c r="B25" s="72" t="inlineStr">
        <is>
          <t>Total Complaints</t>
        </is>
      </c>
      <c r="F25" s="36">
        <f>COUNTA(B5:B22)</f>
        <v/>
      </c>
    </row>
    <row r="26">
      <c r="B26" s="25" t="inlineStr">
        <is>
          <t>High Severity</t>
        </is>
      </c>
      <c r="F26" s="37">
        <f>COUNTIF(G5:G22,"H")</f>
        <v/>
      </c>
    </row>
    <row r="27">
      <c r="B27" s="72" t="inlineStr">
        <is>
          <t>Ragging / Bullying Cases (refer ARC)</t>
        </is>
      </c>
      <c r="F27" s="36">
        <f>COUNTIF(E5:E22,"Ragging / bullying (refer to ARC)")</f>
        <v/>
      </c>
    </row>
    <row r="28">
      <c r="B28" s="25" t="inlineStr">
        <is>
          <t>Resolved</t>
        </is>
      </c>
      <c r="F28" s="37">
        <f>COUNTIF(J5:J22,"Resolved")</f>
        <v/>
      </c>
    </row>
    <row r="29">
      <c r="B29" s="72" t="inlineStr">
        <is>
          <t>Parent Notified (% of cases)</t>
        </is>
      </c>
      <c r="F29" s="36">
        <f>IFERROR(ROUND(COUNTIF(I5:I22,"Y")/COUNTA(B5:B22)*100,1),"")</f>
        <v/>
      </c>
    </row>
    <row r="30">
      <c r="B30" s="25" t="inlineStr">
        <is>
          <t>Repeat Offenders</t>
        </is>
      </c>
      <c r="F30" s="37" t="inlineStr"/>
    </row>
  </sheetData>
  <mergeCells count="15">
    <mergeCell ref="B26:E26"/>
    <mergeCell ref="B27:E27"/>
    <mergeCell ref="B3:J3"/>
    <mergeCell ref="F29:J29"/>
    <mergeCell ref="F30:J30"/>
    <mergeCell ref="F26:J26"/>
    <mergeCell ref="B30:E30"/>
    <mergeCell ref="F25:J25"/>
    <mergeCell ref="F27:J27"/>
    <mergeCell ref="B25:E25"/>
    <mergeCell ref="F28:J28"/>
    <mergeCell ref="B29:E29"/>
    <mergeCell ref="B28:E28"/>
    <mergeCell ref="B24:J24"/>
    <mergeCell ref="B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I5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1" ht="10" customHeight="1"/>
    <row r="2" ht="48" customHeight="1">
      <c r="B2" s="12" t="inlineStr">
        <is>
          <t>HC-41: STUDENT HOSTEL SATISFACTION SURVEY — ANNUAL</t>
        </is>
      </c>
    </row>
    <row r="3" ht="25" customHeight="1">
      <c r="B3" s="2" t="inlineStr">
        <is>
          <t>A.Y.: _______  Hostel: _______  Respondents: _______  Date: _______  NAAC Ref.: Criterion IV / V.2</t>
        </is>
      </c>
    </row>
    <row r="4" ht="22" customHeight="1">
      <c r="B4" s="73" t="inlineStr">
        <is>
          <t>Scale: 1 = Very Poor  |  2 = Poor  |  3 = Average  |  4 = Good  |  5 = Excellent</t>
        </is>
      </c>
    </row>
    <row r="5" ht="24" customHeight="1">
      <c r="B5" s="19" t="inlineStr">
        <is>
          <t>A. ACCOMMODATION &amp; ROOMS</t>
        </is>
      </c>
    </row>
    <row r="6" ht="22" customHeight="1">
      <c r="B6" s="13" t="inlineStr">
        <is>
          <t>Q.</t>
        </is>
      </c>
      <c r="C6" s="13" t="inlineStr">
        <is>
          <t>Survey Statement</t>
        </is>
      </c>
      <c r="D6" s="13" t="inlineStr">
        <is>
          <t>Excellent
(5)</t>
        </is>
      </c>
      <c r="E6" s="13" t="inlineStr">
        <is>
          <t>Good
(4)</t>
        </is>
      </c>
      <c r="F6" s="13" t="inlineStr">
        <is>
          <t>Average
(3)</t>
        </is>
      </c>
      <c r="G6" s="13" t="inlineStr">
        <is>
          <t>Poor
(2)</t>
        </is>
      </c>
      <c r="H6" s="13" t="inlineStr">
        <is>
          <t>Very Poor
(1)</t>
        </is>
      </c>
      <c r="I6" s="13" t="inlineStr">
        <is>
          <t>Avg Score</t>
        </is>
      </c>
    </row>
    <row r="7" ht="22" customHeight="1">
      <c r="B7" s="14" t="inlineStr">
        <is>
          <t>Q1</t>
        </is>
      </c>
      <c r="C7" s="15" t="inlineStr">
        <is>
          <t>Room size, furniture and storage adequacy</t>
        </is>
      </c>
      <c r="D7" s="16" t="inlineStr"/>
      <c r="E7" s="16" t="inlineStr"/>
      <c r="F7" s="16" t="inlineStr"/>
      <c r="G7" s="16" t="inlineStr"/>
      <c r="H7" s="16" t="inlineStr"/>
      <c r="I7" s="36">
        <f>IFERROR(ROUND((D7*5+E7*4+F7*3+G7*2+H7)/SUM(D7:H7),2),"")</f>
        <v/>
      </c>
    </row>
    <row r="8" ht="22" customHeight="1">
      <c r="B8" s="8" t="inlineStr">
        <is>
          <t>Q2</t>
        </is>
      </c>
      <c r="C8" s="9" t="inlineStr">
        <is>
          <t>Cleanliness of rooms and corridors</t>
        </is>
      </c>
      <c r="D8" s="10" t="inlineStr"/>
      <c r="E8" s="10" t="inlineStr"/>
      <c r="F8" s="10" t="inlineStr"/>
      <c r="G8" s="10" t="inlineStr"/>
      <c r="H8" s="10" t="inlineStr"/>
      <c r="I8" s="37">
        <f>IFERROR(ROUND((D8*5+E8*4+F8*3+G8*2+H8)/SUM(D8:H8),2),"")</f>
        <v/>
      </c>
    </row>
    <row r="9" ht="22" customHeight="1">
      <c r="B9" s="14" t="inlineStr">
        <is>
          <t>Q3</t>
        </is>
      </c>
      <c r="C9" s="15" t="inlineStr">
        <is>
          <t>Availability of hot water and adequate water supply</t>
        </is>
      </c>
      <c r="D9" s="16" t="inlineStr"/>
      <c r="E9" s="16" t="inlineStr"/>
      <c r="F9" s="16" t="inlineStr"/>
      <c r="G9" s="16" t="inlineStr"/>
      <c r="H9" s="16" t="inlineStr"/>
      <c r="I9" s="36">
        <f>IFERROR(ROUND((D9*5+E9*4+F9*3+G9*2+H9)/SUM(D9:H9),2),"")</f>
        <v/>
      </c>
    </row>
    <row r="10" ht="22" customHeight="1">
      <c r="B10" s="8" t="inlineStr">
        <is>
          <t>Q4</t>
        </is>
      </c>
      <c r="C10" s="9" t="inlineStr">
        <is>
          <t>Electrical supply — reliability and adequacy</t>
        </is>
      </c>
      <c r="D10" s="10" t="inlineStr"/>
      <c r="E10" s="10" t="inlineStr"/>
      <c r="F10" s="10" t="inlineStr"/>
      <c r="G10" s="10" t="inlineStr"/>
      <c r="H10" s="10" t="inlineStr"/>
      <c r="I10" s="37">
        <f>IFERROR(ROUND((D10*5+E10*4+F10*3+G10*2+H10)/SUM(D10:H10),2),"")</f>
        <v/>
      </c>
    </row>
    <row r="11" ht="22" customHeight="1">
      <c r="B11" s="14" t="inlineStr">
        <is>
          <t>Q5</t>
        </is>
      </c>
      <c r="C11" s="15" t="inlineStr">
        <is>
          <t>Ventilation, lighting and overall room comfort</t>
        </is>
      </c>
      <c r="D11" s="16" t="inlineStr"/>
      <c r="E11" s="16" t="inlineStr"/>
      <c r="F11" s="16" t="inlineStr"/>
      <c r="G11" s="16" t="inlineStr"/>
      <c r="H11" s="16" t="inlineStr"/>
      <c r="I11" s="36">
        <f>IFERROR(ROUND((D11*5+E11*4+F11*3+G11*2+H11)/SUM(D11:H11),2),"")</f>
        <v/>
      </c>
    </row>
    <row r="12" ht="22" customHeight="1">
      <c r="B12" s="8" t="inlineStr">
        <is>
          <t>Q6</t>
        </is>
      </c>
      <c r="C12" s="9" t="inlineStr">
        <is>
          <t>Speed and quality of maintenance repairs</t>
        </is>
      </c>
      <c r="D12" s="10" t="inlineStr"/>
      <c r="E12" s="10" t="inlineStr"/>
      <c r="F12" s="10" t="inlineStr"/>
      <c r="G12" s="10" t="inlineStr"/>
      <c r="H12" s="10" t="inlineStr"/>
      <c r="I12" s="37">
        <f>IFERROR(ROUND((D12*5+E12*4+F12*3+G12*2+H12)/SUM(D12:H12),2),"")</f>
        <v/>
      </c>
    </row>
    <row r="13" ht="22" customHeight="1"/>
    <row r="14" ht="24" customHeight="1">
      <c r="B14" s="50" t="inlineStr">
        <is>
          <t>B. MESS &amp; FOOD SERVICES</t>
        </is>
      </c>
    </row>
    <row r="15" ht="22" customHeight="1">
      <c r="B15" s="39" t="inlineStr">
        <is>
          <t>Q.</t>
        </is>
      </c>
      <c r="C15" s="39" t="inlineStr">
        <is>
          <t>Survey Statement</t>
        </is>
      </c>
      <c r="D15" s="39" t="inlineStr">
        <is>
          <t>Excellent
(5)</t>
        </is>
      </c>
      <c r="E15" s="39" t="inlineStr">
        <is>
          <t>Good
(4)</t>
        </is>
      </c>
      <c r="F15" s="39" t="inlineStr">
        <is>
          <t>Average
(3)</t>
        </is>
      </c>
      <c r="G15" s="39" t="inlineStr">
        <is>
          <t>Poor
(2)</t>
        </is>
      </c>
      <c r="H15" s="39" t="inlineStr">
        <is>
          <t>Very Poor
(1)</t>
        </is>
      </c>
      <c r="I15" s="39" t="inlineStr">
        <is>
          <t>Avg Score</t>
        </is>
      </c>
    </row>
    <row r="16" ht="22" customHeight="1">
      <c r="B16" s="40" t="inlineStr">
        <is>
          <t>Q7</t>
        </is>
      </c>
      <c r="C16" s="41" t="inlineStr">
        <is>
          <t>Quality and taste of food served</t>
        </is>
      </c>
      <c r="D16" s="42" t="inlineStr"/>
      <c r="E16" s="42" t="inlineStr"/>
      <c r="F16" s="42" t="inlineStr"/>
      <c r="G16" s="42" t="inlineStr"/>
      <c r="H16" s="42" t="inlineStr"/>
      <c r="I16" s="74">
        <f>IFERROR(ROUND((D16*5+E16*4+F16*3+G16*2+H16)/SUM(D16:H16),2),"")</f>
        <v/>
      </c>
    </row>
    <row r="17" ht="22" customHeight="1">
      <c r="B17" s="8" t="inlineStr">
        <is>
          <t>Q8</t>
        </is>
      </c>
      <c r="C17" s="9" t="inlineStr">
        <is>
          <t>Variety and nutritional value of the menu</t>
        </is>
      </c>
      <c r="D17" s="10" t="inlineStr"/>
      <c r="E17" s="10" t="inlineStr"/>
      <c r="F17" s="10" t="inlineStr"/>
      <c r="G17" s="10" t="inlineStr"/>
      <c r="H17" s="10" t="inlineStr"/>
      <c r="I17" s="37">
        <f>IFERROR(ROUND((D17*5+E17*4+F17*3+G17*2+H17)/SUM(D17:H17),2),"")</f>
        <v/>
      </c>
    </row>
    <row r="18" ht="22" customHeight="1">
      <c r="B18" s="40" t="inlineStr">
        <is>
          <t>Q9</t>
        </is>
      </c>
      <c r="C18" s="41" t="inlineStr">
        <is>
          <t>Cleanliness and hygiene of mess area</t>
        </is>
      </c>
      <c r="D18" s="42" t="inlineStr"/>
      <c r="E18" s="42" t="inlineStr"/>
      <c r="F18" s="42" t="inlineStr"/>
      <c r="G18" s="42" t="inlineStr"/>
      <c r="H18" s="42" t="inlineStr"/>
      <c r="I18" s="74">
        <f>IFERROR(ROUND((D18*5+E18*4+F18*3+G18*2+H18)/SUM(D18:H18),2),"")</f>
        <v/>
      </c>
    </row>
    <row r="19" ht="22" customHeight="1">
      <c r="B19" s="8" t="inlineStr">
        <is>
          <t>Q10</t>
        </is>
      </c>
      <c r="C19" s="9" t="inlineStr">
        <is>
          <t>Timing and punctuality of meals</t>
        </is>
      </c>
      <c r="D19" s="10" t="inlineStr"/>
      <c r="E19" s="10" t="inlineStr"/>
      <c r="F19" s="10" t="inlineStr"/>
      <c r="G19" s="10" t="inlineStr"/>
      <c r="H19" s="10" t="inlineStr"/>
      <c r="I19" s="37">
        <f>IFERROR(ROUND((D19*5+E19*4+F19*3+G19*2+H19)/SUM(D19:H19),2),"")</f>
        <v/>
      </c>
    </row>
    <row r="20" ht="22" customHeight="1">
      <c r="B20" s="40" t="inlineStr">
        <is>
          <t>Q11</t>
        </is>
      </c>
      <c r="C20" s="41" t="inlineStr">
        <is>
          <t>Quantity served — adequacy and second serving</t>
        </is>
      </c>
      <c r="D20" s="42" t="inlineStr"/>
      <c r="E20" s="42" t="inlineStr"/>
      <c r="F20" s="42" t="inlineStr"/>
      <c r="G20" s="42" t="inlineStr"/>
      <c r="H20" s="42" t="inlineStr"/>
      <c r="I20" s="74">
        <f>IFERROR(ROUND((D20*5+E20*4+F20*3+G20*2+H20)/SUM(D20:H20),2),"")</f>
        <v/>
      </c>
    </row>
    <row r="21" ht="22" customHeight="1">
      <c r="B21" s="8" t="inlineStr">
        <is>
          <t>Q12</t>
        </is>
      </c>
      <c r="C21" s="9" t="inlineStr">
        <is>
          <t>Responsiveness to food complaints and feedback</t>
        </is>
      </c>
      <c r="D21" s="10" t="inlineStr"/>
      <c r="E21" s="10" t="inlineStr"/>
      <c r="F21" s="10" t="inlineStr"/>
      <c r="G21" s="10" t="inlineStr"/>
      <c r="H21" s="10" t="inlineStr"/>
      <c r="I21" s="37">
        <f>IFERROR(ROUND((D21*5+E21*4+F21*3+G21*2+H21)/SUM(D21:H21),2),"")</f>
        <v/>
      </c>
    </row>
    <row r="22" ht="22" customHeight="1">
      <c r="B22" s="40" t="inlineStr">
        <is>
          <t>Q13</t>
        </is>
      </c>
      <c r="C22" s="41" t="inlineStr">
        <is>
          <t>Value for money (mess fee vs. quality)</t>
        </is>
      </c>
      <c r="D22" s="42" t="inlineStr"/>
      <c r="E22" s="42" t="inlineStr"/>
      <c r="F22" s="42" t="inlineStr"/>
      <c r="G22" s="42" t="inlineStr"/>
      <c r="H22" s="42" t="inlineStr"/>
      <c r="I22" s="74">
        <f>IFERROR(ROUND((D22*5+E22*4+F22*3+G22*2+H22)/SUM(D22:H22),2),"")</f>
        <v/>
      </c>
    </row>
    <row r="23" ht="22" customHeight="1"/>
    <row r="24" ht="24" customHeight="1">
      <c r="B24" s="54" t="inlineStr">
        <is>
          <t>C. SAFETY &amp; SECURITY</t>
        </is>
      </c>
    </row>
    <row r="25" ht="22" customHeight="1">
      <c r="B25" s="55" t="inlineStr">
        <is>
          <t>Q.</t>
        </is>
      </c>
      <c r="C25" s="55" t="inlineStr">
        <is>
          <t>Survey Statement</t>
        </is>
      </c>
      <c r="D25" s="55" t="inlineStr">
        <is>
          <t>Excellent
(5)</t>
        </is>
      </c>
      <c r="E25" s="55" t="inlineStr">
        <is>
          <t>Good
(4)</t>
        </is>
      </c>
      <c r="F25" s="55" t="inlineStr">
        <is>
          <t>Average
(3)</t>
        </is>
      </c>
      <c r="G25" s="55" t="inlineStr">
        <is>
          <t>Poor
(2)</t>
        </is>
      </c>
      <c r="H25" s="55" t="inlineStr">
        <is>
          <t>Very Poor
(1)</t>
        </is>
      </c>
      <c r="I25" s="55" t="inlineStr">
        <is>
          <t>Avg Score</t>
        </is>
      </c>
    </row>
    <row r="26" ht="22" customHeight="1">
      <c r="B26" s="59" t="inlineStr">
        <is>
          <t>Q14</t>
        </is>
      </c>
      <c r="C26" s="60" t="inlineStr">
        <is>
          <t>Security at hostel entrance — gate control</t>
        </is>
      </c>
      <c r="D26" s="61" t="inlineStr"/>
      <c r="E26" s="61" t="inlineStr"/>
      <c r="F26" s="61" t="inlineStr"/>
      <c r="G26" s="61" t="inlineStr"/>
      <c r="H26" s="61" t="inlineStr"/>
      <c r="I26" s="75">
        <f>IFERROR(ROUND((D26*5+E26*4+F26*3+G26*2+H26)/SUM(D26:H26),2),"")</f>
        <v/>
      </c>
    </row>
    <row r="27" ht="22" customHeight="1">
      <c r="B27" s="8" t="inlineStr">
        <is>
          <t>Q15</t>
        </is>
      </c>
      <c r="C27" s="9" t="inlineStr">
        <is>
          <t>CCTV coverage and functioning</t>
        </is>
      </c>
      <c r="D27" s="10" t="inlineStr"/>
      <c r="E27" s="10" t="inlineStr"/>
      <c r="F27" s="10" t="inlineStr"/>
      <c r="G27" s="10" t="inlineStr"/>
      <c r="H27" s="10" t="inlineStr"/>
      <c r="I27" s="37">
        <f>IFERROR(ROUND((D27*5+E27*4+F27*3+G27*2+H27)/SUM(D27:H27),2),"")</f>
        <v/>
      </c>
    </row>
    <row r="28" ht="22" customHeight="1">
      <c r="B28" s="59" t="inlineStr">
        <is>
          <t>Q16</t>
        </is>
      </c>
      <c r="C28" s="60" t="inlineStr">
        <is>
          <t>Night security — feel of safety</t>
        </is>
      </c>
      <c r="D28" s="61" t="inlineStr"/>
      <c r="E28" s="61" t="inlineStr"/>
      <c r="F28" s="61" t="inlineStr"/>
      <c r="G28" s="61" t="inlineStr"/>
      <c r="H28" s="61" t="inlineStr"/>
      <c r="I28" s="75">
        <f>IFERROR(ROUND((D28*5+E28*4+F28*3+G28*2+H28)/SUM(D28:H28),2),"")</f>
        <v/>
      </c>
    </row>
    <row r="29" ht="22" customHeight="1">
      <c r="B29" s="8" t="inlineStr">
        <is>
          <t>Q17</t>
        </is>
      </c>
      <c r="C29" s="9" t="inlineStr">
        <is>
          <t>Anti-ragging environment in hostel</t>
        </is>
      </c>
      <c r="D29" s="10" t="inlineStr"/>
      <c r="E29" s="10" t="inlineStr"/>
      <c r="F29" s="10" t="inlineStr"/>
      <c r="G29" s="10" t="inlineStr"/>
      <c r="H29" s="10" t="inlineStr"/>
      <c r="I29" s="37">
        <f>IFERROR(ROUND((D29*5+E29*4+F29*3+G29*2+H29)/SUM(D29:H29),2),"")</f>
        <v/>
      </c>
    </row>
    <row r="30" ht="22" customHeight="1">
      <c r="B30" s="59" t="inlineStr">
        <is>
          <t>Q18</t>
        </is>
      </c>
      <c r="C30" s="60" t="inlineStr">
        <is>
          <t>Safety for women students (girls hostel)</t>
        </is>
      </c>
      <c r="D30" s="61" t="inlineStr"/>
      <c r="E30" s="61" t="inlineStr"/>
      <c r="F30" s="61" t="inlineStr"/>
      <c r="G30" s="61" t="inlineStr"/>
      <c r="H30" s="61" t="inlineStr"/>
      <c r="I30" s="75">
        <f>IFERROR(ROUND((D30*5+E30*4+F30*3+G30*2+H30)/SUM(D30:H30),2),"")</f>
        <v/>
      </c>
    </row>
    <row r="31" ht="22" customHeight="1">
      <c r="B31" s="8" t="inlineStr">
        <is>
          <t>Q19</t>
        </is>
      </c>
      <c r="C31" s="9" t="inlineStr">
        <is>
          <t>Emergency response readiness (medical, fire)</t>
        </is>
      </c>
      <c r="D31" s="10" t="inlineStr"/>
      <c r="E31" s="10" t="inlineStr"/>
      <c r="F31" s="10" t="inlineStr"/>
      <c r="G31" s="10" t="inlineStr"/>
      <c r="H31" s="10" t="inlineStr"/>
      <c r="I31" s="37">
        <f>IFERROR(ROUND((D31*5+E31*4+F31*3+G31*2+H31)/SUM(D31:H31),2),"")</f>
        <v/>
      </c>
    </row>
    <row r="32" ht="22" customHeight="1"/>
    <row r="33" ht="24" customHeight="1">
      <c r="B33" s="34" t="inlineStr">
        <is>
          <t>D. ADMINISTRATION &amp; WELFARE</t>
        </is>
      </c>
    </row>
    <row r="34" ht="22" customHeight="1">
      <c r="B34" s="30" t="inlineStr">
        <is>
          <t>Q.</t>
        </is>
      </c>
      <c r="C34" s="30" t="inlineStr">
        <is>
          <t>Survey Statement</t>
        </is>
      </c>
      <c r="D34" s="30" t="inlineStr">
        <is>
          <t>Excellent
(5)</t>
        </is>
      </c>
      <c r="E34" s="30" t="inlineStr">
        <is>
          <t>Good
(4)</t>
        </is>
      </c>
      <c r="F34" s="30" t="inlineStr">
        <is>
          <t>Average
(3)</t>
        </is>
      </c>
      <c r="G34" s="30" t="inlineStr">
        <is>
          <t>Poor
(2)</t>
        </is>
      </c>
      <c r="H34" s="30" t="inlineStr">
        <is>
          <t>Very Poor
(1)</t>
        </is>
      </c>
      <c r="I34" s="30" t="inlineStr">
        <is>
          <t>Avg Score</t>
        </is>
      </c>
    </row>
    <row r="35" ht="22" customHeight="1">
      <c r="B35" s="31" t="inlineStr">
        <is>
          <t>Q20</t>
        </is>
      </c>
      <c r="C35" s="32" t="inlineStr">
        <is>
          <t>Warden availability and approachability</t>
        </is>
      </c>
      <c r="D35" s="33" t="inlineStr"/>
      <c r="E35" s="33" t="inlineStr"/>
      <c r="F35" s="33" t="inlineStr"/>
      <c r="G35" s="33" t="inlineStr"/>
      <c r="H35" s="33" t="inlineStr"/>
      <c r="I35" s="76">
        <f>IFERROR(ROUND((D35*5+E35*4+F35*3+G35*2+H35)/SUM(D35:H35),2),"")</f>
        <v/>
      </c>
    </row>
    <row r="36" ht="22" customHeight="1">
      <c r="B36" s="8" t="inlineStr">
        <is>
          <t>Q21</t>
        </is>
      </c>
      <c r="C36" s="9" t="inlineStr">
        <is>
          <t>Fairness of hostel rules and gate pass process</t>
        </is>
      </c>
      <c r="D36" s="10" t="inlineStr"/>
      <c r="E36" s="10" t="inlineStr"/>
      <c r="F36" s="10" t="inlineStr"/>
      <c r="G36" s="10" t="inlineStr"/>
      <c r="H36" s="10" t="inlineStr"/>
      <c r="I36" s="37">
        <f>IFERROR(ROUND((D36*5+E36*4+F36*3+G36*2+H36)/SUM(D36:H36),2),"")</f>
        <v/>
      </c>
    </row>
    <row r="37" ht="22" customHeight="1">
      <c r="B37" s="31" t="inlineStr">
        <is>
          <t>Q22</t>
        </is>
      </c>
      <c r="C37" s="32" t="inlineStr">
        <is>
          <t>Hostel complaint / feedback resolution speed</t>
        </is>
      </c>
      <c r="D37" s="33" t="inlineStr"/>
      <c r="E37" s="33" t="inlineStr"/>
      <c r="F37" s="33" t="inlineStr"/>
      <c r="G37" s="33" t="inlineStr"/>
      <c r="H37" s="33" t="inlineStr"/>
      <c r="I37" s="76">
        <f>IFERROR(ROUND((D37*5+E37*4+F37*3+G37*2+H37)/SUM(D37:H37),2),"")</f>
        <v/>
      </c>
    </row>
    <row r="38" ht="22" customHeight="1">
      <c r="B38" s="8" t="inlineStr">
        <is>
          <t>Q23</t>
        </is>
      </c>
      <c r="C38" s="9" t="inlineStr">
        <is>
          <t>Hostel events and recreational activities</t>
        </is>
      </c>
      <c r="D38" s="10" t="inlineStr"/>
      <c r="E38" s="10" t="inlineStr"/>
      <c r="F38" s="10" t="inlineStr"/>
      <c r="G38" s="10" t="inlineStr"/>
      <c r="H38" s="10" t="inlineStr"/>
      <c r="I38" s="37">
        <f>IFERROR(ROUND((D38*5+E38*4+F38*3+G38*2+H38)/SUM(D38:H38),2),"")</f>
        <v/>
      </c>
    </row>
    <row r="39" ht="22" customHeight="1">
      <c r="B39" s="31" t="inlineStr">
        <is>
          <t>Q24</t>
        </is>
      </c>
      <c r="C39" s="32" t="inlineStr">
        <is>
          <t>Overall welfare support from hostel staff</t>
        </is>
      </c>
      <c r="D39" s="33" t="inlineStr"/>
      <c r="E39" s="33" t="inlineStr"/>
      <c r="F39" s="33" t="inlineStr"/>
      <c r="G39" s="33" t="inlineStr"/>
      <c r="H39" s="33" t="inlineStr"/>
      <c r="I39" s="76">
        <f>IFERROR(ROUND((D39*5+E39*4+F39*3+G39*2+H39)/SUM(D39:H39),2),"")</f>
        <v/>
      </c>
    </row>
    <row r="40" ht="22" customHeight="1"/>
    <row r="41" ht="24" customHeight="1">
      <c r="B41" s="77" t="inlineStr">
        <is>
          <t>E. OVERALL EXPERIENCE</t>
        </is>
      </c>
    </row>
    <row r="42" ht="22" customHeight="1">
      <c r="B42" s="78" t="inlineStr">
        <is>
          <t>Q.</t>
        </is>
      </c>
      <c r="C42" s="78" t="inlineStr">
        <is>
          <t>Survey Statement</t>
        </is>
      </c>
      <c r="D42" s="78" t="inlineStr">
        <is>
          <t>Excellent
(5)</t>
        </is>
      </c>
      <c r="E42" s="78" t="inlineStr">
        <is>
          <t>Good
(4)</t>
        </is>
      </c>
      <c r="F42" s="78" t="inlineStr">
        <is>
          <t>Average
(3)</t>
        </is>
      </c>
      <c r="G42" s="78" t="inlineStr">
        <is>
          <t>Poor
(2)</t>
        </is>
      </c>
      <c r="H42" s="78" t="inlineStr">
        <is>
          <t>Very Poor
(1)</t>
        </is>
      </c>
      <c r="I42" s="78" t="inlineStr">
        <is>
          <t>Avg Score</t>
        </is>
      </c>
    </row>
    <row r="43" ht="22" customHeight="1">
      <c r="B43" s="79" t="inlineStr">
        <is>
          <t>Q25</t>
        </is>
      </c>
      <c r="C43" s="80" t="inlineStr">
        <is>
          <t>Overall satisfaction with hostel accommodation</t>
        </is>
      </c>
      <c r="D43" s="81" t="inlineStr"/>
      <c r="E43" s="81" t="inlineStr"/>
      <c r="F43" s="81" t="inlineStr"/>
      <c r="G43" s="81" t="inlineStr"/>
      <c r="H43" s="81" t="inlineStr"/>
      <c r="I43" s="82">
        <f>IFERROR(ROUND((D43*5+E43*4+F43*3+G43*2+H43)/SUM(D43:H43),2),"")</f>
        <v/>
      </c>
    </row>
    <row r="44" ht="22" customHeight="1">
      <c r="B44" s="8" t="inlineStr">
        <is>
          <t>Q26</t>
        </is>
      </c>
      <c r="C44" s="9" t="inlineStr">
        <is>
          <t>Would recommend this hostel to juniors?</t>
        </is>
      </c>
      <c r="D44" s="10" t="inlineStr"/>
      <c r="E44" s="10" t="inlineStr"/>
      <c r="F44" s="10" t="inlineStr"/>
      <c r="G44" s="10" t="inlineStr"/>
      <c r="H44" s="10" t="inlineStr"/>
      <c r="I44" s="37">
        <f>IFERROR(ROUND((D44*5+E44*4+F44*3+G44*2+H44)/SUM(D44:H44),2),"")</f>
        <v/>
      </c>
    </row>
    <row r="45" ht="22" customHeight="1">
      <c r="B45" s="79" t="inlineStr">
        <is>
          <t>Q27</t>
        </is>
      </c>
      <c r="C45" s="80" t="inlineStr">
        <is>
          <t>Hostel life contributing to academic performance</t>
        </is>
      </c>
      <c r="D45" s="81" t="inlineStr"/>
      <c r="E45" s="81" t="inlineStr"/>
      <c r="F45" s="81" t="inlineStr"/>
      <c r="G45" s="81" t="inlineStr"/>
      <c r="H45" s="81" t="inlineStr"/>
      <c r="I45" s="82">
        <f>IFERROR(ROUND((D45*5+E45*4+F45*3+G45*2+H45)/SUM(D45:H45),2),"")</f>
        <v/>
      </c>
    </row>
    <row r="46" ht="22" customHeight="1">
      <c r="B46" s="8" t="inlineStr">
        <is>
          <t>Q28</t>
        </is>
      </c>
      <c r="C46" s="9" t="inlineStr">
        <is>
          <t>Sense of community and belonging in hostel</t>
        </is>
      </c>
      <c r="D46" s="10" t="inlineStr"/>
      <c r="E46" s="10" t="inlineStr"/>
      <c r="F46" s="10" t="inlineStr"/>
      <c r="G46" s="10" t="inlineStr"/>
      <c r="H46" s="10" t="inlineStr"/>
      <c r="I46" s="37">
        <f>IFERROR(ROUND((D46*5+E46*4+F46*3+G46*2+H46)/SUM(D46:H46),2),"")</f>
        <v/>
      </c>
    </row>
    <row r="47" ht="22" customHeight="1"/>
    <row r="48" ht="24" customHeight="1">
      <c r="B48" s="27" t="inlineStr">
        <is>
          <t>SURVEY SUMMARY &amp; ACTION PLAN</t>
        </is>
      </c>
    </row>
    <row r="49" ht="22" customHeight="1">
      <c r="B49" s="28" t="inlineStr">
        <is>
          <t>Section</t>
        </is>
      </c>
      <c r="C49" s="28" t="inlineStr">
        <is>
          <t>Avg Score (/5)</t>
        </is>
      </c>
      <c r="D49" s="28" t="inlineStr">
        <is>
          <t>Satisfaction %</t>
        </is>
      </c>
      <c r="E49" s="28" t="inlineStr">
        <is>
          <t>Benchmark
(≥3.5)</t>
        </is>
      </c>
      <c r="F49" s="28" t="inlineStr">
        <is>
          <t>Gap</t>
        </is>
      </c>
      <c r="G49" s="28" t="inlineStr">
        <is>
          <t>Status</t>
        </is>
      </c>
      <c r="H49" s="28" t="inlineStr">
        <is>
          <t>Priority Action</t>
        </is>
      </c>
    </row>
    <row r="50" ht="22" customHeight="1">
      <c r="B50" s="38" t="inlineStr">
        <is>
          <t>ACCOMMODATION &amp; ROOMS</t>
        </is>
      </c>
      <c r="C50" s="16" t="inlineStr"/>
      <c r="D50" s="16">
        <f>IFERROR(ROUND(C50/5*100,1),"")</f>
        <v/>
      </c>
      <c r="E50" s="16" t="n">
        <v>3.5</v>
      </c>
      <c r="F50" s="16">
        <f>IFERROR(ROUND(C50-E50,2),"")</f>
        <v/>
      </c>
      <c r="G50" s="16">
        <f>IFERROR(IF(C50&gt;=3.5,"Satisfactory","Needs Attention"),"")</f>
        <v/>
      </c>
      <c r="H50" s="15" t="inlineStr"/>
      <c r="I50" s="83" t="n"/>
    </row>
    <row r="51" ht="22" customHeight="1">
      <c r="B51" s="25" t="inlineStr">
        <is>
          <t>MESS &amp; FOOD SERVICES</t>
        </is>
      </c>
      <c r="C51" s="10" t="inlineStr"/>
      <c r="D51" s="10">
        <f>IFERROR(ROUND(C51/5*100,1),"")</f>
        <v/>
      </c>
      <c r="E51" s="10" t="n">
        <v>3.5</v>
      </c>
      <c r="F51" s="10">
        <f>IFERROR(ROUND(C51-E51,2),"")</f>
        <v/>
      </c>
      <c r="G51" s="10">
        <f>IFERROR(IF(C51&gt;=3.5,"Satisfactory","Needs Attention"),"")</f>
        <v/>
      </c>
      <c r="H51" s="9" t="inlineStr"/>
      <c r="I51" s="84" t="n"/>
    </row>
    <row r="52">
      <c r="B52" s="38" t="inlineStr">
        <is>
          <t>SAFETY &amp; SECURITY</t>
        </is>
      </c>
      <c r="C52" s="16" t="inlineStr"/>
      <c r="D52" s="16">
        <f>IFERROR(ROUND(C52/5*100,1),"")</f>
        <v/>
      </c>
      <c r="E52" s="16" t="n">
        <v>3.5</v>
      </c>
      <c r="F52" s="16">
        <f>IFERROR(ROUND(C52-E52,2),"")</f>
        <v/>
      </c>
      <c r="G52" s="16">
        <f>IFERROR(IF(C52&gt;=3.5,"Satisfactory","Needs Attention"),"")</f>
        <v/>
      </c>
      <c r="H52" s="15" t="inlineStr"/>
      <c r="I52" s="83" t="n"/>
    </row>
    <row r="53">
      <c r="B53" s="25" t="inlineStr">
        <is>
          <t>ADMINISTRATION &amp; WELFARE</t>
        </is>
      </c>
      <c r="C53" s="10" t="inlineStr"/>
      <c r="D53" s="10">
        <f>IFERROR(ROUND(C53/5*100,1),"")</f>
        <v/>
      </c>
      <c r="E53" s="10" t="n">
        <v>3.5</v>
      </c>
      <c r="F53" s="10">
        <f>IFERROR(ROUND(C53-E53,2),"")</f>
        <v/>
      </c>
      <c r="G53" s="10">
        <f>IFERROR(IF(C53&gt;=3.5,"Satisfactory","Needs Attention"),"")</f>
        <v/>
      </c>
      <c r="H53" s="9" t="inlineStr"/>
      <c r="I53" s="84" t="n"/>
    </row>
    <row r="54">
      <c r="B54" s="38" t="inlineStr">
        <is>
          <t>OVERALL EXPERIENCE</t>
        </is>
      </c>
      <c r="C54" s="16" t="inlineStr"/>
      <c r="D54" s="16">
        <f>IFERROR(ROUND(C54/5*100,1),"")</f>
        <v/>
      </c>
      <c r="E54" s="16" t="n">
        <v>3.5</v>
      </c>
      <c r="F54" s="16">
        <f>IFERROR(ROUND(C54-E54,2),"")</f>
        <v/>
      </c>
      <c r="G54" s="16">
        <f>IFERROR(IF(C54&gt;=3.5,"Satisfactory","Needs Attention"),"")</f>
        <v/>
      </c>
      <c r="H54" s="15" t="inlineStr"/>
      <c r="I54" s="83" t="n"/>
    </row>
  </sheetData>
  <mergeCells count="9">
    <mergeCell ref="B48:I48"/>
    <mergeCell ref="B33:I33"/>
    <mergeCell ref="B24:I24"/>
    <mergeCell ref="B2:I2"/>
    <mergeCell ref="B3:I3"/>
    <mergeCell ref="B5:I5"/>
    <mergeCell ref="B14:I14"/>
    <mergeCell ref="B41:I41"/>
    <mergeCell ref="B4:I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I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HC-42: HOSTEL COMMITTEE KPI DASHBOARD</t>
        </is>
      </c>
    </row>
    <row r="3" ht="25" customHeight="1">
      <c r="B3" s="2" t="inlineStr">
        <is>
          <t>Month: _______  A.Y.: _______  Chief Warden: ___________________  Date: _______</t>
        </is>
      </c>
    </row>
    <row r="4" ht="24" customHeight="1">
      <c r="B4" s="19" t="inlineStr">
        <is>
          <t>OCCUPANCY &amp; ADMISSION KPIs</t>
        </is>
      </c>
    </row>
    <row r="5" ht="22" customHeight="1">
      <c r="B5" s="13" t="inlineStr">
        <is>
          <t>Sl.</t>
        </is>
      </c>
      <c r="C5" s="13" t="inlineStr">
        <is>
          <t>Key Performance Indicator</t>
        </is>
      </c>
      <c r="D5" s="13" t="inlineStr">
        <is>
          <t>Unit</t>
        </is>
      </c>
      <c r="E5" s="13" t="inlineStr">
        <is>
          <t>Target</t>
        </is>
      </c>
      <c r="F5" s="13" t="inlineStr">
        <is>
          <t>Prev. Month
Actual</t>
        </is>
      </c>
      <c r="G5" s="13" t="inlineStr">
        <is>
          <t>Current Month
Actual</t>
        </is>
      </c>
      <c r="H5" s="13" t="inlineStr">
        <is>
          <t>Status</t>
        </is>
      </c>
      <c r="I5" s="13" t="inlineStr">
        <is>
          <t>Action Required</t>
        </is>
      </c>
    </row>
    <row r="6" ht="22" customHeight="1">
      <c r="B6" s="14" t="n">
        <v>1</v>
      </c>
      <c r="C6" s="15" t="inlineStr">
        <is>
          <t>Hostel occupancy rate (% of capacity)</t>
        </is>
      </c>
      <c r="D6" s="16" t="inlineStr">
        <is>
          <t>% occupied</t>
        </is>
      </c>
      <c r="E6" s="16" t="inlineStr">
        <is>
          <t>≥80%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Hostel admission process completed before semester</t>
        </is>
      </c>
      <c r="D7" s="10" t="inlineStr">
        <is>
          <t>Y/N</t>
        </is>
      </c>
      <c r="E7" s="10" t="inlineStr">
        <is>
          <t>Yes — before Day 1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Room allotment register updated</t>
        </is>
      </c>
      <c r="D8" s="16" t="inlineStr">
        <is>
          <t>Y/N</t>
        </is>
      </c>
      <c r="E8" s="16" t="inlineStr">
        <is>
          <t>Yes — current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Waiting list managed and communicated</t>
        </is>
      </c>
      <c r="D9" s="10" t="inlineStr">
        <is>
          <t>Y/N</t>
        </is>
      </c>
      <c r="E9" s="10" t="inlineStr">
        <is>
          <t>Yes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Emergency contact verified for all students</t>
        </is>
      </c>
      <c r="D10" s="16" t="inlineStr">
        <is>
          <t>% verified</t>
        </is>
      </c>
      <c r="E10" s="16" t="inlineStr">
        <is>
          <t>100%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/>
    <row r="12" ht="24" customHeight="1">
      <c r="B12" s="50" t="inlineStr">
        <is>
          <t>ATTENDANCE &amp; GATE PASS KPIs</t>
        </is>
      </c>
    </row>
    <row r="13" ht="22" customHeight="1">
      <c r="B13" s="39" t="inlineStr">
        <is>
          <t>Sl.</t>
        </is>
      </c>
      <c r="C13" s="39" t="inlineStr">
        <is>
          <t>Key Performance Indicator</t>
        </is>
      </c>
      <c r="D13" s="39" t="inlineStr">
        <is>
          <t>Unit</t>
        </is>
      </c>
      <c r="E13" s="39" t="inlineStr">
        <is>
          <t>Target</t>
        </is>
      </c>
      <c r="F13" s="39" t="inlineStr">
        <is>
          <t>Prev. Month
Actual</t>
        </is>
      </c>
      <c r="G13" s="39" t="inlineStr">
        <is>
          <t>Current Month
Actual</t>
        </is>
      </c>
      <c r="H13" s="39" t="inlineStr">
        <is>
          <t>Status</t>
        </is>
      </c>
      <c r="I13" s="39" t="inlineStr">
        <is>
          <t>Action Required</t>
        </is>
      </c>
    </row>
    <row r="14" ht="22" customHeight="1">
      <c r="B14" s="40" t="n">
        <v>1</v>
      </c>
      <c r="C14" s="41" t="inlineStr">
        <is>
          <t>Daily attendance taken (% of days)</t>
        </is>
      </c>
      <c r="D14" s="42" t="inlineStr">
        <is>
          <t>% days</t>
        </is>
      </c>
      <c r="E14" s="42" t="inlineStr">
        <is>
          <t>100%</t>
        </is>
      </c>
      <c r="F14" s="42" t="inlineStr"/>
      <c r="G14" s="42" t="inlineStr"/>
      <c r="H14" s="42" t="inlineStr">
        <is>
          <t>On Track</t>
        </is>
      </c>
      <c r="I14" s="41" t="inlineStr"/>
    </row>
    <row r="15" ht="22" customHeight="1">
      <c r="B15" s="8" t="n">
        <v>2</v>
      </c>
      <c r="C15" s="9" t="inlineStr">
        <is>
          <t>Students with attendance &lt; 80%</t>
        </is>
      </c>
      <c r="D15" s="10" t="inlineStr">
        <is>
          <t>No.</t>
        </is>
      </c>
      <c r="E15" s="10" t="inlineStr">
        <is>
          <t>0 target</t>
        </is>
      </c>
      <c r="F15" s="10" t="inlineStr"/>
      <c r="G15" s="10" t="inlineStr"/>
      <c r="H15" s="10" t="inlineStr">
        <is>
          <t>On Track</t>
        </is>
      </c>
      <c r="I15" s="9" t="inlineStr"/>
    </row>
    <row r="16" ht="22" customHeight="1">
      <c r="B16" s="40" t="n">
        <v>3</v>
      </c>
      <c r="C16" s="41" t="inlineStr">
        <is>
          <t>Gate pass compliance (% returning on time)</t>
        </is>
      </c>
      <c r="D16" s="42" t="inlineStr">
        <is>
          <t>% on time</t>
        </is>
      </c>
      <c r="E16" s="42" t="inlineStr">
        <is>
          <t>≥95%</t>
        </is>
      </c>
      <c r="F16" s="42" t="inlineStr"/>
      <c r="G16" s="42" t="inlineStr"/>
      <c r="H16" s="42" t="inlineStr">
        <is>
          <t>On Track</t>
        </is>
      </c>
      <c r="I16" s="41" t="inlineStr"/>
    </row>
    <row r="17" ht="22" customHeight="1">
      <c r="B17" s="8" t="n">
        <v>4</v>
      </c>
      <c r="C17" s="9" t="inlineStr">
        <is>
          <t>Overnight leave approvals — parental consent verified</t>
        </is>
      </c>
      <c r="D17" s="10" t="inlineStr">
        <is>
          <t>% verified</t>
        </is>
      </c>
      <c r="E17" s="10" t="inlineStr">
        <is>
          <t>100%</t>
        </is>
      </c>
      <c r="F17" s="10" t="inlineStr"/>
      <c r="G17" s="10" t="inlineStr"/>
      <c r="H17" s="10" t="inlineStr">
        <is>
          <t>On Track</t>
        </is>
      </c>
      <c r="I17" s="9" t="inlineStr"/>
    </row>
    <row r="18" ht="22" customHeight="1">
      <c r="B18" s="40" t="n">
        <v>5</v>
      </c>
      <c r="C18" s="41" t="inlineStr">
        <is>
          <t>Visitor register updated daily</t>
        </is>
      </c>
      <c r="D18" s="42" t="inlineStr">
        <is>
          <t>Y/N</t>
        </is>
      </c>
      <c r="E18" s="42" t="inlineStr">
        <is>
          <t>Yes</t>
        </is>
      </c>
      <c r="F18" s="42" t="inlineStr"/>
      <c r="G18" s="42" t="inlineStr"/>
      <c r="H18" s="42" t="inlineStr">
        <is>
          <t>On Track</t>
        </is>
      </c>
      <c r="I18" s="41" t="inlineStr"/>
    </row>
    <row r="19" ht="22" customHeight="1"/>
    <row r="20" ht="24" customHeight="1">
      <c r="B20" s="34" t="inlineStr">
        <is>
          <t>MESS &amp; FOOD KPIs</t>
        </is>
      </c>
    </row>
    <row r="21" ht="22" customHeight="1">
      <c r="B21" s="30" t="inlineStr">
        <is>
          <t>Sl.</t>
        </is>
      </c>
      <c r="C21" s="30" t="inlineStr">
        <is>
          <t>Key Performance Indicator</t>
        </is>
      </c>
      <c r="D21" s="30" t="inlineStr">
        <is>
          <t>Unit</t>
        </is>
      </c>
      <c r="E21" s="30" t="inlineStr">
        <is>
          <t>Target</t>
        </is>
      </c>
      <c r="F21" s="30" t="inlineStr">
        <is>
          <t>Prev. Month
Actual</t>
        </is>
      </c>
      <c r="G21" s="30" t="inlineStr">
        <is>
          <t>Current Month
Actual</t>
        </is>
      </c>
      <c r="H21" s="30" t="inlineStr">
        <is>
          <t>Status</t>
        </is>
      </c>
      <c r="I21" s="30" t="inlineStr">
        <is>
          <t>Action Required</t>
        </is>
      </c>
    </row>
    <row r="22" ht="22" customHeight="1">
      <c r="B22" s="31" t="n">
        <v>1</v>
      </c>
      <c r="C22" s="32" t="inlineStr">
        <is>
          <t>Daily mess inspection done (% of meals)</t>
        </is>
      </c>
      <c r="D22" s="33" t="inlineStr">
        <is>
          <t>% inspected</t>
        </is>
      </c>
      <c r="E22" s="33" t="inlineStr">
        <is>
          <t>100%</t>
        </is>
      </c>
      <c r="F22" s="33" t="inlineStr"/>
      <c r="G22" s="33" t="inlineStr"/>
      <c r="H22" s="33" t="inlineStr">
        <is>
          <t>On Track</t>
        </is>
      </c>
      <c r="I22" s="32" t="inlineStr"/>
    </row>
    <row r="23" ht="22" customHeight="1">
      <c r="B23" s="8" t="n">
        <v>2</v>
      </c>
      <c r="C23" s="9" t="inlineStr">
        <is>
          <t>Food sample retention compliance</t>
        </is>
      </c>
      <c r="D23" s="10" t="inlineStr">
        <is>
          <t>% days</t>
        </is>
      </c>
      <c r="E23" s="10" t="inlineStr">
        <is>
          <t>100%</t>
        </is>
      </c>
      <c r="F23" s="10" t="inlineStr"/>
      <c r="G23" s="10" t="inlineStr"/>
      <c r="H23" s="10" t="inlineStr">
        <is>
          <t>On Track</t>
        </is>
      </c>
      <c r="I23" s="9" t="inlineStr"/>
    </row>
    <row r="24" ht="22" customHeight="1">
      <c r="B24" s="31" t="n">
        <v>3</v>
      </c>
      <c r="C24" s="32" t="inlineStr">
        <is>
          <t>Mess quality average score (/5)</t>
        </is>
      </c>
      <c r="D24" s="33" t="inlineStr">
        <is>
          <t>Score</t>
        </is>
      </c>
      <c r="E24" s="33" t="inlineStr">
        <is>
          <t>≥3.5</t>
        </is>
      </c>
      <c r="F24" s="33" t="inlineStr"/>
      <c r="G24" s="33" t="inlineStr"/>
      <c r="H24" s="33" t="inlineStr">
        <is>
          <t>On Track</t>
        </is>
      </c>
      <c r="I24" s="32" t="inlineStr"/>
    </row>
    <row r="25" ht="22" customHeight="1">
      <c r="B25" s="8" t="n">
        <v>4</v>
      </c>
      <c r="C25" s="9" t="inlineStr">
        <is>
          <t>Mess complaints resolved within 24 hours</t>
        </is>
      </c>
      <c r="D25" s="10" t="inlineStr">
        <is>
          <t>% resolved</t>
        </is>
      </c>
      <c r="E25" s="10" t="inlineStr">
        <is>
          <t>≥90%</t>
        </is>
      </c>
      <c r="F25" s="10" t="inlineStr"/>
      <c r="G25" s="10" t="inlineStr"/>
      <c r="H25" s="10" t="inlineStr">
        <is>
          <t>On Track</t>
        </is>
      </c>
      <c r="I25" s="9" t="inlineStr"/>
    </row>
    <row r="26" ht="22" customHeight="1">
      <c r="B26" s="31" t="n">
        <v>5</v>
      </c>
      <c r="C26" s="32" t="inlineStr">
        <is>
          <t>Mess fee collection rate (%)</t>
        </is>
      </c>
      <c r="D26" s="33" t="inlineStr">
        <is>
          <t>% collected</t>
        </is>
      </c>
      <c r="E26" s="33" t="inlineStr">
        <is>
          <t>≥95%</t>
        </is>
      </c>
      <c r="F26" s="33" t="inlineStr"/>
      <c r="G26" s="33" t="inlineStr"/>
      <c r="H26" s="33" t="inlineStr">
        <is>
          <t>On Track</t>
        </is>
      </c>
      <c r="I26" s="32" t="inlineStr"/>
    </row>
    <row r="27" ht="22" customHeight="1">
      <c r="B27" s="8" t="n">
        <v>6</v>
      </c>
      <c r="C27" s="9" t="inlineStr">
        <is>
          <t>Student satisfaction — mess (/5)</t>
        </is>
      </c>
      <c r="D27" s="10" t="inlineStr">
        <is>
          <t>Score</t>
        </is>
      </c>
      <c r="E27" s="10" t="inlineStr">
        <is>
          <t>≥3.5</t>
        </is>
      </c>
      <c r="F27" s="10" t="inlineStr"/>
      <c r="G27" s="10" t="inlineStr"/>
      <c r="H27" s="10" t="inlineStr">
        <is>
          <t>On Track</t>
        </is>
      </c>
      <c r="I27" s="9" t="inlineStr"/>
    </row>
    <row r="28" ht="22" customHeight="1"/>
    <row r="29" ht="24" customHeight="1">
      <c r="B29" s="54" t="inlineStr">
        <is>
          <t>FACILITIES &amp; MAINTENANCE KPIs</t>
        </is>
      </c>
    </row>
    <row r="30" ht="22" customHeight="1">
      <c r="B30" s="55" t="inlineStr">
        <is>
          <t>Sl.</t>
        </is>
      </c>
      <c r="C30" s="55" t="inlineStr">
        <is>
          <t>Key Performance Indicator</t>
        </is>
      </c>
      <c r="D30" s="55" t="inlineStr">
        <is>
          <t>Unit</t>
        </is>
      </c>
      <c r="E30" s="55" t="inlineStr">
        <is>
          <t>Target</t>
        </is>
      </c>
      <c r="F30" s="55" t="inlineStr">
        <is>
          <t>Prev. Month
Actual</t>
        </is>
      </c>
      <c r="G30" s="55" t="inlineStr">
        <is>
          <t>Current Month
Actual</t>
        </is>
      </c>
      <c r="H30" s="55" t="inlineStr">
        <is>
          <t>Status</t>
        </is>
      </c>
      <c r="I30" s="55" t="inlineStr">
        <is>
          <t>Action Required</t>
        </is>
      </c>
    </row>
    <row r="31" ht="22" customHeight="1">
      <c r="B31" s="59" t="n">
        <v>1</v>
      </c>
      <c r="C31" s="60" t="inlineStr">
        <is>
          <t>Monthly room inspection completed</t>
        </is>
      </c>
      <c r="D31" s="61" t="inlineStr">
        <is>
          <t>% rooms inspected</t>
        </is>
      </c>
      <c r="E31" s="61" t="inlineStr">
        <is>
          <t>100%</t>
        </is>
      </c>
      <c r="F31" s="61" t="inlineStr"/>
      <c r="G31" s="61" t="inlineStr"/>
      <c r="H31" s="61" t="inlineStr">
        <is>
          <t>On Track</t>
        </is>
      </c>
      <c r="I31" s="60" t="inlineStr"/>
    </row>
    <row r="32" ht="22" customHeight="1">
      <c r="B32" s="8" t="n">
        <v>2</v>
      </c>
      <c r="C32" s="9" t="inlineStr">
        <is>
          <t>Maintenance requests resolved within 3 days</t>
        </is>
      </c>
      <c r="D32" s="10" t="inlineStr">
        <is>
          <t>% on time</t>
        </is>
      </c>
      <c r="E32" s="10" t="inlineStr">
        <is>
          <t>≥85%</t>
        </is>
      </c>
      <c r="F32" s="10" t="inlineStr"/>
      <c r="G32" s="10" t="inlineStr"/>
      <c r="H32" s="10" t="inlineStr">
        <is>
          <t>On Track</t>
        </is>
      </c>
      <c r="I32" s="9" t="inlineStr"/>
    </row>
    <row r="33" ht="22" customHeight="1">
      <c r="B33" s="59" t="n">
        <v>3</v>
      </c>
      <c r="C33" s="60" t="inlineStr">
        <is>
          <t>High-priority repairs resolved within 24 hours</t>
        </is>
      </c>
      <c r="D33" s="61" t="inlineStr">
        <is>
          <t>% on time</t>
        </is>
      </c>
      <c r="E33" s="61" t="inlineStr">
        <is>
          <t>100%</t>
        </is>
      </c>
      <c r="F33" s="61" t="inlineStr"/>
      <c r="G33" s="61" t="inlineStr"/>
      <c r="H33" s="61" t="inlineStr">
        <is>
          <t>On Track</t>
        </is>
      </c>
      <c r="I33" s="60" t="inlineStr"/>
    </row>
    <row r="34" ht="22" customHeight="1">
      <c r="B34" s="8" t="n">
        <v>4</v>
      </c>
      <c r="C34" s="9" t="inlineStr">
        <is>
          <t>Electricity and water supply continuity</t>
        </is>
      </c>
      <c r="D34" s="10" t="inlineStr">
        <is>
          <t>% uptime</t>
        </is>
      </c>
      <c r="E34" s="10" t="inlineStr">
        <is>
          <t>≥99%</t>
        </is>
      </c>
      <c r="F34" s="10" t="inlineStr"/>
      <c r="G34" s="10" t="inlineStr"/>
      <c r="H34" s="10" t="inlineStr">
        <is>
          <t>On Track</t>
        </is>
      </c>
      <c r="I34" s="9" t="inlineStr"/>
    </row>
    <row r="35" ht="22" customHeight="1">
      <c r="B35" s="59" t="n">
        <v>5</v>
      </c>
      <c r="C35" s="60" t="inlineStr">
        <is>
          <t>Pest control done quarterly</t>
        </is>
      </c>
      <c r="D35" s="61" t="inlineStr">
        <is>
          <t>Y/N</t>
        </is>
      </c>
      <c r="E35" s="61" t="inlineStr">
        <is>
          <t>Yes quarterly</t>
        </is>
      </c>
      <c r="F35" s="61" t="inlineStr"/>
      <c r="G35" s="61" t="inlineStr"/>
      <c r="H35" s="61" t="inlineStr">
        <is>
          <t>On Track</t>
        </is>
      </c>
      <c r="I35" s="60" t="inlineStr"/>
    </row>
    <row r="36" ht="22" customHeight="1"/>
    <row r="37" ht="24" customHeight="1">
      <c r="B37" s="77" t="inlineStr">
        <is>
          <t>FEES, DISCIPLINE &amp; WELFARE KPIs</t>
        </is>
      </c>
    </row>
    <row r="38" ht="22" customHeight="1">
      <c r="B38" s="78" t="inlineStr">
        <is>
          <t>Sl.</t>
        </is>
      </c>
      <c r="C38" s="78" t="inlineStr">
        <is>
          <t>Key Performance Indicator</t>
        </is>
      </c>
      <c r="D38" s="78" t="inlineStr">
        <is>
          <t>Unit</t>
        </is>
      </c>
      <c r="E38" s="78" t="inlineStr">
        <is>
          <t>Target</t>
        </is>
      </c>
      <c r="F38" s="78" t="inlineStr">
        <is>
          <t>Prev. Month
Actual</t>
        </is>
      </c>
      <c r="G38" s="78" t="inlineStr">
        <is>
          <t>Current Month
Actual</t>
        </is>
      </c>
      <c r="H38" s="78" t="inlineStr">
        <is>
          <t>Status</t>
        </is>
      </c>
      <c r="I38" s="78" t="inlineStr">
        <is>
          <t>Action Required</t>
        </is>
      </c>
    </row>
    <row r="39" ht="22" customHeight="1">
      <c r="B39" s="79" t="n">
        <v>1</v>
      </c>
      <c r="C39" s="80" t="inlineStr">
        <is>
          <t>Hostel fee collection rate (%)</t>
        </is>
      </c>
      <c r="D39" s="81" t="inlineStr">
        <is>
          <t>% collected</t>
        </is>
      </c>
      <c r="E39" s="81" t="inlineStr">
        <is>
          <t>≥90%</t>
        </is>
      </c>
      <c r="F39" s="81" t="inlineStr"/>
      <c r="G39" s="81" t="inlineStr"/>
      <c r="H39" s="81" t="inlineStr">
        <is>
          <t>On Track</t>
        </is>
      </c>
      <c r="I39" s="80" t="inlineStr"/>
    </row>
    <row r="40" ht="22" customHeight="1">
      <c r="B40" s="8" t="n">
        <v>2</v>
      </c>
      <c r="C40" s="9" t="inlineStr">
        <is>
          <t>Discipline complaints resolved within 48 hours</t>
        </is>
      </c>
      <c r="D40" s="10" t="inlineStr">
        <is>
          <t>% resolved</t>
        </is>
      </c>
      <c r="E40" s="10" t="inlineStr">
        <is>
          <t>≥95%</t>
        </is>
      </c>
      <c r="F40" s="10" t="inlineStr"/>
      <c r="G40" s="10" t="inlineStr"/>
      <c r="H40" s="10" t="inlineStr">
        <is>
          <t>On Track</t>
        </is>
      </c>
      <c r="I40" s="9" t="inlineStr"/>
    </row>
    <row r="41" ht="22" customHeight="1">
      <c r="B41" s="79" t="n">
        <v>3</v>
      </c>
      <c r="C41" s="80" t="inlineStr">
        <is>
          <t>Ragging incidents in hostel</t>
        </is>
      </c>
      <c r="D41" s="81" t="inlineStr">
        <is>
          <t>No.</t>
        </is>
      </c>
      <c r="E41" s="81" t="inlineStr">
        <is>
          <t>0 — zero tolerance</t>
        </is>
      </c>
      <c r="F41" s="81" t="inlineStr"/>
      <c r="G41" s="81" t="inlineStr"/>
      <c r="H41" s="81" t="inlineStr">
        <is>
          <t>On Track</t>
        </is>
      </c>
      <c r="I41" s="80" t="inlineStr"/>
    </row>
    <row r="42" ht="22" customHeight="1">
      <c r="B42" s="8" t="n">
        <v>4</v>
      </c>
      <c r="C42" s="9" t="inlineStr">
        <is>
          <t>Medical incidents attended within 30 minutes</t>
        </is>
      </c>
      <c r="D42" s="10" t="inlineStr">
        <is>
          <t>% on time</t>
        </is>
      </c>
      <c r="E42" s="10" t="inlineStr">
        <is>
          <t>100%</t>
        </is>
      </c>
      <c r="F42" s="10" t="inlineStr"/>
      <c r="G42" s="10" t="inlineStr"/>
      <c r="H42" s="10" t="inlineStr">
        <is>
          <t>On Track</t>
        </is>
      </c>
      <c r="I42" s="9" t="inlineStr"/>
    </row>
    <row r="43" ht="22" customHeight="1">
      <c r="B43" s="79" t="n">
        <v>5</v>
      </c>
      <c r="C43" s="80" t="inlineStr">
        <is>
          <t>Student satisfaction — hostel overall (/5)</t>
        </is>
      </c>
      <c r="D43" s="81" t="inlineStr">
        <is>
          <t>Score</t>
        </is>
      </c>
      <c r="E43" s="81" t="inlineStr">
        <is>
          <t>≥3.5</t>
        </is>
      </c>
      <c r="F43" s="81" t="inlineStr"/>
      <c r="G43" s="81" t="inlineStr"/>
      <c r="H43" s="81" t="inlineStr">
        <is>
          <t>On Track</t>
        </is>
      </c>
      <c r="I43" s="80" t="inlineStr"/>
    </row>
    <row r="44" ht="22" customHeight="1">
      <c r="B44" s="8" t="n">
        <v>6</v>
      </c>
      <c r="C44" s="9" t="inlineStr">
        <is>
          <t>NAAC hostel data compiled</t>
        </is>
      </c>
      <c r="D44" s="10" t="inlineStr">
        <is>
          <t>Y/N</t>
        </is>
      </c>
      <c r="E44" s="10" t="inlineStr">
        <is>
          <t>Yes annually</t>
        </is>
      </c>
      <c r="F44" s="10" t="inlineStr"/>
      <c r="G44" s="10" t="inlineStr"/>
      <c r="H44" s="10" t="inlineStr">
        <is>
          <t>On Track</t>
        </is>
      </c>
      <c r="I44" s="9" t="inlineStr"/>
    </row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</sheetData>
  <mergeCells count="7">
    <mergeCell ref="B12:I12"/>
    <mergeCell ref="B29:I29"/>
    <mergeCell ref="B2:I2"/>
    <mergeCell ref="B20:I20"/>
    <mergeCell ref="B3:I3"/>
    <mergeCell ref="B37:I37"/>
    <mergeCell ref="B4:I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HC-43: HOSTEL COMMITTEE ANNUAL REPORT COMPILATION FORM</t>
        </is>
      </c>
    </row>
    <row r="3" ht="25" customHeight="1">
      <c r="B3" s="2" t="inlineStr">
        <is>
          <t>A.Y.: _______  Chief Warden: ___________________  Submitted to: Management / IQAC / NAAC  Date: _______</t>
        </is>
      </c>
    </row>
    <row r="4" ht="24" customHeight="1">
      <c r="B4" s="19" t="inlineStr">
        <is>
          <t>SECTION 1 — ACCOMMODATION</t>
        </is>
      </c>
    </row>
    <row r="5" ht="22" customHeight="1">
      <c r="B5" s="13" t="inlineStr">
        <is>
          <t>Sl.</t>
        </is>
      </c>
      <c r="C5" s="13" t="inlineStr">
        <is>
          <t>Performance Metric</t>
        </is>
      </c>
      <c r="D5" s="13" t="inlineStr">
        <is>
          <t>Unit</t>
        </is>
      </c>
      <c r="E5" s="13" t="inlineStr">
        <is>
          <t>Current A.Y.</t>
        </is>
      </c>
      <c r="F5" s="13" t="inlineStr">
        <is>
          <t>Previous A.Y.</t>
        </is>
      </c>
      <c r="G5" s="13" t="inlineStr">
        <is>
          <t>Growth %</t>
        </is>
      </c>
      <c r="H5" s="13" t="inlineStr">
        <is>
          <t>Target Next Year</t>
        </is>
      </c>
    </row>
    <row r="6" ht="22" customHeight="1">
      <c r="B6" s="14" t="n">
        <v>1</v>
      </c>
      <c r="C6" s="15" t="inlineStr">
        <is>
          <t>Total hostel capacity (beds)</t>
        </is>
      </c>
      <c r="D6" s="16" t="inlineStr">
        <is>
          <t>No.</t>
        </is>
      </c>
      <c r="E6" s="16" t="inlineStr"/>
      <c r="F6" s="16" t="inlineStr"/>
      <c r="G6" s="16">
        <f>IFERROR(ROUND((E6-F6)/IF(F6=0,1,F6)*100,1),"")</f>
        <v/>
      </c>
      <c r="H6" s="16" t="inlineStr"/>
    </row>
    <row r="7" ht="22" customHeight="1">
      <c r="B7" s="8" t="n">
        <v>2</v>
      </c>
      <c r="C7" s="9" t="inlineStr">
        <is>
          <t>Students admitted (Boys + Girls)</t>
        </is>
      </c>
      <c r="D7" s="10" t="inlineStr">
        <is>
          <t>No.</t>
        </is>
      </c>
      <c r="E7" s="10" t="inlineStr"/>
      <c r="F7" s="10" t="inlineStr"/>
      <c r="G7" s="10">
        <f>IFERROR(ROUND((E7-F7)/IF(F7=0,1,F7)*100,1),"")</f>
        <v/>
      </c>
      <c r="H7" s="10" t="inlineStr"/>
    </row>
    <row r="8" ht="22" customHeight="1">
      <c r="B8" s="14" t="n">
        <v>3</v>
      </c>
      <c r="C8" s="15" t="inlineStr">
        <is>
          <t>Average occupancy rate (%)</t>
        </is>
      </c>
      <c r="D8" s="16" t="inlineStr">
        <is>
          <t>% occupied</t>
        </is>
      </c>
      <c r="E8" s="16" t="inlineStr"/>
      <c r="F8" s="16" t="inlineStr"/>
      <c r="G8" s="16">
        <f>IFERROR(ROUND((E8-F8)/IF(F8=0,1,F8)*100,1),"")</f>
        <v/>
      </c>
      <c r="H8" s="16" t="inlineStr"/>
    </row>
    <row r="9" ht="22" customHeight="1">
      <c r="B9" s="8" t="n">
        <v>4</v>
      </c>
      <c r="C9" s="9" t="inlineStr">
        <is>
          <t>Rooms renovated / upgraded</t>
        </is>
      </c>
      <c r="D9" s="10" t="inlineStr">
        <is>
          <t>No.</t>
        </is>
      </c>
      <c r="E9" s="10" t="inlineStr"/>
      <c r="F9" s="10" t="inlineStr"/>
      <c r="G9" s="10">
        <f>IFERROR(ROUND((E9-F9)/IF(F9=0,1,F9)*100,1),"")</f>
        <v/>
      </c>
      <c r="H9" s="10" t="inlineStr"/>
    </row>
    <row r="10" ht="22" customHeight="1">
      <c r="B10" s="14" t="n">
        <v>5</v>
      </c>
      <c r="C10" s="15" t="inlineStr">
        <is>
          <t>Maintenance requests resolved</t>
        </is>
      </c>
      <c r="D10" s="16" t="inlineStr">
        <is>
          <t>No.</t>
        </is>
      </c>
      <c r="E10" s="16" t="inlineStr"/>
      <c r="F10" s="16" t="inlineStr"/>
      <c r="G10" s="16">
        <f>IFERROR(ROUND((E10-F10)/IF(F10=0,1,F10)*100,1),"")</f>
        <v/>
      </c>
      <c r="H10" s="16" t="inlineStr"/>
    </row>
    <row r="11" ht="22" customHeight="1">
      <c r="B11" s="8" t="n">
        <v>6</v>
      </c>
      <c r="C11" s="9" t="inlineStr">
        <is>
          <t>Capital improvements made</t>
        </is>
      </c>
      <c r="D11" s="10" t="inlineStr">
        <is>
          <t>No.</t>
        </is>
      </c>
      <c r="E11" s="10" t="inlineStr"/>
      <c r="F11" s="10" t="inlineStr"/>
      <c r="G11" s="10">
        <f>IFERROR(ROUND((E11-F11)/IF(F11=0,1,F11)*100,1),"")</f>
        <v/>
      </c>
      <c r="H11" s="10" t="inlineStr"/>
    </row>
    <row r="12" ht="22" customHeight="1"/>
    <row r="13" ht="24" customHeight="1">
      <c r="B13" s="50" t="inlineStr">
        <is>
          <t>SECTION 2 — MESS &amp; FOOD</t>
        </is>
      </c>
    </row>
    <row r="14" ht="22" customHeight="1">
      <c r="B14" s="39" t="inlineStr">
        <is>
          <t>Sl.</t>
        </is>
      </c>
      <c r="C14" s="39" t="inlineStr">
        <is>
          <t>Performance Metric</t>
        </is>
      </c>
      <c r="D14" s="39" t="inlineStr">
        <is>
          <t>Unit</t>
        </is>
      </c>
      <c r="E14" s="39" t="inlineStr">
        <is>
          <t>Current A.Y.</t>
        </is>
      </c>
      <c r="F14" s="39" t="inlineStr">
        <is>
          <t>Previous A.Y.</t>
        </is>
      </c>
      <c r="G14" s="39" t="inlineStr">
        <is>
          <t>Growth %</t>
        </is>
      </c>
      <c r="H14" s="39" t="inlineStr">
        <is>
          <t>Target Next Year</t>
        </is>
      </c>
    </row>
    <row r="15" ht="22" customHeight="1">
      <c r="B15" s="40" t="n">
        <v>1</v>
      </c>
      <c r="C15" s="41" t="inlineStr">
        <is>
          <t>Total mess members</t>
        </is>
      </c>
      <c r="D15" s="42" t="inlineStr">
        <is>
          <t>No.</t>
        </is>
      </c>
      <c r="E15" s="42" t="inlineStr"/>
      <c r="F15" s="42" t="inlineStr"/>
      <c r="G15" s="42">
        <f>IFERROR(ROUND((E15-F15)/IF(F15=0,1,F15)*100,1),"")</f>
        <v/>
      </c>
      <c r="H15" s="42" t="inlineStr"/>
    </row>
    <row r="16" ht="22" customHeight="1">
      <c r="B16" s="8" t="n">
        <v>2</v>
      </c>
      <c r="C16" s="9" t="inlineStr">
        <is>
          <t>Daily mess inspections conducted</t>
        </is>
      </c>
      <c r="D16" s="10" t="inlineStr">
        <is>
          <t>No. / % days</t>
        </is>
      </c>
      <c r="E16" s="10" t="inlineStr"/>
      <c r="F16" s="10" t="inlineStr"/>
      <c r="G16" s="10">
        <f>IFERROR(ROUND((E16-F16)/IF(F16=0,1,F16)*100,1),"")</f>
        <v/>
      </c>
      <c r="H16" s="10" t="inlineStr"/>
    </row>
    <row r="17" ht="22" customHeight="1">
      <c r="B17" s="40" t="n">
        <v>3</v>
      </c>
      <c r="C17" s="41" t="inlineStr">
        <is>
          <t>Food sample retention compliance</t>
        </is>
      </c>
      <c r="D17" s="42" t="inlineStr">
        <is>
          <t>% days</t>
        </is>
      </c>
      <c r="E17" s="42" t="inlineStr"/>
      <c r="F17" s="42" t="inlineStr"/>
      <c r="G17" s="42">
        <f>IFERROR(ROUND((E17-F17)/IF(F17=0,1,F17)*100,1),"")</f>
        <v/>
      </c>
      <c r="H17" s="42" t="inlineStr"/>
    </row>
    <row r="18" ht="22" customHeight="1">
      <c r="B18" s="8" t="n">
        <v>4</v>
      </c>
      <c r="C18" s="9" t="inlineStr">
        <is>
          <t>Mess complaints received</t>
        </is>
      </c>
      <c r="D18" s="10" t="inlineStr">
        <is>
          <t>No.</t>
        </is>
      </c>
      <c r="E18" s="10" t="inlineStr"/>
      <c r="F18" s="10" t="inlineStr"/>
      <c r="G18" s="10">
        <f>IFERROR(ROUND((E18-F18)/IF(F18=0,1,F18)*100,1),"")</f>
        <v/>
      </c>
      <c r="H18" s="10" t="inlineStr"/>
    </row>
    <row r="19" ht="22" customHeight="1">
      <c r="B19" s="40" t="n">
        <v>5</v>
      </c>
      <c r="C19" s="41" t="inlineStr">
        <is>
          <t>Mess complaints resolved</t>
        </is>
      </c>
      <c r="D19" s="42" t="inlineStr">
        <is>
          <t>% resolved</t>
        </is>
      </c>
      <c r="E19" s="42" t="inlineStr"/>
      <c r="F19" s="42" t="inlineStr"/>
      <c r="G19" s="42">
        <f>IFERROR(ROUND((E19-F19)/IF(F19=0,1,F19)*100,1),"")</f>
        <v/>
      </c>
      <c r="H19" s="42" t="inlineStr"/>
    </row>
    <row r="20" ht="22" customHeight="1">
      <c r="B20" s="8" t="n">
        <v>6</v>
      </c>
      <c r="C20" s="9" t="inlineStr">
        <is>
          <t>Mess fee collected (₹L)</t>
        </is>
      </c>
      <c r="D20" s="10" t="inlineStr">
        <is>
          <t>₹L</t>
        </is>
      </c>
      <c r="E20" s="10" t="inlineStr"/>
      <c r="F20" s="10" t="inlineStr"/>
      <c r="G20" s="10">
        <f>IFERROR(ROUND((E20-F20)/IF(F20=0,1,F20)*100,1),"")</f>
        <v/>
      </c>
      <c r="H20" s="10" t="inlineStr"/>
    </row>
    <row r="21" ht="22" customHeight="1"/>
    <row r="22" ht="24" customHeight="1">
      <c r="B22" s="34" t="inlineStr">
        <is>
          <t>SECTION 3 — ATTENDANCE &amp; DISCIPLINE</t>
        </is>
      </c>
    </row>
    <row r="23" ht="22" customHeight="1">
      <c r="B23" s="30" t="inlineStr">
        <is>
          <t>Sl.</t>
        </is>
      </c>
      <c r="C23" s="30" t="inlineStr">
        <is>
          <t>Performance Metric</t>
        </is>
      </c>
      <c r="D23" s="30" t="inlineStr">
        <is>
          <t>Unit</t>
        </is>
      </c>
      <c r="E23" s="30" t="inlineStr">
        <is>
          <t>Current A.Y.</t>
        </is>
      </c>
      <c r="F23" s="30" t="inlineStr">
        <is>
          <t>Previous A.Y.</t>
        </is>
      </c>
      <c r="G23" s="30" t="inlineStr">
        <is>
          <t>Growth %</t>
        </is>
      </c>
      <c r="H23" s="30" t="inlineStr">
        <is>
          <t>Target Next Year</t>
        </is>
      </c>
    </row>
    <row r="24" ht="22" customHeight="1">
      <c r="B24" s="31" t="n">
        <v>1</v>
      </c>
      <c r="C24" s="32" t="inlineStr">
        <is>
          <t>Daily attendance compliance (% of days)</t>
        </is>
      </c>
      <c r="D24" s="33" t="inlineStr">
        <is>
          <t>% days</t>
        </is>
      </c>
      <c r="E24" s="33" t="inlineStr"/>
      <c r="F24" s="33" t="inlineStr"/>
      <c r="G24" s="33">
        <f>IFERROR(ROUND((E24-F24)/IF(F24=0,1,F24)*100,1),"")</f>
        <v/>
      </c>
      <c r="H24" s="33" t="inlineStr"/>
    </row>
    <row r="25" ht="22" customHeight="1">
      <c r="B25" s="8" t="n">
        <v>2</v>
      </c>
      <c r="C25" s="9" t="inlineStr">
        <is>
          <t>Gate pass violations</t>
        </is>
      </c>
      <c r="D25" s="10" t="inlineStr">
        <is>
          <t>No.</t>
        </is>
      </c>
      <c r="E25" s="10" t="inlineStr"/>
      <c r="F25" s="10" t="inlineStr"/>
      <c r="G25" s="10">
        <f>IFERROR(ROUND((E25-F25)/IF(F25=0,1,F25)*100,1),"")</f>
        <v/>
      </c>
      <c r="H25" s="10" t="inlineStr"/>
    </row>
    <row r="26" ht="22" customHeight="1">
      <c r="B26" s="31" t="n">
        <v>3</v>
      </c>
      <c r="C26" s="32" t="inlineStr">
        <is>
          <t>Overnight leave applications</t>
        </is>
      </c>
      <c r="D26" s="33" t="inlineStr">
        <is>
          <t>No.</t>
        </is>
      </c>
      <c r="E26" s="33" t="inlineStr"/>
      <c r="F26" s="33" t="inlineStr"/>
      <c r="G26" s="33">
        <f>IFERROR(ROUND((E26-F26)/IF(F26=0,1,F26)*100,1),"")</f>
        <v/>
      </c>
      <c r="H26" s="33" t="inlineStr"/>
    </row>
    <row r="27" ht="22" customHeight="1">
      <c r="B27" s="8" t="n">
        <v>4</v>
      </c>
      <c r="C27" s="9" t="inlineStr">
        <is>
          <t>Discipline complaints received</t>
        </is>
      </c>
      <c r="D27" s="10" t="inlineStr">
        <is>
          <t>No.</t>
        </is>
      </c>
      <c r="E27" s="10" t="inlineStr"/>
      <c r="F27" s="10" t="inlineStr"/>
      <c r="G27" s="10">
        <f>IFERROR(ROUND((E27-F27)/IF(F27=0,1,F27)*100,1),"")</f>
        <v/>
      </c>
      <c r="H27" s="10" t="inlineStr"/>
    </row>
    <row r="28" ht="22" customHeight="1">
      <c r="B28" s="31" t="n">
        <v>5</v>
      </c>
      <c r="C28" s="32" t="inlineStr">
        <is>
          <t>Ragging incidents reported</t>
        </is>
      </c>
      <c r="D28" s="33" t="inlineStr">
        <is>
          <t>No.</t>
        </is>
      </c>
      <c r="E28" s="33" t="inlineStr"/>
      <c r="F28" s="33" t="inlineStr"/>
      <c r="G28" s="33">
        <f>IFERROR(ROUND((E28-F28)/IF(F28=0,1,F28)*100,1),"")</f>
        <v/>
      </c>
      <c r="H28" s="33" t="inlineStr"/>
    </row>
    <row r="29" ht="22" customHeight="1">
      <c r="B29" s="8" t="n">
        <v>6</v>
      </c>
      <c r="C29" s="9" t="inlineStr">
        <is>
          <t>Parent notification instances</t>
        </is>
      </c>
      <c r="D29" s="10" t="inlineStr">
        <is>
          <t>No.</t>
        </is>
      </c>
      <c r="E29" s="10" t="inlineStr"/>
      <c r="F29" s="10" t="inlineStr"/>
      <c r="G29" s="10">
        <f>IFERROR(ROUND((E29-F29)/IF(F29=0,1,F29)*100,1),"")</f>
        <v/>
      </c>
      <c r="H29" s="10" t="inlineStr"/>
    </row>
    <row r="30" ht="22" customHeight="1"/>
    <row r="31" ht="24" customHeight="1">
      <c r="B31" s="54" t="inlineStr">
        <is>
          <t>SECTION 4 — FEES &amp; FINANCE</t>
        </is>
      </c>
    </row>
    <row r="32" ht="22" customHeight="1">
      <c r="B32" s="55" t="inlineStr">
        <is>
          <t>Sl.</t>
        </is>
      </c>
      <c r="C32" s="55" t="inlineStr">
        <is>
          <t>Performance Metric</t>
        </is>
      </c>
      <c r="D32" s="55" t="inlineStr">
        <is>
          <t>Unit</t>
        </is>
      </c>
      <c r="E32" s="55" t="inlineStr">
        <is>
          <t>Current A.Y.</t>
        </is>
      </c>
      <c r="F32" s="55" t="inlineStr">
        <is>
          <t>Previous A.Y.</t>
        </is>
      </c>
      <c r="G32" s="55" t="inlineStr">
        <is>
          <t>Growth %</t>
        </is>
      </c>
      <c r="H32" s="55" t="inlineStr">
        <is>
          <t>Target Next Year</t>
        </is>
      </c>
    </row>
    <row r="33" ht="22" customHeight="1">
      <c r="B33" s="59" t="n">
        <v>1</v>
      </c>
      <c r="C33" s="60" t="inlineStr">
        <is>
          <t>Total hostel fee collected (₹L)</t>
        </is>
      </c>
      <c r="D33" s="61" t="inlineStr">
        <is>
          <t>₹L</t>
        </is>
      </c>
      <c r="E33" s="61" t="inlineStr"/>
      <c r="F33" s="61" t="inlineStr"/>
      <c r="G33" s="61">
        <f>IFERROR(ROUND((E33-F33)/IF(F33=0,1,F33)*100,1),"")</f>
        <v/>
      </c>
      <c r="H33" s="61" t="inlineStr"/>
    </row>
    <row r="34" ht="22" customHeight="1">
      <c r="B34" s="8" t="n">
        <v>2</v>
      </c>
      <c r="C34" s="9" t="inlineStr">
        <is>
          <t>Hostel fee collection rate (%)</t>
        </is>
      </c>
      <c r="D34" s="10" t="inlineStr">
        <is>
          <t>% collected</t>
        </is>
      </c>
      <c r="E34" s="10" t="inlineStr"/>
      <c r="F34" s="10" t="inlineStr"/>
      <c r="G34" s="10">
        <f>IFERROR(ROUND((E34-F34)/IF(F34=0,1,F34)*100,1),"")</f>
        <v/>
      </c>
      <c r="H34" s="10" t="inlineStr"/>
    </row>
    <row r="35" ht="22" customHeight="1">
      <c r="B35" s="59" t="n">
        <v>3</v>
      </c>
      <c r="C35" s="60" t="inlineStr">
        <is>
          <t>Mess fee collected (₹L)</t>
        </is>
      </c>
      <c r="D35" s="61" t="inlineStr">
        <is>
          <t>₹L</t>
        </is>
      </c>
      <c r="E35" s="61" t="inlineStr"/>
      <c r="F35" s="61" t="inlineStr"/>
      <c r="G35" s="61">
        <f>IFERROR(ROUND((E35-F35)/IF(F35=0,1,F35)*100,1),"")</f>
        <v/>
      </c>
      <c r="H35" s="61" t="inlineStr"/>
    </row>
    <row r="36" ht="22" customHeight="1">
      <c r="B36" s="8" t="n">
        <v>4</v>
      </c>
      <c r="C36" s="9" t="inlineStr">
        <is>
          <t>Security deposit balance</t>
        </is>
      </c>
      <c r="D36" s="10" t="inlineStr">
        <is>
          <t>₹</t>
        </is>
      </c>
      <c r="E36" s="10" t="inlineStr"/>
      <c r="F36" s="10" t="inlineStr"/>
      <c r="G36" s="10">
        <f>IFERROR(ROUND((E36-F36)/IF(F36=0,1,F36)*100,1),"")</f>
        <v/>
      </c>
      <c r="H36" s="10" t="inlineStr"/>
    </row>
    <row r="37" ht="22" customHeight="1">
      <c r="B37" s="59" t="n">
        <v>5</v>
      </c>
      <c r="C37" s="60" t="inlineStr">
        <is>
          <t>Hostel maintenance expenditure (₹L)</t>
        </is>
      </c>
      <c r="D37" s="61" t="inlineStr">
        <is>
          <t>₹L</t>
        </is>
      </c>
      <c r="E37" s="61" t="inlineStr"/>
      <c r="F37" s="61" t="inlineStr"/>
      <c r="G37" s="61">
        <f>IFERROR(ROUND((E37-F37)/IF(F37=0,1,F37)*100,1),"")</f>
        <v/>
      </c>
      <c r="H37" s="61" t="inlineStr"/>
    </row>
    <row r="38" ht="22" customHeight="1">
      <c r="B38" s="8" t="n">
        <v>6</v>
      </c>
      <c r="C38" s="9" t="inlineStr">
        <is>
          <t>Total hostel revenue (₹L)</t>
        </is>
      </c>
      <c r="D38" s="10" t="inlineStr">
        <is>
          <t>₹L</t>
        </is>
      </c>
      <c r="E38" s="10" t="inlineStr"/>
      <c r="F38" s="10" t="inlineStr"/>
      <c r="G38" s="10">
        <f>IFERROR(ROUND((E38-F38)/IF(F38=0,1,F38)*100,1),"")</f>
        <v/>
      </c>
      <c r="H38" s="10" t="inlineStr"/>
    </row>
    <row r="39" ht="22" customHeight="1"/>
    <row r="40" ht="24" customHeight="1">
      <c r="B40" s="77" t="inlineStr">
        <is>
          <t>SECTION 5 — WELFARE &amp; QUALITY</t>
        </is>
      </c>
    </row>
    <row r="41" ht="22" customHeight="1">
      <c r="B41" s="78" t="inlineStr">
        <is>
          <t>Sl.</t>
        </is>
      </c>
      <c r="C41" s="78" t="inlineStr">
        <is>
          <t>Performance Metric</t>
        </is>
      </c>
      <c r="D41" s="78" t="inlineStr">
        <is>
          <t>Unit</t>
        </is>
      </c>
      <c r="E41" s="78" t="inlineStr">
        <is>
          <t>Current A.Y.</t>
        </is>
      </c>
      <c r="F41" s="78" t="inlineStr">
        <is>
          <t>Previous A.Y.</t>
        </is>
      </c>
      <c r="G41" s="78" t="inlineStr">
        <is>
          <t>Growth %</t>
        </is>
      </c>
      <c r="H41" s="78" t="inlineStr">
        <is>
          <t>Target Next Year</t>
        </is>
      </c>
    </row>
    <row r="42" ht="22" customHeight="1">
      <c r="B42" s="79" t="n">
        <v>1</v>
      </c>
      <c r="C42" s="80" t="inlineStr">
        <is>
          <t>Hostel events / cultural activities</t>
        </is>
      </c>
      <c r="D42" s="81" t="inlineStr">
        <is>
          <t>No.</t>
        </is>
      </c>
      <c r="E42" s="81" t="inlineStr"/>
      <c r="F42" s="81" t="inlineStr"/>
      <c r="G42" s="81">
        <f>IFERROR(ROUND((E42-F42)/IF(F42=0,1,F42)*100,1),"")</f>
        <v/>
      </c>
      <c r="H42" s="81" t="inlineStr"/>
    </row>
    <row r="43" ht="22" customHeight="1">
      <c r="B43" s="8" t="n">
        <v>2</v>
      </c>
      <c r="C43" s="9" t="inlineStr">
        <is>
          <t>Medical incidents handled</t>
        </is>
      </c>
      <c r="D43" s="10" t="inlineStr">
        <is>
          <t>No.</t>
        </is>
      </c>
      <c r="E43" s="10" t="inlineStr"/>
      <c r="F43" s="10" t="inlineStr"/>
      <c r="G43" s="10">
        <f>IFERROR(ROUND((E43-F43)/IF(F43=0,1,F43)*100,1),"")</f>
        <v/>
      </c>
      <c r="H43" s="10" t="inlineStr"/>
    </row>
    <row r="44" ht="22" customHeight="1">
      <c r="B44" s="79" t="n">
        <v>3</v>
      </c>
      <c r="C44" s="80" t="inlineStr">
        <is>
          <t>Counselling support given</t>
        </is>
      </c>
      <c r="D44" s="81" t="inlineStr">
        <is>
          <t>No.</t>
        </is>
      </c>
      <c r="E44" s="81" t="inlineStr"/>
      <c r="F44" s="81" t="inlineStr"/>
      <c r="G44" s="81">
        <f>IFERROR(ROUND((E44-F44)/IF(F44=0,1,F44)*100,1),"")</f>
        <v/>
      </c>
      <c r="H44" s="81" t="inlineStr"/>
    </row>
    <row r="45" ht="22" customHeight="1">
      <c r="B45" s="8" t="n">
        <v>4</v>
      </c>
      <c r="C45" s="9" t="inlineStr">
        <is>
          <t>Student satisfaction score (/5)</t>
        </is>
      </c>
      <c r="D45" s="10" t="inlineStr">
        <is>
          <t>Score</t>
        </is>
      </c>
      <c r="E45" s="10" t="inlineStr"/>
      <c r="F45" s="10" t="inlineStr"/>
      <c r="G45" s="10">
        <f>IFERROR(ROUND((E45-F45)/IF(F45=0,1,F45)*100,1),"")</f>
        <v/>
      </c>
      <c r="H45" s="10" t="inlineStr"/>
    </row>
    <row r="46" ht="22" customHeight="1">
      <c r="B46" s="79" t="n">
        <v>5</v>
      </c>
      <c r="C46" s="80" t="inlineStr">
        <is>
          <t>NAAC data submitted</t>
        </is>
      </c>
      <c r="D46" s="81" t="inlineStr">
        <is>
          <t>Y/N</t>
        </is>
      </c>
      <c r="E46" s="81" t="inlineStr"/>
      <c r="F46" s="81" t="inlineStr"/>
      <c r="G46" s="81">
        <f>IFERROR(ROUND((E46-F46)/IF(F46=0,1,F46)*100,1),"")</f>
        <v/>
      </c>
      <c r="H46" s="81" t="inlineStr"/>
    </row>
    <row r="47" ht="22" customHeight="1">
      <c r="B47" s="8" t="n">
        <v>6</v>
      </c>
      <c r="C47" s="9" t="inlineStr">
        <is>
          <t>Hostel welfare improvements made</t>
        </is>
      </c>
      <c r="D47" s="10" t="inlineStr">
        <is>
          <t>No.</t>
        </is>
      </c>
      <c r="E47" s="10" t="inlineStr"/>
      <c r="F47" s="10" t="inlineStr"/>
      <c r="G47" s="10">
        <f>IFERROR(ROUND((E47-F47)/IF(F47=0,1,F47)*100,1),"")</f>
        <v/>
      </c>
      <c r="H47" s="10" t="inlineStr"/>
    </row>
    <row r="48" ht="22" customHeight="1"/>
    <row r="49" ht="20" customHeight="1">
      <c r="B49" s="17" t="inlineStr">
        <is>
          <t>Annual Report submitted to: Management, IQAC (NAAC AQAR Criterion IV.2 — Infrastructure &amp; Facilities, V.2 — Student Progression), External Inspectors, Finance Committee, Governing Body.</t>
        </is>
      </c>
    </row>
    <row r="50" ht="22" customHeight="1">
      <c r="B50" s="29" t="inlineStr">
        <is>
          <t>Chief Warden: ___________________    HC Chairperson (Principal): ___________________    IQAC Coordinator: ___________________    Date: ___________________</t>
        </is>
      </c>
    </row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</sheetData>
  <mergeCells count="9">
    <mergeCell ref="B22:H22"/>
    <mergeCell ref="B50:H50"/>
    <mergeCell ref="B40:H40"/>
    <mergeCell ref="B13:H13"/>
    <mergeCell ref="B49:H49"/>
    <mergeCell ref="B4:H4"/>
    <mergeCell ref="B2:H2"/>
    <mergeCell ref="B3:H3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2026-04-27T05:01:13Z</dcterms:created>
  <dcterms:modified xmlns:dcterms="http://purl.org/dc/terms/" xmlns:xsi="http://www.w3.org/2001/XMLSchema-instance" xsi:type="dcterms:W3CDTF">2026-04-27T05:01:14Z</dcterms:modified>
</cp:coreProperties>
</file>