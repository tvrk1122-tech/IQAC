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firstSheet="5" activeTab="7"/>
  </bookViews>
  <sheets>
    <sheet name="INDEX" sheetId="1" r:id="rId1"/>
    <sheet name="PSCC-00 Composition" sheetId="2" r:id="rId2"/>
    <sheet name="PSCC-NA Notice &amp; Agenda" sheetId="3" r:id="rId3"/>
    <sheet name="PSCC-AT Attendance" sheetId="4" r:id="rId4"/>
    <sheet name="PSCC-MM Minutes" sheetId="5" r:id="rId5"/>
    <sheet name="PSCC-ATR Action Report" sheetId="6" r:id="rId6"/>
    <sheet name="SOC-02 Society Master Register" sheetId="7" r:id="rId7"/>
    <sheet name="SOC-01 Registration Form" sheetId="8" r:id="rId8"/>
    <sheet name="SOC-03 Membership Register" sheetId="9" r:id="rId9"/>
    <sheet name="ACT-01 Expert Talk Register" sheetId="10" r:id="rId10"/>
    <sheet name="ACT-02 Paper Presentation" sheetId="11" r:id="rId11"/>
    <sheet name="ACT-03 Workshop FDP Register" sheetId="12" r:id="rId12"/>
    <sheet name="ACT-04 Hackathon &amp; Competition" sheetId="13" r:id="rId13"/>
    <sheet name="ACT-06 Industrial Visit Reg" sheetId="14" r:id="rId14"/>
    <sheet name="ACT-08 Conference Reg" sheetId="15" r:id="rId15"/>
    <sheet name="AWD-01 Achievement Register" sheetId="16" r:id="rId16"/>
    <sheet name="ACT-09 Technical Fest Register" sheetId="17" r:id="rId17"/>
    <sheet name="PSCC-20 Satisfaction Survey" sheetId="18" r:id="rId18"/>
    <sheet name="PSCC-30 KPI Dashboard" sheetId="19" r:id="rId19"/>
    <sheet name="PSCC-31 Annual Report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<sst xmlns="http://schemas.openxmlformats.org/spreadsheetml/2006/main" count="3999" uniqueCount="1111">
  <si>
    <t>PROFESSIONAL SOCIETIES COORDINATION COMMITTEE (PSCC)
Data Collection Formats — Master Workbook</t>
  </si>
  <si>
    <t>Institution: _________________________  PSCC Coordinator: _____________  A.Y.: _______  Version: _____</t>
  </si>
  <si>
    <t>Form No.</t>
  </si>
  <si>
    <t>Format / Form Title</t>
  </si>
  <si>
    <t>Purpose / Usage</t>
  </si>
  <si>
    <t>Frequency</t>
  </si>
  <si>
    <t>── GOVERNANCE &amp; ADMINISTRATION ──</t>
  </si>
  <si>
    <t>PSCC-00</t>
  </si>
  <si>
    <t>Committee Composition &amp; Members Register</t>
  </si>
  <si>
    <t>Record PSCC members, society advisors &amp; student leads</t>
  </si>
  <si>
    <t>Annual</t>
  </si>
  <si>
    <t>PSCC-NA</t>
  </si>
  <si>
    <t>Meeting Notice, Agenda &amp; Dispatch Record</t>
  </si>
  <si>
    <t>Formal notice and agenda for PSCC meetings</t>
  </si>
  <si>
    <t>Each Meeting</t>
  </si>
  <si>
    <t>PSCC-AT</t>
  </si>
  <si>
    <t>Attendance &amp; Quorum Register</t>
  </si>
  <si>
    <t>Confirm attendance and quorum</t>
  </si>
  <si>
    <t>PSCC-MM</t>
  </si>
  <si>
    <t>Meeting Minutes &amp; Resolutions</t>
  </si>
  <si>
    <t>Record decisions, resolutions &amp; directives</t>
  </si>
  <si>
    <t>PSCC-ATR</t>
  </si>
  <si>
    <t>Action Taken Report</t>
  </si>
  <si>
    <t>Track implementation of committee resolutions</t>
  </si>
  <si>
    <t>── POLICY &amp; PLANNING ──</t>
  </si>
  <si>
    <t>PSCC-01</t>
  </si>
  <si>
    <t>Professional Society Policy &amp; Framework</t>
  </si>
  <si>
    <t>Document institutional policy on professional societies</t>
  </si>
  <si>
    <t>PSCC-02</t>
  </si>
  <si>
    <t>Annual Professional Society Calendar</t>
  </si>
  <si>
    <t>Plan all society events, talks, workshops &amp; competitions</t>
  </si>
  <si>
    <t>Annual (Pre-Year)</t>
  </si>
  <si>
    <t>PSCC-03</t>
  </si>
  <si>
    <t>PSCC Budget &amp; Resource Plan</t>
  </si>
  <si>
    <t>Plan and track budget for all society activities</t>
  </si>
  <si>
    <t>── SOCIETY REGISTRATION &amp; MANAGEMENT ──</t>
  </si>
  <si>
    <t>SOC-01</t>
  </si>
  <si>
    <t>Society Registration &amp; Affiliation Form</t>
  </si>
  <si>
    <t>Formally register society with parent body and institution</t>
  </si>
  <si>
    <t>SOC-02</t>
  </si>
  <si>
    <t>Society Master Register</t>
  </si>
  <si>
    <t>Consolidated register of all active professional societies</t>
  </si>
  <si>
    <t>SOC-03</t>
  </si>
  <si>
    <t>Society Membership Register</t>
  </si>
  <si>
    <t>Track student and faculty members of each society</t>
  </si>
  <si>
    <t>Annual / Per Society</t>
  </si>
  <si>
    <t>SOC-04</t>
  </si>
  <si>
    <t>Society Core Team &amp; Office Bearers Register</t>
  </si>
  <si>
    <t>Record student chapter president, secretary &amp; roles</t>
  </si>
  <si>
    <t>SOC-05</t>
  </si>
  <si>
    <t>Society Annual Activity Plan</t>
  </si>
  <si>
    <t>Record planned activities for each society</t>
  </si>
  <si>
    <t>SOC-06</t>
  </si>
  <si>
    <t>Society Affiliation &amp; Membership Fee Register</t>
  </si>
  <si>
    <t>Track national/international body membership fees</t>
  </si>
  <si>
    <t>── SOCIETIES — ENGINEERING &amp; TECHNOLOGY ──</t>
  </si>
  <si>
    <t>ENG-01</t>
  </si>
  <si>
    <t>IEEE Student Branch Register</t>
  </si>
  <si>
    <t>Manage IEEE Student Branch activities &amp; membership</t>
  </si>
  <si>
    <t>Annual / Continuous</t>
  </si>
  <si>
    <t>ENG-02</t>
  </si>
  <si>
    <t>ISTE Student Chapter Register</t>
  </si>
  <si>
    <t>Manage ISTE Student Chapter activities</t>
  </si>
  <si>
    <t>ENG-03</t>
  </si>
  <si>
    <t>SAE Collegiate Club Register</t>
  </si>
  <si>
    <t>Manage SAE India activities (Automotive Engineering)</t>
  </si>
  <si>
    <t>ENG-04</t>
  </si>
  <si>
    <t>CSI Student Chapter Register</t>
  </si>
  <si>
    <t>Manage CSI (Computer Society of India) activities</t>
  </si>
  <si>
    <t>ENG-05</t>
  </si>
  <si>
    <t>IETE Student Forum Register</t>
  </si>
  <si>
    <t>Manage IETE Student Forum activities</t>
  </si>
  <si>
    <t>ENG-06</t>
  </si>
  <si>
    <t>IEI Student Chapter Register</t>
  </si>
  <si>
    <t>Manage IEI (Institution of Engineers India) activities</t>
  </si>
  <si>
    <t>ENG-07</t>
  </si>
  <si>
    <t>ASME / ASCE / AIChE Chapter Register</t>
  </si>
  <si>
    <t>Manage ASME, ASCE, AIChE student chapters</t>
  </si>
  <si>
    <t>ENG-08</t>
  </si>
  <si>
    <t>Other Technical Society Register</t>
  </si>
  <si>
    <t>Manage any other technical professional society</t>
  </si>
  <si>
    <t>── SOCIETIES — MANAGEMENT &amp; COMMERCE ──</t>
  </si>
  <si>
    <t>MGT-01</t>
  </si>
  <si>
    <t>AIMA / NHRD Student Chapter Register</t>
  </si>
  <si>
    <t>Manage AIMA, NHRD, SHRM student chapter activities</t>
  </si>
  <si>
    <t>MGT-02</t>
  </si>
  <si>
    <t>CMA / ICAI Student Group Register</t>
  </si>
  <si>
    <t>Manage CMA, ICAI affiliated student groups</t>
  </si>
  <si>
    <t>MGT-03</t>
  </si>
  <si>
    <t>Marketing / HR Professional Society Register</t>
  </si>
  <si>
    <t>Manage professional society chapters for MBA students</t>
  </si>
  <si>
    <t>── ACTIVITIES &amp; EVENTS ──</t>
  </si>
  <si>
    <t>ACT-01</t>
  </si>
  <si>
    <t>Guest Lecture &amp; Expert Talk Register</t>
  </si>
  <si>
    <t>Manage expert talks from industry and academia</t>
  </si>
  <si>
    <t>Per Event</t>
  </si>
  <si>
    <t>ACT-02</t>
  </si>
  <si>
    <t>Technical Paper Presentation Register</t>
  </si>
  <si>
    <t>Manage paper presentations and research showcases</t>
  </si>
  <si>
    <t>ACT-03</t>
  </si>
  <si>
    <t>Technical Workshop &amp; FDP Register</t>
  </si>
  <si>
    <t>Manage technical workshops and faculty development</t>
  </si>
  <si>
    <t>ACT-04</t>
  </si>
  <si>
    <t>Hackathon &amp; Technical Competition Register</t>
  </si>
  <si>
    <t>Manage society-organised technical competitions</t>
  </si>
  <si>
    <t>ACT-05</t>
  </si>
  <si>
    <t>Technical Project Exhibition Register</t>
  </si>
  <si>
    <t>Manage project expos and prototype demonstrations</t>
  </si>
  <si>
    <t>ACT-06</t>
  </si>
  <si>
    <t>Industrial Visit &amp; Field Trip Register</t>
  </si>
  <si>
    <t>Track industry visits organised by societies</t>
  </si>
  <si>
    <t>Per Visit</t>
  </si>
  <si>
    <t>ACT-07</t>
  </si>
  <si>
    <t>Webinar &amp; Online Event Register</t>
  </si>
  <si>
    <t>Manage online talks, webinars and virtual events</t>
  </si>
  <si>
    <t>ACT-08</t>
  </si>
  <si>
    <t>National / International Conference Register</t>
  </si>
  <si>
    <t>Track society conferences and symposia</t>
  </si>
  <si>
    <t>ACT-09</t>
  </si>
  <si>
    <t>Intercollegiate Technical Fest Register</t>
  </si>
  <si>
    <t>Manage inter-college technical fests and events</t>
  </si>
  <si>
    <t>Per Fest</t>
  </si>
  <si>
    <t>── PUBLICATIONS &amp; RESEARCH ──</t>
  </si>
  <si>
    <t>PUB-01</t>
  </si>
  <si>
    <t>Society Newsletter / e-Zine Register</t>
  </si>
  <si>
    <t>Manage society publications and digital newsletters</t>
  </si>
  <si>
    <t>Per Issue</t>
  </si>
  <si>
    <t>PUB-02</t>
  </si>
  <si>
    <t>Technical Journal &amp; Proceedings Register</t>
  </si>
  <si>
    <t>Track journal publications and conference proceedings</t>
  </si>
  <si>
    <t>Continuous</t>
  </si>
  <si>
    <t>PUB-03</t>
  </si>
  <si>
    <t>Research Paper Submission Support Register</t>
  </si>
  <si>
    <t>Track support given to student paper submissions</t>
  </si>
  <si>
    <t>── AWARDS &amp; RECOGNITION ──</t>
  </si>
  <si>
    <t>AWD-01</t>
  </si>
  <si>
    <t>Student Achievement &amp; Award Register</t>
  </si>
  <si>
    <t>Record student awards through society activities</t>
  </si>
  <si>
    <t>AWD-02</t>
  </si>
  <si>
    <t>Best Chapter / Society Award Register</t>
  </si>
  <si>
    <t>Track national/state awards won by student chapters</t>
  </si>
  <si>
    <t>AWD-03</t>
  </si>
  <si>
    <t>Best Paper / Project Award Register</t>
  </si>
  <si>
    <t>Record best paper and project awards from societies</t>
  </si>
  <si>
    <t>── INDUSTRY &amp; ALUMNI CONNECT ──</t>
  </si>
  <si>
    <t>IND-01</t>
  </si>
  <si>
    <t>Industry Expert &amp; Mentor Panel Register</t>
  </si>
  <si>
    <t>Maintain expert database for society activities</t>
  </si>
  <si>
    <t>IND-02</t>
  </si>
  <si>
    <t>Industry Collaboration Register</t>
  </si>
  <si>
    <t>Track industry partnerships through professional societies</t>
  </si>
  <si>
    <t>ALM-01</t>
  </si>
  <si>
    <t>Alumni Professional Connect Register</t>
  </si>
  <si>
    <t>Track alumni who mentor through societies</t>
  </si>
  <si>
    <t>── FEEDBACK &amp; QUALITY ──</t>
  </si>
  <si>
    <t>PSCC-20</t>
  </si>
  <si>
    <t>Student Satisfaction Survey — Professional Soc.</t>
  </si>
  <si>
    <t>Annual survey on society activities and value</t>
  </si>
  <si>
    <t>── MONITORING &amp; REPORTING ──</t>
  </si>
  <si>
    <t>PSCC-30</t>
  </si>
  <si>
    <t>PSCC KPI Dashboard</t>
  </si>
  <si>
    <t>Track all professional society KPIs</t>
  </si>
  <si>
    <t>Quarterly / Annual</t>
  </si>
  <si>
    <t>PSCC-31</t>
  </si>
  <si>
    <t>PSCC Annual Report Compilation Form</t>
  </si>
  <si>
    <t>Year-end report for management, NAAC, parent bodies</t>
  </si>
  <si>
    <t>• PSCC = Professional Societies Coordination Committee — oversees all professional society student chapters and their activities.</t>
  </si>
  <si>
    <t>• Major societies: IEEE, ISTE, SAE India, CSI, IETE, IEI, ASME/ASCE — each must be formally affiliated with parent national body.</t>
  </si>
  <si>
    <t>• Annual membership fees to parent bodies must be routed through Finance Committee with proper receipts.</t>
  </si>
  <si>
    <t>• All society events require prior approval through PSCC — event reports with photos mandatory within 7 days of event.</t>
  </si>
  <si>
    <t>• PSCC data feeds into: NAAC AQAR Criterion II (Teaching-Learning), Criterion III (Research), Criterion V (Student Activities).</t>
  </si>
  <si>
    <t>• Technical paper presentations, publications and patent filings through societies are NAAC/NBA evidence.</t>
  </si>
  <si>
    <t>• IEEE Best Student Branch, ISTE Best Chapter awards are prestigious — track nomination and submission carefully.</t>
  </si>
  <si>
    <t>• Society activities enhance students' professional identity, network and career readiness — document impact.</t>
  </si>
  <si>
    <t>• Coordinate with R&amp;D Cell, IQAC, T&amp;P Cell and Department HoDs for holistic professional society integration.</t>
  </si>
  <si>
    <t>PSCC-00: PROFESSIONAL SOCIETIES COORDINATION COMMITTEE — COMPOSITION</t>
  </si>
  <si>
    <t>Institution: _________________________  A.Y.: _______  Constituted on: _______  Order No.: _______</t>
  </si>
  <si>
    <t>Sl.</t>
  </si>
  <si>
    <t>Name</t>
  </si>
  <si>
    <t>Designation</t>
  </si>
  <si>
    <t>Role in PSCC</t>
  </si>
  <si>
    <t>Society / Domain</t>
  </si>
  <si>
    <t>Email / Phone</t>
  </si>
  <si>
    <t>Term</t>
  </si>
  <si>
    <t>Signature</t>
  </si>
  <si>
    <t/>
  </si>
  <si>
    <t>Principal / Dean Academics</t>
  </si>
  <si>
    <t>Chairperson</t>
  </si>
  <si>
    <t>PSCC Leadership &amp; Policy</t>
  </si>
  <si>
    <t>Faculty In-charge — Professional Societies</t>
  </si>
  <si>
    <t>PSCC Coordinator</t>
  </si>
  <si>
    <t>Overall Coordination</t>
  </si>
  <si>
    <t>Senior Faculty (ECE / EEE / CSE)</t>
  </si>
  <si>
    <t>IEEE Student Branch Advisor</t>
  </si>
  <si>
    <t>IEEE Student Branch</t>
  </si>
  <si>
    <t>Faculty (Senior — ISTE member)</t>
  </si>
  <si>
    <t>ISTE Chapter Advisor</t>
  </si>
  <si>
    <t>ISTE Student Chapter</t>
  </si>
  <si>
    <t>Faculty (Mechanical / Automotive Engg.)</t>
  </si>
  <si>
    <t>SAE India Advisor</t>
  </si>
  <si>
    <t>SAE Collegiate Club</t>
  </si>
  <si>
    <t>Faculty (Computer Science)</t>
  </si>
  <si>
    <t>CSI Chapter Advisor</t>
  </si>
  <si>
    <t>CSI Student Chapter</t>
  </si>
  <si>
    <t>Faculty (Electronics / Communication)</t>
  </si>
  <si>
    <t>IETE Forum Advisor</t>
  </si>
  <si>
    <t>IETE Student Forum</t>
  </si>
  <si>
    <t>Faculty (Civil / Mechanical)</t>
  </si>
  <si>
    <t>IEI Chapter Advisor</t>
  </si>
  <si>
    <t>IEI Student Chapter</t>
  </si>
  <si>
    <t>Faculty (MBA / Management)</t>
  </si>
  <si>
    <t>Management Society Advisor</t>
  </si>
  <si>
    <t>AIMA / NHRD Chapter</t>
  </si>
  <si>
    <t>Dean R&amp;D / Research Coordinator</t>
  </si>
  <si>
    <t>Research Cell Coordinator</t>
  </si>
  <si>
    <t>Research &amp; Publications</t>
  </si>
  <si>
    <t>T&amp;P Officer</t>
  </si>
  <si>
    <t>T&amp;P Liaison</t>
  </si>
  <si>
    <t>Industry &amp; Career Connect</t>
  </si>
  <si>
    <t>Student — IEEE Branch President</t>
  </si>
  <si>
    <t>IEEE SB President</t>
  </si>
  <si>
    <t>IEEE Student Leadership</t>
  </si>
  <si>
    <t>Student — ISTE Chapter President</t>
  </si>
  <si>
    <t>ISTE Chapter President</t>
  </si>
  <si>
    <t>ISTE Student Leadership</t>
  </si>
  <si>
    <t>Student — SAE Club President</t>
  </si>
  <si>
    <t>SAE Club President</t>
  </si>
  <si>
    <t>SAE Student Leadership</t>
  </si>
  <si>
    <t>Student — CSI Chapter President</t>
  </si>
  <si>
    <t>CSI Chapter President</t>
  </si>
  <si>
    <t>CSI Student Leadership</t>
  </si>
  <si>
    <t>Student — Mechanical Dept. Rep</t>
  </si>
  <si>
    <t>Student Rep — Mech.</t>
  </si>
  <si>
    <t>Mechanical Societies</t>
  </si>
  <si>
    <t>Student — Civil Dept. Rep</t>
  </si>
  <si>
    <t>Student Rep — Civil</t>
  </si>
  <si>
    <t>Civil / Infra Societies</t>
  </si>
  <si>
    <t>Senior Engineer / Industry Professional</t>
  </si>
  <si>
    <t>External Industry Expert</t>
  </si>
  <si>
    <t>Industry Advisory</t>
  </si>
  <si>
    <t>IQAC In-charge</t>
  </si>
  <si>
    <t>IQAC Coordinator (Ex-off.)</t>
  </si>
  <si>
    <t>Quality &amp; Accreditation</t>
  </si>
  <si>
    <t>Finance Officer</t>
  </si>
  <si>
    <t>Finance Officer (Ex-off.)</t>
  </si>
  <si>
    <t>Society Fees &amp; Budget</t>
  </si>
  <si>
    <t>PSCC meets quarterly at minimum. Society advisors attend as domain experts. Student branch presidents are active voices for their respective societies.</t>
  </si>
  <si>
    <t>PSCC: MEETING NOTICE &amp; AGENDA</t>
  </si>
  <si>
    <t>Meeting No.:</t>
  </si>
  <si>
    <t>Academic Year:</t>
  </si>
  <si>
    <t>Date:</t>
  </si>
  <si>
    <t>Time:</t>
  </si>
  <si>
    <t>Venue:</t>
  </si>
  <si>
    <t>Mode:</t>
  </si>
  <si>
    <t>Notice by:</t>
  </si>
  <si>
    <t>Notice Date:</t>
  </si>
  <si>
    <t>AGENDA ITEMS</t>
  </si>
  <si>
    <t>Item
No.</t>
  </si>
  <si>
    <t>Agenda Item</t>
  </si>
  <si>
    <t>Lead</t>
  </si>
  <si>
    <t>Duration (Min)</t>
  </si>
  <si>
    <t>Confirmation of minutes of previous PSCC meeting</t>
  </si>
  <si>
    <t>Action Taken Report on previous resolutions</t>
  </si>
  <si>
    <t>Society registrations / renewals — affiliation status</t>
  </si>
  <si>
    <t>Membership fees — payment to parent bodies (IEEE, ISTE, SAE etc.)</t>
  </si>
  <si>
    <t>Annual activity calendar — upcoming events and scheduling</t>
  </si>
  <si>
    <t>IEEE Student Branch — activities, membership, awards</t>
  </si>
  <si>
    <t>ISTE Chapter — activities, competitions, awards</t>
  </si>
  <si>
    <t>SAE India — Baja, Efficycle, SUPRA participation</t>
  </si>
  <si>
    <t>CSI / IETE / IEI — activities and chapter updates</t>
  </si>
  <si>
    <t>Management societies — AIMA / NHRD chapter update</t>
  </si>
  <si>
    <t>Guest lectures and expert talks — schedule review</t>
  </si>
  <si>
    <t>Technical workshops and FDPs — status</t>
  </si>
  <si>
    <t>Paper presentations and publications — student submissions</t>
  </si>
  <si>
    <t>Technical fests and intercollegiate events — review</t>
  </si>
  <si>
    <t>Awards won / nominations for national society awards</t>
  </si>
  <si>
    <t>Industry and alumni connect — upcoming sessions</t>
  </si>
  <si>
    <t>Budget review — society expenditure</t>
  </si>
  <si>
    <t>NAAC / NIRF professional society data — compilation</t>
  </si>
  <si>
    <t>Any Other Matter with Permission of Chairperson (AOMPC)</t>
  </si>
  <si>
    <t>DISPATCH RECORD</t>
  </si>
  <si>
    <t>Member Name &amp; Role</t>
  </si>
  <si>
    <t>Mode</t>
  </si>
  <si>
    <t>Date &amp; Acknowledgement</t>
  </si>
  <si>
    <t>PSCC: ATTENDANCE &amp; QUORUM REGISTER</t>
  </si>
  <si>
    <t>Meeting No.: _______  Date: _______  Total Strength: _______  Quorum Required (50%): _______</t>
  </si>
  <si>
    <t>Role</t>
  </si>
  <si>
    <t>Mode
(Physical/VC)</t>
  </si>
  <si>
    <t>Present
(P/A)</t>
  </si>
  <si>
    <t>Proxy
(Y/N)</t>
  </si>
  <si>
    <t>Proxy Holder</t>
  </si>
  <si>
    <t>Physical</t>
  </si>
  <si>
    <t>N</t>
  </si>
  <si>
    <t>QUORUM VERIFICATION</t>
  </si>
  <si>
    <t>Total PSCC Members</t>
  </si>
  <si>
    <t>Present (Physical)</t>
  </si>
  <si>
    <t>Present (VC)</t>
  </si>
  <si>
    <t>Total Effective</t>
  </si>
  <si>
    <t>Quorum Required (50%)</t>
  </si>
  <si>
    <t>Quorum Achieved?</t>
  </si>
  <si>
    <t>PSCC: MEETING MINUTES &amp; RESOLUTIONS</t>
  </si>
  <si>
    <t>Meeting No.: _______  Date: _______  Venue: _______  Chairperson: ___________________</t>
  </si>
  <si>
    <t>DISCUSSION &amp; RESOLUTIONS</t>
  </si>
  <si>
    <t>Resolution
No.</t>
  </si>
  <si>
    <t>Discussion &amp; Resolution</t>
  </si>
  <si>
    <t>Responsible</t>
  </si>
  <si>
    <t>Voting</t>
  </si>
  <si>
    <t>Target
Date</t>
  </si>
  <si>
    <t>Status</t>
  </si>
  <si>
    <t>PSCC/RES/001</t>
  </si>
  <si>
    <t>Pending</t>
  </si>
  <si>
    <t>PSCC/RES/002</t>
  </si>
  <si>
    <t>PSCC/RES/003</t>
  </si>
  <si>
    <t>PSCC/RES/004</t>
  </si>
  <si>
    <t>PSCC/RES/005</t>
  </si>
  <si>
    <t>PSCC/RES/006</t>
  </si>
  <si>
    <t>PSCC/RES/007</t>
  </si>
  <si>
    <t>PSCC/RES/008</t>
  </si>
  <si>
    <t>PSCC/RES/009</t>
  </si>
  <si>
    <t>PSCC/RES/010</t>
  </si>
  <si>
    <t>PSCC/RES/011</t>
  </si>
  <si>
    <t>PSCC/RES/012</t>
  </si>
  <si>
    <t>PSCC/RES/013</t>
  </si>
  <si>
    <t>PSCC/RES/014</t>
  </si>
  <si>
    <t>Next Meeting: _______    Chairperson: ___________________    PSCC Coordinator: ___________________</t>
  </si>
  <si>
    <t>PSCC: ACTION TAKEN REPORT (ATR)</t>
  </si>
  <si>
    <t>Current Meeting No.: _______  Date: _______  Previous Meeting Ref.: _______</t>
  </si>
  <si>
    <t>Resolution / Decision</t>
  </si>
  <si>
    <t>Action Required</t>
  </si>
  <si>
    <t>Completion
Date</t>
  </si>
  <si>
    <t>In Progress</t>
  </si>
  <si>
    <t>PSCC/RES/015</t>
  </si>
  <si>
    <t>ATR SUMMARY</t>
  </si>
  <si>
    <t>Total Resolutions Under Review</t>
  </si>
  <si>
    <t>Implemented</t>
  </si>
  <si>
    <t>Deferred</t>
  </si>
  <si>
    <t>Implementation Rate (%)</t>
  </si>
  <si>
    <t>SOC-02: PROFESSIONAL SOCIETY MASTER REGISTER — ALL ACTIVE SOCIETIES</t>
  </si>
  <si>
    <t>A.Y.: _______  PSCC Coordinator: ___________________  Total Active Societies: _______</t>
  </si>
  <si>
    <t>Society
Ref.</t>
  </si>
  <si>
    <t>Society / Chapter Name</t>
  </si>
  <si>
    <t>Parent
National Body</t>
  </si>
  <si>
    <t>Faculty
Advisor</t>
  </si>
  <si>
    <t>Student
President</t>
  </si>
  <si>
    <t>Student
Members</t>
  </si>
  <si>
    <t>Affiliation
Valid Upto</t>
  </si>
  <si>
    <t>Activities
Planned</t>
  </si>
  <si>
    <t>Activities
Completed</t>
  </si>
  <si>
    <t>SOC/001</t>
  </si>
  <si>
    <t>IEEE — Institute of Electrical and Electronics Engineers</t>
  </si>
  <si>
    <t>Active</t>
  </si>
  <si>
    <t>SOC/002</t>
  </si>
  <si>
    <t>ISTE — Indian Society for Technical Education</t>
  </si>
  <si>
    <t>SOC/003</t>
  </si>
  <si>
    <t>SAE India — Society of Automotive Engineers</t>
  </si>
  <si>
    <t>SOC/004</t>
  </si>
  <si>
    <t>CSI — Computer Society of India</t>
  </si>
  <si>
    <t>SOC/005</t>
  </si>
  <si>
    <t>IETE — Institution of Electronics &amp; Telecom Engineers</t>
  </si>
  <si>
    <t>SOC/006</t>
  </si>
  <si>
    <t>IEI — Institution of Engineers India</t>
  </si>
  <si>
    <t>SOC/007</t>
  </si>
  <si>
    <t>ASME Student Chapter</t>
  </si>
  <si>
    <t>ASME — American Society of Mechanical Engineers</t>
  </si>
  <si>
    <t>SOC/008</t>
  </si>
  <si>
    <t>ASCE Student Chapter</t>
  </si>
  <si>
    <t>ASCE — American Society of Civil Engineers</t>
  </si>
  <si>
    <t>SOC/009</t>
  </si>
  <si>
    <t>AIChE Student Chapter</t>
  </si>
  <si>
    <t>AIChE — American Institute of Chemical Engineers</t>
  </si>
  <si>
    <t>SOC/010</t>
  </si>
  <si>
    <t>ACM Student Chapter</t>
  </si>
  <si>
    <t>ACM — Association for Computing Machinery</t>
  </si>
  <si>
    <t>SOC/011</t>
  </si>
  <si>
    <t>ASHRAE Student Branch</t>
  </si>
  <si>
    <t>ASHRAE — American Society of HVAC Engineers</t>
  </si>
  <si>
    <t>SOC/012</t>
  </si>
  <si>
    <t>AIMA Student Chapter</t>
  </si>
  <si>
    <t>AIMA — All India Management Association</t>
  </si>
  <si>
    <t>SOC/013</t>
  </si>
  <si>
    <t>NHRD Student Chapter</t>
  </si>
  <si>
    <t>NHRD — National HRD Network</t>
  </si>
  <si>
    <t>SOC/014</t>
  </si>
  <si>
    <t>ICAI Student Group</t>
  </si>
  <si>
    <t>ICAI — Institute of Chartered Accountants of India</t>
  </si>
  <si>
    <t>SOC/015</t>
  </si>
  <si>
    <t>CII Student Forum</t>
  </si>
  <si>
    <t>CII — Confederation of Indian Industry</t>
  </si>
  <si>
    <t>SOC/016</t>
  </si>
  <si>
    <t>NSS (Professional Wing)</t>
  </si>
  <si>
    <t>NSS — National Service Scheme</t>
  </si>
  <si>
    <t>SOC/017</t>
  </si>
  <si>
    <t>Institution-Specific Tech Club</t>
  </si>
  <si>
    <t>Institutional Professional Society</t>
  </si>
  <si>
    <t>SOCIETY ECOSYSTEM SUMMARY</t>
  </si>
  <si>
    <t>Domain</t>
  </si>
  <si>
    <t>No. of
Societies</t>
  </si>
  <si>
    <t>Total
Members</t>
  </si>
  <si>
    <t>Events
Organised</t>
  </si>
  <si>
    <t>Awards
Won</t>
  </si>
  <si>
    <t>Affiliation
Fees (₹)</t>
  </si>
  <si>
    <t>National
Rank / Award</t>
  </si>
  <si>
    <t>Engineering &amp; Technology</t>
  </si>
  <si>
    <t>Management &amp; Commerce</t>
  </si>
  <si>
    <t>Sciences</t>
  </si>
  <si>
    <t>Others</t>
  </si>
  <si>
    <t>TOTAL</t>
  </si>
  <si>
    <t>SOC-01: SOCIETY REGISTRATION &amp; AFFILIATION FORM</t>
  </si>
  <si>
    <t>Society Ref.: PSCC/SOC/______/______   Registration Date: _______   A.Y.: _______</t>
  </si>
  <si>
    <t>SECTION A — SOCIETY DETAILS</t>
  </si>
  <si>
    <t>Society / Chapter Name:</t>
  </si>
  <si>
    <t>Parent National / International Body:</t>
  </si>
  <si>
    <t>Type:</t>
  </si>
  <si>
    <t>[ ] Student Chapter  [ ] Student Branch  [ ] Collegiate Club  [ ] Student Forum  [ ] Student Member Group</t>
  </si>
  <si>
    <t>Affiliation Number (from parent body):</t>
  </si>
  <si>
    <t>Affiliation Valid From:</t>
  </si>
  <si>
    <t>Affiliation Valid Upto:</t>
  </si>
  <si>
    <t>Annual Membership Fee to Parent Body (₹):</t>
  </si>
  <si>
    <t>Department(s) Covered:</t>
  </si>
  <si>
    <t>Year of Establishment at Institution:</t>
  </si>
  <si>
    <t>Website / Social Media (if any):</t>
  </si>
  <si>
    <t>SECTION B — CORE TEAM</t>
  </si>
  <si>
    <t>Student Name</t>
  </si>
  <si>
    <t>Roll No. / Programme</t>
  </si>
  <si>
    <t>Contact / Email</t>
  </si>
  <si>
    <t>Student President / Branch Chair</t>
  </si>
  <si>
    <t>Vice-President / Vice-Chair</t>
  </si>
  <si>
    <t>Secretary</t>
  </si>
  <si>
    <t>Treasurer</t>
  </si>
  <si>
    <t>Technical Head</t>
  </si>
  <si>
    <t>Event Coordinator</t>
  </si>
  <si>
    <t>Membership Coordinator</t>
  </si>
  <si>
    <t>Faculty Advisor</t>
  </si>
  <si>
    <t>Faculty Co-Advisor</t>
  </si>
  <si>
    <t>SECTION C — ANNUAL ACTIVITY PLAN</t>
  </si>
  <si>
    <t>Activity / Event Planned</t>
  </si>
  <si>
    <t>Target Month</t>
  </si>
  <si>
    <t>Expected Participants</t>
  </si>
  <si>
    <t>SECTION D — APPROVAL</t>
  </si>
  <si>
    <t>PSCC Coordinator Approval:</t>
  </si>
  <si>
    <t>[ ] Approved   [ ] Modifications Required</t>
  </si>
  <si>
    <t>Principal Approval:</t>
  </si>
  <si>
    <t>[ ] Approved   [ ] Approved with Conditions: _______</t>
  </si>
  <si>
    <t>Finance Officer (for fee payment):</t>
  </si>
  <si>
    <t>[ ] Payment Processed   [ ] Pending — Due: _______</t>
  </si>
  <si>
    <t>Society President: ___________________    Faculty Advisor: ___________________    PSCC Coordinator: ___________________    Date: ___________________</t>
  </si>
  <si>
    <t>SOC-03: SOCIETY MEMBERSHIP REGISTER</t>
  </si>
  <si>
    <t>Society Name: _______  Society Ref.: _______  Faculty Advisor: ___________________  A.Y.: _______</t>
  </si>
  <si>
    <t>Member
Ref.</t>
  </si>
  <si>
    <t>Roll No.</t>
  </si>
  <si>
    <t>Programme
&amp; Year</t>
  </si>
  <si>
    <t>Dept.</t>
  </si>
  <si>
    <t>IEEE/ISTE
Membership No.</t>
  </si>
  <si>
    <t>Role in
Society</t>
  </si>
  <si>
    <t>Date of
Joining</t>
  </si>
  <si>
    <t>MEM/0001</t>
  </si>
  <si>
    <t>Student Chair / President</t>
  </si>
  <si>
    <t>MEM/0002</t>
  </si>
  <si>
    <t>Vice-Chair / Vice-President</t>
  </si>
  <si>
    <t>MEM/0003</t>
  </si>
  <si>
    <t>MEM/0004</t>
  </si>
  <si>
    <t>MEM/0005</t>
  </si>
  <si>
    <t>MEM/0006</t>
  </si>
  <si>
    <t>Events Coordinator</t>
  </si>
  <si>
    <t>MEM/0007</t>
  </si>
  <si>
    <t>Membership Secretary</t>
  </si>
  <si>
    <t>MEM/0008</t>
  </si>
  <si>
    <t>Publicity &amp; Media Head</t>
  </si>
  <si>
    <t>MEM/0009</t>
  </si>
  <si>
    <t>Student Member</t>
  </si>
  <si>
    <t>MEM/0010</t>
  </si>
  <si>
    <t>Associate Member</t>
  </si>
  <si>
    <t>MEM/0011</t>
  </si>
  <si>
    <t>MEM/0012</t>
  </si>
  <si>
    <t>MEM/0013</t>
  </si>
  <si>
    <t>MEM/0014</t>
  </si>
  <si>
    <t>MEM/0015</t>
  </si>
  <si>
    <t>MEM/0016</t>
  </si>
  <si>
    <t>MEM/0017</t>
  </si>
  <si>
    <t>MEM/0018</t>
  </si>
  <si>
    <t>MEM/0019</t>
  </si>
  <si>
    <t>MEM/0020</t>
  </si>
  <si>
    <t>MEM/0021</t>
  </si>
  <si>
    <t>MEM/0022</t>
  </si>
  <si>
    <t>MEM/0023</t>
  </si>
  <si>
    <t>MEM/0024</t>
  </si>
  <si>
    <t>MEM/0025</t>
  </si>
  <si>
    <t>MEM/0026</t>
  </si>
  <si>
    <t>MEM/0027</t>
  </si>
  <si>
    <t>MEM/0028</t>
  </si>
  <si>
    <t>MEM/0029</t>
  </si>
  <si>
    <t>MEM/0030</t>
  </si>
  <si>
    <t>MEM/0031</t>
  </si>
  <si>
    <t>MEM/0032</t>
  </si>
  <si>
    <t>MEMBERSHIP SUMMARY</t>
  </si>
  <si>
    <t>Total Members</t>
  </si>
  <si>
    <t>With National Membership No.</t>
  </si>
  <si>
    <t>Student Members (non-office)</t>
  </si>
  <si>
    <t>Core Team Members (officers)</t>
  </si>
  <si>
    <t>Male Members</t>
  </si>
  <si>
    <t>Female Members</t>
  </si>
  <si>
    <t>ACT-01: GUEST LECTURE &amp; INDUSTRY EXPERT TALK REGISTER</t>
  </si>
  <si>
    <t>A.Y.: _______  PSCC Coordinator: ___________________  NAAC Ref.: Criterion II.4 / V.1</t>
  </si>
  <si>
    <t>Event
Ref.</t>
  </si>
  <si>
    <t>Expert / Speaker Name</t>
  </si>
  <si>
    <t>Organisation &amp;
Designation</t>
  </si>
  <si>
    <t>Topic</t>
  </si>
  <si>
    <t>Organising
Society</t>
  </si>
  <si>
    <t>Date</t>
  </si>
  <si>
    <t>Students
Attended</t>
  </si>
  <si>
    <t>Feedback
Score (/5)</t>
  </si>
  <si>
    <t>TALK/2024/001</t>
  </si>
  <si>
    <t>Artificial Intelligence &amp; ML</t>
  </si>
  <si>
    <t>TALK/2024/002</t>
  </si>
  <si>
    <t>Internet of Things (IoT)</t>
  </si>
  <si>
    <t>ISTE Chapter</t>
  </si>
  <si>
    <t>TALK/2024/003</t>
  </si>
  <si>
    <t>Electric Vehicles &amp; Mobility</t>
  </si>
  <si>
    <t>SAE Club</t>
  </si>
  <si>
    <t>TALK/2024/004</t>
  </si>
  <si>
    <t>VLSI Design &amp; Embedded Systems</t>
  </si>
  <si>
    <t>CSI Chapter</t>
  </si>
  <si>
    <t>TALK/2024/005</t>
  </si>
  <si>
    <t>Cloud Computing &amp; DevOps</t>
  </si>
  <si>
    <t>IETE Forum</t>
  </si>
  <si>
    <t>TALK/2024/006</t>
  </si>
  <si>
    <t>Cybersecurity &amp; Ethical Hacking</t>
  </si>
  <si>
    <t>IEI Chapter</t>
  </si>
  <si>
    <t>TALK/2024/007</t>
  </si>
  <si>
    <t>Sustainable Engineering</t>
  </si>
  <si>
    <t>AIMA Chapter</t>
  </si>
  <si>
    <t>TALK/2024/008</t>
  </si>
  <si>
    <t>Robotics &amp; Automation</t>
  </si>
  <si>
    <t>General / PSCC</t>
  </si>
  <si>
    <t>TALK/2024/009</t>
  </si>
  <si>
    <t>Data Science &amp; Analytics</t>
  </si>
  <si>
    <t>TALK/2024/010</t>
  </si>
  <si>
    <t>Industry 4.0 &amp; Smart Manufacturing</t>
  </si>
  <si>
    <t>TALK/2024/011</t>
  </si>
  <si>
    <t>Project Management (PMP/Agile)</t>
  </si>
  <si>
    <t>TALK/2024/012</t>
  </si>
  <si>
    <t>Entrepreneurship &amp; Start-ups</t>
  </si>
  <si>
    <t>TALK/2024/013</t>
  </si>
  <si>
    <t>Patent Filing &amp; IPR</t>
  </si>
  <si>
    <t>TALK/2025/014</t>
  </si>
  <si>
    <t>Research Methodology</t>
  </si>
  <si>
    <t>TALK/2025/015</t>
  </si>
  <si>
    <t>Career Development &amp; Interview Skills</t>
  </si>
  <si>
    <t>TALK/2025/016</t>
  </si>
  <si>
    <t>Technical Communication</t>
  </si>
  <si>
    <t>TALK/2025/017</t>
  </si>
  <si>
    <t>Green Building &amp; Infrastructure</t>
  </si>
  <si>
    <t>TALK/2025/018</t>
  </si>
  <si>
    <t>Renewable Energy Systems</t>
  </si>
  <si>
    <t>TALK/2025/019</t>
  </si>
  <si>
    <t>Blockchain &amp; Fintech</t>
  </si>
  <si>
    <t>TALK/2025/020</t>
  </si>
  <si>
    <t>Digital Marketing</t>
  </si>
  <si>
    <t>TALK/2025/021</t>
  </si>
  <si>
    <t>TALK/2025/022</t>
  </si>
  <si>
    <t>TALK/2025/023</t>
  </si>
  <si>
    <t>TALK/2025/024</t>
  </si>
  <si>
    <t>TALK/2025/025</t>
  </si>
  <si>
    <t>TALK/2025/026</t>
  </si>
  <si>
    <t>EXPERT TALK IMPACT SUMMARY</t>
  </si>
  <si>
    <t>Organising Society</t>
  </si>
  <si>
    <t>Talks
Conducted</t>
  </si>
  <si>
    <t>Total Students
Reached</t>
  </si>
  <si>
    <t>Avg.
Feedback (/5)</t>
  </si>
  <si>
    <t>Industry Experts
Engaged</t>
  </si>
  <si>
    <t>Best Talk
Topic</t>
  </si>
  <si>
    <t>ACT-02: TECHNICAL PAPER PRESENTATION REGISTER</t>
  </si>
  <si>
    <t>A.Y.: _______  PSCC Coordinator: ___________________  Event: _______  Organising Society: _______</t>
  </si>
  <si>
    <t>Paper
Ref.</t>
  </si>
  <si>
    <t>Paper Title</t>
  </si>
  <si>
    <t>Author(s) /
Dept.</t>
  </si>
  <si>
    <t>Event / Conference
Name</t>
  </si>
  <si>
    <t>Level
(Inst/Inter/Natl)</t>
  </si>
  <si>
    <t>Award /
Position</t>
  </si>
  <si>
    <t>Published?
(Y/N)</t>
  </si>
  <si>
    <t>PP/2024/001</t>
  </si>
  <si>
    <t>Institutional</t>
  </si>
  <si>
    <t>Best Paper Award</t>
  </si>
  <si>
    <t>PP/2024/002</t>
  </si>
  <si>
    <t>Inter-College</t>
  </si>
  <si>
    <t>2nd Best Paper</t>
  </si>
  <si>
    <t>PP/2024/003</t>
  </si>
  <si>
    <t>State</t>
  </si>
  <si>
    <t>3rd Best Paper</t>
  </si>
  <si>
    <t>PP/2024/004</t>
  </si>
  <si>
    <t>National</t>
  </si>
  <si>
    <t>Certificate of Merit</t>
  </si>
  <si>
    <t>PP/2024/005</t>
  </si>
  <si>
    <t>International</t>
  </si>
  <si>
    <t>Finalist</t>
  </si>
  <si>
    <t>PP/2024/006</t>
  </si>
  <si>
    <t>Presented — No Award</t>
  </si>
  <si>
    <t>PP/2024/007</t>
  </si>
  <si>
    <t>Published in Journal</t>
  </si>
  <si>
    <t>PP/2024/008</t>
  </si>
  <si>
    <t>Published in Proceedings</t>
  </si>
  <si>
    <t>PP/2024/009</t>
  </si>
  <si>
    <t>PP/2024/010</t>
  </si>
  <si>
    <t>PP/2024/011</t>
  </si>
  <si>
    <t>PP/2024/012</t>
  </si>
  <si>
    <t>PP/2025/013</t>
  </si>
  <si>
    <t>PP/2025/014</t>
  </si>
  <si>
    <t>PP/2025/015</t>
  </si>
  <si>
    <t>PP/2025/016</t>
  </si>
  <si>
    <t>PP/2025/017</t>
  </si>
  <si>
    <t>PP/2025/018</t>
  </si>
  <si>
    <t>PP/2025/019</t>
  </si>
  <si>
    <t>PP/2025/020</t>
  </si>
  <si>
    <t>PP/2025/021</t>
  </si>
  <si>
    <t>PP/2025/022</t>
  </si>
  <si>
    <t>PP/2025/023</t>
  </si>
  <si>
    <t>PP/2025/024</t>
  </si>
  <si>
    <t>PAPER PRESENTATION SUMMARY</t>
  </si>
  <si>
    <t>Total Papers Presented</t>
  </si>
  <si>
    <t>Best Paper Awards</t>
  </si>
  <si>
    <t>National / International Level</t>
  </si>
  <si>
    <t>Published (Journal / Proceedings)</t>
  </si>
  <si>
    <t>Total Students as Authors</t>
  </si>
  <si>
    <t>Societies Conducting Events</t>
  </si>
  <si>
    <t>ACT-03: TECHNICAL WORKSHOP &amp; FACULTY DEVELOPMENT PROGRAMME (FDP) REGISTER</t>
  </si>
  <si>
    <t>A.Y.: _______  PSCC Coordinator: ___________________</t>
  </si>
  <si>
    <t>Workshop
Ref.</t>
  </si>
  <si>
    <t>Workshop / FDP Title</t>
  </si>
  <si>
    <t>Resource
Person</t>
  </si>
  <si>
    <t>Date(s)</t>
  </si>
  <si>
    <t>Duration
(hrs / days)</t>
  </si>
  <si>
    <t>Target
Audience</t>
  </si>
  <si>
    <t>Participants</t>
  </si>
  <si>
    <t>WS/001</t>
  </si>
  <si>
    <t>Python Programming Workshop</t>
  </si>
  <si>
    <t>Students (UG)</t>
  </si>
  <si>
    <t>WS/002</t>
  </si>
  <si>
    <t>MATLAB / Simulink</t>
  </si>
  <si>
    <t>Students (PG)</t>
  </si>
  <si>
    <t>WS/003</t>
  </si>
  <si>
    <t>VLSI Design using Cadence</t>
  </si>
  <si>
    <t>Faculty</t>
  </si>
  <si>
    <t>WS/004</t>
  </si>
  <si>
    <t>PCB Design (Altium / Eagle)</t>
  </si>
  <si>
    <t>Students + Faculty</t>
  </si>
  <si>
    <t>WS/005</t>
  </si>
  <si>
    <t>AutoCAD / SolidWorks / CATIA</t>
  </si>
  <si>
    <t>Final Year Students</t>
  </si>
  <si>
    <t>WS/006</t>
  </si>
  <si>
    <t>Arduino / Raspberry Pi</t>
  </si>
  <si>
    <t>WS/007</t>
  </si>
  <si>
    <t>Machine Learning using Python</t>
  </si>
  <si>
    <t>WS/008</t>
  </si>
  <si>
    <t>Web Development Bootcamp</t>
  </si>
  <si>
    <t>WS/009</t>
  </si>
  <si>
    <t>Ethical Hacking &amp; Cybersecurity</t>
  </si>
  <si>
    <t>WS/010</t>
  </si>
  <si>
    <t>Cloud Computing (AWS / Azure)</t>
  </si>
  <si>
    <t>WS/011</t>
  </si>
  <si>
    <t>Project Management (Agile / Scrum)</t>
  </si>
  <si>
    <t>WS/012</t>
  </si>
  <si>
    <t>Research Paper Writing Workshop</t>
  </si>
  <si>
    <t>WS/013</t>
  </si>
  <si>
    <t>Patent Filing Guidance</t>
  </si>
  <si>
    <t>WS/014</t>
  </si>
  <si>
    <t>STAAD Pro / ETABS (Structural)</t>
  </si>
  <si>
    <t>WS/015</t>
  </si>
  <si>
    <t>ANSYS FEA Simulation</t>
  </si>
  <si>
    <t>WS/016</t>
  </si>
  <si>
    <t>Data Analytics using Power BI</t>
  </si>
  <si>
    <t>WS/017</t>
  </si>
  <si>
    <t>Digital Marketing Workshop</t>
  </si>
  <si>
    <t>WS/018</t>
  </si>
  <si>
    <t>Financial Modelling</t>
  </si>
  <si>
    <t>WS/019</t>
  </si>
  <si>
    <t>Six Sigma / Lean</t>
  </si>
  <si>
    <t>WS/020</t>
  </si>
  <si>
    <t>Industry 4.0 Workshop</t>
  </si>
  <si>
    <t>WS/021</t>
  </si>
  <si>
    <t>WS/022</t>
  </si>
  <si>
    <t>WS/023</t>
  </si>
  <si>
    <t>WS/024</t>
  </si>
  <si>
    <t>WORKSHOP IMPACT SUMMARY</t>
  </si>
  <si>
    <t>Total Workshops / FDPs Conducted</t>
  </si>
  <si>
    <t>Total Hours of Training Delivered</t>
  </si>
  <si>
    <t>Total Participants (Student + Faculty)</t>
  </si>
  <si>
    <t>Average Feedback Score (/5)</t>
  </si>
  <si>
    <t>Faculty Development Programmes (FDPs)</t>
  </si>
  <si>
    <t>Industry-Led Workshops</t>
  </si>
  <si>
    <t>ACT-04: HACKATHON &amp; TECHNICAL COMPETITION REGISTER</t>
  </si>
  <si>
    <t>Competition / Hackathon Title</t>
  </si>
  <si>
    <t>Type</t>
  </si>
  <si>
    <t>Teams /
Participants</t>
  </si>
  <si>
    <t>Level</t>
  </si>
  <si>
    <t>Outcome /
Award</t>
  </si>
  <si>
    <t>Prize
Money (₹)</t>
  </si>
  <si>
    <t>COMP/2024/001</t>
  </si>
  <si>
    <t>Hackathon (24-hr)</t>
  </si>
  <si>
    <t>COMP/2024/002</t>
  </si>
  <si>
    <t>Hackathon (48-hr)</t>
  </si>
  <si>
    <t>COMP/2024/003</t>
  </si>
  <si>
    <t>Technical Quiz</t>
  </si>
  <si>
    <t>COMP/2024/004</t>
  </si>
  <si>
    <t>Code Competition</t>
  </si>
  <si>
    <t>COMP/2024/005</t>
  </si>
  <si>
    <t>Circuit Design Contest</t>
  </si>
  <si>
    <t>COMP/2024/006</t>
  </si>
  <si>
    <t>Robotics Competition</t>
  </si>
  <si>
    <t>COMP/2024/007</t>
  </si>
  <si>
    <t>Project Expo</t>
  </si>
  <si>
    <t>COMP/2024/008</t>
  </si>
  <si>
    <t>Design Challenge</t>
  </si>
  <si>
    <t>COMP/2024/009</t>
  </si>
  <si>
    <t>SAE Baja/Efficycle/SUPRA</t>
  </si>
  <si>
    <t>COMP/2024/010</t>
  </si>
  <si>
    <t>Paper Presentation Contest</t>
  </si>
  <si>
    <t>COMP/2024/011</t>
  </si>
  <si>
    <t>IEEE Xtreme</t>
  </si>
  <si>
    <t>COMP/2025/012</t>
  </si>
  <si>
    <t>ISTE Quiz</t>
  </si>
  <si>
    <t>COMP/2025/013</t>
  </si>
  <si>
    <t>Technical Debate</t>
  </si>
  <si>
    <t>COMP/2025/014</t>
  </si>
  <si>
    <t>Smart India Hackathon</t>
  </si>
  <si>
    <t>COMP/2025/015</t>
  </si>
  <si>
    <t>Ideathon</t>
  </si>
  <si>
    <t>COMP/2025/016</t>
  </si>
  <si>
    <t>COMP/2025/017</t>
  </si>
  <si>
    <t>COMP/2025/018</t>
  </si>
  <si>
    <t>COMP/2025/019</t>
  </si>
  <si>
    <t>COMP/2025/020</t>
  </si>
  <si>
    <t>COMP/2025/021</t>
  </si>
  <si>
    <t>COMP/2025/022</t>
  </si>
  <si>
    <t>COMPETITION SUMMARY</t>
  </si>
  <si>
    <t>Total Competitions Conducted / Participated</t>
  </si>
  <si>
    <t>External Competitions Participated</t>
  </si>
  <si>
    <t>1st Place Wins</t>
  </si>
  <si>
    <t>Total Prize Money Won (₹)</t>
  </si>
  <si>
    <t>SAE Events Participated</t>
  </si>
  <si>
    <t>Smart India Hackathon Teams</t>
  </si>
  <si>
    <t>ACT-06: INDUSTRIAL VISIT &amp; FIELD TRIP REGISTER</t>
  </si>
  <si>
    <t>A.Y.: _______  PSCC Coordinator: ___________________  Parental consent mandatory for outstation visits.</t>
  </si>
  <si>
    <t>Visit
Ref.</t>
  </si>
  <si>
    <t>Organisation / Plant Name</t>
  </si>
  <si>
    <t>Industry
Sector</t>
  </si>
  <si>
    <t>Students
Participated</t>
  </si>
  <si>
    <t>Faculty
Escort</t>
  </si>
  <si>
    <t>Visit
Report Done</t>
  </si>
  <si>
    <t>Outcome / Learning</t>
  </si>
  <si>
    <t>IV/2024/001</t>
  </si>
  <si>
    <t>IT / Software</t>
  </si>
  <si>
    <t>Y</t>
  </si>
  <si>
    <t>IV/2024/002</t>
  </si>
  <si>
    <t>Manufacturing</t>
  </si>
  <si>
    <t>IV/2024/003</t>
  </si>
  <si>
    <t>Automotive</t>
  </si>
  <si>
    <t>IV/2024/004</t>
  </si>
  <si>
    <t>Power / Energy</t>
  </si>
  <si>
    <t>IV/2024/005</t>
  </si>
  <si>
    <t>Construction / Infrastructure</t>
  </si>
  <si>
    <t>IV/2024/006</t>
  </si>
  <si>
    <t>Pharma</t>
  </si>
  <si>
    <t>IV/2024/007</t>
  </si>
  <si>
    <t>Defence / Aerospace</t>
  </si>
  <si>
    <t>IV/2024/008</t>
  </si>
  <si>
    <t>Electronics</t>
  </si>
  <si>
    <t>IV/2025/009</t>
  </si>
  <si>
    <t>Telecom</t>
  </si>
  <si>
    <t>IV/2025/010</t>
  </si>
  <si>
    <t>Agriculture / Food Processing</t>
  </si>
  <si>
    <t>IV/2025/011</t>
  </si>
  <si>
    <t>IV/2025/012</t>
  </si>
  <si>
    <t>IV/2025/013</t>
  </si>
  <si>
    <t>IV/2025/014</t>
  </si>
  <si>
    <t>IV/2025/015</t>
  </si>
  <si>
    <t>IV/2025/016</t>
  </si>
  <si>
    <t>INDUSTRIAL VISIT SUMMARY</t>
  </si>
  <si>
    <t>Total Industrial Visits</t>
  </si>
  <si>
    <t>Total Students Benefited</t>
  </si>
  <si>
    <t>Industries from Different Sectors</t>
  </si>
  <si>
    <t>Visit Reports Completed (%)</t>
  </si>
  <si>
    <t>ACT-08: NATIONAL / INTERNATIONAL CONFERENCE &amp; SYMPOSIUM REGISTER</t>
  </si>
  <si>
    <t>A.Y.: _______  PSCC Coordinator: ___________________  NAAC Ref.: Criterion III.3 / V.3</t>
  </si>
  <si>
    <t>Conf.
Ref.</t>
  </si>
  <si>
    <t>Conference / Symposium Name</t>
  </si>
  <si>
    <t>Organiser /
Sponsoring Body</t>
  </si>
  <si>
    <t>Papers
Presented</t>
  </si>
  <si>
    <t>Faculty /
Students</t>
  </si>
  <si>
    <t>NAAC Evidence
(Y/N)</t>
  </si>
  <si>
    <t>CONF/2024/001</t>
  </si>
  <si>
    <t>CONF/2024/002</t>
  </si>
  <si>
    <t>Online</t>
  </si>
  <si>
    <t>CONF/2024/003</t>
  </si>
  <si>
    <t>Hybrid</t>
  </si>
  <si>
    <t>CONF/2024/004</t>
  </si>
  <si>
    <t>CONF/2024/005</t>
  </si>
  <si>
    <t>CONF/2024/006</t>
  </si>
  <si>
    <t>CONF/2024/007</t>
  </si>
  <si>
    <t>CONF/2024/008</t>
  </si>
  <si>
    <t>CONF/2025/009</t>
  </si>
  <si>
    <t>CONF/2025/010</t>
  </si>
  <si>
    <t>CONF/2025/011</t>
  </si>
  <si>
    <t>CONF/2025/012</t>
  </si>
  <si>
    <t>CONF/2025/013</t>
  </si>
  <si>
    <t>CONF/2025/014</t>
  </si>
  <si>
    <t>CONF/2025/015</t>
  </si>
  <si>
    <t>CONF/2025/016</t>
  </si>
  <si>
    <t>CONFERENCE SUMMARY</t>
  </si>
  <si>
    <t>Total Conferences Organised / Attended</t>
  </si>
  <si>
    <t>National / International Conferences</t>
  </si>
  <si>
    <t>Faculty Represented</t>
  </si>
  <si>
    <t>Students Represented</t>
  </si>
  <si>
    <t>With NAAC Evidence</t>
  </si>
  <si>
    <t>AWD-01: STUDENT ACHIEVEMENT &amp; AWARD REGISTER — THROUGH SOCIETIES</t>
  </si>
  <si>
    <t>A.Y.: _______  PSCC Coordinator: ___________________  NAAC Ref.: Criterion V.3 / III.3</t>
  </si>
  <si>
    <t>Achievement
Ref.</t>
  </si>
  <si>
    <t>Roll No. /
Programme</t>
  </si>
  <si>
    <t>Event / Award</t>
  </si>
  <si>
    <t>Position /
Award</t>
  </si>
  <si>
    <t>Prize /
Certificate</t>
  </si>
  <si>
    <t>AWD/2024/0001</t>
  </si>
  <si>
    <t>AWD/2024/0002</t>
  </si>
  <si>
    <t>1st Place — Hackathon</t>
  </si>
  <si>
    <t>AWD/2024/0003</t>
  </si>
  <si>
    <t>1st Place — Code Competition</t>
  </si>
  <si>
    <t>AWD/2024/0004</t>
  </si>
  <si>
    <t>1st Place — Robotics</t>
  </si>
  <si>
    <t>AWD/2024/0005</t>
  </si>
  <si>
    <t>Best Project Award</t>
  </si>
  <si>
    <t>AWD/2024/0006</t>
  </si>
  <si>
    <t>Best Design Award</t>
  </si>
  <si>
    <t>AWD/2024/0007</t>
  </si>
  <si>
    <t>Best Presenter</t>
  </si>
  <si>
    <t>AWD/2024/0008</t>
  </si>
  <si>
    <t>IEEE Xtreme Rank</t>
  </si>
  <si>
    <t>AWD/2024/0009</t>
  </si>
  <si>
    <t>SAE Baja Position</t>
  </si>
  <si>
    <t>AWD/2024/0010</t>
  </si>
  <si>
    <t>National Society Award</t>
  </si>
  <si>
    <t>AWD/2024/0011</t>
  </si>
  <si>
    <t>Scholarship Award</t>
  </si>
  <si>
    <t>AWD/2024/0012</t>
  </si>
  <si>
    <t>Fellowship Award</t>
  </si>
  <si>
    <t>AWD/2024/0013</t>
  </si>
  <si>
    <t>AWD/2025/0014</t>
  </si>
  <si>
    <t>AWD/2025/0015</t>
  </si>
  <si>
    <t>AWD/2025/0016</t>
  </si>
  <si>
    <t>AWD/2025/0017</t>
  </si>
  <si>
    <t>AWD/2025/0018</t>
  </si>
  <si>
    <t>AWD/2025/0019</t>
  </si>
  <si>
    <t>AWD/2025/0020</t>
  </si>
  <si>
    <t>AWD/2025/0021</t>
  </si>
  <si>
    <t>AWD/2025/0022</t>
  </si>
  <si>
    <t>AWD/2025/0023</t>
  </si>
  <si>
    <t>AWD/2025/0024</t>
  </si>
  <si>
    <t>AWD/2025/0025</t>
  </si>
  <si>
    <t>AWD/2025/0026</t>
  </si>
  <si>
    <t>ACHIEVEMENT SUMMARY</t>
  </si>
  <si>
    <t>Total Achievements Recorded</t>
  </si>
  <si>
    <t>Hackathon / Competition Wins</t>
  </si>
  <si>
    <t>Students Recognised</t>
  </si>
  <si>
    <t>Society-Sponsored Scholarships</t>
  </si>
  <si>
    <t>ACT-09: INTERCOLLEGIATE TECHNICAL FEST REGISTER</t>
  </si>
  <si>
    <t>Fest Name: _______  Dates: _______  PSCC Coordinator: ___________________  A.Y.: _______</t>
  </si>
  <si>
    <t>Technical Event / Competition</t>
  </si>
  <si>
    <t>Society /
Organiser</t>
  </si>
  <si>
    <t>Format</t>
  </si>
  <si>
    <t>Colleges
Participated</t>
  </si>
  <si>
    <t>Winner
Team / College</t>
  </si>
  <si>
    <t>Runner-up</t>
  </si>
  <si>
    <t>TF/001</t>
  </si>
  <si>
    <t>Paper Presentation</t>
  </si>
  <si>
    <t>Individual/Team</t>
  </si>
  <si>
    <t>TF/002</t>
  </si>
  <si>
    <t>Code-o-Mania (Coding Contest)</t>
  </si>
  <si>
    <t>TF/003</t>
  </si>
  <si>
    <t>Circuit Wizard</t>
  </si>
  <si>
    <t>TF/004</t>
  </si>
  <si>
    <t>Robo Wars</t>
  </si>
  <si>
    <t>TF/005</t>
  </si>
  <si>
    <t>TF/006</t>
  </si>
  <si>
    <t>TF/007</t>
  </si>
  <si>
    <t>Hackathon</t>
  </si>
  <si>
    <t>TF/008</t>
  </si>
  <si>
    <t>CAD Design Challenge</t>
  </si>
  <si>
    <t>TF/009</t>
  </si>
  <si>
    <t>Bridge Building Challenge</t>
  </si>
  <si>
    <t>TF/010</t>
  </si>
  <si>
    <t>Treasure Hunt (Tech)</t>
  </si>
  <si>
    <t>TF/011</t>
  </si>
  <si>
    <t>Debugging Challenge</t>
  </si>
  <si>
    <t>TF/012</t>
  </si>
  <si>
    <t>Algorithm Olympics</t>
  </si>
  <si>
    <t>TF/013</t>
  </si>
  <si>
    <t>Reverse Engineering</t>
  </si>
  <si>
    <t>TF/014</t>
  </si>
  <si>
    <t>Web Dev Contest</t>
  </si>
  <si>
    <t>TF/015</t>
  </si>
  <si>
    <t>Data Science Challenge</t>
  </si>
  <si>
    <t>TF/016</t>
  </si>
  <si>
    <t>TF/017</t>
  </si>
  <si>
    <t>TF/018</t>
  </si>
  <si>
    <t>TF/019</t>
  </si>
  <si>
    <t>TF/020</t>
  </si>
  <si>
    <t>TF/021</t>
  </si>
  <si>
    <t>TF/022</t>
  </si>
  <si>
    <t>FEST PARTICIPATION SUMMARY</t>
  </si>
  <si>
    <t>Total Events in Fest</t>
  </si>
  <si>
    <t>Colleges Participated (total)</t>
  </si>
  <si>
    <t>Students Participated (total)</t>
  </si>
  <si>
    <t>Total Prize Money Distributed (₹)</t>
  </si>
  <si>
    <t>Sponsorship Obtained (₹)</t>
  </si>
  <si>
    <t>Best Attended Event</t>
  </si>
  <si>
    <t>PSCC-20: STUDENT SATISFACTION SURVEY — PROFESSIONAL SOCIETIES</t>
  </si>
  <si>
    <t>A.Y.: _______  Respondents: _______  Date: _______  NAAC Ref.: Criterion V.3 / II.4</t>
  </si>
  <si>
    <t>Scale: 1 = Very Poor  |  2 = Poor  |  3 = Average  |  4 = Good  |  5 = Excellent</t>
  </si>
  <si>
    <t>A. SOCIETY RELEVANCE &amp; MEMBERSHIP</t>
  </si>
  <si>
    <t>Q.</t>
  </si>
  <si>
    <t>Survey Statement</t>
  </si>
  <si>
    <t>Excellent
(5)</t>
  </si>
  <si>
    <t>Good
(4)</t>
  </si>
  <si>
    <t>Average
(3)</t>
  </si>
  <si>
    <t>Poor
(2)</t>
  </si>
  <si>
    <t>Very Poor
(1)</t>
  </si>
  <si>
    <t>Avg Score</t>
  </si>
  <si>
    <t>Q1</t>
  </si>
  <si>
    <t>Variety of professional societies available for different branches</t>
  </si>
  <si>
    <t>Q2</t>
  </si>
  <si>
    <t>Ease of joining and participating in societies</t>
  </si>
  <si>
    <t>Q3</t>
  </si>
  <si>
    <t>Relevance of society activities to academic curriculum</t>
  </si>
  <si>
    <t>Q4</t>
  </si>
  <si>
    <t>National body membership (IEEE, ISTE etc.) opportunity</t>
  </si>
  <si>
    <t>Q5</t>
  </si>
  <si>
    <t>Awareness created about society benefits among students</t>
  </si>
  <si>
    <t>B. TECHNICAL EVENTS &amp; WORKSHOPS</t>
  </si>
  <si>
    <t>Q6</t>
  </si>
  <si>
    <t>Quality and relevance of technical workshops conducted</t>
  </si>
  <si>
    <t>Q7</t>
  </si>
  <si>
    <t>Quality of guest lectures and industry expert talks</t>
  </si>
  <si>
    <t>Q8</t>
  </si>
  <si>
    <t>Frequency and variety of technical events organised</t>
  </si>
  <si>
    <t>Q9</t>
  </si>
  <si>
    <t>Intercollegiate competition opportunities provided</t>
  </si>
  <si>
    <t>Q10</t>
  </si>
  <si>
    <t>Hackathon and coding competition quality</t>
  </si>
  <si>
    <t>Q11</t>
  </si>
  <si>
    <t>Industrial visit quality and learning value</t>
  </si>
  <si>
    <t>C. PROFESSIONAL DEVELOPMENT</t>
  </si>
  <si>
    <t>Q12</t>
  </si>
  <si>
    <t>Improvement in technical knowledge through society activities</t>
  </si>
  <si>
    <t>Q13</t>
  </si>
  <si>
    <t>Professional networking opportunities created</t>
  </si>
  <si>
    <t>Q14</t>
  </si>
  <si>
    <t>Support for technical paper writing and presentation</t>
  </si>
  <si>
    <t>Q15</t>
  </si>
  <si>
    <t>Certification and skill development opportunities</t>
  </si>
  <si>
    <t>Q16</t>
  </si>
  <si>
    <t>Research awareness and encouragement</t>
  </si>
  <si>
    <t>Q17</t>
  </si>
  <si>
    <t>Career readiness contributed by society involvement</t>
  </si>
  <si>
    <t>D. ADMINISTRATION &amp; SUPPORT</t>
  </si>
  <si>
    <t>Q18</t>
  </si>
  <si>
    <t>Faculty advisor guidance and support quality</t>
  </si>
  <si>
    <t>Q19</t>
  </si>
  <si>
    <t>Budget and resource support from institution</t>
  </si>
  <si>
    <t>Q20</t>
  </si>
  <si>
    <t>Communication and transparency in society activities</t>
  </si>
  <si>
    <t>Q21</t>
  </si>
  <si>
    <t>Recognition of student contributions to societies</t>
  </si>
  <si>
    <t>Q22</t>
  </si>
  <si>
    <t>Overall administration quality of professional societies</t>
  </si>
  <si>
    <t>E. OVERALL EXPERIENCE</t>
  </si>
  <si>
    <t>Q23</t>
  </si>
  <si>
    <t>Overall satisfaction with professional societies at institution</t>
  </si>
  <si>
    <t>Q24</t>
  </si>
  <si>
    <t>Value of society membership in enhancing career prospects</t>
  </si>
  <si>
    <t>Q25</t>
  </si>
  <si>
    <t>Recommendation to juniors to join professional societies</t>
  </si>
  <si>
    <t>Q26</t>
  </si>
  <si>
    <t>Sense of belonging to a national professional community</t>
  </si>
  <si>
    <t>SURVEY SUMMARY &amp; ACTION PLAN</t>
  </si>
  <si>
    <t>Section</t>
  </si>
  <si>
    <t>Avg Score (/5)</t>
  </si>
  <si>
    <t>Satisfaction %</t>
  </si>
  <si>
    <t>Benchmark
(≥3.5)</t>
  </si>
  <si>
    <t>Gap</t>
  </si>
  <si>
    <t>Priority Action</t>
  </si>
  <si>
    <t>SOCIETY RELEVANCE &amp; MEMBERSHIP</t>
  </si>
  <si>
    <t>TECHNICAL EVENTS &amp; WORKSHOPS</t>
  </si>
  <si>
    <t>PROFESSIONAL DEVELOPMENT</t>
  </si>
  <si>
    <t>ADMINISTRATION &amp; SUPPORT</t>
  </si>
  <si>
    <t>OVERALL EXPERIENCE</t>
  </si>
  <si>
    <t>PSCC-30: PROFESSIONAL SOCIETIES COORDINATION COMMITTEE KPI DASHBOARD</t>
  </si>
  <si>
    <t>A.Y.: _______  Quarter: Q1/Q2/Q3/Q4  PSCC Coordinator: ___________________  Date: _______</t>
  </si>
  <si>
    <t>SOCIETY ECOSYSTEM KPIs</t>
  </si>
  <si>
    <t>Key Performance Indicator</t>
  </si>
  <si>
    <t>Unit</t>
  </si>
  <si>
    <t>Annual Target</t>
  </si>
  <si>
    <t>Prev. Year Actual</t>
  </si>
  <si>
    <t>Current Year Actual</t>
  </si>
  <si>
    <t>Active professional societies recognised by PSCC</t>
  </si>
  <si>
    <t>No.</t>
  </si>
  <si>
    <t>≥8</t>
  </si>
  <si>
    <t>On Track</t>
  </si>
  <si>
    <t>Total student society membership</t>
  </si>
  <si>
    <t>No. / % enrolled</t>
  </si>
  <si>
    <t>≥30% of students</t>
  </si>
  <si>
    <t>Societies with valid national affiliation</t>
  </si>
  <si>
    <t>% of societies</t>
  </si>
  <si>
    <t>100%</t>
  </si>
  <si>
    <t>Membership fees paid on time</t>
  </si>
  <si>
    <t>Societies with annual activity plan submitted</t>
  </si>
  <si>
    <t>IEEE Best Student Branch nomination / award</t>
  </si>
  <si>
    <t>Y/N</t>
  </si>
  <si>
    <t>Nominated annually</t>
  </si>
  <si>
    <t>ISTE Best Chapter nomination / award</t>
  </si>
  <si>
    <t>EVENTS &amp; ACTIVITIES KPIs</t>
  </si>
  <si>
    <t>Expert talks / guest lectures conducted</t>
  </si>
  <si>
    <t>No. per year</t>
  </si>
  <si>
    <t>≥20</t>
  </si>
  <si>
    <t>Technical workshops / FDPs conducted</t>
  </si>
  <si>
    <t>≥12</t>
  </si>
  <si>
    <t>Total training hours delivered</t>
  </si>
  <si>
    <t>Hours</t>
  </si>
  <si>
    <t>≥100</t>
  </si>
  <si>
    <t>Hackathons / competitions organised / participated</t>
  </si>
  <si>
    <t>Industrial visits conducted</t>
  </si>
  <si>
    <t>≥4</t>
  </si>
  <si>
    <t>Technical fests organised</t>
  </si>
  <si>
    <t>≥1</t>
  </si>
  <si>
    <t>Online / webinar events conducted</t>
  </si>
  <si>
    <t>Students in external competitions</t>
  </si>
  <si>
    <t>≥50</t>
  </si>
  <si>
    <t>RESEARCH &amp; PUBLICATIONS KPIs</t>
  </si>
  <si>
    <t>Technical papers presented (students)</t>
  </si>
  <si>
    <t>≥10</t>
  </si>
  <si>
    <t>Papers published in journals / proceedings</t>
  </si>
  <si>
    <t>≥3</t>
  </si>
  <si>
    <t>National / international conference participation</t>
  </si>
  <si>
    <t>≥5</t>
  </si>
  <si>
    <t>Society newsletters / e-zines published</t>
  </si>
  <si>
    <t>Patent applications through society</t>
  </si>
  <si>
    <t>ACHIEVEMENTS KPIs</t>
  </si>
  <si>
    <t>Student achievements through society activities</t>
  </si>
  <si>
    <t>≥15</t>
  </si>
  <si>
    <t>National / international level awards</t>
  </si>
  <si>
    <t>≥2</t>
  </si>
  <si>
    <t>Best paper / project awards won</t>
  </si>
  <si>
    <t>SAE India competition results</t>
  </si>
  <si>
    <t>Position / rank</t>
  </si>
  <si>
    <t>Top 50</t>
  </si>
  <si>
    <t>National society chapter-level awards</t>
  </si>
  <si>
    <t>QUALITY &amp; SATISFACTION KPIs</t>
  </si>
  <si>
    <t>Student satisfaction score (/5)</t>
  </si>
  <si>
    <t>Score</t>
  </si>
  <si>
    <t>≥3.5</t>
  </si>
  <si>
    <t>Event reports submitted on time (%)</t>
  </si>
  <si>
    <t>% on time</t>
  </si>
  <si>
    <t>NAAC evidence compiled — society data</t>
  </si>
  <si>
    <t>Yes annually</t>
  </si>
  <si>
    <t>NIRF data on professional activities submitted</t>
  </si>
  <si>
    <t>Budget utilisation (%)</t>
  </si>
  <si>
    <t>% utilised</t>
  </si>
  <si>
    <t>85–100%</t>
  </si>
  <si>
    <t>Industry experts in society activities</t>
  </si>
  <si>
    <t>PSCC-31: PROFESSIONAL SOCIETIES ANNUAL REPORT COMPILATION FORM</t>
  </si>
  <si>
    <t>A.Y.: _______  PSCC Coordinator: ___________________  Submitted to: Management / IQAC / NAAC  Date: _______</t>
  </si>
  <si>
    <t>SECTION 1 — SOCIETIES &amp; MEMBERSHIP</t>
  </si>
  <si>
    <t>Performance Metric</t>
  </si>
  <si>
    <t>Current A.Y.</t>
  </si>
  <si>
    <t>Previous A.Y.</t>
  </si>
  <si>
    <t>Growth %</t>
  </si>
  <si>
    <t>Target Next Year</t>
  </si>
  <si>
    <t>Active professional societies</t>
  </si>
  <si>
    <t>Total student members (all societies)</t>
  </si>
  <si>
    <t>Student membership as % of enrolled</t>
  </si>
  <si>
    <t>% enrolled</t>
  </si>
  <si>
    <t>Societies with national affiliation</t>
  </si>
  <si>
    <t>Affiliation fees paid (₹)</t>
  </si>
  <si>
    <t>₹</t>
  </si>
  <si>
    <t>IEEE members with national membership</t>
  </si>
  <si>
    <t>SECTION 2 — EVENTS &amp; ACTIVITIES</t>
  </si>
  <si>
    <t>Expert talks / guest lectures</t>
  </si>
  <si>
    <t>Technical workshops / FDPs</t>
  </si>
  <si>
    <t>Hackathons / competitions</t>
  </si>
  <si>
    <t>Industrial visits</t>
  </si>
  <si>
    <t>SECTION 3 — RESEARCH &amp; PUBLICATIONS</t>
  </si>
  <si>
    <t>Papers published</t>
  </si>
  <si>
    <t>Conferences participated (national+)</t>
  </si>
  <si>
    <t>Society newsletters published</t>
  </si>
  <si>
    <t>Patents filed through society</t>
  </si>
  <si>
    <t>Research projects supported</t>
  </si>
  <si>
    <t>SECTION 4 — ACHIEVEMENTS &amp; AWARDS</t>
  </si>
  <si>
    <t>Student achievements recorded</t>
  </si>
  <si>
    <t>National / international awards</t>
  </si>
  <si>
    <t>Best paper awards won</t>
  </si>
  <si>
    <t>SAE event results</t>
  </si>
  <si>
    <t>Position</t>
  </si>
  <si>
    <t>Chapter-level national awards</t>
  </si>
  <si>
    <t>Prize money won (₹)</t>
  </si>
  <si>
    <t>SECTION 5 — BUDGET &amp; QUALITY</t>
  </si>
  <si>
    <t>Total budget utilised (₹L)</t>
  </si>
  <si>
    <t>₹L</t>
  </si>
  <si>
    <t>Sponsorship mobilised (₹L)</t>
  </si>
  <si>
    <t>Event reports completed (%)</t>
  </si>
  <si>
    <t>% completed</t>
  </si>
  <si>
    <t>NAAC data submitted</t>
  </si>
  <si>
    <t>NIRF data submitted</t>
  </si>
  <si>
    <t>Annual Report submitted to: Management, IQAC (AQAR Criterion II.4, III.3, V.3), NAAC SSR, NIRF, NBA SAR, Governing Body. Also submit to parent national bodies (IEEE, ISTE, SAE etc.) for chapter renewal / award nomination.</t>
  </si>
  <si>
    <t>PSCC Coordinator: ___________________    Chairperson: ___________________    IQAC Coordinator: ___________________    Date: 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</si>
</sst>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9"/>
      <color rgb="FF1E3A7B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F172A"/>
      <name val="Arial"/>
      <charset val="134"/>
    </font>
    <font>
      <sz val="10"/>
      <color rgb="FF0F172A"/>
      <name val="Arial"/>
      <charset val="134"/>
    </font>
    <font>
      <sz val="9"/>
      <color rgb="FF3F2000"/>
      <name val="Arial"/>
      <charset val="134"/>
    </font>
    <font>
      <sz val="9"/>
      <color rgb="FF0F172A"/>
      <name val="Arial"/>
      <charset val="134"/>
    </font>
    <font>
      <b/>
      <sz val="10"/>
      <color rgb="FF1E3A7B"/>
      <name val="Arial"/>
      <charset val="134"/>
    </font>
    <font>
      <b/>
      <sz val="10"/>
      <color rgb="FF0A0F28"/>
      <name val="Arial"/>
      <charset val="134"/>
    </font>
    <font>
      <sz val="9"/>
      <color rgb="FF64748B"/>
      <name val="Arial"/>
      <charset val="134"/>
    </font>
    <font>
      <b/>
      <sz val="10"/>
      <color rgb="FF334155"/>
      <name val="Arial"/>
      <charset val="134"/>
    </font>
    <font>
      <b/>
      <sz val="10"/>
      <color rgb="FF166534"/>
      <name val="Arial"/>
      <charset val="134"/>
    </font>
    <font>
      <b/>
      <sz val="13"/>
      <color rgb="FFFFFFFF"/>
      <name val="Arial"/>
      <charset val="134"/>
    </font>
    <font>
      <b/>
      <sz val="16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A0F28"/>
        <bgColor indexed="64"/>
      </patternFill>
    </fill>
    <fill>
      <patternFill patternType="solid">
        <fgColor rgb="FFE8EEF8"/>
        <bgColor indexed="64"/>
      </patternFill>
    </fill>
    <fill>
      <patternFill patternType="solid">
        <fgColor rgb="FF1E3A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4338CA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92400E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26" fillId="24" borderId="8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8" fillId="2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left" vertical="center" wrapText="1"/>
    </xf>
    <xf numFmtId="0" fontId="8" fillId="15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9" fillId="1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10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18" borderId="0" xfId="0" applyFont="1" applyFill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" fillId="19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left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4"/>
  <sheetViews>
    <sheetView showGridLines="0" topLeftCell="A54" workbookViewId="0">
      <selection activeCell="A1" sqref="A1:E61"/>
    </sheetView>
  </sheetViews>
  <sheetFormatPr defaultColWidth="9" defaultRowHeight="14.4" outlineLevelCol="4"/>
  <cols>
    <col min="1" max="1" width="3" customWidth="1"/>
    <col min="2" max="2" width="12" customWidth="1"/>
    <col min="3" max="3" width="46" customWidth="1"/>
    <col min="4" max="4" width="28" customWidth="1"/>
    <col min="5" max="5" width="18" customWidth="1"/>
    <col min="6" max="6" width="3" customWidth="1"/>
  </cols>
  <sheetData>
    <row r="1" ht="10" customHeight="1"/>
    <row r="2" ht="80" customHeight="1" spans="2:5">
      <c r="B2" s="66" t="s">
        <v>0</v>
      </c>
    </row>
    <row r="3" ht="28" customHeight="1" spans="2:5">
      <c r="B3" s="2" t="s">
        <v>1</v>
      </c>
    </row>
    <row r="4" ht="22" customHeight="1" spans="2:5">
      <c r="B4" s="67" t="s">
        <v>2</v>
      </c>
      <c r="C4" s="67" t="s">
        <v>3</v>
      </c>
      <c r="D4" s="67" t="s">
        <v>4</v>
      </c>
      <c r="E4" s="67" t="s">
        <v>5</v>
      </c>
    </row>
    <row r="5" ht="20" customHeight="1" spans="2:5">
      <c r="B5" s="68" t="s">
        <v>6</v>
      </c>
    </row>
    <row r="6" ht="20" customHeight="1" spans="2:5">
      <c r="B6" s="69" t="s">
        <v>7</v>
      </c>
      <c r="C6" s="70" t="s">
        <v>8</v>
      </c>
      <c r="D6" s="70" t="s">
        <v>9</v>
      </c>
      <c r="E6" s="71" t="s">
        <v>10</v>
      </c>
    </row>
    <row r="7" ht="20" customHeight="1" spans="2:5">
      <c r="B7" s="8" t="s">
        <v>11</v>
      </c>
      <c r="C7" s="9" t="s">
        <v>12</v>
      </c>
      <c r="D7" s="9" t="s">
        <v>13</v>
      </c>
      <c r="E7" s="10" t="s">
        <v>14</v>
      </c>
    </row>
    <row r="8" ht="20" customHeight="1" spans="2:5">
      <c r="B8" s="69" t="s">
        <v>15</v>
      </c>
      <c r="C8" s="70" t="s">
        <v>16</v>
      </c>
      <c r="D8" s="70" t="s">
        <v>17</v>
      </c>
      <c r="E8" s="71" t="s">
        <v>14</v>
      </c>
    </row>
    <row r="9" ht="20" customHeight="1" spans="2:5">
      <c r="B9" s="8" t="s">
        <v>18</v>
      </c>
      <c r="C9" s="9" t="s">
        <v>19</v>
      </c>
      <c r="D9" s="9" t="s">
        <v>20</v>
      </c>
      <c r="E9" s="10" t="s">
        <v>14</v>
      </c>
    </row>
    <row r="10" ht="20" customHeight="1" spans="2:5">
      <c r="B10" s="69" t="s">
        <v>21</v>
      </c>
      <c r="C10" s="70" t="s">
        <v>22</v>
      </c>
      <c r="D10" s="70" t="s">
        <v>23</v>
      </c>
      <c r="E10" s="71" t="s">
        <v>14</v>
      </c>
    </row>
    <row r="11" ht="20" customHeight="1" spans="2:5">
      <c r="B11" s="68" t="s">
        <v>24</v>
      </c>
    </row>
    <row r="12" ht="20" customHeight="1" spans="2:5">
      <c r="B12" s="69" t="s">
        <v>25</v>
      </c>
      <c r="C12" s="70" t="s">
        <v>26</v>
      </c>
      <c r="D12" s="70" t="s">
        <v>27</v>
      </c>
      <c r="E12" s="71" t="s">
        <v>10</v>
      </c>
    </row>
    <row r="13" ht="20" customHeight="1" spans="2:5">
      <c r="B13" s="8" t="s">
        <v>28</v>
      </c>
      <c r="C13" s="9" t="s">
        <v>29</v>
      </c>
      <c r="D13" s="9" t="s">
        <v>30</v>
      </c>
      <c r="E13" s="10" t="s">
        <v>31</v>
      </c>
    </row>
    <row r="14" ht="20" customHeight="1" spans="2:5">
      <c r="B14" s="69" t="s">
        <v>32</v>
      </c>
      <c r="C14" s="70" t="s">
        <v>33</v>
      </c>
      <c r="D14" s="70" t="s">
        <v>34</v>
      </c>
      <c r="E14" s="71" t="s">
        <v>10</v>
      </c>
    </row>
    <row r="15" ht="20" customHeight="1" spans="2:5">
      <c r="B15" s="68" t="s">
        <v>35</v>
      </c>
    </row>
    <row r="16" ht="20" customHeight="1" spans="2:5">
      <c r="B16" s="69" t="s">
        <v>36</v>
      </c>
      <c r="C16" s="70" t="s">
        <v>37</v>
      </c>
      <c r="D16" s="70" t="s">
        <v>38</v>
      </c>
      <c r="E16" s="71" t="s">
        <v>10</v>
      </c>
    </row>
    <row r="17" ht="20" customHeight="1" spans="2:5">
      <c r="B17" s="8" t="s">
        <v>39</v>
      </c>
      <c r="C17" s="9" t="s">
        <v>40</v>
      </c>
      <c r="D17" s="9" t="s">
        <v>41</v>
      </c>
      <c r="E17" s="10" t="s">
        <v>10</v>
      </c>
    </row>
    <row r="18" ht="20" customHeight="1" spans="2:5">
      <c r="B18" s="69" t="s">
        <v>42</v>
      </c>
      <c r="C18" s="70" t="s">
        <v>43</v>
      </c>
      <c r="D18" s="70" t="s">
        <v>44</v>
      </c>
      <c r="E18" s="71" t="s">
        <v>45</v>
      </c>
    </row>
    <row r="19" ht="20" customHeight="1" spans="2:5">
      <c r="B19" s="8" t="s">
        <v>46</v>
      </c>
      <c r="C19" s="9" t="s">
        <v>47</v>
      </c>
      <c r="D19" s="9" t="s">
        <v>48</v>
      </c>
      <c r="E19" s="10" t="s">
        <v>10</v>
      </c>
    </row>
    <row r="20" ht="20" customHeight="1" spans="2:5">
      <c r="B20" s="69" t="s">
        <v>49</v>
      </c>
      <c r="C20" s="70" t="s">
        <v>50</v>
      </c>
      <c r="D20" s="70" t="s">
        <v>51</v>
      </c>
      <c r="E20" s="71" t="s">
        <v>10</v>
      </c>
    </row>
    <row r="21" ht="20" customHeight="1" spans="2:5">
      <c r="B21" s="8" t="s">
        <v>52</v>
      </c>
      <c r="C21" s="9" t="s">
        <v>53</v>
      </c>
      <c r="D21" s="9" t="s">
        <v>54</v>
      </c>
      <c r="E21" s="10" t="s">
        <v>10</v>
      </c>
    </row>
    <row r="22" ht="20" customHeight="1" spans="2:5">
      <c r="B22" s="68" t="s">
        <v>55</v>
      </c>
    </row>
    <row r="23" ht="20" customHeight="1" spans="2:5">
      <c r="B23" s="8" t="s">
        <v>56</v>
      </c>
      <c r="C23" s="9" t="s">
        <v>57</v>
      </c>
      <c r="D23" s="9" t="s">
        <v>58</v>
      </c>
      <c r="E23" s="10" t="s">
        <v>59</v>
      </c>
    </row>
    <row r="24" ht="20" customHeight="1" spans="2:5">
      <c r="B24" s="69" t="s">
        <v>60</v>
      </c>
      <c r="C24" s="70" t="s">
        <v>61</v>
      </c>
      <c r="D24" s="70" t="s">
        <v>62</v>
      </c>
      <c r="E24" s="71" t="s">
        <v>59</v>
      </c>
    </row>
    <row r="25" ht="20" customHeight="1" spans="2:5">
      <c r="B25" s="8" t="s">
        <v>63</v>
      </c>
      <c r="C25" s="9" t="s">
        <v>64</v>
      </c>
      <c r="D25" s="9" t="s">
        <v>65</v>
      </c>
      <c r="E25" s="10" t="s">
        <v>59</v>
      </c>
    </row>
    <row r="26" ht="20" customHeight="1" spans="2:5">
      <c r="B26" s="69" t="s">
        <v>66</v>
      </c>
      <c r="C26" s="70" t="s">
        <v>67</v>
      </c>
      <c r="D26" s="70" t="s">
        <v>68</v>
      </c>
      <c r="E26" s="71" t="s">
        <v>59</v>
      </c>
    </row>
    <row r="27" ht="20" customHeight="1" spans="2:5">
      <c r="B27" s="8" t="s">
        <v>69</v>
      </c>
      <c r="C27" s="9" t="s">
        <v>70</v>
      </c>
      <c r="D27" s="9" t="s">
        <v>71</v>
      </c>
      <c r="E27" s="10" t="s">
        <v>59</v>
      </c>
    </row>
    <row r="28" ht="20" customHeight="1" spans="2:5">
      <c r="B28" s="69" t="s">
        <v>72</v>
      </c>
      <c r="C28" s="70" t="s">
        <v>73</v>
      </c>
      <c r="D28" s="70" t="s">
        <v>74</v>
      </c>
      <c r="E28" s="71" t="s">
        <v>59</v>
      </c>
    </row>
    <row r="29" ht="20" customHeight="1" spans="2:5">
      <c r="B29" s="8" t="s">
        <v>75</v>
      </c>
      <c r="C29" s="9" t="s">
        <v>76</v>
      </c>
      <c r="D29" s="9" t="s">
        <v>77</v>
      </c>
      <c r="E29" s="10" t="s">
        <v>59</v>
      </c>
    </row>
    <row r="30" ht="20" customHeight="1" spans="2:5">
      <c r="B30" s="69" t="s">
        <v>78</v>
      </c>
      <c r="C30" s="70" t="s">
        <v>79</v>
      </c>
      <c r="D30" s="70" t="s">
        <v>80</v>
      </c>
      <c r="E30" s="71" t="s">
        <v>59</v>
      </c>
    </row>
    <row r="31" ht="20" customHeight="1" spans="2:5">
      <c r="B31" s="68" t="s">
        <v>81</v>
      </c>
    </row>
    <row r="32" ht="20" customHeight="1" spans="2:5">
      <c r="B32" s="69" t="s">
        <v>82</v>
      </c>
      <c r="C32" s="70" t="s">
        <v>83</v>
      </c>
      <c r="D32" s="70" t="s">
        <v>84</v>
      </c>
      <c r="E32" s="71" t="s">
        <v>59</v>
      </c>
    </row>
    <row r="33" ht="20" customHeight="1" spans="2:5">
      <c r="B33" s="8" t="s">
        <v>85</v>
      </c>
      <c r="C33" s="9" t="s">
        <v>86</v>
      </c>
      <c r="D33" s="9" t="s">
        <v>87</v>
      </c>
      <c r="E33" s="10" t="s">
        <v>59</v>
      </c>
    </row>
    <row r="34" ht="20" customHeight="1" spans="2:5">
      <c r="B34" s="69" t="s">
        <v>88</v>
      </c>
      <c r="C34" s="70" t="s">
        <v>89</v>
      </c>
      <c r="D34" s="70" t="s">
        <v>90</v>
      </c>
      <c r="E34" s="71" t="s">
        <v>59</v>
      </c>
    </row>
    <row r="35" ht="20" customHeight="1" spans="2:5">
      <c r="B35" s="68" t="s">
        <v>91</v>
      </c>
    </row>
    <row r="36" ht="20" customHeight="1" spans="2:5">
      <c r="B36" s="69" t="s">
        <v>92</v>
      </c>
      <c r="C36" s="70" t="s">
        <v>93</v>
      </c>
      <c r="D36" s="70" t="s">
        <v>94</v>
      </c>
      <c r="E36" s="71" t="s">
        <v>95</v>
      </c>
    </row>
    <row r="37" ht="20" customHeight="1" spans="2:5">
      <c r="B37" s="8" t="s">
        <v>96</v>
      </c>
      <c r="C37" s="9" t="s">
        <v>97</v>
      </c>
      <c r="D37" s="9" t="s">
        <v>98</v>
      </c>
      <c r="E37" s="10" t="s">
        <v>95</v>
      </c>
    </row>
    <row r="38" ht="20" customHeight="1" spans="2:5">
      <c r="B38" s="69" t="s">
        <v>99</v>
      </c>
      <c r="C38" s="70" t="s">
        <v>100</v>
      </c>
      <c r="D38" s="70" t="s">
        <v>101</v>
      </c>
      <c r="E38" s="71" t="s">
        <v>95</v>
      </c>
    </row>
    <row r="39" ht="20" customHeight="1" spans="2:5">
      <c r="B39" s="8" t="s">
        <v>102</v>
      </c>
      <c r="C39" s="9" t="s">
        <v>103</v>
      </c>
      <c r="D39" s="9" t="s">
        <v>104</v>
      </c>
      <c r="E39" s="10" t="s">
        <v>95</v>
      </c>
    </row>
    <row r="40" ht="20" customHeight="1" spans="2:5">
      <c r="B40" s="69" t="s">
        <v>105</v>
      </c>
      <c r="C40" s="70" t="s">
        <v>106</v>
      </c>
      <c r="D40" s="70" t="s">
        <v>107</v>
      </c>
      <c r="E40" s="71" t="s">
        <v>95</v>
      </c>
    </row>
    <row r="41" ht="20" customHeight="1" spans="2:5">
      <c r="B41" s="8" t="s">
        <v>108</v>
      </c>
      <c r="C41" s="9" t="s">
        <v>109</v>
      </c>
      <c r="D41" s="9" t="s">
        <v>110</v>
      </c>
      <c r="E41" s="10" t="s">
        <v>111</v>
      </c>
    </row>
    <row r="42" ht="20" customHeight="1" spans="2:5">
      <c r="B42" s="69" t="s">
        <v>112</v>
      </c>
      <c r="C42" s="70" t="s">
        <v>113</v>
      </c>
      <c r="D42" s="70" t="s">
        <v>114</v>
      </c>
      <c r="E42" s="71" t="s">
        <v>95</v>
      </c>
    </row>
    <row r="43" ht="20" customHeight="1" spans="2:5">
      <c r="B43" s="8" t="s">
        <v>115</v>
      </c>
      <c r="C43" s="9" t="s">
        <v>116</v>
      </c>
      <c r="D43" s="9" t="s">
        <v>117</v>
      </c>
      <c r="E43" s="10" t="s">
        <v>95</v>
      </c>
    </row>
    <row r="44" ht="20" customHeight="1" spans="2:5">
      <c r="B44" s="69" t="s">
        <v>118</v>
      </c>
      <c r="C44" s="70" t="s">
        <v>119</v>
      </c>
      <c r="D44" s="70" t="s">
        <v>120</v>
      </c>
      <c r="E44" s="71" t="s">
        <v>121</v>
      </c>
    </row>
    <row r="45" ht="20" customHeight="1" spans="2:5">
      <c r="B45" s="68" t="s">
        <v>122</v>
      </c>
    </row>
    <row r="46" ht="20" customHeight="1" spans="2:5">
      <c r="B46" s="69" t="s">
        <v>123</v>
      </c>
      <c r="C46" s="70" t="s">
        <v>124</v>
      </c>
      <c r="D46" s="70" t="s">
        <v>125</v>
      </c>
      <c r="E46" s="71" t="s">
        <v>126</v>
      </c>
    </row>
    <row r="47" ht="20" customHeight="1" spans="2:5">
      <c r="B47" s="8" t="s">
        <v>127</v>
      </c>
      <c r="C47" s="9" t="s">
        <v>128</v>
      </c>
      <c r="D47" s="9" t="s">
        <v>129</v>
      </c>
      <c r="E47" s="10" t="s">
        <v>130</v>
      </c>
    </row>
    <row r="48" ht="20" customHeight="1" spans="2:5">
      <c r="B48" s="69" t="s">
        <v>131</v>
      </c>
      <c r="C48" s="70" t="s">
        <v>132</v>
      </c>
      <c r="D48" s="70" t="s">
        <v>133</v>
      </c>
      <c r="E48" s="71" t="s">
        <v>130</v>
      </c>
    </row>
    <row r="49" ht="20" customHeight="1" spans="2:5">
      <c r="B49" s="68" t="s">
        <v>134</v>
      </c>
    </row>
    <row r="50" ht="20" customHeight="1" spans="2:5">
      <c r="B50" s="69" t="s">
        <v>135</v>
      </c>
      <c r="C50" s="70" t="s">
        <v>136</v>
      </c>
      <c r="D50" s="70" t="s">
        <v>137</v>
      </c>
      <c r="E50" s="71" t="s">
        <v>130</v>
      </c>
    </row>
    <row r="51" ht="20" customHeight="1" spans="2:5">
      <c r="B51" s="8" t="s">
        <v>138</v>
      </c>
      <c r="C51" s="9" t="s">
        <v>139</v>
      </c>
      <c r="D51" s="9" t="s">
        <v>140</v>
      </c>
      <c r="E51" s="10" t="s">
        <v>10</v>
      </c>
    </row>
    <row r="52" ht="20" customHeight="1" spans="2:5">
      <c r="B52" s="69" t="s">
        <v>141</v>
      </c>
      <c r="C52" s="70" t="s">
        <v>142</v>
      </c>
      <c r="D52" s="70" t="s">
        <v>143</v>
      </c>
      <c r="E52" s="71" t="s">
        <v>130</v>
      </c>
    </row>
    <row r="53" ht="20" customHeight="1" spans="2:5">
      <c r="B53" s="68" t="s">
        <v>144</v>
      </c>
    </row>
    <row r="54" ht="20" customHeight="1" spans="2:5">
      <c r="B54" s="69" t="s">
        <v>145</v>
      </c>
      <c r="C54" s="70" t="s">
        <v>146</v>
      </c>
      <c r="D54" s="70" t="s">
        <v>147</v>
      </c>
      <c r="E54" s="71" t="s">
        <v>10</v>
      </c>
    </row>
    <row r="55" ht="20" customHeight="1" spans="2:5">
      <c r="B55" s="8" t="s">
        <v>148</v>
      </c>
      <c r="C55" s="9" t="s">
        <v>149</v>
      </c>
      <c r="D55" s="9" t="s">
        <v>150</v>
      </c>
      <c r="E55" s="10" t="s">
        <v>130</v>
      </c>
    </row>
    <row r="56" ht="20" customHeight="1" spans="2:5">
      <c r="B56" s="69" t="s">
        <v>151</v>
      </c>
      <c r="C56" s="70" t="s">
        <v>152</v>
      </c>
      <c r="D56" s="70" t="s">
        <v>153</v>
      </c>
      <c r="E56" s="71" t="s">
        <v>10</v>
      </c>
    </row>
    <row r="57" ht="20" customHeight="1" spans="2:5">
      <c r="B57" s="68" t="s">
        <v>154</v>
      </c>
    </row>
    <row r="58" ht="20" customHeight="1" spans="2:5">
      <c r="B58" s="69" t="s">
        <v>155</v>
      </c>
      <c r="C58" s="70" t="s">
        <v>156</v>
      </c>
      <c r="D58" s="70" t="s">
        <v>157</v>
      </c>
      <c r="E58" s="71" t="s">
        <v>10</v>
      </c>
    </row>
    <row r="59" ht="20" customHeight="1" spans="2:5">
      <c r="B59" s="68" t="s">
        <v>158</v>
      </c>
    </row>
    <row r="60" ht="20" customHeight="1" spans="2:5">
      <c r="B60" s="69" t="s">
        <v>159</v>
      </c>
      <c r="C60" s="70" t="s">
        <v>160</v>
      </c>
      <c r="D60" s="70" t="s">
        <v>161</v>
      </c>
      <c r="E60" s="71" t="s">
        <v>162</v>
      </c>
    </row>
    <row r="61" ht="20" customHeight="1" spans="2:5">
      <c r="B61" s="8" t="s">
        <v>163</v>
      </c>
      <c r="C61" s="9" t="s">
        <v>164</v>
      </c>
      <c r="D61" s="9" t="s">
        <v>165</v>
      </c>
      <c r="E61" s="10" t="s">
        <v>10</v>
      </c>
    </row>
    <row r="126" spans="2:2">
      <c r="B126" s="72" t="s">
        <v>166</v>
      </c>
    </row>
    <row r="127" spans="2:2">
      <c r="B127" s="72" t="s">
        <v>167</v>
      </c>
    </row>
    <row r="128" spans="2:2">
      <c r="B128" s="72" t="s">
        <v>168</v>
      </c>
    </row>
    <row r="129" spans="2:2">
      <c r="B129" s="72" t="s">
        <v>169</v>
      </c>
    </row>
    <row r="130" spans="2:2">
      <c r="B130" s="72" t="s">
        <v>170</v>
      </c>
    </row>
    <row r="131" spans="2:2">
      <c r="B131" s="72" t="s">
        <v>171</v>
      </c>
    </row>
    <row r="132" spans="2:2">
      <c r="B132" s="72" t="s">
        <v>172</v>
      </c>
    </row>
    <row r="133" spans="2:2">
      <c r="B133" s="72" t="s">
        <v>173</v>
      </c>
    </row>
    <row r="134" spans="2:2">
      <c r="B134" s="72" t="s">
        <v>174</v>
      </c>
    </row>
  </sheetData>
  <mergeCells count="22">
    <mergeCell ref="B2:E2"/>
    <mergeCell ref="B3:E3"/>
    <mergeCell ref="B5:E5"/>
    <mergeCell ref="B11:E11"/>
    <mergeCell ref="B15:E15"/>
    <mergeCell ref="B22:E22"/>
    <mergeCell ref="B31:E31"/>
    <mergeCell ref="B35:E35"/>
    <mergeCell ref="B45:E45"/>
    <mergeCell ref="B49:E49"/>
    <mergeCell ref="B53:E53"/>
    <mergeCell ref="B57:E57"/>
    <mergeCell ref="B59:E59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1"/>
  <sheetViews>
    <sheetView showGridLines="0" topLeftCell="A10" workbookViewId="0">
      <selection activeCell="A1" sqref="A1:I26"/>
    </sheetView>
  </sheetViews>
  <sheetFormatPr defaultColWidth="9" defaultRowHeight="14.4"/>
  <cols>
    <col min="1" max="1" width="3" customWidth="1"/>
    <col min="2" max="2" width="6" customWidth="1"/>
    <col min="3" max="3" width="26" customWidth="1"/>
    <col min="4" max="4" width="24" customWidth="1"/>
    <col min="5" max="5" width="20" customWidth="1"/>
    <col min="6" max="7" width="14" customWidth="1"/>
    <col min="8" max="8" width="16" customWidth="1"/>
    <col min="9" max="9" width="14" customWidth="1"/>
    <col min="10" max="10" width="3" customWidth="1"/>
  </cols>
  <sheetData>
    <row r="1" ht="10" customHeight="1"/>
    <row r="2" ht="52" customHeight="1" spans="2:9">
      <c r="B2" s="65" t="s">
        <v>175</v>
      </c>
    </row>
    <row r="3" ht="25" customHeight="1" spans="2:9">
      <c r="B3" s="2" t="s">
        <v>176</v>
      </c>
    </row>
    <row r="4" ht="25" customHeight="1" spans="2:9"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  <c r="G4" s="4" t="s">
        <v>182</v>
      </c>
      <c r="H4" s="4" t="s">
        <v>183</v>
      </c>
      <c r="I4" s="4" t="s">
        <v>184</v>
      </c>
    </row>
    <row r="5" ht="22" customHeight="1" spans="2:9">
      <c r="B5" s="5">
        <v>1</v>
      </c>
      <c r="C5" s="6" t="s">
        <v>185</v>
      </c>
      <c r="D5" s="6" t="s">
        <v>186</v>
      </c>
      <c r="E5" s="5" t="s">
        <v>187</v>
      </c>
      <c r="F5" s="7" t="s">
        <v>188</v>
      </c>
      <c r="G5" s="6" t="s">
        <v>185</v>
      </c>
      <c r="H5" s="7" t="s">
        <v>185</v>
      </c>
      <c r="I5" s="7" t="s">
        <v>185</v>
      </c>
    </row>
    <row r="6" ht="22" customHeight="1" spans="2:9">
      <c r="B6" s="8">
        <v>2</v>
      </c>
      <c r="C6" s="9" t="s">
        <v>185</v>
      </c>
      <c r="D6" s="9" t="s">
        <v>189</v>
      </c>
      <c r="E6" s="8" t="s">
        <v>190</v>
      </c>
      <c r="F6" s="10" t="s">
        <v>191</v>
      </c>
      <c r="G6" s="9" t="s">
        <v>185</v>
      </c>
      <c r="H6" s="10" t="s">
        <v>185</v>
      </c>
      <c r="I6" s="10" t="s">
        <v>185</v>
      </c>
    </row>
    <row r="7" ht="22" customHeight="1" spans="2:9">
      <c r="B7" s="5">
        <v>3</v>
      </c>
      <c r="C7" s="6" t="s">
        <v>185</v>
      </c>
      <c r="D7" s="6" t="s">
        <v>192</v>
      </c>
      <c r="E7" s="5" t="s">
        <v>193</v>
      </c>
      <c r="F7" s="7" t="s">
        <v>194</v>
      </c>
      <c r="G7" s="6" t="s">
        <v>185</v>
      </c>
      <c r="H7" s="7" t="s">
        <v>185</v>
      </c>
      <c r="I7" s="7" t="s">
        <v>185</v>
      </c>
    </row>
    <row r="8" ht="22" customHeight="1" spans="2:9">
      <c r="B8" s="8">
        <v>4</v>
      </c>
      <c r="C8" s="9" t="s">
        <v>185</v>
      </c>
      <c r="D8" s="9" t="s">
        <v>195</v>
      </c>
      <c r="E8" s="8" t="s">
        <v>196</v>
      </c>
      <c r="F8" s="10" t="s">
        <v>197</v>
      </c>
      <c r="G8" s="9" t="s">
        <v>185</v>
      </c>
      <c r="H8" s="10" t="s">
        <v>185</v>
      </c>
      <c r="I8" s="10" t="s">
        <v>185</v>
      </c>
    </row>
    <row r="9" ht="22" customHeight="1" spans="2:9">
      <c r="B9" s="5">
        <v>5</v>
      </c>
      <c r="C9" s="6" t="s">
        <v>185</v>
      </c>
      <c r="D9" s="6" t="s">
        <v>198</v>
      </c>
      <c r="E9" s="5" t="s">
        <v>199</v>
      </c>
      <c r="F9" s="7" t="s">
        <v>200</v>
      </c>
      <c r="G9" s="6" t="s">
        <v>185</v>
      </c>
      <c r="H9" s="7" t="s">
        <v>185</v>
      </c>
      <c r="I9" s="7" t="s">
        <v>185</v>
      </c>
    </row>
    <row r="10" ht="22" customHeight="1" spans="2:9">
      <c r="B10" s="8">
        <v>6</v>
      </c>
      <c r="C10" s="9" t="s">
        <v>185</v>
      </c>
      <c r="D10" s="9" t="s">
        <v>201</v>
      </c>
      <c r="E10" s="8" t="s">
        <v>202</v>
      </c>
      <c r="F10" s="10" t="s">
        <v>203</v>
      </c>
      <c r="G10" s="9" t="s">
        <v>185</v>
      </c>
      <c r="H10" s="10" t="s">
        <v>185</v>
      </c>
      <c r="I10" s="10" t="s">
        <v>185</v>
      </c>
    </row>
    <row r="11" ht="22" customHeight="1" spans="2:9">
      <c r="B11" s="5">
        <v>7</v>
      </c>
      <c r="C11" s="6" t="s">
        <v>185</v>
      </c>
      <c r="D11" s="6" t="s">
        <v>204</v>
      </c>
      <c r="E11" s="5" t="s">
        <v>205</v>
      </c>
      <c r="F11" s="7" t="s">
        <v>206</v>
      </c>
      <c r="G11" s="6" t="s">
        <v>185</v>
      </c>
      <c r="H11" s="7" t="s">
        <v>185</v>
      </c>
      <c r="I11" s="7" t="s">
        <v>185</v>
      </c>
    </row>
    <row r="12" ht="22" customHeight="1" spans="2:9">
      <c r="B12" s="8">
        <v>8</v>
      </c>
      <c r="C12" s="9" t="s">
        <v>185</v>
      </c>
      <c r="D12" s="9" t="s">
        <v>207</v>
      </c>
      <c r="E12" s="8" t="s">
        <v>208</v>
      </c>
      <c r="F12" s="10" t="s">
        <v>209</v>
      </c>
      <c r="G12" s="9" t="s">
        <v>185</v>
      </c>
      <c r="H12" s="10" t="s">
        <v>185</v>
      </c>
      <c r="I12" s="10" t="s">
        <v>185</v>
      </c>
    </row>
    <row r="13" ht="22" customHeight="1" spans="2:9">
      <c r="B13" s="5">
        <v>9</v>
      </c>
      <c r="C13" s="6" t="s">
        <v>185</v>
      </c>
      <c r="D13" s="6" t="s">
        <v>210</v>
      </c>
      <c r="E13" s="5" t="s">
        <v>211</v>
      </c>
      <c r="F13" s="7" t="s">
        <v>212</v>
      </c>
      <c r="G13" s="6" t="s">
        <v>185</v>
      </c>
      <c r="H13" s="7" t="s">
        <v>185</v>
      </c>
      <c r="I13" s="7" t="s">
        <v>185</v>
      </c>
    </row>
    <row r="14" ht="22" customHeight="1" spans="2:9">
      <c r="B14" s="8">
        <v>10</v>
      </c>
      <c r="C14" s="9" t="s">
        <v>185</v>
      </c>
      <c r="D14" s="9" t="s">
        <v>213</v>
      </c>
      <c r="E14" s="8" t="s">
        <v>214</v>
      </c>
      <c r="F14" s="10" t="s">
        <v>215</v>
      </c>
      <c r="G14" s="9" t="s">
        <v>185</v>
      </c>
      <c r="H14" s="10" t="s">
        <v>185</v>
      </c>
      <c r="I14" s="10" t="s">
        <v>185</v>
      </c>
    </row>
    <row r="15" ht="22" customHeight="1" spans="2:9">
      <c r="B15" s="5">
        <v>11</v>
      </c>
      <c r="C15" s="6" t="s">
        <v>185</v>
      </c>
      <c r="D15" s="6" t="s">
        <v>216</v>
      </c>
      <c r="E15" s="5" t="s">
        <v>217</v>
      </c>
      <c r="F15" s="7" t="s">
        <v>218</v>
      </c>
      <c r="G15" s="6" t="s">
        <v>185</v>
      </c>
      <c r="H15" s="7" t="s">
        <v>185</v>
      </c>
      <c r="I15" s="7" t="s">
        <v>185</v>
      </c>
    </row>
    <row r="16" ht="22" customHeight="1" spans="2:9">
      <c r="B16" s="8">
        <v>12</v>
      </c>
      <c r="C16" s="9" t="s">
        <v>185</v>
      </c>
      <c r="D16" s="9" t="s">
        <v>219</v>
      </c>
      <c r="E16" s="8" t="s">
        <v>220</v>
      </c>
      <c r="F16" s="10" t="s">
        <v>221</v>
      </c>
      <c r="G16" s="9" t="s">
        <v>185</v>
      </c>
      <c r="H16" s="10" t="s">
        <v>185</v>
      </c>
      <c r="I16" s="10" t="s">
        <v>185</v>
      </c>
    </row>
    <row r="17" ht="22" customHeight="1" spans="2:9">
      <c r="B17" s="5">
        <v>13</v>
      </c>
      <c r="C17" s="6" t="s">
        <v>185</v>
      </c>
      <c r="D17" s="6" t="s">
        <v>222</v>
      </c>
      <c r="E17" s="5" t="s">
        <v>223</v>
      </c>
      <c r="F17" s="7" t="s">
        <v>224</v>
      </c>
      <c r="G17" s="6" t="s">
        <v>185</v>
      </c>
      <c r="H17" s="7" t="s">
        <v>185</v>
      </c>
      <c r="I17" s="7" t="s">
        <v>185</v>
      </c>
    </row>
    <row r="18" ht="22" customHeight="1" spans="2:9">
      <c r="B18" s="8">
        <v>14</v>
      </c>
      <c r="C18" s="9" t="s">
        <v>185</v>
      </c>
      <c r="D18" s="9" t="s">
        <v>225</v>
      </c>
      <c r="E18" s="8" t="s">
        <v>226</v>
      </c>
      <c r="F18" s="10" t="s">
        <v>227</v>
      </c>
      <c r="G18" s="9" t="s">
        <v>185</v>
      </c>
      <c r="H18" s="10" t="s">
        <v>185</v>
      </c>
      <c r="I18" s="10" t="s">
        <v>185</v>
      </c>
    </row>
    <row r="19" ht="22" customHeight="1" spans="2:9">
      <c r="B19" s="5">
        <v>15</v>
      </c>
      <c r="C19" s="6" t="s">
        <v>185</v>
      </c>
      <c r="D19" s="6" t="s">
        <v>228</v>
      </c>
      <c r="E19" s="5" t="s">
        <v>229</v>
      </c>
      <c r="F19" s="7" t="s">
        <v>230</v>
      </c>
      <c r="G19" s="6" t="s">
        <v>185</v>
      </c>
      <c r="H19" s="7" t="s">
        <v>185</v>
      </c>
      <c r="I19" s="7" t="s">
        <v>185</v>
      </c>
    </row>
    <row r="20" ht="22" customHeight="1" spans="2:9">
      <c r="B20" s="8">
        <v>16</v>
      </c>
      <c r="C20" s="9" t="s">
        <v>185</v>
      </c>
      <c r="D20" s="9" t="s">
        <v>231</v>
      </c>
      <c r="E20" s="8" t="s">
        <v>232</v>
      </c>
      <c r="F20" s="10" t="s">
        <v>233</v>
      </c>
      <c r="G20" s="9" t="s">
        <v>185</v>
      </c>
      <c r="H20" s="10" t="s">
        <v>185</v>
      </c>
      <c r="I20" s="10" t="s">
        <v>185</v>
      </c>
    </row>
    <row r="21" ht="22" customHeight="1" spans="2:9">
      <c r="B21" s="5">
        <v>17</v>
      </c>
      <c r="C21" s="6" t="s">
        <v>185</v>
      </c>
      <c r="D21" s="6" t="s">
        <v>234</v>
      </c>
      <c r="E21" s="5" t="s">
        <v>235</v>
      </c>
      <c r="F21" s="7" t="s">
        <v>236</v>
      </c>
      <c r="G21" s="6" t="s">
        <v>185</v>
      </c>
      <c r="H21" s="7" t="s">
        <v>185</v>
      </c>
      <c r="I21" s="7" t="s">
        <v>185</v>
      </c>
    </row>
    <row r="22" ht="22" customHeight="1" spans="2:9">
      <c r="B22" s="8">
        <v>18</v>
      </c>
      <c r="C22" s="9" t="s">
        <v>185</v>
      </c>
      <c r="D22" s="9" t="s">
        <v>237</v>
      </c>
      <c r="E22" s="8" t="s">
        <v>238</v>
      </c>
      <c r="F22" s="10" t="s">
        <v>239</v>
      </c>
      <c r="G22" s="9" t="s">
        <v>185</v>
      </c>
      <c r="H22" s="10" t="s">
        <v>185</v>
      </c>
      <c r="I22" s="10" t="s">
        <v>185</v>
      </c>
    </row>
    <row r="23" ht="22" customHeight="1" spans="2:9">
      <c r="B23" s="5">
        <v>19</v>
      </c>
      <c r="C23" s="6" t="s">
        <v>185</v>
      </c>
      <c r="D23" s="6" t="s">
        <v>240</v>
      </c>
      <c r="E23" s="5" t="s">
        <v>241</v>
      </c>
      <c r="F23" s="7" t="s">
        <v>242</v>
      </c>
      <c r="G23" s="6" t="s">
        <v>185</v>
      </c>
      <c r="H23" s="7" t="s">
        <v>185</v>
      </c>
      <c r="I23" s="7" t="s">
        <v>185</v>
      </c>
    </row>
    <row r="24" ht="22" customHeight="1" spans="2:9">
      <c r="B24" s="8">
        <v>20</v>
      </c>
      <c r="C24" s="9" t="s">
        <v>185</v>
      </c>
      <c r="D24" s="9" t="s">
        <v>243</v>
      </c>
      <c r="E24" s="8" t="s">
        <v>244</v>
      </c>
      <c r="F24" s="10" t="s">
        <v>245</v>
      </c>
      <c r="G24" s="9" t="s">
        <v>185</v>
      </c>
      <c r="H24" s="10" t="s">
        <v>185</v>
      </c>
      <c r="I24" s="10" t="s">
        <v>185</v>
      </c>
    </row>
    <row r="25" ht="22" customHeight="1"/>
    <row r="26" ht="20" customHeight="1" spans="2:9">
      <c r="B26" s="31" t="s">
        <v>246</v>
      </c>
    </row>
    <row r="27" ht="22" customHeight="1"/>
    <row r="28" ht="22" customHeight="1"/>
    <row r="29" ht="22" customHeight="1"/>
    <row r="30" ht="22" customHeight="1"/>
    <row r="31" ht="22" customHeight="1"/>
  </sheetData>
  <mergeCells count="3">
    <mergeCell ref="B2:I2"/>
    <mergeCell ref="B3:I3"/>
    <mergeCell ref="B26:I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8"/>
  <sheetViews>
    <sheetView showGridLines="0" topLeftCell="A23" workbookViewId="0">
      <selection activeCell="A1" sqref="A1:E38"/>
    </sheetView>
  </sheetViews>
  <sheetFormatPr defaultColWidth="9" defaultRowHeight="14.4" outlineLevelCol="4"/>
  <cols>
    <col min="1" max="1" width="3" customWidth="1"/>
    <col min="2" max="2" width="8" customWidth="1"/>
    <col min="3" max="3" width="44" customWidth="1"/>
    <col min="4" max="4" width="22" customWidth="1"/>
    <col min="5" max="5" width="18" customWidth="1"/>
    <col min="6" max="6" width="3" customWidth="1"/>
  </cols>
  <sheetData>
    <row r="1" ht="10" customHeight="1"/>
    <row r="2" ht="48" customHeight="1" spans="2:5">
      <c r="B2" s="1" t="s">
        <v>247</v>
      </c>
    </row>
    <row r="3" ht="22" customHeight="1" spans="2:5">
      <c r="B3" s="60" t="s">
        <v>248</v>
      </c>
      <c r="C3" s="9"/>
      <c r="D3" s="46"/>
      <c r="E3" s="47"/>
    </row>
    <row r="4" ht="22" customHeight="1" spans="2:5">
      <c r="B4" s="60" t="s">
        <v>249</v>
      </c>
      <c r="C4" s="9"/>
      <c r="D4" s="46"/>
      <c r="E4" s="47"/>
    </row>
    <row r="5" ht="22" customHeight="1" spans="2:5">
      <c r="B5" s="60" t="s">
        <v>250</v>
      </c>
      <c r="C5" s="9"/>
      <c r="D5" s="46"/>
      <c r="E5" s="47"/>
    </row>
    <row r="6" ht="22" customHeight="1" spans="2:5">
      <c r="B6" s="60" t="s">
        <v>251</v>
      </c>
      <c r="C6" s="9"/>
      <c r="D6" s="46"/>
      <c r="E6" s="47"/>
    </row>
    <row r="7" ht="22" customHeight="1" spans="2:5">
      <c r="B7" s="60" t="s">
        <v>252</v>
      </c>
      <c r="C7" s="9"/>
      <c r="D7" s="46"/>
      <c r="E7" s="47"/>
    </row>
    <row r="8" ht="22" customHeight="1" spans="2:5">
      <c r="B8" s="60" t="s">
        <v>253</v>
      </c>
      <c r="C8" s="9"/>
      <c r="D8" s="46"/>
      <c r="E8" s="47"/>
    </row>
    <row r="9" ht="22" customHeight="1" spans="2:5">
      <c r="B9" s="60" t="s">
        <v>254</v>
      </c>
      <c r="C9" s="9"/>
      <c r="D9" s="46"/>
      <c r="E9" s="47"/>
    </row>
    <row r="10" ht="22" customHeight="1" spans="2:5">
      <c r="B10" s="60" t="s">
        <v>255</v>
      </c>
      <c r="C10" s="9"/>
      <c r="D10" s="46"/>
      <c r="E10" s="47"/>
    </row>
    <row r="11" ht="24" customHeight="1" spans="2:5">
      <c r="B11" s="3" t="s">
        <v>256</v>
      </c>
    </row>
    <row r="12" ht="24" customHeight="1" spans="2:5">
      <c r="B12" s="4" t="s">
        <v>257</v>
      </c>
      <c r="C12" s="4" t="s">
        <v>258</v>
      </c>
      <c r="D12" s="4" t="s">
        <v>259</v>
      </c>
      <c r="E12" s="4" t="s">
        <v>260</v>
      </c>
    </row>
    <row r="13" ht="24" customHeight="1" spans="2:5">
      <c r="B13" s="5">
        <v>1</v>
      </c>
      <c r="C13" s="6" t="s">
        <v>261</v>
      </c>
      <c r="D13" s="7" t="s">
        <v>185</v>
      </c>
      <c r="E13" s="7" t="s">
        <v>185</v>
      </c>
    </row>
    <row r="14" ht="24" customHeight="1" spans="2:5">
      <c r="B14" s="8">
        <v>2</v>
      </c>
      <c r="C14" s="9" t="s">
        <v>262</v>
      </c>
      <c r="D14" s="10" t="s">
        <v>185</v>
      </c>
      <c r="E14" s="10" t="s">
        <v>185</v>
      </c>
    </row>
    <row r="15" ht="24" customHeight="1" spans="2:5">
      <c r="B15" s="5">
        <v>3</v>
      </c>
      <c r="C15" s="6" t="s">
        <v>263</v>
      </c>
      <c r="D15" s="7" t="s">
        <v>185</v>
      </c>
      <c r="E15" s="7" t="s">
        <v>185</v>
      </c>
    </row>
    <row r="16" ht="24" customHeight="1" spans="2:5">
      <c r="B16" s="8">
        <v>4</v>
      </c>
      <c r="C16" s="9" t="s">
        <v>264</v>
      </c>
      <c r="D16" s="10" t="s">
        <v>185</v>
      </c>
      <c r="E16" s="10" t="s">
        <v>185</v>
      </c>
    </row>
    <row r="17" ht="24" customHeight="1" spans="2:5">
      <c r="B17" s="5">
        <v>5</v>
      </c>
      <c r="C17" s="6" t="s">
        <v>265</v>
      </c>
      <c r="D17" s="7" t="s">
        <v>185</v>
      </c>
      <c r="E17" s="7" t="s">
        <v>185</v>
      </c>
    </row>
    <row r="18" ht="24" customHeight="1" spans="2:5">
      <c r="B18" s="8">
        <v>6</v>
      </c>
      <c r="C18" s="9" t="s">
        <v>266</v>
      </c>
      <c r="D18" s="10" t="s">
        <v>185</v>
      </c>
      <c r="E18" s="10" t="s">
        <v>185</v>
      </c>
    </row>
    <row r="19" ht="24" customHeight="1" spans="2:5">
      <c r="B19" s="5">
        <v>7</v>
      </c>
      <c r="C19" s="6" t="s">
        <v>267</v>
      </c>
      <c r="D19" s="7" t="s">
        <v>185</v>
      </c>
      <c r="E19" s="7" t="s">
        <v>185</v>
      </c>
    </row>
    <row r="20" ht="24" customHeight="1" spans="2:5">
      <c r="B20" s="8">
        <v>8</v>
      </c>
      <c r="C20" s="9" t="s">
        <v>268</v>
      </c>
      <c r="D20" s="10" t="s">
        <v>185</v>
      </c>
      <c r="E20" s="10" t="s">
        <v>185</v>
      </c>
    </row>
    <row r="21" ht="24" customHeight="1" spans="2:5">
      <c r="B21" s="5">
        <v>9</v>
      </c>
      <c r="C21" s="6" t="s">
        <v>269</v>
      </c>
      <c r="D21" s="7" t="s">
        <v>185</v>
      </c>
      <c r="E21" s="7" t="s">
        <v>185</v>
      </c>
    </row>
    <row r="22" ht="24" customHeight="1" spans="2:5">
      <c r="B22" s="8">
        <v>10</v>
      </c>
      <c r="C22" s="9" t="s">
        <v>270</v>
      </c>
      <c r="D22" s="10" t="s">
        <v>185</v>
      </c>
      <c r="E22" s="10" t="s">
        <v>185</v>
      </c>
    </row>
    <row r="23" ht="24" customHeight="1" spans="2:5">
      <c r="B23" s="5">
        <v>11</v>
      </c>
      <c r="C23" s="6" t="s">
        <v>271</v>
      </c>
      <c r="D23" s="7" t="s">
        <v>185</v>
      </c>
      <c r="E23" s="7" t="s">
        <v>185</v>
      </c>
    </row>
    <row r="24" ht="24" customHeight="1" spans="2:5">
      <c r="B24" s="8">
        <v>12</v>
      </c>
      <c r="C24" s="9" t="s">
        <v>272</v>
      </c>
      <c r="D24" s="10" t="s">
        <v>185</v>
      </c>
      <c r="E24" s="10" t="s">
        <v>185</v>
      </c>
    </row>
    <row r="25" ht="24" customHeight="1" spans="2:5">
      <c r="B25" s="5">
        <v>13</v>
      </c>
      <c r="C25" s="6" t="s">
        <v>273</v>
      </c>
      <c r="D25" s="7" t="s">
        <v>185</v>
      </c>
      <c r="E25" s="7" t="s">
        <v>185</v>
      </c>
    </row>
    <row r="26" ht="24" customHeight="1" spans="2:5">
      <c r="B26" s="8">
        <v>14</v>
      </c>
      <c r="C26" s="9" t="s">
        <v>274</v>
      </c>
      <c r="D26" s="10" t="s">
        <v>185</v>
      </c>
      <c r="E26" s="10" t="s">
        <v>185</v>
      </c>
    </row>
    <row r="27" ht="24" customHeight="1" spans="2:5">
      <c r="B27" s="5">
        <v>15</v>
      </c>
      <c r="C27" s="6" t="s">
        <v>275</v>
      </c>
      <c r="D27" s="7" t="s">
        <v>185</v>
      </c>
      <c r="E27" s="7" t="s">
        <v>185</v>
      </c>
    </row>
    <row r="28" ht="24" customHeight="1" spans="2:5">
      <c r="B28" s="8">
        <v>16</v>
      </c>
      <c r="C28" s="9" t="s">
        <v>276</v>
      </c>
      <c r="D28" s="10" t="s">
        <v>185</v>
      </c>
      <c r="E28" s="10" t="s">
        <v>185</v>
      </c>
    </row>
    <row r="29" ht="24" customHeight="1" spans="2:5">
      <c r="B29" s="5">
        <v>17</v>
      </c>
      <c r="C29" s="6" t="s">
        <v>277</v>
      </c>
      <c r="D29" s="7" t="s">
        <v>185</v>
      </c>
      <c r="E29" s="7" t="s">
        <v>185</v>
      </c>
    </row>
    <row r="30" ht="24" customHeight="1" spans="2:5">
      <c r="B30" s="8">
        <v>18</v>
      </c>
      <c r="C30" s="9" t="s">
        <v>278</v>
      </c>
      <c r="D30" s="10" t="s">
        <v>185</v>
      </c>
      <c r="E30" s="10" t="s">
        <v>185</v>
      </c>
    </row>
    <row r="31" ht="24" customHeight="1" spans="2:5">
      <c r="B31" s="5">
        <v>19</v>
      </c>
      <c r="C31" s="6" t="s">
        <v>279</v>
      </c>
      <c r="D31" s="7" t="s">
        <v>185</v>
      </c>
      <c r="E31" s="7" t="s">
        <v>185</v>
      </c>
    </row>
    <row r="32" ht="24" customHeight="1"/>
    <row r="33" ht="24" customHeight="1" spans="2:5">
      <c r="B33" s="61" t="s">
        <v>280</v>
      </c>
    </row>
    <row r="34" ht="24" customHeight="1" spans="2:5">
      <c r="B34" s="64" t="s">
        <v>177</v>
      </c>
      <c r="C34" s="64" t="s">
        <v>281</v>
      </c>
      <c r="D34" s="64" t="s">
        <v>282</v>
      </c>
      <c r="E34" s="64" t="s">
        <v>283</v>
      </c>
    </row>
    <row r="35" ht="22" customHeight="1" spans="2:5">
      <c r="B35" s="59"/>
      <c r="C35" s="59"/>
      <c r="D35" s="59"/>
      <c r="E35" s="59"/>
    </row>
    <row r="36" ht="22" customHeight="1" spans="2:5">
      <c r="B36" s="10"/>
      <c r="C36" s="10"/>
      <c r="D36" s="10"/>
      <c r="E36" s="10"/>
    </row>
    <row r="37" ht="22" customHeight="1" spans="2:5">
      <c r="B37" s="59"/>
      <c r="C37" s="59"/>
      <c r="D37" s="59"/>
      <c r="E37" s="59"/>
    </row>
    <row r="38" ht="22" customHeight="1" spans="2:5">
      <c r="B38" s="10"/>
      <c r="C38" s="10"/>
      <c r="D38" s="10"/>
      <c r="E38" s="10"/>
    </row>
  </sheetData>
  <mergeCells count="11">
    <mergeCell ref="B2:E2"/>
    <mergeCell ref="C3:E3"/>
    <mergeCell ref="C4:E4"/>
    <mergeCell ref="C5:E5"/>
    <mergeCell ref="C6:E6"/>
    <mergeCell ref="C7:E7"/>
    <mergeCell ref="C8:E8"/>
    <mergeCell ref="C9:E9"/>
    <mergeCell ref="C10:E10"/>
    <mergeCell ref="B11:E11"/>
    <mergeCell ref="B33:E3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4"/>
  <sheetViews>
    <sheetView showGridLines="0" topLeftCell="A18" workbookViewId="0">
      <selection activeCell="A1" sqref="A1:I34"/>
    </sheetView>
  </sheetViews>
  <sheetFormatPr defaultColWidth="9" defaultRowHeight="14.4"/>
  <cols>
    <col min="1" max="1" width="3" customWidth="1"/>
    <col min="2" max="2" width="6" customWidth="1"/>
    <col min="3" max="3" width="26" customWidth="1"/>
    <col min="4" max="4" width="20" customWidth="1"/>
    <col min="5" max="5" width="14" customWidth="1"/>
    <col min="6" max="7" width="12" customWidth="1"/>
    <col min="8" max="8" width="16" customWidth="1"/>
    <col min="9" max="9" width="14" customWidth="1"/>
    <col min="10" max="10" width="3" customWidth="1"/>
  </cols>
  <sheetData>
    <row r="1" ht="10" customHeight="1"/>
    <row r="2" ht="48" customHeight="1" spans="2:9">
      <c r="B2" s="1" t="s">
        <v>284</v>
      </c>
    </row>
    <row r="3" ht="25" customHeight="1" spans="2:9">
      <c r="B3" s="2" t="s">
        <v>285</v>
      </c>
    </row>
    <row r="4" ht="25" customHeight="1" spans="2:9">
      <c r="B4" s="4" t="s">
        <v>177</v>
      </c>
      <c r="C4" s="4" t="s">
        <v>178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290</v>
      </c>
      <c r="I4" s="4" t="s">
        <v>184</v>
      </c>
    </row>
    <row r="5" ht="22" customHeight="1" spans="2:9">
      <c r="B5" s="5">
        <v>1</v>
      </c>
      <c r="C5" s="6" t="s">
        <v>185</v>
      </c>
      <c r="D5" s="6" t="s">
        <v>185</v>
      </c>
      <c r="E5" s="7" t="s">
        <v>291</v>
      </c>
      <c r="F5" s="7" t="s">
        <v>185</v>
      </c>
      <c r="G5" s="7" t="s">
        <v>292</v>
      </c>
      <c r="H5" s="7" t="s">
        <v>185</v>
      </c>
      <c r="I5" s="7" t="s">
        <v>185</v>
      </c>
    </row>
    <row r="6" ht="22" customHeight="1" spans="2:9">
      <c r="B6" s="8">
        <v>2</v>
      </c>
      <c r="C6" s="9" t="s">
        <v>185</v>
      </c>
      <c r="D6" s="9" t="s">
        <v>185</v>
      </c>
      <c r="E6" s="10" t="s">
        <v>291</v>
      </c>
      <c r="F6" s="10" t="s">
        <v>185</v>
      </c>
      <c r="G6" s="10" t="s">
        <v>292</v>
      </c>
      <c r="H6" s="10" t="s">
        <v>185</v>
      </c>
      <c r="I6" s="10" t="s">
        <v>185</v>
      </c>
    </row>
    <row r="7" ht="22" customHeight="1" spans="2:9">
      <c r="B7" s="5">
        <v>3</v>
      </c>
      <c r="C7" s="6" t="s">
        <v>185</v>
      </c>
      <c r="D7" s="6" t="s">
        <v>185</v>
      </c>
      <c r="E7" s="7" t="s">
        <v>291</v>
      </c>
      <c r="F7" s="7" t="s">
        <v>185</v>
      </c>
      <c r="G7" s="7" t="s">
        <v>292</v>
      </c>
      <c r="H7" s="7" t="s">
        <v>185</v>
      </c>
      <c r="I7" s="7" t="s">
        <v>185</v>
      </c>
    </row>
    <row r="8" ht="22" customHeight="1" spans="2:9">
      <c r="B8" s="8">
        <v>4</v>
      </c>
      <c r="C8" s="9" t="s">
        <v>185</v>
      </c>
      <c r="D8" s="9" t="s">
        <v>185</v>
      </c>
      <c r="E8" s="10" t="s">
        <v>291</v>
      </c>
      <c r="F8" s="10" t="s">
        <v>185</v>
      </c>
      <c r="G8" s="10" t="s">
        <v>292</v>
      </c>
      <c r="H8" s="10" t="s">
        <v>185</v>
      </c>
      <c r="I8" s="10" t="s">
        <v>185</v>
      </c>
    </row>
    <row r="9" ht="22" customHeight="1" spans="2:9">
      <c r="B9" s="5">
        <v>5</v>
      </c>
      <c r="C9" s="6" t="s">
        <v>185</v>
      </c>
      <c r="D9" s="6" t="s">
        <v>185</v>
      </c>
      <c r="E9" s="7" t="s">
        <v>291</v>
      </c>
      <c r="F9" s="7" t="s">
        <v>185</v>
      </c>
      <c r="G9" s="7" t="s">
        <v>292</v>
      </c>
      <c r="H9" s="7" t="s">
        <v>185</v>
      </c>
      <c r="I9" s="7" t="s">
        <v>185</v>
      </c>
    </row>
    <row r="10" ht="22" customHeight="1" spans="2:9">
      <c r="B10" s="8">
        <v>6</v>
      </c>
      <c r="C10" s="9" t="s">
        <v>185</v>
      </c>
      <c r="D10" s="9" t="s">
        <v>185</v>
      </c>
      <c r="E10" s="10" t="s">
        <v>291</v>
      </c>
      <c r="F10" s="10" t="s">
        <v>185</v>
      </c>
      <c r="G10" s="10" t="s">
        <v>292</v>
      </c>
      <c r="H10" s="10" t="s">
        <v>185</v>
      </c>
      <c r="I10" s="10" t="s">
        <v>185</v>
      </c>
    </row>
    <row r="11" ht="22" customHeight="1" spans="2:9">
      <c r="B11" s="5">
        <v>7</v>
      </c>
      <c r="C11" s="6" t="s">
        <v>185</v>
      </c>
      <c r="D11" s="6" t="s">
        <v>185</v>
      </c>
      <c r="E11" s="7" t="s">
        <v>291</v>
      </c>
      <c r="F11" s="7" t="s">
        <v>185</v>
      </c>
      <c r="G11" s="7" t="s">
        <v>292</v>
      </c>
      <c r="H11" s="7" t="s">
        <v>185</v>
      </c>
      <c r="I11" s="7" t="s">
        <v>185</v>
      </c>
    </row>
    <row r="12" ht="22" customHeight="1" spans="2:9">
      <c r="B12" s="8">
        <v>8</v>
      </c>
      <c r="C12" s="9" t="s">
        <v>185</v>
      </c>
      <c r="D12" s="9" t="s">
        <v>185</v>
      </c>
      <c r="E12" s="10" t="s">
        <v>291</v>
      </c>
      <c r="F12" s="10" t="s">
        <v>185</v>
      </c>
      <c r="G12" s="10" t="s">
        <v>292</v>
      </c>
      <c r="H12" s="10" t="s">
        <v>185</v>
      </c>
      <c r="I12" s="10" t="s">
        <v>185</v>
      </c>
    </row>
    <row r="13" ht="22" customHeight="1" spans="2:9">
      <c r="B13" s="5">
        <v>9</v>
      </c>
      <c r="C13" s="6" t="s">
        <v>185</v>
      </c>
      <c r="D13" s="6" t="s">
        <v>185</v>
      </c>
      <c r="E13" s="7" t="s">
        <v>291</v>
      </c>
      <c r="F13" s="7" t="s">
        <v>185</v>
      </c>
      <c r="G13" s="7" t="s">
        <v>292</v>
      </c>
      <c r="H13" s="7" t="s">
        <v>185</v>
      </c>
      <c r="I13" s="7" t="s">
        <v>185</v>
      </c>
    </row>
    <row r="14" ht="22" customHeight="1" spans="2:9">
      <c r="B14" s="8">
        <v>10</v>
      </c>
      <c r="C14" s="9" t="s">
        <v>185</v>
      </c>
      <c r="D14" s="9" t="s">
        <v>185</v>
      </c>
      <c r="E14" s="10" t="s">
        <v>291</v>
      </c>
      <c r="F14" s="10" t="s">
        <v>185</v>
      </c>
      <c r="G14" s="10" t="s">
        <v>292</v>
      </c>
      <c r="H14" s="10" t="s">
        <v>185</v>
      </c>
      <c r="I14" s="10" t="s">
        <v>185</v>
      </c>
    </row>
    <row r="15" ht="22" customHeight="1" spans="2:9">
      <c r="B15" s="5">
        <v>11</v>
      </c>
      <c r="C15" s="6" t="s">
        <v>185</v>
      </c>
      <c r="D15" s="6" t="s">
        <v>185</v>
      </c>
      <c r="E15" s="7" t="s">
        <v>291</v>
      </c>
      <c r="F15" s="7" t="s">
        <v>185</v>
      </c>
      <c r="G15" s="7" t="s">
        <v>292</v>
      </c>
      <c r="H15" s="7" t="s">
        <v>185</v>
      </c>
      <c r="I15" s="7" t="s">
        <v>185</v>
      </c>
    </row>
    <row r="16" ht="22" customHeight="1" spans="2:9">
      <c r="B16" s="8">
        <v>12</v>
      </c>
      <c r="C16" s="9" t="s">
        <v>185</v>
      </c>
      <c r="D16" s="9" t="s">
        <v>185</v>
      </c>
      <c r="E16" s="10" t="s">
        <v>291</v>
      </c>
      <c r="F16" s="10" t="s">
        <v>185</v>
      </c>
      <c r="G16" s="10" t="s">
        <v>292</v>
      </c>
      <c r="H16" s="10" t="s">
        <v>185</v>
      </c>
      <c r="I16" s="10" t="s">
        <v>185</v>
      </c>
    </row>
    <row r="17" ht="22" customHeight="1" spans="2:9">
      <c r="B17" s="5">
        <v>13</v>
      </c>
      <c r="C17" s="6" t="s">
        <v>185</v>
      </c>
      <c r="D17" s="6" t="s">
        <v>185</v>
      </c>
      <c r="E17" s="7" t="s">
        <v>291</v>
      </c>
      <c r="F17" s="7" t="s">
        <v>185</v>
      </c>
      <c r="G17" s="7" t="s">
        <v>292</v>
      </c>
      <c r="H17" s="7" t="s">
        <v>185</v>
      </c>
      <c r="I17" s="7" t="s">
        <v>185</v>
      </c>
    </row>
    <row r="18" ht="22" customHeight="1" spans="2:9">
      <c r="B18" s="8">
        <v>14</v>
      </c>
      <c r="C18" s="9" t="s">
        <v>185</v>
      </c>
      <c r="D18" s="9" t="s">
        <v>185</v>
      </c>
      <c r="E18" s="10" t="s">
        <v>291</v>
      </c>
      <c r="F18" s="10" t="s">
        <v>185</v>
      </c>
      <c r="G18" s="10" t="s">
        <v>292</v>
      </c>
      <c r="H18" s="10" t="s">
        <v>185</v>
      </c>
      <c r="I18" s="10" t="s">
        <v>185</v>
      </c>
    </row>
    <row r="19" ht="22" customHeight="1" spans="2:9">
      <c r="B19" s="5">
        <v>15</v>
      </c>
      <c r="C19" s="6" t="s">
        <v>185</v>
      </c>
      <c r="D19" s="6" t="s">
        <v>185</v>
      </c>
      <c r="E19" s="7" t="s">
        <v>291</v>
      </c>
      <c r="F19" s="7" t="s">
        <v>185</v>
      </c>
      <c r="G19" s="7" t="s">
        <v>292</v>
      </c>
      <c r="H19" s="7" t="s">
        <v>185</v>
      </c>
      <c r="I19" s="7" t="s">
        <v>185</v>
      </c>
    </row>
    <row r="20" ht="22" customHeight="1" spans="2:9">
      <c r="B20" s="8">
        <v>16</v>
      </c>
      <c r="C20" s="9" t="s">
        <v>185</v>
      </c>
      <c r="D20" s="9" t="s">
        <v>185</v>
      </c>
      <c r="E20" s="10" t="s">
        <v>291</v>
      </c>
      <c r="F20" s="10" t="s">
        <v>185</v>
      </c>
      <c r="G20" s="10" t="s">
        <v>292</v>
      </c>
      <c r="H20" s="10" t="s">
        <v>185</v>
      </c>
      <c r="I20" s="10" t="s">
        <v>185</v>
      </c>
    </row>
    <row r="21" ht="22" customHeight="1" spans="2:9">
      <c r="B21" s="5">
        <v>17</v>
      </c>
      <c r="C21" s="6" t="s">
        <v>185</v>
      </c>
      <c r="D21" s="6" t="s">
        <v>185</v>
      </c>
      <c r="E21" s="7" t="s">
        <v>291</v>
      </c>
      <c r="F21" s="7" t="s">
        <v>185</v>
      </c>
      <c r="G21" s="7" t="s">
        <v>292</v>
      </c>
      <c r="H21" s="7" t="s">
        <v>185</v>
      </c>
      <c r="I21" s="7" t="s">
        <v>185</v>
      </c>
    </row>
    <row r="22" ht="22" customHeight="1" spans="2:9">
      <c r="B22" s="8">
        <v>18</v>
      </c>
      <c r="C22" s="9" t="s">
        <v>185</v>
      </c>
      <c r="D22" s="9" t="s">
        <v>185</v>
      </c>
      <c r="E22" s="10" t="s">
        <v>291</v>
      </c>
      <c r="F22" s="10" t="s">
        <v>185</v>
      </c>
      <c r="G22" s="10" t="s">
        <v>292</v>
      </c>
      <c r="H22" s="10" t="s">
        <v>185</v>
      </c>
      <c r="I22" s="10" t="s">
        <v>185</v>
      </c>
    </row>
    <row r="23" ht="22" customHeight="1" spans="2:9">
      <c r="B23" s="5">
        <v>19</v>
      </c>
      <c r="C23" s="6" t="s">
        <v>185</v>
      </c>
      <c r="D23" s="6" t="s">
        <v>185</v>
      </c>
      <c r="E23" s="7" t="s">
        <v>291</v>
      </c>
      <c r="F23" s="7" t="s">
        <v>185</v>
      </c>
      <c r="G23" s="7" t="s">
        <v>292</v>
      </c>
      <c r="H23" s="7" t="s">
        <v>185</v>
      </c>
      <c r="I23" s="7" t="s">
        <v>185</v>
      </c>
    </row>
    <row r="24" ht="22" customHeight="1" spans="2:9">
      <c r="B24" s="8">
        <v>20</v>
      </c>
      <c r="C24" s="9" t="s">
        <v>185</v>
      </c>
      <c r="D24" s="9" t="s">
        <v>185</v>
      </c>
      <c r="E24" s="10" t="s">
        <v>291</v>
      </c>
      <c r="F24" s="10" t="s">
        <v>185</v>
      </c>
      <c r="G24" s="10" t="s">
        <v>292</v>
      </c>
      <c r="H24" s="10" t="s">
        <v>185</v>
      </c>
      <c r="I24" s="10" t="s">
        <v>185</v>
      </c>
    </row>
    <row r="25" ht="22" customHeight="1" spans="2:9">
      <c r="B25" s="5">
        <v>21</v>
      </c>
      <c r="C25" s="6" t="s">
        <v>185</v>
      </c>
      <c r="D25" s="6" t="s">
        <v>185</v>
      </c>
      <c r="E25" s="7" t="s">
        <v>291</v>
      </c>
      <c r="F25" s="7" t="s">
        <v>185</v>
      </c>
      <c r="G25" s="7" t="s">
        <v>292</v>
      </c>
      <c r="H25" s="7" t="s">
        <v>185</v>
      </c>
      <c r="I25" s="7" t="s">
        <v>185</v>
      </c>
    </row>
    <row r="26" ht="22" customHeight="1" spans="2:9">
      <c r="B26" s="8">
        <v>22</v>
      </c>
      <c r="C26" s="9" t="s">
        <v>185</v>
      </c>
      <c r="D26" s="9" t="s">
        <v>185</v>
      </c>
      <c r="E26" s="10" t="s">
        <v>291</v>
      </c>
      <c r="F26" s="10" t="s">
        <v>185</v>
      </c>
      <c r="G26" s="10" t="s">
        <v>292</v>
      </c>
      <c r="H26" s="10" t="s">
        <v>185</v>
      </c>
      <c r="I26" s="10" t="s">
        <v>185</v>
      </c>
    </row>
    <row r="27" ht="22" customHeight="1"/>
    <row r="28" ht="24" customHeight="1" spans="2:9">
      <c r="B28" s="61" t="s">
        <v>293</v>
      </c>
    </row>
    <row r="29" ht="22" customHeight="1" spans="2:9">
      <c r="B29" s="50" t="s">
        <v>294</v>
      </c>
      <c r="C29" s="46"/>
      <c r="D29" s="46"/>
      <c r="E29" s="46"/>
      <c r="F29" s="47"/>
      <c r="G29" s="62" t="s">
        <v>185</v>
      </c>
      <c r="H29" s="46"/>
      <c r="I29" s="47"/>
    </row>
    <row r="30" ht="22" customHeight="1" spans="2:9">
      <c r="B30" s="44" t="s">
        <v>295</v>
      </c>
      <c r="C30" s="46"/>
      <c r="D30" s="46"/>
      <c r="E30" s="46"/>
      <c r="F30" s="47"/>
      <c r="G30" s="62">
        <f>COUNTIF(F5:F26,"P")</f>
        <v>0</v>
      </c>
      <c r="H30" s="46"/>
      <c r="I30" s="47"/>
    </row>
    <row r="31" ht="22" customHeight="1" spans="2:9">
      <c r="B31" s="50" t="s">
        <v>296</v>
      </c>
      <c r="C31" s="46"/>
      <c r="D31" s="46"/>
      <c r="E31" s="46"/>
      <c r="F31" s="47"/>
      <c r="G31" s="62" t="s">
        <v>185</v>
      </c>
      <c r="H31" s="46"/>
      <c r="I31" s="47"/>
    </row>
    <row r="32" spans="2:9">
      <c r="B32" s="44" t="s">
        <v>297</v>
      </c>
      <c r="C32" s="46"/>
      <c r="D32" s="46"/>
      <c r="E32" s="46"/>
      <c r="F32" s="47"/>
      <c r="G32" s="62">
        <f>IFERROR(C30+C31,"")</f>
        <v>0</v>
      </c>
      <c r="H32" s="46"/>
      <c r="I32" s="47"/>
    </row>
    <row r="33" spans="2:9">
      <c r="B33" s="50" t="s">
        <v>298</v>
      </c>
      <c r="C33" s="46"/>
      <c r="D33" s="46"/>
      <c r="E33" s="46"/>
      <c r="F33" s="47"/>
      <c r="G33" s="62" t="s">
        <v>185</v>
      </c>
      <c r="H33" s="46"/>
      <c r="I33" s="47"/>
    </row>
    <row r="34" spans="2:9">
      <c r="B34" s="44" t="s">
        <v>299</v>
      </c>
      <c r="C34" s="46"/>
      <c r="D34" s="46"/>
      <c r="E34" s="46"/>
      <c r="F34" s="47"/>
      <c r="G34" s="63" t="str">
        <f>IFERROR(IF(C32&gt;=C33,"YES — Meeting Valid","NO — Adjourned"),"")</f>
        <v>YES — Meeting Valid</v>
      </c>
      <c r="H34" s="46"/>
      <c r="I34" s="47"/>
    </row>
  </sheetData>
  <mergeCells count="15">
    <mergeCell ref="B2:I2"/>
    <mergeCell ref="B3:I3"/>
    <mergeCell ref="B28:I28"/>
    <mergeCell ref="B29:F29"/>
    <mergeCell ref="G29:I29"/>
    <mergeCell ref="B30:F30"/>
    <mergeCell ref="G30:I30"/>
    <mergeCell ref="B31:F31"/>
    <mergeCell ref="G31:I31"/>
    <mergeCell ref="B32:F32"/>
    <mergeCell ref="G32:I32"/>
    <mergeCell ref="B33:F33"/>
    <mergeCell ref="G33:I33"/>
    <mergeCell ref="B34:F34"/>
    <mergeCell ref="G34:I3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showGridLines="0" topLeftCell="A11" workbookViewId="0">
      <selection activeCell="A1" sqref="A1:G21"/>
    </sheetView>
  </sheetViews>
  <sheetFormatPr defaultColWidth="9" defaultRowHeight="14.4" outlineLevelCol="6"/>
  <cols>
    <col min="1" max="1" width="3" customWidth="1"/>
    <col min="2" max="2" width="12" customWidth="1"/>
    <col min="3" max="3" width="38" customWidth="1"/>
    <col min="4" max="4" width="18" customWidth="1"/>
    <col min="5" max="5" width="12" customWidth="1"/>
    <col min="6" max="7" width="14" customWidth="1"/>
    <col min="8" max="8" width="3" customWidth="1"/>
  </cols>
  <sheetData>
    <row r="1" ht="10" customHeight="1"/>
    <row r="2" ht="48" customHeight="1" spans="2:7">
      <c r="B2" s="1" t="s">
        <v>300</v>
      </c>
    </row>
    <row r="3" ht="25" customHeight="1" spans="2:7">
      <c r="B3" s="2" t="s">
        <v>301</v>
      </c>
    </row>
    <row r="4" ht="24" customHeight="1" spans="2:7">
      <c r="B4" s="40" t="s">
        <v>302</v>
      </c>
    </row>
    <row r="5" ht="30" customHeight="1" spans="2:7">
      <c r="B5" s="41" t="s">
        <v>303</v>
      </c>
      <c r="C5" s="41" t="s">
        <v>304</v>
      </c>
      <c r="D5" s="41" t="s">
        <v>305</v>
      </c>
      <c r="E5" s="41" t="s">
        <v>306</v>
      </c>
      <c r="F5" s="41" t="s">
        <v>307</v>
      </c>
      <c r="G5" s="41" t="s">
        <v>308</v>
      </c>
    </row>
    <row r="6" ht="30" customHeight="1" spans="2:7">
      <c r="B6" s="5" t="s">
        <v>309</v>
      </c>
      <c r="C6" s="6" t="s">
        <v>185</v>
      </c>
      <c r="D6" s="7" t="s">
        <v>185</v>
      </c>
      <c r="E6" s="7" t="s">
        <v>185</v>
      </c>
      <c r="F6" s="7" t="s">
        <v>185</v>
      </c>
      <c r="G6" s="7" t="s">
        <v>310</v>
      </c>
    </row>
    <row r="7" ht="30" customHeight="1" spans="2:7">
      <c r="B7" s="8" t="s">
        <v>311</v>
      </c>
      <c r="C7" s="9" t="s">
        <v>185</v>
      </c>
      <c r="D7" s="10" t="s">
        <v>185</v>
      </c>
      <c r="E7" s="10" t="s">
        <v>185</v>
      </c>
      <c r="F7" s="10" t="s">
        <v>185</v>
      </c>
      <c r="G7" s="10" t="s">
        <v>310</v>
      </c>
    </row>
    <row r="8" ht="30" customHeight="1" spans="2:7">
      <c r="B8" s="5" t="s">
        <v>312</v>
      </c>
      <c r="C8" s="6" t="s">
        <v>185</v>
      </c>
      <c r="D8" s="7" t="s">
        <v>185</v>
      </c>
      <c r="E8" s="7" t="s">
        <v>185</v>
      </c>
      <c r="F8" s="7" t="s">
        <v>185</v>
      </c>
      <c r="G8" s="7" t="s">
        <v>310</v>
      </c>
    </row>
    <row r="9" ht="30" customHeight="1" spans="2:7">
      <c r="B9" s="8" t="s">
        <v>313</v>
      </c>
      <c r="C9" s="9" t="s">
        <v>185</v>
      </c>
      <c r="D9" s="10" t="s">
        <v>185</v>
      </c>
      <c r="E9" s="10" t="s">
        <v>185</v>
      </c>
      <c r="F9" s="10" t="s">
        <v>185</v>
      </c>
      <c r="G9" s="10" t="s">
        <v>310</v>
      </c>
    </row>
    <row r="10" ht="30" customHeight="1" spans="2:7">
      <c r="B10" s="5" t="s">
        <v>314</v>
      </c>
      <c r="C10" s="6" t="s">
        <v>185</v>
      </c>
      <c r="D10" s="7" t="s">
        <v>185</v>
      </c>
      <c r="E10" s="7" t="s">
        <v>185</v>
      </c>
      <c r="F10" s="7" t="s">
        <v>185</v>
      </c>
      <c r="G10" s="7" t="s">
        <v>310</v>
      </c>
    </row>
    <row r="11" ht="30" customHeight="1" spans="2:7">
      <c r="B11" s="8" t="s">
        <v>315</v>
      </c>
      <c r="C11" s="9" t="s">
        <v>185</v>
      </c>
      <c r="D11" s="10" t="s">
        <v>185</v>
      </c>
      <c r="E11" s="10" t="s">
        <v>185</v>
      </c>
      <c r="F11" s="10" t="s">
        <v>185</v>
      </c>
      <c r="G11" s="10" t="s">
        <v>310</v>
      </c>
    </row>
    <row r="12" ht="30" customHeight="1" spans="2:7">
      <c r="B12" s="5" t="s">
        <v>316</v>
      </c>
      <c r="C12" s="6" t="s">
        <v>185</v>
      </c>
      <c r="D12" s="7" t="s">
        <v>185</v>
      </c>
      <c r="E12" s="7" t="s">
        <v>185</v>
      </c>
      <c r="F12" s="7" t="s">
        <v>185</v>
      </c>
      <c r="G12" s="7" t="s">
        <v>310</v>
      </c>
    </row>
    <row r="13" ht="30" customHeight="1" spans="2:7">
      <c r="B13" s="8" t="s">
        <v>317</v>
      </c>
      <c r="C13" s="9" t="s">
        <v>185</v>
      </c>
      <c r="D13" s="10" t="s">
        <v>185</v>
      </c>
      <c r="E13" s="10" t="s">
        <v>185</v>
      </c>
      <c r="F13" s="10" t="s">
        <v>185</v>
      </c>
      <c r="G13" s="10" t="s">
        <v>310</v>
      </c>
    </row>
    <row r="14" ht="30" customHeight="1" spans="2:7">
      <c r="B14" s="5" t="s">
        <v>318</v>
      </c>
      <c r="C14" s="6" t="s">
        <v>185</v>
      </c>
      <c r="D14" s="7" t="s">
        <v>185</v>
      </c>
      <c r="E14" s="7" t="s">
        <v>185</v>
      </c>
      <c r="F14" s="7" t="s">
        <v>185</v>
      </c>
      <c r="G14" s="7" t="s">
        <v>310</v>
      </c>
    </row>
    <row r="15" ht="30" customHeight="1" spans="2:7">
      <c r="B15" s="8" t="s">
        <v>319</v>
      </c>
      <c r="C15" s="9" t="s">
        <v>185</v>
      </c>
      <c r="D15" s="10" t="s">
        <v>185</v>
      </c>
      <c r="E15" s="10" t="s">
        <v>185</v>
      </c>
      <c r="F15" s="10" t="s">
        <v>185</v>
      </c>
      <c r="G15" s="10" t="s">
        <v>310</v>
      </c>
    </row>
    <row r="16" ht="30" customHeight="1" spans="2:7">
      <c r="B16" s="5" t="s">
        <v>320</v>
      </c>
      <c r="C16" s="6" t="s">
        <v>185</v>
      </c>
      <c r="D16" s="7" t="s">
        <v>185</v>
      </c>
      <c r="E16" s="7" t="s">
        <v>185</v>
      </c>
      <c r="F16" s="7" t="s">
        <v>185</v>
      </c>
      <c r="G16" s="7" t="s">
        <v>310</v>
      </c>
    </row>
    <row r="17" ht="30" customHeight="1" spans="2:7">
      <c r="B17" s="8" t="s">
        <v>321</v>
      </c>
      <c r="C17" s="9" t="s">
        <v>185</v>
      </c>
      <c r="D17" s="10" t="s">
        <v>185</v>
      </c>
      <c r="E17" s="10" t="s">
        <v>185</v>
      </c>
      <c r="F17" s="10" t="s">
        <v>185</v>
      </c>
      <c r="G17" s="10" t="s">
        <v>310</v>
      </c>
    </row>
    <row r="18" ht="30" customHeight="1" spans="2:7">
      <c r="B18" s="5" t="s">
        <v>322</v>
      </c>
      <c r="C18" s="6" t="s">
        <v>185</v>
      </c>
      <c r="D18" s="7" t="s">
        <v>185</v>
      </c>
      <c r="E18" s="7" t="s">
        <v>185</v>
      </c>
      <c r="F18" s="7" t="s">
        <v>185</v>
      </c>
      <c r="G18" s="7" t="s">
        <v>310</v>
      </c>
    </row>
    <row r="19" ht="30" customHeight="1" spans="2:7">
      <c r="B19" s="8" t="s">
        <v>323</v>
      </c>
      <c r="C19" s="9" t="s">
        <v>185</v>
      </c>
      <c r="D19" s="10" t="s">
        <v>185</v>
      </c>
      <c r="E19" s="10" t="s">
        <v>185</v>
      </c>
      <c r="F19" s="10" t="s">
        <v>185</v>
      </c>
      <c r="G19" s="10" t="s">
        <v>310</v>
      </c>
    </row>
    <row r="20" ht="30" customHeight="1"/>
    <row r="21" ht="30" customHeight="1" spans="2:7">
      <c r="B21" s="32" t="s">
        <v>324</v>
      </c>
    </row>
    <row r="22" ht="30" customHeight="1"/>
    <row r="23" ht="30" customHeight="1"/>
    <row r="24" ht="30" customHeight="1"/>
  </sheetData>
  <mergeCells count="4">
    <mergeCell ref="B2:G2"/>
    <mergeCell ref="B3:G3"/>
    <mergeCell ref="B4:G4"/>
    <mergeCell ref="B21:G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7"/>
  <sheetViews>
    <sheetView showGridLines="0" topLeftCell="A14" workbookViewId="0">
      <selection activeCell="A1" sqref="A1:H27"/>
    </sheetView>
  </sheetViews>
  <sheetFormatPr defaultColWidth="9" defaultRowHeight="14.4" outlineLevelCol="7"/>
  <cols>
    <col min="1" max="1" width="3" customWidth="1"/>
    <col min="2" max="2" width="14" customWidth="1"/>
    <col min="3" max="3" width="32" customWidth="1"/>
    <col min="4" max="4" width="20" customWidth="1"/>
    <col min="5" max="5" width="16" customWidth="1"/>
    <col min="6" max="7" width="13" customWidth="1"/>
    <col min="8" max="8" width="16" customWidth="1"/>
    <col min="9" max="9" width="3" customWidth="1"/>
  </cols>
  <sheetData>
    <row r="1" ht="10" customHeight="1"/>
    <row r="2" ht="48" customHeight="1" spans="2:8">
      <c r="B2" s="1" t="s">
        <v>325</v>
      </c>
    </row>
    <row r="3" ht="25" customHeight="1" spans="2:8">
      <c r="B3" s="2" t="s">
        <v>326</v>
      </c>
    </row>
    <row r="4" ht="25" customHeight="1" spans="2:8">
      <c r="B4" s="12" t="s">
        <v>303</v>
      </c>
      <c r="C4" s="12" t="s">
        <v>327</v>
      </c>
      <c r="D4" s="12" t="s">
        <v>328</v>
      </c>
      <c r="E4" s="12" t="s">
        <v>305</v>
      </c>
      <c r="F4" s="12" t="s">
        <v>307</v>
      </c>
      <c r="G4" s="12" t="s">
        <v>329</v>
      </c>
      <c r="H4" s="12" t="s">
        <v>308</v>
      </c>
    </row>
    <row r="5" ht="26" customHeight="1" spans="2:8">
      <c r="B5" s="13" t="s">
        <v>309</v>
      </c>
      <c r="C5" s="14" t="s">
        <v>185</v>
      </c>
      <c r="D5" s="14" t="s">
        <v>185</v>
      </c>
      <c r="E5" s="15" t="s">
        <v>185</v>
      </c>
      <c r="F5" s="15" t="s">
        <v>185</v>
      </c>
      <c r="G5" s="15" t="s">
        <v>185</v>
      </c>
      <c r="H5" s="14" t="s">
        <v>330</v>
      </c>
    </row>
    <row r="6" ht="26" customHeight="1" spans="2:8">
      <c r="B6" s="8" t="s">
        <v>311</v>
      </c>
      <c r="C6" s="9" t="s">
        <v>185</v>
      </c>
      <c r="D6" s="9" t="s">
        <v>185</v>
      </c>
      <c r="E6" s="10" t="s">
        <v>185</v>
      </c>
      <c r="F6" s="10" t="s">
        <v>185</v>
      </c>
      <c r="G6" s="10" t="s">
        <v>185</v>
      </c>
      <c r="H6" s="9" t="s">
        <v>330</v>
      </c>
    </row>
    <row r="7" ht="26" customHeight="1" spans="2:8">
      <c r="B7" s="13" t="s">
        <v>312</v>
      </c>
      <c r="C7" s="14" t="s">
        <v>185</v>
      </c>
      <c r="D7" s="14" t="s">
        <v>185</v>
      </c>
      <c r="E7" s="15" t="s">
        <v>185</v>
      </c>
      <c r="F7" s="15" t="s">
        <v>185</v>
      </c>
      <c r="G7" s="15" t="s">
        <v>185</v>
      </c>
      <c r="H7" s="14" t="s">
        <v>330</v>
      </c>
    </row>
    <row r="8" ht="26" customHeight="1" spans="2:8">
      <c r="B8" s="8" t="s">
        <v>313</v>
      </c>
      <c r="C8" s="9" t="s">
        <v>185</v>
      </c>
      <c r="D8" s="9" t="s">
        <v>185</v>
      </c>
      <c r="E8" s="10" t="s">
        <v>185</v>
      </c>
      <c r="F8" s="10" t="s">
        <v>185</v>
      </c>
      <c r="G8" s="10" t="s">
        <v>185</v>
      </c>
      <c r="H8" s="9" t="s">
        <v>330</v>
      </c>
    </row>
    <row r="9" ht="26" customHeight="1" spans="2:8">
      <c r="B9" s="13" t="s">
        <v>314</v>
      </c>
      <c r="C9" s="14" t="s">
        <v>185</v>
      </c>
      <c r="D9" s="14" t="s">
        <v>185</v>
      </c>
      <c r="E9" s="15" t="s">
        <v>185</v>
      </c>
      <c r="F9" s="15" t="s">
        <v>185</v>
      </c>
      <c r="G9" s="15" t="s">
        <v>185</v>
      </c>
      <c r="H9" s="14" t="s">
        <v>330</v>
      </c>
    </row>
    <row r="10" ht="26" customHeight="1" spans="2:8">
      <c r="B10" s="8" t="s">
        <v>315</v>
      </c>
      <c r="C10" s="9" t="s">
        <v>185</v>
      </c>
      <c r="D10" s="9" t="s">
        <v>185</v>
      </c>
      <c r="E10" s="10" t="s">
        <v>185</v>
      </c>
      <c r="F10" s="10" t="s">
        <v>185</v>
      </c>
      <c r="G10" s="10" t="s">
        <v>185</v>
      </c>
      <c r="H10" s="9" t="s">
        <v>330</v>
      </c>
    </row>
    <row r="11" ht="26" customHeight="1" spans="2:8">
      <c r="B11" s="13" t="s">
        <v>316</v>
      </c>
      <c r="C11" s="14" t="s">
        <v>185</v>
      </c>
      <c r="D11" s="14" t="s">
        <v>185</v>
      </c>
      <c r="E11" s="15" t="s">
        <v>185</v>
      </c>
      <c r="F11" s="15" t="s">
        <v>185</v>
      </c>
      <c r="G11" s="15" t="s">
        <v>185</v>
      </c>
      <c r="H11" s="14" t="s">
        <v>330</v>
      </c>
    </row>
    <row r="12" ht="26" customHeight="1" spans="2:8">
      <c r="B12" s="8" t="s">
        <v>317</v>
      </c>
      <c r="C12" s="9" t="s">
        <v>185</v>
      </c>
      <c r="D12" s="9" t="s">
        <v>185</v>
      </c>
      <c r="E12" s="10" t="s">
        <v>185</v>
      </c>
      <c r="F12" s="10" t="s">
        <v>185</v>
      </c>
      <c r="G12" s="10" t="s">
        <v>185</v>
      </c>
      <c r="H12" s="9" t="s">
        <v>330</v>
      </c>
    </row>
    <row r="13" ht="26" customHeight="1" spans="2:8">
      <c r="B13" s="13" t="s">
        <v>318</v>
      </c>
      <c r="C13" s="14" t="s">
        <v>185</v>
      </c>
      <c r="D13" s="14" t="s">
        <v>185</v>
      </c>
      <c r="E13" s="15" t="s">
        <v>185</v>
      </c>
      <c r="F13" s="15" t="s">
        <v>185</v>
      </c>
      <c r="G13" s="15" t="s">
        <v>185</v>
      </c>
      <c r="H13" s="14" t="s">
        <v>330</v>
      </c>
    </row>
    <row r="14" ht="26" customHeight="1" spans="2:8">
      <c r="B14" s="8" t="s">
        <v>319</v>
      </c>
      <c r="C14" s="9" t="s">
        <v>185</v>
      </c>
      <c r="D14" s="9" t="s">
        <v>185</v>
      </c>
      <c r="E14" s="10" t="s">
        <v>185</v>
      </c>
      <c r="F14" s="10" t="s">
        <v>185</v>
      </c>
      <c r="G14" s="10" t="s">
        <v>185</v>
      </c>
      <c r="H14" s="9" t="s">
        <v>330</v>
      </c>
    </row>
    <row r="15" ht="26" customHeight="1" spans="2:8">
      <c r="B15" s="13" t="s">
        <v>320</v>
      </c>
      <c r="C15" s="14" t="s">
        <v>185</v>
      </c>
      <c r="D15" s="14" t="s">
        <v>185</v>
      </c>
      <c r="E15" s="15" t="s">
        <v>185</v>
      </c>
      <c r="F15" s="15" t="s">
        <v>185</v>
      </c>
      <c r="G15" s="15" t="s">
        <v>185</v>
      </c>
      <c r="H15" s="14" t="s">
        <v>330</v>
      </c>
    </row>
    <row r="16" ht="26" customHeight="1" spans="2:8">
      <c r="B16" s="8" t="s">
        <v>321</v>
      </c>
      <c r="C16" s="9" t="s">
        <v>185</v>
      </c>
      <c r="D16" s="9" t="s">
        <v>185</v>
      </c>
      <c r="E16" s="10" t="s">
        <v>185</v>
      </c>
      <c r="F16" s="10" t="s">
        <v>185</v>
      </c>
      <c r="G16" s="10" t="s">
        <v>185</v>
      </c>
      <c r="H16" s="9" t="s">
        <v>330</v>
      </c>
    </row>
    <row r="17" ht="26" customHeight="1" spans="2:8">
      <c r="B17" s="13" t="s">
        <v>322</v>
      </c>
      <c r="C17" s="14" t="s">
        <v>185</v>
      </c>
      <c r="D17" s="14" t="s">
        <v>185</v>
      </c>
      <c r="E17" s="15" t="s">
        <v>185</v>
      </c>
      <c r="F17" s="15" t="s">
        <v>185</v>
      </c>
      <c r="G17" s="15" t="s">
        <v>185</v>
      </c>
      <c r="H17" s="14" t="s">
        <v>330</v>
      </c>
    </row>
    <row r="18" ht="26" customHeight="1" spans="2:8">
      <c r="B18" s="8" t="s">
        <v>323</v>
      </c>
      <c r="C18" s="9" t="s">
        <v>185</v>
      </c>
      <c r="D18" s="9" t="s">
        <v>185</v>
      </c>
      <c r="E18" s="10" t="s">
        <v>185</v>
      </c>
      <c r="F18" s="10" t="s">
        <v>185</v>
      </c>
      <c r="G18" s="10" t="s">
        <v>185</v>
      </c>
      <c r="H18" s="9" t="s">
        <v>330</v>
      </c>
    </row>
    <row r="19" ht="26" customHeight="1" spans="2:8">
      <c r="B19" s="13" t="s">
        <v>331</v>
      </c>
      <c r="C19" s="14" t="s">
        <v>185</v>
      </c>
      <c r="D19" s="14" t="s">
        <v>185</v>
      </c>
      <c r="E19" s="15" t="s">
        <v>185</v>
      </c>
      <c r="F19" s="15" t="s">
        <v>185</v>
      </c>
      <c r="G19" s="15" t="s">
        <v>185</v>
      </c>
      <c r="H19" s="14" t="s">
        <v>330</v>
      </c>
    </row>
    <row r="20" ht="26" customHeight="1"/>
    <row r="21" ht="24" customHeight="1" spans="2:8">
      <c r="B21" s="11" t="s">
        <v>332</v>
      </c>
    </row>
    <row r="22" ht="26" customHeight="1" spans="2:8">
      <c r="B22" s="55" t="s">
        <v>333</v>
      </c>
      <c r="C22" s="46"/>
      <c r="D22" s="46"/>
      <c r="E22" s="47"/>
      <c r="F22" s="48">
        <f>COUNTA(B5:B19)</f>
        <v>15</v>
      </c>
      <c r="G22" s="46"/>
      <c r="H22" s="47"/>
    </row>
    <row r="23" ht="26" customHeight="1" spans="2:8">
      <c r="B23" s="44" t="s">
        <v>334</v>
      </c>
      <c r="C23" s="46"/>
      <c r="D23" s="46"/>
      <c r="E23" s="47"/>
      <c r="F23" s="35">
        <f>COUNTIF(H5:H19,"Implemented")</f>
        <v>0</v>
      </c>
      <c r="G23" s="46"/>
      <c r="H23" s="47"/>
    </row>
    <row r="24" ht="26" customHeight="1" spans="2:8">
      <c r="B24" s="55" t="s">
        <v>330</v>
      </c>
      <c r="C24" s="46"/>
      <c r="D24" s="46"/>
      <c r="E24" s="47"/>
      <c r="F24" s="48">
        <f>COUNTIF(H5:H19,"In Progress")</f>
        <v>15</v>
      </c>
      <c r="G24" s="46"/>
      <c r="H24" s="47"/>
    </row>
    <row r="25" ht="26" customHeight="1" spans="2:8">
      <c r="B25" s="44" t="s">
        <v>310</v>
      </c>
      <c r="C25" s="46"/>
      <c r="D25" s="46"/>
      <c r="E25" s="47"/>
      <c r="F25" s="35">
        <f>COUNTIF(H5:H19,"Pending")</f>
        <v>0</v>
      </c>
      <c r="G25" s="46"/>
      <c r="H25" s="47"/>
    </row>
    <row r="26" ht="26" customHeight="1" spans="2:8">
      <c r="B26" s="55" t="s">
        <v>335</v>
      </c>
      <c r="C26" s="46"/>
      <c r="D26" s="46"/>
      <c r="E26" s="47"/>
      <c r="F26" s="48">
        <f>COUNTIF(H5:H19,"Deferred")</f>
        <v>0</v>
      </c>
      <c r="G26" s="46"/>
      <c r="H26" s="47"/>
    </row>
    <row r="27" ht="26" customHeight="1" spans="2:8">
      <c r="B27" s="44" t="s">
        <v>336</v>
      </c>
      <c r="C27" s="46"/>
      <c r="D27" s="46"/>
      <c r="E27" s="47"/>
      <c r="F27" s="35" t="str">
        <f>IFERROR(ROUND(C23/C22*100,1),"")</f>
        <v/>
      </c>
      <c r="G27" s="46"/>
      <c r="H27" s="47"/>
    </row>
  </sheetData>
  <mergeCells count="15">
    <mergeCell ref="B2:H2"/>
    <mergeCell ref="B3:H3"/>
    <mergeCell ref="B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9"/>
  <sheetViews>
    <sheetView showGridLines="0" topLeftCell="A13" workbookViewId="0">
      <selection activeCell="A1" sqref="A1:K29"/>
    </sheetView>
  </sheetViews>
  <sheetFormatPr defaultColWidth="9" defaultRowHeight="14.4"/>
  <cols>
    <col min="1" max="1" width="3" customWidth="1"/>
    <col min="2" max="2" width="10" customWidth="1"/>
    <col min="3" max="3" width="22" customWidth="1"/>
    <col min="4" max="5" width="14" customWidth="1"/>
    <col min="6" max="10" width="12" customWidth="1"/>
    <col min="11" max="11" width="14" customWidth="1"/>
    <col min="12" max="12" width="3" customWidth="1"/>
  </cols>
  <sheetData>
    <row r="1" ht="10" customHeight="1"/>
    <row r="2" ht="48" customHeight="1" spans="2:11">
      <c r="B2" s="1" t="s">
        <v>337</v>
      </c>
    </row>
    <row r="3" ht="25" customHeight="1" spans="2:11">
      <c r="B3" s="2" t="s">
        <v>338</v>
      </c>
    </row>
    <row r="4" ht="25" customHeight="1" spans="2:11">
      <c r="B4" s="4" t="s">
        <v>339</v>
      </c>
      <c r="C4" s="4" t="s">
        <v>340</v>
      </c>
      <c r="D4" s="4" t="s">
        <v>341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346</v>
      </c>
      <c r="J4" s="4" t="s">
        <v>347</v>
      </c>
      <c r="K4" s="4" t="s">
        <v>308</v>
      </c>
    </row>
    <row r="5" ht="22" customHeight="1" spans="2:11">
      <c r="B5" s="5" t="s">
        <v>348</v>
      </c>
      <c r="C5" s="6" t="s">
        <v>194</v>
      </c>
      <c r="D5" s="6" t="s">
        <v>349</v>
      </c>
      <c r="E5" s="6" t="s">
        <v>185</v>
      </c>
      <c r="F5" s="6" t="s">
        <v>185</v>
      </c>
      <c r="G5" s="7" t="s">
        <v>185</v>
      </c>
      <c r="H5" s="7" t="s">
        <v>185</v>
      </c>
      <c r="I5" s="7" t="s">
        <v>185</v>
      </c>
      <c r="J5" s="7" t="s">
        <v>185</v>
      </c>
      <c r="K5" s="7" t="s">
        <v>350</v>
      </c>
    </row>
    <row r="6" ht="22" customHeight="1" spans="2:11">
      <c r="B6" s="8" t="s">
        <v>351</v>
      </c>
      <c r="C6" s="9" t="s">
        <v>197</v>
      </c>
      <c r="D6" s="9" t="s">
        <v>352</v>
      </c>
      <c r="E6" s="9" t="s">
        <v>185</v>
      </c>
      <c r="F6" s="9" t="s">
        <v>185</v>
      </c>
      <c r="G6" s="10" t="s">
        <v>185</v>
      </c>
      <c r="H6" s="10" t="s">
        <v>185</v>
      </c>
      <c r="I6" s="10" t="s">
        <v>185</v>
      </c>
      <c r="J6" s="10" t="s">
        <v>185</v>
      </c>
      <c r="K6" s="10" t="s">
        <v>350</v>
      </c>
    </row>
    <row r="7" ht="22" customHeight="1" spans="2:11">
      <c r="B7" s="5" t="s">
        <v>353</v>
      </c>
      <c r="C7" s="6" t="s">
        <v>200</v>
      </c>
      <c r="D7" s="6" t="s">
        <v>354</v>
      </c>
      <c r="E7" s="6" t="s">
        <v>185</v>
      </c>
      <c r="F7" s="6" t="s">
        <v>185</v>
      </c>
      <c r="G7" s="7" t="s">
        <v>185</v>
      </c>
      <c r="H7" s="7" t="s">
        <v>185</v>
      </c>
      <c r="I7" s="7" t="s">
        <v>185</v>
      </c>
      <c r="J7" s="7" t="s">
        <v>185</v>
      </c>
      <c r="K7" s="7" t="s">
        <v>350</v>
      </c>
    </row>
    <row r="8" ht="22" customHeight="1" spans="2:11">
      <c r="B8" s="8" t="s">
        <v>355</v>
      </c>
      <c r="C8" s="9" t="s">
        <v>203</v>
      </c>
      <c r="D8" s="9" t="s">
        <v>356</v>
      </c>
      <c r="E8" s="9" t="s">
        <v>185</v>
      </c>
      <c r="F8" s="9" t="s">
        <v>185</v>
      </c>
      <c r="G8" s="10" t="s">
        <v>185</v>
      </c>
      <c r="H8" s="10" t="s">
        <v>185</v>
      </c>
      <c r="I8" s="10" t="s">
        <v>185</v>
      </c>
      <c r="J8" s="10" t="s">
        <v>185</v>
      </c>
      <c r="K8" s="10" t="s">
        <v>350</v>
      </c>
    </row>
    <row r="9" ht="22" customHeight="1" spans="2:11">
      <c r="B9" s="5" t="s">
        <v>357</v>
      </c>
      <c r="C9" s="6" t="s">
        <v>206</v>
      </c>
      <c r="D9" s="6" t="s">
        <v>358</v>
      </c>
      <c r="E9" s="6" t="s">
        <v>185</v>
      </c>
      <c r="F9" s="6" t="s">
        <v>185</v>
      </c>
      <c r="G9" s="7" t="s">
        <v>185</v>
      </c>
      <c r="H9" s="7" t="s">
        <v>185</v>
      </c>
      <c r="I9" s="7" t="s">
        <v>185</v>
      </c>
      <c r="J9" s="7" t="s">
        <v>185</v>
      </c>
      <c r="K9" s="7" t="s">
        <v>350</v>
      </c>
    </row>
    <row r="10" ht="22" customHeight="1" spans="2:11">
      <c r="B10" s="8" t="s">
        <v>359</v>
      </c>
      <c r="C10" s="9" t="s">
        <v>209</v>
      </c>
      <c r="D10" s="9" t="s">
        <v>360</v>
      </c>
      <c r="E10" s="9" t="s">
        <v>185</v>
      </c>
      <c r="F10" s="9" t="s">
        <v>185</v>
      </c>
      <c r="G10" s="10" t="s">
        <v>185</v>
      </c>
      <c r="H10" s="10" t="s">
        <v>185</v>
      </c>
      <c r="I10" s="10" t="s">
        <v>185</v>
      </c>
      <c r="J10" s="10" t="s">
        <v>185</v>
      </c>
      <c r="K10" s="10" t="s">
        <v>350</v>
      </c>
    </row>
    <row r="11" ht="22" customHeight="1" spans="2:11">
      <c r="B11" s="5" t="s">
        <v>361</v>
      </c>
      <c r="C11" s="6" t="s">
        <v>362</v>
      </c>
      <c r="D11" s="6" t="s">
        <v>363</v>
      </c>
      <c r="E11" s="6" t="s">
        <v>185</v>
      </c>
      <c r="F11" s="6" t="s">
        <v>185</v>
      </c>
      <c r="G11" s="7" t="s">
        <v>185</v>
      </c>
      <c r="H11" s="7" t="s">
        <v>185</v>
      </c>
      <c r="I11" s="7" t="s">
        <v>185</v>
      </c>
      <c r="J11" s="7" t="s">
        <v>185</v>
      </c>
      <c r="K11" s="7" t="s">
        <v>350</v>
      </c>
    </row>
    <row r="12" ht="22" customHeight="1" spans="2:11">
      <c r="B12" s="8" t="s">
        <v>364</v>
      </c>
      <c r="C12" s="9" t="s">
        <v>365</v>
      </c>
      <c r="D12" s="9" t="s">
        <v>366</v>
      </c>
      <c r="E12" s="9" t="s">
        <v>185</v>
      </c>
      <c r="F12" s="9" t="s">
        <v>185</v>
      </c>
      <c r="G12" s="10" t="s">
        <v>185</v>
      </c>
      <c r="H12" s="10" t="s">
        <v>185</v>
      </c>
      <c r="I12" s="10" t="s">
        <v>185</v>
      </c>
      <c r="J12" s="10" t="s">
        <v>185</v>
      </c>
      <c r="K12" s="10" t="s">
        <v>350</v>
      </c>
    </row>
    <row r="13" ht="22" customHeight="1" spans="2:11">
      <c r="B13" s="5" t="s">
        <v>367</v>
      </c>
      <c r="C13" s="6" t="s">
        <v>368</v>
      </c>
      <c r="D13" s="6" t="s">
        <v>369</v>
      </c>
      <c r="E13" s="6" t="s">
        <v>185</v>
      </c>
      <c r="F13" s="6" t="s">
        <v>185</v>
      </c>
      <c r="G13" s="7" t="s">
        <v>185</v>
      </c>
      <c r="H13" s="7" t="s">
        <v>185</v>
      </c>
      <c r="I13" s="7" t="s">
        <v>185</v>
      </c>
      <c r="J13" s="7" t="s">
        <v>185</v>
      </c>
      <c r="K13" s="7" t="s">
        <v>350</v>
      </c>
    </row>
    <row r="14" ht="22" customHeight="1" spans="2:11">
      <c r="B14" s="8" t="s">
        <v>370</v>
      </c>
      <c r="C14" s="9" t="s">
        <v>371</v>
      </c>
      <c r="D14" s="9" t="s">
        <v>372</v>
      </c>
      <c r="E14" s="9" t="s">
        <v>185</v>
      </c>
      <c r="F14" s="9" t="s">
        <v>185</v>
      </c>
      <c r="G14" s="10" t="s">
        <v>185</v>
      </c>
      <c r="H14" s="10" t="s">
        <v>185</v>
      </c>
      <c r="I14" s="10" t="s">
        <v>185</v>
      </c>
      <c r="J14" s="10" t="s">
        <v>185</v>
      </c>
      <c r="K14" s="10" t="s">
        <v>350</v>
      </c>
    </row>
    <row r="15" ht="22" customHeight="1" spans="2:11">
      <c r="B15" s="5" t="s">
        <v>373</v>
      </c>
      <c r="C15" s="6" t="s">
        <v>374</v>
      </c>
      <c r="D15" s="6" t="s">
        <v>375</v>
      </c>
      <c r="E15" s="6" t="s">
        <v>185</v>
      </c>
      <c r="F15" s="6" t="s">
        <v>185</v>
      </c>
      <c r="G15" s="7" t="s">
        <v>185</v>
      </c>
      <c r="H15" s="7" t="s">
        <v>185</v>
      </c>
      <c r="I15" s="7" t="s">
        <v>185</v>
      </c>
      <c r="J15" s="7" t="s">
        <v>185</v>
      </c>
      <c r="K15" s="7" t="s">
        <v>350</v>
      </c>
    </row>
    <row r="16" ht="22" customHeight="1" spans="2:11">
      <c r="B16" s="8" t="s">
        <v>376</v>
      </c>
      <c r="C16" s="9" t="s">
        <v>377</v>
      </c>
      <c r="D16" s="9" t="s">
        <v>378</v>
      </c>
      <c r="E16" s="9" t="s">
        <v>185</v>
      </c>
      <c r="F16" s="9" t="s">
        <v>185</v>
      </c>
      <c r="G16" s="10" t="s">
        <v>185</v>
      </c>
      <c r="H16" s="10" t="s">
        <v>185</v>
      </c>
      <c r="I16" s="10" t="s">
        <v>185</v>
      </c>
      <c r="J16" s="10" t="s">
        <v>185</v>
      </c>
      <c r="K16" s="10" t="s">
        <v>350</v>
      </c>
    </row>
    <row r="17" ht="22" customHeight="1" spans="2:11">
      <c r="B17" s="5" t="s">
        <v>379</v>
      </c>
      <c r="C17" s="6" t="s">
        <v>380</v>
      </c>
      <c r="D17" s="6" t="s">
        <v>381</v>
      </c>
      <c r="E17" s="6" t="s">
        <v>185</v>
      </c>
      <c r="F17" s="6" t="s">
        <v>185</v>
      </c>
      <c r="G17" s="7" t="s">
        <v>185</v>
      </c>
      <c r="H17" s="7" t="s">
        <v>185</v>
      </c>
      <c r="I17" s="7" t="s">
        <v>185</v>
      </c>
      <c r="J17" s="7" t="s">
        <v>185</v>
      </c>
      <c r="K17" s="7" t="s">
        <v>350</v>
      </c>
    </row>
    <row r="18" ht="22" customHeight="1" spans="2:11">
      <c r="B18" s="8" t="s">
        <v>382</v>
      </c>
      <c r="C18" s="9" t="s">
        <v>383</v>
      </c>
      <c r="D18" s="9" t="s">
        <v>384</v>
      </c>
      <c r="E18" s="9" t="s">
        <v>185</v>
      </c>
      <c r="F18" s="9" t="s">
        <v>185</v>
      </c>
      <c r="G18" s="10" t="s">
        <v>185</v>
      </c>
      <c r="H18" s="10" t="s">
        <v>185</v>
      </c>
      <c r="I18" s="10" t="s">
        <v>185</v>
      </c>
      <c r="J18" s="10" t="s">
        <v>185</v>
      </c>
      <c r="K18" s="10" t="s">
        <v>350</v>
      </c>
    </row>
    <row r="19" ht="22" customHeight="1" spans="2:11">
      <c r="B19" s="5" t="s">
        <v>385</v>
      </c>
      <c r="C19" s="6" t="s">
        <v>386</v>
      </c>
      <c r="D19" s="6" t="s">
        <v>387</v>
      </c>
      <c r="E19" s="6" t="s">
        <v>185</v>
      </c>
      <c r="F19" s="6" t="s">
        <v>185</v>
      </c>
      <c r="G19" s="7" t="s">
        <v>185</v>
      </c>
      <c r="H19" s="7" t="s">
        <v>185</v>
      </c>
      <c r="I19" s="7" t="s">
        <v>185</v>
      </c>
      <c r="J19" s="7" t="s">
        <v>185</v>
      </c>
      <c r="K19" s="7" t="s">
        <v>350</v>
      </c>
    </row>
    <row r="20" ht="22" customHeight="1" spans="2:11">
      <c r="B20" s="8" t="s">
        <v>388</v>
      </c>
      <c r="C20" s="9" t="s">
        <v>389</v>
      </c>
      <c r="D20" s="9" t="s">
        <v>390</v>
      </c>
      <c r="E20" s="9" t="s">
        <v>185</v>
      </c>
      <c r="F20" s="9" t="s">
        <v>185</v>
      </c>
      <c r="G20" s="10" t="s">
        <v>185</v>
      </c>
      <c r="H20" s="10" t="s">
        <v>185</v>
      </c>
      <c r="I20" s="10" t="s">
        <v>185</v>
      </c>
      <c r="J20" s="10" t="s">
        <v>185</v>
      </c>
      <c r="K20" s="10" t="s">
        <v>350</v>
      </c>
    </row>
    <row r="21" ht="22" customHeight="1" spans="2:11">
      <c r="B21" s="5" t="s">
        <v>391</v>
      </c>
      <c r="C21" s="6" t="s">
        <v>392</v>
      </c>
      <c r="D21" s="6" t="s">
        <v>393</v>
      </c>
      <c r="E21" s="6" t="s">
        <v>185</v>
      </c>
      <c r="F21" s="6" t="s">
        <v>185</v>
      </c>
      <c r="G21" s="7" t="s">
        <v>185</v>
      </c>
      <c r="H21" s="7" t="s">
        <v>185</v>
      </c>
      <c r="I21" s="7" t="s">
        <v>185</v>
      </c>
      <c r="J21" s="7" t="s">
        <v>185</v>
      </c>
      <c r="K21" s="7" t="s">
        <v>350</v>
      </c>
    </row>
    <row r="22" ht="22" customHeight="1"/>
    <row r="23" ht="24" customHeight="1" spans="2:11">
      <c r="B23" s="11" t="s">
        <v>394</v>
      </c>
    </row>
    <row r="24" ht="22" customHeight="1" spans="2:11">
      <c r="B24" s="12" t="s">
        <v>395</v>
      </c>
      <c r="C24" s="12" t="s">
        <v>396</v>
      </c>
      <c r="D24" s="12" t="s">
        <v>397</v>
      </c>
      <c r="E24" s="12" t="s">
        <v>347</v>
      </c>
      <c r="F24" s="12" t="s">
        <v>398</v>
      </c>
      <c r="G24" s="12" t="s">
        <v>399</v>
      </c>
      <c r="H24" s="12" t="s">
        <v>400</v>
      </c>
      <c r="I24" s="12" t="s">
        <v>401</v>
      </c>
    </row>
    <row r="25" ht="22" customHeight="1" spans="2:11">
      <c r="B25" s="14" t="s">
        <v>402</v>
      </c>
      <c r="C25" s="15" t="s">
        <v>185</v>
      </c>
      <c r="D25" s="15" t="s">
        <v>185</v>
      </c>
      <c r="E25" s="15" t="s">
        <v>185</v>
      </c>
      <c r="F25" s="15" t="s">
        <v>185</v>
      </c>
      <c r="G25" s="15" t="s">
        <v>185</v>
      </c>
      <c r="H25" s="15" t="s">
        <v>185</v>
      </c>
      <c r="I25" s="14" t="s">
        <v>185</v>
      </c>
      <c r="J25" s="49"/>
      <c r="K25" s="49"/>
    </row>
    <row r="26" ht="22" customHeight="1" spans="2:11">
      <c r="B26" s="9" t="s">
        <v>403</v>
      </c>
      <c r="C26" s="10" t="s">
        <v>185</v>
      </c>
      <c r="D26" s="10" t="s">
        <v>185</v>
      </c>
      <c r="E26" s="10" t="s">
        <v>185</v>
      </c>
      <c r="F26" s="10" t="s">
        <v>185</v>
      </c>
      <c r="G26" s="10" t="s">
        <v>185</v>
      </c>
      <c r="H26" s="10" t="s">
        <v>185</v>
      </c>
      <c r="I26" s="9" t="s">
        <v>185</v>
      </c>
      <c r="J26" s="45"/>
      <c r="K26" s="45"/>
    </row>
    <row r="27" ht="22" customHeight="1" spans="2:11">
      <c r="B27" s="14" t="s">
        <v>404</v>
      </c>
      <c r="C27" s="15" t="s">
        <v>185</v>
      </c>
      <c r="D27" s="15" t="s">
        <v>185</v>
      </c>
      <c r="E27" s="15" t="s">
        <v>185</v>
      </c>
      <c r="F27" s="15" t="s">
        <v>185</v>
      </c>
      <c r="G27" s="15" t="s">
        <v>185</v>
      </c>
      <c r="H27" s="15" t="s">
        <v>185</v>
      </c>
      <c r="I27" s="14" t="s">
        <v>185</v>
      </c>
      <c r="J27" s="49"/>
      <c r="K27" s="49"/>
    </row>
    <row r="28" ht="22" customHeight="1" spans="2:11">
      <c r="B28" s="9" t="s">
        <v>405</v>
      </c>
      <c r="C28" s="10" t="s">
        <v>185</v>
      </c>
      <c r="D28" s="10" t="s">
        <v>185</v>
      </c>
      <c r="E28" s="10" t="s">
        <v>185</v>
      </c>
      <c r="F28" s="10" t="s">
        <v>185</v>
      </c>
      <c r="G28" s="10" t="s">
        <v>185</v>
      </c>
      <c r="H28" s="10" t="s">
        <v>185</v>
      </c>
      <c r="I28" s="9" t="s">
        <v>185</v>
      </c>
      <c r="J28" s="45"/>
      <c r="K28" s="45"/>
    </row>
    <row r="29" ht="22" customHeight="1" spans="2:11">
      <c r="B29" s="50" t="s">
        <v>406</v>
      </c>
      <c r="C29" s="51" t="s">
        <v>185</v>
      </c>
      <c r="D29" s="51" t="s">
        <v>185</v>
      </c>
      <c r="E29" s="51" t="s">
        <v>185</v>
      </c>
      <c r="F29" s="51" t="s">
        <v>185</v>
      </c>
      <c r="G29" s="51" t="s">
        <v>185</v>
      </c>
      <c r="H29" s="51" t="s">
        <v>185</v>
      </c>
      <c r="I29" s="50" t="s">
        <v>185</v>
      </c>
      <c r="J29" s="52"/>
      <c r="K29" s="52"/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3">
    <mergeCell ref="B2:K2"/>
    <mergeCell ref="B3:K3"/>
    <mergeCell ref="B23:K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9"/>
  <sheetViews>
    <sheetView showGridLines="0" tabSelected="1" topLeftCell="A35" workbookViewId="0">
      <selection activeCell="A1" sqref="A1:E48"/>
    </sheetView>
  </sheetViews>
  <sheetFormatPr defaultColWidth="9" defaultRowHeight="14.4" outlineLevelCol="4"/>
  <cols>
    <col min="1" max="1" width="3" customWidth="1"/>
    <col min="2" max="2" width="8" customWidth="1"/>
    <col min="3" max="3" width="32" customWidth="1"/>
    <col min="4" max="5" width="20" customWidth="1"/>
    <col min="6" max="6" width="3" customWidth="1"/>
  </cols>
  <sheetData>
    <row r="1" ht="10" customHeight="1"/>
    <row r="2" ht="52" customHeight="1" spans="2:5">
      <c r="B2" s="1" t="s">
        <v>407</v>
      </c>
    </row>
    <row r="3" ht="25" customHeight="1" spans="2:5">
      <c r="B3" s="2" t="s">
        <v>408</v>
      </c>
    </row>
    <row r="4" ht="24" customHeight="1" spans="2:5">
      <c r="B4" s="3" t="s">
        <v>409</v>
      </c>
    </row>
    <row r="5" ht="26" customHeight="1" spans="2:5">
      <c r="B5" s="53" t="s">
        <v>410</v>
      </c>
      <c r="C5" s="9"/>
      <c r="D5" s="46"/>
      <c r="E5" s="47"/>
    </row>
    <row r="6" ht="26" customHeight="1" spans="2:5">
      <c r="B6" s="53" t="s">
        <v>411</v>
      </c>
      <c r="C6" s="9"/>
      <c r="D6" s="46"/>
      <c r="E6" s="47"/>
    </row>
    <row r="7" ht="26" customHeight="1" spans="2:5">
      <c r="B7" s="53" t="s">
        <v>412</v>
      </c>
      <c r="C7" s="54" t="s">
        <v>413</v>
      </c>
      <c r="D7" s="46"/>
      <c r="E7" s="47"/>
    </row>
    <row r="8" ht="26" customHeight="1" spans="2:5">
      <c r="B8" s="53" t="s">
        <v>414</v>
      </c>
      <c r="C8" s="9"/>
      <c r="D8" s="46"/>
      <c r="E8" s="47"/>
    </row>
    <row r="9" ht="26" customHeight="1" spans="2:5">
      <c r="B9" s="53" t="s">
        <v>415</v>
      </c>
      <c r="C9" s="9"/>
      <c r="D9" s="46"/>
      <c r="E9" s="47"/>
    </row>
    <row r="10" ht="26" customHeight="1" spans="2:5">
      <c r="B10" s="53" t="s">
        <v>416</v>
      </c>
      <c r="C10" s="9"/>
      <c r="D10" s="46"/>
      <c r="E10" s="47"/>
    </row>
    <row r="11" ht="26" customHeight="1" spans="2:5">
      <c r="B11" s="53" t="s">
        <v>417</v>
      </c>
      <c r="C11" s="9"/>
      <c r="D11" s="46"/>
      <c r="E11" s="47"/>
    </row>
    <row r="12" ht="26" customHeight="1" spans="2:5">
      <c r="B12" s="53" t="s">
        <v>418</v>
      </c>
      <c r="C12" s="9"/>
      <c r="D12" s="46"/>
      <c r="E12" s="47"/>
    </row>
    <row r="13" ht="26" customHeight="1" spans="2:5">
      <c r="B13" s="53" t="s">
        <v>419</v>
      </c>
      <c r="C13" s="9"/>
      <c r="D13" s="46"/>
      <c r="E13" s="47"/>
    </row>
    <row r="14" ht="26" customHeight="1" spans="2:5">
      <c r="B14" s="53" t="s">
        <v>420</v>
      </c>
      <c r="C14" s="9"/>
      <c r="D14" s="46"/>
      <c r="E14" s="47"/>
    </row>
    <row r="15" ht="28" customHeight="1"/>
    <row r="16" ht="24" customHeight="1" spans="2:5">
      <c r="B16" s="11" t="s">
        <v>421</v>
      </c>
    </row>
    <row r="17" ht="28" customHeight="1" spans="2:5">
      <c r="B17" s="12" t="s">
        <v>286</v>
      </c>
      <c r="C17" s="12" t="s">
        <v>422</v>
      </c>
      <c r="D17" s="12" t="s">
        <v>423</v>
      </c>
      <c r="E17" s="12" t="s">
        <v>424</v>
      </c>
    </row>
    <row r="18" ht="28" customHeight="1" spans="2:5">
      <c r="B18" s="55" t="s">
        <v>425</v>
      </c>
      <c r="C18" s="14" t="s">
        <v>185</v>
      </c>
      <c r="D18" s="15" t="s">
        <v>185</v>
      </c>
      <c r="E18" s="14" t="s">
        <v>185</v>
      </c>
    </row>
    <row r="19" ht="28" customHeight="1" spans="2:5">
      <c r="B19" s="44" t="s">
        <v>426</v>
      </c>
      <c r="C19" s="9" t="s">
        <v>185</v>
      </c>
      <c r="D19" s="10" t="s">
        <v>185</v>
      </c>
      <c r="E19" s="9" t="s">
        <v>185</v>
      </c>
    </row>
    <row r="20" ht="28" customHeight="1" spans="2:5">
      <c r="B20" s="55" t="s">
        <v>427</v>
      </c>
      <c r="C20" s="14" t="s">
        <v>185</v>
      </c>
      <c r="D20" s="15" t="s">
        <v>185</v>
      </c>
      <c r="E20" s="14" t="s">
        <v>185</v>
      </c>
    </row>
    <row r="21" ht="28" customHeight="1" spans="2:5">
      <c r="B21" s="44" t="s">
        <v>428</v>
      </c>
      <c r="C21" s="9" t="s">
        <v>185</v>
      </c>
      <c r="D21" s="10" t="s">
        <v>185</v>
      </c>
      <c r="E21" s="9" t="s">
        <v>185</v>
      </c>
    </row>
    <row r="22" ht="28" customHeight="1" spans="2:5">
      <c r="B22" s="55" t="s">
        <v>429</v>
      </c>
      <c r="C22" s="14" t="s">
        <v>185</v>
      </c>
      <c r="D22" s="15" t="s">
        <v>185</v>
      </c>
      <c r="E22" s="14" t="s">
        <v>185</v>
      </c>
    </row>
    <row r="23" ht="28" customHeight="1" spans="2:5">
      <c r="B23" s="44" t="s">
        <v>430</v>
      </c>
      <c r="C23" s="9" t="s">
        <v>185</v>
      </c>
      <c r="D23" s="10" t="s">
        <v>185</v>
      </c>
      <c r="E23" s="9" t="s">
        <v>185</v>
      </c>
    </row>
    <row r="24" ht="28" customHeight="1" spans="2:5">
      <c r="B24" s="55" t="s">
        <v>431</v>
      </c>
      <c r="C24" s="14" t="s">
        <v>185</v>
      </c>
      <c r="D24" s="15" t="s">
        <v>185</v>
      </c>
      <c r="E24" s="14" t="s">
        <v>185</v>
      </c>
    </row>
    <row r="25" ht="28" customHeight="1" spans="2:5">
      <c r="B25" s="44" t="s">
        <v>432</v>
      </c>
      <c r="C25" s="9" t="s">
        <v>185</v>
      </c>
      <c r="D25" s="10" t="s">
        <v>185</v>
      </c>
      <c r="E25" s="9" t="s">
        <v>185</v>
      </c>
    </row>
    <row r="26" ht="28" customHeight="1" spans="2:5">
      <c r="B26" s="55" t="s">
        <v>433</v>
      </c>
      <c r="C26" s="14" t="s">
        <v>185</v>
      </c>
      <c r="D26" s="15" t="s">
        <v>185</v>
      </c>
      <c r="E26" s="14" t="s">
        <v>185</v>
      </c>
    </row>
    <row r="27" ht="28" customHeight="1"/>
    <row r="28" ht="24" customHeight="1" spans="2:5">
      <c r="B28" s="56" t="s">
        <v>434</v>
      </c>
    </row>
    <row r="29" ht="28" customHeight="1" spans="2:5">
      <c r="B29" s="57" t="s">
        <v>177</v>
      </c>
      <c r="C29" s="57" t="s">
        <v>435</v>
      </c>
      <c r="D29" s="57" t="s">
        <v>436</v>
      </c>
      <c r="E29" s="57" t="s">
        <v>437</v>
      </c>
    </row>
    <row r="30" ht="28" customHeight="1" spans="2:5">
      <c r="B30" s="51">
        <v>1</v>
      </c>
      <c r="C30" s="58" t="s">
        <v>185</v>
      </c>
      <c r="D30" s="59" t="s">
        <v>185</v>
      </c>
      <c r="E30" s="59" t="s">
        <v>185</v>
      </c>
    </row>
    <row r="31" ht="28" customHeight="1" spans="2:5">
      <c r="B31" s="8">
        <v>2</v>
      </c>
      <c r="C31" s="9" t="s">
        <v>185</v>
      </c>
      <c r="D31" s="10" t="s">
        <v>185</v>
      </c>
      <c r="E31" s="10" t="s">
        <v>185</v>
      </c>
    </row>
    <row r="32" ht="28" customHeight="1" spans="2:5">
      <c r="B32" s="51">
        <v>3</v>
      </c>
      <c r="C32" s="58" t="s">
        <v>185</v>
      </c>
      <c r="D32" s="59" t="s">
        <v>185</v>
      </c>
      <c r="E32" s="59" t="s">
        <v>185</v>
      </c>
    </row>
    <row r="33" ht="28" customHeight="1" spans="2:5">
      <c r="B33" s="8">
        <v>4</v>
      </c>
      <c r="C33" s="9" t="s">
        <v>185</v>
      </c>
      <c r="D33" s="10" t="s">
        <v>185</v>
      </c>
      <c r="E33" s="10" t="s">
        <v>185</v>
      </c>
    </row>
    <row r="34" ht="28" customHeight="1" spans="2:5">
      <c r="B34" s="51">
        <v>5</v>
      </c>
      <c r="C34" s="58" t="s">
        <v>185</v>
      </c>
      <c r="D34" s="59" t="s">
        <v>185</v>
      </c>
      <c r="E34" s="59" t="s">
        <v>185</v>
      </c>
    </row>
    <row r="35" ht="28" customHeight="1" spans="2:5">
      <c r="B35" s="8">
        <v>6</v>
      </c>
      <c r="C35" s="9" t="s">
        <v>185</v>
      </c>
      <c r="D35" s="10" t="s">
        <v>185</v>
      </c>
      <c r="E35" s="10" t="s">
        <v>185</v>
      </c>
    </row>
    <row r="36" ht="28" customHeight="1" spans="2:5">
      <c r="B36" s="51">
        <v>7</v>
      </c>
      <c r="C36" s="58" t="s">
        <v>185</v>
      </c>
      <c r="D36" s="59" t="s">
        <v>185</v>
      </c>
      <c r="E36" s="59" t="s">
        <v>185</v>
      </c>
    </row>
    <row r="37" ht="28" customHeight="1" spans="2:5">
      <c r="B37" s="8">
        <v>8</v>
      </c>
      <c r="C37" s="9" t="s">
        <v>185</v>
      </c>
      <c r="D37" s="10" t="s">
        <v>185</v>
      </c>
      <c r="E37" s="10" t="s">
        <v>185</v>
      </c>
    </row>
    <row r="38" ht="28" customHeight="1" spans="2:5">
      <c r="B38" s="51">
        <v>9</v>
      </c>
      <c r="C38" s="58" t="s">
        <v>185</v>
      </c>
      <c r="D38" s="59" t="s">
        <v>185</v>
      </c>
      <c r="E38" s="59" t="s">
        <v>185</v>
      </c>
    </row>
    <row r="39" ht="28" customHeight="1" spans="2:5">
      <c r="B39" s="8">
        <v>10</v>
      </c>
      <c r="C39" s="9" t="s">
        <v>185</v>
      </c>
      <c r="D39" s="10" t="s">
        <v>185</v>
      </c>
      <c r="E39" s="10" t="s">
        <v>185</v>
      </c>
    </row>
    <row r="40" ht="28" customHeight="1" spans="2:5">
      <c r="B40" s="51">
        <v>11</v>
      </c>
      <c r="C40" s="58" t="s">
        <v>185</v>
      </c>
      <c r="D40" s="59" t="s">
        <v>185</v>
      </c>
      <c r="E40" s="59" t="s">
        <v>185</v>
      </c>
    </row>
    <row r="41" ht="28" customHeight="1" spans="2:5">
      <c r="B41" s="8">
        <v>12</v>
      </c>
      <c r="C41" s="9" t="s">
        <v>185</v>
      </c>
      <c r="D41" s="10" t="s">
        <v>185</v>
      </c>
      <c r="E41" s="10" t="s">
        <v>185</v>
      </c>
    </row>
    <row r="42" ht="28" customHeight="1"/>
    <row r="43" ht="24" customHeight="1" spans="2:5">
      <c r="B43" s="3" t="s">
        <v>438</v>
      </c>
    </row>
    <row r="44" ht="26" customHeight="1" spans="2:5">
      <c r="B44" s="60" t="s">
        <v>439</v>
      </c>
      <c r="C44" s="54" t="s">
        <v>440</v>
      </c>
      <c r="D44" s="46"/>
      <c r="E44" s="47"/>
    </row>
    <row r="45" ht="26" customHeight="1" spans="2:5">
      <c r="B45" s="60" t="s">
        <v>441</v>
      </c>
      <c r="C45" s="54" t="s">
        <v>442</v>
      </c>
      <c r="D45" s="46"/>
      <c r="E45" s="47"/>
    </row>
    <row r="46" ht="26" customHeight="1" spans="2:5">
      <c r="B46" s="60" t="s">
        <v>443</v>
      </c>
      <c r="C46" s="54" t="s">
        <v>444</v>
      </c>
      <c r="D46" s="46"/>
      <c r="E46" s="47"/>
    </row>
    <row r="47" ht="28" customHeight="1"/>
    <row r="48" ht="28" customHeight="1" spans="2:5">
      <c r="B48" s="32" t="s">
        <v>445</v>
      </c>
    </row>
    <row r="49" ht="28" customHeight="1"/>
  </sheetData>
  <mergeCells count="20">
    <mergeCell ref="B2:E2"/>
    <mergeCell ref="B3:E3"/>
    <mergeCell ref="B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E16"/>
    <mergeCell ref="B28:E28"/>
    <mergeCell ref="B43:E43"/>
    <mergeCell ref="C44:E44"/>
    <mergeCell ref="C45:E45"/>
    <mergeCell ref="C46:E46"/>
    <mergeCell ref="B48:E4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4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2" customWidth="1"/>
    <col min="4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446</v>
      </c>
    </row>
    <row r="3" ht="25" customHeight="1" spans="2:10">
      <c r="B3" s="2" t="s">
        <v>447</v>
      </c>
    </row>
    <row r="4" ht="25" customHeight="1" spans="2:10">
      <c r="B4" s="4" t="s">
        <v>448</v>
      </c>
      <c r="C4" s="4" t="s">
        <v>422</v>
      </c>
      <c r="D4" s="4" t="s">
        <v>449</v>
      </c>
      <c r="E4" s="4" t="s">
        <v>450</v>
      </c>
      <c r="F4" s="4" t="s">
        <v>451</v>
      </c>
      <c r="G4" s="4" t="s">
        <v>452</v>
      </c>
      <c r="H4" s="4" t="s">
        <v>453</v>
      </c>
      <c r="I4" s="4" t="s">
        <v>454</v>
      </c>
      <c r="J4" s="4" t="s">
        <v>308</v>
      </c>
    </row>
    <row r="5" ht="22" customHeight="1" spans="2:10">
      <c r="B5" s="5" t="s">
        <v>455</v>
      </c>
      <c r="C5" s="6" t="s">
        <v>185</v>
      </c>
      <c r="D5" s="7" t="s">
        <v>185</v>
      </c>
      <c r="E5" s="7" t="s">
        <v>185</v>
      </c>
      <c r="F5" s="7" t="s">
        <v>185</v>
      </c>
      <c r="G5" s="7" t="s">
        <v>185</v>
      </c>
      <c r="H5" s="7" t="s">
        <v>456</v>
      </c>
      <c r="I5" s="7" t="s">
        <v>185</v>
      </c>
      <c r="J5" s="7" t="s">
        <v>350</v>
      </c>
    </row>
    <row r="6" ht="22" customHeight="1" spans="2:10">
      <c r="B6" s="8" t="s">
        <v>457</v>
      </c>
      <c r="C6" s="9" t="s">
        <v>185</v>
      </c>
      <c r="D6" s="10" t="s">
        <v>185</v>
      </c>
      <c r="E6" s="10" t="s">
        <v>185</v>
      </c>
      <c r="F6" s="10" t="s">
        <v>185</v>
      </c>
      <c r="G6" s="10" t="s">
        <v>185</v>
      </c>
      <c r="H6" s="10" t="s">
        <v>458</v>
      </c>
      <c r="I6" s="10" t="s">
        <v>185</v>
      </c>
      <c r="J6" s="10" t="s">
        <v>350</v>
      </c>
    </row>
    <row r="7" ht="22" customHeight="1" spans="2:10">
      <c r="B7" s="5" t="s">
        <v>459</v>
      </c>
      <c r="C7" s="6" t="s">
        <v>185</v>
      </c>
      <c r="D7" s="7" t="s">
        <v>185</v>
      </c>
      <c r="E7" s="7" t="s">
        <v>185</v>
      </c>
      <c r="F7" s="7" t="s">
        <v>185</v>
      </c>
      <c r="G7" s="7" t="s">
        <v>185</v>
      </c>
      <c r="H7" s="7" t="s">
        <v>427</v>
      </c>
      <c r="I7" s="7" t="s">
        <v>185</v>
      </c>
      <c r="J7" s="7" t="s">
        <v>350</v>
      </c>
    </row>
    <row r="8" ht="22" customHeight="1" spans="2:10">
      <c r="B8" s="8" t="s">
        <v>460</v>
      </c>
      <c r="C8" s="9" t="s">
        <v>185</v>
      </c>
      <c r="D8" s="10" t="s">
        <v>185</v>
      </c>
      <c r="E8" s="10" t="s">
        <v>185</v>
      </c>
      <c r="F8" s="10" t="s">
        <v>185</v>
      </c>
      <c r="G8" s="10" t="s">
        <v>185</v>
      </c>
      <c r="H8" s="10" t="s">
        <v>428</v>
      </c>
      <c r="I8" s="10" t="s">
        <v>185</v>
      </c>
      <c r="J8" s="10" t="s">
        <v>350</v>
      </c>
    </row>
    <row r="9" ht="22" customHeight="1" spans="2:10">
      <c r="B9" s="5" t="s">
        <v>461</v>
      </c>
      <c r="C9" s="6" t="s">
        <v>185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429</v>
      </c>
      <c r="I9" s="7" t="s">
        <v>185</v>
      </c>
      <c r="J9" s="7" t="s">
        <v>350</v>
      </c>
    </row>
    <row r="10" ht="22" customHeight="1" spans="2:10">
      <c r="B10" s="8" t="s">
        <v>462</v>
      </c>
      <c r="C10" s="9" t="s">
        <v>185</v>
      </c>
      <c r="D10" s="10" t="s">
        <v>185</v>
      </c>
      <c r="E10" s="10" t="s">
        <v>185</v>
      </c>
      <c r="F10" s="10" t="s">
        <v>185</v>
      </c>
      <c r="G10" s="10" t="s">
        <v>185</v>
      </c>
      <c r="H10" s="10" t="s">
        <v>463</v>
      </c>
      <c r="I10" s="10" t="s">
        <v>185</v>
      </c>
      <c r="J10" s="10" t="s">
        <v>350</v>
      </c>
    </row>
    <row r="11" ht="22" customHeight="1" spans="2:10">
      <c r="B11" s="5" t="s">
        <v>464</v>
      </c>
      <c r="C11" s="6" t="s">
        <v>185</v>
      </c>
      <c r="D11" s="7" t="s">
        <v>185</v>
      </c>
      <c r="E11" s="7" t="s">
        <v>185</v>
      </c>
      <c r="F11" s="7" t="s">
        <v>185</v>
      </c>
      <c r="G11" s="7" t="s">
        <v>185</v>
      </c>
      <c r="H11" s="7" t="s">
        <v>465</v>
      </c>
      <c r="I11" s="7" t="s">
        <v>185</v>
      </c>
      <c r="J11" s="7" t="s">
        <v>350</v>
      </c>
    </row>
    <row r="12" ht="22" customHeight="1" spans="2:10">
      <c r="B12" s="8" t="s">
        <v>466</v>
      </c>
      <c r="C12" s="9" t="s">
        <v>185</v>
      </c>
      <c r="D12" s="10" t="s">
        <v>185</v>
      </c>
      <c r="E12" s="10" t="s">
        <v>185</v>
      </c>
      <c r="F12" s="10" t="s">
        <v>185</v>
      </c>
      <c r="G12" s="10" t="s">
        <v>185</v>
      </c>
      <c r="H12" s="10" t="s">
        <v>467</v>
      </c>
      <c r="I12" s="10" t="s">
        <v>185</v>
      </c>
      <c r="J12" s="10" t="s">
        <v>350</v>
      </c>
    </row>
    <row r="13" ht="22" customHeight="1" spans="2:10">
      <c r="B13" s="5" t="s">
        <v>468</v>
      </c>
      <c r="C13" s="6" t="s">
        <v>185</v>
      </c>
      <c r="D13" s="7" t="s">
        <v>185</v>
      </c>
      <c r="E13" s="7" t="s">
        <v>185</v>
      </c>
      <c r="F13" s="7" t="s">
        <v>185</v>
      </c>
      <c r="G13" s="7" t="s">
        <v>185</v>
      </c>
      <c r="H13" s="7" t="s">
        <v>469</v>
      </c>
      <c r="I13" s="7" t="s">
        <v>185</v>
      </c>
      <c r="J13" s="7" t="s">
        <v>350</v>
      </c>
    </row>
    <row r="14" ht="22" customHeight="1" spans="2:10">
      <c r="B14" s="8" t="s">
        <v>470</v>
      </c>
      <c r="C14" s="9" t="s">
        <v>185</v>
      </c>
      <c r="D14" s="10" t="s">
        <v>185</v>
      </c>
      <c r="E14" s="10" t="s">
        <v>185</v>
      </c>
      <c r="F14" s="10" t="s">
        <v>185</v>
      </c>
      <c r="G14" s="10" t="s">
        <v>185</v>
      </c>
      <c r="H14" s="10" t="s">
        <v>471</v>
      </c>
      <c r="I14" s="10" t="s">
        <v>185</v>
      </c>
      <c r="J14" s="10" t="s">
        <v>350</v>
      </c>
    </row>
    <row r="15" ht="22" customHeight="1" spans="2:10">
      <c r="B15" s="5" t="s">
        <v>472</v>
      </c>
      <c r="C15" s="6" t="s">
        <v>185</v>
      </c>
      <c r="D15" s="7" t="s">
        <v>185</v>
      </c>
      <c r="E15" s="7" t="s">
        <v>185</v>
      </c>
      <c r="F15" s="7" t="s">
        <v>185</v>
      </c>
      <c r="G15" s="7" t="s">
        <v>185</v>
      </c>
      <c r="H15" s="7" t="s">
        <v>456</v>
      </c>
      <c r="I15" s="7" t="s">
        <v>185</v>
      </c>
      <c r="J15" s="7" t="s">
        <v>350</v>
      </c>
    </row>
    <row r="16" ht="22" customHeight="1" spans="2:10">
      <c r="B16" s="8" t="s">
        <v>473</v>
      </c>
      <c r="C16" s="9" t="s">
        <v>185</v>
      </c>
      <c r="D16" s="10" t="s">
        <v>185</v>
      </c>
      <c r="E16" s="10" t="s">
        <v>185</v>
      </c>
      <c r="F16" s="10" t="s">
        <v>185</v>
      </c>
      <c r="G16" s="10" t="s">
        <v>185</v>
      </c>
      <c r="H16" s="10" t="s">
        <v>458</v>
      </c>
      <c r="I16" s="10" t="s">
        <v>185</v>
      </c>
      <c r="J16" s="10" t="s">
        <v>350</v>
      </c>
    </row>
    <row r="17" ht="22" customHeight="1" spans="2:10">
      <c r="B17" s="5" t="s">
        <v>474</v>
      </c>
      <c r="C17" s="6" t="s">
        <v>185</v>
      </c>
      <c r="D17" s="7" t="s">
        <v>185</v>
      </c>
      <c r="E17" s="7" t="s">
        <v>185</v>
      </c>
      <c r="F17" s="7" t="s">
        <v>185</v>
      </c>
      <c r="G17" s="7" t="s">
        <v>185</v>
      </c>
      <c r="H17" s="7" t="s">
        <v>427</v>
      </c>
      <c r="I17" s="7" t="s">
        <v>185</v>
      </c>
      <c r="J17" s="7" t="s">
        <v>350</v>
      </c>
    </row>
    <row r="18" ht="22" customHeight="1" spans="2:10">
      <c r="B18" s="8" t="s">
        <v>475</v>
      </c>
      <c r="C18" s="9" t="s">
        <v>185</v>
      </c>
      <c r="D18" s="10" t="s">
        <v>185</v>
      </c>
      <c r="E18" s="10" t="s">
        <v>185</v>
      </c>
      <c r="F18" s="10" t="s">
        <v>185</v>
      </c>
      <c r="G18" s="10" t="s">
        <v>185</v>
      </c>
      <c r="H18" s="10" t="s">
        <v>428</v>
      </c>
      <c r="I18" s="10" t="s">
        <v>185</v>
      </c>
      <c r="J18" s="10" t="s">
        <v>350</v>
      </c>
    </row>
    <row r="19" ht="22" customHeight="1" spans="2:10">
      <c r="B19" s="5" t="s">
        <v>476</v>
      </c>
      <c r="C19" s="6" t="s">
        <v>185</v>
      </c>
      <c r="D19" s="7" t="s">
        <v>185</v>
      </c>
      <c r="E19" s="7" t="s">
        <v>185</v>
      </c>
      <c r="F19" s="7" t="s">
        <v>185</v>
      </c>
      <c r="G19" s="7" t="s">
        <v>185</v>
      </c>
      <c r="H19" s="7" t="s">
        <v>429</v>
      </c>
      <c r="I19" s="7" t="s">
        <v>185</v>
      </c>
      <c r="J19" s="7" t="s">
        <v>350</v>
      </c>
    </row>
    <row r="20" ht="22" customHeight="1" spans="2:10">
      <c r="B20" s="8" t="s">
        <v>477</v>
      </c>
      <c r="C20" s="9" t="s">
        <v>185</v>
      </c>
      <c r="D20" s="10" t="s">
        <v>185</v>
      </c>
      <c r="E20" s="10" t="s">
        <v>185</v>
      </c>
      <c r="F20" s="10" t="s">
        <v>185</v>
      </c>
      <c r="G20" s="10" t="s">
        <v>185</v>
      </c>
      <c r="H20" s="10" t="s">
        <v>463</v>
      </c>
      <c r="I20" s="10" t="s">
        <v>185</v>
      </c>
      <c r="J20" s="10" t="s">
        <v>350</v>
      </c>
    </row>
    <row r="21" ht="22" customHeight="1" spans="2:10">
      <c r="B21" s="5" t="s">
        <v>478</v>
      </c>
      <c r="C21" s="6" t="s">
        <v>185</v>
      </c>
      <c r="D21" s="7" t="s">
        <v>185</v>
      </c>
      <c r="E21" s="7" t="s">
        <v>185</v>
      </c>
      <c r="F21" s="7" t="s">
        <v>185</v>
      </c>
      <c r="G21" s="7" t="s">
        <v>185</v>
      </c>
      <c r="H21" s="7" t="s">
        <v>465</v>
      </c>
      <c r="I21" s="7" t="s">
        <v>185</v>
      </c>
      <c r="J21" s="7" t="s">
        <v>350</v>
      </c>
    </row>
    <row r="22" ht="22" customHeight="1" spans="2:10">
      <c r="B22" s="8" t="s">
        <v>479</v>
      </c>
      <c r="C22" s="9" t="s">
        <v>185</v>
      </c>
      <c r="D22" s="10" t="s">
        <v>185</v>
      </c>
      <c r="E22" s="10" t="s">
        <v>185</v>
      </c>
      <c r="F22" s="10" t="s">
        <v>185</v>
      </c>
      <c r="G22" s="10" t="s">
        <v>185</v>
      </c>
      <c r="H22" s="10" t="s">
        <v>467</v>
      </c>
      <c r="I22" s="10" t="s">
        <v>185</v>
      </c>
      <c r="J22" s="10" t="s">
        <v>350</v>
      </c>
    </row>
    <row r="23" ht="22" customHeight="1" spans="2:10">
      <c r="B23" s="5" t="s">
        <v>480</v>
      </c>
      <c r="C23" s="6" t="s">
        <v>185</v>
      </c>
      <c r="D23" s="7" t="s">
        <v>185</v>
      </c>
      <c r="E23" s="7" t="s">
        <v>185</v>
      </c>
      <c r="F23" s="7" t="s">
        <v>185</v>
      </c>
      <c r="G23" s="7" t="s">
        <v>185</v>
      </c>
      <c r="H23" s="7" t="s">
        <v>469</v>
      </c>
      <c r="I23" s="7" t="s">
        <v>185</v>
      </c>
      <c r="J23" s="7" t="s">
        <v>350</v>
      </c>
    </row>
    <row r="24" ht="22" customHeight="1" spans="2:10">
      <c r="B24" s="8" t="s">
        <v>481</v>
      </c>
      <c r="C24" s="9" t="s">
        <v>185</v>
      </c>
      <c r="D24" s="10" t="s">
        <v>185</v>
      </c>
      <c r="E24" s="10" t="s">
        <v>185</v>
      </c>
      <c r="F24" s="10" t="s">
        <v>185</v>
      </c>
      <c r="G24" s="10" t="s">
        <v>185</v>
      </c>
      <c r="H24" s="10" t="s">
        <v>471</v>
      </c>
      <c r="I24" s="10" t="s">
        <v>185</v>
      </c>
      <c r="J24" s="10" t="s">
        <v>350</v>
      </c>
    </row>
    <row r="25" ht="22" customHeight="1" spans="2:10">
      <c r="B25" s="5" t="s">
        <v>482</v>
      </c>
      <c r="C25" s="6" t="s">
        <v>185</v>
      </c>
      <c r="D25" s="7" t="s">
        <v>185</v>
      </c>
      <c r="E25" s="7" t="s">
        <v>185</v>
      </c>
      <c r="F25" s="7" t="s">
        <v>185</v>
      </c>
      <c r="G25" s="7" t="s">
        <v>185</v>
      </c>
      <c r="H25" s="7" t="s">
        <v>456</v>
      </c>
      <c r="I25" s="7" t="s">
        <v>185</v>
      </c>
      <c r="J25" s="7" t="s">
        <v>350</v>
      </c>
    </row>
    <row r="26" ht="22" customHeight="1" spans="2:10">
      <c r="B26" s="8" t="s">
        <v>483</v>
      </c>
      <c r="C26" s="9" t="s">
        <v>185</v>
      </c>
      <c r="D26" s="10" t="s">
        <v>185</v>
      </c>
      <c r="E26" s="10" t="s">
        <v>185</v>
      </c>
      <c r="F26" s="10" t="s">
        <v>185</v>
      </c>
      <c r="G26" s="10" t="s">
        <v>185</v>
      </c>
      <c r="H26" s="10" t="s">
        <v>458</v>
      </c>
      <c r="I26" s="10" t="s">
        <v>185</v>
      </c>
      <c r="J26" s="10" t="s">
        <v>350</v>
      </c>
    </row>
    <row r="27" ht="22" customHeight="1" spans="2:10">
      <c r="B27" s="5" t="s">
        <v>484</v>
      </c>
      <c r="C27" s="6" t="s">
        <v>185</v>
      </c>
      <c r="D27" s="7" t="s">
        <v>185</v>
      </c>
      <c r="E27" s="7" t="s">
        <v>185</v>
      </c>
      <c r="F27" s="7" t="s">
        <v>185</v>
      </c>
      <c r="G27" s="7" t="s">
        <v>185</v>
      </c>
      <c r="H27" s="7" t="s">
        <v>427</v>
      </c>
      <c r="I27" s="7" t="s">
        <v>185</v>
      </c>
      <c r="J27" s="7" t="s">
        <v>350</v>
      </c>
    </row>
    <row r="28" ht="22" customHeight="1" spans="2:10">
      <c r="B28" s="8" t="s">
        <v>485</v>
      </c>
      <c r="C28" s="9" t="s">
        <v>185</v>
      </c>
      <c r="D28" s="10" t="s">
        <v>185</v>
      </c>
      <c r="E28" s="10" t="s">
        <v>185</v>
      </c>
      <c r="F28" s="10" t="s">
        <v>185</v>
      </c>
      <c r="G28" s="10" t="s">
        <v>185</v>
      </c>
      <c r="H28" s="10" t="s">
        <v>428</v>
      </c>
      <c r="I28" s="10" t="s">
        <v>185</v>
      </c>
      <c r="J28" s="10" t="s">
        <v>350</v>
      </c>
    </row>
    <row r="29" ht="22" customHeight="1" spans="2:10">
      <c r="B29" s="5" t="s">
        <v>486</v>
      </c>
      <c r="C29" s="6" t="s">
        <v>185</v>
      </c>
      <c r="D29" s="7" t="s">
        <v>185</v>
      </c>
      <c r="E29" s="7" t="s">
        <v>185</v>
      </c>
      <c r="F29" s="7" t="s">
        <v>185</v>
      </c>
      <c r="G29" s="7" t="s">
        <v>185</v>
      </c>
      <c r="H29" s="7" t="s">
        <v>429</v>
      </c>
      <c r="I29" s="7" t="s">
        <v>185</v>
      </c>
      <c r="J29" s="7" t="s">
        <v>350</v>
      </c>
    </row>
    <row r="30" ht="22" customHeight="1" spans="2:10">
      <c r="B30" s="8" t="s">
        <v>487</v>
      </c>
      <c r="C30" s="9" t="s">
        <v>185</v>
      </c>
      <c r="D30" s="10" t="s">
        <v>185</v>
      </c>
      <c r="E30" s="10" t="s">
        <v>185</v>
      </c>
      <c r="F30" s="10" t="s">
        <v>185</v>
      </c>
      <c r="G30" s="10" t="s">
        <v>185</v>
      </c>
      <c r="H30" s="10" t="s">
        <v>463</v>
      </c>
      <c r="I30" s="10" t="s">
        <v>185</v>
      </c>
      <c r="J30" s="10" t="s">
        <v>350</v>
      </c>
    </row>
    <row r="31" ht="22" customHeight="1" spans="2:10">
      <c r="B31" s="5" t="s">
        <v>488</v>
      </c>
      <c r="C31" s="6" t="s">
        <v>185</v>
      </c>
      <c r="D31" s="7" t="s">
        <v>185</v>
      </c>
      <c r="E31" s="7" t="s">
        <v>185</v>
      </c>
      <c r="F31" s="7" t="s">
        <v>185</v>
      </c>
      <c r="G31" s="7" t="s">
        <v>185</v>
      </c>
      <c r="H31" s="7" t="s">
        <v>465</v>
      </c>
      <c r="I31" s="7" t="s">
        <v>185</v>
      </c>
      <c r="J31" s="7" t="s">
        <v>350</v>
      </c>
    </row>
    <row r="32" ht="22" customHeight="1" spans="2:10">
      <c r="B32" s="8" t="s">
        <v>489</v>
      </c>
      <c r="C32" s="9" t="s">
        <v>185</v>
      </c>
      <c r="D32" s="10" t="s">
        <v>185</v>
      </c>
      <c r="E32" s="10" t="s">
        <v>185</v>
      </c>
      <c r="F32" s="10" t="s">
        <v>185</v>
      </c>
      <c r="G32" s="10" t="s">
        <v>185</v>
      </c>
      <c r="H32" s="10" t="s">
        <v>467</v>
      </c>
      <c r="I32" s="10" t="s">
        <v>185</v>
      </c>
      <c r="J32" s="10" t="s">
        <v>350</v>
      </c>
    </row>
    <row r="33" ht="22" customHeight="1" spans="2:10">
      <c r="B33" s="5" t="s">
        <v>490</v>
      </c>
      <c r="C33" s="6" t="s">
        <v>185</v>
      </c>
      <c r="D33" s="7" t="s">
        <v>185</v>
      </c>
      <c r="E33" s="7" t="s">
        <v>185</v>
      </c>
      <c r="F33" s="7" t="s">
        <v>185</v>
      </c>
      <c r="G33" s="7" t="s">
        <v>185</v>
      </c>
      <c r="H33" s="7" t="s">
        <v>469</v>
      </c>
      <c r="I33" s="7" t="s">
        <v>185</v>
      </c>
      <c r="J33" s="7" t="s">
        <v>350</v>
      </c>
    </row>
    <row r="34" ht="22" customHeight="1" spans="2:10">
      <c r="B34" s="8" t="s">
        <v>491</v>
      </c>
      <c r="C34" s="9" t="s">
        <v>185</v>
      </c>
      <c r="D34" s="10" t="s">
        <v>185</v>
      </c>
      <c r="E34" s="10" t="s">
        <v>185</v>
      </c>
      <c r="F34" s="10" t="s">
        <v>185</v>
      </c>
      <c r="G34" s="10" t="s">
        <v>185</v>
      </c>
      <c r="H34" s="10" t="s">
        <v>471</v>
      </c>
      <c r="I34" s="10" t="s">
        <v>185</v>
      </c>
      <c r="J34" s="10" t="s">
        <v>350</v>
      </c>
    </row>
    <row r="35" ht="22" customHeight="1" spans="2:10">
      <c r="B35" s="5" t="s">
        <v>492</v>
      </c>
      <c r="C35" s="6" t="s">
        <v>185</v>
      </c>
      <c r="D35" s="7" t="s">
        <v>185</v>
      </c>
      <c r="E35" s="7" t="s">
        <v>185</v>
      </c>
      <c r="F35" s="7" t="s">
        <v>185</v>
      </c>
      <c r="G35" s="7" t="s">
        <v>185</v>
      </c>
      <c r="H35" s="7" t="s">
        <v>456</v>
      </c>
      <c r="I35" s="7" t="s">
        <v>185</v>
      </c>
      <c r="J35" s="7" t="s">
        <v>350</v>
      </c>
    </row>
    <row r="36" ht="22" customHeight="1" spans="2:10">
      <c r="B36" s="8" t="s">
        <v>493</v>
      </c>
      <c r="C36" s="9" t="s">
        <v>185</v>
      </c>
      <c r="D36" s="10" t="s">
        <v>185</v>
      </c>
      <c r="E36" s="10" t="s">
        <v>185</v>
      </c>
      <c r="F36" s="10" t="s">
        <v>185</v>
      </c>
      <c r="G36" s="10" t="s">
        <v>185</v>
      </c>
      <c r="H36" s="10" t="s">
        <v>458</v>
      </c>
      <c r="I36" s="10" t="s">
        <v>185</v>
      </c>
      <c r="J36" s="10" t="s">
        <v>350</v>
      </c>
    </row>
    <row r="37" ht="22" customHeight="1"/>
    <row r="38" ht="24" customHeight="1" spans="2:10">
      <c r="B38" s="11" t="s">
        <v>494</v>
      </c>
    </row>
    <row r="39" ht="22" customHeight="1" spans="2:10">
      <c r="B39" s="42" t="s">
        <v>495</v>
      </c>
      <c r="C39" s="46"/>
      <c r="D39" s="46"/>
      <c r="E39" s="47"/>
      <c r="F39" s="48">
        <f>COUNTA(B5:B36)</f>
        <v>32</v>
      </c>
      <c r="G39" s="46"/>
      <c r="H39" s="46"/>
      <c r="I39" s="46"/>
      <c r="J39" s="47"/>
    </row>
    <row r="40" ht="22" customHeight="1" spans="2:10">
      <c r="B40" s="44" t="s">
        <v>496</v>
      </c>
      <c r="C40" s="46"/>
      <c r="D40" s="46"/>
      <c r="E40" s="47"/>
      <c r="F40" s="35">
        <f>COUNTIF(G5:G36,"&lt;&gt;"&amp;"")</f>
        <v>32</v>
      </c>
      <c r="G40" s="46"/>
      <c r="H40" s="46"/>
      <c r="I40" s="46"/>
      <c r="J40" s="47"/>
    </row>
    <row r="41" ht="22" customHeight="1" spans="2:10">
      <c r="B41" s="42" t="s">
        <v>497</v>
      </c>
      <c r="C41" s="46"/>
      <c r="D41" s="46"/>
      <c r="E41" s="47"/>
      <c r="F41" s="48">
        <f>COUNTIF(H5:H36,"Student Member")</f>
        <v>3</v>
      </c>
      <c r="G41" s="46"/>
      <c r="H41" s="46"/>
      <c r="I41" s="46"/>
      <c r="J41" s="47"/>
    </row>
    <row r="42" spans="2:10">
      <c r="B42" s="44" t="s">
        <v>498</v>
      </c>
      <c r="C42" s="46"/>
      <c r="D42" s="46"/>
      <c r="E42" s="47"/>
      <c r="F42" s="35" t="s">
        <v>185</v>
      </c>
      <c r="G42" s="46"/>
      <c r="H42" s="46"/>
      <c r="I42" s="46"/>
      <c r="J42" s="47"/>
    </row>
    <row r="43" spans="2:10">
      <c r="B43" s="42" t="s">
        <v>499</v>
      </c>
      <c r="C43" s="46"/>
      <c r="D43" s="46"/>
      <c r="E43" s="47"/>
      <c r="F43" s="48" t="s">
        <v>185</v>
      </c>
      <c r="G43" s="46"/>
      <c r="H43" s="46"/>
      <c r="I43" s="46"/>
      <c r="J43" s="47"/>
    </row>
    <row r="44" spans="2:10">
      <c r="B44" s="44" t="s">
        <v>500</v>
      </c>
      <c r="C44" s="46"/>
      <c r="D44" s="46"/>
      <c r="E44" s="47"/>
      <c r="F44" s="35" t="s">
        <v>185</v>
      </c>
      <c r="G44" s="46"/>
      <c r="H44" s="46"/>
      <c r="I44" s="46"/>
      <c r="J44" s="47"/>
    </row>
  </sheetData>
  <mergeCells count="15">
    <mergeCell ref="B2:J2"/>
    <mergeCell ref="B3:J3"/>
    <mergeCell ref="B38:J38"/>
    <mergeCell ref="B39:E39"/>
    <mergeCell ref="F39:J39"/>
    <mergeCell ref="B40:E40"/>
    <mergeCell ref="F40:J40"/>
    <mergeCell ref="B41:E41"/>
    <mergeCell ref="F41:J41"/>
    <mergeCell ref="B42:E42"/>
    <mergeCell ref="F42:J42"/>
    <mergeCell ref="B43:E43"/>
    <mergeCell ref="F43:J43"/>
    <mergeCell ref="B44:E44"/>
    <mergeCell ref="F44:J4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2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4" customWidth="1"/>
    <col min="4" max="4" width="16" customWidth="1"/>
    <col min="5" max="5" width="14" customWidth="1"/>
    <col min="6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501</v>
      </c>
    </row>
    <row r="3" ht="25" customHeight="1" spans="2:10">
      <c r="B3" s="2" t="s">
        <v>502</v>
      </c>
    </row>
    <row r="4" ht="25" customHeight="1" spans="2:10">
      <c r="B4" s="4" t="s">
        <v>503</v>
      </c>
      <c r="C4" s="4" t="s">
        <v>504</v>
      </c>
      <c r="D4" s="4" t="s">
        <v>505</v>
      </c>
      <c r="E4" s="4" t="s">
        <v>506</v>
      </c>
      <c r="F4" s="4" t="s">
        <v>507</v>
      </c>
      <c r="G4" s="4" t="s">
        <v>508</v>
      </c>
      <c r="H4" s="4" t="s">
        <v>282</v>
      </c>
      <c r="I4" s="4" t="s">
        <v>509</v>
      </c>
      <c r="J4" s="4" t="s">
        <v>510</v>
      </c>
    </row>
    <row r="5" ht="22" customHeight="1" spans="2:10">
      <c r="B5" s="5" t="s">
        <v>511</v>
      </c>
      <c r="C5" s="6" t="s">
        <v>185</v>
      </c>
      <c r="D5" s="6" t="s">
        <v>185</v>
      </c>
      <c r="E5" s="6" t="s">
        <v>512</v>
      </c>
      <c r="F5" s="7" t="s">
        <v>194</v>
      </c>
      <c r="G5" s="7" t="s">
        <v>185</v>
      </c>
      <c r="H5" s="7" t="s">
        <v>291</v>
      </c>
      <c r="I5" s="7" t="s">
        <v>185</v>
      </c>
      <c r="J5" s="7" t="s">
        <v>185</v>
      </c>
    </row>
    <row r="6" ht="22" customHeight="1" spans="2:10">
      <c r="B6" s="8" t="s">
        <v>513</v>
      </c>
      <c r="C6" s="9" t="s">
        <v>185</v>
      </c>
      <c r="D6" s="9" t="s">
        <v>185</v>
      </c>
      <c r="E6" s="9" t="s">
        <v>514</v>
      </c>
      <c r="F6" s="10" t="s">
        <v>515</v>
      </c>
      <c r="G6" s="10" t="s">
        <v>185</v>
      </c>
      <c r="H6" s="10" t="s">
        <v>291</v>
      </c>
      <c r="I6" s="10" t="s">
        <v>185</v>
      </c>
      <c r="J6" s="10" t="s">
        <v>185</v>
      </c>
    </row>
    <row r="7" ht="22" customHeight="1" spans="2:10">
      <c r="B7" s="5" t="s">
        <v>516</v>
      </c>
      <c r="C7" s="6" t="s">
        <v>185</v>
      </c>
      <c r="D7" s="6" t="s">
        <v>185</v>
      </c>
      <c r="E7" s="6" t="s">
        <v>517</v>
      </c>
      <c r="F7" s="7" t="s">
        <v>518</v>
      </c>
      <c r="G7" s="7" t="s">
        <v>185</v>
      </c>
      <c r="H7" s="7" t="s">
        <v>291</v>
      </c>
      <c r="I7" s="7" t="s">
        <v>185</v>
      </c>
      <c r="J7" s="7" t="s">
        <v>185</v>
      </c>
    </row>
    <row r="8" ht="22" customHeight="1" spans="2:10">
      <c r="B8" s="8" t="s">
        <v>519</v>
      </c>
      <c r="C8" s="9" t="s">
        <v>185</v>
      </c>
      <c r="D8" s="9" t="s">
        <v>185</v>
      </c>
      <c r="E8" s="9" t="s">
        <v>520</v>
      </c>
      <c r="F8" s="10" t="s">
        <v>521</v>
      </c>
      <c r="G8" s="10" t="s">
        <v>185</v>
      </c>
      <c r="H8" s="10" t="s">
        <v>291</v>
      </c>
      <c r="I8" s="10" t="s">
        <v>185</v>
      </c>
      <c r="J8" s="10" t="s">
        <v>185</v>
      </c>
    </row>
    <row r="9" ht="22" customHeight="1" spans="2:10">
      <c r="B9" s="5" t="s">
        <v>522</v>
      </c>
      <c r="C9" s="6" t="s">
        <v>185</v>
      </c>
      <c r="D9" s="6" t="s">
        <v>185</v>
      </c>
      <c r="E9" s="6" t="s">
        <v>523</v>
      </c>
      <c r="F9" s="7" t="s">
        <v>524</v>
      </c>
      <c r="G9" s="7" t="s">
        <v>185</v>
      </c>
      <c r="H9" s="7" t="s">
        <v>291</v>
      </c>
      <c r="I9" s="7" t="s">
        <v>185</v>
      </c>
      <c r="J9" s="7" t="s">
        <v>185</v>
      </c>
    </row>
    <row r="10" ht="22" customHeight="1" spans="2:10">
      <c r="B10" s="8" t="s">
        <v>525</v>
      </c>
      <c r="C10" s="9" t="s">
        <v>185</v>
      </c>
      <c r="D10" s="9" t="s">
        <v>185</v>
      </c>
      <c r="E10" s="9" t="s">
        <v>526</v>
      </c>
      <c r="F10" s="10" t="s">
        <v>527</v>
      </c>
      <c r="G10" s="10" t="s">
        <v>185</v>
      </c>
      <c r="H10" s="10" t="s">
        <v>291</v>
      </c>
      <c r="I10" s="10" t="s">
        <v>185</v>
      </c>
      <c r="J10" s="10" t="s">
        <v>185</v>
      </c>
    </row>
    <row r="11" ht="22" customHeight="1" spans="2:10">
      <c r="B11" s="5" t="s">
        <v>528</v>
      </c>
      <c r="C11" s="6" t="s">
        <v>185</v>
      </c>
      <c r="D11" s="6" t="s">
        <v>185</v>
      </c>
      <c r="E11" s="6" t="s">
        <v>529</v>
      </c>
      <c r="F11" s="7" t="s">
        <v>530</v>
      </c>
      <c r="G11" s="7" t="s">
        <v>185</v>
      </c>
      <c r="H11" s="7" t="s">
        <v>291</v>
      </c>
      <c r="I11" s="7" t="s">
        <v>185</v>
      </c>
      <c r="J11" s="7" t="s">
        <v>185</v>
      </c>
    </row>
    <row r="12" ht="22" customHeight="1" spans="2:10">
      <c r="B12" s="8" t="s">
        <v>531</v>
      </c>
      <c r="C12" s="9" t="s">
        <v>185</v>
      </c>
      <c r="D12" s="9" t="s">
        <v>185</v>
      </c>
      <c r="E12" s="9" t="s">
        <v>532</v>
      </c>
      <c r="F12" s="10" t="s">
        <v>533</v>
      </c>
      <c r="G12" s="10" t="s">
        <v>185</v>
      </c>
      <c r="H12" s="10" t="s">
        <v>291</v>
      </c>
      <c r="I12" s="10" t="s">
        <v>185</v>
      </c>
      <c r="J12" s="10" t="s">
        <v>185</v>
      </c>
    </row>
    <row r="13" ht="22" customHeight="1" spans="2:10">
      <c r="B13" s="5" t="s">
        <v>534</v>
      </c>
      <c r="C13" s="6" t="s">
        <v>185</v>
      </c>
      <c r="D13" s="6" t="s">
        <v>185</v>
      </c>
      <c r="E13" s="6" t="s">
        <v>535</v>
      </c>
      <c r="F13" s="7" t="s">
        <v>194</v>
      </c>
      <c r="G13" s="7" t="s">
        <v>185</v>
      </c>
      <c r="H13" s="7" t="s">
        <v>291</v>
      </c>
      <c r="I13" s="7" t="s">
        <v>185</v>
      </c>
      <c r="J13" s="7" t="s">
        <v>185</v>
      </c>
    </row>
    <row r="14" ht="22" customHeight="1" spans="2:10">
      <c r="B14" s="8" t="s">
        <v>536</v>
      </c>
      <c r="C14" s="9" t="s">
        <v>185</v>
      </c>
      <c r="D14" s="9" t="s">
        <v>185</v>
      </c>
      <c r="E14" s="9" t="s">
        <v>537</v>
      </c>
      <c r="F14" s="10" t="s">
        <v>515</v>
      </c>
      <c r="G14" s="10" t="s">
        <v>185</v>
      </c>
      <c r="H14" s="10" t="s">
        <v>291</v>
      </c>
      <c r="I14" s="10" t="s">
        <v>185</v>
      </c>
      <c r="J14" s="10" t="s">
        <v>185</v>
      </c>
    </row>
    <row r="15" ht="22" customHeight="1" spans="2:10">
      <c r="B15" s="5" t="s">
        <v>538</v>
      </c>
      <c r="C15" s="6" t="s">
        <v>185</v>
      </c>
      <c r="D15" s="6" t="s">
        <v>185</v>
      </c>
      <c r="E15" s="6" t="s">
        <v>539</v>
      </c>
      <c r="F15" s="7" t="s">
        <v>518</v>
      </c>
      <c r="G15" s="7" t="s">
        <v>185</v>
      </c>
      <c r="H15" s="7" t="s">
        <v>291</v>
      </c>
      <c r="I15" s="7" t="s">
        <v>185</v>
      </c>
      <c r="J15" s="7" t="s">
        <v>185</v>
      </c>
    </row>
    <row r="16" ht="22" customHeight="1" spans="2:10">
      <c r="B16" s="8" t="s">
        <v>540</v>
      </c>
      <c r="C16" s="9" t="s">
        <v>185</v>
      </c>
      <c r="D16" s="9" t="s">
        <v>185</v>
      </c>
      <c r="E16" s="9" t="s">
        <v>541</v>
      </c>
      <c r="F16" s="10" t="s">
        <v>521</v>
      </c>
      <c r="G16" s="10" t="s">
        <v>185</v>
      </c>
      <c r="H16" s="10" t="s">
        <v>291</v>
      </c>
      <c r="I16" s="10" t="s">
        <v>185</v>
      </c>
      <c r="J16" s="10" t="s">
        <v>185</v>
      </c>
    </row>
    <row r="17" ht="22" customHeight="1" spans="2:10">
      <c r="B17" s="5" t="s">
        <v>542</v>
      </c>
      <c r="C17" s="6" t="s">
        <v>185</v>
      </c>
      <c r="D17" s="6" t="s">
        <v>185</v>
      </c>
      <c r="E17" s="6" t="s">
        <v>543</v>
      </c>
      <c r="F17" s="7" t="s">
        <v>524</v>
      </c>
      <c r="G17" s="7" t="s">
        <v>185</v>
      </c>
      <c r="H17" s="7" t="s">
        <v>291</v>
      </c>
      <c r="I17" s="7" t="s">
        <v>185</v>
      </c>
      <c r="J17" s="7" t="s">
        <v>185</v>
      </c>
    </row>
    <row r="18" ht="22" customHeight="1" spans="2:10">
      <c r="B18" s="8" t="s">
        <v>544</v>
      </c>
      <c r="C18" s="9" t="s">
        <v>185</v>
      </c>
      <c r="D18" s="9" t="s">
        <v>185</v>
      </c>
      <c r="E18" s="9" t="s">
        <v>545</v>
      </c>
      <c r="F18" s="10" t="s">
        <v>527</v>
      </c>
      <c r="G18" s="10" t="s">
        <v>185</v>
      </c>
      <c r="H18" s="10" t="s">
        <v>291</v>
      </c>
      <c r="I18" s="10" t="s">
        <v>185</v>
      </c>
      <c r="J18" s="10" t="s">
        <v>185</v>
      </c>
    </row>
    <row r="19" ht="22" customHeight="1" spans="2:10">
      <c r="B19" s="5" t="s">
        <v>546</v>
      </c>
      <c r="C19" s="6" t="s">
        <v>185</v>
      </c>
      <c r="D19" s="6" t="s">
        <v>185</v>
      </c>
      <c r="E19" s="6" t="s">
        <v>547</v>
      </c>
      <c r="F19" s="7" t="s">
        <v>530</v>
      </c>
      <c r="G19" s="7" t="s">
        <v>185</v>
      </c>
      <c r="H19" s="7" t="s">
        <v>291</v>
      </c>
      <c r="I19" s="7" t="s">
        <v>185</v>
      </c>
      <c r="J19" s="7" t="s">
        <v>185</v>
      </c>
    </row>
    <row r="20" ht="22" customHeight="1" spans="2:10">
      <c r="B20" s="8" t="s">
        <v>548</v>
      </c>
      <c r="C20" s="9" t="s">
        <v>185</v>
      </c>
      <c r="D20" s="9" t="s">
        <v>185</v>
      </c>
      <c r="E20" s="9" t="s">
        <v>549</v>
      </c>
      <c r="F20" s="10" t="s">
        <v>533</v>
      </c>
      <c r="G20" s="10" t="s">
        <v>185</v>
      </c>
      <c r="H20" s="10" t="s">
        <v>291</v>
      </c>
      <c r="I20" s="10" t="s">
        <v>185</v>
      </c>
      <c r="J20" s="10" t="s">
        <v>185</v>
      </c>
    </row>
    <row r="21" ht="22" customHeight="1" spans="2:10">
      <c r="B21" s="5" t="s">
        <v>550</v>
      </c>
      <c r="C21" s="6" t="s">
        <v>185</v>
      </c>
      <c r="D21" s="6" t="s">
        <v>185</v>
      </c>
      <c r="E21" s="6" t="s">
        <v>551</v>
      </c>
      <c r="F21" s="7" t="s">
        <v>194</v>
      </c>
      <c r="G21" s="7" t="s">
        <v>185</v>
      </c>
      <c r="H21" s="7" t="s">
        <v>291</v>
      </c>
      <c r="I21" s="7" t="s">
        <v>185</v>
      </c>
      <c r="J21" s="7" t="s">
        <v>185</v>
      </c>
    </row>
    <row r="22" ht="22" customHeight="1" spans="2:10">
      <c r="B22" s="8" t="s">
        <v>552</v>
      </c>
      <c r="C22" s="9" t="s">
        <v>185</v>
      </c>
      <c r="D22" s="9" t="s">
        <v>185</v>
      </c>
      <c r="E22" s="9" t="s">
        <v>553</v>
      </c>
      <c r="F22" s="10" t="s">
        <v>515</v>
      </c>
      <c r="G22" s="10" t="s">
        <v>185</v>
      </c>
      <c r="H22" s="10" t="s">
        <v>291</v>
      </c>
      <c r="I22" s="10" t="s">
        <v>185</v>
      </c>
      <c r="J22" s="10" t="s">
        <v>185</v>
      </c>
    </row>
    <row r="23" ht="22" customHeight="1" spans="2:10">
      <c r="B23" s="5" t="s">
        <v>554</v>
      </c>
      <c r="C23" s="6" t="s">
        <v>185</v>
      </c>
      <c r="D23" s="6" t="s">
        <v>185</v>
      </c>
      <c r="E23" s="6" t="s">
        <v>555</v>
      </c>
      <c r="F23" s="7" t="s">
        <v>518</v>
      </c>
      <c r="G23" s="7" t="s">
        <v>185</v>
      </c>
      <c r="H23" s="7" t="s">
        <v>291</v>
      </c>
      <c r="I23" s="7" t="s">
        <v>185</v>
      </c>
      <c r="J23" s="7" t="s">
        <v>185</v>
      </c>
    </row>
    <row r="24" ht="22" customHeight="1" spans="2:10">
      <c r="B24" s="8" t="s">
        <v>556</v>
      </c>
      <c r="C24" s="9" t="s">
        <v>185</v>
      </c>
      <c r="D24" s="9" t="s">
        <v>185</v>
      </c>
      <c r="E24" s="9" t="s">
        <v>557</v>
      </c>
      <c r="F24" s="10" t="s">
        <v>521</v>
      </c>
      <c r="G24" s="10" t="s">
        <v>185</v>
      </c>
      <c r="H24" s="10" t="s">
        <v>291</v>
      </c>
      <c r="I24" s="10" t="s">
        <v>185</v>
      </c>
      <c r="J24" s="10" t="s">
        <v>185</v>
      </c>
    </row>
    <row r="25" ht="22" customHeight="1" spans="2:10">
      <c r="B25" s="5" t="s">
        <v>558</v>
      </c>
      <c r="C25" s="6" t="s">
        <v>185</v>
      </c>
      <c r="D25" s="6" t="s">
        <v>185</v>
      </c>
      <c r="E25" s="6" t="s">
        <v>512</v>
      </c>
      <c r="F25" s="7" t="s">
        <v>524</v>
      </c>
      <c r="G25" s="7" t="s">
        <v>185</v>
      </c>
      <c r="H25" s="7" t="s">
        <v>291</v>
      </c>
      <c r="I25" s="7" t="s">
        <v>185</v>
      </c>
      <c r="J25" s="7" t="s">
        <v>185</v>
      </c>
    </row>
    <row r="26" ht="22" customHeight="1" spans="2:10">
      <c r="B26" s="8" t="s">
        <v>559</v>
      </c>
      <c r="C26" s="9" t="s">
        <v>185</v>
      </c>
      <c r="D26" s="9" t="s">
        <v>185</v>
      </c>
      <c r="E26" s="9" t="s">
        <v>514</v>
      </c>
      <c r="F26" s="10" t="s">
        <v>527</v>
      </c>
      <c r="G26" s="10" t="s">
        <v>185</v>
      </c>
      <c r="H26" s="10" t="s">
        <v>291</v>
      </c>
      <c r="I26" s="10" t="s">
        <v>185</v>
      </c>
      <c r="J26" s="10" t="s">
        <v>185</v>
      </c>
    </row>
    <row r="27" ht="22" customHeight="1" spans="2:10">
      <c r="B27" s="5" t="s">
        <v>560</v>
      </c>
      <c r="C27" s="6" t="s">
        <v>185</v>
      </c>
      <c r="D27" s="6" t="s">
        <v>185</v>
      </c>
      <c r="E27" s="6" t="s">
        <v>517</v>
      </c>
      <c r="F27" s="7" t="s">
        <v>530</v>
      </c>
      <c r="G27" s="7" t="s">
        <v>185</v>
      </c>
      <c r="H27" s="7" t="s">
        <v>291</v>
      </c>
      <c r="I27" s="7" t="s">
        <v>185</v>
      </c>
      <c r="J27" s="7" t="s">
        <v>185</v>
      </c>
    </row>
    <row r="28" ht="22" customHeight="1" spans="2:10">
      <c r="B28" s="8" t="s">
        <v>561</v>
      </c>
      <c r="C28" s="9" t="s">
        <v>185</v>
      </c>
      <c r="D28" s="9" t="s">
        <v>185</v>
      </c>
      <c r="E28" s="9" t="s">
        <v>520</v>
      </c>
      <c r="F28" s="10" t="s">
        <v>533</v>
      </c>
      <c r="G28" s="10" t="s">
        <v>185</v>
      </c>
      <c r="H28" s="10" t="s">
        <v>291</v>
      </c>
      <c r="I28" s="10" t="s">
        <v>185</v>
      </c>
      <c r="J28" s="10" t="s">
        <v>185</v>
      </c>
    </row>
    <row r="29" ht="22" customHeight="1" spans="2:10">
      <c r="B29" s="5" t="s">
        <v>562</v>
      </c>
      <c r="C29" s="6" t="s">
        <v>185</v>
      </c>
      <c r="D29" s="6" t="s">
        <v>185</v>
      </c>
      <c r="E29" s="6" t="s">
        <v>523</v>
      </c>
      <c r="F29" s="7" t="s">
        <v>194</v>
      </c>
      <c r="G29" s="7" t="s">
        <v>185</v>
      </c>
      <c r="H29" s="7" t="s">
        <v>291</v>
      </c>
      <c r="I29" s="7" t="s">
        <v>185</v>
      </c>
      <c r="J29" s="7" t="s">
        <v>185</v>
      </c>
    </row>
    <row r="30" ht="22" customHeight="1" spans="2:10">
      <c r="B30" s="8" t="s">
        <v>563</v>
      </c>
      <c r="C30" s="9" t="s">
        <v>185</v>
      </c>
      <c r="D30" s="9" t="s">
        <v>185</v>
      </c>
      <c r="E30" s="9" t="s">
        <v>526</v>
      </c>
      <c r="F30" s="10" t="s">
        <v>515</v>
      </c>
      <c r="G30" s="10" t="s">
        <v>185</v>
      </c>
      <c r="H30" s="10" t="s">
        <v>291</v>
      </c>
      <c r="I30" s="10" t="s">
        <v>185</v>
      </c>
      <c r="J30" s="10" t="s">
        <v>185</v>
      </c>
    </row>
    <row r="31" ht="22" customHeight="1"/>
    <row r="32" ht="24" customHeight="1" spans="2:10">
      <c r="B32" s="11" t="s">
        <v>564</v>
      </c>
    </row>
    <row r="33" ht="22" customHeight="1" spans="2:10">
      <c r="B33" s="12" t="s">
        <v>565</v>
      </c>
      <c r="C33" s="12" t="s">
        <v>566</v>
      </c>
      <c r="D33" s="12" t="s">
        <v>567</v>
      </c>
      <c r="E33" s="12" t="s">
        <v>568</v>
      </c>
      <c r="F33" s="12" t="s">
        <v>569</v>
      </c>
      <c r="G33" s="12" t="s">
        <v>570</v>
      </c>
    </row>
    <row r="34" ht="22" customHeight="1" spans="2:10">
      <c r="B34" s="14" t="s">
        <v>194</v>
      </c>
      <c r="C34" s="15" t="s">
        <v>185</v>
      </c>
      <c r="D34" s="15" t="s">
        <v>185</v>
      </c>
      <c r="E34" s="15" t="s">
        <v>185</v>
      </c>
      <c r="F34" s="15" t="s">
        <v>185</v>
      </c>
      <c r="G34" s="14" t="s">
        <v>185</v>
      </c>
      <c r="H34" s="49"/>
      <c r="I34" s="49"/>
      <c r="J34" s="49"/>
    </row>
    <row r="35" ht="22" customHeight="1" spans="2:10">
      <c r="B35" s="9" t="s">
        <v>515</v>
      </c>
      <c r="C35" s="10" t="s">
        <v>185</v>
      </c>
      <c r="D35" s="10" t="s">
        <v>185</v>
      </c>
      <c r="E35" s="10" t="s">
        <v>185</v>
      </c>
      <c r="F35" s="10" t="s">
        <v>185</v>
      </c>
      <c r="G35" s="9" t="s">
        <v>185</v>
      </c>
      <c r="H35" s="45"/>
      <c r="I35" s="45"/>
      <c r="J35" s="45"/>
    </row>
    <row r="36" ht="22" customHeight="1" spans="2:10">
      <c r="B36" s="14" t="s">
        <v>518</v>
      </c>
      <c r="C36" s="15" t="s">
        <v>185</v>
      </c>
      <c r="D36" s="15" t="s">
        <v>185</v>
      </c>
      <c r="E36" s="15" t="s">
        <v>185</v>
      </c>
      <c r="F36" s="15" t="s">
        <v>185</v>
      </c>
      <c r="G36" s="14" t="s">
        <v>185</v>
      </c>
      <c r="H36" s="49"/>
      <c r="I36" s="49"/>
      <c r="J36" s="49"/>
    </row>
    <row r="37" ht="22" customHeight="1" spans="2:10">
      <c r="B37" s="9" t="s">
        <v>521</v>
      </c>
      <c r="C37" s="10" t="s">
        <v>185</v>
      </c>
      <c r="D37" s="10" t="s">
        <v>185</v>
      </c>
      <c r="E37" s="10" t="s">
        <v>185</v>
      </c>
      <c r="F37" s="10" t="s">
        <v>185</v>
      </c>
      <c r="G37" s="9" t="s">
        <v>185</v>
      </c>
      <c r="H37" s="45"/>
      <c r="I37" s="45"/>
      <c r="J37" s="45"/>
    </row>
    <row r="38" ht="26.4" spans="2:10">
      <c r="B38" s="14" t="s">
        <v>524</v>
      </c>
      <c r="C38" s="15" t="s">
        <v>185</v>
      </c>
      <c r="D38" s="15" t="s">
        <v>185</v>
      </c>
      <c r="E38" s="15" t="s">
        <v>185</v>
      </c>
      <c r="F38" s="15" t="s">
        <v>185</v>
      </c>
      <c r="G38" s="14" t="s">
        <v>185</v>
      </c>
      <c r="H38" s="49"/>
      <c r="I38" s="49"/>
      <c r="J38" s="49"/>
    </row>
    <row r="39" ht="26.4" spans="2:10">
      <c r="B39" s="9" t="s">
        <v>527</v>
      </c>
      <c r="C39" s="10" t="s">
        <v>185</v>
      </c>
      <c r="D39" s="10" t="s">
        <v>185</v>
      </c>
      <c r="E39" s="10" t="s">
        <v>185</v>
      </c>
      <c r="F39" s="10" t="s">
        <v>185</v>
      </c>
      <c r="G39" s="9" t="s">
        <v>185</v>
      </c>
      <c r="H39" s="45"/>
      <c r="I39" s="45"/>
      <c r="J39" s="45"/>
    </row>
    <row r="40" ht="26.4" spans="2:10">
      <c r="B40" s="14" t="s">
        <v>530</v>
      </c>
      <c r="C40" s="15" t="s">
        <v>185</v>
      </c>
      <c r="D40" s="15" t="s">
        <v>185</v>
      </c>
      <c r="E40" s="15" t="s">
        <v>185</v>
      </c>
      <c r="F40" s="15" t="s">
        <v>185</v>
      </c>
      <c r="G40" s="14" t="s">
        <v>185</v>
      </c>
      <c r="H40" s="49"/>
      <c r="I40" s="49"/>
      <c r="J40" s="49"/>
    </row>
    <row r="41" ht="26.4" spans="2:10">
      <c r="B41" s="9" t="s">
        <v>533</v>
      </c>
      <c r="C41" s="10" t="s">
        <v>185</v>
      </c>
      <c r="D41" s="10" t="s">
        <v>185</v>
      </c>
      <c r="E41" s="10" t="s">
        <v>185</v>
      </c>
      <c r="F41" s="10" t="s">
        <v>185</v>
      </c>
      <c r="G41" s="9" t="s">
        <v>185</v>
      </c>
      <c r="H41" s="45"/>
      <c r="I41" s="45"/>
      <c r="J41" s="45"/>
    </row>
    <row r="42" spans="2:10">
      <c r="B42" s="50" t="s">
        <v>406</v>
      </c>
      <c r="C42" s="51" t="s">
        <v>185</v>
      </c>
      <c r="D42" s="51" t="s">
        <v>185</v>
      </c>
      <c r="E42" s="51" t="s">
        <v>185</v>
      </c>
      <c r="F42" s="51" t="s">
        <v>185</v>
      </c>
      <c r="G42" s="50" t="s">
        <v>185</v>
      </c>
      <c r="H42" s="52"/>
      <c r="I42" s="52"/>
      <c r="J42" s="52"/>
    </row>
  </sheetData>
  <mergeCells count="3">
    <mergeCell ref="B2:J2"/>
    <mergeCell ref="B3:J3"/>
    <mergeCell ref="B32:J3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6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10" customWidth="1"/>
    <col min="3" max="3" width="26" customWidth="1"/>
    <col min="4" max="5" width="14" customWidth="1"/>
    <col min="6" max="8" width="12" customWidth="1"/>
    <col min="9" max="10" width="14" customWidth="1"/>
    <col min="11" max="11" width="3" customWidth="1"/>
  </cols>
  <sheetData>
    <row r="1" ht="10" customHeight="1"/>
    <row r="2" ht="48" customHeight="1" spans="2:10">
      <c r="B2" s="1" t="s">
        <v>571</v>
      </c>
    </row>
    <row r="3" ht="25" customHeight="1" spans="2:10">
      <c r="B3" s="2" t="s">
        <v>572</v>
      </c>
    </row>
    <row r="4" ht="25" customHeight="1" spans="2:10">
      <c r="B4" s="4" t="s">
        <v>573</v>
      </c>
      <c r="C4" s="4" t="s">
        <v>574</v>
      </c>
      <c r="D4" s="4" t="s">
        <v>575</v>
      </c>
      <c r="E4" s="4" t="s">
        <v>507</v>
      </c>
      <c r="F4" s="4" t="s">
        <v>576</v>
      </c>
      <c r="G4" s="4" t="s">
        <v>508</v>
      </c>
      <c r="H4" s="4" t="s">
        <v>577</v>
      </c>
      <c r="I4" s="4" t="s">
        <v>578</v>
      </c>
      <c r="J4" s="4" t="s">
        <v>579</v>
      </c>
    </row>
    <row r="5" ht="24" customHeight="1" spans="2:10">
      <c r="B5" s="5" t="s">
        <v>580</v>
      </c>
      <c r="C5" s="6" t="s">
        <v>185</v>
      </c>
      <c r="D5" s="6" t="s">
        <v>185</v>
      </c>
      <c r="E5" s="7" t="s">
        <v>194</v>
      </c>
      <c r="F5" s="6" t="s">
        <v>185</v>
      </c>
      <c r="G5" s="7" t="s">
        <v>185</v>
      </c>
      <c r="H5" s="7" t="s">
        <v>581</v>
      </c>
      <c r="I5" s="7" t="s">
        <v>582</v>
      </c>
      <c r="J5" s="7" t="s">
        <v>292</v>
      </c>
    </row>
    <row r="6" ht="24" customHeight="1" spans="2:10">
      <c r="B6" s="8" t="s">
        <v>583</v>
      </c>
      <c r="C6" s="9" t="s">
        <v>185</v>
      </c>
      <c r="D6" s="9" t="s">
        <v>185</v>
      </c>
      <c r="E6" s="10" t="s">
        <v>515</v>
      </c>
      <c r="F6" s="9" t="s">
        <v>185</v>
      </c>
      <c r="G6" s="10" t="s">
        <v>185</v>
      </c>
      <c r="H6" s="10" t="s">
        <v>584</v>
      </c>
      <c r="I6" s="10" t="s">
        <v>585</v>
      </c>
      <c r="J6" s="10" t="s">
        <v>292</v>
      </c>
    </row>
    <row r="7" ht="24" customHeight="1" spans="2:10">
      <c r="B7" s="5" t="s">
        <v>586</v>
      </c>
      <c r="C7" s="6" t="s">
        <v>185</v>
      </c>
      <c r="D7" s="6" t="s">
        <v>185</v>
      </c>
      <c r="E7" s="7" t="s">
        <v>518</v>
      </c>
      <c r="F7" s="6" t="s">
        <v>185</v>
      </c>
      <c r="G7" s="7" t="s">
        <v>185</v>
      </c>
      <c r="H7" s="7" t="s">
        <v>587</v>
      </c>
      <c r="I7" s="7" t="s">
        <v>588</v>
      </c>
      <c r="J7" s="7" t="s">
        <v>292</v>
      </c>
    </row>
    <row r="8" ht="24" customHeight="1" spans="2:10">
      <c r="B8" s="8" t="s">
        <v>589</v>
      </c>
      <c r="C8" s="9" t="s">
        <v>185</v>
      </c>
      <c r="D8" s="9" t="s">
        <v>185</v>
      </c>
      <c r="E8" s="10" t="s">
        <v>521</v>
      </c>
      <c r="F8" s="9" t="s">
        <v>185</v>
      </c>
      <c r="G8" s="10" t="s">
        <v>185</v>
      </c>
      <c r="H8" s="10" t="s">
        <v>590</v>
      </c>
      <c r="I8" s="10" t="s">
        <v>591</v>
      </c>
      <c r="J8" s="10" t="s">
        <v>292</v>
      </c>
    </row>
    <row r="9" ht="24" customHeight="1" spans="2:10">
      <c r="B9" s="5" t="s">
        <v>592</v>
      </c>
      <c r="C9" s="6" t="s">
        <v>185</v>
      </c>
      <c r="D9" s="6" t="s">
        <v>185</v>
      </c>
      <c r="E9" s="7" t="s">
        <v>524</v>
      </c>
      <c r="F9" s="6" t="s">
        <v>185</v>
      </c>
      <c r="G9" s="7" t="s">
        <v>185</v>
      </c>
      <c r="H9" s="7" t="s">
        <v>593</v>
      </c>
      <c r="I9" s="7" t="s">
        <v>594</v>
      </c>
      <c r="J9" s="7" t="s">
        <v>292</v>
      </c>
    </row>
    <row r="10" ht="24" customHeight="1" spans="2:10">
      <c r="B10" s="8" t="s">
        <v>595</v>
      </c>
      <c r="C10" s="9" t="s">
        <v>185</v>
      </c>
      <c r="D10" s="9" t="s">
        <v>185</v>
      </c>
      <c r="E10" s="10" t="s">
        <v>527</v>
      </c>
      <c r="F10" s="9" t="s">
        <v>185</v>
      </c>
      <c r="G10" s="10" t="s">
        <v>185</v>
      </c>
      <c r="H10" s="10" t="s">
        <v>581</v>
      </c>
      <c r="I10" s="10" t="s">
        <v>596</v>
      </c>
      <c r="J10" s="10" t="s">
        <v>292</v>
      </c>
    </row>
    <row r="11" ht="24" customHeight="1" spans="2:10">
      <c r="B11" s="5" t="s">
        <v>597</v>
      </c>
      <c r="C11" s="6" t="s">
        <v>185</v>
      </c>
      <c r="D11" s="6" t="s">
        <v>185</v>
      </c>
      <c r="E11" s="7" t="s">
        <v>530</v>
      </c>
      <c r="F11" s="6" t="s">
        <v>185</v>
      </c>
      <c r="G11" s="7" t="s">
        <v>185</v>
      </c>
      <c r="H11" s="7" t="s">
        <v>584</v>
      </c>
      <c r="I11" s="7" t="s">
        <v>598</v>
      </c>
      <c r="J11" s="7" t="s">
        <v>292</v>
      </c>
    </row>
    <row r="12" ht="24" customHeight="1" spans="2:10">
      <c r="B12" s="8" t="s">
        <v>599</v>
      </c>
      <c r="C12" s="9" t="s">
        <v>185</v>
      </c>
      <c r="D12" s="9" t="s">
        <v>185</v>
      </c>
      <c r="E12" s="10" t="s">
        <v>533</v>
      </c>
      <c r="F12" s="9" t="s">
        <v>185</v>
      </c>
      <c r="G12" s="10" t="s">
        <v>185</v>
      </c>
      <c r="H12" s="10" t="s">
        <v>587</v>
      </c>
      <c r="I12" s="10" t="s">
        <v>600</v>
      </c>
      <c r="J12" s="10" t="s">
        <v>292</v>
      </c>
    </row>
    <row r="13" ht="24" customHeight="1" spans="2:10">
      <c r="B13" s="5" t="s">
        <v>601</v>
      </c>
      <c r="C13" s="6" t="s">
        <v>185</v>
      </c>
      <c r="D13" s="6" t="s">
        <v>185</v>
      </c>
      <c r="E13" s="7" t="s">
        <v>194</v>
      </c>
      <c r="F13" s="6" t="s">
        <v>185</v>
      </c>
      <c r="G13" s="7" t="s">
        <v>185</v>
      </c>
      <c r="H13" s="7" t="s">
        <v>590</v>
      </c>
      <c r="I13" s="7" t="s">
        <v>582</v>
      </c>
      <c r="J13" s="7" t="s">
        <v>292</v>
      </c>
    </row>
    <row r="14" ht="24" customHeight="1" spans="2:10">
      <c r="B14" s="8" t="s">
        <v>602</v>
      </c>
      <c r="C14" s="9" t="s">
        <v>185</v>
      </c>
      <c r="D14" s="9" t="s">
        <v>185</v>
      </c>
      <c r="E14" s="10" t="s">
        <v>515</v>
      </c>
      <c r="F14" s="9" t="s">
        <v>185</v>
      </c>
      <c r="G14" s="10" t="s">
        <v>185</v>
      </c>
      <c r="H14" s="10" t="s">
        <v>593</v>
      </c>
      <c r="I14" s="10" t="s">
        <v>585</v>
      </c>
      <c r="J14" s="10" t="s">
        <v>292</v>
      </c>
    </row>
    <row r="15" ht="24" customHeight="1" spans="2:10">
      <c r="B15" s="5" t="s">
        <v>603</v>
      </c>
      <c r="C15" s="6" t="s">
        <v>185</v>
      </c>
      <c r="D15" s="6" t="s">
        <v>185</v>
      </c>
      <c r="E15" s="7" t="s">
        <v>518</v>
      </c>
      <c r="F15" s="6" t="s">
        <v>185</v>
      </c>
      <c r="G15" s="7" t="s">
        <v>185</v>
      </c>
      <c r="H15" s="7" t="s">
        <v>581</v>
      </c>
      <c r="I15" s="7" t="s">
        <v>588</v>
      </c>
      <c r="J15" s="7" t="s">
        <v>292</v>
      </c>
    </row>
    <row r="16" ht="24" customHeight="1" spans="2:10">
      <c r="B16" s="8" t="s">
        <v>604</v>
      </c>
      <c r="C16" s="9" t="s">
        <v>185</v>
      </c>
      <c r="D16" s="9" t="s">
        <v>185</v>
      </c>
      <c r="E16" s="10" t="s">
        <v>521</v>
      </c>
      <c r="F16" s="9" t="s">
        <v>185</v>
      </c>
      <c r="G16" s="10" t="s">
        <v>185</v>
      </c>
      <c r="H16" s="10" t="s">
        <v>584</v>
      </c>
      <c r="I16" s="10" t="s">
        <v>591</v>
      </c>
      <c r="J16" s="10" t="s">
        <v>292</v>
      </c>
    </row>
    <row r="17" ht="24" customHeight="1" spans="2:10">
      <c r="B17" s="5" t="s">
        <v>605</v>
      </c>
      <c r="C17" s="6" t="s">
        <v>185</v>
      </c>
      <c r="D17" s="6" t="s">
        <v>185</v>
      </c>
      <c r="E17" s="7" t="s">
        <v>524</v>
      </c>
      <c r="F17" s="6" t="s">
        <v>185</v>
      </c>
      <c r="G17" s="7" t="s">
        <v>185</v>
      </c>
      <c r="H17" s="7" t="s">
        <v>587</v>
      </c>
      <c r="I17" s="7" t="s">
        <v>594</v>
      </c>
      <c r="J17" s="7" t="s">
        <v>292</v>
      </c>
    </row>
    <row r="18" ht="24" customHeight="1" spans="2:10">
      <c r="B18" s="8" t="s">
        <v>606</v>
      </c>
      <c r="C18" s="9" t="s">
        <v>185</v>
      </c>
      <c r="D18" s="9" t="s">
        <v>185</v>
      </c>
      <c r="E18" s="10" t="s">
        <v>527</v>
      </c>
      <c r="F18" s="9" t="s">
        <v>185</v>
      </c>
      <c r="G18" s="10" t="s">
        <v>185</v>
      </c>
      <c r="H18" s="10" t="s">
        <v>590</v>
      </c>
      <c r="I18" s="10" t="s">
        <v>596</v>
      </c>
      <c r="J18" s="10" t="s">
        <v>292</v>
      </c>
    </row>
    <row r="19" ht="24" customHeight="1" spans="2:10">
      <c r="B19" s="5" t="s">
        <v>607</v>
      </c>
      <c r="C19" s="6" t="s">
        <v>185</v>
      </c>
      <c r="D19" s="6" t="s">
        <v>185</v>
      </c>
      <c r="E19" s="7" t="s">
        <v>530</v>
      </c>
      <c r="F19" s="6" t="s">
        <v>185</v>
      </c>
      <c r="G19" s="7" t="s">
        <v>185</v>
      </c>
      <c r="H19" s="7" t="s">
        <v>593</v>
      </c>
      <c r="I19" s="7" t="s">
        <v>598</v>
      </c>
      <c r="J19" s="7" t="s">
        <v>292</v>
      </c>
    </row>
    <row r="20" ht="24" customHeight="1" spans="2:10">
      <c r="B20" s="8" t="s">
        <v>608</v>
      </c>
      <c r="C20" s="9" t="s">
        <v>185</v>
      </c>
      <c r="D20" s="9" t="s">
        <v>185</v>
      </c>
      <c r="E20" s="10" t="s">
        <v>533</v>
      </c>
      <c r="F20" s="9" t="s">
        <v>185</v>
      </c>
      <c r="G20" s="10" t="s">
        <v>185</v>
      </c>
      <c r="H20" s="10" t="s">
        <v>581</v>
      </c>
      <c r="I20" s="10" t="s">
        <v>600</v>
      </c>
      <c r="J20" s="10" t="s">
        <v>292</v>
      </c>
    </row>
    <row r="21" ht="24" customHeight="1" spans="2:10">
      <c r="B21" s="5" t="s">
        <v>609</v>
      </c>
      <c r="C21" s="6" t="s">
        <v>185</v>
      </c>
      <c r="D21" s="6" t="s">
        <v>185</v>
      </c>
      <c r="E21" s="7" t="s">
        <v>194</v>
      </c>
      <c r="F21" s="6" t="s">
        <v>185</v>
      </c>
      <c r="G21" s="7" t="s">
        <v>185</v>
      </c>
      <c r="H21" s="7" t="s">
        <v>584</v>
      </c>
      <c r="I21" s="7" t="s">
        <v>582</v>
      </c>
      <c r="J21" s="7" t="s">
        <v>292</v>
      </c>
    </row>
    <row r="22" ht="24" customHeight="1" spans="2:10">
      <c r="B22" s="8" t="s">
        <v>610</v>
      </c>
      <c r="C22" s="9" t="s">
        <v>185</v>
      </c>
      <c r="D22" s="9" t="s">
        <v>185</v>
      </c>
      <c r="E22" s="10" t="s">
        <v>515</v>
      </c>
      <c r="F22" s="9" t="s">
        <v>185</v>
      </c>
      <c r="G22" s="10" t="s">
        <v>185</v>
      </c>
      <c r="H22" s="10" t="s">
        <v>587</v>
      </c>
      <c r="I22" s="10" t="s">
        <v>585</v>
      </c>
      <c r="J22" s="10" t="s">
        <v>292</v>
      </c>
    </row>
    <row r="23" ht="24" customHeight="1" spans="2:10">
      <c r="B23" s="5" t="s">
        <v>611</v>
      </c>
      <c r="C23" s="6" t="s">
        <v>185</v>
      </c>
      <c r="D23" s="6" t="s">
        <v>185</v>
      </c>
      <c r="E23" s="7" t="s">
        <v>518</v>
      </c>
      <c r="F23" s="6" t="s">
        <v>185</v>
      </c>
      <c r="G23" s="7" t="s">
        <v>185</v>
      </c>
      <c r="H23" s="7" t="s">
        <v>590</v>
      </c>
      <c r="I23" s="7" t="s">
        <v>588</v>
      </c>
      <c r="J23" s="7" t="s">
        <v>292</v>
      </c>
    </row>
    <row r="24" ht="24" customHeight="1" spans="2:10">
      <c r="B24" s="8" t="s">
        <v>612</v>
      </c>
      <c r="C24" s="9" t="s">
        <v>185</v>
      </c>
      <c r="D24" s="9" t="s">
        <v>185</v>
      </c>
      <c r="E24" s="10" t="s">
        <v>521</v>
      </c>
      <c r="F24" s="9" t="s">
        <v>185</v>
      </c>
      <c r="G24" s="10" t="s">
        <v>185</v>
      </c>
      <c r="H24" s="10" t="s">
        <v>593</v>
      </c>
      <c r="I24" s="10" t="s">
        <v>591</v>
      </c>
      <c r="J24" s="10" t="s">
        <v>292</v>
      </c>
    </row>
    <row r="25" ht="24" customHeight="1" spans="2:10">
      <c r="B25" s="5" t="s">
        <v>613</v>
      </c>
      <c r="C25" s="6" t="s">
        <v>185</v>
      </c>
      <c r="D25" s="6" t="s">
        <v>185</v>
      </c>
      <c r="E25" s="7" t="s">
        <v>524</v>
      </c>
      <c r="F25" s="6" t="s">
        <v>185</v>
      </c>
      <c r="G25" s="7" t="s">
        <v>185</v>
      </c>
      <c r="H25" s="7" t="s">
        <v>581</v>
      </c>
      <c r="I25" s="7" t="s">
        <v>594</v>
      </c>
      <c r="J25" s="7" t="s">
        <v>292</v>
      </c>
    </row>
    <row r="26" ht="24" customHeight="1" spans="2:10">
      <c r="B26" s="8" t="s">
        <v>614</v>
      </c>
      <c r="C26" s="9" t="s">
        <v>185</v>
      </c>
      <c r="D26" s="9" t="s">
        <v>185</v>
      </c>
      <c r="E26" s="10" t="s">
        <v>527</v>
      </c>
      <c r="F26" s="9" t="s">
        <v>185</v>
      </c>
      <c r="G26" s="10" t="s">
        <v>185</v>
      </c>
      <c r="H26" s="10" t="s">
        <v>584</v>
      </c>
      <c r="I26" s="10" t="s">
        <v>596</v>
      </c>
      <c r="J26" s="10" t="s">
        <v>292</v>
      </c>
    </row>
    <row r="27" ht="24" customHeight="1" spans="2:10">
      <c r="B27" s="5" t="s">
        <v>615</v>
      </c>
      <c r="C27" s="6" t="s">
        <v>185</v>
      </c>
      <c r="D27" s="6" t="s">
        <v>185</v>
      </c>
      <c r="E27" s="7" t="s">
        <v>530</v>
      </c>
      <c r="F27" s="6" t="s">
        <v>185</v>
      </c>
      <c r="G27" s="7" t="s">
        <v>185</v>
      </c>
      <c r="H27" s="7" t="s">
        <v>587</v>
      </c>
      <c r="I27" s="7" t="s">
        <v>598</v>
      </c>
      <c r="J27" s="7" t="s">
        <v>292</v>
      </c>
    </row>
    <row r="28" ht="24" customHeight="1" spans="2:10">
      <c r="B28" s="8" t="s">
        <v>616</v>
      </c>
      <c r="C28" s="9" t="s">
        <v>185</v>
      </c>
      <c r="D28" s="9" t="s">
        <v>185</v>
      </c>
      <c r="E28" s="10" t="s">
        <v>533</v>
      </c>
      <c r="F28" s="9" t="s">
        <v>185</v>
      </c>
      <c r="G28" s="10" t="s">
        <v>185</v>
      </c>
      <c r="H28" s="10" t="s">
        <v>590</v>
      </c>
      <c r="I28" s="10" t="s">
        <v>600</v>
      </c>
      <c r="J28" s="10" t="s">
        <v>292</v>
      </c>
    </row>
    <row r="29" ht="24" customHeight="1"/>
    <row r="30" ht="24" customHeight="1" spans="2:10">
      <c r="B30" s="11" t="s">
        <v>617</v>
      </c>
    </row>
    <row r="31" ht="24" customHeight="1" spans="2:10">
      <c r="B31" s="42" t="s">
        <v>618</v>
      </c>
      <c r="C31" s="46"/>
      <c r="D31" s="46"/>
      <c r="E31" s="47"/>
      <c r="F31" s="48">
        <f>COUNTA(B5:B28)</f>
        <v>24</v>
      </c>
      <c r="G31" s="46"/>
      <c r="H31" s="46"/>
      <c r="I31" s="46"/>
      <c r="J31" s="47"/>
    </row>
    <row r="32" ht="24" customHeight="1" spans="2:10">
      <c r="B32" s="44" t="s">
        <v>619</v>
      </c>
      <c r="C32" s="46"/>
      <c r="D32" s="46"/>
      <c r="E32" s="47"/>
      <c r="F32" s="35">
        <f>COUNTIF(I5:I28,"Best Paper Award")</f>
        <v>3</v>
      </c>
      <c r="G32" s="46"/>
      <c r="H32" s="46"/>
      <c r="I32" s="46"/>
      <c r="J32" s="47"/>
    </row>
    <row r="33" ht="24" customHeight="1" spans="2:10">
      <c r="B33" s="42" t="s">
        <v>620</v>
      </c>
      <c r="C33" s="46"/>
      <c r="D33" s="46"/>
      <c r="E33" s="47"/>
      <c r="F33" s="48">
        <f>COUNTIF(H5:H28,"National")+COUNTIF(H5:H28,"International")</f>
        <v>9</v>
      </c>
      <c r="G33" s="46"/>
      <c r="H33" s="46"/>
      <c r="I33" s="46"/>
      <c r="J33" s="47"/>
    </row>
    <row r="34" ht="24" customHeight="1" spans="2:10">
      <c r="B34" s="44" t="s">
        <v>621</v>
      </c>
      <c r="C34" s="46"/>
      <c r="D34" s="46"/>
      <c r="E34" s="47"/>
      <c r="F34" s="35">
        <f>COUNTIF(J5:J28,"Y")</f>
        <v>0</v>
      </c>
      <c r="G34" s="46"/>
      <c r="H34" s="46"/>
      <c r="I34" s="46"/>
      <c r="J34" s="47"/>
    </row>
    <row r="35" ht="24" customHeight="1" spans="2:10">
      <c r="B35" s="42" t="s">
        <v>622</v>
      </c>
      <c r="C35" s="46"/>
      <c r="D35" s="46"/>
      <c r="E35" s="47"/>
      <c r="F35" s="48" t="s">
        <v>185</v>
      </c>
      <c r="G35" s="46"/>
      <c r="H35" s="46"/>
      <c r="I35" s="46"/>
      <c r="J35" s="47"/>
    </row>
    <row r="36" spans="2:10">
      <c r="B36" s="44" t="s">
        <v>623</v>
      </c>
      <c r="C36" s="46"/>
      <c r="D36" s="46"/>
      <c r="E36" s="47"/>
      <c r="F36" s="35" t="s">
        <v>185</v>
      </c>
      <c r="G36" s="46"/>
      <c r="H36" s="46"/>
      <c r="I36" s="46"/>
      <c r="J36" s="47"/>
    </row>
  </sheetData>
  <mergeCells count="15">
    <mergeCell ref="B2:J2"/>
    <mergeCell ref="B3:J3"/>
    <mergeCell ref="B30:J30"/>
    <mergeCell ref="B31:E31"/>
    <mergeCell ref="F31:J31"/>
    <mergeCell ref="B32:E32"/>
    <mergeCell ref="F32:J32"/>
    <mergeCell ref="B33:E33"/>
    <mergeCell ref="F33:J33"/>
    <mergeCell ref="B34:E34"/>
    <mergeCell ref="F34:J34"/>
    <mergeCell ref="B35:E35"/>
    <mergeCell ref="F35:J35"/>
    <mergeCell ref="B36:E36"/>
    <mergeCell ref="F36:J3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6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6" customWidth="1"/>
    <col min="4" max="5" width="14" customWidth="1"/>
    <col min="6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624</v>
      </c>
    </row>
    <row r="3" ht="25" customHeight="1" spans="2:10">
      <c r="B3" s="2" t="s">
        <v>625</v>
      </c>
    </row>
    <row r="4" ht="25" customHeight="1" spans="2:10">
      <c r="B4" s="4" t="s">
        <v>626</v>
      </c>
      <c r="C4" s="4" t="s">
        <v>627</v>
      </c>
      <c r="D4" s="4" t="s">
        <v>507</v>
      </c>
      <c r="E4" s="4" t="s">
        <v>628</v>
      </c>
      <c r="F4" s="4" t="s">
        <v>629</v>
      </c>
      <c r="G4" s="4" t="s">
        <v>630</v>
      </c>
      <c r="H4" s="4" t="s">
        <v>631</v>
      </c>
      <c r="I4" s="4" t="s">
        <v>632</v>
      </c>
      <c r="J4" s="4" t="s">
        <v>510</v>
      </c>
    </row>
    <row r="5" ht="22" customHeight="1" spans="2:10">
      <c r="B5" s="5" t="s">
        <v>633</v>
      </c>
      <c r="C5" s="6" t="s">
        <v>634</v>
      </c>
      <c r="D5" s="7" t="s">
        <v>194</v>
      </c>
      <c r="E5" s="6" t="s">
        <v>185</v>
      </c>
      <c r="F5" s="7" t="s">
        <v>185</v>
      </c>
      <c r="G5" s="7" t="s">
        <v>185</v>
      </c>
      <c r="H5" s="7" t="s">
        <v>635</v>
      </c>
      <c r="I5" s="7" t="s">
        <v>185</v>
      </c>
      <c r="J5" s="7" t="s">
        <v>185</v>
      </c>
    </row>
    <row r="6" ht="22" customHeight="1" spans="2:10">
      <c r="B6" s="8" t="s">
        <v>636</v>
      </c>
      <c r="C6" s="9" t="s">
        <v>637</v>
      </c>
      <c r="D6" s="10" t="s">
        <v>515</v>
      </c>
      <c r="E6" s="9" t="s">
        <v>185</v>
      </c>
      <c r="F6" s="10" t="s">
        <v>185</v>
      </c>
      <c r="G6" s="10" t="s">
        <v>185</v>
      </c>
      <c r="H6" s="10" t="s">
        <v>638</v>
      </c>
      <c r="I6" s="10" t="s">
        <v>185</v>
      </c>
      <c r="J6" s="10" t="s">
        <v>185</v>
      </c>
    </row>
    <row r="7" ht="22" customHeight="1" spans="2:10">
      <c r="B7" s="5" t="s">
        <v>639</v>
      </c>
      <c r="C7" s="6" t="s">
        <v>640</v>
      </c>
      <c r="D7" s="7" t="s">
        <v>518</v>
      </c>
      <c r="E7" s="6" t="s">
        <v>185</v>
      </c>
      <c r="F7" s="7" t="s">
        <v>185</v>
      </c>
      <c r="G7" s="7" t="s">
        <v>185</v>
      </c>
      <c r="H7" s="7" t="s">
        <v>641</v>
      </c>
      <c r="I7" s="7" t="s">
        <v>185</v>
      </c>
      <c r="J7" s="7" t="s">
        <v>185</v>
      </c>
    </row>
    <row r="8" ht="22" customHeight="1" spans="2:10">
      <c r="B8" s="8" t="s">
        <v>642</v>
      </c>
      <c r="C8" s="9" t="s">
        <v>643</v>
      </c>
      <c r="D8" s="10" t="s">
        <v>521</v>
      </c>
      <c r="E8" s="9" t="s">
        <v>185</v>
      </c>
      <c r="F8" s="10" t="s">
        <v>185</v>
      </c>
      <c r="G8" s="10" t="s">
        <v>185</v>
      </c>
      <c r="H8" s="10" t="s">
        <v>644</v>
      </c>
      <c r="I8" s="10" t="s">
        <v>185</v>
      </c>
      <c r="J8" s="10" t="s">
        <v>185</v>
      </c>
    </row>
    <row r="9" ht="22" customHeight="1" spans="2:10">
      <c r="B9" s="5" t="s">
        <v>645</v>
      </c>
      <c r="C9" s="6" t="s">
        <v>646</v>
      </c>
      <c r="D9" s="7" t="s">
        <v>524</v>
      </c>
      <c r="E9" s="6" t="s">
        <v>185</v>
      </c>
      <c r="F9" s="7" t="s">
        <v>185</v>
      </c>
      <c r="G9" s="7" t="s">
        <v>185</v>
      </c>
      <c r="H9" s="7" t="s">
        <v>647</v>
      </c>
      <c r="I9" s="7" t="s">
        <v>185</v>
      </c>
      <c r="J9" s="7" t="s">
        <v>185</v>
      </c>
    </row>
    <row r="10" ht="22" customHeight="1" spans="2:10">
      <c r="B10" s="8" t="s">
        <v>648</v>
      </c>
      <c r="C10" s="9" t="s">
        <v>649</v>
      </c>
      <c r="D10" s="10" t="s">
        <v>527</v>
      </c>
      <c r="E10" s="9" t="s">
        <v>185</v>
      </c>
      <c r="F10" s="10" t="s">
        <v>185</v>
      </c>
      <c r="G10" s="10" t="s">
        <v>185</v>
      </c>
      <c r="H10" s="10" t="s">
        <v>635</v>
      </c>
      <c r="I10" s="10" t="s">
        <v>185</v>
      </c>
      <c r="J10" s="10" t="s">
        <v>185</v>
      </c>
    </row>
    <row r="11" ht="22" customHeight="1" spans="2:10">
      <c r="B11" s="5" t="s">
        <v>650</v>
      </c>
      <c r="C11" s="6" t="s">
        <v>651</v>
      </c>
      <c r="D11" s="7" t="s">
        <v>530</v>
      </c>
      <c r="E11" s="6" t="s">
        <v>185</v>
      </c>
      <c r="F11" s="7" t="s">
        <v>185</v>
      </c>
      <c r="G11" s="7" t="s">
        <v>185</v>
      </c>
      <c r="H11" s="7" t="s">
        <v>638</v>
      </c>
      <c r="I11" s="7" t="s">
        <v>185</v>
      </c>
      <c r="J11" s="7" t="s">
        <v>185</v>
      </c>
    </row>
    <row r="12" ht="22" customHeight="1" spans="2:10">
      <c r="B12" s="8" t="s">
        <v>652</v>
      </c>
      <c r="C12" s="9" t="s">
        <v>653</v>
      </c>
      <c r="D12" s="10" t="s">
        <v>533</v>
      </c>
      <c r="E12" s="9" t="s">
        <v>185</v>
      </c>
      <c r="F12" s="10" t="s">
        <v>185</v>
      </c>
      <c r="G12" s="10" t="s">
        <v>185</v>
      </c>
      <c r="H12" s="10" t="s">
        <v>641</v>
      </c>
      <c r="I12" s="10" t="s">
        <v>185</v>
      </c>
      <c r="J12" s="10" t="s">
        <v>185</v>
      </c>
    </row>
    <row r="13" ht="22" customHeight="1" spans="2:10">
      <c r="B13" s="5" t="s">
        <v>654</v>
      </c>
      <c r="C13" s="6" t="s">
        <v>655</v>
      </c>
      <c r="D13" s="7" t="s">
        <v>194</v>
      </c>
      <c r="E13" s="6" t="s">
        <v>185</v>
      </c>
      <c r="F13" s="7" t="s">
        <v>185</v>
      </c>
      <c r="G13" s="7" t="s">
        <v>185</v>
      </c>
      <c r="H13" s="7" t="s">
        <v>644</v>
      </c>
      <c r="I13" s="7" t="s">
        <v>185</v>
      </c>
      <c r="J13" s="7" t="s">
        <v>185</v>
      </c>
    </row>
    <row r="14" ht="22" customHeight="1" spans="2:10">
      <c r="B14" s="8" t="s">
        <v>656</v>
      </c>
      <c r="C14" s="9" t="s">
        <v>657</v>
      </c>
      <c r="D14" s="10" t="s">
        <v>515</v>
      </c>
      <c r="E14" s="9" t="s">
        <v>185</v>
      </c>
      <c r="F14" s="10" t="s">
        <v>185</v>
      </c>
      <c r="G14" s="10" t="s">
        <v>185</v>
      </c>
      <c r="H14" s="10" t="s">
        <v>647</v>
      </c>
      <c r="I14" s="10" t="s">
        <v>185</v>
      </c>
      <c r="J14" s="10" t="s">
        <v>185</v>
      </c>
    </row>
    <row r="15" ht="22" customHeight="1" spans="2:10">
      <c r="B15" s="5" t="s">
        <v>658</v>
      </c>
      <c r="C15" s="6" t="s">
        <v>659</v>
      </c>
      <c r="D15" s="7" t="s">
        <v>518</v>
      </c>
      <c r="E15" s="6" t="s">
        <v>185</v>
      </c>
      <c r="F15" s="7" t="s">
        <v>185</v>
      </c>
      <c r="G15" s="7" t="s">
        <v>185</v>
      </c>
      <c r="H15" s="7" t="s">
        <v>635</v>
      </c>
      <c r="I15" s="7" t="s">
        <v>185</v>
      </c>
      <c r="J15" s="7" t="s">
        <v>185</v>
      </c>
    </row>
    <row r="16" ht="22" customHeight="1" spans="2:10">
      <c r="B16" s="8" t="s">
        <v>660</v>
      </c>
      <c r="C16" s="9" t="s">
        <v>661</v>
      </c>
      <c r="D16" s="10" t="s">
        <v>521</v>
      </c>
      <c r="E16" s="9" t="s">
        <v>185</v>
      </c>
      <c r="F16" s="10" t="s">
        <v>185</v>
      </c>
      <c r="G16" s="10" t="s">
        <v>185</v>
      </c>
      <c r="H16" s="10" t="s">
        <v>638</v>
      </c>
      <c r="I16" s="10" t="s">
        <v>185</v>
      </c>
      <c r="J16" s="10" t="s">
        <v>185</v>
      </c>
    </row>
    <row r="17" ht="22" customHeight="1" spans="2:10">
      <c r="B17" s="5" t="s">
        <v>662</v>
      </c>
      <c r="C17" s="6" t="s">
        <v>663</v>
      </c>
      <c r="D17" s="7" t="s">
        <v>524</v>
      </c>
      <c r="E17" s="6" t="s">
        <v>185</v>
      </c>
      <c r="F17" s="7" t="s">
        <v>185</v>
      </c>
      <c r="G17" s="7" t="s">
        <v>185</v>
      </c>
      <c r="H17" s="7" t="s">
        <v>641</v>
      </c>
      <c r="I17" s="7" t="s">
        <v>185</v>
      </c>
      <c r="J17" s="7" t="s">
        <v>185</v>
      </c>
    </row>
    <row r="18" ht="22" customHeight="1" spans="2:10">
      <c r="B18" s="8" t="s">
        <v>664</v>
      </c>
      <c r="C18" s="9" t="s">
        <v>665</v>
      </c>
      <c r="D18" s="10" t="s">
        <v>527</v>
      </c>
      <c r="E18" s="9" t="s">
        <v>185</v>
      </c>
      <c r="F18" s="10" t="s">
        <v>185</v>
      </c>
      <c r="G18" s="10" t="s">
        <v>185</v>
      </c>
      <c r="H18" s="10" t="s">
        <v>644</v>
      </c>
      <c r="I18" s="10" t="s">
        <v>185</v>
      </c>
      <c r="J18" s="10" t="s">
        <v>185</v>
      </c>
    </row>
    <row r="19" ht="22" customHeight="1" spans="2:10">
      <c r="B19" s="5" t="s">
        <v>666</v>
      </c>
      <c r="C19" s="6" t="s">
        <v>667</v>
      </c>
      <c r="D19" s="7" t="s">
        <v>530</v>
      </c>
      <c r="E19" s="6" t="s">
        <v>185</v>
      </c>
      <c r="F19" s="7" t="s">
        <v>185</v>
      </c>
      <c r="G19" s="7" t="s">
        <v>185</v>
      </c>
      <c r="H19" s="7" t="s">
        <v>647</v>
      </c>
      <c r="I19" s="7" t="s">
        <v>185</v>
      </c>
      <c r="J19" s="7" t="s">
        <v>185</v>
      </c>
    </row>
    <row r="20" ht="22" customHeight="1" spans="2:10">
      <c r="B20" s="8" t="s">
        <v>668</v>
      </c>
      <c r="C20" s="9" t="s">
        <v>669</v>
      </c>
      <c r="D20" s="10" t="s">
        <v>533</v>
      </c>
      <c r="E20" s="9" t="s">
        <v>185</v>
      </c>
      <c r="F20" s="10" t="s">
        <v>185</v>
      </c>
      <c r="G20" s="10" t="s">
        <v>185</v>
      </c>
      <c r="H20" s="10" t="s">
        <v>635</v>
      </c>
      <c r="I20" s="10" t="s">
        <v>185</v>
      </c>
      <c r="J20" s="10" t="s">
        <v>185</v>
      </c>
    </row>
    <row r="21" ht="22" customHeight="1" spans="2:10">
      <c r="B21" s="5" t="s">
        <v>670</v>
      </c>
      <c r="C21" s="6" t="s">
        <v>671</v>
      </c>
      <c r="D21" s="7" t="s">
        <v>194</v>
      </c>
      <c r="E21" s="6" t="s">
        <v>185</v>
      </c>
      <c r="F21" s="7" t="s">
        <v>185</v>
      </c>
      <c r="G21" s="7" t="s">
        <v>185</v>
      </c>
      <c r="H21" s="7" t="s">
        <v>638</v>
      </c>
      <c r="I21" s="7" t="s">
        <v>185</v>
      </c>
      <c r="J21" s="7" t="s">
        <v>185</v>
      </c>
    </row>
    <row r="22" ht="22" customHeight="1" spans="2:10">
      <c r="B22" s="8" t="s">
        <v>672</v>
      </c>
      <c r="C22" s="9" t="s">
        <v>673</v>
      </c>
      <c r="D22" s="10" t="s">
        <v>515</v>
      </c>
      <c r="E22" s="9" t="s">
        <v>185</v>
      </c>
      <c r="F22" s="10" t="s">
        <v>185</v>
      </c>
      <c r="G22" s="10" t="s">
        <v>185</v>
      </c>
      <c r="H22" s="10" t="s">
        <v>641</v>
      </c>
      <c r="I22" s="10" t="s">
        <v>185</v>
      </c>
      <c r="J22" s="10" t="s">
        <v>185</v>
      </c>
    </row>
    <row r="23" ht="22" customHeight="1" spans="2:10">
      <c r="B23" s="5" t="s">
        <v>674</v>
      </c>
      <c r="C23" s="6" t="s">
        <v>675</v>
      </c>
      <c r="D23" s="7" t="s">
        <v>518</v>
      </c>
      <c r="E23" s="6" t="s">
        <v>185</v>
      </c>
      <c r="F23" s="7" t="s">
        <v>185</v>
      </c>
      <c r="G23" s="7" t="s">
        <v>185</v>
      </c>
      <c r="H23" s="7" t="s">
        <v>644</v>
      </c>
      <c r="I23" s="7" t="s">
        <v>185</v>
      </c>
      <c r="J23" s="7" t="s">
        <v>185</v>
      </c>
    </row>
    <row r="24" ht="22" customHeight="1" spans="2:10">
      <c r="B24" s="8" t="s">
        <v>676</v>
      </c>
      <c r="C24" s="9" t="s">
        <v>677</v>
      </c>
      <c r="D24" s="10" t="s">
        <v>521</v>
      </c>
      <c r="E24" s="9" t="s">
        <v>185</v>
      </c>
      <c r="F24" s="10" t="s">
        <v>185</v>
      </c>
      <c r="G24" s="10" t="s">
        <v>185</v>
      </c>
      <c r="H24" s="10" t="s">
        <v>647</v>
      </c>
      <c r="I24" s="10" t="s">
        <v>185</v>
      </c>
      <c r="J24" s="10" t="s">
        <v>185</v>
      </c>
    </row>
    <row r="25" ht="22" customHeight="1" spans="2:10">
      <c r="B25" s="5" t="s">
        <v>678</v>
      </c>
      <c r="C25" s="6" t="s">
        <v>634</v>
      </c>
      <c r="D25" s="7" t="s">
        <v>524</v>
      </c>
      <c r="E25" s="6" t="s">
        <v>185</v>
      </c>
      <c r="F25" s="7" t="s">
        <v>185</v>
      </c>
      <c r="G25" s="7" t="s">
        <v>185</v>
      </c>
      <c r="H25" s="7" t="s">
        <v>635</v>
      </c>
      <c r="I25" s="7" t="s">
        <v>185</v>
      </c>
      <c r="J25" s="7" t="s">
        <v>185</v>
      </c>
    </row>
    <row r="26" ht="22" customHeight="1" spans="2:10">
      <c r="B26" s="8" t="s">
        <v>679</v>
      </c>
      <c r="C26" s="9" t="s">
        <v>637</v>
      </c>
      <c r="D26" s="10" t="s">
        <v>527</v>
      </c>
      <c r="E26" s="9" t="s">
        <v>185</v>
      </c>
      <c r="F26" s="10" t="s">
        <v>185</v>
      </c>
      <c r="G26" s="10" t="s">
        <v>185</v>
      </c>
      <c r="H26" s="10" t="s">
        <v>638</v>
      </c>
      <c r="I26" s="10" t="s">
        <v>185</v>
      </c>
      <c r="J26" s="10" t="s">
        <v>185</v>
      </c>
    </row>
    <row r="27" ht="22" customHeight="1" spans="2:10">
      <c r="B27" s="5" t="s">
        <v>680</v>
      </c>
      <c r="C27" s="6" t="s">
        <v>640</v>
      </c>
      <c r="D27" s="7" t="s">
        <v>530</v>
      </c>
      <c r="E27" s="6" t="s">
        <v>185</v>
      </c>
      <c r="F27" s="7" t="s">
        <v>185</v>
      </c>
      <c r="G27" s="7" t="s">
        <v>185</v>
      </c>
      <c r="H27" s="7" t="s">
        <v>641</v>
      </c>
      <c r="I27" s="7" t="s">
        <v>185</v>
      </c>
      <c r="J27" s="7" t="s">
        <v>185</v>
      </c>
    </row>
    <row r="28" ht="22" customHeight="1" spans="2:10">
      <c r="B28" s="8" t="s">
        <v>681</v>
      </c>
      <c r="C28" s="9" t="s">
        <v>643</v>
      </c>
      <c r="D28" s="10" t="s">
        <v>533</v>
      </c>
      <c r="E28" s="9" t="s">
        <v>185</v>
      </c>
      <c r="F28" s="10" t="s">
        <v>185</v>
      </c>
      <c r="G28" s="10" t="s">
        <v>185</v>
      </c>
      <c r="H28" s="10" t="s">
        <v>644</v>
      </c>
      <c r="I28" s="10" t="s">
        <v>185</v>
      </c>
      <c r="J28" s="10" t="s">
        <v>185</v>
      </c>
    </row>
    <row r="29" ht="22" customHeight="1"/>
    <row r="30" ht="24" customHeight="1" spans="2:10">
      <c r="B30" s="11" t="s">
        <v>682</v>
      </c>
    </row>
    <row r="31" ht="22" customHeight="1" spans="2:10">
      <c r="B31" s="42" t="s">
        <v>683</v>
      </c>
      <c r="C31" s="46"/>
      <c r="D31" s="46"/>
      <c r="E31" s="47"/>
      <c r="F31" s="48">
        <f>COUNTA(B5:B28)</f>
        <v>24</v>
      </c>
      <c r="G31" s="46"/>
      <c r="H31" s="46"/>
      <c r="I31" s="46"/>
      <c r="J31" s="47"/>
    </row>
    <row r="32" ht="22" customHeight="1" spans="2:10">
      <c r="B32" s="44" t="s">
        <v>684</v>
      </c>
      <c r="C32" s="46"/>
      <c r="D32" s="46"/>
      <c r="E32" s="47"/>
      <c r="F32" s="35">
        <f>IFERROR(SUM(G5:G28),"")</f>
        <v>0</v>
      </c>
      <c r="G32" s="46"/>
      <c r="H32" s="46"/>
      <c r="I32" s="46"/>
      <c r="J32" s="47"/>
    </row>
    <row r="33" ht="22" customHeight="1" spans="2:10">
      <c r="B33" s="42" t="s">
        <v>685</v>
      </c>
      <c r="C33" s="46"/>
      <c r="D33" s="46"/>
      <c r="E33" s="47"/>
      <c r="F33" s="48">
        <f>IFERROR(SUM(I5:I28),"")</f>
        <v>0</v>
      </c>
      <c r="G33" s="46"/>
      <c r="H33" s="46"/>
      <c r="I33" s="46"/>
      <c r="J33" s="47"/>
    </row>
    <row r="34" ht="22" customHeight="1" spans="2:10">
      <c r="B34" s="44" t="s">
        <v>686</v>
      </c>
      <c r="C34" s="46"/>
      <c r="D34" s="46"/>
      <c r="E34" s="47"/>
      <c r="F34" s="35" t="str">
        <f>IFERROR(ROUND(AVERAGE(J5:J28),2),"")</f>
        <v/>
      </c>
      <c r="G34" s="46"/>
      <c r="H34" s="46"/>
      <c r="I34" s="46"/>
      <c r="J34" s="47"/>
    </row>
    <row r="35" ht="22" customHeight="1" spans="2:10">
      <c r="B35" s="42" t="s">
        <v>687</v>
      </c>
      <c r="C35" s="46"/>
      <c r="D35" s="46"/>
      <c r="E35" s="47"/>
      <c r="F35" s="48" t="s">
        <v>185</v>
      </c>
      <c r="G35" s="46"/>
      <c r="H35" s="46"/>
      <c r="I35" s="46"/>
      <c r="J35" s="47"/>
    </row>
    <row r="36" spans="2:10">
      <c r="B36" s="44" t="s">
        <v>688</v>
      </c>
      <c r="C36" s="46"/>
      <c r="D36" s="46"/>
      <c r="E36" s="47"/>
      <c r="F36" s="35" t="s">
        <v>185</v>
      </c>
      <c r="G36" s="46"/>
      <c r="H36" s="46"/>
      <c r="I36" s="46"/>
      <c r="J36" s="47"/>
    </row>
  </sheetData>
  <mergeCells count="15">
    <mergeCell ref="B2:J2"/>
    <mergeCell ref="B3:J3"/>
    <mergeCell ref="B30:J30"/>
    <mergeCell ref="B31:E31"/>
    <mergeCell ref="F31:J31"/>
    <mergeCell ref="B32:E32"/>
    <mergeCell ref="F32:J32"/>
    <mergeCell ref="B33:E33"/>
    <mergeCell ref="F33:J33"/>
    <mergeCell ref="B34:E34"/>
    <mergeCell ref="F34:J34"/>
    <mergeCell ref="B35:E35"/>
    <mergeCell ref="F35:J35"/>
    <mergeCell ref="B36:E36"/>
    <mergeCell ref="F36:J3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5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4" customWidth="1"/>
    <col min="4" max="4" width="14" customWidth="1"/>
    <col min="5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689</v>
      </c>
    </row>
    <row r="3" ht="25" customHeight="1" spans="2:10">
      <c r="B3" s="2" t="s">
        <v>625</v>
      </c>
    </row>
    <row r="4" ht="25" customHeight="1" spans="2:10">
      <c r="B4" s="4" t="s">
        <v>503</v>
      </c>
      <c r="C4" s="4" t="s">
        <v>690</v>
      </c>
      <c r="D4" s="4" t="s">
        <v>691</v>
      </c>
      <c r="E4" s="4" t="s">
        <v>507</v>
      </c>
      <c r="F4" s="4" t="s">
        <v>629</v>
      </c>
      <c r="G4" s="4" t="s">
        <v>692</v>
      </c>
      <c r="H4" s="4" t="s">
        <v>693</v>
      </c>
      <c r="I4" s="4" t="s">
        <v>694</v>
      </c>
      <c r="J4" s="4" t="s">
        <v>695</v>
      </c>
    </row>
    <row r="5" ht="22" customHeight="1" spans="2:10">
      <c r="B5" s="5" t="s">
        <v>696</v>
      </c>
      <c r="C5" s="6" t="s">
        <v>185</v>
      </c>
      <c r="D5" s="7" t="s">
        <v>697</v>
      </c>
      <c r="E5" s="7" t="s">
        <v>194</v>
      </c>
      <c r="F5" s="7" t="s">
        <v>185</v>
      </c>
      <c r="G5" s="7" t="s">
        <v>185</v>
      </c>
      <c r="H5" s="7" t="s">
        <v>581</v>
      </c>
      <c r="I5" s="6" t="s">
        <v>185</v>
      </c>
      <c r="J5" s="7" t="s">
        <v>185</v>
      </c>
    </row>
    <row r="6" ht="22" customHeight="1" spans="2:10">
      <c r="B6" s="8" t="s">
        <v>698</v>
      </c>
      <c r="C6" s="9" t="s">
        <v>185</v>
      </c>
      <c r="D6" s="10" t="s">
        <v>699</v>
      </c>
      <c r="E6" s="10" t="s">
        <v>515</v>
      </c>
      <c r="F6" s="10" t="s">
        <v>185</v>
      </c>
      <c r="G6" s="10" t="s">
        <v>185</v>
      </c>
      <c r="H6" s="10" t="s">
        <v>584</v>
      </c>
      <c r="I6" s="9" t="s">
        <v>185</v>
      </c>
      <c r="J6" s="10" t="s">
        <v>185</v>
      </c>
    </row>
    <row r="7" ht="22" customHeight="1" spans="2:10">
      <c r="B7" s="5" t="s">
        <v>700</v>
      </c>
      <c r="C7" s="6" t="s">
        <v>185</v>
      </c>
      <c r="D7" s="7" t="s">
        <v>701</v>
      </c>
      <c r="E7" s="7" t="s">
        <v>518</v>
      </c>
      <c r="F7" s="7" t="s">
        <v>185</v>
      </c>
      <c r="G7" s="7" t="s">
        <v>185</v>
      </c>
      <c r="H7" s="7" t="s">
        <v>587</v>
      </c>
      <c r="I7" s="6" t="s">
        <v>185</v>
      </c>
      <c r="J7" s="7" t="s">
        <v>185</v>
      </c>
    </row>
    <row r="8" ht="22" customHeight="1" spans="2:10">
      <c r="B8" s="8" t="s">
        <v>702</v>
      </c>
      <c r="C8" s="9" t="s">
        <v>185</v>
      </c>
      <c r="D8" s="10" t="s">
        <v>703</v>
      </c>
      <c r="E8" s="10" t="s">
        <v>521</v>
      </c>
      <c r="F8" s="10" t="s">
        <v>185</v>
      </c>
      <c r="G8" s="10" t="s">
        <v>185</v>
      </c>
      <c r="H8" s="10" t="s">
        <v>590</v>
      </c>
      <c r="I8" s="9" t="s">
        <v>185</v>
      </c>
      <c r="J8" s="10" t="s">
        <v>185</v>
      </c>
    </row>
    <row r="9" ht="22" customHeight="1" spans="2:10">
      <c r="B9" s="5" t="s">
        <v>704</v>
      </c>
      <c r="C9" s="6" t="s">
        <v>185</v>
      </c>
      <c r="D9" s="7" t="s">
        <v>705</v>
      </c>
      <c r="E9" s="7" t="s">
        <v>524</v>
      </c>
      <c r="F9" s="7" t="s">
        <v>185</v>
      </c>
      <c r="G9" s="7" t="s">
        <v>185</v>
      </c>
      <c r="H9" s="7" t="s">
        <v>593</v>
      </c>
      <c r="I9" s="6" t="s">
        <v>185</v>
      </c>
      <c r="J9" s="7" t="s">
        <v>185</v>
      </c>
    </row>
    <row r="10" ht="22" customHeight="1" spans="2:10">
      <c r="B10" s="8" t="s">
        <v>706</v>
      </c>
      <c r="C10" s="9" t="s">
        <v>185</v>
      </c>
      <c r="D10" s="10" t="s">
        <v>707</v>
      </c>
      <c r="E10" s="10" t="s">
        <v>527</v>
      </c>
      <c r="F10" s="10" t="s">
        <v>185</v>
      </c>
      <c r="G10" s="10" t="s">
        <v>185</v>
      </c>
      <c r="H10" s="10" t="s">
        <v>581</v>
      </c>
      <c r="I10" s="9" t="s">
        <v>185</v>
      </c>
      <c r="J10" s="10" t="s">
        <v>185</v>
      </c>
    </row>
    <row r="11" ht="22" customHeight="1" spans="2:10">
      <c r="B11" s="5" t="s">
        <v>708</v>
      </c>
      <c r="C11" s="6" t="s">
        <v>185</v>
      </c>
      <c r="D11" s="7" t="s">
        <v>709</v>
      </c>
      <c r="E11" s="7" t="s">
        <v>530</v>
      </c>
      <c r="F11" s="7" t="s">
        <v>185</v>
      </c>
      <c r="G11" s="7" t="s">
        <v>185</v>
      </c>
      <c r="H11" s="7" t="s">
        <v>584</v>
      </c>
      <c r="I11" s="6" t="s">
        <v>185</v>
      </c>
      <c r="J11" s="7" t="s">
        <v>185</v>
      </c>
    </row>
    <row r="12" ht="22" customHeight="1" spans="2:10">
      <c r="B12" s="8" t="s">
        <v>710</v>
      </c>
      <c r="C12" s="9" t="s">
        <v>185</v>
      </c>
      <c r="D12" s="10" t="s">
        <v>711</v>
      </c>
      <c r="E12" s="10" t="s">
        <v>533</v>
      </c>
      <c r="F12" s="10" t="s">
        <v>185</v>
      </c>
      <c r="G12" s="10" t="s">
        <v>185</v>
      </c>
      <c r="H12" s="10" t="s">
        <v>587</v>
      </c>
      <c r="I12" s="9" t="s">
        <v>185</v>
      </c>
      <c r="J12" s="10" t="s">
        <v>185</v>
      </c>
    </row>
    <row r="13" ht="22" customHeight="1" spans="2:10">
      <c r="B13" s="5" t="s">
        <v>712</v>
      </c>
      <c r="C13" s="6" t="s">
        <v>185</v>
      </c>
      <c r="D13" s="7" t="s">
        <v>713</v>
      </c>
      <c r="E13" s="7" t="s">
        <v>194</v>
      </c>
      <c r="F13" s="7" t="s">
        <v>185</v>
      </c>
      <c r="G13" s="7" t="s">
        <v>185</v>
      </c>
      <c r="H13" s="7" t="s">
        <v>590</v>
      </c>
      <c r="I13" s="6" t="s">
        <v>185</v>
      </c>
      <c r="J13" s="7" t="s">
        <v>185</v>
      </c>
    </row>
    <row r="14" ht="22" customHeight="1" spans="2:10">
      <c r="B14" s="8" t="s">
        <v>714</v>
      </c>
      <c r="C14" s="9" t="s">
        <v>185</v>
      </c>
      <c r="D14" s="10" t="s">
        <v>715</v>
      </c>
      <c r="E14" s="10" t="s">
        <v>515</v>
      </c>
      <c r="F14" s="10" t="s">
        <v>185</v>
      </c>
      <c r="G14" s="10" t="s">
        <v>185</v>
      </c>
      <c r="H14" s="10" t="s">
        <v>593</v>
      </c>
      <c r="I14" s="9" t="s">
        <v>185</v>
      </c>
      <c r="J14" s="10" t="s">
        <v>185</v>
      </c>
    </row>
    <row r="15" ht="22" customHeight="1" spans="2:10">
      <c r="B15" s="5" t="s">
        <v>716</v>
      </c>
      <c r="C15" s="6" t="s">
        <v>185</v>
      </c>
      <c r="D15" s="7" t="s">
        <v>717</v>
      </c>
      <c r="E15" s="7" t="s">
        <v>518</v>
      </c>
      <c r="F15" s="7" t="s">
        <v>185</v>
      </c>
      <c r="G15" s="7" t="s">
        <v>185</v>
      </c>
      <c r="H15" s="7" t="s">
        <v>581</v>
      </c>
      <c r="I15" s="6" t="s">
        <v>185</v>
      </c>
      <c r="J15" s="7" t="s">
        <v>185</v>
      </c>
    </row>
    <row r="16" ht="22" customHeight="1" spans="2:10">
      <c r="B16" s="8" t="s">
        <v>718</v>
      </c>
      <c r="C16" s="9" t="s">
        <v>185</v>
      </c>
      <c r="D16" s="10" t="s">
        <v>719</v>
      </c>
      <c r="E16" s="10" t="s">
        <v>521</v>
      </c>
      <c r="F16" s="10" t="s">
        <v>185</v>
      </c>
      <c r="G16" s="10" t="s">
        <v>185</v>
      </c>
      <c r="H16" s="10" t="s">
        <v>584</v>
      </c>
      <c r="I16" s="9" t="s">
        <v>185</v>
      </c>
      <c r="J16" s="10" t="s">
        <v>185</v>
      </c>
    </row>
    <row r="17" ht="22" customHeight="1" spans="2:10">
      <c r="B17" s="5" t="s">
        <v>720</v>
      </c>
      <c r="C17" s="6" t="s">
        <v>185</v>
      </c>
      <c r="D17" s="7" t="s">
        <v>721</v>
      </c>
      <c r="E17" s="7" t="s">
        <v>524</v>
      </c>
      <c r="F17" s="7" t="s">
        <v>185</v>
      </c>
      <c r="G17" s="7" t="s">
        <v>185</v>
      </c>
      <c r="H17" s="7" t="s">
        <v>587</v>
      </c>
      <c r="I17" s="6" t="s">
        <v>185</v>
      </c>
      <c r="J17" s="7" t="s">
        <v>185</v>
      </c>
    </row>
    <row r="18" ht="22" customHeight="1" spans="2:10">
      <c r="B18" s="8" t="s">
        <v>722</v>
      </c>
      <c r="C18" s="9" t="s">
        <v>185</v>
      </c>
      <c r="D18" s="10" t="s">
        <v>723</v>
      </c>
      <c r="E18" s="10" t="s">
        <v>527</v>
      </c>
      <c r="F18" s="10" t="s">
        <v>185</v>
      </c>
      <c r="G18" s="10" t="s">
        <v>185</v>
      </c>
      <c r="H18" s="10" t="s">
        <v>590</v>
      </c>
      <c r="I18" s="9" t="s">
        <v>185</v>
      </c>
      <c r="J18" s="10" t="s">
        <v>185</v>
      </c>
    </row>
    <row r="19" ht="22" customHeight="1" spans="2:10">
      <c r="B19" s="5" t="s">
        <v>724</v>
      </c>
      <c r="C19" s="6" t="s">
        <v>185</v>
      </c>
      <c r="D19" s="7" t="s">
        <v>725</v>
      </c>
      <c r="E19" s="7" t="s">
        <v>530</v>
      </c>
      <c r="F19" s="7" t="s">
        <v>185</v>
      </c>
      <c r="G19" s="7" t="s">
        <v>185</v>
      </c>
      <c r="H19" s="7" t="s">
        <v>593</v>
      </c>
      <c r="I19" s="6" t="s">
        <v>185</v>
      </c>
      <c r="J19" s="7" t="s">
        <v>185</v>
      </c>
    </row>
    <row r="20" ht="22" customHeight="1" spans="2:10">
      <c r="B20" s="8" t="s">
        <v>726</v>
      </c>
      <c r="C20" s="9" t="s">
        <v>185</v>
      </c>
      <c r="D20" s="10" t="s">
        <v>697</v>
      </c>
      <c r="E20" s="10" t="s">
        <v>533</v>
      </c>
      <c r="F20" s="10" t="s">
        <v>185</v>
      </c>
      <c r="G20" s="10" t="s">
        <v>185</v>
      </c>
      <c r="H20" s="10" t="s">
        <v>581</v>
      </c>
      <c r="I20" s="9" t="s">
        <v>185</v>
      </c>
      <c r="J20" s="10" t="s">
        <v>185</v>
      </c>
    </row>
    <row r="21" ht="22" customHeight="1" spans="2:10">
      <c r="B21" s="5" t="s">
        <v>727</v>
      </c>
      <c r="C21" s="6" t="s">
        <v>185</v>
      </c>
      <c r="D21" s="7" t="s">
        <v>699</v>
      </c>
      <c r="E21" s="7" t="s">
        <v>194</v>
      </c>
      <c r="F21" s="7" t="s">
        <v>185</v>
      </c>
      <c r="G21" s="7" t="s">
        <v>185</v>
      </c>
      <c r="H21" s="7" t="s">
        <v>584</v>
      </c>
      <c r="I21" s="6" t="s">
        <v>185</v>
      </c>
      <c r="J21" s="7" t="s">
        <v>185</v>
      </c>
    </row>
    <row r="22" ht="22" customHeight="1" spans="2:10">
      <c r="B22" s="8" t="s">
        <v>728</v>
      </c>
      <c r="C22" s="9" t="s">
        <v>185</v>
      </c>
      <c r="D22" s="10" t="s">
        <v>701</v>
      </c>
      <c r="E22" s="10" t="s">
        <v>515</v>
      </c>
      <c r="F22" s="10" t="s">
        <v>185</v>
      </c>
      <c r="G22" s="10" t="s">
        <v>185</v>
      </c>
      <c r="H22" s="10" t="s">
        <v>587</v>
      </c>
      <c r="I22" s="9" t="s">
        <v>185</v>
      </c>
      <c r="J22" s="10" t="s">
        <v>185</v>
      </c>
    </row>
    <row r="23" ht="22" customHeight="1" spans="2:10">
      <c r="B23" s="5" t="s">
        <v>729</v>
      </c>
      <c r="C23" s="6" t="s">
        <v>185</v>
      </c>
      <c r="D23" s="7" t="s">
        <v>703</v>
      </c>
      <c r="E23" s="7" t="s">
        <v>518</v>
      </c>
      <c r="F23" s="7" t="s">
        <v>185</v>
      </c>
      <c r="G23" s="7" t="s">
        <v>185</v>
      </c>
      <c r="H23" s="7" t="s">
        <v>590</v>
      </c>
      <c r="I23" s="6" t="s">
        <v>185</v>
      </c>
      <c r="J23" s="7" t="s">
        <v>185</v>
      </c>
    </row>
    <row r="24" ht="22" customHeight="1" spans="2:10">
      <c r="B24" s="8" t="s">
        <v>730</v>
      </c>
      <c r="C24" s="9" t="s">
        <v>185</v>
      </c>
      <c r="D24" s="10" t="s">
        <v>705</v>
      </c>
      <c r="E24" s="10" t="s">
        <v>521</v>
      </c>
      <c r="F24" s="10" t="s">
        <v>185</v>
      </c>
      <c r="G24" s="10" t="s">
        <v>185</v>
      </c>
      <c r="H24" s="10" t="s">
        <v>593</v>
      </c>
      <c r="I24" s="9" t="s">
        <v>185</v>
      </c>
      <c r="J24" s="10" t="s">
        <v>185</v>
      </c>
    </row>
    <row r="25" ht="22" customHeight="1" spans="2:10">
      <c r="B25" s="5" t="s">
        <v>731</v>
      </c>
      <c r="C25" s="6" t="s">
        <v>185</v>
      </c>
      <c r="D25" s="7" t="s">
        <v>707</v>
      </c>
      <c r="E25" s="7" t="s">
        <v>524</v>
      </c>
      <c r="F25" s="7" t="s">
        <v>185</v>
      </c>
      <c r="G25" s="7" t="s">
        <v>185</v>
      </c>
      <c r="H25" s="7" t="s">
        <v>581</v>
      </c>
      <c r="I25" s="6" t="s">
        <v>185</v>
      </c>
      <c r="J25" s="7" t="s">
        <v>185</v>
      </c>
    </row>
    <row r="26" ht="22" customHeight="1" spans="2:10">
      <c r="B26" s="8" t="s">
        <v>732</v>
      </c>
      <c r="C26" s="9" t="s">
        <v>185</v>
      </c>
      <c r="D26" s="10" t="s">
        <v>709</v>
      </c>
      <c r="E26" s="10" t="s">
        <v>527</v>
      </c>
      <c r="F26" s="10" t="s">
        <v>185</v>
      </c>
      <c r="G26" s="10" t="s">
        <v>185</v>
      </c>
      <c r="H26" s="10" t="s">
        <v>584</v>
      </c>
      <c r="I26" s="9" t="s">
        <v>185</v>
      </c>
      <c r="J26" s="10" t="s">
        <v>185</v>
      </c>
    </row>
    <row r="27" ht="22" customHeight="1"/>
    <row r="28" ht="24" customHeight="1" spans="2:10">
      <c r="B28" s="11" t="s">
        <v>733</v>
      </c>
    </row>
    <row r="29" ht="22" customHeight="1" spans="2:10">
      <c r="B29" s="42" t="s">
        <v>734</v>
      </c>
      <c r="C29" s="46"/>
      <c r="D29" s="46"/>
      <c r="E29" s="47"/>
      <c r="F29" s="48">
        <f>COUNTA(B5:B26)</f>
        <v>22</v>
      </c>
      <c r="G29" s="46"/>
      <c r="H29" s="46"/>
      <c r="I29" s="46"/>
      <c r="J29" s="47"/>
    </row>
    <row r="30" ht="22" customHeight="1" spans="2:10">
      <c r="B30" s="44" t="s">
        <v>735</v>
      </c>
      <c r="C30" s="46"/>
      <c r="D30" s="46"/>
      <c r="E30" s="47"/>
      <c r="F30" s="35" t="s">
        <v>185</v>
      </c>
      <c r="G30" s="46"/>
      <c r="H30" s="46"/>
      <c r="I30" s="46"/>
      <c r="J30" s="47"/>
    </row>
    <row r="31" ht="22" customHeight="1" spans="2:10">
      <c r="B31" s="42" t="s">
        <v>736</v>
      </c>
      <c r="C31" s="46"/>
      <c r="D31" s="46"/>
      <c r="E31" s="47"/>
      <c r="F31" s="48" t="s">
        <v>185</v>
      </c>
      <c r="G31" s="46"/>
      <c r="H31" s="46"/>
      <c r="I31" s="46"/>
      <c r="J31" s="47"/>
    </row>
    <row r="32" ht="22" customHeight="1" spans="2:10">
      <c r="B32" s="44" t="s">
        <v>737</v>
      </c>
      <c r="C32" s="46"/>
      <c r="D32" s="46"/>
      <c r="E32" s="47"/>
      <c r="F32" s="35">
        <f>IFERROR(SUM(J5:J26),"")</f>
        <v>0</v>
      </c>
      <c r="G32" s="46"/>
      <c r="H32" s="46"/>
      <c r="I32" s="46"/>
      <c r="J32" s="47"/>
    </row>
    <row r="33" ht="22" customHeight="1" spans="2:10">
      <c r="B33" s="42" t="s">
        <v>738</v>
      </c>
      <c r="C33" s="46"/>
      <c r="D33" s="46"/>
      <c r="E33" s="47"/>
      <c r="F33" s="48">
        <f>COUNTIF(D5:D26,"SAE Baja/Efficycle/SUPRA")</f>
        <v>1</v>
      </c>
      <c r="G33" s="46"/>
      <c r="H33" s="46"/>
      <c r="I33" s="46"/>
      <c r="J33" s="47"/>
    </row>
    <row r="34" ht="22" customHeight="1" spans="2:10">
      <c r="B34" s="44" t="s">
        <v>739</v>
      </c>
      <c r="C34" s="46"/>
      <c r="D34" s="46"/>
      <c r="E34" s="47"/>
      <c r="F34" s="35" t="s">
        <v>185</v>
      </c>
      <c r="G34" s="46"/>
      <c r="H34" s="46"/>
      <c r="I34" s="46"/>
      <c r="J34" s="47"/>
    </row>
    <row r="35" ht="22" customHeight="1"/>
  </sheetData>
  <mergeCells count="15">
    <mergeCell ref="B2:J2"/>
    <mergeCell ref="B3:J3"/>
    <mergeCell ref="B28:J28"/>
    <mergeCell ref="B29:E29"/>
    <mergeCell ref="F29:J29"/>
    <mergeCell ref="B30:E30"/>
    <mergeCell ref="F30:J30"/>
    <mergeCell ref="B31:E31"/>
    <mergeCell ref="F31:J31"/>
    <mergeCell ref="B32:E32"/>
    <mergeCell ref="F32:J32"/>
    <mergeCell ref="B33:E33"/>
    <mergeCell ref="F33:J33"/>
    <mergeCell ref="B34:E34"/>
    <mergeCell ref="F34:J3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9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4" customWidth="1"/>
    <col min="4" max="5" width="14" customWidth="1"/>
    <col min="6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740</v>
      </c>
    </row>
    <row r="3" ht="25" customHeight="1" spans="2:10">
      <c r="B3" s="2" t="s">
        <v>741</v>
      </c>
    </row>
    <row r="4" ht="25" customHeight="1" spans="2:10">
      <c r="B4" s="4" t="s">
        <v>742</v>
      </c>
      <c r="C4" s="4" t="s">
        <v>743</v>
      </c>
      <c r="D4" s="4" t="s">
        <v>744</v>
      </c>
      <c r="E4" s="4" t="s">
        <v>507</v>
      </c>
      <c r="F4" s="4" t="s">
        <v>629</v>
      </c>
      <c r="G4" s="4" t="s">
        <v>745</v>
      </c>
      <c r="H4" s="4" t="s">
        <v>746</v>
      </c>
      <c r="I4" s="4" t="s">
        <v>747</v>
      </c>
      <c r="J4" s="4" t="s">
        <v>748</v>
      </c>
    </row>
    <row r="5" ht="22" customHeight="1" spans="2:10">
      <c r="B5" s="5" t="s">
        <v>749</v>
      </c>
      <c r="C5" s="6" t="s">
        <v>185</v>
      </c>
      <c r="D5" s="7" t="s">
        <v>750</v>
      </c>
      <c r="E5" s="7" t="s">
        <v>194</v>
      </c>
      <c r="F5" s="7" t="s">
        <v>185</v>
      </c>
      <c r="G5" s="7" t="s">
        <v>185</v>
      </c>
      <c r="H5" s="7" t="s">
        <v>185</v>
      </c>
      <c r="I5" s="7" t="s">
        <v>751</v>
      </c>
      <c r="J5" s="6" t="s">
        <v>185</v>
      </c>
    </row>
    <row r="6" ht="22" customHeight="1" spans="2:10">
      <c r="B6" s="8" t="s">
        <v>752</v>
      </c>
      <c r="C6" s="9" t="s">
        <v>185</v>
      </c>
      <c r="D6" s="10" t="s">
        <v>753</v>
      </c>
      <c r="E6" s="10" t="s">
        <v>515</v>
      </c>
      <c r="F6" s="10" t="s">
        <v>185</v>
      </c>
      <c r="G6" s="10" t="s">
        <v>185</v>
      </c>
      <c r="H6" s="10" t="s">
        <v>185</v>
      </c>
      <c r="I6" s="10" t="s">
        <v>751</v>
      </c>
      <c r="J6" s="9" t="s">
        <v>185</v>
      </c>
    </row>
    <row r="7" ht="22" customHeight="1" spans="2:10">
      <c r="B7" s="5" t="s">
        <v>754</v>
      </c>
      <c r="C7" s="6" t="s">
        <v>185</v>
      </c>
      <c r="D7" s="7" t="s">
        <v>755</v>
      </c>
      <c r="E7" s="7" t="s">
        <v>518</v>
      </c>
      <c r="F7" s="7" t="s">
        <v>185</v>
      </c>
      <c r="G7" s="7" t="s">
        <v>185</v>
      </c>
      <c r="H7" s="7" t="s">
        <v>185</v>
      </c>
      <c r="I7" s="7" t="s">
        <v>751</v>
      </c>
      <c r="J7" s="6" t="s">
        <v>185</v>
      </c>
    </row>
    <row r="8" ht="22" customHeight="1" spans="2:10">
      <c r="B8" s="8" t="s">
        <v>756</v>
      </c>
      <c r="C8" s="9" t="s">
        <v>185</v>
      </c>
      <c r="D8" s="10" t="s">
        <v>757</v>
      </c>
      <c r="E8" s="10" t="s">
        <v>521</v>
      </c>
      <c r="F8" s="10" t="s">
        <v>185</v>
      </c>
      <c r="G8" s="10" t="s">
        <v>185</v>
      </c>
      <c r="H8" s="10" t="s">
        <v>185</v>
      </c>
      <c r="I8" s="10" t="s">
        <v>751</v>
      </c>
      <c r="J8" s="9" t="s">
        <v>185</v>
      </c>
    </row>
    <row r="9" ht="22" customHeight="1" spans="2:10">
      <c r="B9" s="5" t="s">
        <v>758</v>
      </c>
      <c r="C9" s="6" t="s">
        <v>185</v>
      </c>
      <c r="D9" s="7" t="s">
        <v>759</v>
      </c>
      <c r="E9" s="7" t="s">
        <v>524</v>
      </c>
      <c r="F9" s="7" t="s">
        <v>185</v>
      </c>
      <c r="G9" s="7" t="s">
        <v>185</v>
      </c>
      <c r="H9" s="7" t="s">
        <v>185</v>
      </c>
      <c r="I9" s="7" t="s">
        <v>751</v>
      </c>
      <c r="J9" s="6" t="s">
        <v>185</v>
      </c>
    </row>
    <row r="10" ht="22" customHeight="1" spans="2:10">
      <c r="B10" s="8" t="s">
        <v>760</v>
      </c>
      <c r="C10" s="9" t="s">
        <v>185</v>
      </c>
      <c r="D10" s="10" t="s">
        <v>761</v>
      </c>
      <c r="E10" s="10" t="s">
        <v>527</v>
      </c>
      <c r="F10" s="10" t="s">
        <v>185</v>
      </c>
      <c r="G10" s="10" t="s">
        <v>185</v>
      </c>
      <c r="H10" s="10" t="s">
        <v>185</v>
      </c>
      <c r="I10" s="10" t="s">
        <v>751</v>
      </c>
      <c r="J10" s="9" t="s">
        <v>185</v>
      </c>
    </row>
    <row r="11" ht="22" customHeight="1" spans="2:10">
      <c r="B11" s="5" t="s">
        <v>762</v>
      </c>
      <c r="C11" s="6" t="s">
        <v>185</v>
      </c>
      <c r="D11" s="7" t="s">
        <v>763</v>
      </c>
      <c r="E11" s="7" t="s">
        <v>530</v>
      </c>
      <c r="F11" s="7" t="s">
        <v>185</v>
      </c>
      <c r="G11" s="7" t="s">
        <v>185</v>
      </c>
      <c r="H11" s="7" t="s">
        <v>185</v>
      </c>
      <c r="I11" s="7" t="s">
        <v>751</v>
      </c>
      <c r="J11" s="6" t="s">
        <v>185</v>
      </c>
    </row>
    <row r="12" ht="22" customHeight="1" spans="2:10">
      <c r="B12" s="8" t="s">
        <v>764</v>
      </c>
      <c r="C12" s="9" t="s">
        <v>185</v>
      </c>
      <c r="D12" s="10" t="s">
        <v>765</v>
      </c>
      <c r="E12" s="10" t="s">
        <v>533</v>
      </c>
      <c r="F12" s="10" t="s">
        <v>185</v>
      </c>
      <c r="G12" s="10" t="s">
        <v>185</v>
      </c>
      <c r="H12" s="10" t="s">
        <v>185</v>
      </c>
      <c r="I12" s="10" t="s">
        <v>751</v>
      </c>
      <c r="J12" s="9" t="s">
        <v>185</v>
      </c>
    </row>
    <row r="13" ht="22" customHeight="1" spans="2:10">
      <c r="B13" s="5" t="s">
        <v>766</v>
      </c>
      <c r="C13" s="6" t="s">
        <v>185</v>
      </c>
      <c r="D13" s="7" t="s">
        <v>767</v>
      </c>
      <c r="E13" s="7" t="s">
        <v>194</v>
      </c>
      <c r="F13" s="7" t="s">
        <v>185</v>
      </c>
      <c r="G13" s="7" t="s">
        <v>185</v>
      </c>
      <c r="H13" s="7" t="s">
        <v>185</v>
      </c>
      <c r="I13" s="7" t="s">
        <v>751</v>
      </c>
      <c r="J13" s="6" t="s">
        <v>185</v>
      </c>
    </row>
    <row r="14" ht="22" customHeight="1" spans="2:10">
      <c r="B14" s="8" t="s">
        <v>768</v>
      </c>
      <c r="C14" s="9" t="s">
        <v>185</v>
      </c>
      <c r="D14" s="10" t="s">
        <v>769</v>
      </c>
      <c r="E14" s="10" t="s">
        <v>515</v>
      </c>
      <c r="F14" s="10" t="s">
        <v>185</v>
      </c>
      <c r="G14" s="10" t="s">
        <v>185</v>
      </c>
      <c r="H14" s="10" t="s">
        <v>185</v>
      </c>
      <c r="I14" s="10" t="s">
        <v>751</v>
      </c>
      <c r="J14" s="9" t="s">
        <v>185</v>
      </c>
    </row>
    <row r="15" ht="22" customHeight="1" spans="2:10">
      <c r="B15" s="5" t="s">
        <v>770</v>
      </c>
      <c r="C15" s="6" t="s">
        <v>185</v>
      </c>
      <c r="D15" s="7" t="s">
        <v>750</v>
      </c>
      <c r="E15" s="7" t="s">
        <v>518</v>
      </c>
      <c r="F15" s="7" t="s">
        <v>185</v>
      </c>
      <c r="G15" s="7" t="s">
        <v>185</v>
      </c>
      <c r="H15" s="7" t="s">
        <v>185</v>
      </c>
      <c r="I15" s="7" t="s">
        <v>751</v>
      </c>
      <c r="J15" s="6" t="s">
        <v>185</v>
      </c>
    </row>
    <row r="16" ht="22" customHeight="1" spans="2:10">
      <c r="B16" s="8" t="s">
        <v>771</v>
      </c>
      <c r="C16" s="9" t="s">
        <v>185</v>
      </c>
      <c r="D16" s="10" t="s">
        <v>753</v>
      </c>
      <c r="E16" s="10" t="s">
        <v>521</v>
      </c>
      <c r="F16" s="10" t="s">
        <v>185</v>
      </c>
      <c r="G16" s="10" t="s">
        <v>185</v>
      </c>
      <c r="H16" s="10" t="s">
        <v>185</v>
      </c>
      <c r="I16" s="10" t="s">
        <v>751</v>
      </c>
      <c r="J16" s="9" t="s">
        <v>185</v>
      </c>
    </row>
    <row r="17" ht="22" customHeight="1" spans="2:10">
      <c r="B17" s="5" t="s">
        <v>772</v>
      </c>
      <c r="C17" s="6" t="s">
        <v>185</v>
      </c>
      <c r="D17" s="7" t="s">
        <v>755</v>
      </c>
      <c r="E17" s="7" t="s">
        <v>524</v>
      </c>
      <c r="F17" s="7" t="s">
        <v>185</v>
      </c>
      <c r="G17" s="7" t="s">
        <v>185</v>
      </c>
      <c r="H17" s="7" t="s">
        <v>185</v>
      </c>
      <c r="I17" s="7" t="s">
        <v>751</v>
      </c>
      <c r="J17" s="6" t="s">
        <v>185</v>
      </c>
    </row>
    <row r="18" ht="22" customHeight="1" spans="2:10">
      <c r="B18" s="8" t="s">
        <v>773</v>
      </c>
      <c r="C18" s="9" t="s">
        <v>185</v>
      </c>
      <c r="D18" s="10" t="s">
        <v>757</v>
      </c>
      <c r="E18" s="10" t="s">
        <v>527</v>
      </c>
      <c r="F18" s="10" t="s">
        <v>185</v>
      </c>
      <c r="G18" s="10" t="s">
        <v>185</v>
      </c>
      <c r="H18" s="10" t="s">
        <v>185</v>
      </c>
      <c r="I18" s="10" t="s">
        <v>751</v>
      </c>
      <c r="J18" s="9" t="s">
        <v>185</v>
      </c>
    </row>
    <row r="19" ht="22" customHeight="1" spans="2:10">
      <c r="B19" s="5" t="s">
        <v>774</v>
      </c>
      <c r="C19" s="6" t="s">
        <v>185</v>
      </c>
      <c r="D19" s="7" t="s">
        <v>759</v>
      </c>
      <c r="E19" s="7" t="s">
        <v>530</v>
      </c>
      <c r="F19" s="7" t="s">
        <v>185</v>
      </c>
      <c r="G19" s="7" t="s">
        <v>185</v>
      </c>
      <c r="H19" s="7" t="s">
        <v>185</v>
      </c>
      <c r="I19" s="7" t="s">
        <v>751</v>
      </c>
      <c r="J19" s="6" t="s">
        <v>185</v>
      </c>
    </row>
    <row r="20" ht="22" customHeight="1" spans="2:10">
      <c r="B20" s="8" t="s">
        <v>775</v>
      </c>
      <c r="C20" s="9" t="s">
        <v>185</v>
      </c>
      <c r="D20" s="10" t="s">
        <v>761</v>
      </c>
      <c r="E20" s="10" t="s">
        <v>533</v>
      </c>
      <c r="F20" s="10" t="s">
        <v>185</v>
      </c>
      <c r="G20" s="10" t="s">
        <v>185</v>
      </c>
      <c r="H20" s="10" t="s">
        <v>185</v>
      </c>
      <c r="I20" s="10" t="s">
        <v>751</v>
      </c>
      <c r="J20" s="9" t="s">
        <v>185</v>
      </c>
    </row>
    <row r="21" ht="22" customHeight="1"/>
    <row r="22" ht="24" customHeight="1" spans="2:10">
      <c r="B22" s="11" t="s">
        <v>776</v>
      </c>
    </row>
    <row r="23" ht="22" customHeight="1" spans="2:10">
      <c r="B23" s="42" t="s">
        <v>777</v>
      </c>
      <c r="C23" s="46"/>
      <c r="D23" s="46"/>
      <c r="E23" s="47"/>
      <c r="F23" s="48">
        <f>COUNTA(B5:B20)</f>
        <v>16</v>
      </c>
      <c r="G23" s="46"/>
      <c r="H23" s="46"/>
      <c r="I23" s="46"/>
      <c r="J23" s="47"/>
    </row>
    <row r="24" ht="22" customHeight="1" spans="2:10">
      <c r="B24" s="44" t="s">
        <v>778</v>
      </c>
      <c r="C24" s="46"/>
      <c r="D24" s="46"/>
      <c r="E24" s="47"/>
      <c r="F24" s="35">
        <f>IFERROR(SUM(G5:G20),"")</f>
        <v>0</v>
      </c>
      <c r="G24" s="46"/>
      <c r="H24" s="46"/>
      <c r="I24" s="46"/>
      <c r="J24" s="47"/>
    </row>
    <row r="25" ht="22" customHeight="1" spans="2:10">
      <c r="B25" s="42" t="s">
        <v>779</v>
      </c>
      <c r="C25" s="46"/>
      <c r="D25" s="46"/>
      <c r="E25" s="47"/>
      <c r="F25" s="48" t="s">
        <v>185</v>
      </c>
      <c r="G25" s="46"/>
      <c r="H25" s="46"/>
      <c r="I25" s="46"/>
      <c r="J25" s="47"/>
    </row>
    <row r="26" ht="22" customHeight="1" spans="2:10">
      <c r="B26" s="44" t="s">
        <v>780</v>
      </c>
      <c r="C26" s="46"/>
      <c r="D26" s="46"/>
      <c r="E26" s="47"/>
      <c r="F26" s="35">
        <f>IFERROR(ROUND(COUNTIF(I5:I20,"Y")/COUNTA(I5:I20)*100,1),"")</f>
        <v>100</v>
      </c>
      <c r="G26" s="46"/>
      <c r="H26" s="46"/>
      <c r="I26" s="46"/>
      <c r="J26" s="47"/>
    </row>
    <row r="27" ht="22" customHeight="1"/>
    <row r="28" ht="22" customHeight="1"/>
    <row r="29" ht="22" customHeight="1"/>
  </sheetData>
  <mergeCells count="11">
    <mergeCell ref="B2:J2"/>
    <mergeCell ref="B3:J3"/>
    <mergeCell ref="B22:J22"/>
    <mergeCell ref="B23:E23"/>
    <mergeCell ref="F23:J23"/>
    <mergeCell ref="B24:E24"/>
    <mergeCell ref="F24:J24"/>
    <mergeCell ref="B25:E25"/>
    <mergeCell ref="F25:J25"/>
    <mergeCell ref="B26:E26"/>
    <mergeCell ref="F26:J2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9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4" customWidth="1"/>
    <col min="4" max="5" width="14" customWidth="1"/>
    <col min="6" max="8" width="12" customWidth="1"/>
    <col min="9" max="10" width="14" customWidth="1"/>
    <col min="11" max="11" width="3" customWidth="1"/>
  </cols>
  <sheetData>
    <row r="1" ht="10" customHeight="1"/>
    <row r="2" ht="48" customHeight="1" spans="2:10">
      <c r="B2" s="1" t="s">
        <v>781</v>
      </c>
    </row>
    <row r="3" ht="25" customHeight="1" spans="2:10">
      <c r="B3" s="2" t="s">
        <v>782</v>
      </c>
    </row>
    <row r="4" ht="25" customHeight="1" spans="2:10">
      <c r="B4" s="4" t="s">
        <v>783</v>
      </c>
      <c r="C4" s="4" t="s">
        <v>784</v>
      </c>
      <c r="D4" s="4" t="s">
        <v>785</v>
      </c>
      <c r="E4" s="4" t="s">
        <v>629</v>
      </c>
      <c r="F4" s="4" t="s">
        <v>693</v>
      </c>
      <c r="G4" s="4" t="s">
        <v>282</v>
      </c>
      <c r="H4" s="4" t="s">
        <v>786</v>
      </c>
      <c r="I4" s="4" t="s">
        <v>787</v>
      </c>
      <c r="J4" s="4" t="s">
        <v>788</v>
      </c>
    </row>
    <row r="5" ht="24" customHeight="1" spans="2:10">
      <c r="B5" s="5" t="s">
        <v>789</v>
      </c>
      <c r="C5" s="6" t="s">
        <v>185</v>
      </c>
      <c r="D5" s="6" t="s">
        <v>194</v>
      </c>
      <c r="E5" s="7" t="s">
        <v>185</v>
      </c>
      <c r="F5" s="7" t="s">
        <v>581</v>
      </c>
      <c r="G5" s="7" t="s">
        <v>291</v>
      </c>
      <c r="H5" s="7" t="s">
        <v>185</v>
      </c>
      <c r="I5" s="7" t="s">
        <v>185</v>
      </c>
      <c r="J5" s="7" t="s">
        <v>751</v>
      </c>
    </row>
    <row r="6" ht="24" customHeight="1" spans="2:10">
      <c r="B6" s="8" t="s">
        <v>790</v>
      </c>
      <c r="C6" s="9" t="s">
        <v>185</v>
      </c>
      <c r="D6" s="9" t="s">
        <v>515</v>
      </c>
      <c r="E6" s="10" t="s">
        <v>185</v>
      </c>
      <c r="F6" s="10" t="s">
        <v>587</v>
      </c>
      <c r="G6" s="10" t="s">
        <v>791</v>
      </c>
      <c r="H6" s="10" t="s">
        <v>185</v>
      </c>
      <c r="I6" s="10" t="s">
        <v>185</v>
      </c>
      <c r="J6" s="10" t="s">
        <v>751</v>
      </c>
    </row>
    <row r="7" ht="24" customHeight="1" spans="2:10">
      <c r="B7" s="5" t="s">
        <v>792</v>
      </c>
      <c r="C7" s="6" t="s">
        <v>185</v>
      </c>
      <c r="D7" s="6" t="s">
        <v>518</v>
      </c>
      <c r="E7" s="7" t="s">
        <v>185</v>
      </c>
      <c r="F7" s="7" t="s">
        <v>590</v>
      </c>
      <c r="G7" s="7" t="s">
        <v>793</v>
      </c>
      <c r="H7" s="7" t="s">
        <v>185</v>
      </c>
      <c r="I7" s="7" t="s">
        <v>185</v>
      </c>
      <c r="J7" s="7" t="s">
        <v>751</v>
      </c>
    </row>
    <row r="8" ht="24" customHeight="1" spans="2:10">
      <c r="B8" s="8" t="s">
        <v>794</v>
      </c>
      <c r="C8" s="9" t="s">
        <v>185</v>
      </c>
      <c r="D8" s="9" t="s">
        <v>521</v>
      </c>
      <c r="E8" s="10" t="s">
        <v>185</v>
      </c>
      <c r="F8" s="10" t="s">
        <v>593</v>
      </c>
      <c r="G8" s="10" t="s">
        <v>291</v>
      </c>
      <c r="H8" s="10" t="s">
        <v>185</v>
      </c>
      <c r="I8" s="10" t="s">
        <v>185</v>
      </c>
      <c r="J8" s="10" t="s">
        <v>751</v>
      </c>
    </row>
    <row r="9" ht="24" customHeight="1" spans="2:10">
      <c r="B9" s="5" t="s">
        <v>795</v>
      </c>
      <c r="C9" s="6" t="s">
        <v>185</v>
      </c>
      <c r="D9" s="6" t="s">
        <v>524</v>
      </c>
      <c r="E9" s="7" t="s">
        <v>185</v>
      </c>
      <c r="F9" s="7" t="s">
        <v>581</v>
      </c>
      <c r="G9" s="7" t="s">
        <v>791</v>
      </c>
      <c r="H9" s="7" t="s">
        <v>185</v>
      </c>
      <c r="I9" s="7" t="s">
        <v>185</v>
      </c>
      <c r="J9" s="7" t="s">
        <v>751</v>
      </c>
    </row>
    <row r="10" ht="24" customHeight="1" spans="2:10">
      <c r="B10" s="8" t="s">
        <v>796</v>
      </c>
      <c r="C10" s="9" t="s">
        <v>185</v>
      </c>
      <c r="D10" s="9" t="s">
        <v>527</v>
      </c>
      <c r="E10" s="10" t="s">
        <v>185</v>
      </c>
      <c r="F10" s="10" t="s">
        <v>587</v>
      </c>
      <c r="G10" s="10" t="s">
        <v>793</v>
      </c>
      <c r="H10" s="10" t="s">
        <v>185</v>
      </c>
      <c r="I10" s="10" t="s">
        <v>185</v>
      </c>
      <c r="J10" s="10" t="s">
        <v>751</v>
      </c>
    </row>
    <row r="11" ht="24" customHeight="1" spans="2:10">
      <c r="B11" s="5" t="s">
        <v>797</v>
      </c>
      <c r="C11" s="6" t="s">
        <v>185</v>
      </c>
      <c r="D11" s="6" t="s">
        <v>530</v>
      </c>
      <c r="E11" s="7" t="s">
        <v>185</v>
      </c>
      <c r="F11" s="7" t="s">
        <v>590</v>
      </c>
      <c r="G11" s="7" t="s">
        <v>291</v>
      </c>
      <c r="H11" s="7" t="s">
        <v>185</v>
      </c>
      <c r="I11" s="7" t="s">
        <v>185</v>
      </c>
      <c r="J11" s="7" t="s">
        <v>751</v>
      </c>
    </row>
    <row r="12" ht="24" customHeight="1" spans="2:10">
      <c r="B12" s="8" t="s">
        <v>798</v>
      </c>
      <c r="C12" s="9" t="s">
        <v>185</v>
      </c>
      <c r="D12" s="9" t="s">
        <v>533</v>
      </c>
      <c r="E12" s="10" t="s">
        <v>185</v>
      </c>
      <c r="F12" s="10" t="s">
        <v>593</v>
      </c>
      <c r="G12" s="10" t="s">
        <v>791</v>
      </c>
      <c r="H12" s="10" t="s">
        <v>185</v>
      </c>
      <c r="I12" s="10" t="s">
        <v>185</v>
      </c>
      <c r="J12" s="10" t="s">
        <v>751</v>
      </c>
    </row>
    <row r="13" ht="24" customHeight="1" spans="2:10">
      <c r="B13" s="5" t="s">
        <v>799</v>
      </c>
      <c r="C13" s="6" t="s">
        <v>185</v>
      </c>
      <c r="D13" s="6" t="s">
        <v>194</v>
      </c>
      <c r="E13" s="7" t="s">
        <v>185</v>
      </c>
      <c r="F13" s="7" t="s">
        <v>581</v>
      </c>
      <c r="G13" s="7" t="s">
        <v>793</v>
      </c>
      <c r="H13" s="7" t="s">
        <v>185</v>
      </c>
      <c r="I13" s="7" t="s">
        <v>185</v>
      </c>
      <c r="J13" s="7" t="s">
        <v>751</v>
      </c>
    </row>
    <row r="14" ht="24" customHeight="1" spans="2:10">
      <c r="B14" s="8" t="s">
        <v>800</v>
      </c>
      <c r="C14" s="9" t="s">
        <v>185</v>
      </c>
      <c r="D14" s="9" t="s">
        <v>515</v>
      </c>
      <c r="E14" s="10" t="s">
        <v>185</v>
      </c>
      <c r="F14" s="10" t="s">
        <v>587</v>
      </c>
      <c r="G14" s="10" t="s">
        <v>291</v>
      </c>
      <c r="H14" s="10" t="s">
        <v>185</v>
      </c>
      <c r="I14" s="10" t="s">
        <v>185</v>
      </c>
      <c r="J14" s="10" t="s">
        <v>751</v>
      </c>
    </row>
    <row r="15" ht="24" customHeight="1" spans="2:10">
      <c r="B15" s="5" t="s">
        <v>801</v>
      </c>
      <c r="C15" s="6" t="s">
        <v>185</v>
      </c>
      <c r="D15" s="6" t="s">
        <v>518</v>
      </c>
      <c r="E15" s="7" t="s">
        <v>185</v>
      </c>
      <c r="F15" s="7" t="s">
        <v>590</v>
      </c>
      <c r="G15" s="7" t="s">
        <v>791</v>
      </c>
      <c r="H15" s="7" t="s">
        <v>185</v>
      </c>
      <c r="I15" s="7" t="s">
        <v>185</v>
      </c>
      <c r="J15" s="7" t="s">
        <v>751</v>
      </c>
    </row>
    <row r="16" ht="24" customHeight="1" spans="2:10">
      <c r="B16" s="8" t="s">
        <v>802</v>
      </c>
      <c r="C16" s="9" t="s">
        <v>185</v>
      </c>
      <c r="D16" s="9" t="s">
        <v>521</v>
      </c>
      <c r="E16" s="10" t="s">
        <v>185</v>
      </c>
      <c r="F16" s="10" t="s">
        <v>593</v>
      </c>
      <c r="G16" s="10" t="s">
        <v>793</v>
      </c>
      <c r="H16" s="10" t="s">
        <v>185</v>
      </c>
      <c r="I16" s="10" t="s">
        <v>185</v>
      </c>
      <c r="J16" s="10" t="s">
        <v>751</v>
      </c>
    </row>
    <row r="17" ht="24" customHeight="1" spans="2:10">
      <c r="B17" s="5" t="s">
        <v>803</v>
      </c>
      <c r="C17" s="6" t="s">
        <v>185</v>
      </c>
      <c r="D17" s="6" t="s">
        <v>524</v>
      </c>
      <c r="E17" s="7" t="s">
        <v>185</v>
      </c>
      <c r="F17" s="7" t="s">
        <v>581</v>
      </c>
      <c r="G17" s="7" t="s">
        <v>291</v>
      </c>
      <c r="H17" s="7" t="s">
        <v>185</v>
      </c>
      <c r="I17" s="7" t="s">
        <v>185</v>
      </c>
      <c r="J17" s="7" t="s">
        <v>751</v>
      </c>
    </row>
    <row r="18" ht="24" customHeight="1" spans="2:10">
      <c r="B18" s="8" t="s">
        <v>804</v>
      </c>
      <c r="C18" s="9" t="s">
        <v>185</v>
      </c>
      <c r="D18" s="9" t="s">
        <v>527</v>
      </c>
      <c r="E18" s="10" t="s">
        <v>185</v>
      </c>
      <c r="F18" s="10" t="s">
        <v>587</v>
      </c>
      <c r="G18" s="10" t="s">
        <v>791</v>
      </c>
      <c r="H18" s="10" t="s">
        <v>185</v>
      </c>
      <c r="I18" s="10" t="s">
        <v>185</v>
      </c>
      <c r="J18" s="10" t="s">
        <v>751</v>
      </c>
    </row>
    <row r="19" ht="24" customHeight="1" spans="2:10">
      <c r="B19" s="5" t="s">
        <v>805</v>
      </c>
      <c r="C19" s="6" t="s">
        <v>185</v>
      </c>
      <c r="D19" s="6" t="s">
        <v>530</v>
      </c>
      <c r="E19" s="7" t="s">
        <v>185</v>
      </c>
      <c r="F19" s="7" t="s">
        <v>590</v>
      </c>
      <c r="G19" s="7" t="s">
        <v>793</v>
      </c>
      <c r="H19" s="7" t="s">
        <v>185</v>
      </c>
      <c r="I19" s="7" t="s">
        <v>185</v>
      </c>
      <c r="J19" s="7" t="s">
        <v>751</v>
      </c>
    </row>
    <row r="20" ht="24" customHeight="1" spans="2:10">
      <c r="B20" s="8" t="s">
        <v>806</v>
      </c>
      <c r="C20" s="9" t="s">
        <v>185</v>
      </c>
      <c r="D20" s="9" t="s">
        <v>533</v>
      </c>
      <c r="E20" s="10" t="s">
        <v>185</v>
      </c>
      <c r="F20" s="10" t="s">
        <v>593</v>
      </c>
      <c r="G20" s="10" t="s">
        <v>291</v>
      </c>
      <c r="H20" s="10" t="s">
        <v>185</v>
      </c>
      <c r="I20" s="10" t="s">
        <v>185</v>
      </c>
      <c r="J20" s="10" t="s">
        <v>751</v>
      </c>
    </row>
    <row r="21" ht="24" customHeight="1"/>
    <row r="22" ht="24" customHeight="1" spans="2:10">
      <c r="B22" s="11" t="s">
        <v>807</v>
      </c>
    </row>
    <row r="23" ht="24" customHeight="1" spans="2:10">
      <c r="B23" s="42" t="s">
        <v>808</v>
      </c>
      <c r="C23" s="46"/>
      <c r="D23" s="46"/>
      <c r="E23" s="47"/>
      <c r="F23" s="48">
        <f>COUNTA(B5:B20)</f>
        <v>16</v>
      </c>
      <c r="G23" s="46"/>
      <c r="H23" s="46"/>
      <c r="I23" s="46"/>
      <c r="J23" s="47"/>
    </row>
    <row r="24" ht="24" customHeight="1" spans="2:10">
      <c r="B24" s="44" t="s">
        <v>809</v>
      </c>
      <c r="C24" s="46"/>
      <c r="D24" s="46"/>
      <c r="E24" s="47"/>
      <c r="F24" s="35">
        <f>COUNTIF(F5:F20,"National")+COUNTIF(F5:F20,"International")</f>
        <v>8</v>
      </c>
      <c r="G24" s="46"/>
      <c r="H24" s="46"/>
      <c r="I24" s="46"/>
      <c r="J24" s="47"/>
    </row>
    <row r="25" ht="24" customHeight="1" spans="2:10">
      <c r="B25" s="42" t="s">
        <v>618</v>
      </c>
      <c r="C25" s="46"/>
      <c r="D25" s="46"/>
      <c r="E25" s="47"/>
      <c r="F25" s="48">
        <f>IFERROR(SUM(H5:H20),"")</f>
        <v>0</v>
      </c>
      <c r="G25" s="46"/>
      <c r="H25" s="46"/>
      <c r="I25" s="46"/>
      <c r="J25" s="47"/>
    </row>
    <row r="26" ht="24" customHeight="1" spans="2:10">
      <c r="B26" s="44" t="s">
        <v>810</v>
      </c>
      <c r="C26" s="46"/>
      <c r="D26" s="46"/>
      <c r="E26" s="47"/>
      <c r="F26" s="35" t="s">
        <v>185</v>
      </c>
      <c r="G26" s="46"/>
      <c r="H26" s="46"/>
      <c r="I26" s="46"/>
      <c r="J26" s="47"/>
    </row>
    <row r="27" ht="24" customHeight="1" spans="2:10">
      <c r="B27" s="42" t="s">
        <v>811</v>
      </c>
      <c r="C27" s="46"/>
      <c r="D27" s="46"/>
      <c r="E27" s="47"/>
      <c r="F27" s="48" t="s">
        <v>185</v>
      </c>
      <c r="G27" s="46"/>
      <c r="H27" s="46"/>
      <c r="I27" s="46"/>
      <c r="J27" s="47"/>
    </row>
    <row r="28" ht="24" customHeight="1" spans="2:10">
      <c r="B28" s="44" t="s">
        <v>812</v>
      </c>
      <c r="C28" s="46"/>
      <c r="D28" s="46"/>
      <c r="E28" s="47"/>
      <c r="F28" s="35">
        <f>COUNTIF(J5:J20,"Y")</f>
        <v>16</v>
      </c>
      <c r="G28" s="46"/>
      <c r="H28" s="46"/>
      <c r="I28" s="46"/>
      <c r="J28" s="47"/>
    </row>
    <row r="29" ht="24" customHeight="1"/>
  </sheetData>
  <mergeCells count="15">
    <mergeCell ref="B2:J2"/>
    <mergeCell ref="B3:J3"/>
    <mergeCell ref="B22:J22"/>
    <mergeCell ref="B23:E23"/>
    <mergeCell ref="F23:J23"/>
    <mergeCell ref="B24:E24"/>
    <mergeCell ref="F24:J24"/>
    <mergeCell ref="B25:E25"/>
    <mergeCell ref="F25:J25"/>
    <mergeCell ref="B26:E26"/>
    <mergeCell ref="F26:J26"/>
    <mergeCell ref="B27:E27"/>
    <mergeCell ref="F27:J27"/>
    <mergeCell ref="B28:E28"/>
    <mergeCell ref="F28:J28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8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2" customWidth="1"/>
    <col min="4" max="4" width="12" customWidth="1"/>
    <col min="5" max="6" width="14" customWidth="1"/>
    <col min="7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813</v>
      </c>
    </row>
    <row r="3" ht="25" customHeight="1" spans="2:10">
      <c r="B3" s="2" t="s">
        <v>814</v>
      </c>
    </row>
    <row r="4" ht="25" customHeight="1" spans="2:10">
      <c r="B4" s="4" t="s">
        <v>815</v>
      </c>
      <c r="C4" s="4" t="s">
        <v>422</v>
      </c>
      <c r="D4" s="4" t="s">
        <v>816</v>
      </c>
      <c r="E4" s="4" t="s">
        <v>507</v>
      </c>
      <c r="F4" s="4" t="s">
        <v>817</v>
      </c>
      <c r="G4" s="4" t="s">
        <v>693</v>
      </c>
      <c r="H4" s="4" t="s">
        <v>818</v>
      </c>
      <c r="I4" s="4" t="s">
        <v>508</v>
      </c>
      <c r="J4" s="4" t="s">
        <v>819</v>
      </c>
    </row>
    <row r="5" ht="22" customHeight="1" spans="2:10">
      <c r="B5" s="5" t="s">
        <v>820</v>
      </c>
      <c r="C5" s="6" t="s">
        <v>185</v>
      </c>
      <c r="D5" s="7" t="s">
        <v>185</v>
      </c>
      <c r="E5" s="7" t="s">
        <v>194</v>
      </c>
      <c r="F5" s="6" t="s">
        <v>185</v>
      </c>
      <c r="G5" s="7" t="s">
        <v>581</v>
      </c>
      <c r="H5" s="5" t="s">
        <v>582</v>
      </c>
      <c r="I5" s="7" t="s">
        <v>185</v>
      </c>
      <c r="J5" s="7" t="s">
        <v>751</v>
      </c>
    </row>
    <row r="6" ht="22" customHeight="1" spans="2:10">
      <c r="B6" s="8" t="s">
        <v>821</v>
      </c>
      <c r="C6" s="9" t="s">
        <v>185</v>
      </c>
      <c r="D6" s="10" t="s">
        <v>185</v>
      </c>
      <c r="E6" s="10" t="s">
        <v>515</v>
      </c>
      <c r="F6" s="9" t="s">
        <v>185</v>
      </c>
      <c r="G6" s="10" t="s">
        <v>584</v>
      </c>
      <c r="H6" s="8" t="s">
        <v>822</v>
      </c>
      <c r="I6" s="10" t="s">
        <v>185</v>
      </c>
      <c r="J6" s="10" t="s">
        <v>751</v>
      </c>
    </row>
    <row r="7" ht="22" customHeight="1" spans="2:10">
      <c r="B7" s="5" t="s">
        <v>823</v>
      </c>
      <c r="C7" s="6" t="s">
        <v>185</v>
      </c>
      <c r="D7" s="7" t="s">
        <v>185</v>
      </c>
      <c r="E7" s="7" t="s">
        <v>518</v>
      </c>
      <c r="F7" s="6" t="s">
        <v>185</v>
      </c>
      <c r="G7" s="7" t="s">
        <v>587</v>
      </c>
      <c r="H7" s="5" t="s">
        <v>824</v>
      </c>
      <c r="I7" s="7" t="s">
        <v>185</v>
      </c>
      <c r="J7" s="7" t="s">
        <v>751</v>
      </c>
    </row>
    <row r="8" ht="22" customHeight="1" spans="2:10">
      <c r="B8" s="8" t="s">
        <v>825</v>
      </c>
      <c r="C8" s="9" t="s">
        <v>185</v>
      </c>
      <c r="D8" s="10" t="s">
        <v>185</v>
      </c>
      <c r="E8" s="10" t="s">
        <v>521</v>
      </c>
      <c r="F8" s="9" t="s">
        <v>185</v>
      </c>
      <c r="G8" s="10" t="s">
        <v>590</v>
      </c>
      <c r="H8" s="8" t="s">
        <v>826</v>
      </c>
      <c r="I8" s="10" t="s">
        <v>185</v>
      </c>
      <c r="J8" s="10" t="s">
        <v>751</v>
      </c>
    </row>
    <row r="9" ht="22" customHeight="1" spans="2:10">
      <c r="B9" s="5" t="s">
        <v>827</v>
      </c>
      <c r="C9" s="6" t="s">
        <v>185</v>
      </c>
      <c r="D9" s="7" t="s">
        <v>185</v>
      </c>
      <c r="E9" s="7" t="s">
        <v>524</v>
      </c>
      <c r="F9" s="6" t="s">
        <v>185</v>
      </c>
      <c r="G9" s="7" t="s">
        <v>593</v>
      </c>
      <c r="H9" s="5" t="s">
        <v>828</v>
      </c>
      <c r="I9" s="7" t="s">
        <v>185</v>
      </c>
      <c r="J9" s="7" t="s">
        <v>751</v>
      </c>
    </row>
    <row r="10" ht="22" customHeight="1" spans="2:10">
      <c r="B10" s="8" t="s">
        <v>829</v>
      </c>
      <c r="C10" s="9" t="s">
        <v>185</v>
      </c>
      <c r="D10" s="10" t="s">
        <v>185</v>
      </c>
      <c r="E10" s="10" t="s">
        <v>527</v>
      </c>
      <c r="F10" s="9" t="s">
        <v>185</v>
      </c>
      <c r="G10" s="10" t="s">
        <v>581</v>
      </c>
      <c r="H10" s="8" t="s">
        <v>830</v>
      </c>
      <c r="I10" s="10" t="s">
        <v>185</v>
      </c>
      <c r="J10" s="10" t="s">
        <v>751</v>
      </c>
    </row>
    <row r="11" ht="22" customHeight="1" spans="2:10">
      <c r="B11" s="5" t="s">
        <v>831</v>
      </c>
      <c r="C11" s="6" t="s">
        <v>185</v>
      </c>
      <c r="D11" s="7" t="s">
        <v>185</v>
      </c>
      <c r="E11" s="7" t="s">
        <v>530</v>
      </c>
      <c r="F11" s="6" t="s">
        <v>185</v>
      </c>
      <c r="G11" s="7" t="s">
        <v>584</v>
      </c>
      <c r="H11" s="5" t="s">
        <v>832</v>
      </c>
      <c r="I11" s="7" t="s">
        <v>185</v>
      </c>
      <c r="J11" s="7" t="s">
        <v>751</v>
      </c>
    </row>
    <row r="12" ht="22" customHeight="1" spans="2:10">
      <c r="B12" s="8" t="s">
        <v>833</v>
      </c>
      <c r="C12" s="9" t="s">
        <v>185</v>
      </c>
      <c r="D12" s="10" t="s">
        <v>185</v>
      </c>
      <c r="E12" s="10" t="s">
        <v>533</v>
      </c>
      <c r="F12" s="9" t="s">
        <v>185</v>
      </c>
      <c r="G12" s="10" t="s">
        <v>587</v>
      </c>
      <c r="H12" s="8" t="s">
        <v>834</v>
      </c>
      <c r="I12" s="10" t="s">
        <v>185</v>
      </c>
      <c r="J12" s="10" t="s">
        <v>751</v>
      </c>
    </row>
    <row r="13" ht="22" customHeight="1" spans="2:10">
      <c r="B13" s="5" t="s">
        <v>835</v>
      </c>
      <c r="C13" s="6" t="s">
        <v>185</v>
      </c>
      <c r="D13" s="7" t="s">
        <v>185</v>
      </c>
      <c r="E13" s="7" t="s">
        <v>194</v>
      </c>
      <c r="F13" s="6" t="s">
        <v>185</v>
      </c>
      <c r="G13" s="7" t="s">
        <v>590</v>
      </c>
      <c r="H13" s="5" t="s">
        <v>836</v>
      </c>
      <c r="I13" s="7" t="s">
        <v>185</v>
      </c>
      <c r="J13" s="7" t="s">
        <v>751</v>
      </c>
    </row>
    <row r="14" ht="22" customHeight="1" spans="2:10">
      <c r="B14" s="8" t="s">
        <v>837</v>
      </c>
      <c r="C14" s="9" t="s">
        <v>185</v>
      </c>
      <c r="D14" s="10" t="s">
        <v>185</v>
      </c>
      <c r="E14" s="10" t="s">
        <v>515</v>
      </c>
      <c r="F14" s="9" t="s">
        <v>185</v>
      </c>
      <c r="G14" s="10" t="s">
        <v>593</v>
      </c>
      <c r="H14" s="8" t="s">
        <v>838</v>
      </c>
      <c r="I14" s="10" t="s">
        <v>185</v>
      </c>
      <c r="J14" s="10" t="s">
        <v>751</v>
      </c>
    </row>
    <row r="15" ht="22" customHeight="1" spans="2:10">
      <c r="B15" s="5" t="s">
        <v>839</v>
      </c>
      <c r="C15" s="6" t="s">
        <v>185</v>
      </c>
      <c r="D15" s="7" t="s">
        <v>185</v>
      </c>
      <c r="E15" s="7" t="s">
        <v>518</v>
      </c>
      <c r="F15" s="6" t="s">
        <v>185</v>
      </c>
      <c r="G15" s="7" t="s">
        <v>581</v>
      </c>
      <c r="H15" s="5" t="s">
        <v>840</v>
      </c>
      <c r="I15" s="7" t="s">
        <v>185</v>
      </c>
      <c r="J15" s="7" t="s">
        <v>751</v>
      </c>
    </row>
    <row r="16" ht="22" customHeight="1" spans="2:10">
      <c r="B16" s="8" t="s">
        <v>841</v>
      </c>
      <c r="C16" s="9" t="s">
        <v>185</v>
      </c>
      <c r="D16" s="10" t="s">
        <v>185</v>
      </c>
      <c r="E16" s="10" t="s">
        <v>521</v>
      </c>
      <c r="F16" s="9" t="s">
        <v>185</v>
      </c>
      <c r="G16" s="10" t="s">
        <v>584</v>
      </c>
      <c r="H16" s="8" t="s">
        <v>842</v>
      </c>
      <c r="I16" s="10" t="s">
        <v>185</v>
      </c>
      <c r="J16" s="10" t="s">
        <v>751</v>
      </c>
    </row>
    <row r="17" ht="22" customHeight="1" spans="2:10">
      <c r="B17" s="5" t="s">
        <v>843</v>
      </c>
      <c r="C17" s="6" t="s">
        <v>185</v>
      </c>
      <c r="D17" s="7" t="s">
        <v>185</v>
      </c>
      <c r="E17" s="7" t="s">
        <v>524</v>
      </c>
      <c r="F17" s="6" t="s">
        <v>185</v>
      </c>
      <c r="G17" s="7" t="s">
        <v>587</v>
      </c>
      <c r="H17" s="5" t="s">
        <v>582</v>
      </c>
      <c r="I17" s="7" t="s">
        <v>185</v>
      </c>
      <c r="J17" s="7" t="s">
        <v>751</v>
      </c>
    </row>
    <row r="18" ht="22" customHeight="1" spans="2:10">
      <c r="B18" s="8" t="s">
        <v>844</v>
      </c>
      <c r="C18" s="9" t="s">
        <v>185</v>
      </c>
      <c r="D18" s="10" t="s">
        <v>185</v>
      </c>
      <c r="E18" s="10" t="s">
        <v>527</v>
      </c>
      <c r="F18" s="9" t="s">
        <v>185</v>
      </c>
      <c r="G18" s="10" t="s">
        <v>590</v>
      </c>
      <c r="H18" s="8" t="s">
        <v>822</v>
      </c>
      <c r="I18" s="10" t="s">
        <v>185</v>
      </c>
      <c r="J18" s="10" t="s">
        <v>751</v>
      </c>
    </row>
    <row r="19" ht="22" customHeight="1" spans="2:10">
      <c r="B19" s="5" t="s">
        <v>845</v>
      </c>
      <c r="C19" s="6" t="s">
        <v>185</v>
      </c>
      <c r="D19" s="7" t="s">
        <v>185</v>
      </c>
      <c r="E19" s="7" t="s">
        <v>530</v>
      </c>
      <c r="F19" s="6" t="s">
        <v>185</v>
      </c>
      <c r="G19" s="7" t="s">
        <v>593</v>
      </c>
      <c r="H19" s="5" t="s">
        <v>824</v>
      </c>
      <c r="I19" s="7" t="s">
        <v>185</v>
      </c>
      <c r="J19" s="7" t="s">
        <v>751</v>
      </c>
    </row>
    <row r="20" ht="22" customHeight="1" spans="2:10">
      <c r="B20" s="8" t="s">
        <v>846</v>
      </c>
      <c r="C20" s="9" t="s">
        <v>185</v>
      </c>
      <c r="D20" s="10" t="s">
        <v>185</v>
      </c>
      <c r="E20" s="10" t="s">
        <v>533</v>
      </c>
      <c r="F20" s="9" t="s">
        <v>185</v>
      </c>
      <c r="G20" s="10" t="s">
        <v>581</v>
      </c>
      <c r="H20" s="8" t="s">
        <v>826</v>
      </c>
      <c r="I20" s="10" t="s">
        <v>185</v>
      </c>
      <c r="J20" s="10" t="s">
        <v>751</v>
      </c>
    </row>
    <row r="21" ht="22" customHeight="1" spans="2:10">
      <c r="B21" s="5" t="s">
        <v>847</v>
      </c>
      <c r="C21" s="6" t="s">
        <v>185</v>
      </c>
      <c r="D21" s="7" t="s">
        <v>185</v>
      </c>
      <c r="E21" s="7" t="s">
        <v>194</v>
      </c>
      <c r="F21" s="6" t="s">
        <v>185</v>
      </c>
      <c r="G21" s="7" t="s">
        <v>584</v>
      </c>
      <c r="H21" s="5" t="s">
        <v>828</v>
      </c>
      <c r="I21" s="7" t="s">
        <v>185</v>
      </c>
      <c r="J21" s="7" t="s">
        <v>751</v>
      </c>
    </row>
    <row r="22" ht="22" customHeight="1" spans="2:10">
      <c r="B22" s="8" t="s">
        <v>848</v>
      </c>
      <c r="C22" s="9" t="s">
        <v>185</v>
      </c>
      <c r="D22" s="10" t="s">
        <v>185</v>
      </c>
      <c r="E22" s="10" t="s">
        <v>515</v>
      </c>
      <c r="F22" s="9" t="s">
        <v>185</v>
      </c>
      <c r="G22" s="10" t="s">
        <v>587</v>
      </c>
      <c r="H22" s="8" t="s">
        <v>830</v>
      </c>
      <c r="I22" s="10" t="s">
        <v>185</v>
      </c>
      <c r="J22" s="10" t="s">
        <v>751</v>
      </c>
    </row>
    <row r="23" ht="22" customHeight="1" spans="2:10">
      <c r="B23" s="5" t="s">
        <v>849</v>
      </c>
      <c r="C23" s="6" t="s">
        <v>185</v>
      </c>
      <c r="D23" s="7" t="s">
        <v>185</v>
      </c>
      <c r="E23" s="7" t="s">
        <v>518</v>
      </c>
      <c r="F23" s="6" t="s">
        <v>185</v>
      </c>
      <c r="G23" s="7" t="s">
        <v>590</v>
      </c>
      <c r="H23" s="5" t="s">
        <v>832</v>
      </c>
      <c r="I23" s="7" t="s">
        <v>185</v>
      </c>
      <c r="J23" s="7" t="s">
        <v>751</v>
      </c>
    </row>
    <row r="24" ht="22" customHeight="1" spans="2:10">
      <c r="B24" s="8" t="s">
        <v>850</v>
      </c>
      <c r="C24" s="9" t="s">
        <v>185</v>
      </c>
      <c r="D24" s="10" t="s">
        <v>185</v>
      </c>
      <c r="E24" s="10" t="s">
        <v>521</v>
      </c>
      <c r="F24" s="9" t="s">
        <v>185</v>
      </c>
      <c r="G24" s="10" t="s">
        <v>593</v>
      </c>
      <c r="H24" s="8" t="s">
        <v>834</v>
      </c>
      <c r="I24" s="10" t="s">
        <v>185</v>
      </c>
      <c r="J24" s="10" t="s">
        <v>751</v>
      </c>
    </row>
    <row r="25" ht="22" customHeight="1" spans="2:10">
      <c r="B25" s="5" t="s">
        <v>851</v>
      </c>
      <c r="C25" s="6" t="s">
        <v>185</v>
      </c>
      <c r="D25" s="7" t="s">
        <v>185</v>
      </c>
      <c r="E25" s="7" t="s">
        <v>524</v>
      </c>
      <c r="F25" s="6" t="s">
        <v>185</v>
      </c>
      <c r="G25" s="7" t="s">
        <v>581</v>
      </c>
      <c r="H25" s="5" t="s">
        <v>836</v>
      </c>
      <c r="I25" s="7" t="s">
        <v>185</v>
      </c>
      <c r="J25" s="7" t="s">
        <v>751</v>
      </c>
    </row>
    <row r="26" ht="22" customHeight="1" spans="2:10">
      <c r="B26" s="8" t="s">
        <v>852</v>
      </c>
      <c r="C26" s="9" t="s">
        <v>185</v>
      </c>
      <c r="D26" s="10" t="s">
        <v>185</v>
      </c>
      <c r="E26" s="10" t="s">
        <v>527</v>
      </c>
      <c r="F26" s="9" t="s">
        <v>185</v>
      </c>
      <c r="G26" s="10" t="s">
        <v>584</v>
      </c>
      <c r="H26" s="8" t="s">
        <v>838</v>
      </c>
      <c r="I26" s="10" t="s">
        <v>185</v>
      </c>
      <c r="J26" s="10" t="s">
        <v>751</v>
      </c>
    </row>
    <row r="27" ht="22" customHeight="1" spans="2:10">
      <c r="B27" s="5" t="s">
        <v>853</v>
      </c>
      <c r="C27" s="6" t="s">
        <v>185</v>
      </c>
      <c r="D27" s="7" t="s">
        <v>185</v>
      </c>
      <c r="E27" s="7" t="s">
        <v>530</v>
      </c>
      <c r="F27" s="6" t="s">
        <v>185</v>
      </c>
      <c r="G27" s="7" t="s">
        <v>587</v>
      </c>
      <c r="H27" s="5" t="s">
        <v>840</v>
      </c>
      <c r="I27" s="7" t="s">
        <v>185</v>
      </c>
      <c r="J27" s="7" t="s">
        <v>751</v>
      </c>
    </row>
    <row r="28" ht="22" customHeight="1" spans="2:10">
      <c r="B28" s="8" t="s">
        <v>854</v>
      </c>
      <c r="C28" s="9" t="s">
        <v>185</v>
      </c>
      <c r="D28" s="10" t="s">
        <v>185</v>
      </c>
      <c r="E28" s="10" t="s">
        <v>533</v>
      </c>
      <c r="F28" s="9" t="s">
        <v>185</v>
      </c>
      <c r="G28" s="10" t="s">
        <v>590</v>
      </c>
      <c r="H28" s="8" t="s">
        <v>842</v>
      </c>
      <c r="I28" s="10" t="s">
        <v>185</v>
      </c>
      <c r="J28" s="10" t="s">
        <v>751</v>
      </c>
    </row>
    <row r="29" ht="22" customHeight="1" spans="2:10">
      <c r="B29" s="5" t="s">
        <v>855</v>
      </c>
      <c r="C29" s="6" t="s">
        <v>185</v>
      </c>
      <c r="D29" s="7" t="s">
        <v>185</v>
      </c>
      <c r="E29" s="7" t="s">
        <v>194</v>
      </c>
      <c r="F29" s="6" t="s">
        <v>185</v>
      </c>
      <c r="G29" s="7" t="s">
        <v>593</v>
      </c>
      <c r="H29" s="5" t="s">
        <v>582</v>
      </c>
      <c r="I29" s="7" t="s">
        <v>185</v>
      </c>
      <c r="J29" s="7" t="s">
        <v>751</v>
      </c>
    </row>
    <row r="30" ht="22" customHeight="1" spans="2:10">
      <c r="B30" s="8" t="s">
        <v>856</v>
      </c>
      <c r="C30" s="9" t="s">
        <v>185</v>
      </c>
      <c r="D30" s="10" t="s">
        <v>185</v>
      </c>
      <c r="E30" s="10" t="s">
        <v>515</v>
      </c>
      <c r="F30" s="9" t="s">
        <v>185</v>
      </c>
      <c r="G30" s="10" t="s">
        <v>581</v>
      </c>
      <c r="H30" s="8" t="s">
        <v>822</v>
      </c>
      <c r="I30" s="10" t="s">
        <v>185</v>
      </c>
      <c r="J30" s="10" t="s">
        <v>751</v>
      </c>
    </row>
    <row r="31" ht="22" customHeight="1"/>
    <row r="32" ht="24" customHeight="1" spans="2:10">
      <c r="B32" s="11" t="s">
        <v>857</v>
      </c>
    </row>
    <row r="33" ht="22" customHeight="1" spans="2:10">
      <c r="B33" s="42" t="s">
        <v>858</v>
      </c>
      <c r="C33" s="46"/>
      <c r="D33" s="46"/>
      <c r="E33" s="47"/>
      <c r="F33" s="48">
        <f>COUNTA(B5:B30)</f>
        <v>26</v>
      </c>
      <c r="G33" s="46"/>
      <c r="H33" s="46"/>
      <c r="I33" s="46"/>
      <c r="J33" s="47"/>
    </row>
    <row r="34" ht="22" customHeight="1" spans="2:10">
      <c r="B34" s="44" t="s">
        <v>620</v>
      </c>
      <c r="C34" s="46"/>
      <c r="D34" s="46"/>
      <c r="E34" s="47"/>
      <c r="F34" s="35">
        <f>COUNTIF(G5:G30,"National")+COUNTIF(G5:G30,"International")</f>
        <v>10</v>
      </c>
      <c r="G34" s="46"/>
      <c r="H34" s="46"/>
      <c r="I34" s="46"/>
      <c r="J34" s="47"/>
    </row>
    <row r="35" ht="22" customHeight="1" spans="2:10">
      <c r="B35" s="42" t="s">
        <v>619</v>
      </c>
      <c r="C35" s="46"/>
      <c r="D35" s="46"/>
      <c r="E35" s="47"/>
      <c r="F35" s="48">
        <f>COUNTIF(H5:H30,"Best Paper Award")</f>
        <v>3</v>
      </c>
      <c r="G35" s="46"/>
      <c r="H35" s="46"/>
      <c r="I35" s="46"/>
      <c r="J35" s="47"/>
    </row>
    <row r="36" spans="2:10">
      <c r="B36" s="44" t="s">
        <v>859</v>
      </c>
      <c r="C36" s="46"/>
      <c r="D36" s="46"/>
      <c r="E36" s="47"/>
      <c r="F36" s="35" t="s">
        <v>185</v>
      </c>
      <c r="G36" s="46"/>
      <c r="H36" s="46"/>
      <c r="I36" s="46"/>
      <c r="J36" s="47"/>
    </row>
    <row r="37" spans="2:10">
      <c r="B37" s="42" t="s">
        <v>860</v>
      </c>
      <c r="C37" s="46"/>
      <c r="D37" s="46"/>
      <c r="E37" s="47"/>
      <c r="F37" s="48" t="s">
        <v>185</v>
      </c>
      <c r="G37" s="46"/>
      <c r="H37" s="46"/>
      <c r="I37" s="46"/>
      <c r="J37" s="47"/>
    </row>
    <row r="38" spans="2:10">
      <c r="B38" s="44" t="s">
        <v>861</v>
      </c>
      <c r="C38" s="46"/>
      <c r="D38" s="46"/>
      <c r="E38" s="47"/>
      <c r="F38" s="35" t="s">
        <v>185</v>
      </c>
      <c r="G38" s="46"/>
      <c r="H38" s="46"/>
      <c r="I38" s="46"/>
      <c r="J38" s="47"/>
    </row>
  </sheetData>
  <mergeCells count="15">
    <mergeCell ref="B2:J2"/>
    <mergeCell ref="B3:J3"/>
    <mergeCell ref="B32:J32"/>
    <mergeCell ref="B33:E33"/>
    <mergeCell ref="F33:J33"/>
    <mergeCell ref="B34:E34"/>
    <mergeCell ref="F34:J34"/>
    <mergeCell ref="B35:E35"/>
    <mergeCell ref="F35:J35"/>
    <mergeCell ref="B36:E36"/>
    <mergeCell ref="F36:J36"/>
    <mergeCell ref="B37:E37"/>
    <mergeCell ref="F37:J37"/>
    <mergeCell ref="B38:E38"/>
    <mergeCell ref="F38:J3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5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4" customWidth="1"/>
    <col min="4" max="4" width="12" customWidth="1"/>
    <col min="5" max="5" width="14" customWidth="1"/>
    <col min="6" max="10" width="12" customWidth="1"/>
    <col min="11" max="11" width="14" customWidth="1"/>
    <col min="12" max="12" width="3" customWidth="1"/>
  </cols>
  <sheetData>
    <row r="1" ht="10" customHeight="1"/>
    <row r="2" ht="48" customHeight="1" spans="2:11">
      <c r="B2" s="1" t="s">
        <v>862</v>
      </c>
    </row>
    <row r="3" ht="25" customHeight="1" spans="2:11">
      <c r="B3" s="2" t="s">
        <v>863</v>
      </c>
    </row>
    <row r="4" ht="25" customHeight="1" spans="2:11">
      <c r="B4" s="4" t="s">
        <v>503</v>
      </c>
      <c r="C4" s="4" t="s">
        <v>864</v>
      </c>
      <c r="D4" s="4" t="s">
        <v>865</v>
      </c>
      <c r="E4" s="4" t="s">
        <v>508</v>
      </c>
      <c r="F4" s="4" t="s">
        <v>866</v>
      </c>
      <c r="G4" s="4" t="s">
        <v>867</v>
      </c>
      <c r="H4" s="4" t="s">
        <v>745</v>
      </c>
      <c r="I4" s="4" t="s">
        <v>868</v>
      </c>
      <c r="J4" s="4" t="s">
        <v>869</v>
      </c>
      <c r="K4" s="4" t="s">
        <v>695</v>
      </c>
    </row>
    <row r="5" ht="22" customHeight="1" spans="2:11">
      <c r="B5" s="5" t="s">
        <v>870</v>
      </c>
      <c r="C5" s="6" t="s">
        <v>871</v>
      </c>
      <c r="D5" s="7" t="s">
        <v>194</v>
      </c>
      <c r="E5" s="7" t="s">
        <v>185</v>
      </c>
      <c r="F5" s="7" t="s">
        <v>872</v>
      </c>
      <c r="G5" s="7" t="s">
        <v>185</v>
      </c>
      <c r="H5" s="7" t="s">
        <v>185</v>
      </c>
      <c r="I5" s="6" t="s">
        <v>185</v>
      </c>
      <c r="J5" s="6" t="s">
        <v>185</v>
      </c>
      <c r="K5" s="7" t="s">
        <v>185</v>
      </c>
    </row>
    <row r="6" ht="22" customHeight="1" spans="2:11">
      <c r="B6" s="8" t="s">
        <v>873</v>
      </c>
      <c r="C6" s="9" t="s">
        <v>874</v>
      </c>
      <c r="D6" s="10" t="s">
        <v>515</v>
      </c>
      <c r="E6" s="10" t="s">
        <v>185</v>
      </c>
      <c r="F6" s="10" t="s">
        <v>872</v>
      </c>
      <c r="G6" s="10" t="s">
        <v>185</v>
      </c>
      <c r="H6" s="10" t="s">
        <v>185</v>
      </c>
      <c r="I6" s="9" t="s">
        <v>185</v>
      </c>
      <c r="J6" s="9" t="s">
        <v>185</v>
      </c>
      <c r="K6" s="10" t="s">
        <v>185</v>
      </c>
    </row>
    <row r="7" ht="22" customHeight="1" spans="2:11">
      <c r="B7" s="5" t="s">
        <v>875</v>
      </c>
      <c r="C7" s="6" t="s">
        <v>876</v>
      </c>
      <c r="D7" s="7" t="s">
        <v>518</v>
      </c>
      <c r="E7" s="7" t="s">
        <v>185</v>
      </c>
      <c r="F7" s="7" t="s">
        <v>872</v>
      </c>
      <c r="G7" s="7" t="s">
        <v>185</v>
      </c>
      <c r="H7" s="7" t="s">
        <v>185</v>
      </c>
      <c r="I7" s="6" t="s">
        <v>185</v>
      </c>
      <c r="J7" s="6" t="s">
        <v>185</v>
      </c>
      <c r="K7" s="7" t="s">
        <v>185</v>
      </c>
    </row>
    <row r="8" ht="22" customHeight="1" spans="2:11">
      <c r="B8" s="8" t="s">
        <v>877</v>
      </c>
      <c r="C8" s="9" t="s">
        <v>878</v>
      </c>
      <c r="D8" s="10" t="s">
        <v>521</v>
      </c>
      <c r="E8" s="10" t="s">
        <v>185</v>
      </c>
      <c r="F8" s="10" t="s">
        <v>872</v>
      </c>
      <c r="G8" s="10" t="s">
        <v>185</v>
      </c>
      <c r="H8" s="10" t="s">
        <v>185</v>
      </c>
      <c r="I8" s="9" t="s">
        <v>185</v>
      </c>
      <c r="J8" s="9" t="s">
        <v>185</v>
      </c>
      <c r="K8" s="10" t="s">
        <v>185</v>
      </c>
    </row>
    <row r="9" ht="22" customHeight="1" spans="2:11">
      <c r="B9" s="5" t="s">
        <v>879</v>
      </c>
      <c r="C9" s="6" t="s">
        <v>709</v>
      </c>
      <c r="D9" s="7" t="s">
        <v>524</v>
      </c>
      <c r="E9" s="7" t="s">
        <v>185</v>
      </c>
      <c r="F9" s="7" t="s">
        <v>872</v>
      </c>
      <c r="G9" s="7" t="s">
        <v>185</v>
      </c>
      <c r="H9" s="7" t="s">
        <v>185</v>
      </c>
      <c r="I9" s="6" t="s">
        <v>185</v>
      </c>
      <c r="J9" s="6" t="s">
        <v>185</v>
      </c>
      <c r="K9" s="7" t="s">
        <v>185</v>
      </c>
    </row>
    <row r="10" ht="22" customHeight="1" spans="2:11">
      <c r="B10" s="8" t="s">
        <v>880</v>
      </c>
      <c r="C10" s="9" t="s">
        <v>701</v>
      </c>
      <c r="D10" s="10" t="s">
        <v>527</v>
      </c>
      <c r="E10" s="10" t="s">
        <v>185</v>
      </c>
      <c r="F10" s="10" t="s">
        <v>872</v>
      </c>
      <c r="G10" s="10" t="s">
        <v>185</v>
      </c>
      <c r="H10" s="10" t="s">
        <v>185</v>
      </c>
      <c r="I10" s="9" t="s">
        <v>185</v>
      </c>
      <c r="J10" s="9" t="s">
        <v>185</v>
      </c>
      <c r="K10" s="10" t="s">
        <v>185</v>
      </c>
    </row>
    <row r="11" ht="22" customHeight="1" spans="2:11">
      <c r="B11" s="5" t="s">
        <v>881</v>
      </c>
      <c r="C11" s="6" t="s">
        <v>882</v>
      </c>
      <c r="D11" s="7" t="s">
        <v>530</v>
      </c>
      <c r="E11" s="7" t="s">
        <v>185</v>
      </c>
      <c r="F11" s="7" t="s">
        <v>872</v>
      </c>
      <c r="G11" s="7" t="s">
        <v>185</v>
      </c>
      <c r="H11" s="7" t="s">
        <v>185</v>
      </c>
      <c r="I11" s="6" t="s">
        <v>185</v>
      </c>
      <c r="J11" s="6" t="s">
        <v>185</v>
      </c>
      <c r="K11" s="7" t="s">
        <v>185</v>
      </c>
    </row>
    <row r="12" ht="22" customHeight="1" spans="2:11">
      <c r="B12" s="8" t="s">
        <v>883</v>
      </c>
      <c r="C12" s="9" t="s">
        <v>884</v>
      </c>
      <c r="D12" s="10" t="s">
        <v>533</v>
      </c>
      <c r="E12" s="10" t="s">
        <v>185</v>
      </c>
      <c r="F12" s="10" t="s">
        <v>872</v>
      </c>
      <c r="G12" s="10" t="s">
        <v>185</v>
      </c>
      <c r="H12" s="10" t="s">
        <v>185</v>
      </c>
      <c r="I12" s="9" t="s">
        <v>185</v>
      </c>
      <c r="J12" s="9" t="s">
        <v>185</v>
      </c>
      <c r="K12" s="10" t="s">
        <v>185</v>
      </c>
    </row>
    <row r="13" ht="22" customHeight="1" spans="2:11">
      <c r="B13" s="5" t="s">
        <v>885</v>
      </c>
      <c r="C13" s="6" t="s">
        <v>886</v>
      </c>
      <c r="D13" s="7" t="s">
        <v>194</v>
      </c>
      <c r="E13" s="7" t="s">
        <v>185</v>
      </c>
      <c r="F13" s="7" t="s">
        <v>872</v>
      </c>
      <c r="G13" s="7" t="s">
        <v>185</v>
      </c>
      <c r="H13" s="7" t="s">
        <v>185</v>
      </c>
      <c r="I13" s="6" t="s">
        <v>185</v>
      </c>
      <c r="J13" s="6" t="s">
        <v>185</v>
      </c>
      <c r="K13" s="7" t="s">
        <v>185</v>
      </c>
    </row>
    <row r="14" ht="22" customHeight="1" spans="2:11">
      <c r="B14" s="8" t="s">
        <v>887</v>
      </c>
      <c r="C14" s="9" t="s">
        <v>888</v>
      </c>
      <c r="D14" s="10" t="s">
        <v>515</v>
      </c>
      <c r="E14" s="10" t="s">
        <v>185</v>
      </c>
      <c r="F14" s="10" t="s">
        <v>872</v>
      </c>
      <c r="G14" s="10" t="s">
        <v>185</v>
      </c>
      <c r="H14" s="10" t="s">
        <v>185</v>
      </c>
      <c r="I14" s="9" t="s">
        <v>185</v>
      </c>
      <c r="J14" s="9" t="s">
        <v>185</v>
      </c>
      <c r="K14" s="10" t="s">
        <v>185</v>
      </c>
    </row>
    <row r="15" ht="22" customHeight="1" spans="2:11">
      <c r="B15" s="5" t="s">
        <v>889</v>
      </c>
      <c r="C15" s="6" t="s">
        <v>890</v>
      </c>
      <c r="D15" s="7" t="s">
        <v>518</v>
      </c>
      <c r="E15" s="7" t="s">
        <v>185</v>
      </c>
      <c r="F15" s="7" t="s">
        <v>872</v>
      </c>
      <c r="G15" s="7" t="s">
        <v>185</v>
      </c>
      <c r="H15" s="7" t="s">
        <v>185</v>
      </c>
      <c r="I15" s="6" t="s">
        <v>185</v>
      </c>
      <c r="J15" s="6" t="s">
        <v>185</v>
      </c>
      <c r="K15" s="7" t="s">
        <v>185</v>
      </c>
    </row>
    <row r="16" ht="22" customHeight="1" spans="2:11">
      <c r="B16" s="8" t="s">
        <v>891</v>
      </c>
      <c r="C16" s="9" t="s">
        <v>892</v>
      </c>
      <c r="D16" s="10" t="s">
        <v>521</v>
      </c>
      <c r="E16" s="10" t="s">
        <v>185</v>
      </c>
      <c r="F16" s="10" t="s">
        <v>872</v>
      </c>
      <c r="G16" s="10" t="s">
        <v>185</v>
      </c>
      <c r="H16" s="10" t="s">
        <v>185</v>
      </c>
      <c r="I16" s="9" t="s">
        <v>185</v>
      </c>
      <c r="J16" s="9" t="s">
        <v>185</v>
      </c>
      <c r="K16" s="10" t="s">
        <v>185</v>
      </c>
    </row>
    <row r="17" ht="22" customHeight="1" spans="2:11">
      <c r="B17" s="5" t="s">
        <v>893</v>
      </c>
      <c r="C17" s="6" t="s">
        <v>894</v>
      </c>
      <c r="D17" s="7" t="s">
        <v>524</v>
      </c>
      <c r="E17" s="7" t="s">
        <v>185</v>
      </c>
      <c r="F17" s="7" t="s">
        <v>872</v>
      </c>
      <c r="G17" s="7" t="s">
        <v>185</v>
      </c>
      <c r="H17" s="7" t="s">
        <v>185</v>
      </c>
      <c r="I17" s="6" t="s">
        <v>185</v>
      </c>
      <c r="J17" s="6" t="s">
        <v>185</v>
      </c>
      <c r="K17" s="7" t="s">
        <v>185</v>
      </c>
    </row>
    <row r="18" ht="22" customHeight="1" spans="2:11">
      <c r="B18" s="8" t="s">
        <v>895</v>
      </c>
      <c r="C18" s="9" t="s">
        <v>896</v>
      </c>
      <c r="D18" s="10" t="s">
        <v>527</v>
      </c>
      <c r="E18" s="10" t="s">
        <v>185</v>
      </c>
      <c r="F18" s="10" t="s">
        <v>872</v>
      </c>
      <c r="G18" s="10" t="s">
        <v>185</v>
      </c>
      <c r="H18" s="10" t="s">
        <v>185</v>
      </c>
      <c r="I18" s="9" t="s">
        <v>185</v>
      </c>
      <c r="J18" s="9" t="s">
        <v>185</v>
      </c>
      <c r="K18" s="10" t="s">
        <v>185</v>
      </c>
    </row>
    <row r="19" ht="22" customHeight="1" spans="2:11">
      <c r="B19" s="5" t="s">
        <v>897</v>
      </c>
      <c r="C19" s="6" t="s">
        <v>898</v>
      </c>
      <c r="D19" s="7" t="s">
        <v>530</v>
      </c>
      <c r="E19" s="7" t="s">
        <v>185</v>
      </c>
      <c r="F19" s="7" t="s">
        <v>872</v>
      </c>
      <c r="G19" s="7" t="s">
        <v>185</v>
      </c>
      <c r="H19" s="7" t="s">
        <v>185</v>
      </c>
      <c r="I19" s="6" t="s">
        <v>185</v>
      </c>
      <c r="J19" s="6" t="s">
        <v>185</v>
      </c>
      <c r="K19" s="7" t="s">
        <v>185</v>
      </c>
    </row>
    <row r="20" ht="22" customHeight="1" spans="2:11">
      <c r="B20" s="8" t="s">
        <v>899</v>
      </c>
      <c r="C20" s="9" t="s">
        <v>871</v>
      </c>
      <c r="D20" s="10" t="s">
        <v>533</v>
      </c>
      <c r="E20" s="10" t="s">
        <v>185</v>
      </c>
      <c r="F20" s="10" t="s">
        <v>872</v>
      </c>
      <c r="G20" s="10" t="s">
        <v>185</v>
      </c>
      <c r="H20" s="10" t="s">
        <v>185</v>
      </c>
      <c r="I20" s="9" t="s">
        <v>185</v>
      </c>
      <c r="J20" s="9" t="s">
        <v>185</v>
      </c>
      <c r="K20" s="10" t="s">
        <v>185</v>
      </c>
    </row>
    <row r="21" ht="22" customHeight="1" spans="2:11">
      <c r="B21" s="5" t="s">
        <v>900</v>
      </c>
      <c r="C21" s="6" t="s">
        <v>874</v>
      </c>
      <c r="D21" s="7" t="s">
        <v>194</v>
      </c>
      <c r="E21" s="7" t="s">
        <v>185</v>
      </c>
      <c r="F21" s="7" t="s">
        <v>872</v>
      </c>
      <c r="G21" s="7" t="s">
        <v>185</v>
      </c>
      <c r="H21" s="7" t="s">
        <v>185</v>
      </c>
      <c r="I21" s="6" t="s">
        <v>185</v>
      </c>
      <c r="J21" s="6" t="s">
        <v>185</v>
      </c>
      <c r="K21" s="7" t="s">
        <v>185</v>
      </c>
    </row>
    <row r="22" ht="22" customHeight="1" spans="2:11">
      <c r="B22" s="8" t="s">
        <v>901</v>
      </c>
      <c r="C22" s="9" t="s">
        <v>876</v>
      </c>
      <c r="D22" s="10" t="s">
        <v>515</v>
      </c>
      <c r="E22" s="10" t="s">
        <v>185</v>
      </c>
      <c r="F22" s="10" t="s">
        <v>872</v>
      </c>
      <c r="G22" s="10" t="s">
        <v>185</v>
      </c>
      <c r="H22" s="10" t="s">
        <v>185</v>
      </c>
      <c r="I22" s="9" t="s">
        <v>185</v>
      </c>
      <c r="J22" s="9" t="s">
        <v>185</v>
      </c>
      <c r="K22" s="10" t="s">
        <v>185</v>
      </c>
    </row>
    <row r="23" ht="22" customHeight="1" spans="2:11">
      <c r="B23" s="5" t="s">
        <v>902</v>
      </c>
      <c r="C23" s="6" t="s">
        <v>878</v>
      </c>
      <c r="D23" s="7" t="s">
        <v>518</v>
      </c>
      <c r="E23" s="7" t="s">
        <v>185</v>
      </c>
      <c r="F23" s="7" t="s">
        <v>872</v>
      </c>
      <c r="G23" s="7" t="s">
        <v>185</v>
      </c>
      <c r="H23" s="7" t="s">
        <v>185</v>
      </c>
      <c r="I23" s="6" t="s">
        <v>185</v>
      </c>
      <c r="J23" s="6" t="s">
        <v>185</v>
      </c>
      <c r="K23" s="7" t="s">
        <v>185</v>
      </c>
    </row>
    <row r="24" ht="22" customHeight="1" spans="2:11">
      <c r="B24" s="8" t="s">
        <v>903</v>
      </c>
      <c r="C24" s="9" t="s">
        <v>709</v>
      </c>
      <c r="D24" s="10" t="s">
        <v>521</v>
      </c>
      <c r="E24" s="10" t="s">
        <v>185</v>
      </c>
      <c r="F24" s="10" t="s">
        <v>872</v>
      </c>
      <c r="G24" s="10" t="s">
        <v>185</v>
      </c>
      <c r="H24" s="10" t="s">
        <v>185</v>
      </c>
      <c r="I24" s="9" t="s">
        <v>185</v>
      </c>
      <c r="J24" s="9" t="s">
        <v>185</v>
      </c>
      <c r="K24" s="10" t="s">
        <v>185</v>
      </c>
    </row>
    <row r="25" ht="22" customHeight="1" spans="2:11">
      <c r="B25" s="5" t="s">
        <v>904</v>
      </c>
      <c r="C25" s="6" t="s">
        <v>701</v>
      </c>
      <c r="D25" s="7" t="s">
        <v>524</v>
      </c>
      <c r="E25" s="7" t="s">
        <v>185</v>
      </c>
      <c r="F25" s="7" t="s">
        <v>872</v>
      </c>
      <c r="G25" s="7" t="s">
        <v>185</v>
      </c>
      <c r="H25" s="7" t="s">
        <v>185</v>
      </c>
      <c r="I25" s="6" t="s">
        <v>185</v>
      </c>
      <c r="J25" s="6" t="s">
        <v>185</v>
      </c>
      <c r="K25" s="7" t="s">
        <v>185</v>
      </c>
    </row>
    <row r="26" ht="22" customHeight="1" spans="2:11">
      <c r="B26" s="8" t="s">
        <v>905</v>
      </c>
      <c r="C26" s="9" t="s">
        <v>882</v>
      </c>
      <c r="D26" s="10" t="s">
        <v>527</v>
      </c>
      <c r="E26" s="10" t="s">
        <v>185</v>
      </c>
      <c r="F26" s="10" t="s">
        <v>872</v>
      </c>
      <c r="G26" s="10" t="s">
        <v>185</v>
      </c>
      <c r="H26" s="10" t="s">
        <v>185</v>
      </c>
      <c r="I26" s="9" t="s">
        <v>185</v>
      </c>
      <c r="J26" s="9" t="s">
        <v>185</v>
      </c>
      <c r="K26" s="10" t="s">
        <v>185</v>
      </c>
    </row>
    <row r="27" ht="22" customHeight="1"/>
    <row r="28" ht="24" customHeight="1" spans="2:11">
      <c r="B28" s="11" t="s">
        <v>906</v>
      </c>
    </row>
    <row r="29" ht="22" customHeight="1" spans="2:11">
      <c r="B29" s="42" t="s">
        <v>907</v>
      </c>
      <c r="C29" s="46"/>
      <c r="D29" s="46"/>
      <c r="E29" s="47"/>
      <c r="F29" s="48">
        <f>COUNTA(B5:B26)</f>
        <v>22</v>
      </c>
      <c r="G29" s="46"/>
      <c r="H29" s="46"/>
      <c r="I29" s="46"/>
      <c r="J29" s="46"/>
      <c r="K29" s="47"/>
    </row>
    <row r="30" ht="22" customHeight="1" spans="2:11">
      <c r="B30" s="44" t="s">
        <v>908</v>
      </c>
      <c r="C30" s="46"/>
      <c r="D30" s="46"/>
      <c r="E30" s="47"/>
      <c r="F30" s="35">
        <f>IFERROR(SUM(G5:G26),"")</f>
        <v>0</v>
      </c>
      <c r="G30" s="46"/>
      <c r="H30" s="46"/>
      <c r="I30" s="46"/>
      <c r="J30" s="46"/>
      <c r="K30" s="47"/>
    </row>
    <row r="31" ht="22" customHeight="1" spans="2:11">
      <c r="B31" s="42" t="s">
        <v>909</v>
      </c>
      <c r="C31" s="46"/>
      <c r="D31" s="46"/>
      <c r="E31" s="47"/>
      <c r="F31" s="48">
        <f>IFERROR(SUM(H5:H26),"")</f>
        <v>0</v>
      </c>
      <c r="G31" s="46"/>
      <c r="H31" s="46"/>
      <c r="I31" s="46"/>
      <c r="J31" s="46"/>
      <c r="K31" s="47"/>
    </row>
    <row r="32" ht="22" customHeight="1" spans="2:11">
      <c r="B32" s="44" t="s">
        <v>910</v>
      </c>
      <c r="C32" s="46"/>
      <c r="D32" s="46"/>
      <c r="E32" s="47"/>
      <c r="F32" s="35">
        <f>IFERROR(SUM(K5:K26),"")</f>
        <v>0</v>
      </c>
      <c r="G32" s="46"/>
      <c r="H32" s="46"/>
      <c r="I32" s="46"/>
      <c r="J32" s="46"/>
      <c r="K32" s="47"/>
    </row>
    <row r="33" ht="22" customHeight="1" spans="2:11">
      <c r="B33" s="42" t="s">
        <v>911</v>
      </c>
      <c r="C33" s="46"/>
      <c r="D33" s="46"/>
      <c r="E33" s="47"/>
      <c r="F33" s="48" t="s">
        <v>185</v>
      </c>
      <c r="G33" s="46"/>
      <c r="H33" s="46"/>
      <c r="I33" s="46"/>
      <c r="J33" s="46"/>
      <c r="K33" s="47"/>
    </row>
    <row r="34" ht="22" customHeight="1" spans="2:11">
      <c r="B34" s="44" t="s">
        <v>912</v>
      </c>
      <c r="C34" s="46"/>
      <c r="D34" s="46"/>
      <c r="E34" s="47"/>
      <c r="F34" s="35" t="s">
        <v>185</v>
      </c>
      <c r="G34" s="46"/>
      <c r="H34" s="46"/>
      <c r="I34" s="46"/>
      <c r="J34" s="46"/>
      <c r="K34" s="47"/>
    </row>
    <row r="35" ht="22" customHeight="1"/>
  </sheetData>
  <mergeCells count="15">
    <mergeCell ref="B2:K2"/>
    <mergeCell ref="B3:K3"/>
    <mergeCell ref="B28:K28"/>
    <mergeCell ref="B29:E29"/>
    <mergeCell ref="F29:K29"/>
    <mergeCell ref="B30:E30"/>
    <mergeCell ref="F30:K30"/>
    <mergeCell ref="B31:E31"/>
    <mergeCell ref="F31:K31"/>
    <mergeCell ref="B32:E32"/>
    <mergeCell ref="F32:K32"/>
    <mergeCell ref="B33:E33"/>
    <mergeCell ref="F33:K33"/>
    <mergeCell ref="B34:E34"/>
    <mergeCell ref="F34:K34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52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36" customWidth="1"/>
    <col min="4" max="9" width="12" customWidth="1"/>
    <col min="10" max="10" width="3" customWidth="1"/>
  </cols>
  <sheetData>
    <row r="1" ht="10" customHeight="1"/>
    <row r="2" ht="48" customHeight="1" spans="2:9">
      <c r="B2" s="1" t="s">
        <v>913</v>
      </c>
    </row>
    <row r="3" ht="25" customHeight="1" spans="2:9">
      <c r="B3" s="2" t="s">
        <v>914</v>
      </c>
    </row>
    <row r="4" ht="22" customHeight="1" spans="2:9">
      <c r="B4" s="33" t="s">
        <v>915</v>
      </c>
    </row>
    <row r="5" ht="24" customHeight="1" spans="2:9">
      <c r="B5" s="3" t="s">
        <v>916</v>
      </c>
    </row>
    <row r="6" ht="22" customHeight="1" spans="2:9">
      <c r="B6" s="4" t="s">
        <v>917</v>
      </c>
      <c r="C6" s="4" t="s">
        <v>918</v>
      </c>
      <c r="D6" s="4" t="s">
        <v>919</v>
      </c>
      <c r="E6" s="4" t="s">
        <v>920</v>
      </c>
      <c r="F6" s="4" t="s">
        <v>921</v>
      </c>
      <c r="G6" s="4" t="s">
        <v>922</v>
      </c>
      <c r="H6" s="4" t="s">
        <v>923</v>
      </c>
      <c r="I6" s="4" t="s">
        <v>924</v>
      </c>
    </row>
    <row r="7" ht="22" customHeight="1" spans="2:9">
      <c r="B7" s="5" t="s">
        <v>925</v>
      </c>
      <c r="C7" s="6" t="s">
        <v>926</v>
      </c>
      <c r="D7" s="7" t="s">
        <v>185</v>
      </c>
      <c r="E7" s="7" t="s">
        <v>185</v>
      </c>
      <c r="F7" s="7" t="s">
        <v>185</v>
      </c>
      <c r="G7" s="7" t="s">
        <v>185</v>
      </c>
      <c r="H7" s="7" t="s">
        <v>185</v>
      </c>
      <c r="I7" s="34" t="str">
        <f>IFERROR(ROUND((D7*5+E7*4+F7*3+G7*2+H7)/SUM(D7:H7),2),"")</f>
        <v/>
      </c>
    </row>
    <row r="8" ht="22" customHeight="1" spans="2:9">
      <c r="B8" s="8" t="s">
        <v>927</v>
      </c>
      <c r="C8" s="9" t="s">
        <v>928</v>
      </c>
      <c r="D8" s="10" t="s">
        <v>185</v>
      </c>
      <c r="E8" s="10" t="s">
        <v>185</v>
      </c>
      <c r="F8" s="10" t="s">
        <v>185</v>
      </c>
      <c r="G8" s="10" t="s">
        <v>185</v>
      </c>
      <c r="H8" s="10" t="s">
        <v>185</v>
      </c>
      <c r="I8" s="35" t="str">
        <f>IFERROR(ROUND((D8*5+E8*4+F8*3+G8*2+H8)/SUM(D8:H8),2),"")</f>
        <v/>
      </c>
    </row>
    <row r="9" ht="22" customHeight="1" spans="2:9">
      <c r="B9" s="5" t="s">
        <v>929</v>
      </c>
      <c r="C9" s="6" t="s">
        <v>930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185</v>
      </c>
      <c r="I9" s="34" t="str">
        <f>IFERROR(ROUND((D9*5+E9*4+F9*3+G9*2+H9)/SUM(D9:H9),2),"")</f>
        <v/>
      </c>
    </row>
    <row r="10" ht="22" customHeight="1" spans="2:9">
      <c r="B10" s="8" t="s">
        <v>931</v>
      </c>
      <c r="C10" s="9" t="s">
        <v>932</v>
      </c>
      <c r="D10" s="10" t="s">
        <v>185</v>
      </c>
      <c r="E10" s="10" t="s">
        <v>185</v>
      </c>
      <c r="F10" s="10" t="s">
        <v>185</v>
      </c>
      <c r="G10" s="10" t="s">
        <v>185</v>
      </c>
      <c r="H10" s="10" t="s">
        <v>185</v>
      </c>
      <c r="I10" s="35" t="str">
        <f>IFERROR(ROUND((D10*5+E10*4+F10*3+G10*2+H10)/SUM(D10:H10),2),"")</f>
        <v/>
      </c>
    </row>
    <row r="11" ht="22" customHeight="1" spans="2:9">
      <c r="B11" s="5" t="s">
        <v>933</v>
      </c>
      <c r="C11" s="6" t="s">
        <v>934</v>
      </c>
      <c r="D11" s="7" t="s">
        <v>185</v>
      </c>
      <c r="E11" s="7" t="s">
        <v>185</v>
      </c>
      <c r="F11" s="7" t="s">
        <v>185</v>
      </c>
      <c r="G11" s="7" t="s">
        <v>185</v>
      </c>
      <c r="H11" s="7" t="s">
        <v>185</v>
      </c>
      <c r="I11" s="34" t="str">
        <f>IFERROR(ROUND((D11*5+E11*4+F11*3+G11*2+H11)/SUM(D11:H11),2),"")</f>
        <v/>
      </c>
    </row>
    <row r="12" ht="22" customHeight="1"/>
    <row r="13" ht="24" customHeight="1" spans="2:9">
      <c r="B13" s="11" t="s">
        <v>935</v>
      </c>
    </row>
    <row r="14" ht="22" customHeight="1" spans="2:9">
      <c r="B14" s="12" t="s">
        <v>917</v>
      </c>
      <c r="C14" s="12" t="s">
        <v>918</v>
      </c>
      <c r="D14" s="12" t="s">
        <v>919</v>
      </c>
      <c r="E14" s="12" t="s">
        <v>920</v>
      </c>
      <c r="F14" s="12" t="s">
        <v>921</v>
      </c>
      <c r="G14" s="12" t="s">
        <v>922</v>
      </c>
      <c r="H14" s="12" t="s">
        <v>923</v>
      </c>
      <c r="I14" s="12" t="s">
        <v>924</v>
      </c>
    </row>
    <row r="15" ht="22" customHeight="1" spans="2:9">
      <c r="B15" s="13" t="s">
        <v>936</v>
      </c>
      <c r="C15" s="14" t="s">
        <v>937</v>
      </c>
      <c r="D15" s="15" t="s">
        <v>185</v>
      </c>
      <c r="E15" s="15" t="s">
        <v>185</v>
      </c>
      <c r="F15" s="15" t="s">
        <v>185</v>
      </c>
      <c r="G15" s="15" t="s">
        <v>185</v>
      </c>
      <c r="H15" s="15" t="s">
        <v>185</v>
      </c>
      <c r="I15" s="36" t="str">
        <f t="shared" ref="I15:I20" si="0">IFERROR(ROUND((D15*5+E15*4+F15*3+G15*2+H15)/SUM(D15:H15),2),"")</f>
        <v/>
      </c>
    </row>
    <row r="16" ht="22" customHeight="1" spans="2:9">
      <c r="B16" s="8" t="s">
        <v>938</v>
      </c>
      <c r="C16" s="9" t="s">
        <v>939</v>
      </c>
      <c r="D16" s="10" t="s">
        <v>185</v>
      </c>
      <c r="E16" s="10" t="s">
        <v>185</v>
      </c>
      <c r="F16" s="10" t="s">
        <v>185</v>
      </c>
      <c r="G16" s="10" t="s">
        <v>185</v>
      </c>
      <c r="H16" s="10" t="s">
        <v>185</v>
      </c>
      <c r="I16" s="35" t="str">
        <f t="shared" si="0"/>
        <v/>
      </c>
    </row>
    <row r="17" ht="22" customHeight="1" spans="2:9">
      <c r="B17" s="13" t="s">
        <v>940</v>
      </c>
      <c r="C17" s="14" t="s">
        <v>941</v>
      </c>
      <c r="D17" s="15" t="s">
        <v>185</v>
      </c>
      <c r="E17" s="15" t="s">
        <v>185</v>
      </c>
      <c r="F17" s="15" t="s">
        <v>185</v>
      </c>
      <c r="G17" s="15" t="s">
        <v>185</v>
      </c>
      <c r="H17" s="15" t="s">
        <v>185</v>
      </c>
      <c r="I17" s="36" t="str">
        <f t="shared" si="0"/>
        <v/>
      </c>
    </row>
    <row r="18" ht="22" customHeight="1" spans="2:9">
      <c r="B18" s="8" t="s">
        <v>942</v>
      </c>
      <c r="C18" s="9" t="s">
        <v>943</v>
      </c>
      <c r="D18" s="10" t="s">
        <v>185</v>
      </c>
      <c r="E18" s="10" t="s">
        <v>185</v>
      </c>
      <c r="F18" s="10" t="s">
        <v>185</v>
      </c>
      <c r="G18" s="10" t="s">
        <v>185</v>
      </c>
      <c r="H18" s="10" t="s">
        <v>185</v>
      </c>
      <c r="I18" s="35" t="str">
        <f t="shared" si="0"/>
        <v/>
      </c>
    </row>
    <row r="19" ht="22" customHeight="1" spans="2:9">
      <c r="B19" s="13" t="s">
        <v>944</v>
      </c>
      <c r="C19" s="14" t="s">
        <v>945</v>
      </c>
      <c r="D19" s="15" t="s">
        <v>185</v>
      </c>
      <c r="E19" s="15" t="s">
        <v>185</v>
      </c>
      <c r="F19" s="15" t="s">
        <v>185</v>
      </c>
      <c r="G19" s="15" t="s">
        <v>185</v>
      </c>
      <c r="H19" s="15" t="s">
        <v>185</v>
      </c>
      <c r="I19" s="36" t="str">
        <f t="shared" si="0"/>
        <v/>
      </c>
    </row>
    <row r="20" ht="22" customHeight="1" spans="2:9">
      <c r="B20" s="8" t="s">
        <v>946</v>
      </c>
      <c r="C20" s="9" t="s">
        <v>947</v>
      </c>
      <c r="D20" s="10" t="s">
        <v>185</v>
      </c>
      <c r="E20" s="10" t="s">
        <v>185</v>
      </c>
      <c r="F20" s="10" t="s">
        <v>185</v>
      </c>
      <c r="G20" s="10" t="s">
        <v>185</v>
      </c>
      <c r="H20" s="10" t="s">
        <v>185</v>
      </c>
      <c r="I20" s="35" t="str">
        <f t="shared" si="0"/>
        <v/>
      </c>
    </row>
    <row r="21" ht="22" customHeight="1"/>
    <row r="22" ht="24" customHeight="1" spans="2:9">
      <c r="B22" s="16" t="s">
        <v>948</v>
      </c>
    </row>
    <row r="23" ht="22" customHeight="1" spans="2:9">
      <c r="B23" s="17" t="s">
        <v>917</v>
      </c>
      <c r="C23" s="17" t="s">
        <v>918</v>
      </c>
      <c r="D23" s="17" t="s">
        <v>919</v>
      </c>
      <c r="E23" s="17" t="s">
        <v>920</v>
      </c>
      <c r="F23" s="17" t="s">
        <v>921</v>
      </c>
      <c r="G23" s="17" t="s">
        <v>922</v>
      </c>
      <c r="H23" s="17" t="s">
        <v>923</v>
      </c>
      <c r="I23" s="17" t="s">
        <v>924</v>
      </c>
    </row>
    <row r="24" ht="22" customHeight="1" spans="2:9">
      <c r="B24" s="18" t="s">
        <v>949</v>
      </c>
      <c r="C24" s="19" t="s">
        <v>950</v>
      </c>
      <c r="D24" s="20" t="s">
        <v>185</v>
      </c>
      <c r="E24" s="20" t="s">
        <v>185</v>
      </c>
      <c r="F24" s="20" t="s">
        <v>185</v>
      </c>
      <c r="G24" s="20" t="s">
        <v>185</v>
      </c>
      <c r="H24" s="20" t="s">
        <v>185</v>
      </c>
      <c r="I24" s="37" t="str">
        <f t="shared" ref="I24:I29" si="1">IFERROR(ROUND((D24*5+E24*4+F24*3+G24*2+H24)/SUM(D24:H24),2),"")</f>
        <v/>
      </c>
    </row>
    <row r="25" ht="22" customHeight="1" spans="2:9">
      <c r="B25" s="8" t="s">
        <v>951</v>
      </c>
      <c r="C25" s="9" t="s">
        <v>952</v>
      </c>
      <c r="D25" s="10" t="s">
        <v>185</v>
      </c>
      <c r="E25" s="10" t="s">
        <v>185</v>
      </c>
      <c r="F25" s="10" t="s">
        <v>185</v>
      </c>
      <c r="G25" s="10" t="s">
        <v>185</v>
      </c>
      <c r="H25" s="10" t="s">
        <v>185</v>
      </c>
      <c r="I25" s="35" t="str">
        <f t="shared" si="1"/>
        <v/>
      </c>
    </row>
    <row r="26" ht="22" customHeight="1" spans="2:9">
      <c r="B26" s="18" t="s">
        <v>953</v>
      </c>
      <c r="C26" s="19" t="s">
        <v>954</v>
      </c>
      <c r="D26" s="20" t="s">
        <v>185</v>
      </c>
      <c r="E26" s="20" t="s">
        <v>185</v>
      </c>
      <c r="F26" s="20" t="s">
        <v>185</v>
      </c>
      <c r="G26" s="20" t="s">
        <v>185</v>
      </c>
      <c r="H26" s="20" t="s">
        <v>185</v>
      </c>
      <c r="I26" s="37" t="str">
        <f t="shared" si="1"/>
        <v/>
      </c>
    </row>
    <row r="27" ht="22" customHeight="1" spans="2:9">
      <c r="B27" s="8" t="s">
        <v>955</v>
      </c>
      <c r="C27" s="9" t="s">
        <v>956</v>
      </c>
      <c r="D27" s="10" t="s">
        <v>185</v>
      </c>
      <c r="E27" s="10" t="s">
        <v>185</v>
      </c>
      <c r="F27" s="10" t="s">
        <v>185</v>
      </c>
      <c r="G27" s="10" t="s">
        <v>185</v>
      </c>
      <c r="H27" s="10" t="s">
        <v>185</v>
      </c>
      <c r="I27" s="35" t="str">
        <f t="shared" si="1"/>
        <v/>
      </c>
    </row>
    <row r="28" ht="22" customHeight="1" spans="2:9">
      <c r="B28" s="18" t="s">
        <v>957</v>
      </c>
      <c r="C28" s="19" t="s">
        <v>958</v>
      </c>
      <c r="D28" s="20" t="s">
        <v>185</v>
      </c>
      <c r="E28" s="20" t="s">
        <v>185</v>
      </c>
      <c r="F28" s="20" t="s">
        <v>185</v>
      </c>
      <c r="G28" s="20" t="s">
        <v>185</v>
      </c>
      <c r="H28" s="20" t="s">
        <v>185</v>
      </c>
      <c r="I28" s="37" t="str">
        <f t="shared" si="1"/>
        <v/>
      </c>
    </row>
    <row r="29" ht="22" customHeight="1" spans="2:9">
      <c r="B29" s="8" t="s">
        <v>959</v>
      </c>
      <c r="C29" s="9" t="s">
        <v>960</v>
      </c>
      <c r="D29" s="10" t="s">
        <v>185</v>
      </c>
      <c r="E29" s="10" t="s">
        <v>185</v>
      </c>
      <c r="F29" s="10" t="s">
        <v>185</v>
      </c>
      <c r="G29" s="10" t="s">
        <v>185</v>
      </c>
      <c r="H29" s="10" t="s">
        <v>185</v>
      </c>
      <c r="I29" s="35" t="str">
        <f t="shared" si="1"/>
        <v/>
      </c>
    </row>
    <row r="30" ht="22" customHeight="1"/>
    <row r="31" ht="24" customHeight="1" spans="2:9">
      <c r="B31" s="21" t="s">
        <v>961</v>
      </c>
    </row>
    <row r="32" ht="22" customHeight="1" spans="2:9">
      <c r="B32" s="22" t="s">
        <v>917</v>
      </c>
      <c r="C32" s="22" t="s">
        <v>918</v>
      </c>
      <c r="D32" s="22" t="s">
        <v>919</v>
      </c>
      <c r="E32" s="22" t="s">
        <v>920</v>
      </c>
      <c r="F32" s="22" t="s">
        <v>921</v>
      </c>
      <c r="G32" s="22" t="s">
        <v>922</v>
      </c>
      <c r="H32" s="22" t="s">
        <v>923</v>
      </c>
      <c r="I32" s="22" t="s">
        <v>924</v>
      </c>
    </row>
    <row r="33" ht="22" customHeight="1" spans="2:9">
      <c r="B33" s="23" t="s">
        <v>962</v>
      </c>
      <c r="C33" s="24" t="s">
        <v>963</v>
      </c>
      <c r="D33" s="25" t="s">
        <v>185</v>
      </c>
      <c r="E33" s="25" t="s">
        <v>185</v>
      </c>
      <c r="F33" s="25" t="s">
        <v>185</v>
      </c>
      <c r="G33" s="25" t="s">
        <v>185</v>
      </c>
      <c r="H33" s="25" t="s">
        <v>185</v>
      </c>
      <c r="I33" s="38" t="str">
        <f>IFERROR(ROUND((D33*5+E33*4+F33*3+G33*2+H33)/SUM(D33:H33),2),"")</f>
        <v/>
      </c>
    </row>
    <row r="34" ht="22" customHeight="1" spans="2:9">
      <c r="B34" s="8" t="s">
        <v>964</v>
      </c>
      <c r="C34" s="9" t="s">
        <v>965</v>
      </c>
      <c r="D34" s="10" t="s">
        <v>185</v>
      </c>
      <c r="E34" s="10" t="s">
        <v>185</v>
      </c>
      <c r="F34" s="10" t="s">
        <v>185</v>
      </c>
      <c r="G34" s="10" t="s">
        <v>185</v>
      </c>
      <c r="H34" s="10" t="s">
        <v>185</v>
      </c>
      <c r="I34" s="35" t="str">
        <f>IFERROR(ROUND((D34*5+E34*4+F34*3+G34*2+H34)/SUM(D34:H34),2),"")</f>
        <v/>
      </c>
    </row>
    <row r="35" ht="22" customHeight="1" spans="2:9">
      <c r="B35" s="23" t="s">
        <v>966</v>
      </c>
      <c r="C35" s="24" t="s">
        <v>967</v>
      </c>
      <c r="D35" s="25" t="s">
        <v>185</v>
      </c>
      <c r="E35" s="25" t="s">
        <v>185</v>
      </c>
      <c r="F35" s="25" t="s">
        <v>185</v>
      </c>
      <c r="G35" s="25" t="s">
        <v>185</v>
      </c>
      <c r="H35" s="25" t="s">
        <v>185</v>
      </c>
      <c r="I35" s="38" t="str">
        <f>IFERROR(ROUND((D35*5+E35*4+F35*3+G35*2+H35)/SUM(D35:H35),2),"")</f>
        <v/>
      </c>
    </row>
    <row r="36" ht="22" customHeight="1" spans="2:9">
      <c r="B36" s="8" t="s">
        <v>968</v>
      </c>
      <c r="C36" s="9" t="s">
        <v>969</v>
      </c>
      <c r="D36" s="10" t="s">
        <v>185</v>
      </c>
      <c r="E36" s="10" t="s">
        <v>185</v>
      </c>
      <c r="F36" s="10" t="s">
        <v>185</v>
      </c>
      <c r="G36" s="10" t="s">
        <v>185</v>
      </c>
      <c r="H36" s="10" t="s">
        <v>185</v>
      </c>
      <c r="I36" s="35" t="str">
        <f>IFERROR(ROUND((D36*5+E36*4+F36*3+G36*2+H36)/SUM(D36:H36),2),"")</f>
        <v/>
      </c>
    </row>
    <row r="37" ht="22" customHeight="1" spans="2:9">
      <c r="B37" s="23" t="s">
        <v>970</v>
      </c>
      <c r="C37" s="24" t="s">
        <v>971</v>
      </c>
      <c r="D37" s="25" t="s">
        <v>185</v>
      </c>
      <c r="E37" s="25" t="s">
        <v>185</v>
      </c>
      <c r="F37" s="25" t="s">
        <v>185</v>
      </c>
      <c r="G37" s="25" t="s">
        <v>185</v>
      </c>
      <c r="H37" s="25" t="s">
        <v>185</v>
      </c>
      <c r="I37" s="38" t="str">
        <f>IFERROR(ROUND((D37*5+E37*4+F37*3+G37*2+H37)/SUM(D37:H37),2),"")</f>
        <v/>
      </c>
    </row>
    <row r="38" ht="22" customHeight="1"/>
    <row r="39" ht="24" customHeight="1" spans="2:9">
      <c r="B39" s="26" t="s">
        <v>972</v>
      </c>
    </row>
    <row r="40" ht="22" customHeight="1" spans="2:9">
      <c r="B40" s="27" t="s">
        <v>917</v>
      </c>
      <c r="C40" s="27" t="s">
        <v>918</v>
      </c>
      <c r="D40" s="27" t="s">
        <v>919</v>
      </c>
      <c r="E40" s="27" t="s">
        <v>920</v>
      </c>
      <c r="F40" s="27" t="s">
        <v>921</v>
      </c>
      <c r="G40" s="27" t="s">
        <v>922</v>
      </c>
      <c r="H40" s="27" t="s">
        <v>923</v>
      </c>
      <c r="I40" s="27" t="s">
        <v>924</v>
      </c>
    </row>
    <row r="41" ht="22" customHeight="1" spans="2:9">
      <c r="B41" s="28" t="s">
        <v>973</v>
      </c>
      <c r="C41" s="29" t="s">
        <v>974</v>
      </c>
      <c r="D41" s="30" t="s">
        <v>185</v>
      </c>
      <c r="E41" s="30" t="s">
        <v>185</v>
      </c>
      <c r="F41" s="30" t="s">
        <v>185</v>
      </c>
      <c r="G41" s="30" t="s">
        <v>185</v>
      </c>
      <c r="H41" s="30" t="s">
        <v>185</v>
      </c>
      <c r="I41" s="39" t="str">
        <f>IFERROR(ROUND((D41*5+E41*4+F41*3+G41*2+H41)/SUM(D41:H41),2),"")</f>
        <v/>
      </c>
    </row>
    <row r="42" ht="22" customHeight="1" spans="2:9">
      <c r="B42" s="8" t="s">
        <v>975</v>
      </c>
      <c r="C42" s="9" t="s">
        <v>976</v>
      </c>
      <c r="D42" s="10" t="s">
        <v>185</v>
      </c>
      <c r="E42" s="10" t="s">
        <v>185</v>
      </c>
      <c r="F42" s="10" t="s">
        <v>185</v>
      </c>
      <c r="G42" s="10" t="s">
        <v>185</v>
      </c>
      <c r="H42" s="10" t="s">
        <v>185</v>
      </c>
      <c r="I42" s="35" t="str">
        <f>IFERROR(ROUND((D42*5+E42*4+F42*3+G42*2+H42)/SUM(D42:H42),2),"")</f>
        <v/>
      </c>
    </row>
    <row r="43" ht="22" customHeight="1" spans="2:9">
      <c r="B43" s="28" t="s">
        <v>977</v>
      </c>
      <c r="C43" s="29" t="s">
        <v>978</v>
      </c>
      <c r="D43" s="30" t="s">
        <v>185</v>
      </c>
      <c r="E43" s="30" t="s">
        <v>185</v>
      </c>
      <c r="F43" s="30" t="s">
        <v>185</v>
      </c>
      <c r="G43" s="30" t="s">
        <v>185</v>
      </c>
      <c r="H43" s="30" t="s">
        <v>185</v>
      </c>
      <c r="I43" s="39" t="str">
        <f>IFERROR(ROUND((D43*5+E43*4+F43*3+G43*2+H43)/SUM(D43:H43),2),"")</f>
        <v/>
      </c>
    </row>
    <row r="44" ht="22" customHeight="1" spans="2:9">
      <c r="B44" s="8" t="s">
        <v>979</v>
      </c>
      <c r="C44" s="9" t="s">
        <v>980</v>
      </c>
      <c r="D44" s="10" t="s">
        <v>185</v>
      </c>
      <c r="E44" s="10" t="s">
        <v>185</v>
      </c>
      <c r="F44" s="10" t="s">
        <v>185</v>
      </c>
      <c r="G44" s="10" t="s">
        <v>185</v>
      </c>
      <c r="H44" s="10" t="s">
        <v>185</v>
      </c>
      <c r="I44" s="35" t="str">
        <f>IFERROR(ROUND((D44*5+E44*4+F44*3+G44*2+H44)/SUM(D44:H44),2),"")</f>
        <v/>
      </c>
    </row>
    <row r="45" ht="22" customHeight="1"/>
    <row r="46" ht="24" customHeight="1" spans="2:9">
      <c r="B46" s="40" t="s">
        <v>981</v>
      </c>
    </row>
    <row r="47" ht="22" customHeight="1" spans="2:9">
      <c r="B47" s="41" t="s">
        <v>982</v>
      </c>
      <c r="C47" s="41" t="s">
        <v>983</v>
      </c>
      <c r="D47" s="41" t="s">
        <v>984</v>
      </c>
      <c r="E47" s="41" t="s">
        <v>985</v>
      </c>
      <c r="F47" s="41" t="s">
        <v>986</v>
      </c>
      <c r="G47" s="41" t="s">
        <v>308</v>
      </c>
      <c r="H47" s="41" t="s">
        <v>987</v>
      </c>
    </row>
    <row r="48" ht="22" customHeight="1" spans="2:9">
      <c r="B48" s="42" t="s">
        <v>988</v>
      </c>
      <c r="C48" s="7" t="s">
        <v>185</v>
      </c>
      <c r="D48" s="7" t="str">
        <f>IFERROR(ROUND(C48/5*100,1),"")</f>
        <v/>
      </c>
      <c r="E48" s="7">
        <v>3.5</v>
      </c>
      <c r="F48" s="7" t="str">
        <f>IFERROR(ROUND(C48-E48,2),"")</f>
        <v/>
      </c>
      <c r="G48" s="7" t="str">
        <f>IFERROR(IF(C48&gt;=3.5,"Satisfactory","Needs Attention"),"")</f>
        <v>Satisfactory</v>
      </c>
      <c r="H48" s="6" t="s">
        <v>185</v>
      </c>
      <c r="I48" s="43"/>
    </row>
    <row r="49" ht="22" customHeight="1" spans="2:9">
      <c r="B49" s="44" t="s">
        <v>989</v>
      </c>
      <c r="C49" s="10" t="s">
        <v>185</v>
      </c>
      <c r="D49" s="10" t="str">
        <f>IFERROR(ROUND(C49/5*100,1),"")</f>
        <v/>
      </c>
      <c r="E49" s="10">
        <v>3.5</v>
      </c>
      <c r="F49" s="10" t="str">
        <f>IFERROR(ROUND(C49-E49,2),"")</f>
        <v/>
      </c>
      <c r="G49" s="10" t="str">
        <f>IFERROR(IF(C49&gt;=3.5,"Satisfactory","Needs Attention"),"")</f>
        <v>Satisfactory</v>
      </c>
      <c r="H49" s="9" t="s">
        <v>185</v>
      </c>
      <c r="I49" s="45"/>
    </row>
    <row r="50" ht="22" customHeight="1" spans="2:9">
      <c r="B50" s="42" t="s">
        <v>990</v>
      </c>
      <c r="C50" s="7" t="s">
        <v>185</v>
      </c>
      <c r="D50" s="7" t="str">
        <f>IFERROR(ROUND(C50/5*100,1),"")</f>
        <v/>
      </c>
      <c r="E50" s="7">
        <v>3.5</v>
      </c>
      <c r="F50" s="7" t="str">
        <f>IFERROR(ROUND(C50-E50,2),"")</f>
        <v/>
      </c>
      <c r="G50" s="7" t="str">
        <f>IFERROR(IF(C50&gt;=3.5,"Satisfactory","Needs Attention"),"")</f>
        <v>Satisfactory</v>
      </c>
      <c r="H50" s="6" t="s">
        <v>185</v>
      </c>
      <c r="I50" s="43"/>
    </row>
    <row r="51" ht="22" customHeight="1" spans="2:9">
      <c r="B51" s="44" t="s">
        <v>991</v>
      </c>
      <c r="C51" s="10" t="s">
        <v>185</v>
      </c>
      <c r="D51" s="10" t="str">
        <f>IFERROR(ROUND(C51/5*100,1),"")</f>
        <v/>
      </c>
      <c r="E51" s="10">
        <v>3.5</v>
      </c>
      <c r="F51" s="10" t="str">
        <f>IFERROR(ROUND(C51-E51,2),"")</f>
        <v/>
      </c>
      <c r="G51" s="10" t="str">
        <f>IFERROR(IF(C51&gt;=3.5,"Satisfactory","Needs Attention"),"")</f>
        <v>Satisfactory</v>
      </c>
      <c r="H51" s="9" t="s">
        <v>185</v>
      </c>
      <c r="I51" s="45"/>
    </row>
    <row r="52" ht="52.8" spans="2:9">
      <c r="B52" s="42" t="s">
        <v>992</v>
      </c>
      <c r="C52" s="7" t="s">
        <v>185</v>
      </c>
      <c r="D52" s="7" t="str">
        <f>IFERROR(ROUND(C52/5*100,1),"")</f>
        <v/>
      </c>
      <c r="E52" s="7">
        <v>3.5</v>
      </c>
      <c r="F52" s="7" t="str">
        <f>IFERROR(ROUND(C52-E52,2),"")</f>
        <v/>
      </c>
      <c r="G52" s="7" t="str">
        <f>IFERROR(IF(C52&gt;=3.5,"Satisfactory","Needs Attention"),"")</f>
        <v>Satisfactory</v>
      </c>
      <c r="H52" s="6" t="s">
        <v>185</v>
      </c>
      <c r="I52" s="43"/>
    </row>
  </sheetData>
  <mergeCells count="9">
    <mergeCell ref="B2:I2"/>
    <mergeCell ref="B3:I3"/>
    <mergeCell ref="B4:I4"/>
    <mergeCell ref="B5:I5"/>
    <mergeCell ref="B13:I13"/>
    <mergeCell ref="B22:I22"/>
    <mergeCell ref="B31:I31"/>
    <mergeCell ref="B39:I39"/>
    <mergeCell ref="B46:I46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4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32" customWidth="1"/>
    <col min="4" max="4" width="12" customWidth="1"/>
    <col min="5" max="9" width="14" customWidth="1"/>
    <col min="10" max="10" width="3" customWidth="1"/>
  </cols>
  <sheetData>
    <row r="1" ht="10" customHeight="1"/>
    <row r="2" ht="48" customHeight="1" spans="2:9">
      <c r="B2" s="1" t="s">
        <v>993</v>
      </c>
    </row>
    <row r="3" ht="25" customHeight="1" spans="2:9">
      <c r="B3" s="2" t="s">
        <v>994</v>
      </c>
    </row>
    <row r="4" ht="24" customHeight="1" spans="2:9">
      <c r="B4" s="3" t="s">
        <v>995</v>
      </c>
    </row>
    <row r="5" ht="22" customHeight="1" spans="2:9">
      <c r="B5" s="4" t="s">
        <v>177</v>
      </c>
      <c r="C5" s="4" t="s">
        <v>996</v>
      </c>
      <c r="D5" s="4" t="s">
        <v>997</v>
      </c>
      <c r="E5" s="4" t="s">
        <v>998</v>
      </c>
      <c r="F5" s="4" t="s">
        <v>999</v>
      </c>
      <c r="G5" s="4" t="s">
        <v>1000</v>
      </c>
      <c r="H5" s="4" t="s">
        <v>308</v>
      </c>
      <c r="I5" s="4" t="s">
        <v>328</v>
      </c>
    </row>
    <row r="6" ht="22" customHeight="1" spans="2:9">
      <c r="B6" s="5">
        <v>1</v>
      </c>
      <c r="C6" s="6" t="s">
        <v>1001</v>
      </c>
      <c r="D6" s="7" t="s">
        <v>1002</v>
      </c>
      <c r="E6" s="7" t="s">
        <v>1003</v>
      </c>
      <c r="F6" s="7" t="s">
        <v>185</v>
      </c>
      <c r="G6" s="7" t="s">
        <v>185</v>
      </c>
      <c r="H6" s="7" t="s">
        <v>1004</v>
      </c>
      <c r="I6" s="6" t="s">
        <v>185</v>
      </c>
    </row>
    <row r="7" ht="22" customHeight="1" spans="2:9">
      <c r="B7" s="8">
        <v>2</v>
      </c>
      <c r="C7" s="9" t="s">
        <v>1005</v>
      </c>
      <c r="D7" s="10" t="s">
        <v>1006</v>
      </c>
      <c r="E7" s="10" t="s">
        <v>1007</v>
      </c>
      <c r="F7" s="10" t="s">
        <v>185</v>
      </c>
      <c r="G7" s="10" t="s">
        <v>185</v>
      </c>
      <c r="H7" s="10" t="s">
        <v>1004</v>
      </c>
      <c r="I7" s="9" t="s">
        <v>185</v>
      </c>
    </row>
    <row r="8" ht="22" customHeight="1" spans="2:9">
      <c r="B8" s="5">
        <v>3</v>
      </c>
      <c r="C8" s="6" t="s">
        <v>1008</v>
      </c>
      <c r="D8" s="7" t="s">
        <v>1009</v>
      </c>
      <c r="E8" s="7" t="s">
        <v>1010</v>
      </c>
      <c r="F8" s="7" t="s">
        <v>185</v>
      </c>
      <c r="G8" s="7" t="s">
        <v>185</v>
      </c>
      <c r="H8" s="7" t="s">
        <v>1004</v>
      </c>
      <c r="I8" s="6" t="s">
        <v>185</v>
      </c>
    </row>
    <row r="9" ht="22" customHeight="1" spans="2:9">
      <c r="B9" s="8">
        <v>4</v>
      </c>
      <c r="C9" s="9" t="s">
        <v>1011</v>
      </c>
      <c r="D9" s="10" t="s">
        <v>1009</v>
      </c>
      <c r="E9" s="10" t="s">
        <v>1010</v>
      </c>
      <c r="F9" s="10" t="s">
        <v>185</v>
      </c>
      <c r="G9" s="10" t="s">
        <v>185</v>
      </c>
      <c r="H9" s="10" t="s">
        <v>1004</v>
      </c>
      <c r="I9" s="9" t="s">
        <v>185</v>
      </c>
    </row>
    <row r="10" ht="22" customHeight="1" spans="2:9">
      <c r="B10" s="5">
        <v>5</v>
      </c>
      <c r="C10" s="6" t="s">
        <v>1012</v>
      </c>
      <c r="D10" s="7" t="s">
        <v>1009</v>
      </c>
      <c r="E10" s="7" t="s">
        <v>1010</v>
      </c>
      <c r="F10" s="7" t="s">
        <v>185</v>
      </c>
      <c r="G10" s="7" t="s">
        <v>185</v>
      </c>
      <c r="H10" s="7" t="s">
        <v>1004</v>
      </c>
      <c r="I10" s="6" t="s">
        <v>185</v>
      </c>
    </row>
    <row r="11" ht="22" customHeight="1" spans="2:9">
      <c r="B11" s="8">
        <v>6</v>
      </c>
      <c r="C11" s="9" t="s">
        <v>1013</v>
      </c>
      <c r="D11" s="10" t="s">
        <v>1014</v>
      </c>
      <c r="E11" s="10" t="s">
        <v>1015</v>
      </c>
      <c r="F11" s="10" t="s">
        <v>185</v>
      </c>
      <c r="G11" s="10" t="s">
        <v>185</v>
      </c>
      <c r="H11" s="10" t="s">
        <v>1004</v>
      </c>
      <c r="I11" s="9" t="s">
        <v>185</v>
      </c>
    </row>
    <row r="12" ht="22" customHeight="1" spans="2:9">
      <c r="B12" s="5">
        <v>7</v>
      </c>
      <c r="C12" s="6" t="s">
        <v>1016</v>
      </c>
      <c r="D12" s="7" t="s">
        <v>1014</v>
      </c>
      <c r="E12" s="7" t="s">
        <v>1015</v>
      </c>
      <c r="F12" s="7" t="s">
        <v>185</v>
      </c>
      <c r="G12" s="7" t="s">
        <v>185</v>
      </c>
      <c r="H12" s="7" t="s">
        <v>1004</v>
      </c>
      <c r="I12" s="6" t="s">
        <v>185</v>
      </c>
    </row>
    <row r="13" ht="22" customHeight="1"/>
    <row r="14" ht="24" customHeight="1" spans="2:9">
      <c r="B14" s="11" t="s">
        <v>1017</v>
      </c>
    </row>
    <row r="15" ht="22" customHeight="1" spans="2:9">
      <c r="B15" s="12" t="s">
        <v>177</v>
      </c>
      <c r="C15" s="12" t="s">
        <v>996</v>
      </c>
      <c r="D15" s="12" t="s">
        <v>997</v>
      </c>
      <c r="E15" s="12" t="s">
        <v>998</v>
      </c>
      <c r="F15" s="12" t="s">
        <v>999</v>
      </c>
      <c r="G15" s="12" t="s">
        <v>1000</v>
      </c>
      <c r="H15" s="12" t="s">
        <v>308</v>
      </c>
      <c r="I15" s="12" t="s">
        <v>328</v>
      </c>
    </row>
    <row r="16" ht="22" customHeight="1" spans="2:9">
      <c r="B16" s="13">
        <v>1</v>
      </c>
      <c r="C16" s="14" t="s">
        <v>1018</v>
      </c>
      <c r="D16" s="15" t="s">
        <v>1019</v>
      </c>
      <c r="E16" s="15" t="s">
        <v>1020</v>
      </c>
      <c r="F16" s="15" t="s">
        <v>185</v>
      </c>
      <c r="G16" s="15" t="s">
        <v>185</v>
      </c>
      <c r="H16" s="15" t="s">
        <v>1004</v>
      </c>
      <c r="I16" s="14" t="s">
        <v>185</v>
      </c>
    </row>
    <row r="17" ht="22" customHeight="1" spans="2:9">
      <c r="B17" s="8">
        <v>2</v>
      </c>
      <c r="C17" s="9" t="s">
        <v>1021</v>
      </c>
      <c r="D17" s="10" t="s">
        <v>1019</v>
      </c>
      <c r="E17" s="10" t="s">
        <v>1022</v>
      </c>
      <c r="F17" s="10" t="s">
        <v>185</v>
      </c>
      <c r="G17" s="10" t="s">
        <v>185</v>
      </c>
      <c r="H17" s="10" t="s">
        <v>1004</v>
      </c>
      <c r="I17" s="9" t="s">
        <v>185</v>
      </c>
    </row>
    <row r="18" ht="22" customHeight="1" spans="2:9">
      <c r="B18" s="13">
        <v>3</v>
      </c>
      <c r="C18" s="14" t="s">
        <v>1023</v>
      </c>
      <c r="D18" s="15" t="s">
        <v>1024</v>
      </c>
      <c r="E18" s="15" t="s">
        <v>1025</v>
      </c>
      <c r="F18" s="15" t="s">
        <v>185</v>
      </c>
      <c r="G18" s="15" t="s">
        <v>185</v>
      </c>
      <c r="H18" s="15" t="s">
        <v>1004</v>
      </c>
      <c r="I18" s="14" t="s">
        <v>185</v>
      </c>
    </row>
    <row r="19" ht="22" customHeight="1" spans="2:9">
      <c r="B19" s="8">
        <v>4</v>
      </c>
      <c r="C19" s="9" t="s">
        <v>1026</v>
      </c>
      <c r="D19" s="10" t="s">
        <v>1019</v>
      </c>
      <c r="E19" s="10" t="s">
        <v>1003</v>
      </c>
      <c r="F19" s="10" t="s">
        <v>185</v>
      </c>
      <c r="G19" s="10" t="s">
        <v>185</v>
      </c>
      <c r="H19" s="10" t="s">
        <v>1004</v>
      </c>
      <c r="I19" s="9" t="s">
        <v>185</v>
      </c>
    </row>
    <row r="20" ht="22" customHeight="1" spans="2:9">
      <c r="B20" s="13">
        <v>5</v>
      </c>
      <c r="C20" s="14" t="s">
        <v>1027</v>
      </c>
      <c r="D20" s="15" t="s">
        <v>1019</v>
      </c>
      <c r="E20" s="15" t="s">
        <v>1028</v>
      </c>
      <c r="F20" s="15" t="s">
        <v>185</v>
      </c>
      <c r="G20" s="15" t="s">
        <v>185</v>
      </c>
      <c r="H20" s="15" t="s">
        <v>1004</v>
      </c>
      <c r="I20" s="14" t="s">
        <v>185</v>
      </c>
    </row>
    <row r="21" ht="22" customHeight="1" spans="2:9">
      <c r="B21" s="8">
        <v>6</v>
      </c>
      <c r="C21" s="9" t="s">
        <v>1029</v>
      </c>
      <c r="D21" s="10" t="s">
        <v>1019</v>
      </c>
      <c r="E21" s="10" t="s">
        <v>1030</v>
      </c>
      <c r="F21" s="10" t="s">
        <v>185</v>
      </c>
      <c r="G21" s="10" t="s">
        <v>185</v>
      </c>
      <c r="H21" s="10" t="s">
        <v>1004</v>
      </c>
      <c r="I21" s="9" t="s">
        <v>185</v>
      </c>
    </row>
    <row r="22" ht="22" customHeight="1" spans="2:9">
      <c r="B22" s="13">
        <v>7</v>
      </c>
      <c r="C22" s="14" t="s">
        <v>1031</v>
      </c>
      <c r="D22" s="15" t="s">
        <v>1019</v>
      </c>
      <c r="E22" s="15" t="s">
        <v>1003</v>
      </c>
      <c r="F22" s="15" t="s">
        <v>185</v>
      </c>
      <c r="G22" s="15" t="s">
        <v>185</v>
      </c>
      <c r="H22" s="15" t="s">
        <v>1004</v>
      </c>
      <c r="I22" s="14" t="s">
        <v>185</v>
      </c>
    </row>
    <row r="23" ht="22" customHeight="1" spans="2:9">
      <c r="B23" s="8">
        <v>8</v>
      </c>
      <c r="C23" s="9" t="s">
        <v>1032</v>
      </c>
      <c r="D23" s="10" t="s">
        <v>1019</v>
      </c>
      <c r="E23" s="10" t="s">
        <v>1033</v>
      </c>
      <c r="F23" s="10" t="s">
        <v>185</v>
      </c>
      <c r="G23" s="10" t="s">
        <v>185</v>
      </c>
      <c r="H23" s="10" t="s">
        <v>1004</v>
      </c>
      <c r="I23" s="9" t="s">
        <v>185</v>
      </c>
    </row>
    <row r="24" ht="22" customHeight="1"/>
    <row r="25" ht="24" customHeight="1" spans="2:9">
      <c r="B25" s="16" t="s">
        <v>1034</v>
      </c>
    </row>
    <row r="26" ht="22" customHeight="1" spans="2:9">
      <c r="B26" s="17" t="s">
        <v>177</v>
      </c>
      <c r="C26" s="17" t="s">
        <v>996</v>
      </c>
      <c r="D26" s="17" t="s">
        <v>997</v>
      </c>
      <c r="E26" s="17" t="s">
        <v>998</v>
      </c>
      <c r="F26" s="17" t="s">
        <v>999</v>
      </c>
      <c r="G26" s="17" t="s">
        <v>1000</v>
      </c>
      <c r="H26" s="17" t="s">
        <v>308</v>
      </c>
      <c r="I26" s="17" t="s">
        <v>328</v>
      </c>
    </row>
    <row r="27" ht="22" customHeight="1" spans="2:9">
      <c r="B27" s="18">
        <v>1</v>
      </c>
      <c r="C27" s="19" t="s">
        <v>1035</v>
      </c>
      <c r="D27" s="20" t="s">
        <v>1019</v>
      </c>
      <c r="E27" s="20" t="s">
        <v>1036</v>
      </c>
      <c r="F27" s="20" t="s">
        <v>185</v>
      </c>
      <c r="G27" s="20" t="s">
        <v>185</v>
      </c>
      <c r="H27" s="20" t="s">
        <v>1004</v>
      </c>
      <c r="I27" s="19" t="s">
        <v>185</v>
      </c>
    </row>
    <row r="28" ht="22" customHeight="1" spans="2:9">
      <c r="B28" s="8">
        <v>2</v>
      </c>
      <c r="C28" s="9" t="s">
        <v>1037</v>
      </c>
      <c r="D28" s="10" t="s">
        <v>1019</v>
      </c>
      <c r="E28" s="10" t="s">
        <v>1038</v>
      </c>
      <c r="F28" s="10" t="s">
        <v>185</v>
      </c>
      <c r="G28" s="10" t="s">
        <v>185</v>
      </c>
      <c r="H28" s="10" t="s">
        <v>1004</v>
      </c>
      <c r="I28" s="9" t="s">
        <v>185</v>
      </c>
    </row>
    <row r="29" ht="22" customHeight="1" spans="2:9">
      <c r="B29" s="18">
        <v>3</v>
      </c>
      <c r="C29" s="19" t="s">
        <v>1039</v>
      </c>
      <c r="D29" s="20" t="s">
        <v>1019</v>
      </c>
      <c r="E29" s="20" t="s">
        <v>1040</v>
      </c>
      <c r="F29" s="20" t="s">
        <v>185</v>
      </c>
      <c r="G29" s="20" t="s">
        <v>185</v>
      </c>
      <c r="H29" s="20" t="s">
        <v>1004</v>
      </c>
      <c r="I29" s="19" t="s">
        <v>185</v>
      </c>
    </row>
    <row r="30" ht="22" customHeight="1" spans="2:9">
      <c r="B30" s="8">
        <v>4</v>
      </c>
      <c r="C30" s="9" t="s">
        <v>1041</v>
      </c>
      <c r="D30" s="10" t="s">
        <v>1019</v>
      </c>
      <c r="E30" s="10" t="s">
        <v>1028</v>
      </c>
      <c r="F30" s="10" t="s">
        <v>185</v>
      </c>
      <c r="G30" s="10" t="s">
        <v>185</v>
      </c>
      <c r="H30" s="10" t="s">
        <v>1004</v>
      </c>
      <c r="I30" s="9" t="s">
        <v>185</v>
      </c>
    </row>
    <row r="31" ht="22" customHeight="1" spans="2:9">
      <c r="B31" s="18">
        <v>5</v>
      </c>
      <c r="C31" s="19" t="s">
        <v>1042</v>
      </c>
      <c r="D31" s="20" t="s">
        <v>1002</v>
      </c>
      <c r="E31" s="20" t="s">
        <v>1030</v>
      </c>
      <c r="F31" s="20" t="s">
        <v>185</v>
      </c>
      <c r="G31" s="20" t="s">
        <v>185</v>
      </c>
      <c r="H31" s="20" t="s">
        <v>1004</v>
      </c>
      <c r="I31" s="19" t="s">
        <v>185</v>
      </c>
    </row>
    <row r="32" ht="22" customHeight="1"/>
    <row r="33" ht="24" customHeight="1" spans="2:9">
      <c r="B33" s="21" t="s">
        <v>1043</v>
      </c>
    </row>
    <row r="34" ht="22" customHeight="1" spans="2:9">
      <c r="B34" s="22" t="s">
        <v>177</v>
      </c>
      <c r="C34" s="22" t="s">
        <v>996</v>
      </c>
      <c r="D34" s="22" t="s">
        <v>997</v>
      </c>
      <c r="E34" s="22" t="s">
        <v>998</v>
      </c>
      <c r="F34" s="22" t="s">
        <v>999</v>
      </c>
      <c r="G34" s="22" t="s">
        <v>1000</v>
      </c>
      <c r="H34" s="22" t="s">
        <v>308</v>
      </c>
      <c r="I34" s="22" t="s">
        <v>328</v>
      </c>
    </row>
    <row r="35" ht="22" customHeight="1" spans="2:9">
      <c r="B35" s="23">
        <v>1</v>
      </c>
      <c r="C35" s="24" t="s">
        <v>1044</v>
      </c>
      <c r="D35" s="25" t="s">
        <v>1019</v>
      </c>
      <c r="E35" s="25" t="s">
        <v>1045</v>
      </c>
      <c r="F35" s="25" t="s">
        <v>185</v>
      </c>
      <c r="G35" s="25" t="s">
        <v>185</v>
      </c>
      <c r="H35" s="25" t="s">
        <v>1004</v>
      </c>
      <c r="I35" s="24" t="s">
        <v>185</v>
      </c>
    </row>
    <row r="36" ht="22" customHeight="1" spans="2:9">
      <c r="B36" s="8">
        <v>2</v>
      </c>
      <c r="C36" s="9" t="s">
        <v>1046</v>
      </c>
      <c r="D36" s="10" t="s">
        <v>1002</v>
      </c>
      <c r="E36" s="10" t="s">
        <v>1047</v>
      </c>
      <c r="F36" s="10" t="s">
        <v>185</v>
      </c>
      <c r="G36" s="10" t="s">
        <v>185</v>
      </c>
      <c r="H36" s="10" t="s">
        <v>1004</v>
      </c>
      <c r="I36" s="9" t="s">
        <v>185</v>
      </c>
    </row>
    <row r="37" ht="22" customHeight="1" spans="2:9">
      <c r="B37" s="23">
        <v>3</v>
      </c>
      <c r="C37" s="24" t="s">
        <v>1048</v>
      </c>
      <c r="D37" s="25" t="s">
        <v>1002</v>
      </c>
      <c r="E37" s="25" t="s">
        <v>1038</v>
      </c>
      <c r="F37" s="25" t="s">
        <v>185</v>
      </c>
      <c r="G37" s="25" t="s">
        <v>185</v>
      </c>
      <c r="H37" s="25" t="s">
        <v>1004</v>
      </c>
      <c r="I37" s="24" t="s">
        <v>185</v>
      </c>
    </row>
    <row r="38" ht="22" customHeight="1" spans="2:9">
      <c r="B38" s="8">
        <v>4</v>
      </c>
      <c r="C38" s="9" t="s">
        <v>1049</v>
      </c>
      <c r="D38" s="10" t="s">
        <v>1050</v>
      </c>
      <c r="E38" s="10" t="s">
        <v>1051</v>
      </c>
      <c r="F38" s="10" t="s">
        <v>185</v>
      </c>
      <c r="G38" s="10" t="s">
        <v>185</v>
      </c>
      <c r="H38" s="10" t="s">
        <v>1004</v>
      </c>
      <c r="I38" s="9" t="s">
        <v>185</v>
      </c>
    </row>
    <row r="39" ht="22" customHeight="1" spans="2:9">
      <c r="B39" s="23">
        <v>5</v>
      </c>
      <c r="C39" s="24" t="s">
        <v>1052</v>
      </c>
      <c r="D39" s="25" t="s">
        <v>1002</v>
      </c>
      <c r="E39" s="25" t="s">
        <v>1030</v>
      </c>
      <c r="F39" s="25" t="s">
        <v>185</v>
      </c>
      <c r="G39" s="25" t="s">
        <v>185</v>
      </c>
      <c r="H39" s="25" t="s">
        <v>1004</v>
      </c>
      <c r="I39" s="24" t="s">
        <v>185</v>
      </c>
    </row>
    <row r="40" ht="22" customHeight="1"/>
    <row r="41" ht="24" customHeight="1" spans="2:9">
      <c r="B41" s="26" t="s">
        <v>1053</v>
      </c>
    </row>
    <row r="42" ht="22" customHeight="1" spans="2:9">
      <c r="B42" s="27" t="s">
        <v>177</v>
      </c>
      <c r="C42" s="27" t="s">
        <v>996</v>
      </c>
      <c r="D42" s="27" t="s">
        <v>997</v>
      </c>
      <c r="E42" s="27" t="s">
        <v>998</v>
      </c>
      <c r="F42" s="27" t="s">
        <v>999</v>
      </c>
      <c r="G42" s="27" t="s">
        <v>1000</v>
      </c>
      <c r="H42" s="27" t="s">
        <v>308</v>
      </c>
      <c r="I42" s="27" t="s">
        <v>328</v>
      </c>
    </row>
    <row r="43" ht="22" customHeight="1" spans="2:9">
      <c r="B43" s="28">
        <v>1</v>
      </c>
      <c r="C43" s="29" t="s">
        <v>1054</v>
      </c>
      <c r="D43" s="30" t="s">
        <v>1055</v>
      </c>
      <c r="E43" s="30" t="s">
        <v>1056</v>
      </c>
      <c r="F43" s="30" t="s">
        <v>185</v>
      </c>
      <c r="G43" s="30" t="s">
        <v>185</v>
      </c>
      <c r="H43" s="30" t="s">
        <v>1004</v>
      </c>
      <c r="I43" s="29" t="s">
        <v>185</v>
      </c>
    </row>
    <row r="44" ht="22" customHeight="1" spans="2:9">
      <c r="B44" s="8">
        <v>2</v>
      </c>
      <c r="C44" s="9" t="s">
        <v>1057</v>
      </c>
      <c r="D44" s="10" t="s">
        <v>1058</v>
      </c>
      <c r="E44" s="10" t="s">
        <v>1010</v>
      </c>
      <c r="F44" s="10" t="s">
        <v>185</v>
      </c>
      <c r="G44" s="10" t="s">
        <v>185</v>
      </c>
      <c r="H44" s="10" t="s">
        <v>1004</v>
      </c>
      <c r="I44" s="9" t="s">
        <v>185</v>
      </c>
    </row>
    <row r="45" ht="22" customHeight="1" spans="2:9">
      <c r="B45" s="28">
        <v>3</v>
      </c>
      <c r="C45" s="29" t="s">
        <v>1059</v>
      </c>
      <c r="D45" s="30" t="s">
        <v>1014</v>
      </c>
      <c r="E45" s="30" t="s">
        <v>1060</v>
      </c>
      <c r="F45" s="30" t="s">
        <v>185</v>
      </c>
      <c r="G45" s="30" t="s">
        <v>185</v>
      </c>
      <c r="H45" s="30" t="s">
        <v>1004</v>
      </c>
      <c r="I45" s="29" t="s">
        <v>185</v>
      </c>
    </row>
    <row r="46" ht="22" customHeight="1" spans="2:9">
      <c r="B46" s="8">
        <v>4</v>
      </c>
      <c r="C46" s="9" t="s">
        <v>1061</v>
      </c>
      <c r="D46" s="10" t="s">
        <v>1014</v>
      </c>
      <c r="E46" s="10" t="s">
        <v>1060</v>
      </c>
      <c r="F46" s="10" t="s">
        <v>185</v>
      </c>
      <c r="G46" s="10" t="s">
        <v>185</v>
      </c>
      <c r="H46" s="10" t="s">
        <v>1004</v>
      </c>
      <c r="I46" s="9" t="s">
        <v>185</v>
      </c>
    </row>
    <row r="47" ht="22" customHeight="1" spans="2:9">
      <c r="B47" s="28">
        <v>5</v>
      </c>
      <c r="C47" s="29" t="s">
        <v>1062</v>
      </c>
      <c r="D47" s="30" t="s">
        <v>1063</v>
      </c>
      <c r="E47" s="30" t="s">
        <v>1064</v>
      </c>
      <c r="F47" s="30" t="s">
        <v>185</v>
      </c>
      <c r="G47" s="30" t="s">
        <v>185</v>
      </c>
      <c r="H47" s="30" t="s">
        <v>1004</v>
      </c>
      <c r="I47" s="29" t="s">
        <v>185</v>
      </c>
    </row>
    <row r="48" ht="22" customHeight="1" spans="2:9">
      <c r="B48" s="8">
        <v>6</v>
      </c>
      <c r="C48" s="9" t="s">
        <v>1065</v>
      </c>
      <c r="D48" s="10" t="s">
        <v>1019</v>
      </c>
      <c r="E48" s="10" t="s">
        <v>1020</v>
      </c>
      <c r="F48" s="10" t="s">
        <v>185</v>
      </c>
      <c r="G48" s="10" t="s">
        <v>185</v>
      </c>
      <c r="H48" s="10" t="s">
        <v>1004</v>
      </c>
      <c r="I48" s="9" t="s">
        <v>185</v>
      </c>
    </row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2:I2"/>
    <mergeCell ref="B3:I3"/>
    <mergeCell ref="B4:I4"/>
    <mergeCell ref="B14:I14"/>
    <mergeCell ref="B25:I25"/>
    <mergeCell ref="B33:I33"/>
    <mergeCell ref="B41:I4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61"/>
  <sheetViews>
    <sheetView showGridLines="0" workbookViewId="0">
      <selection activeCell="A1" sqref="A1"/>
    </sheetView>
  </sheetViews>
  <sheetFormatPr defaultColWidth="9" defaultRowHeight="14.4" outlineLevelCol="7"/>
  <cols>
    <col min="1" max="1" width="3" customWidth="1"/>
    <col min="2" max="2" width="8" customWidth="1"/>
    <col min="3" max="3" width="30" customWidth="1"/>
    <col min="4" max="4" width="16" customWidth="1"/>
    <col min="5" max="8" width="14" customWidth="1"/>
    <col min="9" max="9" width="3" customWidth="1"/>
  </cols>
  <sheetData>
    <row r="1" ht="10" customHeight="1"/>
    <row r="2" ht="48" customHeight="1" spans="2:8">
      <c r="B2" s="1" t="s">
        <v>1066</v>
      </c>
    </row>
    <row r="3" ht="25" customHeight="1" spans="2:8">
      <c r="B3" s="2" t="s">
        <v>1067</v>
      </c>
    </row>
    <row r="4" ht="24" customHeight="1" spans="2:8">
      <c r="B4" s="3" t="s">
        <v>1068</v>
      </c>
    </row>
    <row r="5" ht="22" customHeight="1" spans="2:8">
      <c r="B5" s="4" t="s">
        <v>177</v>
      </c>
      <c r="C5" s="4" t="s">
        <v>1069</v>
      </c>
      <c r="D5" s="4" t="s">
        <v>997</v>
      </c>
      <c r="E5" s="4" t="s">
        <v>1070</v>
      </c>
      <c r="F5" s="4" t="s">
        <v>1071</v>
      </c>
      <c r="G5" s="4" t="s">
        <v>1072</v>
      </c>
      <c r="H5" s="4" t="s">
        <v>1073</v>
      </c>
    </row>
    <row r="6" ht="22" customHeight="1" spans="2:8">
      <c r="B6" s="5">
        <v>1</v>
      </c>
      <c r="C6" s="6" t="s">
        <v>1074</v>
      </c>
      <c r="D6" s="7" t="s">
        <v>1002</v>
      </c>
      <c r="E6" s="7" t="s">
        <v>185</v>
      </c>
      <c r="F6" s="7" t="s">
        <v>185</v>
      </c>
      <c r="G6" s="7" t="str">
        <f t="shared" ref="G6:G11" si="0">IFERROR(ROUND((E6-F6)/IF(F6=0,1,F6)*100,1),"")</f>
        <v/>
      </c>
      <c r="H6" s="7" t="s">
        <v>185</v>
      </c>
    </row>
    <row r="7" ht="22" customHeight="1" spans="2:8">
      <c r="B7" s="8">
        <v>2</v>
      </c>
      <c r="C7" s="9" t="s">
        <v>1075</v>
      </c>
      <c r="D7" s="10" t="s">
        <v>1002</v>
      </c>
      <c r="E7" s="10" t="s">
        <v>185</v>
      </c>
      <c r="F7" s="10" t="s">
        <v>185</v>
      </c>
      <c r="G7" s="10" t="str">
        <f t="shared" si="0"/>
        <v/>
      </c>
      <c r="H7" s="10" t="s">
        <v>185</v>
      </c>
    </row>
    <row r="8" ht="22" customHeight="1" spans="2:8">
      <c r="B8" s="5">
        <v>3</v>
      </c>
      <c r="C8" s="6" t="s">
        <v>1076</v>
      </c>
      <c r="D8" s="7" t="s">
        <v>1077</v>
      </c>
      <c r="E8" s="7" t="s">
        <v>185</v>
      </c>
      <c r="F8" s="7" t="s">
        <v>185</v>
      </c>
      <c r="G8" s="7" t="str">
        <f t="shared" si="0"/>
        <v/>
      </c>
      <c r="H8" s="7" t="s">
        <v>185</v>
      </c>
    </row>
    <row r="9" ht="22" customHeight="1" spans="2:8">
      <c r="B9" s="8">
        <v>4</v>
      </c>
      <c r="C9" s="9" t="s">
        <v>1078</v>
      </c>
      <c r="D9" s="10" t="s">
        <v>1002</v>
      </c>
      <c r="E9" s="10" t="s">
        <v>185</v>
      </c>
      <c r="F9" s="10" t="s">
        <v>185</v>
      </c>
      <c r="G9" s="10" t="str">
        <f t="shared" si="0"/>
        <v/>
      </c>
      <c r="H9" s="10" t="s">
        <v>185</v>
      </c>
    </row>
    <row r="10" ht="22" customHeight="1" spans="2:8">
      <c r="B10" s="5">
        <v>5</v>
      </c>
      <c r="C10" s="6" t="s">
        <v>1079</v>
      </c>
      <c r="D10" s="7" t="s">
        <v>1080</v>
      </c>
      <c r="E10" s="7" t="s">
        <v>185</v>
      </c>
      <c r="F10" s="7" t="s">
        <v>185</v>
      </c>
      <c r="G10" s="7" t="str">
        <f t="shared" si="0"/>
        <v/>
      </c>
      <c r="H10" s="7" t="s">
        <v>185</v>
      </c>
    </row>
    <row r="11" ht="22" customHeight="1" spans="2:8">
      <c r="B11" s="8">
        <v>6</v>
      </c>
      <c r="C11" s="9" t="s">
        <v>1081</v>
      </c>
      <c r="D11" s="10" t="s">
        <v>1002</v>
      </c>
      <c r="E11" s="10" t="s">
        <v>185</v>
      </c>
      <c r="F11" s="10" t="s">
        <v>185</v>
      </c>
      <c r="G11" s="10" t="str">
        <f t="shared" si="0"/>
        <v/>
      </c>
      <c r="H11" s="10" t="s">
        <v>185</v>
      </c>
    </row>
    <row r="12" ht="22" customHeight="1"/>
    <row r="13" ht="24" customHeight="1" spans="2:8">
      <c r="B13" s="11" t="s">
        <v>1082</v>
      </c>
    </row>
    <row r="14" ht="22" customHeight="1" spans="2:8">
      <c r="B14" s="12" t="s">
        <v>177</v>
      </c>
      <c r="C14" s="12" t="s">
        <v>1069</v>
      </c>
      <c r="D14" s="12" t="s">
        <v>997</v>
      </c>
      <c r="E14" s="12" t="s">
        <v>1070</v>
      </c>
      <c r="F14" s="12" t="s">
        <v>1071</v>
      </c>
      <c r="G14" s="12" t="s">
        <v>1072</v>
      </c>
      <c r="H14" s="12" t="s">
        <v>1073</v>
      </c>
    </row>
    <row r="15" ht="22" customHeight="1" spans="2:8">
      <c r="B15" s="13">
        <v>1</v>
      </c>
      <c r="C15" s="14" t="s">
        <v>1083</v>
      </c>
      <c r="D15" s="15" t="s">
        <v>1002</v>
      </c>
      <c r="E15" s="15" t="s">
        <v>185</v>
      </c>
      <c r="F15" s="15" t="s">
        <v>185</v>
      </c>
      <c r="G15" s="15" t="str">
        <f t="shared" ref="G15:G20" si="1">IFERROR(ROUND((E15-F15)/IF(F15=0,1,F15)*100,1),"")</f>
        <v/>
      </c>
      <c r="H15" s="15" t="s">
        <v>185</v>
      </c>
    </row>
    <row r="16" ht="22" customHeight="1" spans="2:8">
      <c r="B16" s="8">
        <v>2</v>
      </c>
      <c r="C16" s="9" t="s">
        <v>1084</v>
      </c>
      <c r="D16" s="10" t="s">
        <v>1002</v>
      </c>
      <c r="E16" s="10" t="s">
        <v>185</v>
      </c>
      <c r="F16" s="10" t="s">
        <v>185</v>
      </c>
      <c r="G16" s="10" t="str">
        <f t="shared" si="1"/>
        <v/>
      </c>
      <c r="H16" s="10" t="s">
        <v>185</v>
      </c>
    </row>
    <row r="17" ht="22" customHeight="1" spans="2:8">
      <c r="B17" s="13">
        <v>3</v>
      </c>
      <c r="C17" s="14" t="s">
        <v>1023</v>
      </c>
      <c r="D17" s="15" t="s">
        <v>1024</v>
      </c>
      <c r="E17" s="15" t="s">
        <v>185</v>
      </c>
      <c r="F17" s="15" t="s">
        <v>185</v>
      </c>
      <c r="G17" s="15" t="str">
        <f t="shared" si="1"/>
        <v/>
      </c>
      <c r="H17" s="15" t="s">
        <v>185</v>
      </c>
    </row>
    <row r="18" ht="22" customHeight="1" spans="2:8">
      <c r="B18" s="8">
        <v>4</v>
      </c>
      <c r="C18" s="9" t="s">
        <v>1085</v>
      </c>
      <c r="D18" s="10" t="s">
        <v>1002</v>
      </c>
      <c r="E18" s="10" t="s">
        <v>185</v>
      </c>
      <c r="F18" s="10" t="s">
        <v>185</v>
      </c>
      <c r="G18" s="10" t="str">
        <f t="shared" si="1"/>
        <v/>
      </c>
      <c r="H18" s="10" t="s">
        <v>185</v>
      </c>
    </row>
    <row r="19" ht="22" customHeight="1" spans="2:8">
      <c r="B19" s="13">
        <v>5</v>
      </c>
      <c r="C19" s="14" t="s">
        <v>1086</v>
      </c>
      <c r="D19" s="15" t="s">
        <v>1002</v>
      </c>
      <c r="E19" s="15" t="s">
        <v>185</v>
      </c>
      <c r="F19" s="15" t="s">
        <v>185</v>
      </c>
      <c r="G19" s="15" t="str">
        <f t="shared" si="1"/>
        <v/>
      </c>
      <c r="H19" s="15" t="s">
        <v>185</v>
      </c>
    </row>
    <row r="20" ht="22" customHeight="1" spans="2:8">
      <c r="B20" s="8">
        <v>6</v>
      </c>
      <c r="C20" s="9" t="s">
        <v>1029</v>
      </c>
      <c r="D20" s="10" t="s">
        <v>1002</v>
      </c>
      <c r="E20" s="10" t="s">
        <v>185</v>
      </c>
      <c r="F20" s="10" t="s">
        <v>185</v>
      </c>
      <c r="G20" s="10" t="str">
        <f t="shared" si="1"/>
        <v/>
      </c>
      <c r="H20" s="10" t="s">
        <v>185</v>
      </c>
    </row>
    <row r="21" ht="22" customHeight="1"/>
    <row r="22" ht="24" customHeight="1" spans="2:8">
      <c r="B22" s="16" t="s">
        <v>1087</v>
      </c>
    </row>
    <row r="23" ht="22" customHeight="1" spans="2:8">
      <c r="B23" s="17" t="s">
        <v>177</v>
      </c>
      <c r="C23" s="17" t="s">
        <v>1069</v>
      </c>
      <c r="D23" s="17" t="s">
        <v>997</v>
      </c>
      <c r="E23" s="17" t="s">
        <v>1070</v>
      </c>
      <c r="F23" s="17" t="s">
        <v>1071</v>
      </c>
      <c r="G23" s="17" t="s">
        <v>1072</v>
      </c>
      <c r="H23" s="17" t="s">
        <v>1073</v>
      </c>
    </row>
    <row r="24" ht="22" customHeight="1" spans="2:8">
      <c r="B24" s="18">
        <v>1</v>
      </c>
      <c r="C24" s="19" t="s">
        <v>1035</v>
      </c>
      <c r="D24" s="20" t="s">
        <v>1002</v>
      </c>
      <c r="E24" s="20" t="s">
        <v>185</v>
      </c>
      <c r="F24" s="20" t="s">
        <v>185</v>
      </c>
      <c r="G24" s="20" t="str">
        <f t="shared" ref="G24:G29" si="2">IFERROR(ROUND((E24-F24)/IF(F24=0,1,F24)*100,1),"")</f>
        <v/>
      </c>
      <c r="H24" s="20" t="s">
        <v>185</v>
      </c>
    </row>
    <row r="25" ht="22" customHeight="1" spans="2:8">
      <c r="B25" s="8">
        <v>2</v>
      </c>
      <c r="C25" s="9" t="s">
        <v>1088</v>
      </c>
      <c r="D25" s="10" t="s">
        <v>1002</v>
      </c>
      <c r="E25" s="10" t="s">
        <v>185</v>
      </c>
      <c r="F25" s="10" t="s">
        <v>185</v>
      </c>
      <c r="G25" s="10" t="str">
        <f t="shared" si="2"/>
        <v/>
      </c>
      <c r="H25" s="10" t="s">
        <v>185</v>
      </c>
    </row>
    <row r="26" ht="22" customHeight="1" spans="2:8">
      <c r="B26" s="18">
        <v>3</v>
      </c>
      <c r="C26" s="19" t="s">
        <v>1089</v>
      </c>
      <c r="D26" s="20" t="s">
        <v>1002</v>
      </c>
      <c r="E26" s="20" t="s">
        <v>185</v>
      </c>
      <c r="F26" s="20" t="s">
        <v>185</v>
      </c>
      <c r="G26" s="20" t="str">
        <f t="shared" si="2"/>
        <v/>
      </c>
      <c r="H26" s="20" t="s">
        <v>185</v>
      </c>
    </row>
    <row r="27" ht="22" customHeight="1" spans="2:8">
      <c r="B27" s="8">
        <v>4</v>
      </c>
      <c r="C27" s="9" t="s">
        <v>1090</v>
      </c>
      <c r="D27" s="10" t="s">
        <v>1002</v>
      </c>
      <c r="E27" s="10" t="s">
        <v>185</v>
      </c>
      <c r="F27" s="10" t="s">
        <v>185</v>
      </c>
      <c r="G27" s="10" t="str">
        <f t="shared" si="2"/>
        <v/>
      </c>
      <c r="H27" s="10" t="s">
        <v>185</v>
      </c>
    </row>
    <row r="28" ht="22" customHeight="1" spans="2:8">
      <c r="B28" s="18">
        <v>5</v>
      </c>
      <c r="C28" s="19" t="s">
        <v>1091</v>
      </c>
      <c r="D28" s="20" t="s">
        <v>1002</v>
      </c>
      <c r="E28" s="20" t="s">
        <v>185</v>
      </c>
      <c r="F28" s="20" t="s">
        <v>185</v>
      </c>
      <c r="G28" s="20" t="str">
        <f t="shared" si="2"/>
        <v/>
      </c>
      <c r="H28" s="20" t="s">
        <v>185</v>
      </c>
    </row>
    <row r="29" ht="22" customHeight="1" spans="2:8">
      <c r="B29" s="8">
        <v>6</v>
      </c>
      <c r="C29" s="9" t="s">
        <v>1092</v>
      </c>
      <c r="D29" s="10" t="s">
        <v>1002</v>
      </c>
      <c r="E29" s="10" t="s">
        <v>185</v>
      </c>
      <c r="F29" s="10" t="s">
        <v>185</v>
      </c>
      <c r="G29" s="10" t="str">
        <f t="shared" si="2"/>
        <v/>
      </c>
      <c r="H29" s="10" t="s">
        <v>185</v>
      </c>
    </row>
    <row r="30" ht="22" customHeight="1"/>
    <row r="31" ht="24" customHeight="1" spans="2:8">
      <c r="B31" s="21" t="s">
        <v>1093</v>
      </c>
    </row>
    <row r="32" ht="22" customHeight="1" spans="2:8">
      <c r="B32" s="22" t="s">
        <v>177</v>
      </c>
      <c r="C32" s="22" t="s">
        <v>1069</v>
      </c>
      <c r="D32" s="22" t="s">
        <v>997</v>
      </c>
      <c r="E32" s="22" t="s">
        <v>1070</v>
      </c>
      <c r="F32" s="22" t="s">
        <v>1071</v>
      </c>
      <c r="G32" s="22" t="s">
        <v>1072</v>
      </c>
      <c r="H32" s="22" t="s">
        <v>1073</v>
      </c>
    </row>
    <row r="33" ht="22" customHeight="1" spans="2:8">
      <c r="B33" s="23">
        <v>1</v>
      </c>
      <c r="C33" s="24" t="s">
        <v>1094</v>
      </c>
      <c r="D33" s="25" t="s">
        <v>1002</v>
      </c>
      <c r="E33" s="25" t="s">
        <v>185</v>
      </c>
      <c r="F33" s="25" t="s">
        <v>185</v>
      </c>
      <c r="G33" s="25" t="str">
        <f t="shared" ref="G33:G38" si="3">IFERROR(ROUND((E33-F33)/IF(F33=0,1,F33)*100,1),"")</f>
        <v/>
      </c>
      <c r="H33" s="25" t="s">
        <v>185</v>
      </c>
    </row>
    <row r="34" ht="22" customHeight="1" spans="2:8">
      <c r="B34" s="8">
        <v>2</v>
      </c>
      <c r="C34" s="9" t="s">
        <v>1095</v>
      </c>
      <c r="D34" s="10" t="s">
        <v>1002</v>
      </c>
      <c r="E34" s="10" t="s">
        <v>185</v>
      </c>
      <c r="F34" s="10" t="s">
        <v>185</v>
      </c>
      <c r="G34" s="10" t="str">
        <f t="shared" si="3"/>
        <v/>
      </c>
      <c r="H34" s="10" t="s">
        <v>185</v>
      </c>
    </row>
    <row r="35" ht="22" customHeight="1" spans="2:8">
      <c r="B35" s="23">
        <v>3</v>
      </c>
      <c r="C35" s="24" t="s">
        <v>1096</v>
      </c>
      <c r="D35" s="25" t="s">
        <v>1002</v>
      </c>
      <c r="E35" s="25" t="s">
        <v>185</v>
      </c>
      <c r="F35" s="25" t="s">
        <v>185</v>
      </c>
      <c r="G35" s="25" t="str">
        <f t="shared" si="3"/>
        <v/>
      </c>
      <c r="H35" s="25" t="s">
        <v>185</v>
      </c>
    </row>
    <row r="36" ht="22" customHeight="1" spans="2:8">
      <c r="B36" s="8">
        <v>4</v>
      </c>
      <c r="C36" s="9" t="s">
        <v>1097</v>
      </c>
      <c r="D36" s="10" t="s">
        <v>1098</v>
      </c>
      <c r="E36" s="10" t="s">
        <v>185</v>
      </c>
      <c r="F36" s="10" t="s">
        <v>185</v>
      </c>
      <c r="G36" s="10" t="str">
        <f t="shared" si="3"/>
        <v/>
      </c>
      <c r="H36" s="10" t="s">
        <v>185</v>
      </c>
    </row>
    <row r="37" ht="22" customHeight="1" spans="2:8">
      <c r="B37" s="23">
        <v>5</v>
      </c>
      <c r="C37" s="24" t="s">
        <v>1099</v>
      </c>
      <c r="D37" s="25" t="s">
        <v>1002</v>
      </c>
      <c r="E37" s="25" t="s">
        <v>185</v>
      </c>
      <c r="F37" s="25" t="s">
        <v>185</v>
      </c>
      <c r="G37" s="25" t="str">
        <f t="shared" si="3"/>
        <v/>
      </c>
      <c r="H37" s="25" t="s">
        <v>185</v>
      </c>
    </row>
    <row r="38" ht="22" customHeight="1" spans="2:8">
      <c r="B38" s="8">
        <v>6</v>
      </c>
      <c r="C38" s="9" t="s">
        <v>1100</v>
      </c>
      <c r="D38" s="10" t="s">
        <v>1080</v>
      </c>
      <c r="E38" s="10" t="s">
        <v>185</v>
      </c>
      <c r="F38" s="10" t="s">
        <v>185</v>
      </c>
      <c r="G38" s="10" t="str">
        <f t="shared" si="3"/>
        <v/>
      </c>
      <c r="H38" s="10" t="s">
        <v>185</v>
      </c>
    </row>
    <row r="39" ht="22" customHeight="1"/>
    <row r="40" ht="24" customHeight="1" spans="2:8">
      <c r="B40" s="26" t="s">
        <v>1101</v>
      </c>
    </row>
    <row r="41" ht="22" customHeight="1" spans="2:8">
      <c r="B41" s="27" t="s">
        <v>177</v>
      </c>
      <c r="C41" s="27" t="s">
        <v>1069</v>
      </c>
      <c r="D41" s="27" t="s">
        <v>997</v>
      </c>
      <c r="E41" s="27" t="s">
        <v>1070</v>
      </c>
      <c r="F41" s="27" t="s">
        <v>1071</v>
      </c>
      <c r="G41" s="27" t="s">
        <v>1072</v>
      </c>
      <c r="H41" s="27" t="s">
        <v>1073</v>
      </c>
    </row>
    <row r="42" ht="22" customHeight="1" spans="2:8">
      <c r="B42" s="28">
        <v>1</v>
      </c>
      <c r="C42" s="29" t="s">
        <v>1102</v>
      </c>
      <c r="D42" s="30" t="s">
        <v>1103</v>
      </c>
      <c r="E42" s="30" t="s">
        <v>185</v>
      </c>
      <c r="F42" s="30" t="s">
        <v>185</v>
      </c>
      <c r="G42" s="30" t="str">
        <f t="shared" ref="G42:G47" si="4">IFERROR(ROUND((E42-F42)/IF(F42=0,1,F42)*100,1),"")</f>
        <v/>
      </c>
      <c r="H42" s="30" t="s">
        <v>185</v>
      </c>
    </row>
    <row r="43" ht="22" customHeight="1" spans="2:8">
      <c r="B43" s="8">
        <v>2</v>
      </c>
      <c r="C43" s="9" t="s">
        <v>1104</v>
      </c>
      <c r="D43" s="10" t="s">
        <v>1103</v>
      </c>
      <c r="E43" s="10" t="s">
        <v>185</v>
      </c>
      <c r="F43" s="10" t="s">
        <v>185</v>
      </c>
      <c r="G43" s="10" t="str">
        <f t="shared" si="4"/>
        <v/>
      </c>
      <c r="H43" s="10" t="s">
        <v>185</v>
      </c>
    </row>
    <row r="44" ht="22" customHeight="1" spans="2:8">
      <c r="B44" s="28">
        <v>3</v>
      </c>
      <c r="C44" s="29" t="s">
        <v>1054</v>
      </c>
      <c r="D44" s="30" t="s">
        <v>1055</v>
      </c>
      <c r="E44" s="30" t="s">
        <v>185</v>
      </c>
      <c r="F44" s="30" t="s">
        <v>185</v>
      </c>
      <c r="G44" s="30" t="str">
        <f t="shared" si="4"/>
        <v/>
      </c>
      <c r="H44" s="30" t="s">
        <v>185</v>
      </c>
    </row>
    <row r="45" ht="22" customHeight="1" spans="2:8">
      <c r="B45" s="8">
        <v>4</v>
      </c>
      <c r="C45" s="9" t="s">
        <v>1105</v>
      </c>
      <c r="D45" s="10" t="s">
        <v>1106</v>
      </c>
      <c r="E45" s="10" t="s">
        <v>185</v>
      </c>
      <c r="F45" s="10" t="s">
        <v>185</v>
      </c>
      <c r="G45" s="10" t="str">
        <f t="shared" si="4"/>
        <v/>
      </c>
      <c r="H45" s="10" t="s">
        <v>185</v>
      </c>
    </row>
    <row r="46" ht="22" customHeight="1" spans="2:8">
      <c r="B46" s="28">
        <v>5</v>
      </c>
      <c r="C46" s="29" t="s">
        <v>1107</v>
      </c>
      <c r="D46" s="30" t="s">
        <v>1014</v>
      </c>
      <c r="E46" s="30" t="s">
        <v>185</v>
      </c>
      <c r="F46" s="30" t="s">
        <v>185</v>
      </c>
      <c r="G46" s="30" t="str">
        <f t="shared" si="4"/>
        <v/>
      </c>
      <c r="H46" s="30" t="s">
        <v>185</v>
      </c>
    </row>
    <row r="47" ht="22" customHeight="1" spans="2:8">
      <c r="B47" s="8">
        <v>6</v>
      </c>
      <c r="C47" s="9" t="s">
        <v>1108</v>
      </c>
      <c r="D47" s="10" t="s">
        <v>1014</v>
      </c>
      <c r="E47" s="10" t="s">
        <v>185</v>
      </c>
      <c r="F47" s="10" t="s">
        <v>185</v>
      </c>
      <c r="G47" s="10" t="str">
        <f t="shared" si="4"/>
        <v/>
      </c>
      <c r="H47" s="10" t="s">
        <v>185</v>
      </c>
    </row>
    <row r="48" ht="22" customHeight="1"/>
    <row r="49" ht="20" customHeight="1" spans="2:2">
      <c r="B49" s="31" t="s">
        <v>1109</v>
      </c>
    </row>
    <row r="50" ht="22" customHeight="1" spans="2:2">
      <c r="B50" s="32" t="s">
        <v>1110</v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9">
    <mergeCell ref="B2:H2"/>
    <mergeCell ref="B3:H3"/>
    <mergeCell ref="B4:H4"/>
    <mergeCell ref="B13:H13"/>
    <mergeCell ref="B22:H22"/>
    <mergeCell ref="B31:H31"/>
    <mergeCell ref="B40:H40"/>
    <mergeCell ref="B49:H49"/>
    <mergeCell ref="B50:H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INDEX</vt:lpstr>
      <vt:lpstr>PSCC-00 Composition</vt:lpstr>
      <vt:lpstr>PSCC-NA Notice &amp; Agenda</vt:lpstr>
      <vt:lpstr>PSCC-AT Attendance</vt:lpstr>
      <vt:lpstr>PSCC-MM Minutes</vt:lpstr>
      <vt:lpstr>PSCC-ATR Action Report</vt:lpstr>
      <vt:lpstr>SOC-02 Society Master Register</vt:lpstr>
      <vt:lpstr>SOC-01 Registration Form</vt:lpstr>
      <vt:lpstr>SOC-03 Membership Register</vt:lpstr>
      <vt:lpstr>ACT-01 Expert Talk Register</vt:lpstr>
      <vt:lpstr>ACT-02 Paper Presentation</vt:lpstr>
      <vt:lpstr>ACT-03 Workshop FDP Register</vt:lpstr>
      <vt:lpstr>ACT-04 Hackathon &amp; Competition</vt:lpstr>
      <vt:lpstr>ACT-06 Industrial Visit Reg</vt:lpstr>
      <vt:lpstr>ACT-08 Conference Reg</vt:lpstr>
      <vt:lpstr>AWD-01 Achievement Register</vt:lpstr>
      <vt:lpstr>ACT-09 Technical Fest Register</vt:lpstr>
      <vt:lpstr>PSCC-20 Satisfaction Survey</vt:lpstr>
      <vt:lpstr>PSCC-30 KPI Dashboard</vt:lpstr>
      <vt:lpstr>PSCC-31 Annual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dcterms:created xsi:type="dcterms:W3CDTF">2026-04-24T12:29:00Z</dcterms:created>
  <dcterms:modified xsi:type="dcterms:W3CDTF">2026-04-25T09:11:20Z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561199EB8CCB41F69EF349014D225767_12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