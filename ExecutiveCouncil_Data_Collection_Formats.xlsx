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EC-01 Members Register" sheetId="2" state="visible" r:id="rId2"/>
    <sheet xmlns:r="http://schemas.openxmlformats.org/officeDocument/2006/relationships" name="EC-02 Notice &amp; Agenda" sheetId="3" state="visible" r:id="rId3"/>
    <sheet xmlns:r="http://schemas.openxmlformats.org/officeDocument/2006/relationships" name="EC-03 Attendance &amp; Quorum" sheetId="4" state="visible" r:id="rId4"/>
    <sheet xmlns:r="http://schemas.openxmlformats.org/officeDocument/2006/relationships" name="EC-04 Minutes &amp; Resolutions" sheetId="5" state="visible" r:id="rId5"/>
    <sheet xmlns:r="http://schemas.openxmlformats.org/officeDocument/2006/relationships" name="EC-05 Action Taken Report" sheetId="6" state="visible" r:id="rId6"/>
    <sheet xmlns:r="http://schemas.openxmlformats.org/officeDocument/2006/relationships" name="EC-06 Annual Budget" sheetId="7" state="visible" r:id="rId7"/>
    <sheet xmlns:r="http://schemas.openxmlformats.org/officeDocument/2006/relationships" name="EC-07 Capital Expenditure" sheetId="8" state="visible" r:id="rId8"/>
    <sheet xmlns:r="http://schemas.openxmlformats.org/officeDocument/2006/relationships" name="EC-08 HR Appointments" sheetId="9" state="visible" r:id="rId9"/>
    <sheet xmlns:r="http://schemas.openxmlformats.org/officeDocument/2006/relationships" name="EC-09 Policy Register" sheetId="10" state="visible" r:id="rId10"/>
    <sheet xmlns:r="http://schemas.openxmlformats.org/officeDocument/2006/relationships" name="EC-10 Infrastructure" sheetId="11" state="visible" r:id="rId11"/>
    <sheet xmlns:r="http://schemas.openxmlformats.org/officeDocument/2006/relationships" name="EC-11 Statutory Compliance" sheetId="12" state="visible" r:id="rId12"/>
    <sheet xmlns:r="http://schemas.openxmlformats.org/officeDocument/2006/relationships" name="EC-12 Audit &amp; Finance Review" sheetId="13" state="visible" r:id="rId13"/>
    <sheet xmlns:r="http://schemas.openxmlformats.org/officeDocument/2006/relationships" name="EC-13 Accreditation Tracker" sheetId="14" state="visible" r:id="rId14"/>
    <sheet xmlns:r="http://schemas.openxmlformats.org/officeDocument/2006/relationships" name="EC-14 Recommendations Re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8B0000"/>
      <sz val="9"/>
    </font>
    <font>
      <name val="Arial"/>
      <b val="1"/>
      <color rgb="00FFFFFF"/>
      <sz val="11"/>
    </font>
    <font>
      <name val="Arial"/>
      <b val="1"/>
      <color rgb="00212121"/>
      <sz val="10"/>
    </font>
    <font>
      <name val="Arial"/>
      <color rgb="00212121"/>
      <sz val="10"/>
    </font>
    <font>
      <name val="Arial"/>
      <color rgb="006B7280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7D4E00"/>
      <sz val="9"/>
    </font>
    <font>
      <name val="Arial"/>
      <b val="1"/>
      <color rgb="008B0000"/>
      <sz val="10"/>
    </font>
    <font>
      <name val="Arial"/>
      <b val="1"/>
      <color rgb="002C3E50"/>
      <sz val="10"/>
    </font>
    <font>
      <name val="Arial"/>
      <b val="1"/>
      <color rgb="002D6A4F"/>
      <sz val="10"/>
    </font>
    <font>
      <name val="Arial"/>
      <color rgb="00212121"/>
      <sz val="9"/>
    </font>
    <font>
      <name val="Arial"/>
      <b val="1"/>
      <color rgb="001B4332"/>
      <sz val="10"/>
    </font>
    <font>
      <name val="Arial"/>
      <b val="1"/>
      <color rgb="001C2833"/>
      <sz val="10"/>
    </font>
    <font>
      <name val="Arial"/>
      <b val="1"/>
      <color rgb="007D4E00"/>
      <sz val="10"/>
    </font>
    <font>
      <name val="Arial"/>
      <b val="1"/>
      <color rgb="00212121"/>
      <sz val="9"/>
    </font>
  </fonts>
  <fills count="21">
    <fill>
      <patternFill/>
    </fill>
    <fill>
      <patternFill patternType="gray125"/>
    </fill>
    <fill>
      <patternFill patternType="solid">
        <fgColor rgb="001A0000"/>
      </patternFill>
    </fill>
    <fill>
      <patternFill patternType="solid">
        <fgColor rgb="00FDECEA"/>
      </patternFill>
    </fill>
    <fill>
      <patternFill patternType="solid">
        <fgColor rgb="00B8860B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0000"/>
      </patternFill>
    </fill>
    <fill>
      <patternFill patternType="solid">
        <fgColor rgb="00FFF8E1"/>
      </patternFill>
    </fill>
    <fill>
      <patternFill patternType="solid">
        <fgColor rgb="002C3E50"/>
      </patternFill>
    </fill>
    <fill>
      <patternFill patternType="solid">
        <fgColor rgb="00D8F3DC"/>
      </patternFill>
    </fill>
    <fill>
      <patternFill patternType="solid">
        <fgColor rgb="00EEEEEE"/>
      </patternFill>
    </fill>
    <fill>
      <patternFill patternType="solid">
        <fgColor rgb="004A148C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00838F"/>
      </patternFill>
    </fill>
    <fill>
      <patternFill patternType="solid">
        <fgColor rgb="00E0F7FA"/>
      </patternFill>
    </fill>
    <fill>
      <patternFill patternType="solid">
        <fgColor rgb="002D6A4F"/>
      </patternFill>
    </fill>
    <fill>
      <patternFill patternType="solid">
        <fgColor rgb="00D5D8DC"/>
      </patternFill>
    </fill>
    <fill>
      <patternFill patternType="solid">
        <fgColor rgb="00C62828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8" fillId="17" borderId="0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3" fillId="19" borderId="0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3" fillId="13" borderId="0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4" customWidth="1" min="3" max="3"/>
    <col width="30" customWidth="1" min="4" max="4"/>
    <col width="18" customWidth="1" min="5" max="5"/>
    <col width="3" customWidth="1" min="6" max="6"/>
  </cols>
  <sheetData>
    <row r="1" ht="10" customHeight="1"/>
    <row r="2" ht="65" customHeight="1">
      <c r="B2" s="1" t="inlineStr">
        <is>
          <t>EXECUTIVE COUNCIL (EC)
Data Collection Formats — Master Workbook</t>
        </is>
      </c>
    </row>
    <row r="3" ht="28" customHeight="1">
      <c r="B3" s="2" t="inlineStr">
        <is>
          <t>Institution: _________________________  Prepared by: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2" customHeight="1">
      <c r="B5" s="4" t="inlineStr">
        <is>
          <t>EC-01</t>
        </is>
      </c>
      <c r="C5" s="5" t="inlineStr">
        <is>
          <t>EC Composition &amp; Members Register</t>
        </is>
      </c>
      <c r="D5" s="5" t="inlineStr">
        <is>
          <t>Record member categories, designations &amp; terms</t>
        </is>
      </c>
      <c r="E5" s="6" t="inlineStr">
        <is>
          <t>Annual / On Change</t>
        </is>
      </c>
    </row>
    <row r="6" ht="22" customHeight="1">
      <c r="B6" s="7" t="inlineStr">
        <is>
          <t>EC-02</t>
        </is>
      </c>
      <c r="C6" s="8" t="inlineStr">
        <is>
          <t>Meeting Notice, Agenda &amp; Dispatch Record</t>
        </is>
      </c>
      <c r="D6" s="8" t="inlineStr">
        <is>
          <t>Official notice, agenda preparation &amp; dispatch tracking</t>
        </is>
      </c>
      <c r="E6" s="9" t="inlineStr">
        <is>
          <t>Each Meeting</t>
        </is>
      </c>
    </row>
    <row r="7" ht="22" customHeight="1">
      <c r="B7" s="4" t="inlineStr">
        <is>
          <t>EC-03</t>
        </is>
      </c>
      <c r="C7" s="5" t="inlineStr">
        <is>
          <t>Attendance, Quorum &amp; Proxy Register</t>
        </is>
      </c>
      <c r="D7" s="5" t="inlineStr">
        <is>
          <t>Confirm attendance, validate quorum, record proxies</t>
        </is>
      </c>
      <c r="E7" s="6" t="inlineStr">
        <is>
          <t>Each Meeting</t>
        </is>
      </c>
    </row>
    <row r="8" ht="22" customHeight="1">
      <c r="B8" s="7" t="inlineStr">
        <is>
          <t>EC-04</t>
        </is>
      </c>
      <c r="C8" s="8" t="inlineStr">
        <is>
          <t>Meeting Minutes &amp; Resolutions</t>
        </is>
      </c>
      <c r="D8" s="8" t="inlineStr">
        <is>
          <t>Formal minutes, motions, resolutions &amp; voting records</t>
        </is>
      </c>
      <c r="E8" s="9" t="inlineStr">
        <is>
          <t>Each Meeting</t>
        </is>
      </c>
    </row>
    <row r="9" ht="22" customHeight="1">
      <c r="B9" s="4" t="inlineStr">
        <is>
          <t>EC-05</t>
        </is>
      </c>
      <c r="C9" s="5" t="inlineStr">
        <is>
          <t>Action Taken Report (ATR)</t>
        </is>
      </c>
      <c r="D9" s="5" t="inlineStr">
        <is>
          <t>Track implementation of EC resolutions</t>
        </is>
      </c>
      <c r="E9" s="6" t="inlineStr">
        <is>
          <t>Each Meeting</t>
        </is>
      </c>
    </row>
    <row r="10" ht="22" customHeight="1">
      <c r="B10" s="7" t="inlineStr">
        <is>
          <t>EC-06</t>
        </is>
      </c>
      <c r="C10" s="8" t="inlineStr">
        <is>
          <t>Annual Budget Proposal &amp; Approval</t>
        </is>
      </c>
      <c r="D10" s="8" t="inlineStr">
        <is>
          <t>Prepare, review &amp; ratify institutional annual budget</t>
        </is>
      </c>
      <c r="E10" s="9" t="inlineStr">
        <is>
          <t>Annual</t>
        </is>
      </c>
    </row>
    <row r="11" ht="22" customHeight="1">
      <c r="B11" s="4" t="inlineStr">
        <is>
          <t>EC-07</t>
        </is>
      </c>
      <c r="C11" s="5" t="inlineStr">
        <is>
          <t>Capital Expenditure Approval Form</t>
        </is>
      </c>
      <c r="D11" s="5" t="inlineStr">
        <is>
          <t>Seek EC sanction for major capital investments</t>
        </is>
      </c>
      <c r="E11" s="6" t="inlineStr">
        <is>
          <t>Need-Based</t>
        </is>
      </c>
    </row>
    <row r="12" ht="22" customHeight="1">
      <c r="B12" s="7" t="inlineStr">
        <is>
          <t>EC-08</t>
        </is>
      </c>
      <c r="C12" s="8" t="inlineStr">
        <is>
          <t>HR — Appointments &amp; Promotions Register</t>
        </is>
      </c>
      <c r="D12" s="8" t="inlineStr">
        <is>
          <t>Record all EC-approved staff appointments &amp; promotions</t>
        </is>
      </c>
      <c r="E12" s="9" t="inlineStr">
        <is>
          <t>As Required</t>
        </is>
      </c>
    </row>
    <row r="13" ht="22" customHeight="1">
      <c r="B13" s="4" t="inlineStr">
        <is>
          <t>EC-09</t>
        </is>
      </c>
      <c r="C13" s="5" t="inlineStr">
        <is>
          <t>Policy Formulation &amp; Amendment Register</t>
        </is>
      </c>
      <c r="D13" s="5" t="inlineStr">
        <is>
          <t>Track creation, revision &amp; approval of institute policies</t>
        </is>
      </c>
      <c r="E13" s="6" t="inlineStr">
        <is>
          <t>As Required</t>
        </is>
      </c>
    </row>
    <row r="14" ht="22" customHeight="1">
      <c r="B14" s="7" t="inlineStr">
        <is>
          <t>EC-10</t>
        </is>
      </c>
      <c r="C14" s="8" t="inlineStr">
        <is>
          <t>Infrastructure &amp; Development Approval</t>
        </is>
      </c>
      <c r="D14" s="8" t="inlineStr">
        <is>
          <t>Approve construction, renovation &amp; procurement projects</t>
        </is>
      </c>
      <c r="E14" s="9" t="inlineStr">
        <is>
          <t>Need-Based</t>
        </is>
      </c>
    </row>
    <row r="15" ht="22" customHeight="1">
      <c r="B15" s="4" t="inlineStr">
        <is>
          <t>EC-11</t>
        </is>
      </c>
      <c r="C15" s="5" t="inlineStr">
        <is>
          <t>Statutory &amp; Regulatory Compliance Report</t>
        </is>
      </c>
      <c r="D15" s="5" t="inlineStr">
        <is>
          <t>Monitor UGC/AICTE/Govt. compliance at EC level</t>
        </is>
      </c>
      <c r="E15" s="6" t="inlineStr">
        <is>
          <t>Annual</t>
        </is>
      </c>
    </row>
    <row r="16" ht="22" customHeight="1">
      <c r="B16" s="7" t="inlineStr">
        <is>
          <t>EC-12</t>
        </is>
      </c>
      <c r="C16" s="8" t="inlineStr">
        <is>
          <t>Audit &amp; Finance Review Register</t>
        </is>
      </c>
      <c r="D16" s="8" t="inlineStr">
        <is>
          <t>Review internal &amp; external audit reports, manage findings</t>
        </is>
      </c>
      <c r="E16" s="9" t="inlineStr">
        <is>
          <t>Annual / Quarterly</t>
        </is>
      </c>
    </row>
    <row r="17" ht="22" customHeight="1">
      <c r="B17" s="4" t="inlineStr">
        <is>
          <t>EC-13</t>
        </is>
      </c>
      <c r="C17" s="5" t="inlineStr">
        <is>
          <t>Affiliation &amp; Accreditation Tracker</t>
        </is>
      </c>
      <c r="D17" s="5" t="inlineStr">
        <is>
          <t>Track NBA/NAAC/NIRF/University affiliation status</t>
        </is>
      </c>
      <c r="E17" s="6" t="inlineStr">
        <is>
          <t>Annual</t>
        </is>
      </c>
    </row>
    <row r="18" ht="22" customHeight="1">
      <c r="B18" s="7" t="inlineStr">
        <is>
          <t>EC-14</t>
        </is>
      </c>
      <c r="C18" s="8" t="inlineStr">
        <is>
          <t>EC Recommendations &amp; Follow-up Register</t>
        </is>
      </c>
      <c r="D18" s="8" t="inlineStr">
        <is>
          <t>Cumulative log of all EC decisions &amp; implementation</t>
        </is>
      </c>
      <c r="E18" s="9" t="inlineStr">
        <is>
          <t>Cumulative</t>
        </is>
      </c>
    </row>
    <row r="19" ht="22" customHeight="1"/>
    <row r="20" ht="22" customHeight="1">
      <c r="B20" s="10" t="inlineStr">
        <is>
          <t>• EC = Executive Council — the apex governing body of the institution.</t>
        </is>
      </c>
    </row>
    <row r="21" ht="22" customHeight="1">
      <c r="B21" s="10" t="inlineStr">
        <is>
          <t>• EC oversees: Governance, Finance, HR, Infrastructure, Statutory Compliance &amp; Strategic Policy.</t>
        </is>
      </c>
    </row>
    <row r="22" ht="22" customHeight="1">
      <c r="B22" s="10" t="inlineStr">
        <is>
          <t>• Quorum: Minimum 50% of EC members (verify against institution charter / university statutes).</t>
        </is>
      </c>
    </row>
    <row r="23" ht="22" customHeight="1">
      <c r="B23" s="10" t="inlineStr">
        <is>
          <t>• All financial sanctions above prescribed limits must receive prior EC approval.</t>
        </is>
      </c>
    </row>
    <row r="24" ht="22" customHeight="1">
      <c r="B24" s="10" t="inlineStr">
        <is>
          <t>• Minutes must be confirmed within 30 days and forwarded to Governing Body / University / Govt. as applicable.</t>
        </is>
      </c>
    </row>
    <row r="25" ht="22" customHeight="1"/>
  </sheetData>
  <mergeCells count="7">
    <mergeCell ref="B23:E23"/>
    <mergeCell ref="B21:E21"/>
    <mergeCell ref="B3:E3"/>
    <mergeCell ref="B2:E2"/>
    <mergeCell ref="B20:E20"/>
    <mergeCell ref="B24:E24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4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EC-01: EXECUTIVE COUNCIL COMPOSITION &amp; MEMBERS REGISTER</t>
        </is>
      </c>
    </row>
    <row r="3" ht="25" customHeight="1">
      <c r="B3" s="2" t="inlineStr">
        <is>
          <t>Institution: _________________________  Constituted on: _______  Valid upto: _______  Total Strength: _______</t>
        </is>
      </c>
    </row>
    <row r="4" ht="25" customHeight="1">
      <c r="B4" s="12" t="inlineStr">
        <is>
          <t>Sl.</t>
        </is>
      </c>
      <c r="C4" s="12" t="inlineStr">
        <is>
          <t>Name of Member</t>
        </is>
      </c>
      <c r="D4" s="12" t="inlineStr">
        <is>
          <t>Designation / Organisation</t>
        </is>
      </c>
      <c r="E4" s="12" t="inlineStr">
        <is>
          <t>Category</t>
        </is>
      </c>
      <c r="F4" s="12" t="inlineStr">
        <is>
          <t>Nominated / Appointed by</t>
        </is>
      </c>
      <c r="G4" s="12" t="inlineStr">
        <is>
          <t>Email / Phone</t>
        </is>
      </c>
      <c r="H4" s="12" t="inlineStr">
        <is>
          <t>Term (From–To)</t>
        </is>
      </c>
      <c r="I4" s="12" t="inlineStr">
        <is>
          <t>Signature</t>
        </is>
      </c>
    </row>
    <row r="5" ht="22" customHeight="1">
      <c r="B5" s="13" t="n">
        <v>1</v>
      </c>
      <c r="C5" s="14" t="inlineStr"/>
      <c r="D5" s="14" t="inlineStr">
        <is>
          <t>Chancellor / Chairman – Governing Body</t>
        </is>
      </c>
      <c r="E5" s="13" t="inlineStr">
        <is>
          <t>Chairperson</t>
        </is>
      </c>
      <c r="F5" s="15" t="inlineStr"/>
      <c r="G5" s="14" t="inlineStr"/>
      <c r="H5" s="15" t="inlineStr"/>
      <c r="I5" s="15" t="inlineStr"/>
    </row>
    <row r="6" ht="22" customHeight="1">
      <c r="B6" s="4" t="n">
        <v>2</v>
      </c>
      <c r="C6" s="5" t="inlineStr"/>
      <c r="D6" s="5" t="inlineStr">
        <is>
          <t>Pro-Chancellor / Trustee</t>
        </is>
      </c>
      <c r="E6" s="4" t="inlineStr">
        <is>
          <t>Vice-Chairperson</t>
        </is>
      </c>
      <c r="F6" s="6" t="inlineStr"/>
      <c r="G6" s="5" t="inlineStr"/>
      <c r="H6" s="6" t="inlineStr"/>
      <c r="I6" s="6" t="inlineStr"/>
    </row>
    <row r="7" ht="22" customHeight="1">
      <c r="B7" s="13" t="n">
        <v>3</v>
      </c>
      <c r="C7" s="14" t="inlineStr"/>
      <c r="D7" s="14" t="inlineStr">
        <is>
          <t>Registrar / Secretary – Institution</t>
        </is>
      </c>
      <c r="E7" s="13" t="inlineStr">
        <is>
          <t>Secretary</t>
        </is>
      </c>
      <c r="F7" s="15" t="inlineStr"/>
      <c r="G7" s="14" t="inlineStr"/>
      <c r="H7" s="15" t="inlineStr"/>
      <c r="I7" s="15" t="inlineStr"/>
    </row>
    <row r="8" ht="22" customHeight="1">
      <c r="B8" s="4" t="n">
        <v>4</v>
      </c>
      <c r="C8" s="5" t="inlineStr"/>
      <c r="D8" s="5" t="inlineStr">
        <is>
          <t>Principal / Director</t>
        </is>
      </c>
      <c r="E8" s="4" t="inlineStr">
        <is>
          <t>Ex-Officio Member</t>
        </is>
      </c>
      <c r="F8" s="6" t="inlineStr"/>
      <c r="G8" s="5" t="inlineStr"/>
      <c r="H8" s="6" t="inlineStr"/>
      <c r="I8" s="6" t="inlineStr"/>
    </row>
    <row r="9" ht="22" customHeight="1">
      <c r="B9" s="13" t="n">
        <v>5</v>
      </c>
      <c r="C9" s="14" t="inlineStr"/>
      <c r="D9" s="14" t="inlineStr">
        <is>
          <t>Institution Finance Wing</t>
        </is>
      </c>
      <c r="E9" s="13" t="inlineStr">
        <is>
          <t>Finance Officer / Treasurer</t>
        </is>
      </c>
      <c r="F9" s="15" t="inlineStr"/>
      <c r="G9" s="14" t="inlineStr"/>
      <c r="H9" s="15" t="inlineStr"/>
      <c r="I9" s="15" t="inlineStr"/>
    </row>
    <row r="10" ht="22" customHeight="1">
      <c r="B10" s="4" t="n">
        <v>6</v>
      </c>
      <c r="C10" s="5" t="inlineStr"/>
      <c r="D10" s="5" t="inlineStr">
        <is>
          <t>State Higher Education Dept.</t>
        </is>
      </c>
      <c r="E10" s="4" t="inlineStr">
        <is>
          <t>Nominee – State Government</t>
        </is>
      </c>
      <c r="F10" s="6" t="inlineStr"/>
      <c r="G10" s="5" t="inlineStr"/>
      <c r="H10" s="6" t="inlineStr"/>
      <c r="I10" s="6" t="inlineStr"/>
    </row>
    <row r="11" ht="22" customHeight="1">
      <c r="B11" s="13" t="n">
        <v>7</v>
      </c>
      <c r="C11" s="14" t="inlineStr"/>
      <c r="D11" s="14" t="inlineStr">
        <is>
          <t>Affiliating University</t>
        </is>
      </c>
      <c r="E11" s="13" t="inlineStr">
        <is>
          <t>Nominee – University</t>
        </is>
      </c>
      <c r="F11" s="15" t="inlineStr"/>
      <c r="G11" s="14" t="inlineStr"/>
      <c r="H11" s="15" t="inlineStr"/>
      <c r="I11" s="15" t="inlineStr"/>
    </row>
    <row r="12" ht="22" customHeight="1">
      <c r="B12" s="4" t="n">
        <v>8</v>
      </c>
      <c r="C12" s="5" t="inlineStr"/>
      <c r="D12" s="5" t="inlineStr">
        <is>
          <t>Regulatory Body</t>
        </is>
      </c>
      <c r="E12" s="4" t="inlineStr">
        <is>
          <t>Nominee – UGC / AICTE</t>
        </is>
      </c>
      <c r="F12" s="6" t="inlineStr"/>
      <c r="G12" s="5" t="inlineStr"/>
      <c r="H12" s="6" t="inlineStr"/>
      <c r="I12" s="6" t="inlineStr"/>
    </row>
    <row r="13" ht="22" customHeight="1">
      <c r="B13" s="13" t="n">
        <v>9</v>
      </c>
      <c r="C13" s="14" t="inlineStr"/>
      <c r="D13" s="14" t="inlineStr">
        <is>
          <t>External Academic Expert</t>
        </is>
      </c>
      <c r="E13" s="13" t="inlineStr">
        <is>
          <t>Eminent Educationist – 1</t>
        </is>
      </c>
      <c r="F13" s="15" t="inlineStr"/>
      <c r="G13" s="14" t="inlineStr"/>
      <c r="H13" s="15" t="inlineStr"/>
      <c r="I13" s="15" t="inlineStr"/>
    </row>
    <row r="14" ht="22" customHeight="1">
      <c r="B14" s="4" t="n">
        <v>10</v>
      </c>
      <c r="C14" s="5" t="inlineStr"/>
      <c r="D14" s="5" t="inlineStr">
        <is>
          <t>External Academic Expert</t>
        </is>
      </c>
      <c r="E14" s="4" t="inlineStr">
        <is>
          <t>Eminent Educationist – 2</t>
        </is>
      </c>
      <c r="F14" s="6" t="inlineStr"/>
      <c r="G14" s="5" t="inlineStr"/>
      <c r="H14" s="6" t="inlineStr"/>
      <c r="I14" s="6" t="inlineStr"/>
    </row>
    <row r="15" ht="22" customHeight="1">
      <c r="B15" s="13" t="n">
        <v>11</v>
      </c>
      <c r="C15" s="14" t="inlineStr"/>
      <c r="D15" s="14" t="inlineStr">
        <is>
          <t>Industry / Corporate Sector</t>
        </is>
      </c>
      <c r="E15" s="13" t="inlineStr">
        <is>
          <t>Industry Representative – 1</t>
        </is>
      </c>
      <c r="F15" s="15" t="inlineStr"/>
      <c r="G15" s="14" t="inlineStr"/>
      <c r="H15" s="15" t="inlineStr"/>
      <c r="I15" s="15" t="inlineStr"/>
    </row>
    <row r="16" ht="22" customHeight="1">
      <c r="B16" s="4" t="n">
        <v>12</v>
      </c>
      <c r="C16" s="5" t="inlineStr"/>
      <c r="D16" s="5" t="inlineStr">
        <is>
          <t>Industry / Corporate Sector</t>
        </is>
      </c>
      <c r="E16" s="4" t="inlineStr">
        <is>
          <t>Industry Representative – 2</t>
        </is>
      </c>
      <c r="F16" s="6" t="inlineStr"/>
      <c r="G16" s="5" t="inlineStr"/>
      <c r="H16" s="6" t="inlineStr"/>
      <c r="I16" s="6" t="inlineStr"/>
    </row>
    <row r="17" ht="22" customHeight="1">
      <c r="B17" s="13" t="n">
        <v>13</v>
      </c>
      <c r="C17" s="14" t="inlineStr"/>
      <c r="D17" s="14" t="inlineStr">
        <is>
          <t>Legal / Judiciary Background</t>
        </is>
      </c>
      <c r="E17" s="13" t="inlineStr">
        <is>
          <t>Legal Expert / Advisor</t>
        </is>
      </c>
      <c r="F17" s="15" t="inlineStr"/>
      <c r="G17" s="14" t="inlineStr"/>
      <c r="H17" s="15" t="inlineStr"/>
      <c r="I17" s="15" t="inlineStr"/>
    </row>
    <row r="18" ht="22" customHeight="1">
      <c r="B18" s="4" t="n">
        <v>14</v>
      </c>
      <c r="C18" s="5" t="inlineStr"/>
      <c r="D18" s="5" t="inlineStr">
        <is>
          <t>Internal – Teaching Staff</t>
        </is>
      </c>
      <c r="E18" s="4" t="inlineStr">
        <is>
          <t>Senior Faculty Representative</t>
        </is>
      </c>
      <c r="F18" s="6" t="inlineStr"/>
      <c r="G18" s="5" t="inlineStr"/>
      <c r="H18" s="6" t="inlineStr"/>
      <c r="I18" s="6" t="inlineStr"/>
    </row>
    <row r="19" ht="22" customHeight="1">
      <c r="B19" s="13" t="n">
        <v>15</v>
      </c>
      <c r="C19" s="14" t="inlineStr"/>
      <c r="D19" s="14" t="inlineStr">
        <is>
          <t>Internal – Administrative Staff</t>
        </is>
      </c>
      <c r="E19" s="13" t="inlineStr">
        <is>
          <t>Non-Teaching Staff Representative</t>
        </is>
      </c>
      <c r="F19" s="15" t="inlineStr"/>
      <c r="G19" s="14" t="inlineStr"/>
      <c r="H19" s="15" t="inlineStr"/>
      <c r="I19" s="15" t="inlineStr"/>
    </row>
    <row r="20" ht="22" customHeight="1">
      <c r="B20" s="4" t="n">
        <v>16</v>
      </c>
      <c r="C20" s="5" t="inlineStr"/>
      <c r="D20" s="5" t="inlineStr">
        <is>
          <t>Alumni Association</t>
        </is>
      </c>
      <c r="E20" s="4" t="inlineStr">
        <is>
          <t>Alumni Representative</t>
        </is>
      </c>
      <c r="F20" s="6" t="inlineStr"/>
      <c r="G20" s="5" t="inlineStr"/>
      <c r="H20" s="6" t="inlineStr"/>
      <c r="I20" s="6" t="inlineStr"/>
    </row>
    <row r="21" ht="22" customHeight="1"/>
    <row r="22" ht="22" customHeight="1">
      <c r="B22" s="16" t="inlineStr">
        <is>
          <t>Note: Composition must comply with UGC Regulations on Minimum Standards / AICTE norms / State Act / University Charter. Review annually.</t>
        </is>
      </c>
    </row>
    <row r="23" ht="22" customHeight="1"/>
    <row r="24" ht="22" customHeight="1"/>
    <row r="25" ht="22" customHeight="1"/>
  </sheetData>
  <mergeCells count="3">
    <mergeCell ref="B3:I3"/>
    <mergeCell ref="B22:I22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6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1" t="inlineStr">
        <is>
          <t>EC-02: EXECUTIVE COUNCIL MEETING NOTICE, AGENDA &amp; DISPATCH RECORD</t>
        </is>
      </c>
    </row>
    <row r="3" ht="22" customHeight="1">
      <c r="B3" s="17" t="inlineStr">
        <is>
          <t>EC Meeting No.:</t>
        </is>
      </c>
      <c r="C3" s="5" t="inlineStr"/>
    </row>
    <row r="4" ht="22" customHeight="1">
      <c r="B4" s="17" t="inlineStr">
        <is>
          <t>Academic Year:</t>
        </is>
      </c>
      <c r="C4" s="5" t="inlineStr"/>
    </row>
    <row r="5" ht="22" customHeight="1">
      <c r="B5" s="17" t="inlineStr">
        <is>
          <t>Date of Meeting:</t>
        </is>
      </c>
      <c r="C5" s="5" t="inlineStr"/>
    </row>
    <row r="6" ht="22" customHeight="1">
      <c r="B6" s="17" t="inlineStr">
        <is>
          <t>Time:</t>
        </is>
      </c>
      <c r="C6" s="5" t="inlineStr"/>
    </row>
    <row r="7" ht="22" customHeight="1">
      <c r="B7" s="17" t="inlineStr">
        <is>
          <t>Venue:</t>
        </is>
      </c>
      <c r="C7" s="5" t="inlineStr"/>
    </row>
    <row r="8" ht="22" customHeight="1">
      <c r="B8" s="17" t="inlineStr">
        <is>
          <t>Mode (Physical / VC / Hybrid):</t>
        </is>
      </c>
      <c r="C8" s="5" t="inlineStr"/>
    </row>
    <row r="9" ht="22" customHeight="1">
      <c r="B9" s="17" t="inlineStr">
        <is>
          <t>Notice Issued by:</t>
        </is>
      </c>
      <c r="C9" s="5" t="inlineStr"/>
    </row>
    <row r="10" ht="22" customHeight="1">
      <c r="B10" s="17" t="inlineStr">
        <is>
          <t>Notice Date:</t>
        </is>
      </c>
      <c r="C10" s="5" t="inlineStr"/>
    </row>
    <row r="11" ht="25" customHeight="1">
      <c r="B11" s="18" t="inlineStr">
        <is>
          <t>AGENDA ITEMS</t>
        </is>
      </c>
    </row>
    <row r="12" ht="25" customHeight="1">
      <c r="B12" s="19" t="inlineStr">
        <is>
          <t>Item
No.</t>
        </is>
      </c>
      <c r="C12" s="19" t="inlineStr">
        <is>
          <t>Agenda Item / Subject Matter</t>
        </is>
      </c>
      <c r="D12" s="19" t="inlineStr">
        <is>
          <t>Moved by / Presenter</t>
        </is>
      </c>
      <c r="E12" s="19" t="inlineStr">
        <is>
          <t>Time
(Min)</t>
        </is>
      </c>
    </row>
    <row r="13" ht="24" customHeight="1">
      <c r="B13" s="13" t="n">
        <v>1</v>
      </c>
      <c r="C13" s="14" t="inlineStr">
        <is>
          <t>Prayer / Formal Opening by Chairperson</t>
        </is>
      </c>
      <c r="D13" s="15" t="inlineStr"/>
      <c r="E13" s="15" t="inlineStr"/>
    </row>
    <row r="14" ht="24" customHeight="1">
      <c r="B14" s="4" t="n">
        <v>2</v>
      </c>
      <c r="C14" s="5" t="inlineStr">
        <is>
          <t>Confirmation of attendance and quorum</t>
        </is>
      </c>
      <c r="D14" s="6" t="inlineStr"/>
      <c r="E14" s="6" t="inlineStr"/>
    </row>
    <row r="15" ht="24" customHeight="1">
      <c r="B15" s="13" t="n">
        <v>3</v>
      </c>
      <c r="C15" s="14" t="inlineStr">
        <is>
          <t>Confirmation of minutes of the previous EC meeting</t>
        </is>
      </c>
      <c r="D15" s="15" t="inlineStr"/>
      <c r="E15" s="15" t="inlineStr"/>
    </row>
    <row r="16" ht="24" customHeight="1">
      <c r="B16" s="4" t="n">
        <v>4</v>
      </c>
      <c r="C16" s="5" t="inlineStr">
        <is>
          <t>Action Taken Report on previous EC resolutions</t>
        </is>
      </c>
      <c r="D16" s="6" t="inlineStr"/>
      <c r="E16" s="6" t="inlineStr"/>
    </row>
    <row r="17" ht="24" customHeight="1">
      <c r="B17" s="13" t="n">
        <v>5</v>
      </c>
      <c r="C17" s="14" t="inlineStr">
        <is>
          <t>Consideration of Annual Budget — review and approval</t>
        </is>
      </c>
      <c r="D17" s="15" t="inlineStr"/>
      <c r="E17" s="15" t="inlineStr"/>
    </row>
    <row r="18" ht="24" customHeight="1">
      <c r="B18" s="4" t="n">
        <v>6</v>
      </c>
      <c r="C18" s="5" t="inlineStr">
        <is>
          <t>Capital expenditure proposals — sanction and ratification</t>
        </is>
      </c>
      <c r="D18" s="6" t="inlineStr"/>
      <c r="E18" s="6" t="inlineStr"/>
    </row>
    <row r="19" ht="24" customHeight="1">
      <c r="B19" s="13" t="n">
        <v>7</v>
      </c>
      <c r="C19" s="14" t="inlineStr">
        <is>
          <t>Human Resource matters: appointments, promotions &amp; disciplinary actions</t>
        </is>
      </c>
      <c r="D19" s="15" t="inlineStr"/>
      <c r="E19" s="15" t="inlineStr"/>
    </row>
    <row r="20" ht="24" customHeight="1">
      <c r="B20" s="4" t="n">
        <v>8</v>
      </c>
      <c r="C20" s="5" t="inlineStr">
        <is>
          <t>Infrastructure &amp; development projects — approval and progress review</t>
        </is>
      </c>
      <c r="D20" s="6" t="inlineStr"/>
      <c r="E20" s="6" t="inlineStr"/>
    </row>
    <row r="21" ht="24" customHeight="1">
      <c r="B21" s="13" t="n">
        <v>9</v>
      </c>
      <c r="C21" s="14" t="inlineStr">
        <is>
          <t>Policy formulation, amendments and ratification</t>
        </is>
      </c>
      <c r="D21" s="15" t="inlineStr"/>
      <c r="E21" s="15" t="inlineStr"/>
    </row>
    <row r="22" ht="24" customHeight="1">
      <c r="B22" s="4" t="n">
        <v>10</v>
      </c>
      <c r="C22" s="5" t="inlineStr">
        <is>
          <t>Statutory &amp; regulatory compliance status report</t>
        </is>
      </c>
      <c r="D22" s="6" t="inlineStr"/>
      <c r="E22" s="6" t="inlineStr"/>
    </row>
    <row r="23" ht="24" customHeight="1">
      <c r="B23" s="13" t="n">
        <v>11</v>
      </c>
      <c r="C23" s="14" t="inlineStr">
        <is>
          <t>Review of audit reports — internal and statutory (CAG / Govt.)</t>
        </is>
      </c>
      <c r="D23" s="15" t="inlineStr"/>
      <c r="E23" s="15" t="inlineStr"/>
    </row>
    <row r="24" ht="24" customHeight="1">
      <c r="B24" s="4" t="n">
        <v>12</v>
      </c>
      <c r="C24" s="5" t="inlineStr">
        <is>
          <t>Affiliation renewal, accreditation &amp; NIRF ranking update</t>
        </is>
      </c>
      <c r="D24" s="6" t="inlineStr"/>
      <c r="E24" s="6" t="inlineStr"/>
    </row>
    <row r="25" ht="24" customHeight="1">
      <c r="B25" s="13" t="n">
        <v>13</v>
      </c>
      <c r="C25" s="14" t="inlineStr">
        <is>
          <t>Academic Council recommendations forwarded for EC ratification</t>
        </is>
      </c>
      <c r="D25" s="15" t="inlineStr"/>
      <c r="E25" s="15" t="inlineStr"/>
    </row>
    <row r="26" ht="24" customHeight="1">
      <c r="B26" s="4" t="n">
        <v>14</v>
      </c>
      <c r="C26" s="5" t="inlineStr">
        <is>
          <t>Review of student fee structure &amp; scholarships</t>
        </is>
      </c>
      <c r="D26" s="6" t="inlineStr"/>
      <c r="E26" s="6" t="inlineStr"/>
    </row>
    <row r="27" ht="24" customHeight="1">
      <c r="B27" s="13" t="n">
        <v>15</v>
      </c>
      <c r="C27" s="14" t="inlineStr">
        <is>
          <t>MoUs, collaborations &amp; industry partnerships</t>
        </is>
      </c>
      <c r="D27" s="15" t="inlineStr"/>
      <c r="E27" s="15" t="inlineStr"/>
    </row>
    <row r="28" ht="24" customHeight="1">
      <c r="B28" s="4" t="n">
        <v>16</v>
      </c>
      <c r="C28" s="5" t="inlineStr">
        <is>
          <t>Strategic planning — Vision 2030 / NAAC/NBA goals</t>
        </is>
      </c>
      <c r="D28" s="6" t="inlineStr"/>
      <c r="E28" s="6" t="inlineStr"/>
    </row>
    <row r="29" ht="24" customHeight="1">
      <c r="B29" s="13" t="n">
        <v>17</v>
      </c>
      <c r="C29" s="14" t="inlineStr">
        <is>
          <t>Any Other Matter with the Permission of the Chair (AOMPC)</t>
        </is>
      </c>
      <c r="D29" s="15" t="inlineStr"/>
      <c r="E29" s="15" t="inlineStr"/>
    </row>
    <row r="30" ht="25" customHeight="1"/>
    <row r="31" ht="25" customHeight="1">
      <c r="B31" s="20" t="inlineStr">
        <is>
          <t>DISPATCH RECORD</t>
        </is>
      </c>
    </row>
    <row r="32" ht="25" customHeight="1">
      <c r="B32" s="21" t="inlineStr">
        <is>
          <t>Sl.</t>
        </is>
      </c>
      <c r="C32" s="21" t="inlineStr">
        <is>
          <t>Member Name &amp; Designation</t>
        </is>
      </c>
      <c r="D32" s="21" t="inlineStr">
        <is>
          <t>Mode of Dispatch</t>
        </is>
      </c>
      <c r="E32" s="21" t="inlineStr">
        <is>
          <t>Date Dispatched &amp; Acknowledgement</t>
        </is>
      </c>
    </row>
    <row r="33" ht="22" customHeight="1">
      <c r="B33" s="22" t="n"/>
      <c r="C33" s="22" t="n"/>
      <c r="D33" s="22" t="n"/>
      <c r="E33" s="22" t="n"/>
    </row>
    <row r="34" ht="22" customHeight="1">
      <c r="B34" s="6" t="n"/>
      <c r="C34" s="6" t="n"/>
      <c r="D34" s="6" t="n"/>
      <c r="E34" s="6" t="n"/>
    </row>
    <row r="35" ht="22" customHeight="1">
      <c r="B35" s="22" t="n"/>
      <c r="C35" s="22" t="n"/>
      <c r="D35" s="22" t="n"/>
      <c r="E35" s="22" t="n"/>
    </row>
    <row r="36" ht="22" customHeight="1">
      <c r="B36" s="6" t="n"/>
      <c r="C36" s="6" t="n"/>
      <c r="D36" s="6" t="n"/>
      <c r="E36" s="6" t="n"/>
    </row>
    <row r="37" ht="22" customHeight="1">
      <c r="B37" s="22" t="n"/>
      <c r="C37" s="22" t="n"/>
      <c r="D37" s="22" t="n"/>
      <c r="E37" s="22" t="n"/>
    </row>
  </sheetData>
  <mergeCells count="11">
    <mergeCell ref="B31:E31"/>
    <mergeCell ref="C5:E5"/>
    <mergeCell ref="C8:E8"/>
    <mergeCell ref="C9:E9"/>
    <mergeCell ref="C4:E4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2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EC-03: ATTENDANCE, QUORUM &amp; PROXY REGISTER</t>
        </is>
      </c>
    </row>
    <row r="3" ht="25" customHeight="1">
      <c r="B3" s="2" t="inlineStr">
        <is>
          <t>EC Meeting No.: _______  Date: _______  Total EC Strength: _______  Quorum Required (50%): _______</t>
        </is>
      </c>
    </row>
    <row r="4" ht="25" customHeight="1">
      <c r="B4" s="12" t="inlineStr">
        <is>
          <t>Sl.</t>
        </is>
      </c>
      <c r="C4" s="12" t="inlineStr">
        <is>
          <t>Name of Member</t>
        </is>
      </c>
      <c r="D4" s="12" t="inlineStr">
        <is>
          <t>Designation / Category</t>
        </is>
      </c>
      <c r="E4" s="12" t="inlineStr">
        <is>
          <t>Mode
(Physical/VC)</t>
        </is>
      </c>
      <c r="F4" s="12" t="inlineStr">
        <is>
          <t>Present
(P/A)</t>
        </is>
      </c>
      <c r="G4" s="12" t="inlineStr">
        <is>
          <t>Proxy
(Y/N)</t>
        </is>
      </c>
      <c r="H4" s="12" t="inlineStr">
        <is>
          <t>Proxy Authorised To</t>
        </is>
      </c>
      <c r="I4" s="12" t="inlineStr">
        <is>
          <t>Signature / Confirmation</t>
        </is>
      </c>
    </row>
    <row r="5" ht="22" customHeight="1">
      <c r="B5" s="13" t="n">
        <v>1</v>
      </c>
      <c r="C5" s="14" t="inlineStr"/>
      <c r="D5" s="14" t="inlineStr"/>
      <c r="E5" s="15" t="inlineStr">
        <is>
          <t>Physical</t>
        </is>
      </c>
      <c r="F5" s="15" t="inlineStr"/>
      <c r="G5" s="15" t="inlineStr">
        <is>
          <t>N</t>
        </is>
      </c>
      <c r="H5" s="15" t="inlineStr"/>
      <c r="I5" s="15" t="inlineStr"/>
    </row>
    <row r="6" ht="22" customHeight="1">
      <c r="B6" s="4" t="n">
        <v>2</v>
      </c>
      <c r="C6" s="5" t="inlineStr"/>
      <c r="D6" s="5" t="inlineStr"/>
      <c r="E6" s="6" t="inlineStr">
        <is>
          <t>Physical</t>
        </is>
      </c>
      <c r="F6" s="6" t="inlineStr"/>
      <c r="G6" s="6" t="inlineStr">
        <is>
          <t>N</t>
        </is>
      </c>
      <c r="H6" s="6" t="inlineStr"/>
      <c r="I6" s="6" t="inlineStr"/>
    </row>
    <row r="7" ht="22" customHeight="1">
      <c r="B7" s="13" t="n">
        <v>3</v>
      </c>
      <c r="C7" s="14" t="inlineStr"/>
      <c r="D7" s="14" t="inlineStr"/>
      <c r="E7" s="15" t="inlineStr">
        <is>
          <t>Physical</t>
        </is>
      </c>
      <c r="F7" s="15" t="inlineStr"/>
      <c r="G7" s="15" t="inlineStr">
        <is>
          <t>N</t>
        </is>
      </c>
      <c r="H7" s="15" t="inlineStr"/>
      <c r="I7" s="15" t="inlineStr"/>
    </row>
    <row r="8" ht="22" customHeight="1">
      <c r="B8" s="4" t="n">
        <v>4</v>
      </c>
      <c r="C8" s="5" t="inlineStr"/>
      <c r="D8" s="5" t="inlineStr"/>
      <c r="E8" s="6" t="inlineStr">
        <is>
          <t>Physical</t>
        </is>
      </c>
      <c r="F8" s="6" t="inlineStr"/>
      <c r="G8" s="6" t="inlineStr">
        <is>
          <t>N</t>
        </is>
      </c>
      <c r="H8" s="6" t="inlineStr"/>
      <c r="I8" s="6" t="inlineStr"/>
    </row>
    <row r="9" ht="22" customHeight="1">
      <c r="B9" s="13" t="n">
        <v>5</v>
      </c>
      <c r="C9" s="14" t="inlineStr"/>
      <c r="D9" s="14" t="inlineStr"/>
      <c r="E9" s="15" t="inlineStr">
        <is>
          <t>Physical</t>
        </is>
      </c>
      <c r="F9" s="15" t="inlineStr"/>
      <c r="G9" s="15" t="inlineStr">
        <is>
          <t>N</t>
        </is>
      </c>
      <c r="H9" s="15" t="inlineStr"/>
      <c r="I9" s="15" t="inlineStr"/>
    </row>
    <row r="10" ht="22" customHeight="1">
      <c r="B10" s="4" t="n">
        <v>6</v>
      </c>
      <c r="C10" s="5" t="inlineStr"/>
      <c r="D10" s="5" t="inlineStr"/>
      <c r="E10" s="6" t="inlineStr">
        <is>
          <t>Physical</t>
        </is>
      </c>
      <c r="F10" s="6" t="inlineStr"/>
      <c r="G10" s="6" t="inlineStr">
        <is>
          <t>N</t>
        </is>
      </c>
      <c r="H10" s="6" t="inlineStr"/>
      <c r="I10" s="6" t="inlineStr"/>
    </row>
    <row r="11" ht="22" customHeight="1">
      <c r="B11" s="13" t="n">
        <v>7</v>
      </c>
      <c r="C11" s="14" t="inlineStr"/>
      <c r="D11" s="14" t="inlineStr"/>
      <c r="E11" s="15" t="inlineStr">
        <is>
          <t>Physical</t>
        </is>
      </c>
      <c r="F11" s="15" t="inlineStr"/>
      <c r="G11" s="15" t="inlineStr">
        <is>
          <t>N</t>
        </is>
      </c>
      <c r="H11" s="15" t="inlineStr"/>
      <c r="I11" s="15" t="inlineStr"/>
    </row>
    <row r="12" ht="22" customHeight="1">
      <c r="B12" s="4" t="n">
        <v>8</v>
      </c>
      <c r="C12" s="5" t="inlineStr"/>
      <c r="D12" s="5" t="inlineStr"/>
      <c r="E12" s="6" t="inlineStr">
        <is>
          <t>Physical</t>
        </is>
      </c>
      <c r="F12" s="6" t="inlineStr"/>
      <c r="G12" s="6" t="inlineStr">
        <is>
          <t>N</t>
        </is>
      </c>
      <c r="H12" s="6" t="inlineStr"/>
      <c r="I12" s="6" t="inlineStr"/>
    </row>
    <row r="13" ht="22" customHeight="1">
      <c r="B13" s="13" t="n">
        <v>9</v>
      </c>
      <c r="C13" s="14" t="inlineStr"/>
      <c r="D13" s="14" t="inlineStr"/>
      <c r="E13" s="15" t="inlineStr">
        <is>
          <t>Physical</t>
        </is>
      </c>
      <c r="F13" s="15" t="inlineStr"/>
      <c r="G13" s="15" t="inlineStr">
        <is>
          <t>N</t>
        </is>
      </c>
      <c r="H13" s="15" t="inlineStr"/>
      <c r="I13" s="15" t="inlineStr"/>
    </row>
    <row r="14" ht="22" customHeight="1">
      <c r="B14" s="4" t="n">
        <v>10</v>
      </c>
      <c r="C14" s="5" t="inlineStr"/>
      <c r="D14" s="5" t="inlineStr"/>
      <c r="E14" s="6" t="inlineStr">
        <is>
          <t>Physical</t>
        </is>
      </c>
      <c r="F14" s="6" t="inlineStr"/>
      <c r="G14" s="6" t="inlineStr">
        <is>
          <t>N</t>
        </is>
      </c>
      <c r="H14" s="6" t="inlineStr"/>
      <c r="I14" s="6" t="inlineStr"/>
    </row>
    <row r="15" ht="22" customHeight="1">
      <c r="B15" s="13" t="n">
        <v>11</v>
      </c>
      <c r="C15" s="14" t="inlineStr"/>
      <c r="D15" s="14" t="inlineStr"/>
      <c r="E15" s="15" t="inlineStr">
        <is>
          <t>Physical</t>
        </is>
      </c>
      <c r="F15" s="15" t="inlineStr"/>
      <c r="G15" s="15" t="inlineStr">
        <is>
          <t>N</t>
        </is>
      </c>
      <c r="H15" s="15" t="inlineStr"/>
      <c r="I15" s="15" t="inlineStr"/>
    </row>
    <row r="16" ht="22" customHeight="1">
      <c r="B16" s="4" t="n">
        <v>12</v>
      </c>
      <c r="C16" s="5" t="inlineStr"/>
      <c r="D16" s="5" t="inlineStr"/>
      <c r="E16" s="6" t="inlineStr">
        <is>
          <t>Physical</t>
        </is>
      </c>
      <c r="F16" s="6" t="inlineStr"/>
      <c r="G16" s="6" t="inlineStr">
        <is>
          <t>N</t>
        </is>
      </c>
      <c r="H16" s="6" t="inlineStr"/>
      <c r="I16" s="6" t="inlineStr"/>
    </row>
    <row r="17" ht="22" customHeight="1">
      <c r="B17" s="13" t="n">
        <v>13</v>
      </c>
      <c r="C17" s="14" t="inlineStr"/>
      <c r="D17" s="14" t="inlineStr"/>
      <c r="E17" s="15" t="inlineStr">
        <is>
          <t>Physical</t>
        </is>
      </c>
      <c r="F17" s="15" t="inlineStr"/>
      <c r="G17" s="15" t="inlineStr">
        <is>
          <t>N</t>
        </is>
      </c>
      <c r="H17" s="15" t="inlineStr"/>
      <c r="I17" s="15" t="inlineStr"/>
    </row>
    <row r="18" ht="22" customHeight="1">
      <c r="B18" s="4" t="n">
        <v>14</v>
      </c>
      <c r="C18" s="5" t="inlineStr"/>
      <c r="D18" s="5" t="inlineStr"/>
      <c r="E18" s="6" t="inlineStr">
        <is>
          <t>Physical</t>
        </is>
      </c>
      <c r="F18" s="6" t="inlineStr"/>
      <c r="G18" s="6" t="inlineStr">
        <is>
          <t>N</t>
        </is>
      </c>
      <c r="H18" s="6" t="inlineStr"/>
      <c r="I18" s="6" t="inlineStr"/>
    </row>
    <row r="19" ht="22" customHeight="1">
      <c r="B19" s="13" t="n">
        <v>15</v>
      </c>
      <c r="C19" s="14" t="inlineStr"/>
      <c r="D19" s="14" t="inlineStr"/>
      <c r="E19" s="15" t="inlineStr">
        <is>
          <t>Physical</t>
        </is>
      </c>
      <c r="F19" s="15" t="inlineStr"/>
      <c r="G19" s="15" t="inlineStr">
        <is>
          <t>N</t>
        </is>
      </c>
      <c r="H19" s="15" t="inlineStr"/>
      <c r="I19" s="15" t="inlineStr"/>
    </row>
    <row r="20" ht="22" customHeight="1">
      <c r="B20" s="4" t="n">
        <v>16</v>
      </c>
      <c r="C20" s="5" t="inlineStr"/>
      <c r="D20" s="5" t="inlineStr"/>
      <c r="E20" s="6" t="inlineStr">
        <is>
          <t>Physical</t>
        </is>
      </c>
      <c r="F20" s="6" t="inlineStr"/>
      <c r="G20" s="6" t="inlineStr">
        <is>
          <t>N</t>
        </is>
      </c>
      <c r="H20" s="6" t="inlineStr"/>
      <c r="I20" s="6" t="inlineStr"/>
    </row>
    <row r="21" ht="22" customHeight="1">
      <c r="B21" s="13" t="n">
        <v>17</v>
      </c>
      <c r="C21" s="14" t="inlineStr"/>
      <c r="D21" s="14" t="inlineStr"/>
      <c r="E21" s="15" t="inlineStr">
        <is>
          <t>Physical</t>
        </is>
      </c>
      <c r="F21" s="15" t="inlineStr"/>
      <c r="G21" s="15" t="inlineStr">
        <is>
          <t>N</t>
        </is>
      </c>
      <c r="H21" s="15" t="inlineStr"/>
      <c r="I21" s="15" t="inlineStr"/>
    </row>
    <row r="22" ht="22" customHeight="1">
      <c r="B22" s="4" t="n">
        <v>18</v>
      </c>
      <c r="C22" s="5" t="inlineStr"/>
      <c r="D22" s="5" t="inlineStr"/>
      <c r="E22" s="6" t="inlineStr">
        <is>
          <t>Physical</t>
        </is>
      </c>
      <c r="F22" s="6" t="inlineStr"/>
      <c r="G22" s="6" t="inlineStr">
        <is>
          <t>N</t>
        </is>
      </c>
      <c r="H22" s="6" t="inlineStr"/>
      <c r="I22" s="6" t="inlineStr"/>
    </row>
    <row r="23" ht="22" customHeight="1"/>
    <row r="24" ht="22" customHeight="1">
      <c r="B24" s="20" t="inlineStr">
        <is>
          <t>QUORUM VERIFICATION</t>
        </is>
      </c>
    </row>
    <row r="25" ht="22" customHeight="1">
      <c r="B25" s="23" t="inlineStr">
        <is>
          <t>Total EC Members (Sanctioned)</t>
        </is>
      </c>
      <c r="G25" s="24" t="inlineStr"/>
    </row>
    <row r="26" ht="22" customHeight="1">
      <c r="B26" s="25" t="inlineStr">
        <is>
          <t>Members Present (Physical)</t>
        </is>
      </c>
      <c r="G26" s="24">
        <f>COUNTIF(F5:F22,"P")</f>
        <v/>
      </c>
    </row>
    <row r="27" ht="22" customHeight="1">
      <c r="B27" s="23" t="inlineStr">
        <is>
          <t>Members Present (Video Conferencing)</t>
        </is>
      </c>
      <c r="G27" s="24" t="inlineStr"/>
    </row>
    <row r="28" ht="22" customHeight="1">
      <c r="B28" s="25" t="inlineStr">
        <is>
          <t>Total Effective Presence</t>
        </is>
      </c>
      <c r="G28" s="24">
        <f>IFERROR(C26+C27,"")</f>
        <v/>
      </c>
    </row>
    <row r="29" ht="22" customHeight="1">
      <c r="B29" s="23" t="inlineStr">
        <is>
          <t>Quorum Required (50% of Total)</t>
        </is>
      </c>
      <c r="G29" s="24" t="inlineStr"/>
    </row>
    <row r="30" ht="22" customHeight="1">
      <c r="B30" s="25" t="inlineStr">
        <is>
          <t>Quorum Achieved?</t>
        </is>
      </c>
      <c r="G30" s="26">
        <f>IFERROR(IF(C28&gt;=C29,"YES — Meeting Proceeds as Valid","NO — Meeting Adjourned / Postponed"),"")</f>
        <v/>
      </c>
    </row>
    <row r="31" ht="22" customHeight="1"/>
    <row r="32" ht="22" customHeight="1">
      <c r="B32" s="27" t="inlineStr">
        <is>
          <t>Certified by (Registrar / Secretary): ___________________    Date: ___________________</t>
        </is>
      </c>
    </row>
    <row r="33" ht="22" customHeight="1"/>
    <row r="34" ht="22" customHeight="1"/>
  </sheetData>
  <mergeCells count="16">
    <mergeCell ref="B30:F30"/>
    <mergeCell ref="B29:F29"/>
    <mergeCell ref="G28:I28"/>
    <mergeCell ref="G27:I27"/>
    <mergeCell ref="B24:I24"/>
    <mergeCell ref="B2:I2"/>
    <mergeCell ref="B25:F25"/>
    <mergeCell ref="B28:F28"/>
    <mergeCell ref="B3:I3"/>
    <mergeCell ref="G26:I26"/>
    <mergeCell ref="B32:I32"/>
    <mergeCell ref="G29:I29"/>
    <mergeCell ref="G30:I30"/>
    <mergeCell ref="B26:F26"/>
    <mergeCell ref="B27:F27"/>
    <mergeCell ref="G25:I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8" customWidth="1" min="3" max="3"/>
    <col width="20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1" t="inlineStr">
        <is>
          <t>EC-04: EXECUTIVE COUNCIL MEETING MINUTES &amp; RESOLUTIONS</t>
        </is>
      </c>
    </row>
    <row r="3" ht="25" customHeight="1">
      <c r="B3" s="2" t="inlineStr">
        <is>
          <t>EC Meeting No.: _______  Date: _______  Venue: _______  Chaired by: ___________________</t>
        </is>
      </c>
    </row>
    <row r="4" ht="25" customHeight="1">
      <c r="B4" s="18" t="inlineStr">
        <is>
          <t>AGENDA-WISE DISCUSSION &amp; RESOLUTIONS</t>
        </is>
      </c>
    </row>
    <row r="5" ht="32" customHeight="1">
      <c r="B5" s="19" t="inlineStr">
        <is>
          <t>EC Resolution
No.</t>
        </is>
      </c>
      <c r="C5" s="19" t="inlineStr">
        <is>
          <t>Discussion Summary &amp; Resolution Passed</t>
        </is>
      </c>
      <c r="D5" s="19" t="inlineStr">
        <is>
          <t>Mover / Seconder</t>
        </is>
      </c>
      <c r="E5" s="19" t="inlineStr">
        <is>
          <t>Voting
(For/Against/Abs.)</t>
        </is>
      </c>
      <c r="F5" s="19" t="inlineStr">
        <is>
          <t>Effective
Date</t>
        </is>
      </c>
      <c r="G5" s="19" t="inlineStr">
        <is>
          <t>Status</t>
        </is>
      </c>
    </row>
    <row r="6" ht="32" customHeight="1">
      <c r="B6" s="13" t="inlineStr">
        <is>
          <t>EC/RES/2024/001</t>
        </is>
      </c>
      <c r="C6" s="14" t="inlineStr"/>
      <c r="D6" s="15" t="inlineStr"/>
      <c r="E6" s="15" t="inlineStr"/>
      <c r="F6" s="15" t="inlineStr"/>
      <c r="G6" s="15" t="inlineStr">
        <is>
          <t>Pending</t>
        </is>
      </c>
    </row>
    <row r="7" ht="32" customHeight="1">
      <c r="B7" s="4" t="inlineStr">
        <is>
          <t>EC/RES/2024/002</t>
        </is>
      </c>
      <c r="C7" s="5" t="inlineStr"/>
      <c r="D7" s="6" t="inlineStr"/>
      <c r="E7" s="6" t="inlineStr"/>
      <c r="F7" s="6" t="inlineStr"/>
      <c r="G7" s="6" t="inlineStr">
        <is>
          <t>Pending</t>
        </is>
      </c>
    </row>
    <row r="8" ht="32" customHeight="1">
      <c r="B8" s="13" t="inlineStr">
        <is>
          <t>EC/RES/2024/003</t>
        </is>
      </c>
      <c r="C8" s="14" t="inlineStr"/>
      <c r="D8" s="15" t="inlineStr"/>
      <c r="E8" s="15" t="inlineStr"/>
      <c r="F8" s="15" t="inlineStr"/>
      <c r="G8" s="15" t="inlineStr">
        <is>
          <t>Pending</t>
        </is>
      </c>
    </row>
    <row r="9" ht="32" customHeight="1">
      <c r="B9" s="4" t="inlineStr">
        <is>
          <t>EC/RES/2024/004</t>
        </is>
      </c>
      <c r="C9" s="5" t="inlineStr"/>
      <c r="D9" s="6" t="inlineStr"/>
      <c r="E9" s="6" t="inlineStr"/>
      <c r="F9" s="6" t="inlineStr"/>
      <c r="G9" s="6" t="inlineStr">
        <is>
          <t>Pending</t>
        </is>
      </c>
    </row>
    <row r="10" ht="32" customHeight="1">
      <c r="B10" s="13" t="inlineStr">
        <is>
          <t>EC/RES/2024/005</t>
        </is>
      </c>
      <c r="C10" s="14" t="inlineStr"/>
      <c r="D10" s="15" t="inlineStr"/>
      <c r="E10" s="15" t="inlineStr"/>
      <c r="F10" s="15" t="inlineStr"/>
      <c r="G10" s="15" t="inlineStr">
        <is>
          <t>Pending</t>
        </is>
      </c>
    </row>
    <row r="11" ht="32" customHeight="1">
      <c r="B11" s="4" t="inlineStr">
        <is>
          <t>EC/RES/2024/006</t>
        </is>
      </c>
      <c r="C11" s="5" t="inlineStr"/>
      <c r="D11" s="6" t="inlineStr"/>
      <c r="E11" s="6" t="inlineStr"/>
      <c r="F11" s="6" t="inlineStr"/>
      <c r="G11" s="6" t="inlineStr">
        <is>
          <t>Pending</t>
        </is>
      </c>
    </row>
    <row r="12" ht="32" customHeight="1">
      <c r="B12" s="13" t="inlineStr">
        <is>
          <t>EC/RES/2024/007</t>
        </is>
      </c>
      <c r="C12" s="14" t="inlineStr"/>
      <c r="D12" s="15" t="inlineStr"/>
      <c r="E12" s="15" t="inlineStr"/>
      <c r="F12" s="15" t="inlineStr"/>
      <c r="G12" s="15" t="inlineStr">
        <is>
          <t>Pending</t>
        </is>
      </c>
    </row>
    <row r="13" ht="32" customHeight="1">
      <c r="B13" s="4" t="inlineStr">
        <is>
          <t>EC/RES/2024/008</t>
        </is>
      </c>
      <c r="C13" s="5" t="inlineStr"/>
      <c r="D13" s="6" t="inlineStr"/>
      <c r="E13" s="6" t="inlineStr"/>
      <c r="F13" s="6" t="inlineStr"/>
      <c r="G13" s="6" t="inlineStr">
        <is>
          <t>Pending</t>
        </is>
      </c>
    </row>
    <row r="14" ht="32" customHeight="1">
      <c r="B14" s="13" t="inlineStr">
        <is>
          <t>EC/RES/2024/009</t>
        </is>
      </c>
      <c r="C14" s="14" t="inlineStr"/>
      <c r="D14" s="15" t="inlineStr"/>
      <c r="E14" s="15" t="inlineStr"/>
      <c r="F14" s="15" t="inlineStr"/>
      <c r="G14" s="15" t="inlineStr">
        <is>
          <t>Pending</t>
        </is>
      </c>
    </row>
    <row r="15" ht="32" customHeight="1">
      <c r="B15" s="4" t="inlineStr">
        <is>
          <t>EC/RES/2025/010</t>
        </is>
      </c>
      <c r="C15" s="5" t="inlineStr"/>
      <c r="D15" s="6" t="inlineStr"/>
      <c r="E15" s="6" t="inlineStr"/>
      <c r="F15" s="6" t="inlineStr"/>
      <c r="G15" s="6" t="inlineStr">
        <is>
          <t>Pending</t>
        </is>
      </c>
    </row>
    <row r="16" ht="32" customHeight="1">
      <c r="B16" s="13" t="inlineStr">
        <is>
          <t>EC/RES/2025/011</t>
        </is>
      </c>
      <c r="C16" s="14" t="inlineStr"/>
      <c r="D16" s="15" t="inlineStr"/>
      <c r="E16" s="15" t="inlineStr"/>
      <c r="F16" s="15" t="inlineStr"/>
      <c r="G16" s="15" t="inlineStr">
        <is>
          <t>Pending</t>
        </is>
      </c>
    </row>
    <row r="17" ht="32" customHeight="1">
      <c r="B17" s="4" t="inlineStr">
        <is>
          <t>EC/RES/2025/012</t>
        </is>
      </c>
      <c r="C17" s="5" t="inlineStr"/>
      <c r="D17" s="6" t="inlineStr"/>
      <c r="E17" s="6" t="inlineStr"/>
      <c r="F17" s="6" t="inlineStr"/>
      <c r="G17" s="6" t="inlineStr">
        <is>
          <t>Pending</t>
        </is>
      </c>
    </row>
    <row r="18" ht="32" customHeight="1">
      <c r="B18" s="13" t="inlineStr">
        <is>
          <t>EC/RES/2025/013</t>
        </is>
      </c>
      <c r="C18" s="14" t="inlineStr"/>
      <c r="D18" s="15" t="inlineStr"/>
      <c r="E18" s="15" t="inlineStr"/>
      <c r="F18" s="15" t="inlineStr"/>
      <c r="G18" s="15" t="inlineStr">
        <is>
          <t>Pending</t>
        </is>
      </c>
    </row>
    <row r="19" ht="32" customHeight="1">
      <c r="B19" s="4" t="inlineStr">
        <is>
          <t>EC/RES/2025/014</t>
        </is>
      </c>
      <c r="C19" s="5" t="inlineStr"/>
      <c r="D19" s="6" t="inlineStr"/>
      <c r="E19" s="6" t="inlineStr"/>
      <c r="F19" s="6" t="inlineStr"/>
      <c r="G19" s="6" t="inlineStr">
        <is>
          <t>Pending</t>
        </is>
      </c>
    </row>
    <row r="20" ht="32" customHeight="1">
      <c r="B20" s="13" t="inlineStr">
        <is>
          <t>EC/RES/2025/015</t>
        </is>
      </c>
      <c r="C20" s="14" t="inlineStr"/>
      <c r="D20" s="15" t="inlineStr"/>
      <c r="E20" s="15" t="inlineStr"/>
      <c r="F20" s="15" t="inlineStr"/>
      <c r="G20" s="15" t="inlineStr">
        <is>
          <t>Pending</t>
        </is>
      </c>
    </row>
    <row r="21" ht="32" customHeight="1">
      <c r="B21" s="4" t="inlineStr">
        <is>
          <t>EC/RES/2025/016</t>
        </is>
      </c>
      <c r="C21" s="5" t="inlineStr"/>
      <c r="D21" s="6" t="inlineStr"/>
      <c r="E21" s="6" t="inlineStr"/>
      <c r="F21" s="6" t="inlineStr"/>
      <c r="G21" s="6" t="inlineStr">
        <is>
          <t>Pending</t>
        </is>
      </c>
    </row>
    <row r="22" ht="32" customHeight="1">
      <c r="B22" s="13" t="inlineStr">
        <is>
          <t>EC/RES/2025/017</t>
        </is>
      </c>
      <c r="C22" s="14" t="inlineStr"/>
      <c r="D22" s="15" t="inlineStr"/>
      <c r="E22" s="15" t="inlineStr"/>
      <c r="F22" s="15" t="inlineStr"/>
      <c r="G22" s="15" t="inlineStr">
        <is>
          <t>Pending</t>
        </is>
      </c>
    </row>
    <row r="23" ht="32" customHeight="1"/>
    <row r="24" ht="32" customHeight="1">
      <c r="B24" s="28" t="inlineStr">
        <is>
          <t>SPECIAL / RESERVED RESOLUTIONS</t>
        </is>
      </c>
    </row>
    <row r="25" ht="32" customHeight="1">
      <c r="B25" s="29" t="inlineStr">
        <is>
          <t>Res. No.</t>
        </is>
      </c>
      <c r="C25" s="29" t="inlineStr">
        <is>
          <t>Subject</t>
        </is>
      </c>
      <c r="D25" s="29" t="inlineStr">
        <is>
          <t>Nature (Special/Confidential/Reserved)</t>
        </is>
      </c>
      <c r="E25" s="29" t="inlineStr">
        <is>
          <t>Outcome</t>
        </is>
      </c>
      <c r="F25" s="29" t="inlineStr">
        <is>
          <t>Forwarded To</t>
        </is>
      </c>
      <c r="G25" s="29" t="inlineStr">
        <is>
          <t>Record Ref.</t>
        </is>
      </c>
    </row>
    <row r="26" ht="22" customHeight="1">
      <c r="B26" s="30" t="n"/>
      <c r="C26" s="30" t="n"/>
      <c r="D26" s="30" t="n"/>
      <c r="E26" s="30" t="n"/>
      <c r="F26" s="30" t="n"/>
      <c r="G26" s="30" t="n"/>
    </row>
    <row r="27" ht="22" customHeight="1">
      <c r="B27" s="6" t="n"/>
      <c r="C27" s="6" t="n"/>
      <c r="D27" s="6" t="n"/>
      <c r="E27" s="6" t="n"/>
      <c r="F27" s="6" t="n"/>
      <c r="G27" s="6" t="n"/>
    </row>
    <row r="28" ht="22" customHeight="1">
      <c r="B28" s="30" t="n"/>
      <c r="C28" s="30" t="n"/>
      <c r="D28" s="30" t="n"/>
      <c r="E28" s="30" t="n"/>
      <c r="F28" s="30" t="n"/>
      <c r="G28" s="30" t="n"/>
    </row>
    <row r="29" ht="22" customHeight="1">
      <c r="B29" s="6" t="n"/>
      <c r="C29" s="6" t="n"/>
      <c r="D29" s="6" t="n"/>
      <c r="E29" s="6" t="n"/>
      <c r="F29" s="6" t="n"/>
      <c r="G29" s="6" t="n"/>
    </row>
    <row r="30" ht="32" customHeight="1"/>
    <row r="31" ht="32" customHeight="1">
      <c r="B31" s="16" t="inlineStr">
        <is>
          <t>Meeting closed at: _______    Next EC Meeting tentatively on: _______</t>
        </is>
      </c>
    </row>
    <row r="32" ht="32" customHeight="1">
      <c r="B32" s="27" t="inlineStr">
        <is>
          <t>Signature – Chairperson: ___________________    Signature – Registrar / Secretary: ___________________</t>
        </is>
      </c>
    </row>
    <row r="33" ht="32" customHeight="1"/>
    <row r="34" ht="32" customHeight="1"/>
    <row r="35" ht="32" customHeight="1"/>
    <row r="36" ht="32" customHeight="1"/>
    <row r="37" ht="32" customHeight="1"/>
    <row r="38" ht="32" customHeight="1"/>
    <row r="39" ht="32" customHeight="1"/>
    <row r="40" ht="32" customHeight="1"/>
    <row r="41" ht="32" customHeight="1"/>
  </sheetData>
  <mergeCells count="6">
    <mergeCell ref="B3:G3"/>
    <mergeCell ref="B2:G2"/>
    <mergeCell ref="B24:G24"/>
    <mergeCell ref="B31:G31"/>
    <mergeCell ref="B32:G32"/>
    <mergeCell ref="B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22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1" t="inlineStr">
        <is>
          <t>EC-05: ACTION TAKEN REPORT (ATR) ON EC RESOLUTIONS</t>
        </is>
      </c>
    </row>
    <row r="3" ht="25" customHeight="1">
      <c r="B3" s="2" t="inlineStr">
        <is>
          <t>Current EC Meeting No.: _______  Date: _______  Previous EC Meeting Ref.: _______  Date: _______</t>
        </is>
      </c>
    </row>
    <row r="4" ht="25" customHeight="1">
      <c r="B4" s="31" t="inlineStr">
        <is>
          <t>EC Resolution
No.</t>
        </is>
      </c>
      <c r="C4" s="31" t="inlineStr">
        <is>
          <t>Resolution / Decision (Previous Meeting)</t>
        </is>
      </c>
      <c r="D4" s="31" t="inlineStr">
        <is>
          <t>Action Required</t>
        </is>
      </c>
      <c r="E4" s="31" t="inlineStr">
        <is>
          <t>Responsible
Authority</t>
        </is>
      </c>
      <c r="F4" s="31" t="inlineStr">
        <is>
          <t>Target
Date</t>
        </is>
      </c>
      <c r="G4" s="31" t="inlineStr">
        <is>
          <t>Completion
Date</t>
        </is>
      </c>
      <c r="H4" s="31" t="inlineStr">
        <is>
          <t>Status &amp; Supporting Evidence</t>
        </is>
      </c>
    </row>
    <row r="5" ht="28" customHeight="1">
      <c r="B5" s="32" t="inlineStr">
        <is>
          <t>EC/RES/2024/001</t>
        </is>
      </c>
      <c r="C5" s="33" t="inlineStr"/>
      <c r="D5" s="33" t="inlineStr"/>
      <c r="E5" s="34" t="inlineStr"/>
      <c r="F5" s="34" t="inlineStr"/>
      <c r="G5" s="34" t="inlineStr"/>
      <c r="H5" s="33" t="inlineStr">
        <is>
          <t>Implemented</t>
        </is>
      </c>
    </row>
    <row r="6" ht="28" customHeight="1">
      <c r="B6" s="4" t="inlineStr">
        <is>
          <t>EC/RES/2024/002</t>
        </is>
      </c>
      <c r="C6" s="5" t="inlineStr"/>
      <c r="D6" s="5" t="inlineStr"/>
      <c r="E6" s="6" t="inlineStr"/>
      <c r="F6" s="6" t="inlineStr"/>
      <c r="G6" s="6" t="inlineStr"/>
      <c r="H6" s="5" t="inlineStr">
        <is>
          <t>In Progress</t>
        </is>
      </c>
    </row>
    <row r="7" ht="28" customHeight="1">
      <c r="B7" s="32" t="inlineStr">
        <is>
          <t>EC/RES/2024/003</t>
        </is>
      </c>
      <c r="C7" s="33" t="inlineStr"/>
      <c r="D7" s="33" t="inlineStr"/>
      <c r="E7" s="34" t="inlineStr"/>
      <c r="F7" s="34" t="inlineStr"/>
      <c r="G7" s="34" t="inlineStr"/>
      <c r="H7" s="33" t="inlineStr">
        <is>
          <t>Pending</t>
        </is>
      </c>
    </row>
    <row r="8" ht="28" customHeight="1">
      <c r="B8" s="4" t="inlineStr">
        <is>
          <t>EC/RES/2024/004</t>
        </is>
      </c>
      <c r="C8" s="5" t="inlineStr"/>
      <c r="D8" s="5" t="inlineStr"/>
      <c r="E8" s="6" t="inlineStr"/>
      <c r="F8" s="6" t="inlineStr"/>
      <c r="G8" s="6" t="inlineStr"/>
      <c r="H8" s="5" t="inlineStr">
        <is>
          <t>Deferred</t>
        </is>
      </c>
    </row>
    <row r="9" ht="28" customHeight="1">
      <c r="B9" s="32" t="inlineStr">
        <is>
          <t>EC/RES/2024/005</t>
        </is>
      </c>
      <c r="C9" s="33" t="inlineStr"/>
      <c r="D9" s="33" t="inlineStr"/>
      <c r="E9" s="34" t="inlineStr"/>
      <c r="F9" s="34" t="inlineStr"/>
      <c r="G9" s="34" t="inlineStr"/>
      <c r="H9" s="33" t="inlineStr">
        <is>
          <t>Referred</t>
        </is>
      </c>
    </row>
    <row r="10" ht="28" customHeight="1">
      <c r="B10" s="4" t="inlineStr">
        <is>
          <t>EC/RES/2024/006</t>
        </is>
      </c>
      <c r="C10" s="5" t="inlineStr"/>
      <c r="D10" s="5" t="inlineStr"/>
      <c r="E10" s="6" t="inlineStr"/>
      <c r="F10" s="6" t="inlineStr"/>
      <c r="G10" s="6" t="inlineStr"/>
      <c r="H10" s="5" t="inlineStr">
        <is>
          <t>Implemented</t>
        </is>
      </c>
    </row>
    <row r="11" ht="28" customHeight="1">
      <c r="B11" s="32" t="inlineStr">
        <is>
          <t>EC/RES/2024/007</t>
        </is>
      </c>
      <c r="C11" s="33" t="inlineStr"/>
      <c r="D11" s="33" t="inlineStr"/>
      <c r="E11" s="34" t="inlineStr"/>
      <c r="F11" s="34" t="inlineStr"/>
      <c r="G11" s="34" t="inlineStr"/>
      <c r="H11" s="33" t="inlineStr">
        <is>
          <t>In Progress</t>
        </is>
      </c>
    </row>
    <row r="12" ht="28" customHeight="1">
      <c r="B12" s="4" t="inlineStr">
        <is>
          <t>EC/RES/2024/008</t>
        </is>
      </c>
      <c r="C12" s="5" t="inlineStr"/>
      <c r="D12" s="5" t="inlineStr"/>
      <c r="E12" s="6" t="inlineStr"/>
      <c r="F12" s="6" t="inlineStr"/>
      <c r="G12" s="6" t="inlineStr"/>
      <c r="H12" s="5" t="inlineStr">
        <is>
          <t>Pending</t>
        </is>
      </c>
    </row>
    <row r="13" ht="28" customHeight="1">
      <c r="B13" s="32" t="inlineStr">
        <is>
          <t>EC/RES/2024/009</t>
        </is>
      </c>
      <c r="C13" s="33" t="inlineStr"/>
      <c r="D13" s="33" t="inlineStr"/>
      <c r="E13" s="34" t="inlineStr"/>
      <c r="F13" s="34" t="inlineStr"/>
      <c r="G13" s="34" t="inlineStr"/>
      <c r="H13" s="33" t="inlineStr">
        <is>
          <t>Deferred</t>
        </is>
      </c>
    </row>
    <row r="14" ht="28" customHeight="1">
      <c r="B14" s="4" t="inlineStr">
        <is>
          <t>EC/RES/2024/010</t>
        </is>
      </c>
      <c r="C14" s="5" t="inlineStr"/>
      <c r="D14" s="5" t="inlineStr"/>
      <c r="E14" s="6" t="inlineStr"/>
      <c r="F14" s="6" t="inlineStr"/>
      <c r="G14" s="6" t="inlineStr"/>
      <c r="H14" s="5" t="inlineStr">
        <is>
          <t>Referred</t>
        </is>
      </c>
    </row>
    <row r="15" ht="28" customHeight="1">
      <c r="B15" s="32" t="inlineStr">
        <is>
          <t>EC/RES/2024/011</t>
        </is>
      </c>
      <c r="C15" s="33" t="inlineStr"/>
      <c r="D15" s="33" t="inlineStr"/>
      <c r="E15" s="34" t="inlineStr"/>
      <c r="F15" s="34" t="inlineStr"/>
      <c r="G15" s="34" t="inlineStr"/>
      <c r="H15" s="33" t="inlineStr">
        <is>
          <t>Implemented</t>
        </is>
      </c>
    </row>
    <row r="16" ht="28" customHeight="1">
      <c r="B16" s="4" t="inlineStr">
        <is>
          <t>EC/RES/2024/012</t>
        </is>
      </c>
      <c r="C16" s="5" t="inlineStr"/>
      <c r="D16" s="5" t="inlineStr"/>
      <c r="E16" s="6" t="inlineStr"/>
      <c r="F16" s="6" t="inlineStr"/>
      <c r="G16" s="6" t="inlineStr"/>
      <c r="H16" s="5" t="inlineStr">
        <is>
          <t>In Progress</t>
        </is>
      </c>
    </row>
    <row r="17" ht="28" customHeight="1">
      <c r="B17" s="32" t="inlineStr">
        <is>
          <t>EC/RES/2024/013</t>
        </is>
      </c>
      <c r="C17" s="33" t="inlineStr"/>
      <c r="D17" s="33" t="inlineStr"/>
      <c r="E17" s="34" t="inlineStr"/>
      <c r="F17" s="34" t="inlineStr"/>
      <c r="G17" s="34" t="inlineStr"/>
      <c r="H17" s="33" t="inlineStr">
        <is>
          <t>Pending</t>
        </is>
      </c>
    </row>
    <row r="18" ht="28" customHeight="1">
      <c r="B18" s="4" t="inlineStr">
        <is>
          <t>EC/RES/2024/014</t>
        </is>
      </c>
      <c r="C18" s="5" t="inlineStr"/>
      <c r="D18" s="5" t="inlineStr"/>
      <c r="E18" s="6" t="inlineStr"/>
      <c r="F18" s="6" t="inlineStr"/>
      <c r="G18" s="6" t="inlineStr"/>
      <c r="H18" s="5" t="inlineStr">
        <is>
          <t>Deferred</t>
        </is>
      </c>
    </row>
    <row r="19" ht="28" customHeight="1">
      <c r="B19" s="32" t="inlineStr">
        <is>
          <t>EC/RES/2024/015</t>
        </is>
      </c>
      <c r="C19" s="33" t="inlineStr"/>
      <c r="D19" s="33" t="inlineStr"/>
      <c r="E19" s="34" t="inlineStr"/>
      <c r="F19" s="34" t="inlineStr"/>
      <c r="G19" s="34" t="inlineStr"/>
      <c r="H19" s="33" t="inlineStr">
        <is>
          <t>Referred</t>
        </is>
      </c>
    </row>
    <row r="20" ht="28" customHeight="1">
      <c r="B20" s="4" t="inlineStr">
        <is>
          <t>EC/RES/2024/016</t>
        </is>
      </c>
      <c r="C20" s="5" t="inlineStr"/>
      <c r="D20" s="5" t="inlineStr"/>
      <c r="E20" s="6" t="inlineStr"/>
      <c r="F20" s="6" t="inlineStr"/>
      <c r="G20" s="6" t="inlineStr"/>
      <c r="H20" s="5" t="inlineStr">
        <is>
          <t>Implemented</t>
        </is>
      </c>
    </row>
    <row r="21" ht="28" customHeight="1">
      <c r="B21" s="32" t="inlineStr">
        <is>
          <t>EC/RES/2024/017</t>
        </is>
      </c>
      <c r="C21" s="33" t="inlineStr"/>
      <c r="D21" s="33" t="inlineStr"/>
      <c r="E21" s="34" t="inlineStr"/>
      <c r="F21" s="34" t="inlineStr"/>
      <c r="G21" s="34" t="inlineStr"/>
      <c r="H21" s="33" t="inlineStr">
        <is>
          <t>In Progress</t>
        </is>
      </c>
    </row>
    <row r="22" ht="28" customHeight="1"/>
    <row r="23" ht="28" customHeight="1">
      <c r="B23" s="35" t="inlineStr">
        <is>
          <t>ATR SUMMARY</t>
        </is>
      </c>
    </row>
    <row r="24" ht="28" customHeight="1">
      <c r="B24" s="36" t="inlineStr">
        <is>
          <t>Total Resolutions Under Review</t>
        </is>
      </c>
      <c r="F24" s="37">
        <f>COUNTA(B5:B21)</f>
        <v/>
      </c>
    </row>
    <row r="25" ht="28" customHeight="1">
      <c r="B25" s="25" t="inlineStr">
        <is>
          <t>Fully Implemented</t>
        </is>
      </c>
      <c r="F25" s="24">
        <f>COUNTIF(H5:H21,"Implemented")</f>
        <v/>
      </c>
    </row>
    <row r="26" ht="28" customHeight="1">
      <c r="B26" s="36" t="inlineStr">
        <is>
          <t>In Progress</t>
        </is>
      </c>
      <c r="F26" s="37">
        <f>COUNTIF(H5:H21,"In Progress")</f>
        <v/>
      </c>
    </row>
    <row r="27" ht="28" customHeight="1">
      <c r="B27" s="25" t="inlineStr">
        <is>
          <t>Pending / Not Started</t>
        </is>
      </c>
      <c r="F27" s="24">
        <f>COUNTIF(H5:H21,"Pending")</f>
        <v/>
      </c>
    </row>
    <row r="28" ht="28" customHeight="1">
      <c r="B28" s="36" t="inlineStr">
        <is>
          <t>Deferred to Next Meeting</t>
        </is>
      </c>
      <c r="F28" s="37">
        <f>COUNTIF(H5:H21,"Deferred")</f>
        <v/>
      </c>
    </row>
    <row r="29" ht="28" customHeight="1">
      <c r="B29" s="25" t="inlineStr">
        <is>
          <t>Referred to Sub-Committee</t>
        </is>
      </c>
      <c r="F29" s="24">
        <f>COUNTIF(H5:H21,"Referred")</f>
        <v/>
      </c>
    </row>
    <row r="30" ht="28" customHeight="1">
      <c r="B30" s="36" t="inlineStr">
        <is>
          <t>Implementation Rate (%)</t>
        </is>
      </c>
      <c r="F30" s="37">
        <f>IFERROR(ROUND(C25/C24*100,1),"")</f>
        <v/>
      </c>
    </row>
    <row r="31" ht="28" customHeight="1"/>
    <row r="32" ht="28" customHeight="1"/>
    <row r="33" ht="28" customHeight="1"/>
    <row r="34" ht="28" customHeight="1"/>
  </sheetData>
  <mergeCells count="17">
    <mergeCell ref="F25:H25"/>
    <mergeCell ref="B26:E26"/>
    <mergeCell ref="B27:E27"/>
    <mergeCell ref="F28:H28"/>
    <mergeCell ref="F27:H27"/>
    <mergeCell ref="B30:E30"/>
    <mergeCell ref="F29:H29"/>
    <mergeCell ref="B29:E29"/>
    <mergeCell ref="F26:H26"/>
    <mergeCell ref="B2:H2"/>
    <mergeCell ref="B25:E25"/>
    <mergeCell ref="B24:E24"/>
    <mergeCell ref="F30:H30"/>
    <mergeCell ref="B3:H3"/>
    <mergeCell ref="B28:E28"/>
    <mergeCell ref="F24:H24"/>
    <mergeCell ref="B23:H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</cols>
  <sheetData>
    <row r="1" ht="10" customHeight="1"/>
    <row r="2" ht="48" customHeight="1">
      <c r="B2" s="11" t="inlineStr">
        <is>
          <t>EC-06: ANNUAL BUDGET PROPOSAL &amp; APPROVAL FORM</t>
        </is>
      </c>
    </row>
    <row r="3" ht="25" customHeight="1">
      <c r="B3" s="2" t="inlineStr">
        <is>
          <t>Institution: _________________________  Financial Year: _______  EC Meeting No.: _______  Date: _______</t>
        </is>
      </c>
    </row>
    <row r="4" ht="22" customHeight="1">
      <c r="B4" s="38" t="inlineStr">
        <is>
          <t>PART A — REVENUE / INCOME BUDGET (₹ in Lakhs)</t>
        </is>
      </c>
    </row>
    <row r="5" ht="22" customHeight="1">
      <c r="B5" s="39" t="inlineStr">
        <is>
          <t>Sl.</t>
        </is>
      </c>
      <c r="C5" s="39" t="inlineStr">
        <is>
          <t>Income Head</t>
        </is>
      </c>
      <c r="D5" s="39" t="inlineStr">
        <is>
          <t>Actual
(Prev. Year)</t>
        </is>
      </c>
      <c r="E5" s="39" t="inlineStr">
        <is>
          <t>Budget
(Current Year)</t>
        </is>
      </c>
      <c r="F5" s="39" t="inlineStr">
        <is>
          <t>Revised Est.
(Current Year)</t>
        </is>
      </c>
      <c r="G5" s="39" t="inlineStr">
        <is>
          <t>Proposed
(Next Year)</t>
        </is>
      </c>
      <c r="H5" s="39" t="inlineStr">
        <is>
          <t>EC
Approval</t>
        </is>
      </c>
    </row>
    <row r="6" ht="22" customHeight="1">
      <c r="B6" s="40" t="n">
        <v>1</v>
      </c>
      <c r="C6" s="41" t="inlineStr">
        <is>
          <t>Tuition Fees — UG Programmes</t>
        </is>
      </c>
      <c r="D6" s="42" t="inlineStr"/>
      <c r="E6" s="42" t="inlineStr"/>
      <c r="F6" s="42" t="inlineStr"/>
      <c r="G6" s="42" t="inlineStr"/>
      <c r="H6" s="42" t="inlineStr">
        <is>
          <t>Pending</t>
        </is>
      </c>
    </row>
    <row r="7" ht="22" customHeight="1">
      <c r="B7" s="4" t="n">
        <v>2</v>
      </c>
      <c r="C7" s="5" t="inlineStr">
        <is>
          <t>Tuition Fees — PG Programmes</t>
        </is>
      </c>
      <c r="D7" s="6" t="inlineStr"/>
      <c r="E7" s="6" t="inlineStr"/>
      <c r="F7" s="6" t="inlineStr"/>
      <c r="G7" s="6" t="inlineStr"/>
      <c r="H7" s="6" t="inlineStr">
        <is>
          <t>Pending</t>
        </is>
      </c>
    </row>
    <row r="8" ht="22" customHeight="1">
      <c r="B8" s="40" t="n">
        <v>3</v>
      </c>
      <c r="C8" s="41" t="inlineStr">
        <is>
          <t>Tuition Fees — Ph.D. Programmes</t>
        </is>
      </c>
      <c r="D8" s="42" t="inlineStr"/>
      <c r="E8" s="42" t="inlineStr"/>
      <c r="F8" s="42" t="inlineStr"/>
      <c r="G8" s="42" t="inlineStr"/>
      <c r="H8" s="42" t="inlineStr">
        <is>
          <t>Pending</t>
        </is>
      </c>
    </row>
    <row r="9" ht="22" customHeight="1">
      <c r="B9" s="4" t="n">
        <v>4</v>
      </c>
      <c r="C9" s="5" t="inlineStr">
        <is>
          <t>Hostel Fees</t>
        </is>
      </c>
      <c r="D9" s="6" t="inlineStr"/>
      <c r="E9" s="6" t="inlineStr"/>
      <c r="F9" s="6" t="inlineStr"/>
      <c r="G9" s="6" t="inlineStr"/>
      <c r="H9" s="6" t="inlineStr">
        <is>
          <t>Pending</t>
        </is>
      </c>
    </row>
    <row r="10" ht="22" customHeight="1">
      <c r="B10" s="40" t="n">
        <v>5</v>
      </c>
      <c r="C10" s="41" t="inlineStr">
        <is>
          <t>Transport Fees</t>
        </is>
      </c>
      <c r="D10" s="42" t="inlineStr"/>
      <c r="E10" s="42" t="inlineStr"/>
      <c r="F10" s="42" t="inlineStr"/>
      <c r="G10" s="42" t="inlineStr"/>
      <c r="H10" s="42" t="inlineStr">
        <is>
          <t>Pending</t>
        </is>
      </c>
    </row>
    <row r="11" ht="22" customHeight="1">
      <c r="B11" s="4" t="n">
        <v>6</v>
      </c>
      <c r="C11" s="5" t="inlineStr">
        <is>
          <t>Examination Fees</t>
        </is>
      </c>
      <c r="D11" s="6" t="inlineStr"/>
      <c r="E11" s="6" t="inlineStr"/>
      <c r="F11" s="6" t="inlineStr"/>
      <c r="G11" s="6" t="inlineStr"/>
      <c r="H11" s="6" t="inlineStr">
        <is>
          <t>Pending</t>
        </is>
      </c>
    </row>
    <row r="12" ht="22" customHeight="1">
      <c r="B12" s="40" t="n">
        <v>7</v>
      </c>
      <c r="C12" s="41" t="inlineStr">
        <is>
          <t>Library / Lab / Other Fees</t>
        </is>
      </c>
      <c r="D12" s="42" t="inlineStr"/>
      <c r="E12" s="42" t="inlineStr"/>
      <c r="F12" s="42" t="inlineStr"/>
      <c r="G12" s="42" t="inlineStr"/>
      <c r="H12" s="42" t="inlineStr">
        <is>
          <t>Pending</t>
        </is>
      </c>
    </row>
    <row r="13" ht="22" customHeight="1">
      <c r="B13" s="4" t="n">
        <v>8</v>
      </c>
      <c r="C13" s="5" t="inlineStr">
        <is>
          <t>Central / State Govt. Grants</t>
        </is>
      </c>
      <c r="D13" s="6" t="inlineStr"/>
      <c r="E13" s="6" t="inlineStr"/>
      <c r="F13" s="6" t="inlineStr"/>
      <c r="G13" s="6" t="inlineStr"/>
      <c r="H13" s="6" t="inlineStr">
        <is>
          <t>Pending</t>
        </is>
      </c>
    </row>
    <row r="14" ht="22" customHeight="1">
      <c r="B14" s="40" t="n">
        <v>9</v>
      </c>
      <c r="C14" s="41" t="inlineStr">
        <is>
          <t>UGC / AICTE Research Grants</t>
        </is>
      </c>
      <c r="D14" s="42" t="inlineStr"/>
      <c r="E14" s="42" t="inlineStr"/>
      <c r="F14" s="42" t="inlineStr"/>
      <c r="G14" s="42" t="inlineStr"/>
      <c r="H14" s="42" t="inlineStr">
        <is>
          <t>Pending</t>
        </is>
      </c>
    </row>
    <row r="15" ht="22" customHeight="1">
      <c r="B15" s="4" t="n">
        <v>10</v>
      </c>
      <c r="C15" s="5" t="inlineStr">
        <is>
          <t>Consultancy &amp; Testing Charges</t>
        </is>
      </c>
      <c r="D15" s="6" t="inlineStr"/>
      <c r="E15" s="6" t="inlineStr"/>
      <c r="F15" s="6" t="inlineStr"/>
      <c r="G15" s="6" t="inlineStr"/>
      <c r="H15" s="6" t="inlineStr">
        <is>
          <t>Pending</t>
        </is>
      </c>
    </row>
    <row r="16" ht="22" customHeight="1">
      <c r="B16" s="40" t="n">
        <v>11</v>
      </c>
      <c r="C16" s="41" t="inlineStr">
        <is>
          <t>Industry Donations / CSR Funds</t>
        </is>
      </c>
      <c r="D16" s="42" t="inlineStr"/>
      <c r="E16" s="42" t="inlineStr"/>
      <c r="F16" s="42" t="inlineStr"/>
      <c r="G16" s="42" t="inlineStr"/>
      <c r="H16" s="42" t="inlineStr">
        <is>
          <t>Pending</t>
        </is>
      </c>
    </row>
    <row r="17" ht="22" customHeight="1">
      <c r="B17" s="4" t="n">
        <v>12</v>
      </c>
      <c r="C17" s="5" t="inlineStr">
        <is>
          <t>Alumni Contributions</t>
        </is>
      </c>
      <c r="D17" s="6" t="inlineStr"/>
      <c r="E17" s="6" t="inlineStr"/>
      <c r="F17" s="6" t="inlineStr"/>
      <c r="G17" s="6" t="inlineStr"/>
      <c r="H17" s="6" t="inlineStr">
        <is>
          <t>Pending</t>
        </is>
      </c>
    </row>
    <row r="18" ht="22" customHeight="1">
      <c r="B18" s="40" t="n">
        <v>13</v>
      </c>
      <c r="C18" s="41" t="inlineStr">
        <is>
          <t>Interest Income</t>
        </is>
      </c>
      <c r="D18" s="42" t="inlineStr"/>
      <c r="E18" s="42" t="inlineStr"/>
      <c r="F18" s="42" t="inlineStr"/>
      <c r="G18" s="42" t="inlineStr"/>
      <c r="H18" s="42" t="inlineStr">
        <is>
          <t>Pending</t>
        </is>
      </c>
    </row>
    <row r="19" ht="22" customHeight="1">
      <c r="B19" s="4" t="n">
        <v>14</v>
      </c>
      <c r="C19" s="5" t="inlineStr">
        <is>
          <t>NRI / Management Quota Premium</t>
        </is>
      </c>
      <c r="D19" s="6" t="inlineStr"/>
      <c r="E19" s="6" t="inlineStr"/>
      <c r="F19" s="6" t="inlineStr"/>
      <c r="G19" s="6" t="inlineStr"/>
      <c r="H19" s="6" t="inlineStr">
        <is>
          <t>Pending</t>
        </is>
      </c>
    </row>
    <row r="20" ht="22" customHeight="1">
      <c r="B20" s="40" t="n">
        <v>15</v>
      </c>
      <c r="C20" s="41" t="inlineStr">
        <is>
          <t>Miscellaneous Income</t>
        </is>
      </c>
      <c r="D20" s="42" t="inlineStr"/>
      <c r="E20" s="42" t="inlineStr"/>
      <c r="F20" s="42" t="inlineStr"/>
      <c r="G20" s="42" t="inlineStr"/>
      <c r="H20" s="42" t="inlineStr">
        <is>
          <t>Pending</t>
        </is>
      </c>
    </row>
    <row r="21" ht="22" customHeight="1">
      <c r="B21" s="43" t="inlineStr">
        <is>
          <t>TOTAL INCOME</t>
        </is>
      </c>
      <c r="D21" s="44">
        <f>IFERROR(SUM(D6:D20),"")</f>
        <v/>
      </c>
      <c r="E21" s="44">
        <f>IFERROR(SUM(E6:E20),"")</f>
        <v/>
      </c>
      <c r="F21" s="44">
        <f>IFERROR(SUM(F6:F20),"")</f>
        <v/>
      </c>
      <c r="G21" s="44">
        <f>IFERROR(SUM(G6:G20),"")</f>
        <v/>
      </c>
      <c r="H21" s="44">
        <f>IFERROR(SUM(H6:H20),"")</f>
        <v/>
      </c>
    </row>
    <row r="22" ht="22" customHeight="1"/>
    <row r="23" ht="22" customHeight="1">
      <c r="B23" s="18" t="inlineStr">
        <is>
          <t>PART B — EXPENDITURE BUDGET (₹ in Lakhs)</t>
        </is>
      </c>
    </row>
    <row r="24" ht="22" customHeight="1">
      <c r="B24" s="19" t="inlineStr">
        <is>
          <t>Sl.</t>
        </is>
      </c>
      <c r="C24" s="19" t="inlineStr">
        <is>
          <t>Expenditure Head</t>
        </is>
      </c>
      <c r="D24" s="19" t="inlineStr">
        <is>
          <t>Actual
(Prev. Year)</t>
        </is>
      </c>
      <c r="E24" s="19" t="inlineStr">
        <is>
          <t>Budget
(Current Year)</t>
        </is>
      </c>
      <c r="F24" s="19" t="inlineStr">
        <is>
          <t>Revised Est.
(Current Year)</t>
        </is>
      </c>
      <c r="G24" s="19" t="inlineStr">
        <is>
          <t>Proposed
(Next Year)</t>
        </is>
      </c>
      <c r="H24" s="19" t="inlineStr">
        <is>
          <t>EC
Approval</t>
        </is>
      </c>
    </row>
    <row r="25" ht="22" customHeight="1">
      <c r="B25" s="45" t="n">
        <v>1</v>
      </c>
      <c r="C25" s="46" t="inlineStr">
        <is>
          <t>Salaries — Teaching Staff</t>
        </is>
      </c>
      <c r="D25" s="47" t="inlineStr"/>
      <c r="E25" s="47" t="inlineStr"/>
      <c r="F25" s="47" t="inlineStr"/>
      <c r="G25" s="47" t="inlineStr"/>
      <c r="H25" s="47" t="inlineStr">
        <is>
          <t>Pending</t>
        </is>
      </c>
    </row>
    <row r="26" ht="22" customHeight="1">
      <c r="B26" s="4" t="n">
        <v>2</v>
      </c>
      <c r="C26" s="5" t="inlineStr">
        <is>
          <t>Salaries — Non-Teaching Staff</t>
        </is>
      </c>
      <c r="D26" s="6" t="inlineStr"/>
      <c r="E26" s="6" t="inlineStr"/>
      <c r="F26" s="6" t="inlineStr"/>
      <c r="G26" s="6" t="inlineStr"/>
      <c r="H26" s="6" t="inlineStr">
        <is>
          <t>Pending</t>
        </is>
      </c>
    </row>
    <row r="27" ht="22" customHeight="1">
      <c r="B27" s="45" t="n">
        <v>3</v>
      </c>
      <c r="C27" s="46" t="inlineStr">
        <is>
          <t>Salaries — Administrative Staff</t>
        </is>
      </c>
      <c r="D27" s="47" t="inlineStr"/>
      <c r="E27" s="47" t="inlineStr"/>
      <c r="F27" s="47" t="inlineStr"/>
      <c r="G27" s="47" t="inlineStr"/>
      <c r="H27" s="47" t="inlineStr">
        <is>
          <t>Pending</t>
        </is>
      </c>
    </row>
    <row r="28" ht="22" customHeight="1">
      <c r="B28" s="4" t="n">
        <v>4</v>
      </c>
      <c r="C28" s="5" t="inlineStr">
        <is>
          <t>Provident Fund / ESI / Gratuity</t>
        </is>
      </c>
      <c r="D28" s="6" t="inlineStr"/>
      <c r="E28" s="6" t="inlineStr"/>
      <c r="F28" s="6" t="inlineStr"/>
      <c r="G28" s="6" t="inlineStr"/>
      <c r="H28" s="6" t="inlineStr">
        <is>
          <t>Pending</t>
        </is>
      </c>
    </row>
    <row r="29" ht="22" customHeight="1">
      <c r="B29" s="45" t="n">
        <v>5</v>
      </c>
      <c r="C29" s="46" t="inlineStr">
        <is>
          <t>Staff Training &amp; Development</t>
        </is>
      </c>
      <c r="D29" s="47" t="inlineStr"/>
      <c r="E29" s="47" t="inlineStr"/>
      <c r="F29" s="47" t="inlineStr"/>
      <c r="G29" s="47" t="inlineStr"/>
      <c r="H29" s="47" t="inlineStr">
        <is>
          <t>Pending</t>
        </is>
      </c>
    </row>
    <row r="30" ht="22" customHeight="1">
      <c r="B30" s="4" t="n">
        <v>6</v>
      </c>
      <c r="C30" s="5" t="inlineStr">
        <is>
          <t>Library — Books, Journals &amp; Databases</t>
        </is>
      </c>
      <c r="D30" s="6" t="inlineStr"/>
      <c r="E30" s="6" t="inlineStr"/>
      <c r="F30" s="6" t="inlineStr"/>
      <c r="G30" s="6" t="inlineStr"/>
      <c r="H30" s="6" t="inlineStr">
        <is>
          <t>Pending</t>
        </is>
      </c>
    </row>
    <row r="31" ht="22" customHeight="1">
      <c r="B31" s="45" t="n">
        <v>7</v>
      </c>
      <c r="C31" s="46" t="inlineStr">
        <is>
          <t>Laboratory Equipment &amp; Consumables</t>
        </is>
      </c>
      <c r="D31" s="47" t="inlineStr"/>
      <c r="E31" s="47" t="inlineStr"/>
      <c r="F31" s="47" t="inlineStr"/>
      <c r="G31" s="47" t="inlineStr"/>
      <c r="H31" s="47" t="inlineStr">
        <is>
          <t>Pending</t>
        </is>
      </c>
    </row>
    <row r="32" ht="22" customHeight="1">
      <c r="B32" s="4" t="n">
        <v>8</v>
      </c>
      <c r="C32" s="5" t="inlineStr">
        <is>
          <t>Computer Hardware &amp; Software Licences</t>
        </is>
      </c>
      <c r="D32" s="6" t="inlineStr"/>
      <c r="E32" s="6" t="inlineStr"/>
      <c r="F32" s="6" t="inlineStr"/>
      <c r="G32" s="6" t="inlineStr"/>
      <c r="H32" s="6" t="inlineStr">
        <is>
          <t>Pending</t>
        </is>
      </c>
    </row>
    <row r="33" ht="22" customHeight="1">
      <c r="B33" s="45" t="n">
        <v>9</v>
      </c>
      <c r="C33" s="46" t="inlineStr">
        <is>
          <t>Building Maintenance &amp; Repairs</t>
        </is>
      </c>
      <c r="D33" s="47" t="inlineStr"/>
      <c r="E33" s="47" t="inlineStr"/>
      <c r="F33" s="47" t="inlineStr"/>
      <c r="G33" s="47" t="inlineStr"/>
      <c r="H33" s="47" t="inlineStr">
        <is>
          <t>Pending</t>
        </is>
      </c>
    </row>
    <row r="34" ht="22" customHeight="1">
      <c r="B34" s="4" t="n">
        <v>10</v>
      </c>
      <c r="C34" s="5" t="inlineStr">
        <is>
          <t>Hostel &amp; Campus Maintenance</t>
        </is>
      </c>
      <c r="D34" s="6" t="inlineStr"/>
      <c r="E34" s="6" t="inlineStr"/>
      <c r="F34" s="6" t="inlineStr"/>
      <c r="G34" s="6" t="inlineStr"/>
      <c r="H34" s="6" t="inlineStr">
        <is>
          <t>Pending</t>
        </is>
      </c>
    </row>
    <row r="35" ht="22" customHeight="1">
      <c r="B35" s="45" t="n">
        <v>11</v>
      </c>
      <c r="C35" s="46" t="inlineStr">
        <is>
          <t>Campus Utilities (Power, Water, Internet)</t>
        </is>
      </c>
      <c r="D35" s="47" t="inlineStr"/>
      <c r="E35" s="47" t="inlineStr"/>
      <c r="F35" s="47" t="inlineStr"/>
      <c r="G35" s="47" t="inlineStr"/>
      <c r="H35" s="47" t="inlineStr">
        <is>
          <t>Pending</t>
        </is>
      </c>
    </row>
    <row r="36" ht="22" customHeight="1">
      <c r="B36" s="4" t="n">
        <v>12</v>
      </c>
      <c r="C36" s="5" t="inlineStr">
        <is>
          <t>Examinations &amp; Evaluation Expenses</t>
        </is>
      </c>
      <c r="D36" s="6" t="inlineStr"/>
      <c r="E36" s="6" t="inlineStr"/>
      <c r="F36" s="6" t="inlineStr"/>
      <c r="G36" s="6" t="inlineStr"/>
      <c r="H36" s="6" t="inlineStr">
        <is>
          <t>Pending</t>
        </is>
      </c>
    </row>
    <row r="37" ht="22" customHeight="1">
      <c r="B37" s="45" t="n">
        <v>13</v>
      </c>
      <c r="C37" s="46" t="inlineStr">
        <is>
          <t>Sports &amp; Cultural Activities</t>
        </is>
      </c>
      <c r="D37" s="47" t="inlineStr"/>
      <c r="E37" s="47" t="inlineStr"/>
      <c r="F37" s="47" t="inlineStr"/>
      <c r="G37" s="47" t="inlineStr"/>
      <c r="H37" s="47" t="inlineStr">
        <is>
          <t>Pending</t>
        </is>
      </c>
    </row>
    <row r="38" ht="22" customHeight="1">
      <c r="B38" s="4" t="n">
        <v>14</v>
      </c>
      <c r="C38" s="5" t="inlineStr">
        <is>
          <t>Student Welfare &amp; Scholarships</t>
        </is>
      </c>
      <c r="D38" s="6" t="inlineStr"/>
      <c r="E38" s="6" t="inlineStr"/>
      <c r="F38" s="6" t="inlineStr"/>
      <c r="G38" s="6" t="inlineStr"/>
      <c r="H38" s="6" t="inlineStr">
        <is>
          <t>Pending</t>
        </is>
      </c>
    </row>
    <row r="39" ht="22" customHeight="1">
      <c r="B39" s="45" t="n">
        <v>15</v>
      </c>
      <c r="C39" s="46" t="inlineStr">
        <is>
          <t>Academic Events &amp; Conferences</t>
        </is>
      </c>
      <c r="D39" s="47" t="inlineStr"/>
      <c r="E39" s="47" t="inlineStr"/>
      <c r="F39" s="47" t="inlineStr"/>
      <c r="G39" s="47" t="inlineStr"/>
      <c r="H39" s="47" t="inlineStr">
        <is>
          <t>Pending</t>
        </is>
      </c>
    </row>
    <row r="40" ht="22" customHeight="1">
      <c r="B40" s="4" t="n">
        <v>16</v>
      </c>
      <c r="C40" s="5" t="inlineStr">
        <is>
          <t>Research &amp; Innovation Fund</t>
        </is>
      </c>
      <c r="D40" s="6" t="inlineStr"/>
      <c r="E40" s="6" t="inlineStr"/>
      <c r="F40" s="6" t="inlineStr"/>
      <c r="G40" s="6" t="inlineStr"/>
      <c r="H40" s="6" t="inlineStr">
        <is>
          <t>Pending</t>
        </is>
      </c>
    </row>
    <row r="41" ht="22" customHeight="1">
      <c r="B41" s="45" t="n">
        <v>17</v>
      </c>
      <c r="C41" s="46" t="inlineStr">
        <is>
          <t>Marketing &amp; Admissions</t>
        </is>
      </c>
      <c r="D41" s="47" t="inlineStr"/>
      <c r="E41" s="47" t="inlineStr"/>
      <c r="F41" s="47" t="inlineStr"/>
      <c r="G41" s="47" t="inlineStr"/>
      <c r="H41" s="47" t="inlineStr">
        <is>
          <t>Pending</t>
        </is>
      </c>
    </row>
    <row r="42" ht="22" customHeight="1">
      <c r="B42" s="4" t="n">
        <v>18</v>
      </c>
      <c r="C42" s="5" t="inlineStr">
        <is>
          <t>Legal &amp; Audit Fees</t>
        </is>
      </c>
      <c r="D42" s="6" t="inlineStr"/>
      <c r="E42" s="6" t="inlineStr"/>
      <c r="F42" s="6" t="inlineStr"/>
      <c r="G42" s="6" t="inlineStr"/>
      <c r="H42" s="6" t="inlineStr">
        <is>
          <t>Pending</t>
        </is>
      </c>
    </row>
    <row r="43" ht="22" customHeight="1">
      <c r="B43" s="45" t="n">
        <v>19</v>
      </c>
      <c r="C43" s="46" t="inlineStr">
        <is>
          <t>Capital Repayment (Loan EMI)</t>
        </is>
      </c>
      <c r="D43" s="47" t="inlineStr"/>
      <c r="E43" s="47" t="inlineStr"/>
      <c r="F43" s="47" t="inlineStr"/>
      <c r="G43" s="47" t="inlineStr"/>
      <c r="H43" s="47" t="inlineStr">
        <is>
          <t>Pending</t>
        </is>
      </c>
    </row>
    <row r="44" ht="22" customHeight="1">
      <c r="B44" s="4" t="n">
        <v>20</v>
      </c>
      <c r="C44" s="5" t="inlineStr">
        <is>
          <t>Miscellaneous / Contingencies</t>
        </is>
      </c>
      <c r="D44" s="6" t="inlineStr"/>
      <c r="E44" s="6" t="inlineStr"/>
      <c r="F44" s="6" t="inlineStr"/>
      <c r="G44" s="6" t="inlineStr"/>
      <c r="H44" s="6" t="inlineStr">
        <is>
          <t>Pending</t>
        </is>
      </c>
    </row>
    <row r="45" ht="22" customHeight="1">
      <c r="B45" s="48" t="inlineStr">
        <is>
          <t>TOTAL EXPENDITURE</t>
        </is>
      </c>
      <c r="D45" s="49">
        <f>IFERROR(SUM(D25:D44),"")</f>
        <v/>
      </c>
      <c r="E45" s="49">
        <f>IFERROR(SUM(E25:E44),"")</f>
        <v/>
      </c>
      <c r="F45" s="49">
        <f>IFERROR(SUM(F25:F44),"")</f>
        <v/>
      </c>
      <c r="G45" s="49">
        <f>IFERROR(SUM(G25:G44),"")</f>
        <v/>
      </c>
      <c r="H45" s="49">
        <f>IFERROR(SUM(H25:H44),"")</f>
        <v/>
      </c>
    </row>
    <row r="46" ht="22" customHeight="1">
      <c r="B46" s="50" t="inlineStr">
        <is>
          <t>SURPLUS / (DEFICIT)</t>
        </is>
      </c>
      <c r="D46" s="51">
        <f>IFERROR(D21-D45,"")</f>
        <v/>
      </c>
      <c r="E46" s="51">
        <f>IFERROR(E21-E45,"")</f>
        <v/>
      </c>
      <c r="F46" s="51">
        <f>IFERROR(F21-F45,"")</f>
        <v/>
      </c>
      <c r="G46" s="51">
        <f>IFERROR(G21-G45,"")</f>
        <v/>
      </c>
      <c r="H46" s="51">
        <f>IFERROR(H21-H45,"")</f>
        <v/>
      </c>
    </row>
    <row r="47" ht="22" customHeight="1"/>
    <row r="48" ht="22" customHeight="1">
      <c r="B48" s="27" t="inlineStr">
        <is>
          <t>Approved by EC Resolution No.: _______    Finance Officer: ___________________    Chairperson: ___________________    Date: _______</t>
        </is>
      </c>
    </row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</sheetData>
  <mergeCells count="8">
    <mergeCell ref="B21:C21"/>
    <mergeCell ref="B4:H4"/>
    <mergeCell ref="B45:C45"/>
    <mergeCell ref="B46:C46"/>
    <mergeCell ref="B2:H2"/>
    <mergeCell ref="B48:H48"/>
    <mergeCell ref="B3:H3"/>
    <mergeCell ref="B23:H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1" t="inlineStr">
        <is>
          <t>EC-07: CAPITAL EXPENDITURE SANCTION &amp; APPROVAL FORM</t>
        </is>
      </c>
    </row>
    <row r="3" ht="25" customHeight="1">
      <c r="B3" s="2" t="inlineStr">
        <is>
          <t>EC Meeting No.: _______  Date: _______  Dept. / Section: ___________________  FY: _______</t>
        </is>
      </c>
    </row>
    <row r="4" ht="22" customHeight="1">
      <c r="B4" s="18" t="inlineStr">
        <is>
          <t>PROJECT / PROPOSAL DETAILS</t>
        </is>
      </c>
    </row>
    <row r="5" ht="22" customHeight="1">
      <c r="B5" s="52" t="inlineStr">
        <is>
          <t>Project Title:</t>
        </is>
      </c>
      <c r="C5" s="5" t="n"/>
    </row>
    <row r="6" ht="22" customHeight="1">
      <c r="B6" s="52" t="inlineStr">
        <is>
          <t>Category (Building / Equipment / IT / Other):</t>
        </is>
      </c>
      <c r="C6" s="5" t="n"/>
    </row>
    <row r="7" ht="22" customHeight="1">
      <c r="B7" s="52" t="inlineStr">
        <is>
          <t>Proposed by (Dept. / HOD):</t>
        </is>
      </c>
      <c r="C7" s="5" t="n"/>
    </row>
    <row r="8" ht="22" customHeight="1">
      <c r="B8" s="52" t="inlineStr">
        <is>
          <t>Project Start Date:</t>
        </is>
      </c>
      <c r="C8" s="5" t="n"/>
    </row>
    <row r="9" ht="22" customHeight="1">
      <c r="B9" s="52" t="inlineStr">
        <is>
          <t>Expected Completion Date:</t>
        </is>
      </c>
      <c r="C9" s="5" t="n"/>
    </row>
    <row r="10" ht="22" customHeight="1">
      <c r="B10" s="52" t="inlineStr">
        <is>
          <t>Total Estimated Cost (₹):</t>
        </is>
      </c>
      <c r="C10" s="5" t="n"/>
    </row>
    <row r="11" ht="22" customHeight="1">
      <c r="B11" s="52" t="inlineStr">
        <is>
          <t>Funding Source (Own Funds / Loan / Grant):</t>
        </is>
      </c>
      <c r="C11" s="5" t="n"/>
    </row>
    <row r="12" ht="22" customHeight="1">
      <c r="B12" s="52" t="inlineStr">
        <is>
          <t>Tendering / Procurement Mode:</t>
        </is>
      </c>
      <c r="C12" s="5" t="n"/>
    </row>
    <row r="13" ht="22" customHeight="1"/>
    <row r="14" ht="22" customHeight="1">
      <c r="B14" s="38" t="inlineStr">
        <is>
          <t>COST BREAKDOWN &amp; PHASING (₹ in Lakhs)</t>
        </is>
      </c>
    </row>
    <row r="15" ht="22" customHeight="1">
      <c r="B15" s="39" t="inlineStr">
        <is>
          <t>Sl.</t>
        </is>
      </c>
      <c r="C15" s="39" t="inlineStr">
        <is>
          <t>Cost Component</t>
        </is>
      </c>
      <c r="D15" s="39" t="inlineStr">
        <is>
          <t>Year 1
Estimate</t>
        </is>
      </c>
      <c r="E15" s="39" t="inlineStr">
        <is>
          <t>Year 2
Estimate</t>
        </is>
      </c>
      <c r="F15" s="39" t="inlineStr">
        <is>
          <t>Year 3
Estimate</t>
        </is>
      </c>
      <c r="G15" s="39" t="inlineStr">
        <is>
          <t>Total Cost</t>
        </is>
      </c>
      <c r="H15" s="39" t="inlineStr">
        <is>
          <t>Remarks</t>
        </is>
      </c>
    </row>
    <row r="16" ht="22" customHeight="1">
      <c r="B16" s="40" t="n">
        <v>1</v>
      </c>
      <c r="C16" s="41" t="inlineStr">
        <is>
          <t>Civil / Structural Work</t>
        </is>
      </c>
      <c r="D16" s="42" t="inlineStr"/>
      <c r="E16" s="42" t="inlineStr"/>
      <c r="F16" s="42" t="inlineStr"/>
      <c r="G16" s="42">
        <f>IFERROR(SUM(D16:F16),"")</f>
        <v/>
      </c>
      <c r="H16" s="41" t="inlineStr"/>
    </row>
    <row r="17" ht="22" customHeight="1">
      <c r="B17" s="4" t="n">
        <v>2</v>
      </c>
      <c r="C17" s="5" t="inlineStr">
        <is>
          <t>Interior &amp; Furnishing</t>
        </is>
      </c>
      <c r="D17" s="6" t="inlineStr"/>
      <c r="E17" s="6" t="inlineStr"/>
      <c r="F17" s="6" t="inlineStr"/>
      <c r="G17" s="6">
        <f>IFERROR(SUM(D17:F17),"")</f>
        <v/>
      </c>
      <c r="H17" s="5" t="inlineStr"/>
    </row>
    <row r="18" ht="22" customHeight="1">
      <c r="B18" s="40" t="n">
        <v>3</v>
      </c>
      <c r="C18" s="41" t="inlineStr">
        <is>
          <t>Electrical &amp; MEP Work</t>
        </is>
      </c>
      <c r="D18" s="42" t="inlineStr"/>
      <c r="E18" s="42" t="inlineStr"/>
      <c r="F18" s="42" t="inlineStr"/>
      <c r="G18" s="42">
        <f>IFERROR(SUM(D18:F18),"")</f>
        <v/>
      </c>
      <c r="H18" s="41" t="inlineStr"/>
    </row>
    <row r="19" ht="22" customHeight="1">
      <c r="B19" s="4" t="n">
        <v>4</v>
      </c>
      <c r="C19" s="5" t="inlineStr">
        <is>
          <t>IT Infrastructure (Network, Servers)</t>
        </is>
      </c>
      <c r="D19" s="6" t="inlineStr"/>
      <c r="E19" s="6" t="inlineStr"/>
      <c r="F19" s="6" t="inlineStr"/>
      <c r="G19" s="6">
        <f>IFERROR(SUM(D19:F19),"")</f>
        <v/>
      </c>
      <c r="H19" s="5" t="inlineStr"/>
    </row>
    <row r="20" ht="22" customHeight="1">
      <c r="B20" s="40" t="n">
        <v>5</v>
      </c>
      <c r="C20" s="41" t="inlineStr">
        <is>
          <t>Laboratory Equipment</t>
        </is>
      </c>
      <c r="D20" s="42" t="inlineStr"/>
      <c r="E20" s="42" t="inlineStr"/>
      <c r="F20" s="42" t="inlineStr"/>
      <c r="G20" s="42">
        <f>IFERROR(SUM(D20:F20),"")</f>
        <v/>
      </c>
      <c r="H20" s="41" t="inlineStr"/>
    </row>
    <row r="21" ht="22" customHeight="1">
      <c r="B21" s="4" t="n">
        <v>6</v>
      </c>
      <c r="C21" s="5" t="inlineStr">
        <is>
          <t>Classroom / Library Furniture</t>
        </is>
      </c>
      <c r="D21" s="6" t="inlineStr"/>
      <c r="E21" s="6" t="inlineStr"/>
      <c r="F21" s="6" t="inlineStr"/>
      <c r="G21" s="6">
        <f>IFERROR(SUM(D21:F21),"")</f>
        <v/>
      </c>
      <c r="H21" s="5" t="inlineStr"/>
    </row>
    <row r="22" ht="22" customHeight="1">
      <c r="B22" s="40" t="n">
        <v>7</v>
      </c>
      <c r="C22" s="41" t="inlineStr">
        <is>
          <t>CCTV / Security Systems</t>
        </is>
      </c>
      <c r="D22" s="42" t="inlineStr"/>
      <c r="E22" s="42" t="inlineStr"/>
      <c r="F22" s="42" t="inlineStr"/>
      <c r="G22" s="42">
        <f>IFERROR(SUM(D22:F22),"")</f>
        <v/>
      </c>
      <c r="H22" s="41" t="inlineStr"/>
    </row>
    <row r="23" ht="22" customHeight="1">
      <c r="B23" s="4" t="n">
        <v>8</v>
      </c>
      <c r="C23" s="5" t="inlineStr">
        <is>
          <t>Landscaping / Green Campus</t>
        </is>
      </c>
      <c r="D23" s="6" t="inlineStr"/>
      <c r="E23" s="6" t="inlineStr"/>
      <c r="F23" s="6" t="inlineStr"/>
      <c r="G23" s="6">
        <f>IFERROR(SUM(D23:F23),"")</f>
        <v/>
      </c>
      <c r="H23" s="5" t="inlineStr"/>
    </row>
    <row r="24" ht="22" customHeight="1">
      <c r="B24" s="40" t="n">
        <v>9</v>
      </c>
      <c r="C24" s="41" t="inlineStr">
        <is>
          <t>Contingency (5–10%)</t>
        </is>
      </c>
      <c r="D24" s="42" t="inlineStr"/>
      <c r="E24" s="42" t="inlineStr"/>
      <c r="F24" s="42" t="inlineStr"/>
      <c r="G24" s="42">
        <f>IFERROR(SUM(D24:F24),"")</f>
        <v/>
      </c>
      <c r="H24" s="41" t="inlineStr"/>
    </row>
    <row r="25" ht="22" customHeight="1">
      <c r="B25" s="4" t="n">
        <v>10</v>
      </c>
      <c r="C25" s="5" t="inlineStr">
        <is>
          <t>Project Management / Consultancy</t>
        </is>
      </c>
      <c r="D25" s="6" t="inlineStr"/>
      <c r="E25" s="6" t="inlineStr"/>
      <c r="F25" s="6" t="inlineStr"/>
      <c r="G25" s="6">
        <f>IFERROR(SUM(D25:F25),"")</f>
        <v/>
      </c>
      <c r="H25" s="5" t="inlineStr"/>
    </row>
    <row r="26" ht="22" customHeight="1">
      <c r="B26" s="43" t="inlineStr">
        <is>
          <t>TOTAL CAPEX</t>
        </is>
      </c>
      <c r="D26" s="51">
        <f>IFERROR(SUM(D16:D25),"")</f>
        <v/>
      </c>
      <c r="E26" s="51">
        <f>IFERROR(SUM(E16:E25),"")</f>
        <v/>
      </c>
      <c r="F26" s="51">
        <f>IFERROR(SUM(F16:F25),"")</f>
        <v/>
      </c>
      <c r="G26" s="51">
        <f>IFERROR(SUM(G16:G25),"")</f>
        <v/>
      </c>
      <c r="H26" s="51">
        <f>IFERROR(SUM(H16:H25),"")</f>
        <v/>
      </c>
    </row>
    <row r="27" ht="22" customHeight="1"/>
    <row r="28" ht="22" customHeight="1">
      <c r="B28" s="20" t="inlineStr">
        <is>
          <t>JUSTIFICATION &amp; COMMITTEE RECOMMENDATION</t>
        </is>
      </c>
    </row>
    <row r="29" ht="28" customHeight="1">
      <c r="B29" s="53" t="inlineStr">
        <is>
          <t>Need / Rationale for this capital investment:</t>
        </is>
      </c>
      <c r="C29" s="5" t="n"/>
    </row>
    <row r="30" ht="28" customHeight="1">
      <c r="B30" s="54" t="inlineStr">
        <is>
          <t>Expected outcomes / benefits:</t>
        </is>
      </c>
      <c r="C30" s="5" t="n"/>
    </row>
    <row r="31" ht="28" customHeight="1">
      <c r="B31" s="53" t="inlineStr">
        <is>
          <t>Alternatives considered:</t>
        </is>
      </c>
      <c r="C31" s="5" t="n"/>
    </row>
    <row r="32" ht="28" customHeight="1">
      <c r="B32" s="54" t="inlineStr">
        <is>
          <t>Building / Technical Committee recommendation:</t>
        </is>
      </c>
      <c r="C32" s="5" t="n"/>
    </row>
    <row r="33" ht="28" customHeight="1">
      <c r="B33" s="53" t="inlineStr">
        <is>
          <t>Finance Committee recommendation:</t>
        </is>
      </c>
      <c r="C33" s="5" t="n"/>
    </row>
    <row r="34" ht="28" customHeight="1">
      <c r="B34" s="54" t="inlineStr">
        <is>
          <t>Statutory / regulatory requirement (if applicable):</t>
        </is>
      </c>
      <c r="C34" s="5" t="n"/>
    </row>
    <row r="35" ht="22" customHeight="1"/>
    <row r="36" ht="22" customHeight="1">
      <c r="B36" s="2" t="inlineStr">
        <is>
          <t>EC Decision:  [ ] Approved in Full   [ ] Approved with Modified Budget   [ ] Deferred   [ ] Rejected</t>
        </is>
      </c>
    </row>
    <row r="37" ht="22" customHeight="1">
      <c r="B37" s="27" t="inlineStr">
        <is>
          <t>EC Resolution No.: _______    Amount Sanctioned (₹): _______    Chairperson: ___________________    Date: _______</t>
        </is>
      </c>
    </row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</sheetData>
  <mergeCells count="22">
    <mergeCell ref="C10:H10"/>
    <mergeCell ref="C9:H9"/>
    <mergeCell ref="C31:H31"/>
    <mergeCell ref="C12:H12"/>
    <mergeCell ref="B37:H37"/>
    <mergeCell ref="C11:H11"/>
    <mergeCell ref="B36:H36"/>
    <mergeCell ref="B4:H4"/>
    <mergeCell ref="C8:H8"/>
    <mergeCell ref="B3:H3"/>
    <mergeCell ref="C7:H7"/>
    <mergeCell ref="C32:H32"/>
    <mergeCell ref="B2:H2"/>
    <mergeCell ref="C34:H34"/>
    <mergeCell ref="C30:H30"/>
    <mergeCell ref="C33:H33"/>
    <mergeCell ref="C6:H6"/>
    <mergeCell ref="B14:H14"/>
    <mergeCell ref="C5:H5"/>
    <mergeCell ref="B26:C26"/>
    <mergeCell ref="C29:H29"/>
    <mergeCell ref="B28:H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EC-08: HUMAN RESOURCE — APPOINTMENTS &amp; PROMOTIONS REGISTER</t>
        </is>
      </c>
    </row>
    <row r="3" ht="25" customHeight="1">
      <c r="B3" s="2" t="inlineStr">
        <is>
          <t>EC Meeting No.: _______  Date: _______  HR Officer: ___________________  A.Y.: _______</t>
        </is>
      </c>
    </row>
    <row r="4" ht="22" customHeight="1">
      <c r="B4" s="18" t="inlineStr">
        <is>
          <t>PART A — NEW APPOINTMENTS RECOMMENDED / APPROVED</t>
        </is>
      </c>
    </row>
    <row r="5" ht="22" customHeight="1">
      <c r="B5" s="19" t="inlineStr">
        <is>
          <t>Sl.</t>
        </is>
      </c>
      <c r="C5" s="19" t="inlineStr">
        <is>
          <t>Name of Appointee</t>
        </is>
      </c>
      <c r="D5" s="19" t="inlineStr">
        <is>
          <t>Post / Designation</t>
        </is>
      </c>
      <c r="E5" s="19" t="inlineStr">
        <is>
          <t>Department</t>
        </is>
      </c>
      <c r="F5" s="19" t="inlineStr">
        <is>
          <t>Qualification</t>
        </is>
      </c>
      <c r="G5" s="19" t="inlineStr">
        <is>
          <t>Pay Scale / CTC</t>
        </is>
      </c>
      <c r="H5" s="19" t="inlineStr">
        <is>
          <t>EC Resolution No.</t>
        </is>
      </c>
      <c r="I5" s="19" t="inlineStr">
        <is>
          <t>Joining Date</t>
        </is>
      </c>
    </row>
    <row r="6" ht="22" customHeight="1">
      <c r="B6" s="47" t="n"/>
      <c r="C6" s="47" t="n"/>
      <c r="D6" s="47" t="n"/>
      <c r="E6" s="47" t="n"/>
      <c r="F6" s="47" t="n"/>
      <c r="G6" s="47" t="n"/>
      <c r="H6" s="47" t="n"/>
      <c r="I6" s="47" t="n"/>
    </row>
    <row r="7" ht="22" customHeight="1">
      <c r="B7" s="6" t="n"/>
      <c r="C7" s="6" t="n"/>
      <c r="D7" s="6" t="n"/>
      <c r="E7" s="6" t="n"/>
      <c r="F7" s="6" t="n"/>
      <c r="G7" s="6" t="n"/>
      <c r="H7" s="6" t="n"/>
      <c r="I7" s="6" t="n"/>
    </row>
    <row r="8" ht="22" customHeight="1">
      <c r="B8" s="47" t="n"/>
      <c r="C8" s="47" t="n"/>
      <c r="D8" s="47" t="n"/>
      <c r="E8" s="47" t="n"/>
      <c r="F8" s="47" t="n"/>
      <c r="G8" s="47" t="n"/>
      <c r="H8" s="47" t="n"/>
      <c r="I8" s="47" t="n"/>
    </row>
    <row r="9" ht="22" customHeight="1">
      <c r="B9" s="6" t="n"/>
      <c r="C9" s="6" t="n"/>
      <c r="D9" s="6" t="n"/>
      <c r="E9" s="6" t="n"/>
      <c r="F9" s="6" t="n"/>
      <c r="G9" s="6" t="n"/>
      <c r="H9" s="6" t="n"/>
      <c r="I9" s="6" t="n"/>
    </row>
    <row r="10" ht="22" customHeight="1">
      <c r="B10" s="47" t="n"/>
      <c r="C10" s="47" t="n"/>
      <c r="D10" s="47" t="n"/>
      <c r="E10" s="47" t="n"/>
      <c r="F10" s="47" t="n"/>
      <c r="G10" s="47" t="n"/>
      <c r="H10" s="47" t="n"/>
      <c r="I10" s="47" t="n"/>
    </row>
    <row r="11" ht="22" customHeight="1">
      <c r="B11" s="6" t="n"/>
      <c r="C11" s="6" t="n"/>
      <c r="D11" s="6" t="n"/>
      <c r="E11" s="6" t="n"/>
      <c r="F11" s="6" t="n"/>
      <c r="G11" s="6" t="n"/>
      <c r="H11" s="6" t="n"/>
      <c r="I11" s="6" t="n"/>
    </row>
    <row r="12" ht="22" customHeight="1">
      <c r="B12" s="47" t="n"/>
      <c r="C12" s="47" t="n"/>
      <c r="D12" s="47" t="n"/>
      <c r="E12" s="47" t="n"/>
      <c r="F12" s="47" t="n"/>
      <c r="G12" s="47" t="n"/>
      <c r="H12" s="47" t="n"/>
      <c r="I12" s="47" t="n"/>
    </row>
    <row r="13" ht="22" customHeight="1">
      <c r="B13" s="6" t="n"/>
      <c r="C13" s="6" t="n"/>
      <c r="D13" s="6" t="n"/>
      <c r="E13" s="6" t="n"/>
      <c r="F13" s="6" t="n"/>
      <c r="G13" s="6" t="n"/>
      <c r="H13" s="6" t="n"/>
      <c r="I13" s="6" t="n"/>
    </row>
    <row r="14" ht="22" customHeight="1">
      <c r="B14" s="47" t="n"/>
      <c r="C14" s="47" t="n"/>
      <c r="D14" s="47" t="n"/>
      <c r="E14" s="47" t="n"/>
      <c r="F14" s="47" t="n"/>
      <c r="G14" s="47" t="n"/>
      <c r="H14" s="47" t="n"/>
      <c r="I14" s="47" t="n"/>
    </row>
    <row r="15" ht="22" customHeight="1">
      <c r="B15" s="6" t="n"/>
      <c r="C15" s="6" t="n"/>
      <c r="D15" s="6" t="n"/>
      <c r="E15" s="6" t="n"/>
      <c r="F15" s="6" t="n"/>
      <c r="G15" s="6" t="n"/>
      <c r="H15" s="6" t="n"/>
      <c r="I15" s="6" t="n"/>
    </row>
    <row r="16" ht="22" customHeight="1"/>
    <row r="17" ht="22" customHeight="1">
      <c r="B17" s="38" t="inlineStr">
        <is>
          <t>PART B — PROMOTIONS &amp; CAREER ADVANCEMENT SCHEME (CAS)</t>
        </is>
      </c>
    </row>
    <row r="18" ht="22" customHeight="1">
      <c r="B18" s="39" t="inlineStr">
        <is>
          <t>Sl.</t>
        </is>
      </c>
      <c r="C18" s="39" t="inlineStr">
        <is>
          <t>Name of Employee</t>
        </is>
      </c>
      <c r="D18" s="39" t="inlineStr">
        <is>
          <t>Present Designation</t>
        </is>
      </c>
      <c r="E18" s="39" t="inlineStr">
        <is>
          <t>Promoted To</t>
        </is>
      </c>
      <c r="F18" s="39" t="inlineStr">
        <is>
          <t>Department</t>
        </is>
      </c>
      <c r="G18" s="39" t="inlineStr">
        <is>
          <t>Effective Date</t>
        </is>
      </c>
      <c r="H18" s="39" t="inlineStr">
        <is>
          <t>EC Resolution No.</t>
        </is>
      </c>
      <c r="I18" s="39" t="inlineStr">
        <is>
          <t>Pay Revision</t>
        </is>
      </c>
    </row>
    <row r="19" ht="22" customHeight="1">
      <c r="B19" s="42" t="n"/>
      <c r="C19" s="42" t="n"/>
      <c r="D19" s="42" t="n"/>
      <c r="E19" s="42" t="n"/>
      <c r="F19" s="42" t="n"/>
      <c r="G19" s="42" t="n"/>
      <c r="H19" s="42" t="n"/>
      <c r="I19" s="42" t="n"/>
    </row>
    <row r="20" ht="22" customHeight="1">
      <c r="B20" s="6" t="n"/>
      <c r="C20" s="6" t="n"/>
      <c r="D20" s="6" t="n"/>
      <c r="E20" s="6" t="n"/>
      <c r="F20" s="6" t="n"/>
      <c r="G20" s="6" t="n"/>
      <c r="H20" s="6" t="n"/>
      <c r="I20" s="6" t="n"/>
    </row>
    <row r="21" ht="22" customHeight="1">
      <c r="B21" s="42" t="n"/>
      <c r="C21" s="42" t="n"/>
      <c r="D21" s="42" t="n"/>
      <c r="E21" s="42" t="n"/>
      <c r="F21" s="42" t="n"/>
      <c r="G21" s="42" t="n"/>
      <c r="H21" s="42" t="n"/>
      <c r="I21" s="42" t="n"/>
    </row>
    <row r="22" ht="22" customHeight="1">
      <c r="B22" s="6" t="n"/>
      <c r="C22" s="6" t="n"/>
      <c r="D22" s="6" t="n"/>
      <c r="E22" s="6" t="n"/>
      <c r="F22" s="6" t="n"/>
      <c r="G22" s="6" t="n"/>
      <c r="H22" s="6" t="n"/>
      <c r="I22" s="6" t="n"/>
    </row>
    <row r="23" ht="22" customHeight="1">
      <c r="B23" s="42" t="n"/>
      <c r="C23" s="42" t="n"/>
      <c r="D23" s="42" t="n"/>
      <c r="E23" s="42" t="n"/>
      <c r="F23" s="42" t="n"/>
      <c r="G23" s="42" t="n"/>
      <c r="H23" s="42" t="n"/>
      <c r="I23" s="42" t="n"/>
    </row>
    <row r="24" ht="22" customHeight="1">
      <c r="B24" s="6" t="n"/>
      <c r="C24" s="6" t="n"/>
      <c r="D24" s="6" t="n"/>
      <c r="E24" s="6" t="n"/>
      <c r="F24" s="6" t="n"/>
      <c r="G24" s="6" t="n"/>
      <c r="H24" s="6" t="n"/>
      <c r="I24" s="6" t="n"/>
    </row>
    <row r="25" ht="22" customHeight="1">
      <c r="B25" s="42" t="n"/>
      <c r="C25" s="42" t="n"/>
      <c r="D25" s="42" t="n"/>
      <c r="E25" s="42" t="n"/>
      <c r="F25" s="42" t="n"/>
      <c r="G25" s="42" t="n"/>
      <c r="H25" s="42" t="n"/>
      <c r="I25" s="42" t="n"/>
    </row>
    <row r="26" ht="22" customHeight="1">
      <c r="B26" s="6" t="n"/>
      <c r="C26" s="6" t="n"/>
      <c r="D26" s="6" t="n"/>
      <c r="E26" s="6" t="n"/>
      <c r="F26" s="6" t="n"/>
      <c r="G26" s="6" t="n"/>
      <c r="H26" s="6" t="n"/>
      <c r="I26" s="6" t="n"/>
    </row>
    <row r="27" ht="22" customHeight="1">
      <c r="B27" s="42" t="n"/>
      <c r="C27" s="42" t="n"/>
      <c r="D27" s="42" t="n"/>
      <c r="E27" s="42" t="n"/>
      <c r="F27" s="42" t="n"/>
      <c r="G27" s="42" t="n"/>
      <c r="H27" s="42" t="n"/>
      <c r="I27" s="42" t="n"/>
    </row>
    <row r="28" ht="22" customHeight="1">
      <c r="B28" s="6" t="n"/>
      <c r="C28" s="6" t="n"/>
      <c r="D28" s="6" t="n"/>
      <c r="E28" s="6" t="n"/>
      <c r="F28" s="6" t="n"/>
      <c r="G28" s="6" t="n"/>
      <c r="H28" s="6" t="n"/>
      <c r="I28" s="6" t="n"/>
    </row>
    <row r="29" ht="22" customHeight="1"/>
    <row r="30" ht="22" customHeight="1">
      <c r="B30" s="55" t="inlineStr">
        <is>
          <t>PART C — DISCIPLINARY ACTIONS &amp; SEPARATIONS</t>
        </is>
      </c>
    </row>
    <row r="31" ht="22" customHeight="1">
      <c r="B31" s="56" t="inlineStr">
        <is>
          <t>Sl.</t>
        </is>
      </c>
      <c r="C31" s="56" t="inlineStr">
        <is>
          <t>Name of Employee</t>
        </is>
      </c>
      <c r="D31" s="56" t="inlineStr">
        <is>
          <t>Designation</t>
        </is>
      </c>
      <c r="E31" s="56" t="inlineStr">
        <is>
          <t>Department</t>
        </is>
      </c>
      <c r="F31" s="56" t="inlineStr">
        <is>
          <t>Nature of Action</t>
        </is>
      </c>
      <c r="G31" s="56" t="inlineStr">
        <is>
          <t>Date of Effect</t>
        </is>
      </c>
      <c r="H31" s="56" t="inlineStr">
        <is>
          <t>EC Resolution No.</t>
        </is>
      </c>
      <c r="I31" s="56" t="inlineStr">
        <is>
          <t>Remarks</t>
        </is>
      </c>
    </row>
    <row r="32" ht="22" customHeight="1">
      <c r="B32" s="57" t="n"/>
      <c r="C32" s="57" t="n"/>
      <c r="D32" s="57" t="n"/>
      <c r="E32" s="57" t="n"/>
      <c r="F32" s="57" t="n"/>
      <c r="G32" s="57" t="n"/>
      <c r="H32" s="57" t="n"/>
      <c r="I32" s="57" t="n"/>
    </row>
    <row r="33" ht="22" customHeight="1">
      <c r="B33" s="6" t="n"/>
      <c r="C33" s="6" t="n"/>
      <c r="D33" s="6" t="n"/>
      <c r="E33" s="6" t="n"/>
      <c r="F33" s="6" t="n"/>
      <c r="G33" s="6" t="n"/>
      <c r="H33" s="6" t="n"/>
      <c r="I33" s="6" t="n"/>
    </row>
    <row r="34" ht="22" customHeight="1">
      <c r="B34" s="57" t="n"/>
      <c r="C34" s="57" t="n"/>
      <c r="D34" s="57" t="n"/>
      <c r="E34" s="57" t="n"/>
      <c r="F34" s="57" t="n"/>
      <c r="G34" s="57" t="n"/>
      <c r="H34" s="57" t="n"/>
      <c r="I34" s="57" t="n"/>
    </row>
    <row r="35" ht="22" customHeight="1">
      <c r="B35" s="6" t="n"/>
      <c r="C35" s="6" t="n"/>
      <c r="D35" s="6" t="n"/>
      <c r="E35" s="6" t="n"/>
      <c r="F35" s="6" t="n"/>
      <c r="G35" s="6" t="n"/>
      <c r="H35" s="6" t="n"/>
      <c r="I35" s="6" t="n"/>
    </row>
    <row r="36" ht="22" customHeight="1">
      <c r="B36" s="57" t="n"/>
      <c r="C36" s="57" t="n"/>
      <c r="D36" s="57" t="n"/>
      <c r="E36" s="57" t="n"/>
      <c r="F36" s="57" t="n"/>
      <c r="G36" s="57" t="n"/>
      <c r="H36" s="57" t="n"/>
      <c r="I36" s="57" t="n"/>
    </row>
    <row r="37" ht="22" customHeight="1">
      <c r="B37" s="6" t="n"/>
      <c r="C37" s="6" t="n"/>
      <c r="D37" s="6" t="n"/>
      <c r="E37" s="6" t="n"/>
      <c r="F37" s="6" t="n"/>
      <c r="G37" s="6" t="n"/>
      <c r="H37" s="6" t="n"/>
      <c r="I37" s="6" t="n"/>
    </row>
    <row r="38" ht="22" customHeight="1">
      <c r="B38" s="57" t="n"/>
      <c r="C38" s="57" t="n"/>
      <c r="D38" s="57" t="n"/>
      <c r="E38" s="57" t="n"/>
      <c r="F38" s="57" t="n"/>
      <c r="G38" s="57" t="n"/>
      <c r="H38" s="57" t="n"/>
      <c r="I38" s="57" t="n"/>
    </row>
    <row r="39" ht="22" customHeight="1"/>
    <row r="40" ht="22" customHeight="1">
      <c r="B40" s="20" t="inlineStr">
        <is>
          <t>HR MOVEMENT SUMMARY</t>
        </is>
      </c>
    </row>
    <row r="41" ht="22" customHeight="1">
      <c r="B41" s="23" t="inlineStr">
        <is>
          <t>Sanctioned Strength (Teaching)</t>
        </is>
      </c>
      <c r="F41" s="37" t="inlineStr"/>
    </row>
    <row r="42" ht="22" customHeight="1">
      <c r="B42" s="25" t="inlineStr">
        <is>
          <t>Sanctioned Strength (Non-Teaching)</t>
        </is>
      </c>
      <c r="F42" s="24" t="inlineStr"/>
    </row>
    <row r="43" ht="22" customHeight="1">
      <c r="B43" s="23" t="inlineStr">
        <is>
          <t>New Appointments this Period</t>
        </is>
      </c>
      <c r="F43" s="37">
        <f>COUNTA(C6:C15)</f>
        <v/>
      </c>
    </row>
    <row r="44" ht="22" customHeight="1">
      <c r="B44" s="25" t="inlineStr">
        <is>
          <t>Promotions this Period</t>
        </is>
      </c>
      <c r="F44" s="24">
        <f>COUNTA(C19:C28)</f>
        <v/>
      </c>
    </row>
    <row r="45" ht="22" customHeight="1">
      <c r="B45" s="23" t="inlineStr">
        <is>
          <t>Separations / Terminations</t>
        </is>
      </c>
      <c r="F45" s="37">
        <f>COUNTA(C32:C38)</f>
        <v/>
      </c>
    </row>
    <row r="46" ht="22" customHeight="1">
      <c r="B46" s="25" t="inlineStr">
        <is>
          <t>Current Vacancies (Teaching)</t>
        </is>
      </c>
      <c r="F46" s="24" t="inlineStr"/>
    </row>
    <row r="47" ht="22" customHeight="1">
      <c r="B47" s="23" t="inlineStr">
        <is>
          <t>Current Vacancies (Non-Teaching)</t>
        </is>
      </c>
      <c r="F47" s="37" t="inlineStr"/>
    </row>
    <row r="48" ht="22" customHeight="1"/>
    <row r="49" ht="22" customHeight="1"/>
  </sheetData>
  <mergeCells count="20">
    <mergeCell ref="F43:I43"/>
    <mergeCell ref="B3:I3"/>
    <mergeCell ref="B45:E45"/>
    <mergeCell ref="B41:E41"/>
    <mergeCell ref="B2:I2"/>
    <mergeCell ref="F44:I44"/>
    <mergeCell ref="B47:E47"/>
    <mergeCell ref="B46:E46"/>
    <mergeCell ref="B17:I17"/>
    <mergeCell ref="B43:E43"/>
    <mergeCell ref="B4:I4"/>
    <mergeCell ref="B42:E42"/>
    <mergeCell ref="F45:I45"/>
    <mergeCell ref="F42:I42"/>
    <mergeCell ref="B40:I40"/>
    <mergeCell ref="B30:I30"/>
    <mergeCell ref="F41:I41"/>
    <mergeCell ref="B44:E44"/>
    <mergeCell ref="F47:I47"/>
    <mergeCell ref="F46:I4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EC-09: POLICY FORMULATION, AMENDMENT &amp; RATIFICATION REGISTER</t>
        </is>
      </c>
    </row>
    <row r="3" ht="25" customHeight="1">
      <c r="B3" s="2" t="inlineStr">
        <is>
          <t>Institution: _________________________  Maintained by: Registrar    Last Updated: _______</t>
        </is>
      </c>
    </row>
    <row r="4" ht="25" customHeight="1">
      <c r="B4" s="19" t="inlineStr">
        <is>
          <t>Policy
Code</t>
        </is>
      </c>
      <c r="C4" s="19" t="inlineStr">
        <is>
          <t>Policy Title</t>
        </is>
      </c>
      <c r="D4" s="19" t="inlineStr">
        <is>
          <t>Category</t>
        </is>
      </c>
      <c r="E4" s="19" t="inlineStr">
        <is>
          <t>Version No.</t>
        </is>
      </c>
      <c r="F4" s="19" t="inlineStr">
        <is>
          <t>Drafted by</t>
        </is>
      </c>
      <c r="G4" s="19" t="inlineStr">
        <is>
          <t>EC Approved
Date</t>
        </is>
      </c>
      <c r="H4" s="19" t="inlineStr">
        <is>
          <t>EC Resolution
Ref.</t>
        </is>
      </c>
      <c r="I4" s="19" t="inlineStr">
        <is>
          <t>Review Due
Date</t>
        </is>
      </c>
    </row>
    <row r="5" ht="25" customHeight="1">
      <c r="B5" s="45" t="inlineStr">
        <is>
          <t>POL-AC-01</t>
        </is>
      </c>
      <c r="C5" s="46" t="inlineStr">
        <is>
          <t>Academic Integrity &amp; Plagiarism Policy</t>
        </is>
      </c>
      <c r="D5" s="47" t="inlineStr">
        <is>
          <t>Academic</t>
        </is>
      </c>
      <c r="E5" s="47" t="inlineStr">
        <is>
          <t>v1.0</t>
        </is>
      </c>
      <c r="F5" s="47" t="inlineStr"/>
      <c r="G5" s="47" t="inlineStr"/>
      <c r="H5" s="47" t="inlineStr"/>
      <c r="I5" s="47" t="inlineStr"/>
    </row>
    <row r="6" ht="25" customHeight="1">
      <c r="B6" s="4" t="inlineStr">
        <is>
          <t>POL-AC-02</t>
        </is>
      </c>
      <c r="C6" s="5" t="inlineStr">
        <is>
          <t>Attendance &amp; Leave Policy (Students)</t>
        </is>
      </c>
      <c r="D6" s="6" t="inlineStr">
        <is>
          <t>Academic</t>
        </is>
      </c>
      <c r="E6" s="6" t="inlineStr">
        <is>
          <t>v1.0</t>
        </is>
      </c>
      <c r="F6" s="6" t="inlineStr"/>
      <c r="G6" s="6" t="inlineStr"/>
      <c r="H6" s="6" t="inlineStr"/>
      <c r="I6" s="6" t="inlineStr"/>
    </row>
    <row r="7" ht="25" customHeight="1">
      <c r="B7" s="45" t="inlineStr">
        <is>
          <t>POL-AC-03</t>
        </is>
      </c>
      <c r="C7" s="46" t="inlineStr">
        <is>
          <t>Curriculum Review &amp; Revision Policy</t>
        </is>
      </c>
      <c r="D7" s="47" t="inlineStr">
        <is>
          <t>Academic</t>
        </is>
      </c>
      <c r="E7" s="47" t="inlineStr">
        <is>
          <t>v1.0</t>
        </is>
      </c>
      <c r="F7" s="47" t="inlineStr"/>
      <c r="G7" s="47" t="inlineStr"/>
      <c r="H7" s="47" t="inlineStr"/>
      <c r="I7" s="47" t="inlineStr"/>
    </row>
    <row r="8" ht="25" customHeight="1">
      <c r="B8" s="4" t="inlineStr">
        <is>
          <t>POL-FN-01</t>
        </is>
      </c>
      <c r="C8" s="5" t="inlineStr">
        <is>
          <t>Financial Delegation of Authority Policy</t>
        </is>
      </c>
      <c r="D8" s="6" t="inlineStr">
        <is>
          <t>Finance</t>
        </is>
      </c>
      <c r="E8" s="6" t="inlineStr">
        <is>
          <t>v1.0</t>
        </is>
      </c>
      <c r="F8" s="6" t="inlineStr"/>
      <c r="G8" s="6" t="inlineStr"/>
      <c r="H8" s="6" t="inlineStr"/>
      <c r="I8" s="6" t="inlineStr"/>
    </row>
    <row r="9" ht="25" customHeight="1">
      <c r="B9" s="45" t="inlineStr">
        <is>
          <t>POL-FN-02</t>
        </is>
      </c>
      <c r="C9" s="46" t="inlineStr">
        <is>
          <t>Procurement &amp; Tendering Policy</t>
        </is>
      </c>
      <c r="D9" s="47" t="inlineStr">
        <is>
          <t>Finance</t>
        </is>
      </c>
      <c r="E9" s="47" t="inlineStr">
        <is>
          <t>v1.0</t>
        </is>
      </c>
      <c r="F9" s="47" t="inlineStr"/>
      <c r="G9" s="47" t="inlineStr"/>
      <c r="H9" s="47" t="inlineStr"/>
      <c r="I9" s="47" t="inlineStr"/>
    </row>
    <row r="10" ht="25" customHeight="1">
      <c r="B10" s="4" t="inlineStr">
        <is>
          <t>POL-FN-03</t>
        </is>
      </c>
      <c r="C10" s="5" t="inlineStr">
        <is>
          <t>Fee Refund &amp; Scholarship Policy</t>
        </is>
      </c>
      <c r="D10" s="6" t="inlineStr">
        <is>
          <t>Finance</t>
        </is>
      </c>
      <c r="E10" s="6" t="inlineStr">
        <is>
          <t>v1.0</t>
        </is>
      </c>
      <c r="F10" s="6" t="inlineStr"/>
      <c r="G10" s="6" t="inlineStr"/>
      <c r="H10" s="6" t="inlineStr"/>
      <c r="I10" s="6" t="inlineStr"/>
    </row>
    <row r="11" ht="25" customHeight="1">
      <c r="B11" s="45" t="inlineStr">
        <is>
          <t>POL-HR-01</t>
        </is>
      </c>
      <c r="C11" s="46" t="inlineStr">
        <is>
          <t>Recruitment &amp; Selection Policy</t>
        </is>
      </c>
      <c r="D11" s="47" t="inlineStr">
        <is>
          <t>HR / Service Rules</t>
        </is>
      </c>
      <c r="E11" s="47" t="inlineStr">
        <is>
          <t>v1.0</t>
        </is>
      </c>
      <c r="F11" s="47" t="inlineStr"/>
      <c r="G11" s="47" t="inlineStr"/>
      <c r="H11" s="47" t="inlineStr"/>
      <c r="I11" s="47" t="inlineStr"/>
    </row>
    <row r="12" ht="25" customHeight="1">
      <c r="B12" s="4" t="inlineStr">
        <is>
          <t>POL-HR-02</t>
        </is>
      </c>
      <c r="C12" s="5" t="inlineStr">
        <is>
          <t>Performance Appraisal &amp; CAS Policy</t>
        </is>
      </c>
      <c r="D12" s="6" t="inlineStr">
        <is>
          <t>HR / Service Rules</t>
        </is>
      </c>
      <c r="E12" s="6" t="inlineStr">
        <is>
          <t>v1.0</t>
        </is>
      </c>
      <c r="F12" s="6" t="inlineStr"/>
      <c r="G12" s="6" t="inlineStr"/>
      <c r="H12" s="6" t="inlineStr"/>
      <c r="I12" s="6" t="inlineStr"/>
    </row>
    <row r="13" ht="25" customHeight="1">
      <c r="B13" s="45" t="inlineStr">
        <is>
          <t>POL-HR-03</t>
        </is>
      </c>
      <c r="C13" s="46" t="inlineStr">
        <is>
          <t>Leave &amp; Attendance Policy (Staff)</t>
        </is>
      </c>
      <c r="D13" s="47" t="inlineStr">
        <is>
          <t>HR / Service Rules</t>
        </is>
      </c>
      <c r="E13" s="47" t="inlineStr">
        <is>
          <t>v1.0</t>
        </is>
      </c>
      <c r="F13" s="47" t="inlineStr"/>
      <c r="G13" s="47" t="inlineStr"/>
      <c r="H13" s="47" t="inlineStr"/>
      <c r="I13" s="47" t="inlineStr"/>
    </row>
    <row r="14" ht="25" customHeight="1">
      <c r="B14" s="4" t="inlineStr">
        <is>
          <t>POL-EX-01</t>
        </is>
      </c>
      <c r="C14" s="5" t="inlineStr">
        <is>
          <t>Examination Conduct &amp; Malpractice Policy</t>
        </is>
      </c>
      <c r="D14" s="6" t="inlineStr">
        <is>
          <t>Examination</t>
        </is>
      </c>
      <c r="E14" s="6" t="inlineStr">
        <is>
          <t>v1.0</t>
        </is>
      </c>
      <c r="F14" s="6" t="inlineStr"/>
      <c r="G14" s="6" t="inlineStr"/>
      <c r="H14" s="6" t="inlineStr"/>
      <c r="I14" s="6" t="inlineStr"/>
    </row>
    <row r="15" ht="25" customHeight="1">
      <c r="B15" s="45" t="inlineStr">
        <is>
          <t>POL-EX-02</t>
        </is>
      </c>
      <c r="C15" s="46" t="inlineStr">
        <is>
          <t>Grace Marks &amp; Moderation Policy</t>
        </is>
      </c>
      <c r="D15" s="47" t="inlineStr">
        <is>
          <t>Examination</t>
        </is>
      </c>
      <c r="E15" s="47" t="inlineStr">
        <is>
          <t>v1.0</t>
        </is>
      </c>
      <c r="F15" s="47" t="inlineStr"/>
      <c r="G15" s="47" t="inlineStr"/>
      <c r="H15" s="47" t="inlineStr"/>
      <c r="I15" s="47" t="inlineStr"/>
    </row>
    <row r="16" ht="25" customHeight="1">
      <c r="B16" s="4" t="inlineStr">
        <is>
          <t>POL-IT-01</t>
        </is>
      </c>
      <c r="C16" s="5" t="inlineStr">
        <is>
          <t>IT Acceptable Use &amp; Data Security Policy</t>
        </is>
      </c>
      <c r="D16" s="6" t="inlineStr">
        <is>
          <t>IT &amp; Data</t>
        </is>
      </c>
      <c r="E16" s="6" t="inlineStr">
        <is>
          <t>v1.0</t>
        </is>
      </c>
      <c r="F16" s="6" t="inlineStr"/>
      <c r="G16" s="6" t="inlineStr"/>
      <c r="H16" s="6" t="inlineStr"/>
      <c r="I16" s="6" t="inlineStr"/>
    </row>
    <row r="17" ht="25" customHeight="1">
      <c r="B17" s="45" t="inlineStr">
        <is>
          <t>POL-SW-01</t>
        </is>
      </c>
      <c r="C17" s="46" t="inlineStr">
        <is>
          <t>Student Grievance Redressal Policy</t>
        </is>
      </c>
      <c r="D17" s="47" t="inlineStr">
        <is>
          <t>Student Welfare</t>
        </is>
      </c>
      <c r="E17" s="47" t="inlineStr">
        <is>
          <t>v1.0</t>
        </is>
      </c>
      <c r="F17" s="47" t="inlineStr"/>
      <c r="G17" s="47" t="inlineStr"/>
      <c r="H17" s="47" t="inlineStr"/>
      <c r="I17" s="47" t="inlineStr"/>
    </row>
    <row r="18" ht="25" customHeight="1">
      <c r="B18" s="4" t="inlineStr">
        <is>
          <t>POL-AR-01</t>
        </is>
      </c>
      <c r="C18" s="5" t="inlineStr">
        <is>
          <t>Anti-Ragging Policy &amp; Mechanism</t>
        </is>
      </c>
      <c r="D18" s="6" t="inlineStr">
        <is>
          <t>Anti-Ragging</t>
        </is>
      </c>
      <c r="E18" s="6" t="inlineStr">
        <is>
          <t>v1.0</t>
        </is>
      </c>
      <c r="F18" s="6" t="inlineStr"/>
      <c r="G18" s="6" t="inlineStr"/>
      <c r="H18" s="6" t="inlineStr"/>
      <c r="I18" s="6" t="inlineStr"/>
    </row>
    <row r="19" ht="25" customHeight="1">
      <c r="B19" s="45" t="inlineStr">
        <is>
          <t>POL-PO-01</t>
        </is>
      </c>
      <c r="C19" s="46" t="inlineStr">
        <is>
          <t>POSH / Prevention of Sexual Harassment</t>
        </is>
      </c>
      <c r="D19" s="47" t="inlineStr">
        <is>
          <t>POSH / ICC</t>
        </is>
      </c>
      <c r="E19" s="47" t="inlineStr">
        <is>
          <t>v1.0</t>
        </is>
      </c>
      <c r="F19" s="47" t="inlineStr"/>
      <c r="G19" s="47" t="inlineStr"/>
      <c r="H19" s="47" t="inlineStr"/>
      <c r="I19" s="47" t="inlineStr"/>
    </row>
    <row r="20" ht="25" customHeight="1">
      <c r="B20" s="4" t="inlineStr">
        <is>
          <t>POL-RS-01</t>
        </is>
      </c>
      <c r="C20" s="5" t="inlineStr">
        <is>
          <t>Research Ethics &amp; Intellectual Property Policy</t>
        </is>
      </c>
      <c r="D20" s="6" t="inlineStr">
        <is>
          <t>Research</t>
        </is>
      </c>
      <c r="E20" s="6" t="inlineStr">
        <is>
          <t>v1.0</t>
        </is>
      </c>
      <c r="F20" s="6" t="inlineStr"/>
      <c r="G20" s="6" t="inlineStr"/>
      <c r="H20" s="6" t="inlineStr"/>
      <c r="I20" s="6" t="inlineStr"/>
    </row>
    <row r="21" ht="25" customHeight="1"/>
    <row r="22" ht="25" customHeight="1">
      <c r="B22" s="35" t="inlineStr">
        <is>
          <t>POLICY AMENDMENT LOG</t>
        </is>
      </c>
    </row>
    <row r="23" ht="25" customHeight="1">
      <c r="B23" s="31" t="inlineStr">
        <is>
          <t>Policy Code</t>
        </is>
      </c>
      <c r="C23" s="31" t="inlineStr">
        <is>
          <t>Amendment Description</t>
        </is>
      </c>
      <c r="D23" s="31" t="inlineStr">
        <is>
          <t>Amended by</t>
        </is>
      </c>
      <c r="E23" s="31" t="inlineStr">
        <is>
          <t>Amendment Date</t>
        </is>
      </c>
      <c r="F23" s="31" t="inlineStr">
        <is>
          <t>EC Approval Ref.</t>
        </is>
      </c>
      <c r="G23" s="31" t="inlineStr">
        <is>
          <t>New Version No.</t>
        </is>
      </c>
      <c r="H23" s="31" t="inlineStr">
        <is>
          <t>Reason / Trigger</t>
        </is>
      </c>
      <c r="I23" s="31" t="inlineStr">
        <is>
          <t>Notified on</t>
        </is>
      </c>
    </row>
    <row r="24" ht="22" customHeight="1">
      <c r="B24" s="34" t="n"/>
      <c r="C24" s="34" t="n"/>
      <c r="D24" s="34" t="n"/>
      <c r="E24" s="34" t="n"/>
      <c r="F24" s="34" t="n"/>
      <c r="G24" s="34" t="n"/>
      <c r="H24" s="34" t="n"/>
      <c r="I24" s="34" t="n"/>
    </row>
    <row r="25" ht="22" customHeight="1">
      <c r="B25" s="6" t="n"/>
      <c r="C25" s="6" t="n"/>
      <c r="D25" s="6" t="n"/>
      <c r="E25" s="6" t="n"/>
      <c r="F25" s="6" t="n"/>
      <c r="G25" s="6" t="n"/>
      <c r="H25" s="6" t="n"/>
      <c r="I25" s="6" t="n"/>
    </row>
    <row r="26" ht="22" customHeight="1">
      <c r="B26" s="34" t="n"/>
      <c r="C26" s="34" t="n"/>
      <c r="D26" s="34" t="n"/>
      <c r="E26" s="34" t="n"/>
      <c r="F26" s="34" t="n"/>
      <c r="G26" s="34" t="n"/>
      <c r="H26" s="34" t="n"/>
      <c r="I26" s="34" t="n"/>
    </row>
    <row r="27" ht="22" customHeight="1">
      <c r="B27" s="6" t="n"/>
      <c r="C27" s="6" t="n"/>
      <c r="D27" s="6" t="n"/>
      <c r="E27" s="6" t="n"/>
      <c r="F27" s="6" t="n"/>
      <c r="G27" s="6" t="n"/>
      <c r="H27" s="6" t="n"/>
      <c r="I27" s="6" t="n"/>
    </row>
    <row r="28" ht="22" customHeight="1">
      <c r="B28" s="34" t="n"/>
      <c r="C28" s="34" t="n"/>
      <c r="D28" s="34" t="n"/>
      <c r="E28" s="34" t="n"/>
      <c r="F28" s="34" t="n"/>
      <c r="G28" s="34" t="n"/>
      <c r="H28" s="34" t="n"/>
      <c r="I28" s="34" t="n"/>
    </row>
    <row r="29" ht="22" customHeight="1">
      <c r="B29" s="6" t="n"/>
      <c r="C29" s="6" t="n"/>
      <c r="D29" s="6" t="n"/>
      <c r="E29" s="6" t="n"/>
      <c r="F29" s="6" t="n"/>
      <c r="G29" s="6" t="n"/>
      <c r="H29" s="6" t="n"/>
      <c r="I29" s="6" t="n"/>
    </row>
    <row r="30" ht="22" customHeight="1">
      <c r="B30" s="34" t="n"/>
      <c r="C30" s="34" t="n"/>
      <c r="D30" s="34" t="n"/>
      <c r="E30" s="34" t="n"/>
      <c r="F30" s="34" t="n"/>
      <c r="G30" s="34" t="n"/>
      <c r="H30" s="34" t="n"/>
      <c r="I30" s="34" t="n"/>
    </row>
    <row r="31" ht="22" customHeight="1">
      <c r="B31" s="6" t="n"/>
      <c r="C31" s="6" t="n"/>
      <c r="D31" s="6" t="n"/>
      <c r="E31" s="6" t="n"/>
      <c r="F31" s="6" t="n"/>
      <c r="G31" s="6" t="n"/>
      <c r="H31" s="6" t="n"/>
      <c r="I31" s="6" t="n"/>
    </row>
    <row r="32" ht="22" customHeight="1">
      <c r="B32" s="34" t="n"/>
      <c r="C32" s="34" t="n"/>
      <c r="D32" s="34" t="n"/>
      <c r="E32" s="34" t="n"/>
      <c r="F32" s="34" t="n"/>
      <c r="G32" s="34" t="n"/>
      <c r="H32" s="34" t="n"/>
      <c r="I32" s="34" t="n"/>
    </row>
    <row r="33" ht="25" customHeight="1"/>
    <row r="34" ht="25" customHeight="1">
      <c r="B34" s="27" t="inlineStr">
        <is>
          <t>Policy Register certified by: Registrar / Secretary ___________________    Date: ___________________</t>
        </is>
      </c>
    </row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</sheetData>
  <mergeCells count="4">
    <mergeCell ref="B3:I3"/>
    <mergeCell ref="B22:I22"/>
    <mergeCell ref="B2:I2"/>
    <mergeCell ref="B34:I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I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EC-10: INFRASTRUCTURE &amp; CAMPUS DEVELOPMENT APPROVAL REGISTER</t>
        </is>
      </c>
    </row>
    <row r="3" ht="25" customHeight="1">
      <c r="B3" s="2" t="inlineStr">
        <is>
          <t>A.Y.: _______  EC Meeting No.: _______  Date: _______  Estate / Works Officer: ___________________</t>
        </is>
      </c>
    </row>
    <row r="4" ht="22" customHeight="1">
      <c r="B4" s="18" t="inlineStr">
        <is>
          <t>INFRASTRUCTURE PROJECT REGISTER</t>
        </is>
      </c>
    </row>
    <row r="5" ht="22" customHeight="1">
      <c r="B5" s="19" t="inlineStr">
        <is>
          <t>Proj.
No.</t>
        </is>
      </c>
      <c r="C5" s="19" t="inlineStr">
        <is>
          <t>Project Title / Description</t>
        </is>
      </c>
      <c r="D5" s="19" t="inlineStr">
        <is>
          <t>Category</t>
        </is>
      </c>
      <c r="E5" s="19" t="inlineStr">
        <is>
          <t>Total Cost
(₹ Lakhs)</t>
        </is>
      </c>
      <c r="F5" s="19" t="inlineStr">
        <is>
          <t>Start Date</t>
        </is>
      </c>
      <c r="G5" s="19" t="inlineStr">
        <is>
          <t>Completion
Date</t>
        </is>
      </c>
      <c r="H5" s="19" t="inlineStr">
        <is>
          <t>EC Resolution
No.</t>
        </is>
      </c>
      <c r="I5" s="19" t="inlineStr">
        <is>
          <t>Status</t>
        </is>
      </c>
    </row>
    <row r="6" ht="22" customHeight="1">
      <c r="B6" s="45" t="inlineStr">
        <is>
          <t>INF/2024/01</t>
        </is>
      </c>
      <c r="C6" s="46" t="inlineStr"/>
      <c r="D6" s="47" t="inlineStr">
        <is>
          <t>New Construction</t>
        </is>
      </c>
      <c r="E6" s="47" t="inlineStr"/>
      <c r="F6" s="47" t="inlineStr"/>
      <c r="G6" s="47" t="inlineStr"/>
      <c r="H6" s="47" t="inlineStr"/>
      <c r="I6" s="47" t="inlineStr">
        <is>
          <t>Completed</t>
        </is>
      </c>
    </row>
    <row r="7" ht="22" customHeight="1">
      <c r="B7" s="4" t="inlineStr">
        <is>
          <t>INF/2024/02</t>
        </is>
      </c>
      <c r="C7" s="5" t="inlineStr"/>
      <c r="D7" s="6" t="inlineStr">
        <is>
          <t>Renovation / Repair</t>
        </is>
      </c>
      <c r="E7" s="6" t="inlineStr"/>
      <c r="F7" s="6" t="inlineStr"/>
      <c r="G7" s="6" t="inlineStr"/>
      <c r="H7" s="6" t="inlineStr"/>
      <c r="I7" s="6" t="inlineStr">
        <is>
          <t>Ongoing</t>
        </is>
      </c>
    </row>
    <row r="8" ht="22" customHeight="1">
      <c r="B8" s="45" t="inlineStr">
        <is>
          <t>INF/2024/03</t>
        </is>
      </c>
      <c r="C8" s="46" t="inlineStr"/>
      <c r="D8" s="47" t="inlineStr">
        <is>
          <t>Equipment Purchase</t>
        </is>
      </c>
      <c r="E8" s="47" t="inlineStr"/>
      <c r="F8" s="47" t="inlineStr"/>
      <c r="G8" s="47" t="inlineStr"/>
      <c r="H8" s="47" t="inlineStr"/>
      <c r="I8" s="47" t="inlineStr">
        <is>
          <t>Tendering</t>
        </is>
      </c>
    </row>
    <row r="9" ht="22" customHeight="1">
      <c r="B9" s="4" t="inlineStr">
        <is>
          <t>INF/2024/04</t>
        </is>
      </c>
      <c r="C9" s="5" t="inlineStr"/>
      <c r="D9" s="6" t="inlineStr">
        <is>
          <t>IT Infrastructure</t>
        </is>
      </c>
      <c r="E9" s="6" t="inlineStr"/>
      <c r="F9" s="6" t="inlineStr"/>
      <c r="G9" s="6" t="inlineStr"/>
      <c r="H9" s="6" t="inlineStr"/>
      <c r="I9" s="6" t="inlineStr">
        <is>
          <t>Approved</t>
        </is>
      </c>
    </row>
    <row r="10" ht="22" customHeight="1">
      <c r="B10" s="45" t="inlineStr">
        <is>
          <t>INF/2024/05</t>
        </is>
      </c>
      <c r="C10" s="46" t="inlineStr"/>
      <c r="D10" s="47" t="inlineStr">
        <is>
          <t>Green Campus</t>
        </is>
      </c>
      <c r="E10" s="47" t="inlineStr"/>
      <c r="F10" s="47" t="inlineStr"/>
      <c r="G10" s="47" t="inlineStr"/>
      <c r="H10" s="47" t="inlineStr"/>
      <c r="I10" s="47" t="inlineStr">
        <is>
          <t>Planning</t>
        </is>
      </c>
    </row>
    <row r="11" ht="22" customHeight="1">
      <c r="B11" s="4" t="inlineStr">
        <is>
          <t>INF/2024/06</t>
        </is>
      </c>
      <c r="C11" s="5" t="inlineStr"/>
      <c r="D11" s="6" t="inlineStr">
        <is>
          <t>Hostel</t>
        </is>
      </c>
      <c r="E11" s="6" t="inlineStr"/>
      <c r="F11" s="6" t="inlineStr"/>
      <c r="G11" s="6" t="inlineStr"/>
      <c r="H11" s="6" t="inlineStr"/>
      <c r="I11" s="6" t="inlineStr">
        <is>
          <t>Completed</t>
        </is>
      </c>
    </row>
    <row r="12" ht="22" customHeight="1">
      <c r="B12" s="45" t="inlineStr">
        <is>
          <t>INF/2024/07</t>
        </is>
      </c>
      <c r="C12" s="46" t="inlineStr"/>
      <c r="D12" s="47" t="inlineStr">
        <is>
          <t>Library</t>
        </is>
      </c>
      <c r="E12" s="47" t="inlineStr"/>
      <c r="F12" s="47" t="inlineStr"/>
      <c r="G12" s="47" t="inlineStr"/>
      <c r="H12" s="47" t="inlineStr"/>
      <c r="I12" s="47" t="inlineStr">
        <is>
          <t>Ongoing</t>
        </is>
      </c>
    </row>
    <row r="13" ht="22" customHeight="1">
      <c r="B13" s="4" t="inlineStr">
        <is>
          <t>INF/2024/08</t>
        </is>
      </c>
      <c r="C13" s="5" t="inlineStr"/>
      <c r="D13" s="6" t="inlineStr">
        <is>
          <t>Sports Facility</t>
        </is>
      </c>
      <c r="E13" s="6" t="inlineStr"/>
      <c r="F13" s="6" t="inlineStr"/>
      <c r="G13" s="6" t="inlineStr"/>
      <c r="H13" s="6" t="inlineStr"/>
      <c r="I13" s="6" t="inlineStr">
        <is>
          <t>Tendering</t>
        </is>
      </c>
    </row>
    <row r="14" ht="22" customHeight="1">
      <c r="B14" s="45" t="inlineStr">
        <is>
          <t>INF/2025/09</t>
        </is>
      </c>
      <c r="C14" s="46" t="inlineStr"/>
      <c r="D14" s="47" t="inlineStr">
        <is>
          <t>Others</t>
        </is>
      </c>
      <c r="E14" s="47" t="inlineStr"/>
      <c r="F14" s="47" t="inlineStr"/>
      <c r="G14" s="47" t="inlineStr"/>
      <c r="H14" s="47" t="inlineStr"/>
      <c r="I14" s="47" t="inlineStr">
        <is>
          <t>Approved</t>
        </is>
      </c>
    </row>
    <row r="15" ht="22" customHeight="1">
      <c r="B15" s="4" t="inlineStr">
        <is>
          <t>INF/2025/10</t>
        </is>
      </c>
      <c r="C15" s="5" t="inlineStr"/>
      <c r="D15" s="6" t="inlineStr">
        <is>
          <t>New Construction</t>
        </is>
      </c>
      <c r="E15" s="6" t="inlineStr"/>
      <c r="F15" s="6" t="inlineStr"/>
      <c r="G15" s="6" t="inlineStr"/>
      <c r="H15" s="6" t="inlineStr"/>
      <c r="I15" s="6" t="inlineStr">
        <is>
          <t>Planning</t>
        </is>
      </c>
    </row>
    <row r="16" ht="22" customHeight="1">
      <c r="B16" s="45" t="inlineStr">
        <is>
          <t>INF/2025/11</t>
        </is>
      </c>
      <c r="C16" s="46" t="inlineStr"/>
      <c r="D16" s="47" t="inlineStr">
        <is>
          <t>Renovation / Repair</t>
        </is>
      </c>
      <c r="E16" s="47" t="inlineStr"/>
      <c r="F16" s="47" t="inlineStr"/>
      <c r="G16" s="47" t="inlineStr"/>
      <c r="H16" s="47" t="inlineStr"/>
      <c r="I16" s="47" t="inlineStr">
        <is>
          <t>Completed</t>
        </is>
      </c>
    </row>
    <row r="17" ht="22" customHeight="1">
      <c r="B17" s="4" t="inlineStr">
        <is>
          <t>INF/2025/12</t>
        </is>
      </c>
      <c r="C17" s="5" t="inlineStr"/>
      <c r="D17" s="6" t="inlineStr">
        <is>
          <t>Equipment Purchase</t>
        </is>
      </c>
      <c r="E17" s="6" t="inlineStr"/>
      <c r="F17" s="6" t="inlineStr"/>
      <c r="G17" s="6" t="inlineStr"/>
      <c r="H17" s="6" t="inlineStr"/>
      <c r="I17" s="6" t="inlineStr">
        <is>
          <t>Ongoing</t>
        </is>
      </c>
    </row>
    <row r="18" ht="22" customHeight="1">
      <c r="B18" s="45" t="inlineStr">
        <is>
          <t>INF/2025/13</t>
        </is>
      </c>
      <c r="C18" s="46" t="inlineStr"/>
      <c r="D18" s="47" t="inlineStr">
        <is>
          <t>IT Infrastructure</t>
        </is>
      </c>
      <c r="E18" s="47" t="inlineStr"/>
      <c r="F18" s="47" t="inlineStr"/>
      <c r="G18" s="47" t="inlineStr"/>
      <c r="H18" s="47" t="inlineStr"/>
      <c r="I18" s="47" t="inlineStr">
        <is>
          <t>Tendering</t>
        </is>
      </c>
    </row>
    <row r="19" ht="22" customHeight="1">
      <c r="B19" s="4" t="inlineStr">
        <is>
          <t>INF/2025/14</t>
        </is>
      </c>
      <c r="C19" s="5" t="inlineStr"/>
      <c r="D19" s="6" t="inlineStr">
        <is>
          <t>Green Campus</t>
        </is>
      </c>
      <c r="E19" s="6" t="inlineStr"/>
      <c r="F19" s="6" t="inlineStr"/>
      <c r="G19" s="6" t="inlineStr"/>
      <c r="H19" s="6" t="inlineStr"/>
      <c r="I19" s="6" t="inlineStr">
        <is>
          <t>Approved</t>
        </is>
      </c>
    </row>
    <row r="20" ht="22" customHeight="1">
      <c r="B20" s="45" t="inlineStr">
        <is>
          <t>INF/2025/15</t>
        </is>
      </c>
      <c r="C20" s="46" t="inlineStr"/>
      <c r="D20" s="47" t="inlineStr">
        <is>
          <t>Hostel</t>
        </is>
      </c>
      <c r="E20" s="47" t="inlineStr"/>
      <c r="F20" s="47" t="inlineStr"/>
      <c r="G20" s="47" t="inlineStr"/>
      <c r="H20" s="47" t="inlineStr"/>
      <c r="I20" s="47" t="inlineStr">
        <is>
          <t>Planning</t>
        </is>
      </c>
    </row>
    <row r="21" ht="22" customHeight="1"/>
    <row r="22" ht="22" customHeight="1">
      <c r="B22" s="38" t="inlineStr">
        <is>
          <t>ONGOING PROJECT PROGRESS REVIEW</t>
        </is>
      </c>
    </row>
    <row r="23" ht="22" customHeight="1">
      <c r="B23" s="39" t="inlineStr">
        <is>
          <t>Proj. No.</t>
        </is>
      </c>
      <c r="C23" s="39" t="inlineStr">
        <is>
          <t>Project Title</t>
        </is>
      </c>
      <c r="D23" s="39" t="inlineStr">
        <is>
          <t>% Completed</t>
        </is>
      </c>
      <c r="E23" s="39" t="inlineStr">
        <is>
          <t>Budget Utilised
(₹ Lakhs)</t>
        </is>
      </c>
      <c r="F23" s="39" t="inlineStr">
        <is>
          <t>Budget
Remaining</t>
        </is>
      </c>
      <c r="G23" s="39" t="inlineStr">
        <is>
          <t>Expected
Delay (Days)</t>
        </is>
      </c>
      <c r="H23" s="39" t="inlineStr">
        <is>
          <t>Issue / Risk</t>
        </is>
      </c>
      <c r="I23" s="39" t="inlineStr">
        <is>
          <t>EC Remarks</t>
        </is>
      </c>
    </row>
    <row r="24" ht="22" customHeight="1">
      <c r="B24" s="42" t="n"/>
      <c r="C24" s="42" t="n"/>
      <c r="D24" s="42" t="n"/>
      <c r="E24" s="42" t="n"/>
      <c r="F24" s="42" t="n"/>
      <c r="G24" s="42" t="n"/>
      <c r="H24" s="42" t="n"/>
      <c r="I24" s="42" t="n"/>
    </row>
    <row r="25" ht="22" customHeight="1">
      <c r="B25" s="6" t="n"/>
      <c r="C25" s="6" t="n"/>
      <c r="D25" s="6" t="n"/>
      <c r="E25" s="6" t="n"/>
      <c r="F25" s="6" t="n"/>
      <c r="G25" s="6" t="n"/>
      <c r="H25" s="6" t="n"/>
      <c r="I25" s="6" t="n"/>
    </row>
    <row r="26" ht="22" customHeight="1">
      <c r="B26" s="42" t="n"/>
      <c r="C26" s="42" t="n"/>
      <c r="D26" s="42" t="n"/>
      <c r="E26" s="42" t="n"/>
      <c r="F26" s="42" t="n"/>
      <c r="G26" s="42" t="n"/>
      <c r="H26" s="42" t="n"/>
      <c r="I26" s="42" t="n"/>
    </row>
    <row r="27" ht="22" customHeight="1">
      <c r="B27" s="6" t="n"/>
      <c r="C27" s="6" t="n"/>
      <c r="D27" s="6" t="n"/>
      <c r="E27" s="6" t="n"/>
      <c r="F27" s="6" t="n"/>
      <c r="G27" s="6" t="n"/>
      <c r="H27" s="6" t="n"/>
      <c r="I27" s="6" t="n"/>
    </row>
    <row r="28" ht="22" customHeight="1">
      <c r="B28" s="42" t="n"/>
      <c r="C28" s="42" t="n"/>
      <c r="D28" s="42" t="n"/>
      <c r="E28" s="42" t="n"/>
      <c r="F28" s="42" t="n"/>
      <c r="G28" s="42" t="n"/>
      <c r="H28" s="42" t="n"/>
      <c r="I28" s="42" t="n"/>
    </row>
    <row r="29" ht="22" customHeight="1">
      <c r="B29" s="6" t="n"/>
      <c r="C29" s="6" t="n"/>
      <c r="D29" s="6" t="n"/>
      <c r="E29" s="6" t="n"/>
      <c r="F29" s="6" t="n"/>
      <c r="G29" s="6" t="n"/>
      <c r="H29" s="6" t="n"/>
      <c r="I29" s="6" t="n"/>
    </row>
    <row r="30" ht="22" customHeight="1">
      <c r="B30" s="42" t="n"/>
      <c r="C30" s="42" t="n"/>
      <c r="D30" s="42" t="n"/>
      <c r="E30" s="42" t="n"/>
      <c r="F30" s="42" t="n"/>
      <c r="G30" s="42" t="n"/>
      <c r="H30" s="42" t="n"/>
      <c r="I30" s="42" t="n"/>
    </row>
    <row r="31" ht="22" customHeight="1">
      <c r="B31" s="6" t="n"/>
      <c r="C31" s="6" t="n"/>
      <c r="D31" s="6" t="n"/>
      <c r="E31" s="6" t="n"/>
      <c r="F31" s="6" t="n"/>
      <c r="G31" s="6" t="n"/>
      <c r="H31" s="6" t="n"/>
      <c r="I31" s="6" t="n"/>
    </row>
    <row r="32" ht="22" customHeight="1">
      <c r="B32" s="42" t="n"/>
      <c r="C32" s="42" t="n"/>
      <c r="D32" s="42" t="n"/>
      <c r="E32" s="42" t="n"/>
      <c r="F32" s="42" t="n"/>
      <c r="G32" s="42" t="n"/>
      <c r="H32" s="42" t="n"/>
      <c r="I32" s="42" t="n"/>
    </row>
    <row r="33" ht="22" customHeight="1"/>
    <row r="34" ht="22" customHeight="1">
      <c r="B34" s="20" t="inlineStr">
        <is>
          <t>MAJOR PROCUREMENT APPROVALS</t>
        </is>
      </c>
    </row>
    <row r="35" ht="22" customHeight="1">
      <c r="B35" s="21" t="inlineStr">
        <is>
          <t>Sl.</t>
        </is>
      </c>
      <c r="C35" s="21" t="inlineStr">
        <is>
          <t>Item / Equipment Description</t>
        </is>
      </c>
      <c r="D35" s="21" t="inlineStr">
        <is>
          <t>Dept. / User</t>
        </is>
      </c>
      <c r="E35" s="21" t="inlineStr">
        <is>
          <t>Quantity</t>
        </is>
      </c>
      <c r="F35" s="21" t="inlineStr">
        <is>
          <t>Unit Cost (₹)</t>
        </is>
      </c>
      <c r="G35" s="21" t="inlineStr">
        <is>
          <t>Total Cost (₹)</t>
        </is>
      </c>
      <c r="H35" s="21" t="inlineStr">
        <is>
          <t>EC Resolution
No.</t>
        </is>
      </c>
      <c r="I35" s="21" t="inlineStr">
        <is>
          <t>Delivery Date</t>
        </is>
      </c>
    </row>
    <row r="36" ht="22" customHeight="1">
      <c r="B36" s="58" t="n">
        <v>1</v>
      </c>
      <c r="C36" s="59" t="inlineStr"/>
      <c r="D36" s="22" t="inlineStr"/>
      <c r="E36" s="22" t="inlineStr"/>
      <c r="F36" s="22" t="inlineStr"/>
      <c r="G36" s="22">
        <f>IFERROR(E36*F36,"")</f>
        <v/>
      </c>
      <c r="H36" s="22" t="inlineStr"/>
      <c r="I36" s="22" t="inlineStr"/>
    </row>
    <row r="37" ht="22" customHeight="1">
      <c r="B37" s="4" t="n">
        <v>2</v>
      </c>
      <c r="C37" s="5" t="inlineStr"/>
      <c r="D37" s="6" t="inlineStr"/>
      <c r="E37" s="6" t="inlineStr"/>
      <c r="F37" s="6" t="inlineStr"/>
      <c r="G37" s="6">
        <f>IFERROR(E37*F37,"")</f>
        <v/>
      </c>
      <c r="H37" s="6" t="inlineStr"/>
      <c r="I37" s="6" t="inlineStr"/>
    </row>
    <row r="38" ht="22" customHeight="1">
      <c r="B38" s="58" t="n">
        <v>3</v>
      </c>
      <c r="C38" s="59" t="inlineStr"/>
      <c r="D38" s="22" t="inlineStr"/>
      <c r="E38" s="22" t="inlineStr"/>
      <c r="F38" s="22" t="inlineStr"/>
      <c r="G38" s="22">
        <f>IFERROR(E38*F38,"")</f>
        <v/>
      </c>
      <c r="H38" s="22" t="inlineStr"/>
      <c r="I38" s="22" t="inlineStr"/>
    </row>
    <row r="39" ht="22" customHeight="1">
      <c r="B39" s="4" t="n">
        <v>4</v>
      </c>
      <c r="C39" s="5" t="inlineStr"/>
      <c r="D39" s="6" t="inlineStr"/>
      <c r="E39" s="6" t="inlineStr"/>
      <c r="F39" s="6" t="inlineStr"/>
      <c r="G39" s="6">
        <f>IFERROR(E39*F39,"")</f>
        <v/>
      </c>
      <c r="H39" s="6" t="inlineStr"/>
      <c r="I39" s="6" t="inlineStr"/>
    </row>
    <row r="40" ht="22" customHeight="1">
      <c r="B40" s="58" t="n">
        <v>5</v>
      </c>
      <c r="C40" s="59" t="inlineStr"/>
      <c r="D40" s="22" t="inlineStr"/>
      <c r="E40" s="22" t="inlineStr"/>
      <c r="F40" s="22" t="inlineStr"/>
      <c r="G40" s="22">
        <f>IFERROR(E40*F40,"")</f>
        <v/>
      </c>
      <c r="H40" s="22" t="inlineStr"/>
      <c r="I40" s="22" t="inlineStr"/>
    </row>
    <row r="41" ht="22" customHeight="1">
      <c r="B41" s="4" t="n">
        <v>6</v>
      </c>
      <c r="C41" s="5" t="inlineStr"/>
      <c r="D41" s="6" t="inlineStr"/>
      <c r="E41" s="6" t="inlineStr"/>
      <c r="F41" s="6" t="inlineStr"/>
      <c r="G41" s="6">
        <f>IFERROR(E41*F41,"")</f>
        <v/>
      </c>
      <c r="H41" s="6" t="inlineStr"/>
      <c r="I41" s="6" t="inlineStr"/>
    </row>
    <row r="42" ht="22" customHeight="1">
      <c r="B42" s="58" t="n">
        <v>7</v>
      </c>
      <c r="C42" s="59" t="inlineStr"/>
      <c r="D42" s="22" t="inlineStr"/>
      <c r="E42" s="22" t="inlineStr"/>
      <c r="F42" s="22" t="inlineStr"/>
      <c r="G42" s="22">
        <f>IFERROR(E42*F42,"")</f>
        <v/>
      </c>
      <c r="H42" s="22" t="inlineStr"/>
      <c r="I42" s="22" t="inlineStr"/>
    </row>
    <row r="43" ht="22" customHeight="1">
      <c r="B43" s="4" t="n">
        <v>8</v>
      </c>
      <c r="C43" s="5" t="inlineStr"/>
      <c r="D43" s="6" t="inlineStr"/>
      <c r="E43" s="6" t="inlineStr"/>
      <c r="F43" s="6" t="inlineStr"/>
      <c r="G43" s="6">
        <f>IFERROR(E43*F43,"")</f>
        <v/>
      </c>
      <c r="H43" s="6" t="inlineStr"/>
      <c r="I43" s="6" t="inlineStr"/>
    </row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5">
    <mergeCell ref="B2:I2"/>
    <mergeCell ref="B34:I34"/>
    <mergeCell ref="B3:I3"/>
    <mergeCell ref="B22:I22"/>
    <mergeCell ref="B4:I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8" customWidth="1" min="4" max="4"/>
    <col width="14" customWidth="1" min="5" max="5"/>
    <col width="14" customWidth="1" min="6" max="6"/>
    <col width="16" customWidth="1" min="7" max="7"/>
    <col width="14" customWidth="1" min="8" max="8"/>
    <col width="3" customWidth="1" min="9" max="9"/>
  </cols>
  <sheetData>
    <row r="1" ht="10" customHeight="1"/>
    <row r="2" ht="48" customHeight="1">
      <c r="B2" s="11" t="inlineStr">
        <is>
          <t>EC-11: STATUTORY &amp; REGULATORY COMPLIANCE REPORT</t>
        </is>
      </c>
    </row>
    <row r="3" ht="25" customHeight="1">
      <c r="B3" s="2" t="inlineStr">
        <is>
          <t>A.Y.: _______  Tabled in EC Meeting No.: _______  Date: _______  Registrar: ___________________</t>
        </is>
      </c>
    </row>
    <row r="4" ht="22" customHeight="1">
      <c r="B4" s="18" t="inlineStr">
        <is>
          <t>UNIVERSITY / AFFILIATING AUTHORITY</t>
        </is>
      </c>
    </row>
    <row r="5" ht="22" customHeight="1">
      <c r="B5" s="19" t="inlineStr">
        <is>
          <t>Sl.</t>
        </is>
      </c>
      <c r="C5" s="19" t="inlineStr">
        <is>
          <t>Compliance Item</t>
        </is>
      </c>
      <c r="D5" s="19" t="inlineStr">
        <is>
          <t>Responsible Authority</t>
        </is>
      </c>
      <c r="E5" s="19" t="inlineStr">
        <is>
          <t>Due Date</t>
        </is>
      </c>
      <c r="F5" s="19" t="inlineStr">
        <is>
          <t>Status
(Complied/Pending)</t>
        </is>
      </c>
      <c r="G5" s="19" t="inlineStr">
        <is>
          <t>Document / Evidence</t>
        </is>
      </c>
      <c r="H5" s="19" t="inlineStr">
        <is>
          <t>EC Remarks</t>
        </is>
      </c>
    </row>
    <row r="6" ht="22" customHeight="1">
      <c r="B6" s="45" t="n">
        <v>1</v>
      </c>
      <c r="C6" s="46" t="inlineStr">
        <is>
          <t>Affiliation renewal letter received &amp; valid</t>
        </is>
      </c>
      <c r="D6" s="47" t="inlineStr">
        <is>
          <t>Registrar</t>
        </is>
      </c>
      <c r="E6" s="47" t="inlineStr"/>
      <c r="F6" s="47" t="inlineStr">
        <is>
          <t>Complied</t>
        </is>
      </c>
      <c r="G6" s="46" t="inlineStr"/>
      <c r="H6" s="46" t="inlineStr"/>
    </row>
    <row r="7" ht="22" customHeight="1">
      <c r="B7" s="4" t="n">
        <v>2</v>
      </c>
      <c r="C7" s="5" t="inlineStr">
        <is>
          <t>Annual report submitted to University</t>
        </is>
      </c>
      <c r="D7" s="6" t="inlineStr">
        <is>
          <t>Registrar</t>
        </is>
      </c>
      <c r="E7" s="6" t="inlineStr"/>
      <c r="F7" s="6" t="inlineStr">
        <is>
          <t>Complied</t>
        </is>
      </c>
      <c r="G7" s="5" t="inlineStr"/>
      <c r="H7" s="5" t="inlineStr"/>
    </row>
    <row r="8" ht="22" customHeight="1">
      <c r="B8" s="45" t="n">
        <v>3</v>
      </c>
      <c r="C8" s="46" t="inlineStr">
        <is>
          <t>University inspection complied with</t>
        </is>
      </c>
      <c r="D8" s="47" t="inlineStr">
        <is>
          <t>Principal / Director</t>
        </is>
      </c>
      <c r="E8" s="47" t="inlineStr"/>
      <c r="F8" s="47" t="inlineStr">
        <is>
          <t>Complied</t>
        </is>
      </c>
      <c r="G8" s="46" t="inlineStr"/>
      <c r="H8" s="46" t="inlineStr"/>
    </row>
    <row r="9" ht="22" customHeight="1">
      <c r="B9" s="4" t="n">
        <v>4</v>
      </c>
      <c r="C9" s="5" t="inlineStr">
        <is>
          <t>Changes to programmes reported to University</t>
        </is>
      </c>
      <c r="D9" s="6" t="inlineStr">
        <is>
          <t>Academic Section</t>
        </is>
      </c>
      <c r="E9" s="6" t="inlineStr"/>
      <c r="F9" s="6" t="inlineStr">
        <is>
          <t>Complied</t>
        </is>
      </c>
      <c r="G9" s="5" t="inlineStr"/>
      <c r="H9" s="5" t="inlineStr"/>
    </row>
    <row r="10" ht="22" customHeight="1">
      <c r="B10" s="45" t="n">
        <v>5</v>
      </c>
      <c r="C10" s="46" t="inlineStr">
        <is>
          <t>Fee structure approved by University / Govt.</t>
        </is>
      </c>
      <c r="D10" s="47" t="inlineStr">
        <is>
          <t>Finance Officer</t>
        </is>
      </c>
      <c r="E10" s="47" t="inlineStr"/>
      <c r="F10" s="47" t="inlineStr">
        <is>
          <t>Complied</t>
        </is>
      </c>
      <c r="G10" s="46" t="inlineStr"/>
      <c r="H10" s="46" t="inlineStr"/>
    </row>
    <row r="11" ht="22" customHeight="1"/>
    <row r="12" ht="22" customHeight="1">
      <c r="B12" s="35" t="inlineStr">
        <is>
          <t>UGC / AICTE COMPLIANCE</t>
        </is>
      </c>
    </row>
    <row r="13" ht="22" customHeight="1">
      <c r="B13" s="31" t="inlineStr">
        <is>
          <t>Sl.</t>
        </is>
      </c>
      <c r="C13" s="31" t="inlineStr">
        <is>
          <t>Compliance Item</t>
        </is>
      </c>
      <c r="D13" s="31" t="inlineStr">
        <is>
          <t>Responsible Authority</t>
        </is>
      </c>
      <c r="E13" s="31" t="inlineStr">
        <is>
          <t>Due Date</t>
        </is>
      </c>
      <c r="F13" s="31" t="inlineStr">
        <is>
          <t>Status
(Complied/Pending)</t>
        </is>
      </c>
      <c r="G13" s="31" t="inlineStr">
        <is>
          <t>Document / Evidence</t>
        </is>
      </c>
      <c r="H13" s="31" t="inlineStr">
        <is>
          <t>EC Remarks</t>
        </is>
      </c>
    </row>
    <row r="14" ht="22" customHeight="1">
      <c r="B14" s="32" t="n">
        <v>1</v>
      </c>
      <c r="C14" s="33" t="inlineStr">
        <is>
          <t>Extension of Approval (EoA) received (AICTE)</t>
        </is>
      </c>
      <c r="D14" s="34" t="inlineStr">
        <is>
          <t>Principal</t>
        </is>
      </c>
      <c r="E14" s="34" t="inlineStr"/>
      <c r="F14" s="34" t="inlineStr">
        <is>
          <t>Complied</t>
        </is>
      </c>
      <c r="G14" s="33" t="inlineStr"/>
      <c r="H14" s="33" t="inlineStr"/>
    </row>
    <row r="15" ht="22" customHeight="1">
      <c r="B15" s="4" t="n">
        <v>2</v>
      </c>
      <c r="C15" s="5" t="inlineStr">
        <is>
          <t>Annual Mandatory Disclosure (AMD) filed online</t>
        </is>
      </c>
      <c r="D15" s="6" t="inlineStr">
        <is>
          <t>Registrar</t>
        </is>
      </c>
      <c r="E15" s="6" t="inlineStr"/>
      <c r="F15" s="6" t="inlineStr">
        <is>
          <t>Complied</t>
        </is>
      </c>
      <c r="G15" s="5" t="inlineStr"/>
      <c r="H15" s="5" t="inlineStr"/>
    </row>
    <row r="16" ht="22" customHeight="1">
      <c r="B16" s="32" t="n">
        <v>3</v>
      </c>
      <c r="C16" s="33" t="inlineStr">
        <is>
          <t>IQAC functional; AQAR submitted to NAAC</t>
        </is>
      </c>
      <c r="D16" s="34" t="inlineStr">
        <is>
          <t>IQAC Coordinator</t>
        </is>
      </c>
      <c r="E16" s="34" t="inlineStr"/>
      <c r="F16" s="34" t="inlineStr">
        <is>
          <t>Complied</t>
        </is>
      </c>
      <c r="G16" s="33" t="inlineStr"/>
      <c r="H16" s="33" t="inlineStr"/>
    </row>
    <row r="17" ht="22" customHeight="1">
      <c r="B17" s="4" t="n">
        <v>4</v>
      </c>
      <c r="C17" s="5" t="inlineStr">
        <is>
          <t>Faculty qualification norms maintained</t>
        </is>
      </c>
      <c r="D17" s="6" t="inlineStr">
        <is>
          <t>HR / Principal</t>
        </is>
      </c>
      <c r="E17" s="6" t="inlineStr"/>
      <c r="F17" s="6" t="inlineStr">
        <is>
          <t>Complied</t>
        </is>
      </c>
      <c r="G17" s="5" t="inlineStr"/>
      <c r="H17" s="5" t="inlineStr"/>
    </row>
    <row r="18" ht="22" customHeight="1">
      <c r="B18" s="32" t="n">
        <v>5</v>
      </c>
      <c r="C18" s="33" t="inlineStr">
        <is>
          <t>Anti-ragging compliance filed with AICTE / UGC</t>
        </is>
      </c>
      <c r="D18" s="34" t="inlineStr">
        <is>
          <t>Anti-Ragging Comm.</t>
        </is>
      </c>
      <c r="E18" s="34" t="inlineStr"/>
      <c r="F18" s="34" t="inlineStr">
        <is>
          <t>Complied</t>
        </is>
      </c>
      <c r="G18" s="33" t="inlineStr"/>
      <c r="H18" s="33" t="inlineStr"/>
    </row>
    <row r="19" ht="22" customHeight="1">
      <c r="B19" s="4" t="n">
        <v>6</v>
      </c>
      <c r="C19" s="5" t="inlineStr">
        <is>
          <t>Mandatory online courses (SWAYAM / NPTEL) integrated</t>
        </is>
      </c>
      <c r="D19" s="6" t="inlineStr">
        <is>
          <t>Academic Section</t>
        </is>
      </c>
      <c r="E19" s="6" t="inlineStr"/>
      <c r="F19" s="6" t="inlineStr">
        <is>
          <t>Complied</t>
        </is>
      </c>
      <c r="G19" s="5" t="inlineStr"/>
      <c r="H19" s="5" t="inlineStr"/>
    </row>
    <row r="20" ht="22" customHeight="1"/>
    <row r="21" ht="22" customHeight="1">
      <c r="B21" s="60" t="inlineStr">
        <is>
          <t>LEGAL &amp; GOVERNANCE COMPLIANCE</t>
        </is>
      </c>
    </row>
    <row r="22" ht="22" customHeight="1">
      <c r="B22" s="29" t="inlineStr">
        <is>
          <t>Sl.</t>
        </is>
      </c>
      <c r="C22" s="29" t="inlineStr">
        <is>
          <t>Compliance Item</t>
        </is>
      </c>
      <c r="D22" s="29" t="inlineStr">
        <is>
          <t>Responsible Authority</t>
        </is>
      </c>
      <c r="E22" s="29" t="inlineStr">
        <is>
          <t>Due Date</t>
        </is>
      </c>
      <c r="F22" s="29" t="inlineStr">
        <is>
          <t>Status
(Complied/Pending)</t>
        </is>
      </c>
      <c r="G22" s="29" t="inlineStr">
        <is>
          <t>Document / Evidence</t>
        </is>
      </c>
      <c r="H22" s="29" t="inlineStr">
        <is>
          <t>EC Remarks</t>
        </is>
      </c>
    </row>
    <row r="23" ht="22" customHeight="1">
      <c r="B23" s="61" t="n">
        <v>1</v>
      </c>
      <c r="C23" s="62" t="inlineStr">
        <is>
          <t>Governing Body / Trust meeting held as per statute</t>
        </is>
      </c>
      <c r="D23" s="30" t="inlineStr">
        <is>
          <t>Secretary / Registrar</t>
        </is>
      </c>
      <c r="E23" s="30" t="inlineStr"/>
      <c r="F23" s="30" t="inlineStr">
        <is>
          <t>Complied</t>
        </is>
      </c>
      <c r="G23" s="62" t="inlineStr"/>
      <c r="H23" s="62" t="inlineStr"/>
    </row>
    <row r="24" ht="22" customHeight="1">
      <c r="B24" s="4" t="n">
        <v>2</v>
      </c>
      <c r="C24" s="5" t="inlineStr">
        <is>
          <t>Annual accounts audited by CA (statutory audit)</t>
        </is>
      </c>
      <c r="D24" s="6" t="inlineStr">
        <is>
          <t>Finance Officer</t>
        </is>
      </c>
      <c r="E24" s="6" t="inlineStr"/>
      <c r="F24" s="6" t="inlineStr">
        <is>
          <t>Complied</t>
        </is>
      </c>
      <c r="G24" s="5" t="inlineStr"/>
      <c r="H24" s="5" t="inlineStr"/>
    </row>
    <row r="25" ht="22" customHeight="1">
      <c r="B25" s="61" t="n">
        <v>3</v>
      </c>
      <c r="C25" s="62" t="inlineStr">
        <is>
          <t>Income Tax / GST returns filed on time</t>
        </is>
      </c>
      <c r="D25" s="30" t="inlineStr">
        <is>
          <t>Finance Officer</t>
        </is>
      </c>
      <c r="E25" s="30" t="inlineStr"/>
      <c r="F25" s="30" t="inlineStr">
        <is>
          <t>Complied</t>
        </is>
      </c>
      <c r="G25" s="62" t="inlineStr"/>
      <c r="H25" s="62" t="inlineStr"/>
    </row>
    <row r="26" ht="22" customHeight="1">
      <c r="B26" s="4" t="n">
        <v>4</v>
      </c>
      <c r="C26" s="5" t="inlineStr">
        <is>
          <t>RTI / PIO officer appointed &amp; returns filed</t>
        </is>
      </c>
      <c r="D26" s="6" t="inlineStr">
        <is>
          <t>Registrar</t>
        </is>
      </c>
      <c r="E26" s="6" t="inlineStr"/>
      <c r="F26" s="6" t="inlineStr">
        <is>
          <t>Complied</t>
        </is>
      </c>
      <c r="G26" s="5" t="inlineStr"/>
      <c r="H26" s="5" t="inlineStr"/>
    </row>
    <row r="27" ht="22" customHeight="1">
      <c r="B27" s="61" t="n">
        <v>5</v>
      </c>
      <c r="C27" s="62" t="inlineStr">
        <is>
          <t>POSH / ICC annual report submitted</t>
        </is>
      </c>
      <c r="D27" s="30" t="inlineStr">
        <is>
          <t>ICC Chairperson</t>
        </is>
      </c>
      <c r="E27" s="30" t="inlineStr"/>
      <c r="F27" s="30" t="inlineStr">
        <is>
          <t>Complied</t>
        </is>
      </c>
      <c r="G27" s="62" t="inlineStr"/>
      <c r="H27" s="62" t="inlineStr"/>
    </row>
    <row r="28" ht="22" customHeight="1">
      <c r="B28" s="4" t="n">
        <v>6</v>
      </c>
      <c r="C28" s="5" t="inlineStr">
        <is>
          <t>Disabilities Act — facilities &amp; compliance</t>
        </is>
      </c>
      <c r="D28" s="6" t="inlineStr">
        <is>
          <t>Admin Officer</t>
        </is>
      </c>
      <c r="E28" s="6" t="inlineStr"/>
      <c r="F28" s="6" t="inlineStr">
        <is>
          <t>Complied</t>
        </is>
      </c>
      <c r="G28" s="5" t="inlineStr"/>
      <c r="H28" s="5" t="inlineStr"/>
    </row>
    <row r="29" ht="22" customHeight="1"/>
    <row r="30" ht="22" customHeight="1">
      <c r="B30" s="38" t="inlineStr">
        <is>
          <t>LABOUR &amp; HR COMPLIANCE</t>
        </is>
      </c>
    </row>
    <row r="31" ht="22" customHeight="1">
      <c r="B31" s="39" t="inlineStr">
        <is>
          <t>Sl.</t>
        </is>
      </c>
      <c r="C31" s="39" t="inlineStr">
        <is>
          <t>Compliance Item</t>
        </is>
      </c>
      <c r="D31" s="39" t="inlineStr">
        <is>
          <t>Responsible Authority</t>
        </is>
      </c>
      <c r="E31" s="39" t="inlineStr">
        <is>
          <t>Due Date</t>
        </is>
      </c>
      <c r="F31" s="39" t="inlineStr">
        <is>
          <t>Status
(Complied/Pending)</t>
        </is>
      </c>
      <c r="G31" s="39" t="inlineStr">
        <is>
          <t>Document / Evidence</t>
        </is>
      </c>
      <c r="H31" s="39" t="inlineStr">
        <is>
          <t>EC Remarks</t>
        </is>
      </c>
    </row>
    <row r="32" ht="22" customHeight="1">
      <c r="B32" s="40" t="n">
        <v>1</v>
      </c>
      <c r="C32" s="41" t="inlineStr">
        <is>
          <t>PF / ESI contributions remitted on time</t>
        </is>
      </c>
      <c r="D32" s="42" t="inlineStr">
        <is>
          <t>Finance Officer</t>
        </is>
      </c>
      <c r="E32" s="42" t="inlineStr"/>
      <c r="F32" s="42" t="inlineStr">
        <is>
          <t>Complied</t>
        </is>
      </c>
      <c r="G32" s="41" t="inlineStr"/>
      <c r="H32" s="41" t="inlineStr"/>
    </row>
    <row r="33" ht="22" customHeight="1">
      <c r="B33" s="4" t="n">
        <v>2</v>
      </c>
      <c r="C33" s="5" t="inlineStr">
        <is>
          <t>Minimum wage compliance verified</t>
        </is>
      </c>
      <c r="D33" s="6" t="inlineStr">
        <is>
          <t>HR Officer</t>
        </is>
      </c>
      <c r="E33" s="6" t="inlineStr"/>
      <c r="F33" s="6" t="inlineStr">
        <is>
          <t>Complied</t>
        </is>
      </c>
      <c r="G33" s="5" t="inlineStr"/>
      <c r="H33" s="5" t="inlineStr"/>
    </row>
    <row r="34" ht="22" customHeight="1">
      <c r="B34" s="40" t="n">
        <v>3</v>
      </c>
      <c r="C34" s="41" t="inlineStr">
        <is>
          <t>Employee service records maintained &amp; updated</t>
        </is>
      </c>
      <c r="D34" s="42" t="inlineStr">
        <is>
          <t>HR Officer</t>
        </is>
      </c>
      <c r="E34" s="42" t="inlineStr"/>
      <c r="F34" s="42" t="inlineStr">
        <is>
          <t>Complied</t>
        </is>
      </c>
      <c r="G34" s="41" t="inlineStr"/>
      <c r="H34" s="41" t="inlineStr"/>
    </row>
    <row r="35" ht="22" customHeight="1">
      <c r="B35" s="4" t="n">
        <v>4</v>
      </c>
      <c r="C35" s="5" t="inlineStr">
        <is>
          <t>Grievance Redressal Cell active &amp; register updated</t>
        </is>
      </c>
      <c r="D35" s="6" t="inlineStr">
        <is>
          <t>HR / Registrar</t>
        </is>
      </c>
      <c r="E35" s="6" t="inlineStr"/>
      <c r="F35" s="6" t="inlineStr">
        <is>
          <t>Complied</t>
        </is>
      </c>
      <c r="G35" s="5" t="inlineStr"/>
      <c r="H35" s="5" t="inlineStr"/>
    </row>
    <row r="36" ht="22" customHeight="1">
      <c r="B36" s="40" t="n">
        <v>5</v>
      </c>
      <c r="C36" s="41" t="inlineStr">
        <is>
          <t>Staff Insurance / Mediclaim renewed</t>
        </is>
      </c>
      <c r="D36" s="42" t="inlineStr">
        <is>
          <t>Admin Officer</t>
        </is>
      </c>
      <c r="E36" s="42" t="inlineStr"/>
      <c r="F36" s="42" t="inlineStr">
        <is>
          <t>Complied</t>
        </is>
      </c>
      <c r="G36" s="41" t="inlineStr"/>
      <c r="H36" s="41" t="inlineStr"/>
    </row>
    <row r="37" ht="22" customHeight="1"/>
    <row r="38" ht="22" customHeight="1">
      <c r="B38" s="55" t="inlineStr">
        <is>
          <t>FIRE, SAFETY &amp; ENVIRONMENT</t>
        </is>
      </c>
    </row>
    <row r="39" ht="22" customHeight="1">
      <c r="B39" s="56" t="inlineStr">
        <is>
          <t>Sl.</t>
        </is>
      </c>
      <c r="C39" s="56" t="inlineStr">
        <is>
          <t>Compliance Item</t>
        </is>
      </c>
      <c r="D39" s="56" t="inlineStr">
        <is>
          <t>Responsible Authority</t>
        </is>
      </c>
      <c r="E39" s="56" t="inlineStr">
        <is>
          <t>Due Date</t>
        </is>
      </c>
      <c r="F39" s="56" t="inlineStr">
        <is>
          <t>Status
(Complied/Pending)</t>
        </is>
      </c>
      <c r="G39" s="56" t="inlineStr">
        <is>
          <t>Document / Evidence</t>
        </is>
      </c>
      <c r="H39" s="56" t="inlineStr">
        <is>
          <t>EC Remarks</t>
        </is>
      </c>
    </row>
    <row r="40" ht="22" customHeight="1">
      <c r="B40" s="63" t="n">
        <v>1</v>
      </c>
      <c r="C40" s="64" t="inlineStr">
        <is>
          <t>Fire NOC renewed from Fire Department</t>
        </is>
      </c>
      <c r="D40" s="57" t="inlineStr">
        <is>
          <t>Estate Officer</t>
        </is>
      </c>
      <c r="E40" s="57" t="inlineStr"/>
      <c r="F40" s="57" t="inlineStr">
        <is>
          <t>Complied</t>
        </is>
      </c>
      <c r="G40" s="64" t="inlineStr"/>
      <c r="H40" s="64" t="inlineStr"/>
    </row>
    <row r="41" ht="22" customHeight="1">
      <c r="B41" s="4" t="n">
        <v>2</v>
      </c>
      <c r="C41" s="5" t="inlineStr">
        <is>
          <t>Electrical safety audit conducted annually</t>
        </is>
      </c>
      <c r="D41" s="6" t="inlineStr">
        <is>
          <t>Estate Officer</t>
        </is>
      </c>
      <c r="E41" s="6" t="inlineStr"/>
      <c r="F41" s="6" t="inlineStr">
        <is>
          <t>Complied</t>
        </is>
      </c>
      <c r="G41" s="5" t="inlineStr"/>
      <c r="H41" s="5" t="inlineStr"/>
    </row>
    <row r="42" ht="22" customHeight="1">
      <c r="B42" s="63" t="n">
        <v>3</v>
      </c>
      <c r="C42" s="64" t="inlineStr">
        <is>
          <t>Building Completion Certificate (BCC) valid</t>
        </is>
      </c>
      <c r="D42" s="57" t="inlineStr">
        <is>
          <t>Estate Officer</t>
        </is>
      </c>
      <c r="E42" s="57" t="inlineStr"/>
      <c r="F42" s="57" t="inlineStr">
        <is>
          <t>Complied</t>
        </is>
      </c>
      <c r="G42" s="64" t="inlineStr"/>
      <c r="H42" s="64" t="inlineStr"/>
    </row>
    <row r="43" ht="22" customHeight="1">
      <c r="B43" s="4" t="n">
        <v>4</v>
      </c>
      <c r="C43" s="5" t="inlineStr">
        <is>
          <t>Effluent treatment / waste disposal compliant</t>
        </is>
      </c>
      <c r="D43" s="6" t="inlineStr">
        <is>
          <t>Estate Officer</t>
        </is>
      </c>
      <c r="E43" s="6" t="inlineStr"/>
      <c r="F43" s="6" t="inlineStr">
        <is>
          <t>Complied</t>
        </is>
      </c>
      <c r="G43" s="5" t="inlineStr"/>
      <c r="H43" s="5" t="inlineStr"/>
    </row>
    <row r="44" ht="22" customHeight="1">
      <c r="B44" s="63" t="n">
        <v>5</v>
      </c>
      <c r="C44" s="64" t="inlineStr">
        <is>
          <t>Green Campus / Energy Audit conducted</t>
        </is>
      </c>
      <c r="D44" s="57" t="inlineStr">
        <is>
          <t>Estate Officer</t>
        </is>
      </c>
      <c r="E44" s="57" t="inlineStr"/>
      <c r="F44" s="57" t="inlineStr">
        <is>
          <t>Complied</t>
        </is>
      </c>
      <c r="G44" s="64" t="inlineStr"/>
      <c r="H44" s="64" t="inlineStr"/>
    </row>
    <row r="45" ht="22" customHeight="1"/>
    <row r="46" ht="22" customHeight="1">
      <c r="B46" s="16" t="inlineStr">
        <is>
          <t>Overall Compliance Status:  [ ] Fully Compliant   [ ] Partially Compliant   [ ] Non-Compliant — Immediate Action Required</t>
        </is>
      </c>
    </row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</sheetData>
  <mergeCells count="8">
    <mergeCell ref="B21:H21"/>
    <mergeCell ref="B4:H4"/>
    <mergeCell ref="B12:H12"/>
    <mergeCell ref="B30:H30"/>
    <mergeCell ref="B2:H2"/>
    <mergeCell ref="B38:H38"/>
    <mergeCell ref="B3:H3"/>
    <mergeCell ref="B46:H4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1" t="inlineStr">
        <is>
          <t>EC-12: AUDIT &amp; FINANCE REVIEW REGISTER</t>
        </is>
      </c>
    </row>
    <row r="3" ht="25" customHeight="1">
      <c r="B3" s="2" t="inlineStr">
        <is>
          <t>FY: _______  EC Meeting No.: _______  Date: _______  Finance Officer: ___________________</t>
        </is>
      </c>
    </row>
    <row r="4" ht="22" customHeight="1">
      <c r="B4" s="18" t="inlineStr">
        <is>
          <t>PART A — INTERNAL AUDIT FINDINGS &amp; ACTION</t>
        </is>
      </c>
    </row>
    <row r="5" ht="22" customHeight="1">
      <c r="B5" s="19" t="inlineStr">
        <is>
          <t>Audit
Ref.</t>
        </is>
      </c>
      <c r="C5" s="19" t="inlineStr">
        <is>
          <t>Audit Observation / Finding</t>
        </is>
      </c>
      <c r="D5" s="19" t="inlineStr">
        <is>
          <t>Area / Department</t>
        </is>
      </c>
      <c r="E5" s="19" t="inlineStr">
        <is>
          <t>Risk Level
(H/M/L)</t>
        </is>
      </c>
      <c r="F5" s="19" t="inlineStr">
        <is>
          <t>Action Recommended</t>
        </is>
      </c>
      <c r="G5" s="19" t="inlineStr">
        <is>
          <t>Compliance Date</t>
        </is>
      </c>
      <c r="H5" s="19" t="inlineStr">
        <is>
          <t>Status</t>
        </is>
      </c>
    </row>
    <row r="6" ht="28" customHeight="1">
      <c r="B6" s="47" t="n"/>
      <c r="C6" s="47" t="n"/>
      <c r="D6" s="47" t="n"/>
      <c r="E6" s="47" t="n"/>
      <c r="F6" s="47" t="n"/>
      <c r="G6" s="47" t="n"/>
      <c r="H6" s="47" t="n"/>
    </row>
    <row r="7" ht="28" customHeight="1">
      <c r="B7" s="6" t="n"/>
      <c r="C7" s="6" t="n"/>
      <c r="D7" s="6" t="n"/>
      <c r="E7" s="6" t="n"/>
      <c r="F7" s="6" t="n"/>
      <c r="G7" s="6" t="n"/>
      <c r="H7" s="6" t="n"/>
    </row>
    <row r="8" ht="28" customHeight="1">
      <c r="B8" s="47" t="n"/>
      <c r="C8" s="47" t="n"/>
      <c r="D8" s="47" t="n"/>
      <c r="E8" s="47" t="n"/>
      <c r="F8" s="47" t="n"/>
      <c r="G8" s="47" t="n"/>
      <c r="H8" s="47" t="n"/>
    </row>
    <row r="9" ht="28" customHeight="1">
      <c r="B9" s="6" t="n"/>
      <c r="C9" s="6" t="n"/>
      <c r="D9" s="6" t="n"/>
      <c r="E9" s="6" t="n"/>
      <c r="F9" s="6" t="n"/>
      <c r="G9" s="6" t="n"/>
      <c r="H9" s="6" t="n"/>
    </row>
    <row r="10" ht="28" customHeight="1">
      <c r="B10" s="47" t="n"/>
      <c r="C10" s="47" t="n"/>
      <c r="D10" s="47" t="n"/>
      <c r="E10" s="47" t="n"/>
      <c r="F10" s="47" t="n"/>
      <c r="G10" s="47" t="n"/>
      <c r="H10" s="47" t="n"/>
    </row>
    <row r="11" ht="28" customHeight="1">
      <c r="B11" s="6" t="n"/>
      <c r="C11" s="6" t="n"/>
      <c r="D11" s="6" t="n"/>
      <c r="E11" s="6" t="n"/>
      <c r="F11" s="6" t="n"/>
      <c r="G11" s="6" t="n"/>
      <c r="H11" s="6" t="n"/>
    </row>
    <row r="12" ht="28" customHeight="1">
      <c r="B12" s="47" t="n"/>
      <c r="C12" s="47" t="n"/>
      <c r="D12" s="47" t="n"/>
      <c r="E12" s="47" t="n"/>
      <c r="F12" s="47" t="n"/>
      <c r="G12" s="47" t="n"/>
      <c r="H12" s="47" t="n"/>
    </row>
    <row r="13" ht="28" customHeight="1">
      <c r="B13" s="6" t="n"/>
      <c r="C13" s="6" t="n"/>
      <c r="D13" s="6" t="n"/>
      <c r="E13" s="6" t="n"/>
      <c r="F13" s="6" t="n"/>
      <c r="G13" s="6" t="n"/>
      <c r="H13" s="6" t="n"/>
    </row>
    <row r="14" ht="28" customHeight="1">
      <c r="B14" s="47" t="n"/>
      <c r="C14" s="47" t="n"/>
      <c r="D14" s="47" t="n"/>
      <c r="E14" s="47" t="n"/>
      <c r="F14" s="47" t="n"/>
      <c r="G14" s="47" t="n"/>
      <c r="H14" s="47" t="n"/>
    </row>
    <row r="15" ht="28" customHeight="1">
      <c r="B15" s="6" t="n"/>
      <c r="C15" s="6" t="n"/>
      <c r="D15" s="6" t="n"/>
      <c r="E15" s="6" t="n"/>
      <c r="F15" s="6" t="n"/>
      <c r="G15" s="6" t="n"/>
      <c r="H15" s="6" t="n"/>
    </row>
    <row r="16" ht="22" customHeight="1"/>
    <row r="17" ht="22" customHeight="1">
      <c r="B17" s="38" t="inlineStr">
        <is>
          <t>PART B — STATUTORY AUDIT (CA / CAG) REPORT REVIEW</t>
        </is>
      </c>
    </row>
    <row r="18" ht="22" customHeight="1">
      <c r="B18" s="39" t="inlineStr">
        <is>
          <t>Para
No.</t>
        </is>
      </c>
      <c r="C18" s="39" t="inlineStr">
        <is>
          <t>Audit Para / Observation</t>
        </is>
      </c>
      <c r="D18" s="39" t="inlineStr">
        <is>
          <t>Financial Year</t>
        </is>
      </c>
      <c r="E18" s="39" t="inlineStr">
        <is>
          <t>Amount
Involved (₹)</t>
        </is>
      </c>
      <c r="F18" s="39" t="inlineStr">
        <is>
          <t>Management Reply</t>
        </is>
      </c>
      <c r="G18" s="39" t="inlineStr">
        <is>
          <t>EC Decision</t>
        </is>
      </c>
      <c r="H18" s="39" t="inlineStr">
        <is>
          <t>Closure Status</t>
        </is>
      </c>
    </row>
    <row r="19" ht="28" customHeight="1">
      <c r="B19" s="42" t="n"/>
      <c r="C19" s="42" t="n"/>
      <c r="D19" s="42" t="n"/>
      <c r="E19" s="42" t="n"/>
      <c r="F19" s="42" t="n"/>
      <c r="G19" s="42" t="n"/>
      <c r="H19" s="42" t="n"/>
    </row>
    <row r="20" ht="28" customHeight="1">
      <c r="B20" s="6" t="n"/>
      <c r="C20" s="6" t="n"/>
      <c r="D20" s="6" t="n"/>
      <c r="E20" s="6" t="n"/>
      <c r="F20" s="6" t="n"/>
      <c r="G20" s="6" t="n"/>
      <c r="H20" s="6" t="n"/>
    </row>
    <row r="21" ht="28" customHeight="1">
      <c r="B21" s="42" t="n"/>
      <c r="C21" s="42" t="n"/>
      <c r="D21" s="42" t="n"/>
      <c r="E21" s="42" t="n"/>
      <c r="F21" s="42" t="n"/>
      <c r="G21" s="42" t="n"/>
      <c r="H21" s="42" t="n"/>
    </row>
    <row r="22" ht="28" customHeight="1">
      <c r="B22" s="6" t="n"/>
      <c r="C22" s="6" t="n"/>
      <c r="D22" s="6" t="n"/>
      <c r="E22" s="6" t="n"/>
      <c r="F22" s="6" t="n"/>
      <c r="G22" s="6" t="n"/>
      <c r="H22" s="6" t="n"/>
    </row>
    <row r="23" ht="28" customHeight="1">
      <c r="B23" s="42" t="n"/>
      <c r="C23" s="42" t="n"/>
      <c r="D23" s="42" t="n"/>
      <c r="E23" s="42" t="n"/>
      <c r="F23" s="42" t="n"/>
      <c r="G23" s="42" t="n"/>
      <c r="H23" s="42" t="n"/>
    </row>
    <row r="24" ht="28" customHeight="1">
      <c r="B24" s="6" t="n"/>
      <c r="C24" s="6" t="n"/>
      <c r="D24" s="6" t="n"/>
      <c r="E24" s="6" t="n"/>
      <c r="F24" s="6" t="n"/>
      <c r="G24" s="6" t="n"/>
      <c r="H24" s="6" t="n"/>
    </row>
    <row r="25" ht="28" customHeight="1">
      <c r="B25" s="42" t="n"/>
      <c r="C25" s="42" t="n"/>
      <c r="D25" s="42" t="n"/>
      <c r="E25" s="42" t="n"/>
      <c r="F25" s="42" t="n"/>
      <c r="G25" s="42" t="n"/>
      <c r="H25" s="42" t="n"/>
    </row>
    <row r="26" ht="28" customHeight="1">
      <c r="B26" s="6" t="n"/>
      <c r="C26" s="6" t="n"/>
      <c r="D26" s="6" t="n"/>
      <c r="E26" s="6" t="n"/>
      <c r="F26" s="6" t="n"/>
      <c r="G26" s="6" t="n"/>
      <c r="H26" s="6" t="n"/>
    </row>
    <row r="27" ht="28" customHeight="1">
      <c r="B27" s="42" t="n"/>
      <c r="C27" s="42" t="n"/>
      <c r="D27" s="42" t="n"/>
      <c r="E27" s="42" t="n"/>
      <c r="F27" s="42" t="n"/>
      <c r="G27" s="42" t="n"/>
      <c r="H27" s="42" t="n"/>
    </row>
    <row r="28" ht="28" customHeight="1">
      <c r="B28" s="6" t="n"/>
      <c r="C28" s="6" t="n"/>
      <c r="D28" s="6" t="n"/>
      <c r="E28" s="6" t="n"/>
      <c r="F28" s="6" t="n"/>
      <c r="G28" s="6" t="n"/>
      <c r="H28" s="6" t="n"/>
    </row>
    <row r="29" ht="22" customHeight="1"/>
    <row r="30" ht="22" customHeight="1">
      <c r="B30" s="20" t="inlineStr">
        <is>
          <t>PART C — KEY FINANCIAL RATIOS &amp; INDICATORS</t>
        </is>
      </c>
    </row>
    <row r="31" ht="22" customHeight="1">
      <c r="B31" s="21" t="inlineStr">
        <is>
          <t>Indicator</t>
        </is>
      </c>
      <c r="C31" s="21" t="inlineStr">
        <is>
          <t>Formula / Basis</t>
        </is>
      </c>
      <c r="D31" s="21" t="inlineStr">
        <is>
          <t>Previous FY</t>
        </is>
      </c>
      <c r="E31" s="21" t="inlineStr">
        <is>
          <t>Current FY</t>
        </is>
      </c>
      <c r="F31" s="21" t="inlineStr">
        <is>
          <t>Target</t>
        </is>
      </c>
      <c r="G31" s="21" t="inlineStr">
        <is>
          <t>Variance</t>
        </is>
      </c>
      <c r="H31" s="21" t="inlineStr">
        <is>
          <t>EC Remarks</t>
        </is>
      </c>
    </row>
    <row r="32" ht="22" customHeight="1">
      <c r="B32" s="23" t="inlineStr">
        <is>
          <t>Fee Collection Efficiency (%)</t>
        </is>
      </c>
      <c r="C32" s="59" t="inlineStr">
        <is>
          <t>Fee Collected / Fee Demanded × 100</t>
        </is>
      </c>
      <c r="D32" s="22" t="inlineStr"/>
      <c r="E32" s="22" t="inlineStr"/>
      <c r="F32" s="22" t="inlineStr"/>
      <c r="G32" s="22">
        <f>IFERROR(ROUND(F32-E32,2),"")</f>
        <v/>
      </c>
      <c r="H32" s="59" t="inlineStr"/>
    </row>
    <row r="33" ht="22" customHeight="1">
      <c r="B33" s="25" t="inlineStr">
        <is>
          <t>Staff Cost Ratio (%)</t>
        </is>
      </c>
      <c r="C33" s="5" t="inlineStr">
        <is>
          <t>Staff Cost / Total Income × 100</t>
        </is>
      </c>
      <c r="D33" s="6" t="inlineStr"/>
      <c r="E33" s="6" t="inlineStr"/>
      <c r="F33" s="6" t="inlineStr"/>
      <c r="G33" s="6">
        <f>IFERROR(ROUND(F33-E33,2),"")</f>
        <v/>
      </c>
      <c r="H33" s="5" t="inlineStr"/>
    </row>
    <row r="34" ht="22" customHeight="1">
      <c r="B34" s="23" t="inlineStr">
        <is>
          <t>Capital Expenditure Ratio (%)</t>
        </is>
      </c>
      <c r="C34" s="59" t="inlineStr">
        <is>
          <t>Capex / Total Expenditure × 100</t>
        </is>
      </c>
      <c r="D34" s="22" t="inlineStr"/>
      <c r="E34" s="22" t="inlineStr"/>
      <c r="F34" s="22" t="inlineStr"/>
      <c r="G34" s="22">
        <f>IFERROR(ROUND(F34-E34,2),"")</f>
        <v/>
      </c>
      <c r="H34" s="59" t="inlineStr"/>
    </row>
    <row r="35" ht="22" customHeight="1">
      <c r="B35" s="25" t="inlineStr">
        <is>
          <t>Surplus / Deficit Ratio (%)</t>
        </is>
      </c>
      <c r="C35" s="5" t="inlineStr">
        <is>
          <t>Surplus / Total Income × 100</t>
        </is>
      </c>
      <c r="D35" s="6" t="inlineStr"/>
      <c r="E35" s="6" t="inlineStr"/>
      <c r="F35" s="6" t="inlineStr"/>
      <c r="G35" s="6">
        <f>IFERROR(ROUND(F35-E35,2),"")</f>
        <v/>
      </c>
      <c r="H35" s="5" t="inlineStr"/>
    </row>
    <row r="36" ht="22" customHeight="1">
      <c r="B36" s="23" t="inlineStr">
        <is>
          <t>Grant Utilisation Rate (%)</t>
        </is>
      </c>
      <c r="C36" s="59" t="inlineStr">
        <is>
          <t>Utilised / Sanctioned Grant × 100</t>
        </is>
      </c>
      <c r="D36" s="22" t="inlineStr"/>
      <c r="E36" s="22" t="inlineStr"/>
      <c r="F36" s="22" t="inlineStr"/>
      <c r="G36" s="22">
        <f>IFERROR(ROUND(F36-E36,2),"")</f>
        <v/>
      </c>
      <c r="H36" s="59" t="inlineStr"/>
    </row>
    <row r="37" ht="22" customHeight="1">
      <c r="B37" s="25" t="inlineStr">
        <is>
          <t>Current Ratio</t>
        </is>
      </c>
      <c r="C37" s="5" t="inlineStr">
        <is>
          <t>Current Assets / Current Liabilities</t>
        </is>
      </c>
      <c r="D37" s="6" t="inlineStr"/>
      <c r="E37" s="6" t="inlineStr"/>
      <c r="F37" s="6" t="inlineStr"/>
      <c r="G37" s="6">
        <f>IFERROR(ROUND(F37-E37,2),"")</f>
        <v/>
      </c>
      <c r="H37" s="5" t="inlineStr"/>
    </row>
    <row r="38" ht="22" customHeight="1">
      <c r="B38" s="23" t="inlineStr">
        <is>
          <t>Debt-Service Coverage Ratio</t>
        </is>
      </c>
      <c r="C38" s="59" t="inlineStr">
        <is>
          <t>Net Income / Debt Obligations</t>
        </is>
      </c>
      <c r="D38" s="22" t="inlineStr"/>
      <c r="E38" s="22" t="inlineStr"/>
      <c r="F38" s="22" t="inlineStr"/>
      <c r="G38" s="22">
        <f>IFERROR(ROUND(F38-E38,2),"")</f>
        <v/>
      </c>
      <c r="H38" s="59" t="inlineStr"/>
    </row>
    <row r="39" ht="22" customHeight="1">
      <c r="B39" s="25" t="inlineStr">
        <is>
          <t>Reserve Fund Adequacy (Months)</t>
        </is>
      </c>
      <c r="C39" s="5" t="inlineStr">
        <is>
          <t>Reserves / Monthly Avg. Expenditure</t>
        </is>
      </c>
      <c r="D39" s="6" t="inlineStr"/>
      <c r="E39" s="6" t="inlineStr"/>
      <c r="F39" s="6" t="inlineStr"/>
      <c r="G39" s="6">
        <f>IFERROR(ROUND(F39-E39,2),"")</f>
        <v/>
      </c>
      <c r="H39" s="5" t="inlineStr"/>
    </row>
    <row r="40" ht="22" customHeight="1"/>
    <row r="41" ht="22" customHeight="1">
      <c r="B41" s="27" t="inlineStr">
        <is>
          <t>Audit Report reviewed and accepted by EC Resolution No.: _______    Date: ___________________</t>
        </is>
      </c>
    </row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</sheetData>
  <mergeCells count="6">
    <mergeCell ref="B17:H17"/>
    <mergeCell ref="B41:H41"/>
    <mergeCell ref="B4:H4"/>
    <mergeCell ref="B30:H30"/>
    <mergeCell ref="B2:H2"/>
    <mergeCell ref="B3:H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EC-13: AFFILIATION, ACCREDITATION &amp; RANKING TRACKER</t>
        </is>
      </c>
    </row>
    <row r="3" ht="25" customHeight="1">
      <c r="B3" s="2" t="inlineStr">
        <is>
          <t>Institution: _________________________  A.Y.: _______  IQAC Coordinator: ___________________</t>
        </is>
      </c>
    </row>
    <row r="4" ht="22" customHeight="1">
      <c r="B4" s="18" t="inlineStr">
        <is>
          <t>PART A — UNIVERSITY AFFILIATION &amp; REGULATORY APPROVALS</t>
        </is>
      </c>
    </row>
    <row r="5" ht="22" customHeight="1">
      <c r="B5" s="19" t="inlineStr">
        <is>
          <t>Sl.</t>
        </is>
      </c>
      <c r="C5" s="19" t="inlineStr">
        <is>
          <t>Approval / Affiliation</t>
        </is>
      </c>
      <c r="D5" s="19" t="inlineStr">
        <is>
          <t>Issuing Body</t>
        </is>
      </c>
      <c r="E5" s="19" t="inlineStr">
        <is>
          <t>Valid From</t>
        </is>
      </c>
      <c r="F5" s="19" t="inlineStr">
        <is>
          <t>Valid Upto</t>
        </is>
      </c>
      <c r="G5" s="19" t="inlineStr">
        <is>
          <t>Status</t>
        </is>
      </c>
      <c r="H5" s="19" t="inlineStr">
        <is>
          <t>Next Renewal Due</t>
        </is>
      </c>
      <c r="I5" s="19" t="inlineStr">
        <is>
          <t>EC Remarks</t>
        </is>
      </c>
    </row>
    <row r="6" ht="22" customHeight="1">
      <c r="B6" s="45" t="n">
        <v>1</v>
      </c>
      <c r="C6" s="46" t="inlineStr">
        <is>
          <t>University Affiliation</t>
        </is>
      </c>
      <c r="D6" s="47" t="inlineStr">
        <is>
          <t>Affiliating University</t>
        </is>
      </c>
      <c r="E6" s="47" t="inlineStr"/>
      <c r="F6" s="47" t="inlineStr"/>
      <c r="G6" s="47" t="inlineStr">
        <is>
          <t>Active</t>
        </is>
      </c>
      <c r="H6" s="47" t="inlineStr"/>
      <c r="I6" s="46" t="inlineStr"/>
    </row>
    <row r="7" ht="22" customHeight="1">
      <c r="B7" s="4" t="n">
        <v>2</v>
      </c>
      <c r="C7" s="5" t="inlineStr">
        <is>
          <t>AICTE Approval (EoA)</t>
        </is>
      </c>
      <c r="D7" s="6" t="inlineStr">
        <is>
          <t>AICTE, New Delhi</t>
        </is>
      </c>
      <c r="E7" s="6" t="inlineStr"/>
      <c r="F7" s="6" t="inlineStr"/>
      <c r="G7" s="6" t="inlineStr">
        <is>
          <t>Active</t>
        </is>
      </c>
      <c r="H7" s="6" t="inlineStr"/>
      <c r="I7" s="5" t="inlineStr"/>
    </row>
    <row r="8" ht="22" customHeight="1">
      <c r="B8" s="45" t="n">
        <v>3</v>
      </c>
      <c r="C8" s="46" t="inlineStr">
        <is>
          <t>UGC 2(f) Recognition</t>
        </is>
      </c>
      <c r="D8" s="47" t="inlineStr">
        <is>
          <t>University Grants Commission</t>
        </is>
      </c>
      <c r="E8" s="47" t="inlineStr"/>
      <c r="F8" s="47" t="inlineStr"/>
      <c r="G8" s="47" t="inlineStr">
        <is>
          <t>Active</t>
        </is>
      </c>
      <c r="H8" s="47" t="inlineStr"/>
      <c r="I8" s="46" t="inlineStr"/>
    </row>
    <row r="9" ht="22" customHeight="1">
      <c r="B9" s="4" t="n">
        <v>4</v>
      </c>
      <c r="C9" s="5" t="inlineStr">
        <is>
          <t>UGC 12(B) Status</t>
        </is>
      </c>
      <c r="D9" s="6" t="inlineStr">
        <is>
          <t>University Grants Commission</t>
        </is>
      </c>
      <c r="E9" s="6" t="inlineStr"/>
      <c r="F9" s="6" t="inlineStr"/>
      <c r="G9" s="6" t="inlineStr">
        <is>
          <t>Active</t>
        </is>
      </c>
      <c r="H9" s="6" t="inlineStr"/>
      <c r="I9" s="5" t="inlineStr"/>
    </row>
    <row r="10" ht="22" customHeight="1">
      <c r="B10" s="45" t="n">
        <v>5</v>
      </c>
      <c r="C10" s="46" t="inlineStr">
        <is>
          <t>State Govt. NOC</t>
        </is>
      </c>
      <c r="D10" s="47" t="inlineStr">
        <is>
          <t>State Higher Education Dept.</t>
        </is>
      </c>
      <c r="E10" s="47" t="inlineStr"/>
      <c r="F10" s="47" t="inlineStr"/>
      <c r="G10" s="47" t="inlineStr">
        <is>
          <t>Active</t>
        </is>
      </c>
      <c r="H10" s="47" t="inlineStr"/>
      <c r="I10" s="46" t="inlineStr"/>
    </row>
    <row r="11" ht="22" customHeight="1">
      <c r="B11" s="4" t="n">
        <v>6</v>
      </c>
      <c r="C11" s="5" t="inlineStr">
        <is>
          <t>Land / Building Approval</t>
        </is>
      </c>
      <c r="D11" s="6" t="inlineStr">
        <is>
          <t>Local Body / DTCP</t>
        </is>
      </c>
      <c r="E11" s="6" t="inlineStr"/>
      <c r="F11" s="6" t="inlineStr"/>
      <c r="G11" s="6" t="inlineStr">
        <is>
          <t>Active</t>
        </is>
      </c>
      <c r="H11" s="6" t="inlineStr"/>
      <c r="I11" s="5" t="inlineStr"/>
    </row>
    <row r="12" ht="22" customHeight="1">
      <c r="B12" s="45" t="n">
        <v>7</v>
      </c>
      <c r="C12" s="46" t="inlineStr">
        <is>
          <t>Environmental Clearance (if applicable)</t>
        </is>
      </c>
      <c r="D12" s="47" t="inlineStr">
        <is>
          <t>MoEFCC / SEIAA</t>
        </is>
      </c>
      <c r="E12" s="47" t="inlineStr"/>
      <c r="F12" s="47" t="inlineStr"/>
      <c r="G12" s="47" t="inlineStr">
        <is>
          <t>Active</t>
        </is>
      </c>
      <c r="H12" s="47" t="inlineStr"/>
      <c r="I12" s="46" t="inlineStr"/>
    </row>
    <row r="13" ht="22" customHeight="1"/>
    <row r="14" ht="22" customHeight="1">
      <c r="B14" s="38" t="inlineStr">
        <is>
          <t>PART B — NBA / NAAC / NIRF STATUS</t>
        </is>
      </c>
    </row>
    <row r="15" ht="22" customHeight="1">
      <c r="B15" s="39" t="inlineStr">
        <is>
          <t>Programme / Institution</t>
        </is>
      </c>
      <c r="C15" s="39" t="inlineStr">
        <is>
          <t>Accreditation Body</t>
        </is>
      </c>
      <c r="D15" s="39" t="inlineStr">
        <is>
          <t>Accreditation Grade / Score</t>
        </is>
      </c>
      <c r="E15" s="39" t="inlineStr">
        <is>
          <t>Valid From</t>
        </is>
      </c>
      <c r="F15" s="39" t="inlineStr">
        <is>
          <t>Valid Upto</t>
        </is>
      </c>
      <c r="G15" s="39" t="inlineStr">
        <is>
          <t>Status</t>
        </is>
      </c>
      <c r="H15" s="39" t="inlineStr">
        <is>
          <t>Next Submission</t>
        </is>
      </c>
      <c r="I15" s="39" t="inlineStr">
        <is>
          <t>Remarks</t>
        </is>
      </c>
    </row>
    <row r="16" ht="22" customHeight="1">
      <c r="B16" s="65" t="inlineStr">
        <is>
          <t>Institution Overall</t>
        </is>
      </c>
      <c r="C16" s="42" t="inlineStr">
        <is>
          <t>NAAC</t>
        </is>
      </c>
      <c r="D16" s="42" t="inlineStr"/>
      <c r="E16" s="42" t="inlineStr"/>
      <c r="F16" s="42" t="inlineStr"/>
      <c r="G16" s="42" t="inlineStr">
        <is>
          <t>Active</t>
        </is>
      </c>
      <c r="H16" s="42" t="inlineStr"/>
      <c r="I16" s="41" t="inlineStr"/>
    </row>
    <row r="17" ht="22" customHeight="1">
      <c r="B17" s="25" t="inlineStr">
        <is>
          <t>B.E. CSE</t>
        </is>
      </c>
      <c r="C17" s="6" t="inlineStr">
        <is>
          <t>NBA</t>
        </is>
      </c>
      <c r="D17" s="6" t="inlineStr"/>
      <c r="E17" s="6" t="inlineStr"/>
      <c r="F17" s="6" t="inlineStr"/>
      <c r="G17" s="6" t="inlineStr">
        <is>
          <t>Active</t>
        </is>
      </c>
      <c r="H17" s="6" t="inlineStr"/>
      <c r="I17" s="5" t="inlineStr"/>
    </row>
    <row r="18" ht="22" customHeight="1">
      <c r="B18" s="65" t="inlineStr">
        <is>
          <t>B.E. ECE</t>
        </is>
      </c>
      <c r="C18" s="42" t="inlineStr">
        <is>
          <t>NBA</t>
        </is>
      </c>
      <c r="D18" s="42" t="inlineStr"/>
      <c r="E18" s="42" t="inlineStr"/>
      <c r="F18" s="42" t="inlineStr"/>
      <c r="G18" s="42" t="inlineStr">
        <is>
          <t>Active</t>
        </is>
      </c>
      <c r="H18" s="42" t="inlineStr"/>
      <c r="I18" s="41" t="inlineStr"/>
    </row>
    <row r="19" ht="22" customHeight="1">
      <c r="B19" s="25" t="inlineStr">
        <is>
          <t>B.E. EEE</t>
        </is>
      </c>
      <c r="C19" s="6" t="inlineStr">
        <is>
          <t>NBA</t>
        </is>
      </c>
      <c r="D19" s="6" t="inlineStr"/>
      <c r="E19" s="6" t="inlineStr"/>
      <c r="F19" s="6" t="inlineStr"/>
      <c r="G19" s="6" t="inlineStr">
        <is>
          <t>Active</t>
        </is>
      </c>
      <c r="H19" s="6" t="inlineStr"/>
      <c r="I19" s="5" t="inlineStr"/>
    </row>
    <row r="20" ht="22" customHeight="1">
      <c r="B20" s="65" t="inlineStr">
        <is>
          <t>B.E. Mechanical</t>
        </is>
      </c>
      <c r="C20" s="42" t="inlineStr">
        <is>
          <t>NBA</t>
        </is>
      </c>
      <c r="D20" s="42" t="inlineStr"/>
      <c r="E20" s="42" t="inlineStr"/>
      <c r="F20" s="42" t="inlineStr"/>
      <c r="G20" s="42" t="inlineStr">
        <is>
          <t>Active</t>
        </is>
      </c>
      <c r="H20" s="42" t="inlineStr"/>
      <c r="I20" s="41" t="inlineStr"/>
    </row>
    <row r="21" ht="22" customHeight="1">
      <c r="B21" s="25" t="inlineStr">
        <is>
          <t>B.E. Civil</t>
        </is>
      </c>
      <c r="C21" s="6" t="inlineStr">
        <is>
          <t>NBA</t>
        </is>
      </c>
      <c r="D21" s="6" t="inlineStr"/>
      <c r="E21" s="6" t="inlineStr"/>
      <c r="F21" s="6" t="inlineStr"/>
      <c r="G21" s="6" t="inlineStr">
        <is>
          <t>Active</t>
        </is>
      </c>
      <c r="H21" s="6" t="inlineStr"/>
      <c r="I21" s="5" t="inlineStr"/>
    </row>
    <row r="22" ht="22" customHeight="1">
      <c r="B22" s="65" t="inlineStr">
        <is>
          <t>MBA</t>
        </is>
      </c>
      <c r="C22" s="42" t="inlineStr">
        <is>
          <t>NBA / AICTE</t>
        </is>
      </c>
      <c r="D22" s="42" t="inlineStr"/>
      <c r="E22" s="42" t="inlineStr"/>
      <c r="F22" s="42" t="inlineStr"/>
      <c r="G22" s="42" t="inlineStr">
        <is>
          <t>Active</t>
        </is>
      </c>
      <c r="H22" s="42" t="inlineStr"/>
      <c r="I22" s="41" t="inlineStr"/>
    </row>
    <row r="23" ht="22" customHeight="1">
      <c r="B23" s="25" t="inlineStr">
        <is>
          <t>NIRF Ranking</t>
        </is>
      </c>
      <c r="C23" s="6" t="inlineStr">
        <is>
          <t>MoE / NIRF</t>
        </is>
      </c>
      <c r="D23" s="6" t="inlineStr"/>
      <c r="E23" s="6" t="inlineStr"/>
      <c r="F23" s="6" t="inlineStr"/>
      <c r="G23" s="6" t="inlineStr">
        <is>
          <t>Active</t>
        </is>
      </c>
      <c r="H23" s="6" t="inlineStr"/>
      <c r="I23" s="5" t="inlineStr"/>
    </row>
    <row r="24" ht="22" customHeight="1"/>
    <row r="25" ht="22" customHeight="1">
      <c r="B25" s="35" t="inlineStr">
        <is>
          <t>PART C — ACCREDITATION PREPARATION ACTION PLAN</t>
        </is>
      </c>
    </row>
    <row r="26" ht="22" customHeight="1">
      <c r="B26" s="31" t="inlineStr">
        <is>
          <t>Action Item</t>
        </is>
      </c>
      <c r="C26" s="31" t="inlineStr">
        <is>
          <t>Responsible Person</t>
        </is>
      </c>
      <c r="D26" s="31" t="inlineStr">
        <is>
          <t>Target Date</t>
        </is>
      </c>
      <c r="E26" s="31" t="inlineStr">
        <is>
          <t>Resources Needed</t>
        </is>
      </c>
      <c r="F26" s="31" t="inlineStr">
        <is>
          <t>Progress %</t>
        </is>
      </c>
      <c r="G26" s="31" t="inlineStr">
        <is>
          <t>EC Resolution Ref.</t>
        </is>
      </c>
      <c r="H26" s="31" t="inlineStr">
        <is>
          <t>Status</t>
        </is>
      </c>
      <c r="I26" s="31" t="inlineStr">
        <is>
          <t>Remarks</t>
        </is>
      </c>
    </row>
    <row r="27" ht="22" customHeight="1">
      <c r="B27" s="36" t="inlineStr">
        <is>
          <t>SAR (Self-Assessment Report) preparation</t>
        </is>
      </c>
      <c r="C27" s="34" t="inlineStr"/>
      <c r="D27" s="34" t="inlineStr"/>
      <c r="E27" s="33" t="inlineStr"/>
      <c r="F27" s="34" t="inlineStr"/>
      <c r="G27" s="34" t="inlineStr"/>
      <c r="H27" s="34" t="inlineStr">
        <is>
          <t>In Progress</t>
        </is>
      </c>
      <c r="I27" s="33" t="inlineStr"/>
    </row>
    <row r="28" ht="22" customHeight="1">
      <c r="B28" s="25" t="inlineStr">
        <is>
          <t>Faculty qualification upgradation drive</t>
        </is>
      </c>
      <c r="C28" s="6" t="inlineStr"/>
      <c r="D28" s="6" t="inlineStr"/>
      <c r="E28" s="5" t="inlineStr"/>
      <c r="F28" s="6" t="inlineStr"/>
      <c r="G28" s="6" t="inlineStr"/>
      <c r="H28" s="6" t="inlineStr">
        <is>
          <t>In Progress</t>
        </is>
      </c>
      <c r="I28" s="5" t="inlineStr"/>
    </row>
    <row r="29" ht="22" customHeight="1">
      <c r="B29" s="36" t="inlineStr">
        <is>
          <t>Laboratory modernisation &amp; equipment</t>
        </is>
      </c>
      <c r="C29" s="34" t="inlineStr"/>
      <c r="D29" s="34" t="inlineStr"/>
      <c r="E29" s="33" t="inlineStr"/>
      <c r="F29" s="34" t="inlineStr"/>
      <c r="G29" s="34" t="inlineStr"/>
      <c r="H29" s="34" t="inlineStr">
        <is>
          <t>In Progress</t>
        </is>
      </c>
      <c r="I29" s="33" t="inlineStr"/>
    </row>
    <row r="30" ht="22" customHeight="1">
      <c r="B30" s="25" t="inlineStr">
        <is>
          <t>NBA criterion-wise gap analysis</t>
        </is>
      </c>
      <c r="C30" s="6" t="inlineStr"/>
      <c r="D30" s="6" t="inlineStr"/>
      <c r="E30" s="5" t="inlineStr"/>
      <c r="F30" s="6" t="inlineStr"/>
      <c r="G30" s="6" t="inlineStr"/>
      <c r="H30" s="6" t="inlineStr">
        <is>
          <t>In Progress</t>
        </is>
      </c>
      <c r="I30" s="5" t="inlineStr"/>
    </row>
    <row r="31" ht="22" customHeight="1">
      <c r="B31" s="36" t="inlineStr">
        <is>
          <t>IQAC activities &amp; documentation</t>
        </is>
      </c>
      <c r="C31" s="34" t="inlineStr"/>
      <c r="D31" s="34" t="inlineStr"/>
      <c r="E31" s="33" t="inlineStr"/>
      <c r="F31" s="34" t="inlineStr"/>
      <c r="G31" s="34" t="inlineStr"/>
      <c r="H31" s="34" t="inlineStr">
        <is>
          <t>In Progress</t>
        </is>
      </c>
      <c r="I31" s="33" t="inlineStr"/>
    </row>
    <row r="32" ht="22" customHeight="1">
      <c r="B32" s="25" t="inlineStr">
        <is>
          <t>Alumni &amp; employer feedback surveys</t>
        </is>
      </c>
      <c r="C32" s="6" t="inlineStr"/>
      <c r="D32" s="6" t="inlineStr"/>
      <c r="E32" s="5" t="inlineStr"/>
      <c r="F32" s="6" t="inlineStr"/>
      <c r="G32" s="6" t="inlineStr"/>
      <c r="H32" s="6" t="inlineStr">
        <is>
          <t>In Progress</t>
        </is>
      </c>
      <c r="I32" s="5" t="inlineStr"/>
    </row>
    <row r="33" ht="22" customHeight="1">
      <c r="B33" s="36" t="inlineStr">
        <is>
          <t>CO-PO attainment computation</t>
        </is>
      </c>
      <c r="C33" s="34" t="inlineStr"/>
      <c r="D33" s="34" t="inlineStr"/>
      <c r="E33" s="33" t="inlineStr"/>
      <c r="F33" s="34" t="inlineStr"/>
      <c r="G33" s="34" t="inlineStr"/>
      <c r="H33" s="34" t="inlineStr">
        <is>
          <t>In Progress</t>
        </is>
      </c>
      <c r="I33" s="33" t="inlineStr"/>
    </row>
    <row r="34" ht="22" customHeight="1">
      <c r="B34" s="25" t="inlineStr">
        <is>
          <t>Student performance data compilation</t>
        </is>
      </c>
      <c r="C34" s="6" t="inlineStr"/>
      <c r="D34" s="6" t="inlineStr"/>
      <c r="E34" s="5" t="inlineStr"/>
      <c r="F34" s="6" t="inlineStr"/>
      <c r="G34" s="6" t="inlineStr"/>
      <c r="H34" s="6" t="inlineStr">
        <is>
          <t>In Progress</t>
        </is>
      </c>
      <c r="I34" s="5" t="inlineStr"/>
    </row>
    <row r="35" ht="22" customHeight="1">
      <c r="B35" s="36" t="inlineStr">
        <is>
          <t>NIRF data submission preparation</t>
        </is>
      </c>
      <c r="C35" s="34" t="inlineStr"/>
      <c r="D35" s="34" t="inlineStr"/>
      <c r="E35" s="33" t="inlineStr"/>
      <c r="F35" s="34" t="inlineStr"/>
      <c r="G35" s="34" t="inlineStr"/>
      <c r="H35" s="34" t="inlineStr">
        <is>
          <t>In Progress</t>
        </is>
      </c>
      <c r="I35" s="33" t="inlineStr"/>
    </row>
    <row r="36" ht="22" customHeight="1">
      <c r="B36" s="25" t="inlineStr">
        <is>
          <t>Accreditation body mock visit</t>
        </is>
      </c>
      <c r="C36" s="6" t="inlineStr"/>
      <c r="D36" s="6" t="inlineStr"/>
      <c r="E36" s="5" t="inlineStr"/>
      <c r="F36" s="6" t="inlineStr"/>
      <c r="G36" s="6" t="inlineStr"/>
      <c r="H36" s="6" t="inlineStr">
        <is>
          <t>In Progress</t>
        </is>
      </c>
      <c r="I36" s="5" t="inlineStr"/>
    </row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</sheetData>
  <mergeCells count="5">
    <mergeCell ref="B25:I25"/>
    <mergeCell ref="B2:I2"/>
    <mergeCell ref="B3:I3"/>
    <mergeCell ref="B14:I14"/>
    <mergeCell ref="B4:I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I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EC-14: EXECUTIVE COUNCIL RECOMMENDATIONS REGISTER (CUMULATIVE)</t>
        </is>
      </c>
    </row>
    <row r="3" ht="25" customHeight="1">
      <c r="B3" s="2" t="inlineStr">
        <is>
          <t>Institution: _________________________  Maintained by: Registrar    Last Updated: _______</t>
        </is>
      </c>
    </row>
    <row r="4" ht="25" customHeight="1">
      <c r="B4" s="66" t="inlineStr">
        <is>
          <t>EC Resolution
No.</t>
        </is>
      </c>
      <c r="C4" s="66" t="inlineStr">
        <is>
          <t>Resolution / Recommendation (Summary)</t>
        </is>
      </c>
      <c r="D4" s="66" t="inlineStr">
        <is>
          <t>Category</t>
        </is>
      </c>
      <c r="E4" s="66" t="inlineStr">
        <is>
          <t>EC Meeting
No. &amp; Date</t>
        </is>
      </c>
      <c r="F4" s="66" t="inlineStr">
        <is>
          <t>Forwarded To</t>
        </is>
      </c>
      <c r="G4" s="66" t="inlineStr">
        <is>
          <t>Target
Date</t>
        </is>
      </c>
      <c r="H4" s="66" t="inlineStr">
        <is>
          <t>Implemented
Date</t>
        </is>
      </c>
      <c r="I4" s="66" t="inlineStr">
        <is>
          <t>Status</t>
        </is>
      </c>
    </row>
    <row r="5" ht="25" customHeight="1">
      <c r="B5" s="13" t="inlineStr">
        <is>
          <t>EC/RES/2023/001</t>
        </is>
      </c>
      <c r="C5" s="14" t="inlineStr"/>
      <c r="D5" s="15" t="inlineStr">
        <is>
          <t>Governance</t>
        </is>
      </c>
      <c r="E5" s="15" t="inlineStr"/>
      <c r="F5" s="15" t="inlineStr"/>
      <c r="G5" s="15" t="inlineStr"/>
      <c r="H5" s="15" t="inlineStr"/>
      <c r="I5" s="15" t="inlineStr">
        <is>
          <t>Pending</t>
        </is>
      </c>
    </row>
    <row r="6" ht="25" customHeight="1">
      <c r="B6" s="4" t="inlineStr">
        <is>
          <t>EC/RES/2023/002</t>
        </is>
      </c>
      <c r="C6" s="5" t="inlineStr"/>
      <c r="D6" s="6" t="inlineStr">
        <is>
          <t>Finance</t>
        </is>
      </c>
      <c r="E6" s="6" t="inlineStr"/>
      <c r="F6" s="6" t="inlineStr"/>
      <c r="G6" s="6" t="inlineStr"/>
      <c r="H6" s="6" t="inlineStr"/>
      <c r="I6" s="6" t="inlineStr">
        <is>
          <t>Pending</t>
        </is>
      </c>
    </row>
    <row r="7" ht="25" customHeight="1">
      <c r="B7" s="13" t="inlineStr">
        <is>
          <t>EC/RES/2023/003</t>
        </is>
      </c>
      <c r="C7" s="14" t="inlineStr"/>
      <c r="D7" s="15" t="inlineStr">
        <is>
          <t>HR</t>
        </is>
      </c>
      <c r="E7" s="15" t="inlineStr"/>
      <c r="F7" s="15" t="inlineStr"/>
      <c r="G7" s="15" t="inlineStr"/>
      <c r="H7" s="15" t="inlineStr"/>
      <c r="I7" s="15" t="inlineStr">
        <is>
          <t>Pending</t>
        </is>
      </c>
    </row>
    <row r="8" ht="25" customHeight="1">
      <c r="B8" s="4" t="inlineStr">
        <is>
          <t>EC/RES/2023/004</t>
        </is>
      </c>
      <c r="C8" s="5" t="inlineStr"/>
      <c r="D8" s="6" t="inlineStr">
        <is>
          <t>Infrastructure</t>
        </is>
      </c>
      <c r="E8" s="6" t="inlineStr"/>
      <c r="F8" s="6" t="inlineStr"/>
      <c r="G8" s="6" t="inlineStr"/>
      <c r="H8" s="6" t="inlineStr"/>
      <c r="I8" s="6" t="inlineStr">
        <is>
          <t>Pending</t>
        </is>
      </c>
    </row>
    <row r="9" ht="25" customHeight="1">
      <c r="B9" s="13" t="inlineStr">
        <is>
          <t>EC/RES/2023/005</t>
        </is>
      </c>
      <c r="C9" s="14" t="inlineStr"/>
      <c r="D9" s="15" t="inlineStr">
        <is>
          <t>Policy</t>
        </is>
      </c>
      <c r="E9" s="15" t="inlineStr"/>
      <c r="F9" s="15" t="inlineStr"/>
      <c r="G9" s="15" t="inlineStr"/>
      <c r="H9" s="15" t="inlineStr"/>
      <c r="I9" s="15" t="inlineStr">
        <is>
          <t>Pending</t>
        </is>
      </c>
    </row>
    <row r="10" ht="25" customHeight="1">
      <c r="B10" s="4" t="inlineStr">
        <is>
          <t>EC/RES/2023/006</t>
        </is>
      </c>
      <c r="C10" s="5" t="inlineStr"/>
      <c r="D10" s="6" t="inlineStr">
        <is>
          <t>Academic</t>
        </is>
      </c>
      <c r="E10" s="6" t="inlineStr"/>
      <c r="F10" s="6" t="inlineStr"/>
      <c r="G10" s="6" t="inlineStr"/>
      <c r="H10" s="6" t="inlineStr"/>
      <c r="I10" s="6" t="inlineStr">
        <is>
          <t>Pending</t>
        </is>
      </c>
    </row>
    <row r="11" ht="25" customHeight="1">
      <c r="B11" s="13" t="inlineStr">
        <is>
          <t>EC/RES/2023/007</t>
        </is>
      </c>
      <c r="C11" s="14" t="inlineStr"/>
      <c r="D11" s="15" t="inlineStr">
        <is>
          <t>Statutory</t>
        </is>
      </c>
      <c r="E11" s="15" t="inlineStr"/>
      <c r="F11" s="15" t="inlineStr"/>
      <c r="G11" s="15" t="inlineStr"/>
      <c r="H11" s="15" t="inlineStr"/>
      <c r="I11" s="15" t="inlineStr">
        <is>
          <t>Pending</t>
        </is>
      </c>
    </row>
    <row r="12" ht="25" customHeight="1">
      <c r="B12" s="4" t="inlineStr">
        <is>
          <t>EC/RES/2023/008</t>
        </is>
      </c>
      <c r="C12" s="5" t="inlineStr"/>
      <c r="D12" s="6" t="inlineStr">
        <is>
          <t>Research</t>
        </is>
      </c>
      <c r="E12" s="6" t="inlineStr"/>
      <c r="F12" s="6" t="inlineStr"/>
      <c r="G12" s="6" t="inlineStr"/>
      <c r="H12" s="6" t="inlineStr"/>
      <c r="I12" s="6" t="inlineStr">
        <is>
          <t>Pending</t>
        </is>
      </c>
    </row>
    <row r="13" ht="25" customHeight="1">
      <c r="B13" s="13" t="inlineStr">
        <is>
          <t>EC/RES/2023/009</t>
        </is>
      </c>
      <c r="C13" s="14" t="inlineStr"/>
      <c r="D13" s="15" t="inlineStr">
        <is>
          <t>Student Welfare</t>
        </is>
      </c>
      <c r="E13" s="15" t="inlineStr"/>
      <c r="F13" s="15" t="inlineStr"/>
      <c r="G13" s="15" t="inlineStr"/>
      <c r="H13" s="15" t="inlineStr"/>
      <c r="I13" s="15" t="inlineStr">
        <is>
          <t>Pending</t>
        </is>
      </c>
    </row>
    <row r="14" ht="25" customHeight="1">
      <c r="B14" s="4" t="inlineStr">
        <is>
          <t>EC/RES/2023/010</t>
        </is>
      </c>
      <c r="C14" s="5" t="inlineStr"/>
      <c r="D14" s="6" t="inlineStr">
        <is>
          <t>Accreditation</t>
        </is>
      </c>
      <c r="E14" s="6" t="inlineStr"/>
      <c r="F14" s="6" t="inlineStr"/>
      <c r="G14" s="6" t="inlineStr"/>
      <c r="H14" s="6" t="inlineStr"/>
      <c r="I14" s="6" t="inlineStr">
        <is>
          <t>Pending</t>
        </is>
      </c>
    </row>
    <row r="15" ht="25" customHeight="1">
      <c r="B15" s="13" t="inlineStr">
        <is>
          <t>EC/RES/2024/011</t>
        </is>
      </c>
      <c r="C15" s="14" t="inlineStr"/>
      <c r="D15" s="15" t="inlineStr">
        <is>
          <t>Others</t>
        </is>
      </c>
      <c r="E15" s="15" t="inlineStr"/>
      <c r="F15" s="15" t="inlineStr"/>
      <c r="G15" s="15" t="inlineStr"/>
      <c r="H15" s="15" t="inlineStr"/>
      <c r="I15" s="15" t="inlineStr">
        <is>
          <t>Pending</t>
        </is>
      </c>
    </row>
    <row r="16" ht="25" customHeight="1">
      <c r="B16" s="4" t="inlineStr">
        <is>
          <t>EC/RES/2024/012</t>
        </is>
      </c>
      <c r="C16" s="5" t="inlineStr"/>
      <c r="D16" s="6" t="inlineStr">
        <is>
          <t>Governance</t>
        </is>
      </c>
      <c r="E16" s="6" t="inlineStr"/>
      <c r="F16" s="6" t="inlineStr"/>
      <c r="G16" s="6" t="inlineStr"/>
      <c r="H16" s="6" t="inlineStr"/>
      <c r="I16" s="6" t="inlineStr">
        <is>
          <t>Pending</t>
        </is>
      </c>
    </row>
    <row r="17" ht="25" customHeight="1">
      <c r="B17" s="13" t="inlineStr">
        <is>
          <t>EC/RES/2024/013</t>
        </is>
      </c>
      <c r="C17" s="14" t="inlineStr"/>
      <c r="D17" s="15" t="inlineStr">
        <is>
          <t>Finance</t>
        </is>
      </c>
      <c r="E17" s="15" t="inlineStr"/>
      <c r="F17" s="15" t="inlineStr"/>
      <c r="G17" s="15" t="inlineStr"/>
      <c r="H17" s="15" t="inlineStr"/>
      <c r="I17" s="15" t="inlineStr">
        <is>
          <t>Pending</t>
        </is>
      </c>
    </row>
    <row r="18" ht="25" customHeight="1">
      <c r="B18" s="4" t="inlineStr">
        <is>
          <t>EC/RES/2024/014</t>
        </is>
      </c>
      <c r="C18" s="5" t="inlineStr"/>
      <c r="D18" s="6" t="inlineStr">
        <is>
          <t>HR</t>
        </is>
      </c>
      <c r="E18" s="6" t="inlineStr"/>
      <c r="F18" s="6" t="inlineStr"/>
      <c r="G18" s="6" t="inlineStr"/>
      <c r="H18" s="6" t="inlineStr"/>
      <c r="I18" s="6" t="inlineStr">
        <is>
          <t>Pending</t>
        </is>
      </c>
    </row>
    <row r="19" ht="25" customHeight="1">
      <c r="B19" s="13" t="inlineStr">
        <is>
          <t>EC/RES/2024/015</t>
        </is>
      </c>
      <c r="C19" s="14" t="inlineStr"/>
      <c r="D19" s="15" t="inlineStr">
        <is>
          <t>Infrastructure</t>
        </is>
      </c>
      <c r="E19" s="15" t="inlineStr"/>
      <c r="F19" s="15" t="inlineStr"/>
      <c r="G19" s="15" t="inlineStr"/>
      <c r="H19" s="15" t="inlineStr"/>
      <c r="I19" s="15" t="inlineStr">
        <is>
          <t>Pending</t>
        </is>
      </c>
    </row>
    <row r="20" ht="25" customHeight="1">
      <c r="B20" s="4" t="inlineStr">
        <is>
          <t>EC/RES/2024/016</t>
        </is>
      </c>
      <c r="C20" s="5" t="inlineStr"/>
      <c r="D20" s="6" t="inlineStr">
        <is>
          <t>Policy</t>
        </is>
      </c>
      <c r="E20" s="6" t="inlineStr"/>
      <c r="F20" s="6" t="inlineStr"/>
      <c r="G20" s="6" t="inlineStr"/>
      <c r="H20" s="6" t="inlineStr"/>
      <c r="I20" s="6" t="inlineStr">
        <is>
          <t>Pending</t>
        </is>
      </c>
    </row>
    <row r="21" ht="25" customHeight="1">
      <c r="B21" s="13" t="inlineStr">
        <is>
          <t>EC/RES/2024/017</t>
        </is>
      </c>
      <c r="C21" s="14" t="inlineStr"/>
      <c r="D21" s="15" t="inlineStr">
        <is>
          <t>Academic</t>
        </is>
      </c>
      <c r="E21" s="15" t="inlineStr"/>
      <c r="F21" s="15" t="inlineStr"/>
      <c r="G21" s="15" t="inlineStr"/>
      <c r="H21" s="15" t="inlineStr"/>
      <c r="I21" s="15" t="inlineStr">
        <is>
          <t>Pending</t>
        </is>
      </c>
    </row>
    <row r="22" ht="25" customHeight="1">
      <c r="B22" s="4" t="inlineStr">
        <is>
          <t>EC/RES/2024/018</t>
        </is>
      </c>
      <c r="C22" s="5" t="inlineStr"/>
      <c r="D22" s="6" t="inlineStr">
        <is>
          <t>Statutory</t>
        </is>
      </c>
      <c r="E22" s="6" t="inlineStr"/>
      <c r="F22" s="6" t="inlineStr"/>
      <c r="G22" s="6" t="inlineStr"/>
      <c r="H22" s="6" t="inlineStr"/>
      <c r="I22" s="6" t="inlineStr">
        <is>
          <t>Pending</t>
        </is>
      </c>
    </row>
    <row r="23" ht="25" customHeight="1">
      <c r="B23" s="13" t="inlineStr">
        <is>
          <t>EC/RES/2024/019</t>
        </is>
      </c>
      <c r="C23" s="14" t="inlineStr"/>
      <c r="D23" s="15" t="inlineStr">
        <is>
          <t>Research</t>
        </is>
      </c>
      <c r="E23" s="15" t="inlineStr"/>
      <c r="F23" s="15" t="inlineStr"/>
      <c r="G23" s="15" t="inlineStr"/>
      <c r="H23" s="15" t="inlineStr"/>
      <c r="I23" s="15" t="inlineStr">
        <is>
          <t>Pending</t>
        </is>
      </c>
    </row>
    <row r="24" ht="25" customHeight="1">
      <c r="B24" s="4" t="inlineStr">
        <is>
          <t>EC/RES/2024/020</t>
        </is>
      </c>
      <c r="C24" s="5" t="inlineStr"/>
      <c r="D24" s="6" t="inlineStr">
        <is>
          <t>Student Welfare</t>
        </is>
      </c>
      <c r="E24" s="6" t="inlineStr"/>
      <c r="F24" s="6" t="inlineStr"/>
      <c r="G24" s="6" t="inlineStr"/>
      <c r="H24" s="6" t="inlineStr"/>
      <c r="I24" s="6" t="inlineStr">
        <is>
          <t>Pending</t>
        </is>
      </c>
    </row>
    <row r="25" ht="25" customHeight="1">
      <c r="B25" s="13" t="inlineStr">
        <is>
          <t>EC/RES/2025/021</t>
        </is>
      </c>
      <c r="C25" s="14" t="inlineStr"/>
      <c r="D25" s="15" t="inlineStr">
        <is>
          <t>Accreditation</t>
        </is>
      </c>
      <c r="E25" s="15" t="inlineStr"/>
      <c r="F25" s="15" t="inlineStr"/>
      <c r="G25" s="15" t="inlineStr"/>
      <c r="H25" s="15" t="inlineStr"/>
      <c r="I25" s="15" t="inlineStr">
        <is>
          <t>Pending</t>
        </is>
      </c>
    </row>
    <row r="26" ht="25" customHeight="1">
      <c r="B26" s="4" t="inlineStr">
        <is>
          <t>EC/RES/2025/022</t>
        </is>
      </c>
      <c r="C26" s="5" t="inlineStr"/>
      <c r="D26" s="6" t="inlineStr">
        <is>
          <t>Others</t>
        </is>
      </c>
      <c r="E26" s="6" t="inlineStr"/>
      <c r="F26" s="6" t="inlineStr"/>
      <c r="G26" s="6" t="inlineStr"/>
      <c r="H26" s="6" t="inlineStr"/>
      <c r="I26" s="6" t="inlineStr">
        <is>
          <t>Pending</t>
        </is>
      </c>
    </row>
    <row r="27" ht="25" customHeight="1">
      <c r="B27" s="13" t="inlineStr">
        <is>
          <t>EC/RES/2025/023</t>
        </is>
      </c>
      <c r="C27" s="14" t="inlineStr"/>
      <c r="D27" s="15" t="inlineStr">
        <is>
          <t>Governance</t>
        </is>
      </c>
      <c r="E27" s="15" t="inlineStr"/>
      <c r="F27" s="15" t="inlineStr"/>
      <c r="G27" s="15" t="inlineStr"/>
      <c r="H27" s="15" t="inlineStr"/>
      <c r="I27" s="15" t="inlineStr">
        <is>
          <t>Pending</t>
        </is>
      </c>
    </row>
    <row r="28" ht="25" customHeight="1">
      <c r="B28" s="4" t="inlineStr">
        <is>
          <t>EC/RES/2025/024</t>
        </is>
      </c>
      <c r="C28" s="5" t="inlineStr"/>
      <c r="D28" s="6" t="inlineStr">
        <is>
          <t>Finance</t>
        </is>
      </c>
      <c r="E28" s="6" t="inlineStr"/>
      <c r="F28" s="6" t="inlineStr"/>
      <c r="G28" s="6" t="inlineStr"/>
      <c r="H28" s="6" t="inlineStr"/>
      <c r="I28" s="6" t="inlineStr">
        <is>
          <t>Pending</t>
        </is>
      </c>
    </row>
    <row r="29" ht="25" customHeight="1">
      <c r="B29" s="13" t="inlineStr">
        <is>
          <t>EC/RES/2025/025</t>
        </is>
      </c>
      <c r="C29" s="14" t="inlineStr"/>
      <c r="D29" s="15" t="inlineStr">
        <is>
          <t>HR</t>
        </is>
      </c>
      <c r="E29" s="15" t="inlineStr"/>
      <c r="F29" s="15" t="inlineStr"/>
      <c r="G29" s="15" t="inlineStr"/>
      <c r="H29" s="15" t="inlineStr"/>
      <c r="I29" s="15" t="inlineStr">
        <is>
          <t>Pending</t>
        </is>
      </c>
    </row>
    <row r="30" ht="25" customHeight="1">
      <c r="B30" s="4" t="inlineStr">
        <is>
          <t>EC/RES/2025/026</t>
        </is>
      </c>
      <c r="C30" s="5" t="inlineStr"/>
      <c r="D30" s="6" t="inlineStr">
        <is>
          <t>Infrastructure</t>
        </is>
      </c>
      <c r="E30" s="6" t="inlineStr"/>
      <c r="F30" s="6" t="inlineStr"/>
      <c r="G30" s="6" t="inlineStr"/>
      <c r="H30" s="6" t="inlineStr"/>
      <c r="I30" s="6" t="inlineStr">
        <is>
          <t>Pending</t>
        </is>
      </c>
    </row>
    <row r="31" ht="25" customHeight="1">
      <c r="B31" s="13" t="inlineStr">
        <is>
          <t>EC/RES/2025/027</t>
        </is>
      </c>
      <c r="C31" s="14" t="inlineStr"/>
      <c r="D31" s="15" t="inlineStr">
        <is>
          <t>Policy</t>
        </is>
      </c>
      <c r="E31" s="15" t="inlineStr"/>
      <c r="F31" s="15" t="inlineStr"/>
      <c r="G31" s="15" t="inlineStr"/>
      <c r="H31" s="15" t="inlineStr"/>
      <c r="I31" s="15" t="inlineStr">
        <is>
          <t>Pending</t>
        </is>
      </c>
    </row>
    <row r="32" ht="25" customHeight="1">
      <c r="B32" s="4" t="inlineStr">
        <is>
          <t>EC/RES/2025/028</t>
        </is>
      </c>
      <c r="C32" s="5" t="inlineStr"/>
      <c r="D32" s="6" t="inlineStr">
        <is>
          <t>Academic</t>
        </is>
      </c>
      <c r="E32" s="6" t="inlineStr"/>
      <c r="F32" s="6" t="inlineStr"/>
      <c r="G32" s="6" t="inlineStr"/>
      <c r="H32" s="6" t="inlineStr"/>
      <c r="I32" s="6" t="inlineStr">
        <is>
          <t>Pending</t>
        </is>
      </c>
    </row>
    <row r="33" ht="25" customHeight="1">
      <c r="B33" s="13" t="inlineStr">
        <is>
          <t>EC/RES/2025/029</t>
        </is>
      </c>
      <c r="C33" s="14" t="inlineStr"/>
      <c r="D33" s="15" t="inlineStr">
        <is>
          <t>Statutory</t>
        </is>
      </c>
      <c r="E33" s="15" t="inlineStr"/>
      <c r="F33" s="15" t="inlineStr"/>
      <c r="G33" s="15" t="inlineStr"/>
      <c r="H33" s="15" t="inlineStr"/>
      <c r="I33" s="15" t="inlineStr">
        <is>
          <t>Pending</t>
        </is>
      </c>
    </row>
    <row r="34" ht="25" customHeight="1">
      <c r="B34" s="4" t="inlineStr">
        <is>
          <t>EC/RES/2025/030</t>
        </is>
      </c>
      <c r="C34" s="5" t="inlineStr"/>
      <c r="D34" s="6" t="inlineStr">
        <is>
          <t>Research</t>
        </is>
      </c>
      <c r="E34" s="6" t="inlineStr"/>
      <c r="F34" s="6" t="inlineStr"/>
      <c r="G34" s="6" t="inlineStr"/>
      <c r="H34" s="6" t="inlineStr"/>
      <c r="I34" s="6" t="inlineStr">
        <is>
          <t>Pending</t>
        </is>
      </c>
    </row>
    <row r="35" ht="25" customHeight="1"/>
    <row r="36" ht="25" customHeight="1">
      <c r="B36" s="20" t="inlineStr">
        <is>
          <t>REGISTER STATISTICS</t>
        </is>
      </c>
    </row>
    <row r="37" ht="25" customHeight="1">
      <c r="B37" s="23" t="inlineStr">
        <is>
          <t>Total EC Resolutions Logged</t>
        </is>
      </c>
      <c r="F37" s="37">
        <f>COUNTA(B5:B34)</f>
        <v/>
      </c>
    </row>
    <row r="38" ht="25" customHeight="1">
      <c r="B38" s="25" t="inlineStr">
        <is>
          <t>Implemented</t>
        </is>
      </c>
      <c r="F38" s="24">
        <f>COUNTIF(I5:I34,"Implemented")</f>
        <v/>
      </c>
    </row>
    <row r="39" ht="25" customHeight="1">
      <c r="B39" s="23" t="inlineStr">
        <is>
          <t>In Progress</t>
        </is>
      </c>
      <c r="F39" s="37">
        <f>COUNTIF(I5:I34,"In Progress")</f>
        <v/>
      </c>
    </row>
    <row r="40" ht="25" customHeight="1">
      <c r="B40" s="25" t="inlineStr">
        <is>
          <t>Pending / Not Started</t>
        </is>
      </c>
      <c r="F40" s="24">
        <f>COUNTIF(I5:I34,"Pending")</f>
        <v/>
      </c>
    </row>
    <row r="41" ht="25" customHeight="1">
      <c r="B41" s="23" t="inlineStr">
        <is>
          <t>Deferred</t>
        </is>
      </c>
      <c r="F41" s="37">
        <f>COUNTIF(I5:I34,"Deferred")</f>
        <v/>
      </c>
    </row>
    <row r="42" ht="25" customHeight="1">
      <c r="B42" s="25" t="inlineStr">
        <is>
          <t>Dropped / Withdrawn</t>
        </is>
      </c>
      <c r="F42" s="24">
        <f>COUNTIF(I5:I34,"Dropped")</f>
        <v/>
      </c>
    </row>
    <row r="43" ht="25" customHeight="1">
      <c r="B43" s="23" t="inlineStr">
        <is>
          <t>Overall Implementation Rate (%)</t>
        </is>
      </c>
      <c r="F43" s="37">
        <f>IFERROR(ROUND(C38/C37*100,1),"")</f>
        <v/>
      </c>
    </row>
    <row r="44" ht="25" customHeight="1"/>
    <row r="45">
      <c r="B45" s="27" t="inlineStr">
        <is>
          <t>Register certified by: Registrar / Secretary ___________________    Verified by: Chairperson ___________________    Date: ___________________</t>
        </is>
      </c>
    </row>
  </sheetData>
  <mergeCells count="18">
    <mergeCell ref="B40:E40"/>
    <mergeCell ref="B41:E41"/>
    <mergeCell ref="F40:I40"/>
    <mergeCell ref="F41:I41"/>
    <mergeCell ref="B45:I45"/>
    <mergeCell ref="B43:E43"/>
    <mergeCell ref="F43:I43"/>
    <mergeCell ref="B2:I2"/>
    <mergeCell ref="F39:I39"/>
    <mergeCell ref="B38:E38"/>
    <mergeCell ref="B3:I3"/>
    <mergeCell ref="B36:I36"/>
    <mergeCell ref="F37:I37"/>
    <mergeCell ref="F38:I38"/>
    <mergeCell ref="B39:E39"/>
    <mergeCell ref="B37:E37"/>
    <mergeCell ref="B42:E42"/>
    <mergeCell ref="F42:I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2026-04-19T04:32:28Z</dcterms:created>
  <dcterms:modified xmlns:dcterms="http://purl.org/dc/terms/" xmlns:xsi="http://www.w3.org/2001/XMLSchema-instance" xsi:type="dcterms:W3CDTF">2026-04-19T04:32:29Z</dcterms:modified>
</cp:coreProperties>
</file>