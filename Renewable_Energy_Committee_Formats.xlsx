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EC-00 Composition" sheetId="2" state="visible" r:id="rId2"/>
    <sheet xmlns:r="http://schemas.openxmlformats.org/officeDocument/2006/relationships" name="REC-NA Notice &amp; Agenda" sheetId="3" state="visible" r:id="rId3"/>
    <sheet xmlns:r="http://schemas.openxmlformats.org/officeDocument/2006/relationships" name="REC-AT Attendance" sheetId="4" state="visible" r:id="rId4"/>
    <sheet xmlns:r="http://schemas.openxmlformats.org/officeDocument/2006/relationships" name="REC-MM Minutes" sheetId="5" state="visible" r:id="rId5"/>
    <sheet xmlns:r="http://schemas.openxmlformats.org/officeDocument/2006/relationships" name="REC-ATR Action Report" sheetId="6" state="visible" r:id="rId6"/>
    <sheet xmlns:r="http://schemas.openxmlformats.org/officeDocument/2006/relationships" name="SOL-01 Solar PV Systems" sheetId="7" state="visible" r:id="rId7"/>
    <sheet xmlns:r="http://schemas.openxmlformats.org/officeDocument/2006/relationships" name="SOL-02 Daily Generation Log" sheetId="8" state="visible" r:id="rId8"/>
    <sheet xmlns:r="http://schemas.openxmlformats.org/officeDocument/2006/relationships" name="SOL-03 Monthly Performance" sheetId="9" state="visible" r:id="rId9"/>
    <sheet xmlns:r="http://schemas.openxmlformats.org/officeDocument/2006/relationships" name="SOL-04 Maintenance Log" sheetId="10" state="visible" r:id="rId10"/>
    <sheet xmlns:r="http://schemas.openxmlformats.org/officeDocument/2006/relationships" name="ENE-01 Energy Consumption" sheetId="11" state="visible" r:id="rId11"/>
    <sheet xmlns:r="http://schemas.openxmlformats.org/officeDocument/2006/relationships" name="ENE-04 Savings &amp; CO2 Offset" sheetId="12" state="visible" r:id="rId12"/>
    <sheet xmlns:r="http://schemas.openxmlformats.org/officeDocument/2006/relationships" name="ENE-02 Energy Audit Register" sheetId="13" state="visible" r:id="rId13"/>
    <sheet xmlns:r="http://schemas.openxmlformats.org/officeDocument/2006/relationships" name="FIN-02 Cost Savings Register" sheetId="14" state="visible" r:id="rId14"/>
    <sheet xmlns:r="http://schemas.openxmlformats.org/officeDocument/2006/relationships" name="GC-01 Green Campus Register" sheetId="15" state="visible" r:id="rId15"/>
    <sheet xmlns:r="http://schemas.openxmlformats.org/officeDocument/2006/relationships" name="AWR-01 Awareness Programmes" sheetId="16" state="visible" r:id="rId16"/>
    <sheet xmlns:r="http://schemas.openxmlformats.org/officeDocument/2006/relationships" name="AWR-02 Student RE Projects" sheetId="17" state="visible" r:id="rId17"/>
    <sheet xmlns:r="http://schemas.openxmlformats.org/officeDocument/2006/relationships" name="REC-30 KPI Dashboard" sheetId="18" state="visible" r:id="rId18"/>
    <sheet xmlns:r="http://schemas.openxmlformats.org/officeDocument/2006/relationships" name="REC-31 Annual Repor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66534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166534"/>
      <sz val="10"/>
    </font>
    <font>
      <name val="Arial"/>
      <b val="1"/>
      <color rgb="00334155"/>
      <sz val="10"/>
    </font>
    <font>
      <name val="Arial"/>
      <color rgb="000F172A"/>
      <sz val="9"/>
    </font>
    <font>
      <name val="Arial"/>
      <color rgb="0078350F"/>
      <sz val="9"/>
    </font>
    <font>
      <name val="Arial"/>
      <b val="1"/>
      <color rgb="0078350F"/>
      <sz val="10"/>
    </font>
    <font>
      <name val="Arial"/>
      <b val="1"/>
      <color rgb="003F2000"/>
      <sz val="10"/>
    </font>
    <font>
      <name val="Arial"/>
      <b val="1"/>
      <color rgb="000F172A"/>
      <sz val="9"/>
    </font>
  </fonts>
  <fills count="20">
    <fill>
      <patternFill/>
    </fill>
    <fill>
      <patternFill patternType="gray125"/>
    </fill>
    <fill>
      <patternFill patternType="solid">
        <fgColor rgb="00052E16"/>
      </patternFill>
    </fill>
    <fill>
      <patternFill patternType="solid">
        <fgColor rgb="00DCFCE7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66534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1A1000"/>
      </patternFill>
    </fill>
    <fill>
      <patternFill patternType="solid">
        <fgColor rgb="0078350F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0369A1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5" fillId="9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RENEWABLE ENERGY COMMITTEE (REC)
Data Collection Formats — Master Workbook</t>
        </is>
      </c>
    </row>
    <row r="3" ht="28" customHeight="1">
      <c r="B3" s="2" t="inlineStr">
        <is>
          <t>Institution: _________________________  REC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REC-00</t>
        </is>
      </c>
      <c r="C6" s="6" t="inlineStr">
        <is>
          <t>Committee Composition &amp; Members Register</t>
        </is>
      </c>
      <c r="D6" s="6" t="inlineStr">
        <is>
          <t>Record REC members, energy officer &amp; student leads</t>
        </is>
      </c>
      <c r="E6" s="7" t="inlineStr">
        <is>
          <t>Annual</t>
        </is>
      </c>
    </row>
    <row r="7" ht="20" customHeight="1">
      <c r="B7" s="8" t="inlineStr">
        <is>
          <t>REC-NA</t>
        </is>
      </c>
      <c r="C7" s="9" t="inlineStr">
        <is>
          <t>Meeting Notice, Agenda &amp; Dispatch Record</t>
        </is>
      </c>
      <c r="D7" s="9" t="inlineStr">
        <is>
          <t>Formal notice and agenda for REC meetings</t>
        </is>
      </c>
      <c r="E7" s="10" t="inlineStr">
        <is>
          <t>Each Meeting</t>
        </is>
      </c>
    </row>
    <row r="8" ht="20" customHeight="1">
      <c r="B8" s="5" t="inlineStr">
        <is>
          <t>REC-AT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REC-MM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REC-ATR</t>
        </is>
      </c>
      <c r="C10" s="6" t="inlineStr">
        <is>
          <t>Action Taken Report</t>
        </is>
      </c>
      <c r="D10" s="6" t="inlineStr">
        <is>
          <t>Track implementation of REC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PLANNING ──</t>
        </is>
      </c>
    </row>
    <row r="12" ht="20" customHeight="1">
      <c r="B12" s="5" t="inlineStr">
        <is>
          <t>REC-01</t>
        </is>
      </c>
      <c r="C12" s="6" t="inlineStr">
        <is>
          <t>Renewable Energy Policy &amp; Green Vision Document</t>
        </is>
      </c>
      <c r="D12" s="6" t="inlineStr">
        <is>
          <t>Document institutional RE policy, targets &amp; commitments</t>
        </is>
      </c>
      <c r="E12" s="7" t="inlineStr">
        <is>
          <t>Annual</t>
        </is>
      </c>
    </row>
    <row r="13" ht="20" customHeight="1">
      <c r="B13" s="8" t="inlineStr">
        <is>
          <t>REC-02</t>
        </is>
      </c>
      <c r="C13" s="9" t="inlineStr">
        <is>
          <t>Annual Renewable Energy Action Plan</t>
        </is>
      </c>
      <c r="D13" s="9" t="inlineStr">
        <is>
          <t>Plan all RE installations, audits &amp; awareness activities</t>
        </is>
      </c>
      <c r="E13" s="10" t="inlineStr">
        <is>
          <t>Annual</t>
        </is>
      </c>
    </row>
    <row r="14" ht="20" customHeight="1">
      <c r="B14" s="5" t="inlineStr">
        <is>
          <t>REC-03</t>
        </is>
      </c>
      <c r="C14" s="6" t="inlineStr">
        <is>
          <t>RE Budget &amp; Capital Investment Plan</t>
        </is>
      </c>
      <c r="D14" s="6" t="inlineStr">
        <is>
          <t>Plan capital and operational budget for RE projects</t>
        </is>
      </c>
      <c r="E14" s="7" t="inlineStr">
        <is>
          <t>Annual</t>
        </is>
      </c>
    </row>
    <row r="15" ht="20" customHeight="1">
      <c r="B15" s="8" t="inlineStr">
        <is>
          <t>REC-04</t>
        </is>
      </c>
      <c r="C15" s="9" t="inlineStr">
        <is>
          <t>Energy Baseline Assessment Register</t>
        </is>
      </c>
      <c r="D15" s="9" t="inlineStr">
        <is>
          <t>Document baseline energy consumption for comparison</t>
        </is>
      </c>
      <c r="E15" s="10" t="inlineStr">
        <is>
          <t>Annual</t>
        </is>
      </c>
    </row>
    <row r="16" ht="20" customHeight="1">
      <c r="B16" s="4" t="inlineStr">
        <is>
          <t>── SOLAR ENERGY — PHOTOVOLTAIC ──</t>
        </is>
      </c>
    </row>
    <row r="17" ht="20" customHeight="1">
      <c r="B17" s="8" t="inlineStr">
        <is>
          <t>SOL-01</t>
        </is>
      </c>
      <c r="C17" s="9" t="inlineStr">
        <is>
          <t>Solar PV System Installation Register</t>
        </is>
      </c>
      <c r="D17" s="9" t="inlineStr">
        <is>
          <t>Register all solar PV systems on campus</t>
        </is>
      </c>
      <c r="E17" s="10" t="inlineStr">
        <is>
          <t>Annual / Per Installation</t>
        </is>
      </c>
    </row>
    <row r="18" ht="20" customHeight="1">
      <c r="B18" s="5" t="inlineStr">
        <is>
          <t>SOL-02</t>
        </is>
      </c>
      <c r="C18" s="6" t="inlineStr">
        <is>
          <t>Solar PV Daily Generation Log</t>
        </is>
      </c>
      <c r="D18" s="6" t="inlineStr">
        <is>
          <t>Record daily solar energy generated per system</t>
        </is>
      </c>
      <c r="E18" s="7" t="inlineStr">
        <is>
          <t>Daily</t>
        </is>
      </c>
    </row>
    <row r="19" ht="20" customHeight="1">
      <c r="B19" s="8" t="inlineStr">
        <is>
          <t>SOL-03</t>
        </is>
      </c>
      <c r="C19" s="9" t="inlineStr">
        <is>
          <t>Solar PV Monthly Performance Report</t>
        </is>
      </c>
      <c r="D19" s="9" t="inlineStr">
        <is>
          <t>Monthly energy generation, PR and CUF analysis</t>
        </is>
      </c>
      <c r="E19" s="10" t="inlineStr">
        <is>
          <t>Monthly</t>
        </is>
      </c>
    </row>
    <row r="20" ht="20" customHeight="1">
      <c r="B20" s="5" t="inlineStr">
        <is>
          <t>SOL-04</t>
        </is>
      </c>
      <c r="C20" s="6" t="inlineStr">
        <is>
          <t>Solar PV Maintenance &amp; Cleaning Log</t>
        </is>
      </c>
      <c r="D20" s="6" t="inlineStr">
        <is>
          <t>Track panel cleaning, inverter service, AMC</t>
        </is>
      </c>
      <c r="E20" s="7" t="inlineStr">
        <is>
          <t>Monthly</t>
        </is>
      </c>
    </row>
    <row r="21" ht="20" customHeight="1">
      <c r="B21" s="8" t="inlineStr">
        <is>
          <t>SOL-05</t>
        </is>
      </c>
      <c r="C21" s="9" t="inlineStr">
        <is>
          <t>Solar PV Grid Export / Net Metering Register</t>
        </is>
      </c>
      <c r="D21" s="9" t="inlineStr">
        <is>
          <t>Track units exported to grid and net metering credits</t>
        </is>
      </c>
      <c r="E21" s="10" t="inlineStr">
        <is>
          <t>Monthly</t>
        </is>
      </c>
    </row>
    <row r="22" ht="20" customHeight="1">
      <c r="B22" s="5" t="inlineStr">
        <is>
          <t>SOL-06</t>
        </is>
      </c>
      <c r="C22" s="6" t="inlineStr">
        <is>
          <t>Solar PV Fault &amp; Downtime Register</t>
        </is>
      </c>
      <c r="D22" s="6" t="inlineStr">
        <is>
          <t>Log system faults, downtime and repair actions</t>
        </is>
      </c>
      <c r="E22" s="7" t="inlineStr">
        <is>
          <t>Per Fault</t>
        </is>
      </c>
    </row>
    <row r="23" ht="20" customHeight="1">
      <c r="B23" s="4" t="inlineStr">
        <is>
          <t>── SOLAR THERMAL ──</t>
        </is>
      </c>
    </row>
    <row r="24" ht="20" customHeight="1">
      <c r="B24" s="5" t="inlineStr">
        <is>
          <t>SHW-01</t>
        </is>
      </c>
      <c r="C24" s="6" t="inlineStr">
        <is>
          <t>Solar Hot Water System Register</t>
        </is>
      </c>
      <c r="D24" s="6" t="inlineStr">
        <is>
          <t>Register all solar water heaters on campus</t>
        </is>
      </c>
      <c r="E24" s="7" t="inlineStr">
        <is>
          <t>Annual</t>
        </is>
      </c>
    </row>
    <row r="25" ht="20" customHeight="1">
      <c r="B25" s="8" t="inlineStr">
        <is>
          <t>SHW-02</t>
        </is>
      </c>
      <c r="C25" s="9" t="inlineStr">
        <is>
          <t>Solar Hot Water System Performance Log</t>
        </is>
      </c>
      <c r="D25" s="9" t="inlineStr">
        <is>
          <t>Track hot water generated, temperature and efficiency</t>
        </is>
      </c>
      <c r="E25" s="10" t="inlineStr">
        <is>
          <t>Monthly</t>
        </is>
      </c>
    </row>
    <row r="26" ht="20" customHeight="1">
      <c r="B26" s="5" t="inlineStr">
        <is>
          <t>SHW-03</t>
        </is>
      </c>
      <c r="C26" s="6" t="inlineStr">
        <is>
          <t>Solar Hot Water System Maintenance Log</t>
        </is>
      </c>
      <c r="D26" s="6" t="inlineStr">
        <is>
          <t>Track maintenance, cleaning and repairs</t>
        </is>
      </c>
      <c r="E26" s="7" t="inlineStr">
        <is>
          <t>Monthly</t>
        </is>
      </c>
    </row>
    <row r="27" ht="20" customHeight="1">
      <c r="B27" s="4" t="inlineStr">
        <is>
          <t>── WIND ENERGY ──</t>
        </is>
      </c>
    </row>
    <row r="28" ht="20" customHeight="1">
      <c r="B28" s="5" t="inlineStr">
        <is>
          <t>WND-01</t>
        </is>
      </c>
      <c r="C28" s="6" t="inlineStr">
        <is>
          <t>Wind Turbine System Register</t>
        </is>
      </c>
      <c r="D28" s="6" t="inlineStr">
        <is>
          <t>Register wind turbines / small wind systems on campus</t>
        </is>
      </c>
      <c r="E28" s="7" t="inlineStr">
        <is>
          <t>Annual</t>
        </is>
      </c>
    </row>
    <row r="29" ht="20" customHeight="1">
      <c r="B29" s="8" t="inlineStr">
        <is>
          <t>WND-02</t>
        </is>
      </c>
      <c r="C29" s="9" t="inlineStr">
        <is>
          <t>Wind Turbine Performance Log</t>
        </is>
      </c>
      <c r="D29" s="9" t="inlineStr">
        <is>
          <t>Track wind energy generation and capacity utilisation</t>
        </is>
      </c>
      <c r="E29" s="10" t="inlineStr">
        <is>
          <t>Monthly</t>
        </is>
      </c>
    </row>
    <row r="30" ht="20" customHeight="1">
      <c r="B30" s="5" t="inlineStr">
        <is>
          <t>WND-03</t>
        </is>
      </c>
      <c r="C30" s="6" t="inlineStr">
        <is>
          <t>Wind Turbine Maintenance Log</t>
        </is>
      </c>
      <c r="D30" s="6" t="inlineStr">
        <is>
          <t>Track maintenance and service activities</t>
        </is>
      </c>
      <c r="E30" s="7" t="inlineStr">
        <is>
          <t>Monthly</t>
        </is>
      </c>
    </row>
    <row r="31" ht="20" customHeight="1">
      <c r="B31" s="4" t="inlineStr">
        <is>
          <t>── BIOGAS &amp; BIOMASS ──</t>
        </is>
      </c>
    </row>
    <row r="32" ht="20" customHeight="1">
      <c r="B32" s="5" t="inlineStr">
        <is>
          <t>BIO-01</t>
        </is>
      </c>
      <c r="C32" s="6" t="inlineStr">
        <is>
          <t>Biogas Plant Register</t>
        </is>
      </c>
      <c r="D32" s="6" t="inlineStr">
        <is>
          <t>Register biogas plants — capacity, feedstock, output</t>
        </is>
      </c>
      <c r="E32" s="7" t="inlineStr">
        <is>
          <t>Annual</t>
        </is>
      </c>
    </row>
    <row r="33" ht="20" customHeight="1">
      <c r="B33" s="8" t="inlineStr">
        <is>
          <t>BIO-02</t>
        </is>
      </c>
      <c r="C33" s="9" t="inlineStr">
        <is>
          <t>Biogas Daily Production Log</t>
        </is>
      </c>
      <c r="D33" s="9" t="inlineStr">
        <is>
          <t>Track daily biogas generation and consumption</t>
        </is>
      </c>
      <c r="E33" s="10" t="inlineStr">
        <is>
          <t>Daily</t>
        </is>
      </c>
    </row>
    <row r="34" ht="20" customHeight="1">
      <c r="B34" s="5" t="inlineStr">
        <is>
          <t>BIO-03</t>
        </is>
      </c>
      <c r="C34" s="6" t="inlineStr">
        <is>
          <t>Biomass / Biofuel Usage Register</t>
        </is>
      </c>
      <c r="D34" s="6" t="inlineStr">
        <is>
          <t>Track biomass usage for energy generation</t>
        </is>
      </c>
      <c r="E34" s="7" t="inlineStr">
        <is>
          <t>Monthly</t>
        </is>
      </c>
    </row>
    <row r="35" ht="20" customHeight="1">
      <c r="B35" s="4" t="inlineStr">
        <is>
          <t>── ENERGY STORAGE ──</t>
        </is>
      </c>
    </row>
    <row r="36" ht="20" customHeight="1">
      <c r="B36" s="5" t="inlineStr">
        <is>
          <t>BAT-01</t>
        </is>
      </c>
      <c r="C36" s="6" t="inlineStr">
        <is>
          <t>Battery / Energy Storage System Register</t>
        </is>
      </c>
      <c r="D36" s="6" t="inlineStr">
        <is>
          <t>Register all battery banks and storage systems</t>
        </is>
      </c>
      <c r="E36" s="7" t="inlineStr">
        <is>
          <t>Annual</t>
        </is>
      </c>
    </row>
    <row r="37" ht="20" customHeight="1">
      <c r="B37" s="8" t="inlineStr">
        <is>
          <t>BAT-02</t>
        </is>
      </c>
      <c r="C37" s="9" t="inlineStr">
        <is>
          <t>Battery Performance &amp; Health Log</t>
        </is>
      </c>
      <c r="D37" s="9" t="inlineStr">
        <is>
          <t>Track battery SOC, charge-discharge cycles and health</t>
        </is>
      </c>
      <c r="E37" s="10" t="inlineStr">
        <is>
          <t>Monthly</t>
        </is>
      </c>
    </row>
    <row r="38" ht="20" customHeight="1">
      <c r="B38" s="4" t="inlineStr">
        <is>
          <t>── ENERGY CONSUMPTION &amp; EFFICIENCY ──</t>
        </is>
      </c>
    </row>
    <row r="39" ht="20" customHeight="1">
      <c r="B39" s="8" t="inlineStr">
        <is>
          <t>ENE-01</t>
        </is>
      </c>
      <c r="C39" s="9" t="inlineStr">
        <is>
          <t>Campus Energy Consumption Register</t>
        </is>
      </c>
      <c r="D39" s="9" t="inlineStr">
        <is>
          <t>Track total electricity consumption from grid monthly</t>
        </is>
      </c>
      <c r="E39" s="10" t="inlineStr">
        <is>
          <t>Monthly</t>
        </is>
      </c>
    </row>
    <row r="40" ht="20" customHeight="1">
      <c r="B40" s="5" t="inlineStr">
        <is>
          <t>ENE-02</t>
        </is>
      </c>
      <c r="C40" s="6" t="inlineStr">
        <is>
          <t>Building / Department Energy Audit Register</t>
        </is>
      </c>
      <c r="D40" s="6" t="inlineStr">
        <is>
          <t>Detailed energy audit of each building / department</t>
        </is>
      </c>
      <c r="E40" s="7" t="inlineStr">
        <is>
          <t>Annual</t>
        </is>
      </c>
    </row>
    <row r="41" ht="20" customHeight="1">
      <c r="B41" s="8" t="inlineStr">
        <is>
          <t>ENE-03</t>
        </is>
      </c>
      <c r="C41" s="9" t="inlineStr">
        <is>
          <t>RE vs. Conventional Energy Comparison Register</t>
        </is>
      </c>
      <c r="D41" s="9" t="inlineStr">
        <is>
          <t>Compare RE generation vs. grid consumption over time</t>
        </is>
      </c>
      <c r="E41" s="10" t="inlineStr">
        <is>
          <t>Monthly</t>
        </is>
      </c>
    </row>
    <row r="42" ht="20" customHeight="1">
      <c r="B42" s="5" t="inlineStr">
        <is>
          <t>ENE-04</t>
        </is>
      </c>
      <c r="C42" s="6" t="inlineStr">
        <is>
          <t>Energy Savings &amp; Carbon Offset Register</t>
        </is>
      </c>
      <c r="D42" s="6" t="inlineStr">
        <is>
          <t>Calculate energy saved and CO2 offset from RE</t>
        </is>
      </c>
      <c r="E42" s="7" t="inlineStr">
        <is>
          <t>Monthly</t>
        </is>
      </c>
    </row>
    <row r="43" ht="20" customHeight="1">
      <c r="B43" s="8" t="inlineStr">
        <is>
          <t>ENE-05</t>
        </is>
      </c>
      <c r="C43" s="9" t="inlineStr">
        <is>
          <t>Peak Demand &amp; Load Management Register</t>
        </is>
      </c>
      <c r="D43" s="9" t="inlineStr">
        <is>
          <t>Track peak demand, load shifting and demand response</t>
        </is>
      </c>
      <c r="E43" s="10" t="inlineStr">
        <is>
          <t>Monthly</t>
        </is>
      </c>
    </row>
    <row r="44" ht="20" customHeight="1">
      <c r="B44" s="4" t="inlineStr">
        <is>
          <t>── FINANCIAL PERFORMANCE ──</t>
        </is>
      </c>
    </row>
    <row r="45" ht="20" customHeight="1">
      <c r="B45" s="8" t="inlineStr">
        <is>
          <t>FIN-01</t>
        </is>
      </c>
      <c r="C45" s="9" t="inlineStr">
        <is>
          <t>RE Project Cost &amp; Investment Register</t>
        </is>
      </c>
      <c r="D45" s="9" t="inlineStr">
        <is>
          <t>Track capital costs, O&amp;M costs and financial returns</t>
        </is>
      </c>
      <c r="E45" s="10" t="inlineStr">
        <is>
          <t>Annual</t>
        </is>
      </c>
    </row>
    <row r="46" ht="20" customHeight="1">
      <c r="B46" s="5" t="inlineStr">
        <is>
          <t>FIN-02</t>
        </is>
      </c>
      <c r="C46" s="6" t="inlineStr">
        <is>
          <t>Energy Cost Savings Register</t>
        </is>
      </c>
      <c r="D46" s="6" t="inlineStr">
        <is>
          <t>Calculate monthly savings from RE vs. grid tariff</t>
        </is>
      </c>
      <c r="E46" s="7" t="inlineStr">
        <is>
          <t>Monthly</t>
        </is>
      </c>
    </row>
    <row r="47" ht="20" customHeight="1">
      <c r="B47" s="8" t="inlineStr">
        <is>
          <t>FIN-03</t>
        </is>
      </c>
      <c r="C47" s="9" t="inlineStr">
        <is>
          <t>Government Incentive &amp; Subsidy Register</t>
        </is>
      </c>
      <c r="D47" s="9" t="inlineStr">
        <is>
          <t>Track subsidies, incentives, DISCOM approvals received</t>
        </is>
      </c>
      <c r="E47" s="10" t="inlineStr">
        <is>
          <t>Per Scheme</t>
        </is>
      </c>
    </row>
    <row r="48" ht="20" customHeight="1">
      <c r="B48" s="5" t="inlineStr">
        <is>
          <t>FIN-04</t>
        </is>
      </c>
      <c r="C48" s="6" t="inlineStr">
        <is>
          <t>Net Metering &amp; Feed-in Tariff Register</t>
        </is>
      </c>
      <c r="D48" s="6" t="inlineStr">
        <is>
          <t>Track revenue / credits from grid export</t>
        </is>
      </c>
      <c r="E48" s="7" t="inlineStr">
        <is>
          <t>Monthly</t>
        </is>
      </c>
    </row>
    <row r="49" ht="20" customHeight="1">
      <c r="B49" s="4" t="inlineStr">
        <is>
          <t>── GREEN CAMPUS INTEGRATION ──</t>
        </is>
      </c>
    </row>
    <row r="50" ht="20" customHeight="1">
      <c r="B50" s="5" t="inlineStr">
        <is>
          <t>GC-01</t>
        </is>
      </c>
      <c r="C50" s="6" t="inlineStr">
        <is>
          <t>Green Building &amp; GRIHA / LEED Register</t>
        </is>
      </c>
      <c r="D50" s="6" t="inlineStr">
        <is>
          <t>Track green building certifications and compliance</t>
        </is>
      </c>
      <c r="E50" s="7" t="inlineStr">
        <is>
          <t>Annual</t>
        </is>
      </c>
    </row>
    <row r="51" ht="20" customHeight="1">
      <c r="B51" s="8" t="inlineStr">
        <is>
          <t>GC-02</t>
        </is>
      </c>
      <c r="C51" s="9" t="inlineStr">
        <is>
          <t>Rainwater Harvesting &amp; Water Conservation Reg.</t>
        </is>
      </c>
      <c r="D51" s="9" t="inlineStr">
        <is>
          <t>Track rainwater harvesting system performance</t>
        </is>
      </c>
      <c r="E51" s="10" t="inlineStr">
        <is>
          <t>Monthly</t>
        </is>
      </c>
    </row>
    <row r="52" ht="20" customHeight="1">
      <c r="B52" s="5" t="inlineStr">
        <is>
          <t>GC-03</t>
        </is>
      </c>
      <c r="C52" s="6" t="inlineStr">
        <is>
          <t>Waste-to-Energy Register</t>
        </is>
      </c>
      <c r="D52" s="6" t="inlineStr">
        <is>
          <t>Track waste used for energy (biogas from canteen waste)</t>
        </is>
      </c>
      <c r="E52" s="7" t="inlineStr">
        <is>
          <t>Monthly</t>
        </is>
      </c>
    </row>
    <row r="53" ht="20" customHeight="1">
      <c r="B53" s="8" t="inlineStr">
        <is>
          <t>GC-04</t>
        </is>
      </c>
      <c r="C53" s="9" t="inlineStr">
        <is>
          <t>EV Charging Infrastructure Register</t>
        </is>
      </c>
      <c r="D53" s="9" t="inlineStr">
        <is>
          <t>Track EV charging points, usage and energy drawn</t>
        </is>
      </c>
      <c r="E53" s="10" t="inlineStr">
        <is>
          <t>Monthly</t>
        </is>
      </c>
    </row>
    <row r="54" ht="20" customHeight="1">
      <c r="B54" s="5" t="inlineStr">
        <is>
          <t>GC-05</t>
        </is>
      </c>
      <c r="C54" s="6" t="inlineStr">
        <is>
          <t>Green Certification &amp; Award Register</t>
        </is>
      </c>
      <c r="D54" s="6" t="inlineStr">
        <is>
          <t>Track ISO 50001, Green Campus, NAAC Green criteria</t>
        </is>
      </c>
      <c r="E54" s="7" t="inlineStr">
        <is>
          <t>Annual</t>
        </is>
      </c>
    </row>
    <row r="55" ht="20" customHeight="1">
      <c r="B55" s="4" t="inlineStr">
        <is>
          <t>── AWARENESS &amp; EDUCATION ──</t>
        </is>
      </c>
    </row>
    <row r="56" ht="20" customHeight="1">
      <c r="B56" s="5" t="inlineStr">
        <is>
          <t>AWR-01</t>
        </is>
      </c>
      <c r="C56" s="6" t="inlineStr">
        <is>
          <t>Energy Awareness Programme Register</t>
        </is>
      </c>
      <c r="D56" s="6" t="inlineStr">
        <is>
          <t>Document awareness sessions, workshops and campaigns</t>
        </is>
      </c>
      <c r="E56" s="7" t="inlineStr">
        <is>
          <t>Continuous</t>
        </is>
      </c>
    </row>
    <row r="57" ht="20" customHeight="1">
      <c r="B57" s="8" t="inlineStr">
        <is>
          <t>AWR-02</t>
        </is>
      </c>
      <c r="C57" s="9" t="inlineStr">
        <is>
          <t>Student RE Project &amp; Research Register</t>
        </is>
      </c>
      <c r="D57" s="9" t="inlineStr">
        <is>
          <t>Track student-led RE projects and research activities</t>
        </is>
      </c>
      <c r="E57" s="10" t="inlineStr">
        <is>
          <t>Annual</t>
        </is>
      </c>
    </row>
    <row r="58" ht="20" customHeight="1">
      <c r="B58" s="5" t="inlineStr">
        <is>
          <t>AWR-03</t>
        </is>
      </c>
      <c r="C58" s="6" t="inlineStr">
        <is>
          <t>RE Guest Lecture &amp; Expert Talk Register</t>
        </is>
      </c>
      <c r="D58" s="6" t="inlineStr">
        <is>
          <t>Manage expert talks on RE and clean energy</t>
        </is>
      </c>
      <c r="E58" s="7" t="inlineStr">
        <is>
          <t>Per Event</t>
        </is>
      </c>
    </row>
    <row r="59" ht="20" customHeight="1">
      <c r="B59" s="4" t="inlineStr">
        <is>
          <t>── COMPLIANCE &amp; REPORTING ──</t>
        </is>
      </c>
    </row>
    <row r="60" ht="20" customHeight="1">
      <c r="B60" s="5" t="inlineStr">
        <is>
          <t>CMP-01</t>
        </is>
      </c>
      <c r="C60" s="6" t="inlineStr">
        <is>
          <t>MNRE / State Agency Compliance Register</t>
        </is>
      </c>
      <c r="D60" s="6" t="inlineStr">
        <is>
          <t>Track submissions to MNRE, SECI and state energy agencies</t>
        </is>
      </c>
      <c r="E60" s="7" t="inlineStr">
        <is>
          <t>Annual</t>
        </is>
      </c>
    </row>
    <row r="61" ht="20" customHeight="1">
      <c r="B61" s="8" t="inlineStr">
        <is>
          <t>CMP-02</t>
        </is>
      </c>
      <c r="C61" s="9" t="inlineStr">
        <is>
          <t>DISCOM / Utility Net Metering Register</t>
        </is>
      </c>
      <c r="D61" s="9" t="inlineStr">
        <is>
          <t>Track DISCOM approvals, metering and billing records</t>
        </is>
      </c>
      <c r="E61" s="10" t="inlineStr">
        <is>
          <t>Monthly</t>
        </is>
      </c>
    </row>
    <row r="62" ht="20" customHeight="1">
      <c r="B62" s="4" t="inlineStr">
        <is>
          <t>── MONITORING &amp; REPORTING ──</t>
        </is>
      </c>
    </row>
    <row r="63" ht="20" customHeight="1">
      <c r="B63" s="8" t="inlineStr">
        <is>
          <t>REC-30</t>
        </is>
      </c>
      <c r="C63" s="9" t="inlineStr">
        <is>
          <t>REC KPI Dashboard</t>
        </is>
      </c>
      <c r="D63" s="9" t="inlineStr">
        <is>
          <t>Track all RE KPIs — generation, savings, targets</t>
        </is>
      </c>
      <c r="E63" s="10" t="inlineStr">
        <is>
          <t>Monthly / Annual</t>
        </is>
      </c>
    </row>
    <row r="64" ht="20" customHeight="1">
      <c r="B64" s="5" t="inlineStr">
        <is>
          <t>REC-31</t>
        </is>
      </c>
      <c r="C64" s="6" t="inlineStr">
        <is>
          <t>REC Annual Report Compilation Form</t>
        </is>
      </c>
      <c r="D64" s="6" t="inlineStr">
        <is>
          <t>Year-end report for management, NAAC, MNRE</t>
        </is>
      </c>
      <c r="E64" s="7" t="inlineStr">
        <is>
          <t>Annual</t>
        </is>
      </c>
    </row>
    <row r="132">
      <c r="B132" s="11" t="inlineStr">
        <is>
          <t>• REC = Renewable Energy Committee — responsible for all RE installations, operations, monitoring and awareness on campus.</t>
        </is>
      </c>
    </row>
    <row r="133">
      <c r="B133" s="11" t="inlineStr">
        <is>
          <t>• Solar PV: Track daily generation, PR (Performance Ratio), CUF (Capacity Utilisation Factor) and specific yield monthly.</t>
        </is>
      </c>
    </row>
    <row r="134">
      <c r="B134" s="11" t="inlineStr">
        <is>
          <t>• Net Metering: Maintain DISCOM-approved net metering agreement; track credits/units exported and bills reconciled.</t>
        </is>
      </c>
    </row>
    <row r="135">
      <c r="B135" s="11" t="inlineStr">
        <is>
          <t>• RE data feeds into: NAAC AQAR Criterion VII.2 (Best Practices — Green Campus), NIRF, ARIIA, ISO 50001, GRIHA/LEED.</t>
        </is>
      </c>
    </row>
    <row r="136">
      <c r="B136" s="11" t="inlineStr">
        <is>
          <t>• Carbon offset calculation: 1 kWh solar = 0.82 kg CO2 avoided (India grid emission factor 2024 — update annually).</t>
        </is>
      </c>
    </row>
    <row r="137">
      <c r="B137" s="11" t="inlineStr">
        <is>
          <t>• Energy baseline is critical: without pre-RE consumption data, savings calculation is not credible.</t>
        </is>
      </c>
    </row>
    <row r="138">
      <c r="B138" s="11" t="inlineStr">
        <is>
          <t>• Solar PV performance ratio (PR) should be ≥ 75%. CUF for rooftop solar in India ≈ 15–20%. Monitor monthly.</t>
        </is>
      </c>
    </row>
    <row r="139">
      <c r="B139" s="11" t="inlineStr">
        <is>
          <t>• All RE equipment AMC (Annual Maintenance Contract) must be renewed on time — lapsed AMC voids warranty claims.</t>
        </is>
      </c>
    </row>
    <row r="140">
      <c r="B140" s="11" t="inlineStr">
        <is>
          <t>• MNRE rooftop solar scheme (PM Surya Ghar / earlier schemes): file subsidy claims within prescribed timelines.</t>
        </is>
      </c>
    </row>
    <row r="141">
      <c r="B141" s="11" t="inlineStr">
        <is>
          <t>• Student involvement: form RE clubs, encourage final year projects on RE, track publications and patents.</t>
        </is>
      </c>
    </row>
  </sheetData>
  <mergeCells count="25">
    <mergeCell ref="B49:E49"/>
    <mergeCell ref="B139:E139"/>
    <mergeCell ref="B55:E55"/>
    <mergeCell ref="B5:E5"/>
    <mergeCell ref="B133:E133"/>
    <mergeCell ref="B35:E35"/>
    <mergeCell ref="B135:E135"/>
    <mergeCell ref="B16:E16"/>
    <mergeCell ref="B62:E62"/>
    <mergeCell ref="B138:E138"/>
    <mergeCell ref="B3:E3"/>
    <mergeCell ref="B59:E59"/>
    <mergeCell ref="B134:E134"/>
    <mergeCell ref="B141:E141"/>
    <mergeCell ref="B31:E31"/>
    <mergeCell ref="B27:E27"/>
    <mergeCell ref="B140:E140"/>
    <mergeCell ref="B11:E11"/>
    <mergeCell ref="B2:E2"/>
    <mergeCell ref="B136:E136"/>
    <mergeCell ref="B23:E23"/>
    <mergeCell ref="B132:E132"/>
    <mergeCell ref="B38:E38"/>
    <mergeCell ref="B44:E44"/>
    <mergeCell ref="B137:E1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REC-00: RENEWABLE ENERGY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REC</t>
        </is>
      </c>
      <c r="F4" s="13" t="inlineStr">
        <is>
          <t>Expertise / Domain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REC Leadership &amp; Green Vision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Faculty — Energy / Electrical Engineering</t>
        </is>
      </c>
      <c r="E6" s="8" t="inlineStr">
        <is>
          <t>REC Coordinator</t>
        </is>
      </c>
      <c r="F6" s="10" t="inlineStr">
        <is>
          <t>RE Operations &amp;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Faculty / Energy Audit Certified Expert</t>
        </is>
      </c>
      <c r="E7" s="14" t="inlineStr">
        <is>
          <t>Energy Auditor</t>
        </is>
      </c>
      <c r="F7" s="16" t="inlineStr">
        <is>
          <t>Energy Audit &amp; Efficiency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Faculty / EEE / ECE — Solar PV Specialist</t>
        </is>
      </c>
      <c r="E8" s="8" t="inlineStr">
        <is>
          <t>Solar Systems Expert</t>
        </is>
      </c>
      <c r="F8" s="10" t="inlineStr">
        <is>
          <t>Solar PV &amp; Solar Thermal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Electrical Works In-charge / Maintenance</t>
        </is>
      </c>
      <c r="E9" s="14" t="inlineStr">
        <is>
          <t>Electrical Engineer</t>
        </is>
      </c>
      <c r="F9" s="16" t="inlineStr">
        <is>
          <t>Grid, Wiring &amp; Safety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Civil / Estate Engineer</t>
        </is>
      </c>
      <c r="E10" s="8" t="inlineStr">
        <is>
          <t>Civil Engineer</t>
        </is>
      </c>
      <c r="F10" s="10" t="inlineStr">
        <is>
          <t>Rooftop, Structures, Rain Harvesting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Faculty — Environmental Engineering / Science</t>
        </is>
      </c>
      <c r="E11" s="14" t="inlineStr">
        <is>
          <t>Environmental Expert</t>
        </is>
      </c>
      <c r="F11" s="16" t="inlineStr">
        <is>
          <t>Green Campus &amp; Carbon Accounting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Faculty / IT In-charge</t>
        </is>
      </c>
      <c r="E12" s="8" t="inlineStr">
        <is>
          <t>IT / EMS Coordinator</t>
        </is>
      </c>
      <c r="F12" s="10" t="inlineStr">
        <is>
          <t>Energy Management Software &amp; IoT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Finance Officer</t>
        </is>
      </c>
      <c r="E13" s="14" t="inlineStr">
        <is>
          <t>Finance Officer</t>
        </is>
      </c>
      <c r="F13" s="16" t="inlineStr">
        <is>
          <t>RE Budget &amp; Investment Tracking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Estate / Works Officer</t>
        </is>
      </c>
      <c r="E14" s="8" t="inlineStr">
        <is>
          <t>Estate Officer</t>
        </is>
      </c>
      <c r="F14" s="10" t="inlineStr">
        <is>
          <t>Infrastructure &amp; Installations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Student — RE Club President</t>
        </is>
      </c>
      <c r="E15" s="14" t="inlineStr">
        <is>
          <t>Student Leader – RE Club</t>
        </is>
      </c>
      <c r="F15" s="16" t="inlineStr">
        <is>
          <t>Student RE Awareness &amp; Projects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Student — Final Year RE Project Lead</t>
        </is>
      </c>
      <c r="E16" s="8" t="inlineStr">
        <is>
          <t>Student Rep – Research</t>
        </is>
      </c>
      <c r="F16" s="10" t="inlineStr">
        <is>
          <t>Student Research in RE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IQAC In-charge</t>
        </is>
      </c>
      <c r="E17" s="14" t="inlineStr">
        <is>
          <t>IQAC Coordinator (Ex-off.)</t>
        </is>
      </c>
      <c r="F17" s="16" t="inlineStr">
        <is>
          <t>NAAC / Accreditation Compliance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MNRE / DISCOM / SECI Representative</t>
        </is>
      </c>
      <c r="E18" s="8" t="inlineStr">
        <is>
          <t>External RE Expert</t>
        </is>
      </c>
      <c r="F18" s="10" t="inlineStr">
        <is>
          <t>External Regulatory Liaison</t>
        </is>
      </c>
      <c r="G18" s="9" t="inlineStr"/>
      <c r="H18" s="10" t="inlineStr"/>
      <c r="I18" s="10" t="inlineStr"/>
    </row>
    <row r="19" ht="22" customHeight="1"/>
    <row r="20" ht="20" customHeight="1">
      <c r="B20" s="17" t="inlineStr">
        <is>
          <t>REC meets monthly. External RE Expert attends quarterly or when new projects are planned. Student RE Club reports on awareness activities and research projects in each meeting.</t>
        </is>
      </c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</sheetData>
  <mergeCells count="3">
    <mergeCell ref="B3:I3"/>
    <mergeCell ref="B2:I2"/>
    <mergeCell ref="B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RENEWABLE ENERGY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REC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Solar PV — monthly generation report and performance analysis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Solar hot water system — performance and maintenance update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Wind / biogas system — performance update (if applicable)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Energy storage / battery health status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Grid energy consumption — monthly review vs. RE generation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Net metering — DISCOM credits and billing reconciliation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Energy savings and CO2 offset — monthly calculation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RE project pipeline — new installations under planning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Energy audit findings — action plan status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Green campus initiatives — GRIHA / LEED compliance update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Rainwater harvesting and water conservation status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EV charging infrastructure — usage and performance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Student RE Club — awareness programmes and projects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Research and publications on RE from institution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MNRE / government scheme compliance — submissions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Budget review — RE capital and O&amp;M expenditure</t>
        </is>
      </c>
      <c r="D30" s="10" t="inlineStr"/>
      <c r="E30" s="10" t="inlineStr"/>
    </row>
    <row r="31" ht="24" customHeight="1">
      <c r="B31" s="14" t="n">
        <v>19</v>
      </c>
      <c r="C31" s="15" t="inlineStr">
        <is>
          <t>NAAC Green Campus data — compilation status</t>
        </is>
      </c>
      <c r="D31" s="16" t="inlineStr"/>
      <c r="E31" s="16" t="inlineStr"/>
    </row>
    <row r="32" ht="24" customHeight="1">
      <c r="B32" s="8" t="n">
        <v>20</v>
      </c>
      <c r="C32" s="9" t="inlineStr">
        <is>
          <t>Any Other Matter with Permission of Chairperson (AOMPC)</t>
        </is>
      </c>
      <c r="D32" s="10" t="inlineStr"/>
      <c r="E32" s="10" t="inlineStr"/>
    </row>
    <row r="33" ht="24" customHeight="1"/>
    <row r="34" ht="24" customHeight="1">
      <c r="B34" s="20" t="inlineStr">
        <is>
          <t>DISPATCH RECORD</t>
        </is>
      </c>
    </row>
    <row r="35" ht="24" customHeight="1">
      <c r="B35" s="21" t="inlineStr">
        <is>
          <t>Sl.</t>
        </is>
      </c>
      <c r="C35" s="21" t="inlineStr">
        <is>
          <t>Member Name &amp; Role</t>
        </is>
      </c>
      <c r="D35" s="21" t="inlineStr">
        <is>
          <t>Mode</t>
        </is>
      </c>
      <c r="E35" s="21" t="inlineStr">
        <is>
          <t>Date &amp; Acknowledgement</t>
        </is>
      </c>
    </row>
    <row r="36" ht="22" customHeight="1">
      <c r="B36" s="22" t="n"/>
      <c r="C36" s="22" t="n"/>
      <c r="D36" s="22" t="n"/>
      <c r="E36" s="22" t="n"/>
    </row>
    <row r="37" ht="22" customHeight="1">
      <c r="B37" s="10" t="n"/>
      <c r="C37" s="10" t="n"/>
      <c r="D37" s="10" t="n"/>
      <c r="E37" s="10" t="n"/>
    </row>
    <row r="38" ht="22" customHeight="1">
      <c r="B38" s="22" t="n"/>
      <c r="C38" s="22" t="n"/>
      <c r="D38" s="22" t="n"/>
      <c r="E38" s="22" t="n"/>
    </row>
    <row r="39" ht="22" customHeight="1">
      <c r="B39" s="10" t="n"/>
      <c r="C39" s="10" t="n"/>
      <c r="D39" s="10" t="n"/>
      <c r="E39" s="10" t="n"/>
    </row>
  </sheetData>
  <mergeCells count="11">
    <mergeCell ref="C5:E5"/>
    <mergeCell ref="C8:E8"/>
    <mergeCell ref="C9:E9"/>
    <mergeCell ref="C4:E4"/>
    <mergeCell ref="C3:E3"/>
    <mergeCell ref="B11:E11"/>
    <mergeCell ref="B2:E2"/>
    <mergeCell ref="B34:E34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REC: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/>
    <row r="22" ht="24" customHeight="1">
      <c r="B22" s="20" t="inlineStr">
        <is>
          <t>QUORUM VERIFICATION</t>
        </is>
      </c>
    </row>
    <row r="23" ht="22" customHeight="1">
      <c r="B23" s="23" t="inlineStr">
        <is>
          <t>Total REC Members</t>
        </is>
      </c>
      <c r="G23" s="24" t="inlineStr"/>
    </row>
    <row r="24" ht="22" customHeight="1">
      <c r="B24" s="25" t="inlineStr">
        <is>
          <t>Present (Physical)</t>
        </is>
      </c>
      <c r="G24" s="24">
        <f>COUNTIF(F5:F20,"P")</f>
        <v/>
      </c>
    </row>
    <row r="25" ht="22" customHeight="1">
      <c r="B25" s="23" t="inlineStr">
        <is>
          <t>Present (VC)</t>
        </is>
      </c>
      <c r="G25" s="24" t="inlineStr"/>
    </row>
    <row r="26" ht="22" customHeight="1">
      <c r="B26" s="25" t="inlineStr">
        <is>
          <t>Total Effective</t>
        </is>
      </c>
      <c r="G26" s="24">
        <f>IFERROR(C24+C25,"")</f>
        <v/>
      </c>
    </row>
    <row r="27" ht="22" customHeight="1">
      <c r="B27" s="23" t="inlineStr">
        <is>
          <t>Quorum Required (50%)</t>
        </is>
      </c>
      <c r="G27" s="24" t="inlineStr"/>
    </row>
    <row r="28">
      <c r="B28" s="25" t="inlineStr">
        <is>
          <t>Quorum Achieved?</t>
        </is>
      </c>
      <c r="G28" s="26">
        <f>IFERROR(IF(C26&gt;=C27,"YES — Meeting Valid","NO — Adjourned"),"")</f>
        <v/>
      </c>
    </row>
  </sheetData>
  <mergeCells count="15">
    <mergeCell ref="G24:I24"/>
    <mergeCell ref="G28:I28"/>
    <mergeCell ref="B24:F24"/>
    <mergeCell ref="G27:I27"/>
    <mergeCell ref="B2:I2"/>
    <mergeCell ref="B25:F25"/>
    <mergeCell ref="G23:I23"/>
    <mergeCell ref="B28:F28"/>
    <mergeCell ref="B3:I3"/>
    <mergeCell ref="B22:I22"/>
    <mergeCell ref="B23:F23"/>
    <mergeCell ref="G26:I26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REC: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0" customHeight="1">
      <c r="B6" s="14" t="inlineStr">
        <is>
          <t>REC/RES/001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REC/RES/002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REC/RES/003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REC/RES/004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REC/RES/005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REC/RES/006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REC/RES/007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REC/RES/008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REC/RES/009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REC/RES/010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REC/RES/011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REC/RES/012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REC/RES/013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REC/RES/014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Meeting: _______    Chairperson: ___________________    REC Coordinator: ___________________</t>
        </is>
      </c>
    </row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REC: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REC/RES/001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REC/RES/002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REC/RES/003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REC/RES/004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REC/RES/005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REC/RES/006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REC/RES/007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REC/RES/008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REC/RES/009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REC/RES/010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REC/RES/011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REC/RES/012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REC/RES/013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>
      <c r="B18" s="8" t="inlineStr">
        <is>
          <t>REC/RES/014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/>
    <row r="20" ht="24" customHeight="1">
      <c r="B20" s="34" t="inlineStr">
        <is>
          <t>ATR SUMMARY</t>
        </is>
      </c>
    </row>
    <row r="21" ht="26" customHeight="1">
      <c r="B21" s="35" t="inlineStr">
        <is>
          <t>Total Resolutions Under Review</t>
        </is>
      </c>
      <c r="F21" s="26">
        <f>COUNTA(B5:B18)</f>
        <v/>
      </c>
    </row>
    <row r="22" ht="26" customHeight="1">
      <c r="B22" s="25" t="inlineStr">
        <is>
          <t>Implemented</t>
        </is>
      </c>
      <c r="F22" s="36">
        <f>COUNTIF(H5:H18,"Implemented")</f>
        <v/>
      </c>
    </row>
    <row r="23" ht="26" customHeight="1">
      <c r="B23" s="35" t="inlineStr">
        <is>
          <t>In Progress</t>
        </is>
      </c>
      <c r="F23" s="26">
        <f>COUNTIF(H5:H18,"In Progress")</f>
        <v/>
      </c>
    </row>
    <row r="24">
      <c r="B24" s="25" t="inlineStr">
        <is>
          <t>Pending</t>
        </is>
      </c>
      <c r="F24" s="36">
        <f>COUNTIF(H5:H18,"Pending")</f>
        <v/>
      </c>
    </row>
    <row r="25">
      <c r="B25" s="35" t="inlineStr">
        <is>
          <t>Deferred</t>
        </is>
      </c>
      <c r="F25" s="26">
        <f>COUNTIF(H5:H18,"Deferred")</f>
        <v/>
      </c>
    </row>
    <row r="26">
      <c r="B26" s="25" t="inlineStr">
        <is>
          <t>Implementation Rate (%)</t>
        </is>
      </c>
      <c r="F26" s="36">
        <f>IFERROR(ROUND(C22/C21*100,1),"")</f>
        <v/>
      </c>
    </row>
  </sheetData>
  <mergeCells count="15">
    <mergeCell ref="F23:H23"/>
    <mergeCell ref="B23:E23"/>
    <mergeCell ref="B26:E26"/>
    <mergeCell ref="F22:H22"/>
    <mergeCell ref="B21:E21"/>
    <mergeCell ref="F26:H26"/>
    <mergeCell ref="B2:H2"/>
    <mergeCell ref="B25:E25"/>
    <mergeCell ref="B24:E24"/>
    <mergeCell ref="B3:H3"/>
    <mergeCell ref="F21:H21"/>
    <mergeCell ref="B20:H20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37" t="inlineStr">
        <is>
          <t>SOL-01: SOLAR PV SYSTEM INSTALLATION REGISTER</t>
        </is>
      </c>
    </row>
    <row r="3" ht="20" customHeight="1">
      <c r="B3" s="38" t="inlineStr">
        <is>
          <t>Institution: _________________________  REC Coordinator: ___________________  Last Updated: _______</t>
        </is>
      </c>
    </row>
    <row r="4" ht="25" customHeight="1">
      <c r="B4" s="39" t="inlineStr">
        <is>
          <t>System
Ref.</t>
        </is>
      </c>
      <c r="C4" s="39" t="inlineStr">
        <is>
          <t>System Name /
Location</t>
        </is>
      </c>
      <c r="D4" s="39" t="inlineStr">
        <is>
          <t>System
Type</t>
        </is>
      </c>
      <c r="E4" s="39" t="inlineStr">
        <is>
          <t>Installed
Capacity
(kWp)</t>
        </is>
      </c>
      <c r="F4" s="39" t="inlineStr">
        <is>
          <t>No. of
Panels</t>
        </is>
      </c>
      <c r="G4" s="39" t="inlineStr">
        <is>
          <t>Panel
Wattage
(Wp)</t>
        </is>
      </c>
      <c r="H4" s="39" t="inlineStr">
        <is>
          <t>Inverter
Capacity
(kVA)</t>
        </is>
      </c>
      <c r="I4" s="39" t="inlineStr">
        <is>
          <t>Installation
Date</t>
        </is>
      </c>
      <c r="J4" s="39" t="inlineStr">
        <is>
          <t>Vendor /
EPC</t>
        </is>
      </c>
      <c r="K4" s="39" t="inlineStr">
        <is>
          <t>AMC Upto</t>
        </is>
      </c>
      <c r="L4" s="39" t="inlineStr">
        <is>
          <t>Status</t>
        </is>
      </c>
    </row>
    <row r="5" ht="22" customHeight="1">
      <c r="B5" s="40" t="inlineStr">
        <is>
          <t>SPV-001</t>
        </is>
      </c>
      <c r="C5" s="41" t="inlineStr"/>
      <c r="D5" s="22" t="inlineStr">
        <is>
          <t>On-Grid (Net Metering)</t>
        </is>
      </c>
      <c r="E5" s="22" t="inlineStr"/>
      <c r="F5" s="22" t="inlineStr"/>
      <c r="G5" s="22" t="inlineStr"/>
      <c r="H5" s="22" t="inlineStr"/>
      <c r="I5" s="22" t="inlineStr"/>
      <c r="J5" s="41" t="inlineStr"/>
      <c r="K5" s="22" t="inlineStr"/>
      <c r="L5" s="22" t="inlineStr">
        <is>
          <t>Operational</t>
        </is>
      </c>
    </row>
    <row r="6" ht="22" customHeight="1">
      <c r="B6" s="8" t="inlineStr">
        <is>
          <t>SPV-002</t>
        </is>
      </c>
      <c r="C6" s="9" t="inlineStr"/>
      <c r="D6" s="10" t="inlineStr">
        <is>
          <t>Off-Grid (Battery)</t>
        </is>
      </c>
      <c r="E6" s="10" t="inlineStr"/>
      <c r="F6" s="10" t="inlineStr"/>
      <c r="G6" s="10" t="inlineStr"/>
      <c r="H6" s="10" t="inlineStr"/>
      <c r="I6" s="10" t="inlineStr"/>
      <c r="J6" s="9" t="inlineStr"/>
      <c r="K6" s="10" t="inlineStr"/>
      <c r="L6" s="10" t="inlineStr">
        <is>
          <t>Operational</t>
        </is>
      </c>
    </row>
    <row r="7" ht="22" customHeight="1">
      <c r="B7" s="40" t="inlineStr">
        <is>
          <t>SPV-003</t>
        </is>
      </c>
      <c r="C7" s="41" t="inlineStr"/>
      <c r="D7" s="22" t="inlineStr">
        <is>
          <t>Hybrid (Grid + Battery)</t>
        </is>
      </c>
      <c r="E7" s="22" t="inlineStr"/>
      <c r="F7" s="22" t="inlineStr"/>
      <c r="G7" s="22" t="inlineStr"/>
      <c r="H7" s="22" t="inlineStr"/>
      <c r="I7" s="22" t="inlineStr"/>
      <c r="J7" s="41" t="inlineStr"/>
      <c r="K7" s="22" t="inlineStr"/>
      <c r="L7" s="22" t="inlineStr">
        <is>
          <t>Operational</t>
        </is>
      </c>
    </row>
    <row r="8" ht="22" customHeight="1">
      <c r="B8" s="8" t="inlineStr">
        <is>
          <t>SPV-004</t>
        </is>
      </c>
      <c r="C8" s="9" t="inlineStr"/>
      <c r="D8" s="10" t="inlineStr">
        <is>
          <t>Solar + Wind Hybrid</t>
        </is>
      </c>
      <c r="E8" s="10" t="inlineStr"/>
      <c r="F8" s="10" t="inlineStr"/>
      <c r="G8" s="10" t="inlineStr"/>
      <c r="H8" s="10" t="inlineStr"/>
      <c r="I8" s="10" t="inlineStr"/>
      <c r="J8" s="9" t="inlineStr"/>
      <c r="K8" s="10" t="inlineStr"/>
      <c r="L8" s="10" t="inlineStr">
        <is>
          <t>Operational</t>
        </is>
      </c>
    </row>
    <row r="9" ht="22" customHeight="1">
      <c r="B9" s="40" t="inlineStr">
        <is>
          <t>SPV-005</t>
        </is>
      </c>
      <c r="C9" s="41" t="inlineStr"/>
      <c r="D9" s="22" t="inlineStr">
        <is>
          <t>Rooftop — Grid Tied</t>
        </is>
      </c>
      <c r="E9" s="22" t="inlineStr"/>
      <c r="F9" s="22" t="inlineStr"/>
      <c r="G9" s="22" t="inlineStr"/>
      <c r="H9" s="22" t="inlineStr"/>
      <c r="I9" s="22" t="inlineStr"/>
      <c r="J9" s="41" t="inlineStr"/>
      <c r="K9" s="22" t="inlineStr"/>
      <c r="L9" s="22" t="inlineStr">
        <is>
          <t>Operational</t>
        </is>
      </c>
    </row>
    <row r="10" ht="22" customHeight="1">
      <c r="B10" s="8" t="inlineStr">
        <is>
          <t>SPV-006</t>
        </is>
      </c>
      <c r="C10" s="9" t="inlineStr"/>
      <c r="D10" s="10" t="inlineStr">
        <is>
          <t>Carport Solar</t>
        </is>
      </c>
      <c r="E10" s="10" t="inlineStr"/>
      <c r="F10" s="10" t="inlineStr"/>
      <c r="G10" s="10" t="inlineStr"/>
      <c r="H10" s="10" t="inlineStr"/>
      <c r="I10" s="10" t="inlineStr"/>
      <c r="J10" s="9" t="inlineStr"/>
      <c r="K10" s="10" t="inlineStr"/>
      <c r="L10" s="10" t="inlineStr">
        <is>
          <t>Operational</t>
        </is>
      </c>
    </row>
    <row r="11" ht="22" customHeight="1">
      <c r="B11" s="40" t="inlineStr">
        <is>
          <t>SPV-007</t>
        </is>
      </c>
      <c r="C11" s="41" t="inlineStr"/>
      <c r="D11" s="22" t="inlineStr">
        <is>
          <t>Ground Mounted</t>
        </is>
      </c>
      <c r="E11" s="22" t="inlineStr"/>
      <c r="F11" s="22" t="inlineStr"/>
      <c r="G11" s="22" t="inlineStr"/>
      <c r="H11" s="22" t="inlineStr"/>
      <c r="I11" s="22" t="inlineStr"/>
      <c r="J11" s="41" t="inlineStr"/>
      <c r="K11" s="22" t="inlineStr"/>
      <c r="L11" s="22" t="inlineStr">
        <is>
          <t>Operational</t>
        </is>
      </c>
    </row>
    <row r="12" ht="22" customHeight="1">
      <c r="B12" s="8" t="inlineStr">
        <is>
          <t>SPV-008</t>
        </is>
      </c>
      <c r="C12" s="9" t="inlineStr"/>
      <c r="D12" s="10" t="inlineStr">
        <is>
          <t>On-Grid (Net Metering)</t>
        </is>
      </c>
      <c r="E12" s="10" t="inlineStr"/>
      <c r="F12" s="10" t="inlineStr"/>
      <c r="G12" s="10" t="inlineStr"/>
      <c r="H12" s="10" t="inlineStr"/>
      <c r="I12" s="10" t="inlineStr"/>
      <c r="J12" s="9" t="inlineStr"/>
      <c r="K12" s="10" t="inlineStr"/>
      <c r="L12" s="10" t="inlineStr">
        <is>
          <t>Operational</t>
        </is>
      </c>
    </row>
    <row r="13" ht="22" customHeight="1">
      <c r="B13" s="40" t="inlineStr">
        <is>
          <t>SPV-009</t>
        </is>
      </c>
      <c r="C13" s="41" t="inlineStr"/>
      <c r="D13" s="22" t="inlineStr">
        <is>
          <t>Off-Grid (Battery)</t>
        </is>
      </c>
      <c r="E13" s="22" t="inlineStr"/>
      <c r="F13" s="22" t="inlineStr"/>
      <c r="G13" s="22" t="inlineStr"/>
      <c r="H13" s="22" t="inlineStr"/>
      <c r="I13" s="22" t="inlineStr"/>
      <c r="J13" s="41" t="inlineStr"/>
      <c r="K13" s="22" t="inlineStr"/>
      <c r="L13" s="22" t="inlineStr">
        <is>
          <t>Operational</t>
        </is>
      </c>
    </row>
    <row r="14" ht="22" customHeight="1">
      <c r="B14" s="8" t="inlineStr">
        <is>
          <t>SPV-010</t>
        </is>
      </c>
      <c r="C14" s="9" t="inlineStr"/>
      <c r="D14" s="10" t="inlineStr">
        <is>
          <t>Hybrid (Grid + Battery)</t>
        </is>
      </c>
      <c r="E14" s="10" t="inlineStr"/>
      <c r="F14" s="10" t="inlineStr"/>
      <c r="G14" s="10" t="inlineStr"/>
      <c r="H14" s="10" t="inlineStr"/>
      <c r="I14" s="10" t="inlineStr"/>
      <c r="J14" s="9" t="inlineStr"/>
      <c r="K14" s="10" t="inlineStr"/>
      <c r="L14" s="10" t="inlineStr">
        <is>
          <t>Operational</t>
        </is>
      </c>
    </row>
    <row r="15" ht="22" customHeight="1">
      <c r="B15" s="40" t="inlineStr">
        <is>
          <t>SPV-011</t>
        </is>
      </c>
      <c r="C15" s="41" t="inlineStr"/>
      <c r="D15" s="22" t="inlineStr">
        <is>
          <t>Solar + Wind Hybrid</t>
        </is>
      </c>
      <c r="E15" s="22" t="inlineStr"/>
      <c r="F15" s="22" t="inlineStr"/>
      <c r="G15" s="22" t="inlineStr"/>
      <c r="H15" s="22" t="inlineStr"/>
      <c r="I15" s="22" t="inlineStr"/>
      <c r="J15" s="41" t="inlineStr"/>
      <c r="K15" s="22" t="inlineStr"/>
      <c r="L15" s="22" t="inlineStr">
        <is>
          <t>Operational</t>
        </is>
      </c>
    </row>
    <row r="16" ht="22" customHeight="1">
      <c r="B16" s="8" t="inlineStr">
        <is>
          <t>SPV-012</t>
        </is>
      </c>
      <c r="C16" s="9" t="inlineStr"/>
      <c r="D16" s="10" t="inlineStr">
        <is>
          <t>Rooftop — Grid Tied</t>
        </is>
      </c>
      <c r="E16" s="10" t="inlineStr"/>
      <c r="F16" s="10" t="inlineStr"/>
      <c r="G16" s="10" t="inlineStr"/>
      <c r="H16" s="10" t="inlineStr"/>
      <c r="I16" s="10" t="inlineStr"/>
      <c r="J16" s="9" t="inlineStr"/>
      <c r="K16" s="10" t="inlineStr"/>
      <c r="L16" s="10" t="inlineStr">
        <is>
          <t>Operational</t>
        </is>
      </c>
    </row>
    <row r="17" ht="22" customHeight="1">
      <c r="B17" s="40" t="inlineStr">
        <is>
          <t>SPV-013</t>
        </is>
      </c>
      <c r="C17" s="41" t="inlineStr"/>
      <c r="D17" s="22" t="inlineStr">
        <is>
          <t>Carport Solar</t>
        </is>
      </c>
      <c r="E17" s="22" t="inlineStr"/>
      <c r="F17" s="22" t="inlineStr"/>
      <c r="G17" s="22" t="inlineStr"/>
      <c r="H17" s="22" t="inlineStr"/>
      <c r="I17" s="22" t="inlineStr"/>
      <c r="J17" s="41" t="inlineStr"/>
      <c r="K17" s="22" t="inlineStr"/>
      <c r="L17" s="22" t="inlineStr">
        <is>
          <t>Operational</t>
        </is>
      </c>
    </row>
    <row r="18" ht="22" customHeight="1">
      <c r="B18" s="8" t="inlineStr">
        <is>
          <t>SPV-014</t>
        </is>
      </c>
      <c r="C18" s="9" t="inlineStr"/>
      <c r="D18" s="10" t="inlineStr">
        <is>
          <t>Ground Mounted</t>
        </is>
      </c>
      <c r="E18" s="10" t="inlineStr"/>
      <c r="F18" s="10" t="inlineStr"/>
      <c r="G18" s="10" t="inlineStr"/>
      <c r="H18" s="10" t="inlineStr"/>
      <c r="I18" s="10" t="inlineStr"/>
      <c r="J18" s="9" t="inlineStr"/>
      <c r="K18" s="10" t="inlineStr"/>
      <c r="L18" s="10" t="inlineStr">
        <is>
          <t>Operational</t>
        </is>
      </c>
    </row>
    <row r="19" ht="22" customHeight="1"/>
    <row r="20" ht="24" customHeight="1">
      <c r="B20" s="34" t="inlineStr">
        <is>
          <t>INSTALLED CAPACITY SUMMARY</t>
        </is>
      </c>
    </row>
    <row r="21" ht="22" customHeight="1">
      <c r="B21" s="23" t="inlineStr">
        <is>
          <t>Total Solar PV Systems</t>
        </is>
      </c>
      <c r="F21" s="26">
        <f>COUNTA(B5:B18)</f>
        <v/>
      </c>
    </row>
    <row r="22" ht="22" customHeight="1">
      <c r="B22" s="25" t="inlineStr">
        <is>
          <t>Total Installed Capacity (kWp)</t>
        </is>
      </c>
      <c r="F22" s="36">
        <f>IFERROR(SUM(E5:E18),"")</f>
        <v/>
      </c>
    </row>
    <row r="23" ht="22" customHeight="1">
      <c r="B23" s="23" t="inlineStr">
        <is>
          <t>On-Grid Systems</t>
        </is>
      </c>
      <c r="F23" s="26">
        <f>COUNTIF(D5:D18,"On-Grid (Net Metering)")</f>
        <v/>
      </c>
    </row>
    <row r="24" ht="22" customHeight="1">
      <c r="B24" s="25" t="inlineStr">
        <is>
          <t>Off-Grid Systems</t>
        </is>
      </c>
      <c r="F24" s="36">
        <f>COUNTIF(D5:D18,"Off-Grid (Battery)")</f>
        <v/>
      </c>
    </row>
    <row r="25" ht="22" customHeight="1">
      <c r="B25" s="23" t="inlineStr">
        <is>
          <t>Systems with Valid AMC</t>
        </is>
      </c>
      <c r="F25" s="26">
        <f>COUNTIF(K5:K18,"&lt;&gt;"&amp;"")</f>
        <v/>
      </c>
    </row>
    <row r="26" ht="22" customHeight="1">
      <c r="B26" s="25" t="inlineStr">
        <is>
          <t>Operational Systems</t>
        </is>
      </c>
      <c r="F26" s="36">
        <f>COUNTIF(L5:L18,"Operational")</f>
        <v/>
      </c>
    </row>
    <row r="27" ht="22" customHeight="1"/>
  </sheetData>
  <mergeCells count="15">
    <mergeCell ref="B23:E23"/>
    <mergeCell ref="F22:L22"/>
    <mergeCell ref="B26:E26"/>
    <mergeCell ref="F26:L26"/>
    <mergeCell ref="B21:E21"/>
    <mergeCell ref="B3:L3"/>
    <mergeCell ref="B2:L2"/>
    <mergeCell ref="B20:L20"/>
    <mergeCell ref="F21:L21"/>
    <mergeCell ref="F23:L23"/>
    <mergeCell ref="F24:L24"/>
    <mergeCell ref="B24:E24"/>
    <mergeCell ref="B25:E25"/>
    <mergeCell ref="F25:L25"/>
    <mergeCell ref="B22:E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37" t="inlineStr">
        <is>
          <t>SOL-02: SOLAR PV DAILY ENERGY GENERATION LOG</t>
        </is>
      </c>
    </row>
    <row r="3" ht="20" customHeight="1">
      <c r="B3" s="38" t="inlineStr">
        <is>
          <t>System Ref.: _______  Location: _______  Installed Capacity: _______ kWp  Month: _______  A.Y.: _______</t>
        </is>
      </c>
    </row>
    <row r="4" ht="25" customHeight="1">
      <c r="B4" s="39" t="inlineStr">
        <is>
          <t>Date</t>
        </is>
      </c>
      <c r="C4" s="39" t="inlineStr">
        <is>
          <t>Day</t>
        </is>
      </c>
      <c r="D4" s="39" t="inlineStr">
        <is>
          <t>Irradiance
(kWh/m²)</t>
        </is>
      </c>
      <c r="E4" s="39" t="inlineStr">
        <is>
          <t>Inverter
Start
Reading</t>
        </is>
      </c>
      <c r="F4" s="39" t="inlineStr">
        <is>
          <t>Inverter
End
Reading</t>
        </is>
      </c>
      <c r="G4" s="39" t="inlineStr">
        <is>
          <t>Units
Generated
(kWh)</t>
        </is>
      </c>
      <c r="H4" s="39" t="inlineStr">
        <is>
          <t>Units
Consumed
(kWh)</t>
        </is>
      </c>
      <c r="I4" s="39" t="inlineStr">
        <is>
          <t>Units
Exported
to Grid</t>
        </is>
      </c>
      <c r="J4" s="39" t="inlineStr">
        <is>
          <t>Plant Load
Factor
(%)</t>
        </is>
      </c>
      <c r="K4" s="39" t="inlineStr">
        <is>
          <t>System
Status</t>
        </is>
      </c>
      <c r="L4" s="39" t="inlineStr">
        <is>
          <t>Remarks</t>
        </is>
      </c>
    </row>
    <row r="5" ht="22" customHeight="1">
      <c r="B5" s="22" t="n">
        <v>1</v>
      </c>
      <c r="C5" s="22" t="inlineStr">
        <is>
          <t>Mon</t>
        </is>
      </c>
      <c r="D5" s="22" t="inlineStr"/>
      <c r="E5" s="22" t="inlineStr"/>
      <c r="F5" s="22" t="inlineStr"/>
      <c r="G5" s="42">
        <f>IFERROR(F5-E5,"")</f>
        <v/>
      </c>
      <c r="H5" s="22" t="inlineStr"/>
      <c r="I5" s="22">
        <f>IFERROR(MAX(0,G5-H5),"")</f>
        <v/>
      </c>
      <c r="J5" s="22" t="inlineStr"/>
      <c r="K5" s="22" t="inlineStr">
        <is>
          <t>Normal</t>
        </is>
      </c>
      <c r="L5" s="41" t="inlineStr"/>
    </row>
    <row r="6" ht="22" customHeight="1">
      <c r="B6" s="10" t="n">
        <v>2</v>
      </c>
      <c r="C6" s="10" t="inlineStr">
        <is>
          <t>Tue</t>
        </is>
      </c>
      <c r="D6" s="10" t="inlineStr"/>
      <c r="E6" s="10" t="inlineStr"/>
      <c r="F6" s="10" t="inlineStr"/>
      <c r="G6" s="43">
        <f>IFERROR(F6-E6,"")</f>
        <v/>
      </c>
      <c r="H6" s="10" t="inlineStr"/>
      <c r="I6" s="10">
        <f>IFERROR(MAX(0,G6-H6),"")</f>
        <v/>
      </c>
      <c r="J6" s="10" t="inlineStr"/>
      <c r="K6" s="10" t="inlineStr">
        <is>
          <t>Normal</t>
        </is>
      </c>
      <c r="L6" s="9" t="inlineStr"/>
    </row>
    <row r="7" ht="22" customHeight="1">
      <c r="B7" s="22" t="n">
        <v>3</v>
      </c>
      <c r="C7" s="22" t="inlineStr">
        <is>
          <t>Wed</t>
        </is>
      </c>
      <c r="D7" s="22" t="inlineStr"/>
      <c r="E7" s="22" t="inlineStr"/>
      <c r="F7" s="22" t="inlineStr"/>
      <c r="G7" s="42">
        <f>IFERROR(F7-E7,"")</f>
        <v/>
      </c>
      <c r="H7" s="22" t="inlineStr"/>
      <c r="I7" s="22">
        <f>IFERROR(MAX(0,G7-H7),"")</f>
        <v/>
      </c>
      <c r="J7" s="22" t="inlineStr"/>
      <c r="K7" s="22" t="inlineStr">
        <is>
          <t>Normal</t>
        </is>
      </c>
      <c r="L7" s="41" t="inlineStr"/>
    </row>
    <row r="8" ht="22" customHeight="1">
      <c r="B8" s="10" t="n">
        <v>4</v>
      </c>
      <c r="C8" s="10" t="inlineStr">
        <is>
          <t>Thu</t>
        </is>
      </c>
      <c r="D8" s="10" t="inlineStr"/>
      <c r="E8" s="10" t="inlineStr"/>
      <c r="F8" s="10" t="inlineStr"/>
      <c r="G8" s="43">
        <f>IFERROR(F8-E8,"")</f>
        <v/>
      </c>
      <c r="H8" s="10" t="inlineStr"/>
      <c r="I8" s="10">
        <f>IFERROR(MAX(0,G8-H8),"")</f>
        <v/>
      </c>
      <c r="J8" s="10" t="inlineStr"/>
      <c r="K8" s="10" t="inlineStr">
        <is>
          <t>Normal</t>
        </is>
      </c>
      <c r="L8" s="9" t="inlineStr"/>
    </row>
    <row r="9" ht="22" customHeight="1">
      <c r="B9" s="22" t="n">
        <v>5</v>
      </c>
      <c r="C9" s="22" t="inlineStr">
        <is>
          <t>Fri</t>
        </is>
      </c>
      <c r="D9" s="22" t="inlineStr"/>
      <c r="E9" s="22" t="inlineStr"/>
      <c r="F9" s="22" t="inlineStr"/>
      <c r="G9" s="42">
        <f>IFERROR(F9-E9,"")</f>
        <v/>
      </c>
      <c r="H9" s="22" t="inlineStr"/>
      <c r="I9" s="22">
        <f>IFERROR(MAX(0,G9-H9),"")</f>
        <v/>
      </c>
      <c r="J9" s="22" t="inlineStr"/>
      <c r="K9" s="22" t="inlineStr">
        <is>
          <t>Normal</t>
        </is>
      </c>
      <c r="L9" s="41" t="inlineStr"/>
    </row>
    <row r="10" ht="22" customHeight="1">
      <c r="B10" s="10" t="n">
        <v>6</v>
      </c>
      <c r="C10" s="10" t="inlineStr">
        <is>
          <t>Sat</t>
        </is>
      </c>
      <c r="D10" s="10" t="inlineStr"/>
      <c r="E10" s="10" t="inlineStr"/>
      <c r="F10" s="10" t="inlineStr"/>
      <c r="G10" s="43">
        <f>IFERROR(F10-E10,"")</f>
        <v/>
      </c>
      <c r="H10" s="10" t="inlineStr"/>
      <c r="I10" s="10">
        <f>IFERROR(MAX(0,G10-H10),"")</f>
        <v/>
      </c>
      <c r="J10" s="10" t="inlineStr"/>
      <c r="K10" s="10" t="inlineStr">
        <is>
          <t>Normal</t>
        </is>
      </c>
      <c r="L10" s="9" t="inlineStr"/>
    </row>
    <row r="11" ht="22" customHeight="1">
      <c r="B11" s="22" t="n">
        <v>7</v>
      </c>
      <c r="C11" s="22" t="inlineStr">
        <is>
          <t>Sun</t>
        </is>
      </c>
      <c r="D11" s="22" t="inlineStr"/>
      <c r="E11" s="22" t="inlineStr"/>
      <c r="F11" s="22" t="inlineStr"/>
      <c r="G11" s="42">
        <f>IFERROR(F11-E11,"")</f>
        <v/>
      </c>
      <c r="H11" s="22" t="inlineStr"/>
      <c r="I11" s="22">
        <f>IFERROR(MAX(0,G11-H11),"")</f>
        <v/>
      </c>
      <c r="J11" s="22" t="inlineStr"/>
      <c r="K11" s="22" t="inlineStr">
        <is>
          <t>Normal</t>
        </is>
      </c>
      <c r="L11" s="41" t="inlineStr"/>
    </row>
    <row r="12" ht="22" customHeight="1">
      <c r="B12" s="10" t="n">
        <v>8</v>
      </c>
      <c r="C12" s="10" t="inlineStr">
        <is>
          <t>Mon</t>
        </is>
      </c>
      <c r="D12" s="10" t="inlineStr"/>
      <c r="E12" s="10" t="inlineStr"/>
      <c r="F12" s="10" t="inlineStr"/>
      <c r="G12" s="43">
        <f>IFERROR(F12-E12,"")</f>
        <v/>
      </c>
      <c r="H12" s="10" t="inlineStr"/>
      <c r="I12" s="10">
        <f>IFERROR(MAX(0,G12-H12),"")</f>
        <v/>
      </c>
      <c r="J12" s="10" t="inlineStr"/>
      <c r="K12" s="10" t="inlineStr">
        <is>
          <t>Normal</t>
        </is>
      </c>
      <c r="L12" s="9" t="inlineStr"/>
    </row>
    <row r="13" ht="22" customHeight="1">
      <c r="B13" s="22" t="n">
        <v>9</v>
      </c>
      <c r="C13" s="22" t="inlineStr">
        <is>
          <t>Tue</t>
        </is>
      </c>
      <c r="D13" s="22" t="inlineStr"/>
      <c r="E13" s="22" t="inlineStr"/>
      <c r="F13" s="22" t="inlineStr"/>
      <c r="G13" s="42">
        <f>IFERROR(F13-E13,"")</f>
        <v/>
      </c>
      <c r="H13" s="22" t="inlineStr"/>
      <c r="I13" s="22">
        <f>IFERROR(MAX(0,G13-H13),"")</f>
        <v/>
      </c>
      <c r="J13" s="22" t="inlineStr"/>
      <c r="K13" s="22" t="inlineStr">
        <is>
          <t>Normal</t>
        </is>
      </c>
      <c r="L13" s="41" t="inlineStr"/>
    </row>
    <row r="14" ht="22" customHeight="1">
      <c r="B14" s="10" t="n">
        <v>10</v>
      </c>
      <c r="C14" s="10" t="inlineStr">
        <is>
          <t>Wed</t>
        </is>
      </c>
      <c r="D14" s="10" t="inlineStr"/>
      <c r="E14" s="10" t="inlineStr"/>
      <c r="F14" s="10" t="inlineStr"/>
      <c r="G14" s="43">
        <f>IFERROR(F14-E14,"")</f>
        <v/>
      </c>
      <c r="H14" s="10" t="inlineStr"/>
      <c r="I14" s="10">
        <f>IFERROR(MAX(0,G14-H14),"")</f>
        <v/>
      </c>
      <c r="J14" s="10" t="inlineStr"/>
      <c r="K14" s="10" t="inlineStr">
        <is>
          <t>Normal</t>
        </is>
      </c>
      <c r="L14" s="9" t="inlineStr"/>
    </row>
    <row r="15" ht="22" customHeight="1">
      <c r="B15" s="22" t="n">
        <v>11</v>
      </c>
      <c r="C15" s="22" t="inlineStr">
        <is>
          <t>Thu</t>
        </is>
      </c>
      <c r="D15" s="22" t="inlineStr"/>
      <c r="E15" s="22" t="inlineStr"/>
      <c r="F15" s="22" t="inlineStr"/>
      <c r="G15" s="42">
        <f>IFERROR(F15-E15,"")</f>
        <v/>
      </c>
      <c r="H15" s="22" t="inlineStr"/>
      <c r="I15" s="22">
        <f>IFERROR(MAX(0,G15-H15),"")</f>
        <v/>
      </c>
      <c r="J15" s="22" t="inlineStr"/>
      <c r="K15" s="22" t="inlineStr">
        <is>
          <t>Normal</t>
        </is>
      </c>
      <c r="L15" s="41" t="inlineStr"/>
    </row>
    <row r="16" ht="22" customHeight="1">
      <c r="B16" s="10" t="n">
        <v>12</v>
      </c>
      <c r="C16" s="10" t="inlineStr">
        <is>
          <t>Fri</t>
        </is>
      </c>
      <c r="D16" s="10" t="inlineStr"/>
      <c r="E16" s="10" t="inlineStr"/>
      <c r="F16" s="10" t="inlineStr"/>
      <c r="G16" s="43">
        <f>IFERROR(F16-E16,"")</f>
        <v/>
      </c>
      <c r="H16" s="10" t="inlineStr"/>
      <c r="I16" s="10">
        <f>IFERROR(MAX(0,G16-H16),"")</f>
        <v/>
      </c>
      <c r="J16" s="10" t="inlineStr"/>
      <c r="K16" s="10" t="inlineStr">
        <is>
          <t>Normal</t>
        </is>
      </c>
      <c r="L16" s="9" t="inlineStr"/>
    </row>
    <row r="17" ht="22" customHeight="1">
      <c r="B17" s="22" t="n">
        <v>13</v>
      </c>
      <c r="C17" s="22" t="inlineStr">
        <is>
          <t>Sat</t>
        </is>
      </c>
      <c r="D17" s="22" t="inlineStr"/>
      <c r="E17" s="22" t="inlineStr"/>
      <c r="F17" s="22" t="inlineStr"/>
      <c r="G17" s="42">
        <f>IFERROR(F17-E17,"")</f>
        <v/>
      </c>
      <c r="H17" s="22" t="inlineStr"/>
      <c r="I17" s="22">
        <f>IFERROR(MAX(0,G17-H17),"")</f>
        <v/>
      </c>
      <c r="J17" s="22" t="inlineStr"/>
      <c r="K17" s="22" t="inlineStr">
        <is>
          <t>Normal</t>
        </is>
      </c>
      <c r="L17" s="41" t="inlineStr"/>
    </row>
    <row r="18" ht="22" customHeight="1">
      <c r="B18" s="10" t="n">
        <v>14</v>
      </c>
      <c r="C18" s="10" t="inlineStr">
        <is>
          <t>Sun</t>
        </is>
      </c>
      <c r="D18" s="10" t="inlineStr"/>
      <c r="E18" s="10" t="inlineStr"/>
      <c r="F18" s="10" t="inlineStr"/>
      <c r="G18" s="43">
        <f>IFERROR(F18-E18,"")</f>
        <v/>
      </c>
      <c r="H18" s="10" t="inlineStr"/>
      <c r="I18" s="10">
        <f>IFERROR(MAX(0,G18-H18),"")</f>
        <v/>
      </c>
      <c r="J18" s="10" t="inlineStr"/>
      <c r="K18" s="10" t="inlineStr">
        <is>
          <t>Normal</t>
        </is>
      </c>
      <c r="L18" s="9" t="inlineStr"/>
    </row>
    <row r="19" ht="22" customHeight="1">
      <c r="B19" s="22" t="n">
        <v>15</v>
      </c>
      <c r="C19" s="22" t="inlineStr">
        <is>
          <t>Mon</t>
        </is>
      </c>
      <c r="D19" s="22" t="inlineStr"/>
      <c r="E19" s="22" t="inlineStr"/>
      <c r="F19" s="22" t="inlineStr"/>
      <c r="G19" s="42">
        <f>IFERROR(F19-E19,"")</f>
        <v/>
      </c>
      <c r="H19" s="22" t="inlineStr"/>
      <c r="I19" s="22">
        <f>IFERROR(MAX(0,G19-H19),"")</f>
        <v/>
      </c>
      <c r="J19" s="22" t="inlineStr"/>
      <c r="K19" s="22" t="inlineStr">
        <is>
          <t>Normal</t>
        </is>
      </c>
      <c r="L19" s="41" t="inlineStr"/>
    </row>
    <row r="20" ht="22" customHeight="1">
      <c r="B20" s="10" t="n">
        <v>16</v>
      </c>
      <c r="C20" s="10" t="inlineStr">
        <is>
          <t>Tue</t>
        </is>
      </c>
      <c r="D20" s="10" t="inlineStr"/>
      <c r="E20" s="10" t="inlineStr"/>
      <c r="F20" s="10" t="inlineStr"/>
      <c r="G20" s="43">
        <f>IFERROR(F20-E20,"")</f>
        <v/>
      </c>
      <c r="H20" s="10" t="inlineStr"/>
      <c r="I20" s="10">
        <f>IFERROR(MAX(0,G20-H20),"")</f>
        <v/>
      </c>
      <c r="J20" s="10" t="inlineStr"/>
      <c r="K20" s="10" t="inlineStr">
        <is>
          <t>Normal</t>
        </is>
      </c>
      <c r="L20" s="9" t="inlineStr"/>
    </row>
    <row r="21" ht="22" customHeight="1">
      <c r="B21" s="22" t="n">
        <v>17</v>
      </c>
      <c r="C21" s="22" t="inlineStr">
        <is>
          <t>Wed</t>
        </is>
      </c>
      <c r="D21" s="22" t="inlineStr"/>
      <c r="E21" s="22" t="inlineStr"/>
      <c r="F21" s="22" t="inlineStr"/>
      <c r="G21" s="42">
        <f>IFERROR(F21-E21,"")</f>
        <v/>
      </c>
      <c r="H21" s="22" t="inlineStr"/>
      <c r="I21" s="22">
        <f>IFERROR(MAX(0,G21-H21),"")</f>
        <v/>
      </c>
      <c r="J21" s="22" t="inlineStr"/>
      <c r="K21" s="22" t="inlineStr">
        <is>
          <t>Normal</t>
        </is>
      </c>
      <c r="L21" s="41" t="inlineStr"/>
    </row>
    <row r="22" ht="22" customHeight="1">
      <c r="B22" s="10" t="n">
        <v>18</v>
      </c>
      <c r="C22" s="10" t="inlineStr">
        <is>
          <t>Thu</t>
        </is>
      </c>
      <c r="D22" s="10" t="inlineStr"/>
      <c r="E22" s="10" t="inlineStr"/>
      <c r="F22" s="10" t="inlineStr"/>
      <c r="G22" s="43">
        <f>IFERROR(F22-E22,"")</f>
        <v/>
      </c>
      <c r="H22" s="10" t="inlineStr"/>
      <c r="I22" s="10">
        <f>IFERROR(MAX(0,G22-H22),"")</f>
        <v/>
      </c>
      <c r="J22" s="10" t="inlineStr"/>
      <c r="K22" s="10" t="inlineStr">
        <is>
          <t>Normal</t>
        </is>
      </c>
      <c r="L22" s="9" t="inlineStr"/>
    </row>
    <row r="23" ht="22" customHeight="1">
      <c r="B23" s="22" t="n">
        <v>19</v>
      </c>
      <c r="C23" s="22" t="inlineStr">
        <is>
          <t>Fri</t>
        </is>
      </c>
      <c r="D23" s="22" t="inlineStr"/>
      <c r="E23" s="22" t="inlineStr"/>
      <c r="F23" s="22" t="inlineStr"/>
      <c r="G23" s="42">
        <f>IFERROR(F23-E23,"")</f>
        <v/>
      </c>
      <c r="H23" s="22" t="inlineStr"/>
      <c r="I23" s="22">
        <f>IFERROR(MAX(0,G23-H23),"")</f>
        <v/>
      </c>
      <c r="J23" s="22" t="inlineStr"/>
      <c r="K23" s="22" t="inlineStr">
        <is>
          <t>Normal</t>
        </is>
      </c>
      <c r="L23" s="41" t="inlineStr"/>
    </row>
    <row r="24" ht="22" customHeight="1">
      <c r="B24" s="10" t="n">
        <v>20</v>
      </c>
      <c r="C24" s="10" t="inlineStr">
        <is>
          <t>Sat</t>
        </is>
      </c>
      <c r="D24" s="10" t="inlineStr"/>
      <c r="E24" s="10" t="inlineStr"/>
      <c r="F24" s="10" t="inlineStr"/>
      <c r="G24" s="43">
        <f>IFERROR(F24-E24,"")</f>
        <v/>
      </c>
      <c r="H24" s="10" t="inlineStr"/>
      <c r="I24" s="10">
        <f>IFERROR(MAX(0,G24-H24),"")</f>
        <v/>
      </c>
      <c r="J24" s="10" t="inlineStr"/>
      <c r="K24" s="10" t="inlineStr">
        <is>
          <t>Normal</t>
        </is>
      </c>
      <c r="L24" s="9" t="inlineStr"/>
    </row>
    <row r="25" ht="22" customHeight="1">
      <c r="B25" s="22" t="n">
        <v>21</v>
      </c>
      <c r="C25" s="22" t="inlineStr">
        <is>
          <t>Sun</t>
        </is>
      </c>
      <c r="D25" s="22" t="inlineStr"/>
      <c r="E25" s="22" t="inlineStr"/>
      <c r="F25" s="22" t="inlineStr"/>
      <c r="G25" s="42">
        <f>IFERROR(F25-E25,"")</f>
        <v/>
      </c>
      <c r="H25" s="22" t="inlineStr"/>
      <c r="I25" s="22">
        <f>IFERROR(MAX(0,G25-H25),"")</f>
        <v/>
      </c>
      <c r="J25" s="22" t="inlineStr"/>
      <c r="K25" s="22" t="inlineStr">
        <is>
          <t>Normal</t>
        </is>
      </c>
      <c r="L25" s="41" t="inlineStr"/>
    </row>
    <row r="26" ht="22" customHeight="1">
      <c r="B26" s="10" t="n">
        <v>22</v>
      </c>
      <c r="C26" s="10" t="inlineStr">
        <is>
          <t>Mon</t>
        </is>
      </c>
      <c r="D26" s="10" t="inlineStr"/>
      <c r="E26" s="10" t="inlineStr"/>
      <c r="F26" s="10" t="inlineStr"/>
      <c r="G26" s="43">
        <f>IFERROR(F26-E26,"")</f>
        <v/>
      </c>
      <c r="H26" s="10" t="inlineStr"/>
      <c r="I26" s="10">
        <f>IFERROR(MAX(0,G26-H26),"")</f>
        <v/>
      </c>
      <c r="J26" s="10" t="inlineStr"/>
      <c r="K26" s="10" t="inlineStr">
        <is>
          <t>Normal</t>
        </is>
      </c>
      <c r="L26" s="9" t="inlineStr"/>
    </row>
    <row r="27" ht="22" customHeight="1">
      <c r="B27" s="22" t="n">
        <v>23</v>
      </c>
      <c r="C27" s="22" t="inlineStr">
        <is>
          <t>Tue</t>
        </is>
      </c>
      <c r="D27" s="22" t="inlineStr"/>
      <c r="E27" s="22" t="inlineStr"/>
      <c r="F27" s="22" t="inlineStr"/>
      <c r="G27" s="42">
        <f>IFERROR(F27-E27,"")</f>
        <v/>
      </c>
      <c r="H27" s="22" t="inlineStr"/>
      <c r="I27" s="22">
        <f>IFERROR(MAX(0,G27-H27),"")</f>
        <v/>
      </c>
      <c r="J27" s="22" t="inlineStr"/>
      <c r="K27" s="22" t="inlineStr">
        <is>
          <t>Normal</t>
        </is>
      </c>
      <c r="L27" s="41" t="inlineStr"/>
    </row>
    <row r="28" ht="22" customHeight="1">
      <c r="B28" s="10" t="n">
        <v>24</v>
      </c>
      <c r="C28" s="10" t="inlineStr">
        <is>
          <t>Wed</t>
        </is>
      </c>
      <c r="D28" s="10" t="inlineStr"/>
      <c r="E28" s="10" t="inlineStr"/>
      <c r="F28" s="10" t="inlineStr"/>
      <c r="G28" s="43">
        <f>IFERROR(F28-E28,"")</f>
        <v/>
      </c>
      <c r="H28" s="10" t="inlineStr"/>
      <c r="I28" s="10">
        <f>IFERROR(MAX(0,G28-H28),"")</f>
        <v/>
      </c>
      <c r="J28" s="10" t="inlineStr"/>
      <c r="K28" s="10" t="inlineStr">
        <is>
          <t>Normal</t>
        </is>
      </c>
      <c r="L28" s="9" t="inlineStr"/>
    </row>
    <row r="29" ht="22" customHeight="1">
      <c r="B29" s="22" t="n">
        <v>25</v>
      </c>
      <c r="C29" s="22" t="inlineStr">
        <is>
          <t>Thu</t>
        </is>
      </c>
      <c r="D29" s="22" t="inlineStr"/>
      <c r="E29" s="22" t="inlineStr"/>
      <c r="F29" s="22" t="inlineStr"/>
      <c r="G29" s="42">
        <f>IFERROR(F29-E29,"")</f>
        <v/>
      </c>
      <c r="H29" s="22" t="inlineStr"/>
      <c r="I29" s="22">
        <f>IFERROR(MAX(0,G29-H29),"")</f>
        <v/>
      </c>
      <c r="J29" s="22" t="inlineStr"/>
      <c r="K29" s="22" t="inlineStr">
        <is>
          <t>Normal</t>
        </is>
      </c>
      <c r="L29" s="41" t="inlineStr"/>
    </row>
    <row r="30" ht="22" customHeight="1">
      <c r="B30" s="10" t="n">
        <v>26</v>
      </c>
      <c r="C30" s="10" t="inlineStr">
        <is>
          <t>Fri</t>
        </is>
      </c>
      <c r="D30" s="10" t="inlineStr"/>
      <c r="E30" s="10" t="inlineStr"/>
      <c r="F30" s="10" t="inlineStr"/>
      <c r="G30" s="43">
        <f>IFERROR(F30-E30,"")</f>
        <v/>
      </c>
      <c r="H30" s="10" t="inlineStr"/>
      <c r="I30" s="10">
        <f>IFERROR(MAX(0,G30-H30),"")</f>
        <v/>
      </c>
      <c r="J30" s="10" t="inlineStr"/>
      <c r="K30" s="10" t="inlineStr">
        <is>
          <t>Normal</t>
        </is>
      </c>
      <c r="L30" s="9" t="inlineStr"/>
    </row>
    <row r="31" ht="22" customHeight="1">
      <c r="B31" s="22" t="n">
        <v>27</v>
      </c>
      <c r="C31" s="22" t="inlineStr">
        <is>
          <t>Sat</t>
        </is>
      </c>
      <c r="D31" s="22" t="inlineStr"/>
      <c r="E31" s="22" t="inlineStr"/>
      <c r="F31" s="22" t="inlineStr"/>
      <c r="G31" s="42">
        <f>IFERROR(F31-E31,"")</f>
        <v/>
      </c>
      <c r="H31" s="22" t="inlineStr"/>
      <c r="I31" s="22">
        <f>IFERROR(MAX(0,G31-H31),"")</f>
        <v/>
      </c>
      <c r="J31" s="22" t="inlineStr"/>
      <c r="K31" s="22" t="inlineStr">
        <is>
          <t>Normal</t>
        </is>
      </c>
      <c r="L31" s="41" t="inlineStr"/>
    </row>
    <row r="32" ht="22" customHeight="1">
      <c r="B32" s="10" t="n">
        <v>28</v>
      </c>
      <c r="C32" s="10" t="inlineStr">
        <is>
          <t>Sun</t>
        </is>
      </c>
      <c r="D32" s="10" t="inlineStr"/>
      <c r="E32" s="10" t="inlineStr"/>
      <c r="F32" s="10" t="inlineStr"/>
      <c r="G32" s="43">
        <f>IFERROR(F32-E32,"")</f>
        <v/>
      </c>
      <c r="H32" s="10" t="inlineStr"/>
      <c r="I32" s="10">
        <f>IFERROR(MAX(0,G32-H32),"")</f>
        <v/>
      </c>
      <c r="J32" s="10" t="inlineStr"/>
      <c r="K32" s="10" t="inlineStr">
        <is>
          <t>Normal</t>
        </is>
      </c>
      <c r="L32" s="9" t="inlineStr"/>
    </row>
    <row r="33" ht="22" customHeight="1">
      <c r="B33" s="22" t="n">
        <v>29</v>
      </c>
      <c r="C33" s="22" t="inlineStr">
        <is>
          <t>Mon</t>
        </is>
      </c>
      <c r="D33" s="22" t="inlineStr"/>
      <c r="E33" s="22" t="inlineStr"/>
      <c r="F33" s="22" t="inlineStr"/>
      <c r="G33" s="42">
        <f>IFERROR(F33-E33,"")</f>
        <v/>
      </c>
      <c r="H33" s="22" t="inlineStr"/>
      <c r="I33" s="22">
        <f>IFERROR(MAX(0,G33-H33),"")</f>
        <v/>
      </c>
      <c r="J33" s="22" t="inlineStr"/>
      <c r="K33" s="22" t="inlineStr">
        <is>
          <t>Normal</t>
        </is>
      </c>
      <c r="L33" s="41" t="inlineStr"/>
    </row>
    <row r="34" ht="22" customHeight="1">
      <c r="B34" s="10" t="n">
        <v>30</v>
      </c>
      <c r="C34" s="10" t="inlineStr">
        <is>
          <t>Tue</t>
        </is>
      </c>
      <c r="D34" s="10" t="inlineStr"/>
      <c r="E34" s="10" t="inlineStr"/>
      <c r="F34" s="10" t="inlineStr"/>
      <c r="G34" s="43">
        <f>IFERROR(F34-E34,"")</f>
        <v/>
      </c>
      <c r="H34" s="10" t="inlineStr"/>
      <c r="I34" s="10">
        <f>IFERROR(MAX(0,G34-H34),"")</f>
        <v/>
      </c>
      <c r="J34" s="10" t="inlineStr"/>
      <c r="K34" s="10" t="inlineStr">
        <is>
          <t>Normal</t>
        </is>
      </c>
      <c r="L34" s="9" t="inlineStr"/>
    </row>
    <row r="35" ht="22" customHeight="1">
      <c r="B35" s="22" t="n">
        <v>31</v>
      </c>
      <c r="C35" s="22" t="inlineStr">
        <is>
          <t>Wed</t>
        </is>
      </c>
      <c r="D35" s="22" t="inlineStr"/>
      <c r="E35" s="22" t="inlineStr"/>
      <c r="F35" s="22" t="inlineStr"/>
      <c r="G35" s="42">
        <f>IFERROR(F35-E35,"")</f>
        <v/>
      </c>
      <c r="H35" s="22" t="inlineStr"/>
      <c r="I35" s="22">
        <f>IFERROR(MAX(0,G35-H35),"")</f>
        <v/>
      </c>
      <c r="J35" s="22" t="inlineStr"/>
      <c r="K35" s="22" t="inlineStr">
        <is>
          <t>Normal</t>
        </is>
      </c>
      <c r="L35" s="41" t="inlineStr"/>
    </row>
    <row r="36" ht="22" customHeight="1"/>
    <row r="37" ht="24" customHeight="1">
      <c r="B37" s="34" t="inlineStr">
        <is>
          <t>MONTHLY GENERATION SUMMARY</t>
        </is>
      </c>
    </row>
    <row r="38" ht="22" customHeight="1">
      <c r="B38" s="23" t="inlineStr">
        <is>
          <t>Total Generation this Month (kWh)</t>
        </is>
      </c>
      <c r="F38" s="26">
        <f>IFERROR(SUM(G5:G35),"")</f>
        <v/>
      </c>
    </row>
    <row r="39" ht="22" customHeight="1">
      <c r="B39" s="25" t="inlineStr">
        <is>
          <t>Total Exported to Grid (kWh)</t>
        </is>
      </c>
      <c r="F39" s="36">
        <f>IFERROR(SUM(I5:I35),"")</f>
        <v/>
      </c>
    </row>
    <row r="40">
      <c r="B40" s="23" t="inlineStr">
        <is>
          <t>Average Daily Generation (kWh)</t>
        </is>
      </c>
      <c r="F40" s="26">
        <f>IFERROR(ROUND(AVERAGE(G5:G35),2),"")</f>
        <v/>
      </c>
    </row>
    <row r="41">
      <c r="B41" s="25" t="inlineStr">
        <is>
          <t>System Downtime Days</t>
        </is>
      </c>
      <c r="F41" s="36">
        <f>COUNTIF(K5:K35,"&lt;&gt;"&amp;"Normal")</f>
        <v/>
      </c>
    </row>
    <row r="42">
      <c r="B42" s="23" t="inlineStr">
        <is>
          <t>Specific Yield (kWh/kWp)</t>
        </is>
      </c>
      <c r="F42" s="26">
        <f>IFERROR(ROUND(C38/1,2),"")</f>
        <v/>
      </c>
    </row>
    <row r="43">
      <c r="B43" s="25" t="inlineStr">
        <is>
          <t>Best Generation Day</t>
        </is>
      </c>
      <c r="F43" s="36" t="inlineStr"/>
    </row>
  </sheetData>
  <mergeCells count="15">
    <mergeCell ref="B40:E40"/>
    <mergeCell ref="B41:E41"/>
    <mergeCell ref="F40:L40"/>
    <mergeCell ref="F41:L41"/>
    <mergeCell ref="B43:E43"/>
    <mergeCell ref="B38:E38"/>
    <mergeCell ref="B3:L3"/>
    <mergeCell ref="B2:L2"/>
    <mergeCell ref="B37:L37"/>
    <mergeCell ref="B39:E39"/>
    <mergeCell ref="F39:L39"/>
    <mergeCell ref="F43:L43"/>
    <mergeCell ref="F38:L38"/>
    <mergeCell ref="B42:E42"/>
    <mergeCell ref="F42:L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37" t="inlineStr">
        <is>
          <t>SOL-03: SOLAR PV MONTHLY PERFORMANCE REPORT — ALL SYSTEMS</t>
        </is>
      </c>
    </row>
    <row r="3" ht="20" customHeight="1">
      <c r="B3" s="38" t="inlineStr">
        <is>
          <t>A.Y.: _______  REC Coordinator: ___________________  Grid Emission Factor: 0.82 kg CO2/kWh (Update annually)</t>
        </is>
      </c>
    </row>
    <row r="4" ht="25" customHeight="1">
      <c r="B4" s="39" t="inlineStr">
        <is>
          <t>Month</t>
        </is>
      </c>
      <c r="C4" s="39" t="inlineStr">
        <is>
          <t>Installed
Capacity
(kWp)</t>
        </is>
      </c>
      <c r="D4" s="39" t="inlineStr">
        <is>
          <t>Total
Generation
(kWh)</t>
        </is>
      </c>
      <c r="E4" s="39" t="inlineStr">
        <is>
          <t>Specific
Yield
(kWh/kWp)</t>
        </is>
      </c>
      <c r="F4" s="39" t="inlineStr">
        <is>
          <t>Performance
Ratio
(%)</t>
        </is>
      </c>
      <c r="G4" s="39" t="inlineStr">
        <is>
          <t>CUF
(%)</t>
        </is>
      </c>
      <c r="H4" s="39" t="inlineStr">
        <is>
          <t>Grid
Consumption
(kWh)</t>
        </is>
      </c>
      <c r="I4" s="39" t="inlineStr">
        <is>
          <t>% RE
of Total</t>
        </is>
      </c>
      <c r="J4" s="39" t="inlineStr">
        <is>
          <t>CO2
Offset
(kg)</t>
        </is>
      </c>
      <c r="K4" s="39" t="inlineStr">
        <is>
          <t>Energy
Saved
(₹)</t>
        </is>
      </c>
      <c r="L4" s="39" t="inlineStr">
        <is>
          <t>Status</t>
        </is>
      </c>
    </row>
    <row r="5" ht="22" customHeight="1">
      <c r="B5" s="44" t="inlineStr">
        <is>
          <t>April</t>
        </is>
      </c>
      <c r="C5" s="22" t="inlineStr"/>
      <c r="D5" s="22" t="inlineStr"/>
      <c r="E5" s="42">
        <f>IFERROR(ROUND(D5/C5,2),"")</f>
        <v/>
      </c>
      <c r="F5" s="22" t="inlineStr"/>
      <c r="G5" s="22" t="inlineStr"/>
      <c r="H5" s="22" t="inlineStr"/>
      <c r="I5" s="42">
        <f>IFERROR(ROUND(D5/(D5+H5)*100,1),"")</f>
        <v/>
      </c>
      <c r="J5" s="42">
        <f>IFERROR(ROUND(D5*0.82,1),"")</f>
        <v/>
      </c>
      <c r="K5" s="22" t="inlineStr"/>
      <c r="L5" s="22" t="inlineStr">
        <is>
          <t>Reported</t>
        </is>
      </c>
    </row>
    <row r="6" ht="22" customHeight="1">
      <c r="B6" s="45" t="inlineStr">
        <is>
          <t>May</t>
        </is>
      </c>
      <c r="C6" s="10" t="inlineStr"/>
      <c r="D6" s="10" t="inlineStr"/>
      <c r="E6" s="43">
        <f>IFERROR(ROUND(D6/C6,2),"")</f>
        <v/>
      </c>
      <c r="F6" s="10" t="inlineStr"/>
      <c r="G6" s="10" t="inlineStr"/>
      <c r="H6" s="10" t="inlineStr"/>
      <c r="I6" s="43">
        <f>IFERROR(ROUND(D6/(D6+H6)*100,1),"")</f>
        <v/>
      </c>
      <c r="J6" s="43">
        <f>IFERROR(ROUND(D6*0.82,1),"")</f>
        <v/>
      </c>
      <c r="K6" s="10" t="inlineStr"/>
      <c r="L6" s="10" t="inlineStr">
        <is>
          <t>Reported</t>
        </is>
      </c>
    </row>
    <row r="7" ht="22" customHeight="1">
      <c r="B7" s="44" t="inlineStr">
        <is>
          <t>June</t>
        </is>
      </c>
      <c r="C7" s="22" t="inlineStr"/>
      <c r="D7" s="22" t="inlineStr"/>
      <c r="E7" s="42">
        <f>IFERROR(ROUND(D7/C7,2),"")</f>
        <v/>
      </c>
      <c r="F7" s="22" t="inlineStr"/>
      <c r="G7" s="22" t="inlineStr"/>
      <c r="H7" s="22" t="inlineStr"/>
      <c r="I7" s="42">
        <f>IFERROR(ROUND(D7/(D7+H7)*100,1),"")</f>
        <v/>
      </c>
      <c r="J7" s="42">
        <f>IFERROR(ROUND(D7*0.82,1),"")</f>
        <v/>
      </c>
      <c r="K7" s="22" t="inlineStr"/>
      <c r="L7" s="22" t="inlineStr">
        <is>
          <t>Reported</t>
        </is>
      </c>
    </row>
    <row r="8" ht="22" customHeight="1">
      <c r="B8" s="45" t="inlineStr">
        <is>
          <t>July</t>
        </is>
      </c>
      <c r="C8" s="10" t="inlineStr"/>
      <c r="D8" s="10" t="inlineStr"/>
      <c r="E8" s="43">
        <f>IFERROR(ROUND(D8/C8,2),"")</f>
        <v/>
      </c>
      <c r="F8" s="10" t="inlineStr"/>
      <c r="G8" s="10" t="inlineStr"/>
      <c r="H8" s="10" t="inlineStr"/>
      <c r="I8" s="43">
        <f>IFERROR(ROUND(D8/(D8+H8)*100,1),"")</f>
        <v/>
      </c>
      <c r="J8" s="43">
        <f>IFERROR(ROUND(D8*0.82,1),"")</f>
        <v/>
      </c>
      <c r="K8" s="10" t="inlineStr"/>
      <c r="L8" s="10" t="inlineStr">
        <is>
          <t>Reported</t>
        </is>
      </c>
    </row>
    <row r="9" ht="22" customHeight="1">
      <c r="B9" s="44" t="inlineStr">
        <is>
          <t>August</t>
        </is>
      </c>
      <c r="C9" s="22" t="inlineStr"/>
      <c r="D9" s="22" t="inlineStr"/>
      <c r="E9" s="42">
        <f>IFERROR(ROUND(D9/C9,2),"")</f>
        <v/>
      </c>
      <c r="F9" s="22" t="inlineStr"/>
      <c r="G9" s="22" t="inlineStr"/>
      <c r="H9" s="22" t="inlineStr"/>
      <c r="I9" s="42">
        <f>IFERROR(ROUND(D9/(D9+H9)*100,1),"")</f>
        <v/>
      </c>
      <c r="J9" s="42">
        <f>IFERROR(ROUND(D9*0.82,1),"")</f>
        <v/>
      </c>
      <c r="K9" s="22" t="inlineStr"/>
      <c r="L9" s="22" t="inlineStr">
        <is>
          <t>Reported</t>
        </is>
      </c>
    </row>
    <row r="10" ht="22" customHeight="1">
      <c r="B10" s="45" t="inlineStr">
        <is>
          <t>September</t>
        </is>
      </c>
      <c r="C10" s="10" t="inlineStr"/>
      <c r="D10" s="10" t="inlineStr"/>
      <c r="E10" s="43">
        <f>IFERROR(ROUND(D10/C10,2),"")</f>
        <v/>
      </c>
      <c r="F10" s="10" t="inlineStr"/>
      <c r="G10" s="10" t="inlineStr"/>
      <c r="H10" s="10" t="inlineStr"/>
      <c r="I10" s="43">
        <f>IFERROR(ROUND(D10/(D10+H10)*100,1),"")</f>
        <v/>
      </c>
      <c r="J10" s="43">
        <f>IFERROR(ROUND(D10*0.82,1),"")</f>
        <v/>
      </c>
      <c r="K10" s="10" t="inlineStr"/>
      <c r="L10" s="10" t="inlineStr">
        <is>
          <t>Reported</t>
        </is>
      </c>
    </row>
    <row r="11" ht="22" customHeight="1">
      <c r="B11" s="44" t="inlineStr">
        <is>
          <t>October</t>
        </is>
      </c>
      <c r="C11" s="22" t="inlineStr"/>
      <c r="D11" s="22" t="inlineStr"/>
      <c r="E11" s="42">
        <f>IFERROR(ROUND(D11/C11,2),"")</f>
        <v/>
      </c>
      <c r="F11" s="22" t="inlineStr"/>
      <c r="G11" s="22" t="inlineStr"/>
      <c r="H11" s="22" t="inlineStr"/>
      <c r="I11" s="42">
        <f>IFERROR(ROUND(D11/(D11+H11)*100,1),"")</f>
        <v/>
      </c>
      <c r="J11" s="42">
        <f>IFERROR(ROUND(D11*0.82,1),"")</f>
        <v/>
      </c>
      <c r="K11" s="22" t="inlineStr"/>
      <c r="L11" s="22" t="inlineStr">
        <is>
          <t>Reported</t>
        </is>
      </c>
    </row>
    <row r="12" ht="22" customHeight="1">
      <c r="B12" s="45" t="inlineStr">
        <is>
          <t>November</t>
        </is>
      </c>
      <c r="C12" s="10" t="inlineStr"/>
      <c r="D12" s="10" t="inlineStr"/>
      <c r="E12" s="43">
        <f>IFERROR(ROUND(D12/C12,2),"")</f>
        <v/>
      </c>
      <c r="F12" s="10" t="inlineStr"/>
      <c r="G12" s="10" t="inlineStr"/>
      <c r="H12" s="10" t="inlineStr"/>
      <c r="I12" s="43">
        <f>IFERROR(ROUND(D12/(D12+H12)*100,1),"")</f>
        <v/>
      </c>
      <c r="J12" s="43">
        <f>IFERROR(ROUND(D12*0.82,1),"")</f>
        <v/>
      </c>
      <c r="K12" s="10" t="inlineStr"/>
      <c r="L12" s="10" t="inlineStr">
        <is>
          <t>Reported</t>
        </is>
      </c>
    </row>
    <row r="13" ht="22" customHeight="1">
      <c r="B13" s="44" t="inlineStr">
        <is>
          <t>December</t>
        </is>
      </c>
      <c r="C13" s="22" t="inlineStr"/>
      <c r="D13" s="22" t="inlineStr"/>
      <c r="E13" s="42">
        <f>IFERROR(ROUND(D13/C13,2),"")</f>
        <v/>
      </c>
      <c r="F13" s="22" t="inlineStr"/>
      <c r="G13" s="22" t="inlineStr"/>
      <c r="H13" s="22" t="inlineStr"/>
      <c r="I13" s="42">
        <f>IFERROR(ROUND(D13/(D13+H13)*100,1),"")</f>
        <v/>
      </c>
      <c r="J13" s="42">
        <f>IFERROR(ROUND(D13*0.82,1),"")</f>
        <v/>
      </c>
      <c r="K13" s="22" t="inlineStr"/>
      <c r="L13" s="22" t="inlineStr">
        <is>
          <t>Reported</t>
        </is>
      </c>
    </row>
    <row r="14" ht="22" customHeight="1">
      <c r="B14" s="45" t="inlineStr">
        <is>
          <t>January</t>
        </is>
      </c>
      <c r="C14" s="10" t="inlineStr"/>
      <c r="D14" s="10" t="inlineStr"/>
      <c r="E14" s="43">
        <f>IFERROR(ROUND(D14/C14,2),"")</f>
        <v/>
      </c>
      <c r="F14" s="10" t="inlineStr"/>
      <c r="G14" s="10" t="inlineStr"/>
      <c r="H14" s="10" t="inlineStr"/>
      <c r="I14" s="43">
        <f>IFERROR(ROUND(D14/(D14+H14)*100,1),"")</f>
        <v/>
      </c>
      <c r="J14" s="43">
        <f>IFERROR(ROUND(D14*0.82,1),"")</f>
        <v/>
      </c>
      <c r="K14" s="10" t="inlineStr"/>
      <c r="L14" s="10" t="inlineStr">
        <is>
          <t>Reported</t>
        </is>
      </c>
    </row>
    <row r="15" ht="22" customHeight="1">
      <c r="B15" s="44" t="inlineStr">
        <is>
          <t>February</t>
        </is>
      </c>
      <c r="C15" s="22" t="inlineStr"/>
      <c r="D15" s="22" t="inlineStr"/>
      <c r="E15" s="42">
        <f>IFERROR(ROUND(D15/C15,2),"")</f>
        <v/>
      </c>
      <c r="F15" s="22" t="inlineStr"/>
      <c r="G15" s="22" t="inlineStr"/>
      <c r="H15" s="22" t="inlineStr"/>
      <c r="I15" s="42">
        <f>IFERROR(ROUND(D15/(D15+H15)*100,1),"")</f>
        <v/>
      </c>
      <c r="J15" s="42">
        <f>IFERROR(ROUND(D15*0.82,1),"")</f>
        <v/>
      </c>
      <c r="K15" s="22" t="inlineStr"/>
      <c r="L15" s="22" t="inlineStr">
        <is>
          <t>Reported</t>
        </is>
      </c>
    </row>
    <row r="16" ht="22" customHeight="1">
      <c r="B16" s="45" t="inlineStr">
        <is>
          <t>March</t>
        </is>
      </c>
      <c r="C16" s="10" t="inlineStr"/>
      <c r="D16" s="10" t="inlineStr"/>
      <c r="E16" s="43">
        <f>IFERROR(ROUND(D16/C16,2),"")</f>
        <v/>
      </c>
      <c r="F16" s="10" t="inlineStr"/>
      <c r="G16" s="10" t="inlineStr"/>
      <c r="H16" s="10" t="inlineStr"/>
      <c r="I16" s="43">
        <f>IFERROR(ROUND(D16/(D16+H16)*100,1),"")</f>
        <v/>
      </c>
      <c r="J16" s="43">
        <f>IFERROR(ROUND(D16*0.82,1),"")</f>
        <v/>
      </c>
      <c r="K16" s="10" t="inlineStr"/>
      <c r="L16" s="10" t="inlineStr">
        <is>
          <t>Reported</t>
        </is>
      </c>
    </row>
    <row r="17" ht="22" customHeight="1"/>
    <row r="18" ht="26" customHeight="1">
      <c r="B18" s="46" t="inlineStr">
        <is>
          <t>ANNUAL TOTAL</t>
        </is>
      </c>
      <c r="C18" s="47" t="n"/>
      <c r="D18" s="48">
        <f>IFERROR(SUM(D5:D16),"")</f>
        <v/>
      </c>
      <c r="E18" s="47" t="n"/>
      <c r="F18" s="47" t="n"/>
      <c r="G18" s="47" t="n"/>
      <c r="H18" s="48">
        <f>IFERROR(SUM(H5:H16),"")</f>
        <v/>
      </c>
      <c r="I18" s="47" t="n"/>
      <c r="J18" s="48">
        <f>IFERROR(SUM(J5:J16),"")</f>
        <v/>
      </c>
      <c r="K18" s="48">
        <f>IFERROR(SUM(K5:K16),"")</f>
        <v/>
      </c>
      <c r="L18" s="47" t="n"/>
    </row>
    <row r="19" ht="22" customHeight="1"/>
    <row r="20" ht="24" customHeight="1">
      <c r="B20" s="34" t="inlineStr">
        <is>
          <t>ANNUAL PERFORMANCE SUMMARY</t>
        </is>
      </c>
    </row>
    <row r="21" ht="22" customHeight="1">
      <c r="B21" s="23" t="inlineStr">
        <is>
          <t>Annual Solar Generation (kWh)</t>
        </is>
      </c>
      <c r="F21" s="26">
        <f>IFERROR(D18,"")</f>
        <v/>
      </c>
    </row>
    <row r="22" ht="22" customHeight="1">
      <c r="B22" s="25" t="inlineStr">
        <is>
          <t>Annual Grid Consumption (kWh)</t>
        </is>
      </c>
      <c r="F22" s="36">
        <f>IFERROR(H18,"")</f>
        <v/>
      </c>
    </row>
    <row r="23" ht="22" customHeight="1">
      <c r="B23" s="23" t="inlineStr">
        <is>
          <t>RE % of Total Consumption</t>
        </is>
      </c>
      <c r="F23" s="26">
        <f>IFERROR(ROUND(D18/(D18+H18)*100,1),"")</f>
        <v/>
      </c>
    </row>
    <row r="24" ht="22" customHeight="1">
      <c r="B24" s="25" t="inlineStr">
        <is>
          <t>Annual CO2 Offset (tonnes)</t>
        </is>
      </c>
      <c r="F24" s="36">
        <f>IFERROR(ROUND(J18/1000,2),"")</f>
        <v/>
      </c>
    </row>
    <row r="25" ht="22" customHeight="1">
      <c r="B25" s="23" t="inlineStr">
        <is>
          <t>Annual Energy Cost Savings (₹)</t>
        </is>
      </c>
      <c r="F25" s="26">
        <f>IFERROR(K18,"")</f>
        <v/>
      </c>
    </row>
    <row r="26" ht="22" customHeight="1">
      <c r="B26" s="25" t="inlineStr">
        <is>
          <t>Target RE % (Institutional Goal)</t>
        </is>
      </c>
      <c r="F26" s="36" t="inlineStr"/>
    </row>
    <row r="27" ht="22" customHeight="1"/>
  </sheetData>
  <mergeCells count="15">
    <mergeCell ref="B23:E23"/>
    <mergeCell ref="F22:L22"/>
    <mergeCell ref="B26:E26"/>
    <mergeCell ref="F26:L26"/>
    <mergeCell ref="B21:E21"/>
    <mergeCell ref="B3:L3"/>
    <mergeCell ref="B2:L2"/>
    <mergeCell ref="B20:L20"/>
    <mergeCell ref="F21:L21"/>
    <mergeCell ref="F23:L23"/>
    <mergeCell ref="F24:L24"/>
    <mergeCell ref="B24:E24"/>
    <mergeCell ref="B25:E25"/>
    <mergeCell ref="F25:L25"/>
    <mergeCell ref="B22:E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37" t="inlineStr">
        <is>
          <t>SOL-04: SOLAR PV MAINTENANCE &amp; CLEANING LOG</t>
        </is>
      </c>
    </row>
    <row r="3" ht="20" customHeight="1">
      <c r="B3" s="17" t="inlineStr">
        <is>
          <t>Solar panels must be cleaned monthly (more often in dusty/pollination season). Dirty panels lose 5-15% generation. Inverter checks: quarterly. String combiner box: 6-monthly. Earth resistance test: annual.</t>
        </is>
      </c>
    </row>
    <row r="4" ht="25" customHeight="1">
      <c r="B4" s="39" t="inlineStr">
        <is>
          <t>Activity
Ref.</t>
        </is>
      </c>
      <c r="C4" s="39" t="inlineStr">
        <is>
          <t>System Ref.</t>
        </is>
      </c>
      <c r="D4" s="39" t="inlineStr">
        <is>
          <t>Activity Type</t>
        </is>
      </c>
      <c r="E4" s="39" t="inlineStr">
        <is>
          <t>Date</t>
        </is>
      </c>
      <c r="F4" s="39" t="inlineStr">
        <is>
          <t>Done by
(In-house/AMC)</t>
        </is>
      </c>
      <c r="G4" s="39" t="inlineStr">
        <is>
          <t>Panels
Cleaned</t>
        </is>
      </c>
      <c r="H4" s="39" t="inlineStr">
        <is>
          <t>Inverter
Checked</t>
        </is>
      </c>
      <c r="I4" s="39" t="inlineStr">
        <is>
          <t>Issues
Found</t>
        </is>
      </c>
      <c r="J4" s="39" t="inlineStr">
        <is>
          <t>Next
Scheduled</t>
        </is>
      </c>
    </row>
    <row r="5" ht="22" customHeight="1">
      <c r="B5" s="40" t="inlineStr">
        <is>
          <t>SMNT/001</t>
        </is>
      </c>
      <c r="C5" s="22" t="inlineStr">
        <is>
          <t>SPV-001</t>
        </is>
      </c>
      <c r="D5" s="41" t="inlineStr">
        <is>
          <t>Panel Cleaning (Water wash)</t>
        </is>
      </c>
      <c r="E5" s="22" t="inlineStr"/>
      <c r="F5" s="22" t="inlineStr">
        <is>
          <t>AMC Vendor</t>
        </is>
      </c>
      <c r="G5" s="22" t="inlineStr">
        <is>
          <t>Y</t>
        </is>
      </c>
      <c r="H5" s="22" t="inlineStr">
        <is>
          <t>Y</t>
        </is>
      </c>
      <c r="I5" s="41" t="inlineStr">
        <is>
          <t>None</t>
        </is>
      </c>
      <c r="J5" s="22" t="inlineStr"/>
    </row>
    <row r="6" ht="22" customHeight="1">
      <c r="B6" s="8" t="inlineStr">
        <is>
          <t>SMNT/002</t>
        </is>
      </c>
      <c r="C6" s="10" t="inlineStr">
        <is>
          <t>SPV-001</t>
        </is>
      </c>
      <c r="D6" s="9" t="inlineStr">
        <is>
          <t>Panel Cleaning (Dry wipe)</t>
        </is>
      </c>
      <c r="E6" s="10" t="inlineStr"/>
      <c r="F6" s="10" t="inlineStr">
        <is>
          <t>AMC Vendor</t>
        </is>
      </c>
      <c r="G6" s="10" t="inlineStr">
        <is>
          <t>Y</t>
        </is>
      </c>
      <c r="H6" s="10" t="inlineStr">
        <is>
          <t>Y</t>
        </is>
      </c>
      <c r="I6" s="9" t="inlineStr">
        <is>
          <t>None</t>
        </is>
      </c>
      <c r="J6" s="10" t="inlineStr"/>
    </row>
    <row r="7" ht="22" customHeight="1">
      <c r="B7" s="40" t="inlineStr">
        <is>
          <t>SMNT/003</t>
        </is>
      </c>
      <c r="C7" s="22" t="inlineStr">
        <is>
          <t>SPV-001</t>
        </is>
      </c>
      <c r="D7" s="41" t="inlineStr">
        <is>
          <t>Inverter Health Check</t>
        </is>
      </c>
      <c r="E7" s="22" t="inlineStr"/>
      <c r="F7" s="22" t="inlineStr">
        <is>
          <t>AMC Vendor</t>
        </is>
      </c>
      <c r="G7" s="22" t="inlineStr">
        <is>
          <t>Y</t>
        </is>
      </c>
      <c r="H7" s="22" t="inlineStr">
        <is>
          <t>Y</t>
        </is>
      </c>
      <c r="I7" s="41" t="inlineStr">
        <is>
          <t>None</t>
        </is>
      </c>
      <c r="J7" s="22" t="inlineStr"/>
    </row>
    <row r="8" ht="22" customHeight="1">
      <c r="B8" s="8" t="inlineStr">
        <is>
          <t>SMNT/004</t>
        </is>
      </c>
      <c r="C8" s="10" t="inlineStr">
        <is>
          <t>SPV-001</t>
        </is>
      </c>
      <c r="D8" s="9" t="inlineStr">
        <is>
          <t>Inverter Firmware Update</t>
        </is>
      </c>
      <c r="E8" s="10" t="inlineStr"/>
      <c r="F8" s="10" t="inlineStr">
        <is>
          <t>AMC Vendor</t>
        </is>
      </c>
      <c r="G8" s="10" t="inlineStr">
        <is>
          <t>Y</t>
        </is>
      </c>
      <c r="H8" s="10" t="inlineStr">
        <is>
          <t>Y</t>
        </is>
      </c>
      <c r="I8" s="9" t="inlineStr">
        <is>
          <t>None</t>
        </is>
      </c>
      <c r="J8" s="10" t="inlineStr"/>
    </row>
    <row r="9" ht="22" customHeight="1">
      <c r="B9" s="40" t="inlineStr">
        <is>
          <t>SMNT/005</t>
        </is>
      </c>
      <c r="C9" s="22" t="inlineStr">
        <is>
          <t>SPV-001</t>
        </is>
      </c>
      <c r="D9" s="41" t="inlineStr">
        <is>
          <t>String Combiner Box Check</t>
        </is>
      </c>
      <c r="E9" s="22" t="inlineStr"/>
      <c r="F9" s="22" t="inlineStr">
        <is>
          <t>AMC Vendor</t>
        </is>
      </c>
      <c r="G9" s="22" t="inlineStr">
        <is>
          <t>Y</t>
        </is>
      </c>
      <c r="H9" s="22" t="inlineStr">
        <is>
          <t>Y</t>
        </is>
      </c>
      <c r="I9" s="41" t="inlineStr">
        <is>
          <t>None</t>
        </is>
      </c>
      <c r="J9" s="22" t="inlineStr"/>
    </row>
    <row r="10" ht="22" customHeight="1">
      <c r="B10" s="8" t="inlineStr">
        <is>
          <t>SMNT/006</t>
        </is>
      </c>
      <c r="C10" s="10" t="inlineStr">
        <is>
          <t>SPV-001</t>
        </is>
      </c>
      <c r="D10" s="9" t="inlineStr">
        <is>
          <t>DC Cable &amp; Connection Check</t>
        </is>
      </c>
      <c r="E10" s="10" t="inlineStr"/>
      <c r="F10" s="10" t="inlineStr">
        <is>
          <t>AMC Vendor</t>
        </is>
      </c>
      <c r="G10" s="10" t="inlineStr">
        <is>
          <t>Y</t>
        </is>
      </c>
      <c r="H10" s="10" t="inlineStr">
        <is>
          <t>Y</t>
        </is>
      </c>
      <c r="I10" s="9" t="inlineStr">
        <is>
          <t>None</t>
        </is>
      </c>
      <c r="J10" s="10" t="inlineStr"/>
    </row>
    <row r="11" ht="22" customHeight="1">
      <c r="B11" s="40" t="inlineStr">
        <is>
          <t>SMNT/007</t>
        </is>
      </c>
      <c r="C11" s="22" t="inlineStr">
        <is>
          <t>SPV-001</t>
        </is>
      </c>
      <c r="D11" s="41" t="inlineStr">
        <is>
          <t>AC Cable &amp; Meter Check</t>
        </is>
      </c>
      <c r="E11" s="22" t="inlineStr"/>
      <c r="F11" s="22" t="inlineStr">
        <is>
          <t>AMC Vendor</t>
        </is>
      </c>
      <c r="G11" s="22" t="inlineStr">
        <is>
          <t>Y</t>
        </is>
      </c>
      <c r="H11" s="22" t="inlineStr">
        <is>
          <t>Y</t>
        </is>
      </c>
      <c r="I11" s="41" t="inlineStr">
        <is>
          <t>None</t>
        </is>
      </c>
      <c r="J11" s="22" t="inlineStr"/>
    </row>
    <row r="12" ht="22" customHeight="1">
      <c r="B12" s="8" t="inlineStr">
        <is>
          <t>SMNT/008</t>
        </is>
      </c>
      <c r="C12" s="10" t="inlineStr">
        <is>
          <t>SPV-001</t>
        </is>
      </c>
      <c r="D12" s="9" t="inlineStr">
        <is>
          <t>Earth Resistance Test</t>
        </is>
      </c>
      <c r="E12" s="10" t="inlineStr"/>
      <c r="F12" s="10" t="inlineStr">
        <is>
          <t>AMC Vendor</t>
        </is>
      </c>
      <c r="G12" s="10" t="inlineStr">
        <is>
          <t>Y</t>
        </is>
      </c>
      <c r="H12" s="10" t="inlineStr">
        <is>
          <t>Y</t>
        </is>
      </c>
      <c r="I12" s="9" t="inlineStr">
        <is>
          <t>None</t>
        </is>
      </c>
      <c r="J12" s="10" t="inlineStr"/>
    </row>
    <row r="13" ht="22" customHeight="1">
      <c r="B13" s="40" t="inlineStr">
        <is>
          <t>SMNT/009</t>
        </is>
      </c>
      <c r="C13" s="22" t="inlineStr">
        <is>
          <t>SPV-001</t>
        </is>
      </c>
      <c r="D13" s="41" t="inlineStr">
        <is>
          <t>Thermal Imaging / IR Scan</t>
        </is>
      </c>
      <c r="E13" s="22" t="inlineStr"/>
      <c r="F13" s="22" t="inlineStr">
        <is>
          <t>AMC Vendor</t>
        </is>
      </c>
      <c r="G13" s="22" t="inlineStr">
        <is>
          <t>Y</t>
        </is>
      </c>
      <c r="H13" s="22" t="inlineStr">
        <is>
          <t>Y</t>
        </is>
      </c>
      <c r="I13" s="41" t="inlineStr">
        <is>
          <t>None</t>
        </is>
      </c>
      <c r="J13" s="22" t="inlineStr"/>
    </row>
    <row r="14" ht="22" customHeight="1">
      <c r="B14" s="8" t="inlineStr">
        <is>
          <t>SMNT/010</t>
        </is>
      </c>
      <c r="C14" s="10" t="inlineStr">
        <is>
          <t>SPV-001</t>
        </is>
      </c>
      <c r="D14" s="9" t="inlineStr">
        <is>
          <t>Annual AMC Service</t>
        </is>
      </c>
      <c r="E14" s="10" t="inlineStr"/>
      <c r="F14" s="10" t="inlineStr">
        <is>
          <t>AMC Vendor</t>
        </is>
      </c>
      <c r="G14" s="10" t="inlineStr">
        <is>
          <t>Y</t>
        </is>
      </c>
      <c r="H14" s="10" t="inlineStr">
        <is>
          <t>Y</t>
        </is>
      </c>
      <c r="I14" s="9" t="inlineStr">
        <is>
          <t>None</t>
        </is>
      </c>
      <c r="J14" s="10" t="inlineStr"/>
    </row>
    <row r="15" ht="22" customHeight="1">
      <c r="B15" s="40" t="inlineStr">
        <is>
          <t>SMNT/011</t>
        </is>
      </c>
      <c r="C15" s="22" t="inlineStr">
        <is>
          <t>SPV-001</t>
        </is>
      </c>
      <c r="D15" s="41" t="inlineStr">
        <is>
          <t>Shading Analysis</t>
        </is>
      </c>
      <c r="E15" s="22" t="inlineStr"/>
      <c r="F15" s="22" t="inlineStr">
        <is>
          <t>AMC Vendor</t>
        </is>
      </c>
      <c r="G15" s="22" t="inlineStr">
        <is>
          <t>Y</t>
        </is>
      </c>
      <c r="H15" s="22" t="inlineStr">
        <is>
          <t>Y</t>
        </is>
      </c>
      <c r="I15" s="41" t="inlineStr">
        <is>
          <t>None</t>
        </is>
      </c>
      <c r="J15" s="22" t="inlineStr"/>
    </row>
    <row r="16" ht="22" customHeight="1">
      <c r="B16" s="8" t="inlineStr">
        <is>
          <t>SMNT/012</t>
        </is>
      </c>
      <c r="C16" s="10" t="inlineStr">
        <is>
          <t>SPV-001</t>
        </is>
      </c>
      <c r="D16" s="9" t="inlineStr">
        <is>
          <t>Bird Net Replacement</t>
        </is>
      </c>
      <c r="E16" s="10" t="inlineStr"/>
      <c r="F16" s="10" t="inlineStr">
        <is>
          <t>AMC Vendor</t>
        </is>
      </c>
      <c r="G16" s="10" t="inlineStr">
        <is>
          <t>Y</t>
        </is>
      </c>
      <c r="H16" s="10" t="inlineStr">
        <is>
          <t>Y</t>
        </is>
      </c>
      <c r="I16" s="9" t="inlineStr">
        <is>
          <t>None</t>
        </is>
      </c>
      <c r="J16" s="10" t="inlineStr"/>
    </row>
    <row r="17" ht="22" customHeight="1">
      <c r="B17" s="40" t="inlineStr">
        <is>
          <t>SMNT/013</t>
        </is>
      </c>
      <c r="C17" s="22" t="inlineStr">
        <is>
          <t>SPV-001</t>
        </is>
      </c>
      <c r="D17" s="41" t="inlineStr">
        <is>
          <t>Structural Inspection</t>
        </is>
      </c>
      <c r="E17" s="22" t="inlineStr"/>
      <c r="F17" s="22" t="inlineStr">
        <is>
          <t>AMC Vendor</t>
        </is>
      </c>
      <c r="G17" s="22" t="inlineStr">
        <is>
          <t>Y</t>
        </is>
      </c>
      <c r="H17" s="22" t="inlineStr">
        <is>
          <t>Y</t>
        </is>
      </c>
      <c r="I17" s="41" t="inlineStr">
        <is>
          <t>None</t>
        </is>
      </c>
      <c r="J17" s="22" t="inlineStr"/>
    </row>
    <row r="18" ht="22" customHeight="1">
      <c r="B18" s="8" t="inlineStr">
        <is>
          <t>SMNT/014</t>
        </is>
      </c>
      <c r="C18" s="10" t="inlineStr">
        <is>
          <t>SPV-001</t>
        </is>
      </c>
      <c r="D18" s="9" t="inlineStr">
        <is>
          <t>Panel Cleaning (Water wash)</t>
        </is>
      </c>
      <c r="E18" s="10" t="inlineStr"/>
      <c r="F18" s="10" t="inlineStr">
        <is>
          <t>AMC Vendor</t>
        </is>
      </c>
      <c r="G18" s="10" t="inlineStr">
        <is>
          <t>Y</t>
        </is>
      </c>
      <c r="H18" s="10" t="inlineStr">
        <is>
          <t>Y</t>
        </is>
      </c>
      <c r="I18" s="9" t="inlineStr">
        <is>
          <t>None</t>
        </is>
      </c>
      <c r="J18" s="10" t="inlineStr"/>
    </row>
    <row r="19" ht="22" customHeight="1">
      <c r="B19" s="40" t="inlineStr">
        <is>
          <t>SMNT/015</t>
        </is>
      </c>
      <c r="C19" s="22" t="inlineStr">
        <is>
          <t>SPV-001</t>
        </is>
      </c>
      <c r="D19" s="41" t="inlineStr">
        <is>
          <t>Panel Cleaning (Dry wipe)</t>
        </is>
      </c>
      <c r="E19" s="22" t="inlineStr"/>
      <c r="F19" s="22" t="inlineStr">
        <is>
          <t>AMC Vendor</t>
        </is>
      </c>
      <c r="G19" s="22" t="inlineStr">
        <is>
          <t>Y</t>
        </is>
      </c>
      <c r="H19" s="22" t="inlineStr">
        <is>
          <t>Y</t>
        </is>
      </c>
      <c r="I19" s="41" t="inlineStr">
        <is>
          <t>None</t>
        </is>
      </c>
      <c r="J19" s="22" t="inlineStr"/>
    </row>
    <row r="20" ht="22" customHeight="1">
      <c r="B20" s="8" t="inlineStr">
        <is>
          <t>SMNT/016</t>
        </is>
      </c>
      <c r="C20" s="10" t="inlineStr">
        <is>
          <t>SPV-001</t>
        </is>
      </c>
      <c r="D20" s="9" t="inlineStr">
        <is>
          <t>Inverter Health Check</t>
        </is>
      </c>
      <c r="E20" s="10" t="inlineStr"/>
      <c r="F20" s="10" t="inlineStr">
        <is>
          <t>AMC Vendor</t>
        </is>
      </c>
      <c r="G20" s="10" t="inlineStr">
        <is>
          <t>Y</t>
        </is>
      </c>
      <c r="H20" s="10" t="inlineStr">
        <is>
          <t>Y</t>
        </is>
      </c>
      <c r="I20" s="9" t="inlineStr">
        <is>
          <t>None</t>
        </is>
      </c>
      <c r="J20" s="10" t="inlineStr"/>
    </row>
    <row r="21" ht="22" customHeight="1">
      <c r="B21" s="40" t="inlineStr">
        <is>
          <t>SMNT/017</t>
        </is>
      </c>
      <c r="C21" s="22" t="inlineStr">
        <is>
          <t>SPV-001</t>
        </is>
      </c>
      <c r="D21" s="41" t="inlineStr">
        <is>
          <t>Inverter Firmware Update</t>
        </is>
      </c>
      <c r="E21" s="22" t="inlineStr"/>
      <c r="F21" s="22" t="inlineStr">
        <is>
          <t>AMC Vendor</t>
        </is>
      </c>
      <c r="G21" s="22" t="inlineStr">
        <is>
          <t>Y</t>
        </is>
      </c>
      <c r="H21" s="22" t="inlineStr">
        <is>
          <t>Y</t>
        </is>
      </c>
      <c r="I21" s="41" t="inlineStr">
        <is>
          <t>None</t>
        </is>
      </c>
      <c r="J21" s="22" t="inlineStr"/>
    </row>
    <row r="22" ht="22" customHeight="1">
      <c r="B22" s="8" t="inlineStr">
        <is>
          <t>SMNT/018</t>
        </is>
      </c>
      <c r="C22" s="10" t="inlineStr">
        <is>
          <t>SPV-001</t>
        </is>
      </c>
      <c r="D22" s="9" t="inlineStr">
        <is>
          <t>String Combiner Box Check</t>
        </is>
      </c>
      <c r="E22" s="10" t="inlineStr"/>
      <c r="F22" s="10" t="inlineStr">
        <is>
          <t>AMC Vendor</t>
        </is>
      </c>
      <c r="G22" s="10" t="inlineStr">
        <is>
          <t>Y</t>
        </is>
      </c>
      <c r="H22" s="10" t="inlineStr">
        <is>
          <t>Y</t>
        </is>
      </c>
      <c r="I22" s="9" t="inlineStr">
        <is>
          <t>None</t>
        </is>
      </c>
      <c r="J22" s="10" t="inlineStr"/>
    </row>
    <row r="23" ht="22" customHeight="1"/>
    <row r="24" ht="24" customHeight="1">
      <c r="B24" s="34" t="inlineStr">
        <is>
          <t>MAINTENANCE SUMMARY</t>
        </is>
      </c>
    </row>
    <row r="25" ht="22" customHeight="1">
      <c r="B25" s="23" t="inlineStr">
        <is>
          <t>Total Maintenance Activities</t>
        </is>
      </c>
      <c r="F25" s="26">
        <f>COUNTA(B5:B22)</f>
        <v/>
      </c>
    </row>
    <row r="26" ht="22" customHeight="1">
      <c r="B26" s="25" t="inlineStr">
        <is>
          <t>Panel Cleaning Events</t>
        </is>
      </c>
      <c r="F26" s="36">
        <f>COUNTIF(D5:D22,"Panel Cleaning (Water wash)")+COUNTIF(D5:D22,"Panel Cleaning (Dry wipe)")</f>
        <v/>
      </c>
    </row>
    <row r="27" ht="22" customHeight="1">
      <c r="B27" s="23" t="inlineStr">
        <is>
          <t>Inverter Health Checks</t>
        </is>
      </c>
      <c r="F27" s="26">
        <f>COUNTIF(D5:D22,"Inverter Health Check")</f>
        <v/>
      </c>
    </row>
    <row r="28">
      <c r="B28" s="25" t="inlineStr">
        <is>
          <t>Issues Found</t>
        </is>
      </c>
      <c r="F28" s="36">
        <f>COUNTIF(I5:I22,"&lt;&gt;"&amp;"None")</f>
        <v/>
      </c>
    </row>
    <row r="29">
      <c r="B29" s="23" t="inlineStr">
        <is>
          <t>AMC Services Completed</t>
        </is>
      </c>
      <c r="F29" s="26">
        <f>COUNTIF(F5:F22,"AMC Vendor")</f>
        <v/>
      </c>
    </row>
    <row r="30">
      <c r="B30" s="25" t="inlineStr">
        <is>
          <t>Activities Done In-house</t>
        </is>
      </c>
      <c r="F30" s="36">
        <f>COUNTIF(F5:F22,"In-house")</f>
        <v/>
      </c>
    </row>
  </sheetData>
  <mergeCells count="15">
    <mergeCell ref="B26:E26"/>
    <mergeCell ref="B27:E27"/>
    <mergeCell ref="B3:J3"/>
    <mergeCell ref="F29:J29"/>
    <mergeCell ref="F30:J30"/>
    <mergeCell ref="F26:J26"/>
    <mergeCell ref="B30:E30"/>
    <mergeCell ref="F25:J25"/>
    <mergeCell ref="F27:J27"/>
    <mergeCell ref="B25:E25"/>
    <mergeCell ref="F28:J28"/>
    <mergeCell ref="B29:E29"/>
    <mergeCell ref="B28:E28"/>
    <mergeCell ref="B24:J24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ENE-01: CAMPUS GRID ELECTRICITY CONSUMPTION REGISTER</t>
        </is>
      </c>
    </row>
    <row r="3" ht="20" customHeight="1">
      <c r="B3" s="2" t="inlineStr">
        <is>
          <t>DISCOM Account No.: _______  Meter No.: _______  Sanctioned Load: _______ kVA  Tariff Category: _______</t>
        </is>
      </c>
    </row>
    <row r="4" ht="25" customHeight="1">
      <c r="B4" s="13" t="inlineStr">
        <is>
          <t>Month</t>
        </is>
      </c>
      <c r="C4" s="13" t="inlineStr">
        <is>
          <t>Meter
Reading
Open</t>
        </is>
      </c>
      <c r="D4" s="13" t="inlineStr">
        <is>
          <t>Meter
Reading
Close</t>
        </is>
      </c>
      <c r="E4" s="13" t="inlineStr">
        <is>
          <t>Units
Consumed
(kWh)</t>
        </is>
      </c>
      <c r="F4" s="13" t="inlineStr">
        <is>
          <t>RE
Generation
(kWh)</t>
        </is>
      </c>
      <c r="G4" s="13" t="inlineStr">
        <is>
          <t>Net
Grid
Units</t>
        </is>
      </c>
      <c r="H4" s="13" t="inlineStr">
        <is>
          <t>Peak
Demand
(kVA)</t>
        </is>
      </c>
      <c r="I4" s="13" t="inlineStr">
        <is>
          <t>Bill
Amount
(₹)</t>
        </is>
      </c>
      <c r="J4" s="13" t="inlineStr">
        <is>
          <t>Rate
(₹/kWh)</t>
        </is>
      </c>
      <c r="K4" s="13" t="inlineStr">
        <is>
          <t>CO2 from
Grid
(kg)</t>
        </is>
      </c>
      <c r="L4" s="13" t="inlineStr">
        <is>
          <t>YoY
Change
(%)</t>
        </is>
      </c>
    </row>
    <row r="5" ht="22" customHeight="1">
      <c r="B5" s="18" t="inlineStr">
        <is>
          <t>April</t>
        </is>
      </c>
      <c r="C5" s="16" t="inlineStr"/>
      <c r="D5" s="16" t="inlineStr"/>
      <c r="E5" s="26">
        <f>IFERROR(D5-C5,"")</f>
        <v/>
      </c>
      <c r="F5" s="16" t="inlineStr"/>
      <c r="G5" s="16">
        <f>IFERROR(E5-F5,"")</f>
        <v/>
      </c>
      <c r="H5" s="16" t="inlineStr"/>
      <c r="I5" s="16" t="inlineStr"/>
      <c r="J5" s="16">
        <f>IFERROR(ROUND(I5/E5,2),"")</f>
        <v/>
      </c>
      <c r="K5" s="26">
        <f>IFERROR(ROUND(G5*0.82,1),"")</f>
        <v/>
      </c>
      <c r="L5" s="16" t="inlineStr"/>
    </row>
    <row r="6" ht="22" customHeight="1">
      <c r="B6" s="49" t="inlineStr">
        <is>
          <t>May</t>
        </is>
      </c>
      <c r="C6" s="10" t="inlineStr"/>
      <c r="D6" s="10" t="inlineStr"/>
      <c r="E6" s="36">
        <f>IFERROR(D6-C6,"")</f>
        <v/>
      </c>
      <c r="F6" s="10" t="inlineStr"/>
      <c r="G6" s="10">
        <f>IFERROR(E6-F6,"")</f>
        <v/>
      </c>
      <c r="H6" s="10" t="inlineStr"/>
      <c r="I6" s="10" t="inlineStr"/>
      <c r="J6" s="10">
        <f>IFERROR(ROUND(I6/E6,2),"")</f>
        <v/>
      </c>
      <c r="K6" s="36">
        <f>IFERROR(ROUND(G6*0.82,1),"")</f>
        <v/>
      </c>
      <c r="L6" s="10" t="inlineStr"/>
    </row>
    <row r="7" ht="22" customHeight="1">
      <c r="B7" s="18" t="inlineStr">
        <is>
          <t>June</t>
        </is>
      </c>
      <c r="C7" s="16" t="inlineStr"/>
      <c r="D7" s="16" t="inlineStr"/>
      <c r="E7" s="26">
        <f>IFERROR(D7-C7,"")</f>
        <v/>
      </c>
      <c r="F7" s="16" t="inlineStr"/>
      <c r="G7" s="16">
        <f>IFERROR(E7-F7,"")</f>
        <v/>
      </c>
      <c r="H7" s="16" t="inlineStr"/>
      <c r="I7" s="16" t="inlineStr"/>
      <c r="J7" s="16">
        <f>IFERROR(ROUND(I7/E7,2),"")</f>
        <v/>
      </c>
      <c r="K7" s="26">
        <f>IFERROR(ROUND(G7*0.82,1),"")</f>
        <v/>
      </c>
      <c r="L7" s="16" t="inlineStr"/>
    </row>
    <row r="8" ht="22" customHeight="1">
      <c r="B8" s="49" t="inlineStr">
        <is>
          <t>July</t>
        </is>
      </c>
      <c r="C8" s="10" t="inlineStr"/>
      <c r="D8" s="10" t="inlineStr"/>
      <c r="E8" s="36">
        <f>IFERROR(D8-C8,"")</f>
        <v/>
      </c>
      <c r="F8" s="10" t="inlineStr"/>
      <c r="G8" s="10">
        <f>IFERROR(E8-F8,"")</f>
        <v/>
      </c>
      <c r="H8" s="10" t="inlineStr"/>
      <c r="I8" s="10" t="inlineStr"/>
      <c r="J8" s="10">
        <f>IFERROR(ROUND(I8/E8,2),"")</f>
        <v/>
      </c>
      <c r="K8" s="36">
        <f>IFERROR(ROUND(G8*0.82,1),"")</f>
        <v/>
      </c>
      <c r="L8" s="10" t="inlineStr"/>
    </row>
    <row r="9" ht="22" customHeight="1">
      <c r="B9" s="18" t="inlineStr">
        <is>
          <t>August</t>
        </is>
      </c>
      <c r="C9" s="16" t="inlineStr"/>
      <c r="D9" s="16" t="inlineStr"/>
      <c r="E9" s="26">
        <f>IFERROR(D9-C9,"")</f>
        <v/>
      </c>
      <c r="F9" s="16" t="inlineStr"/>
      <c r="G9" s="16">
        <f>IFERROR(E9-F9,"")</f>
        <v/>
      </c>
      <c r="H9" s="16" t="inlineStr"/>
      <c r="I9" s="16" t="inlineStr"/>
      <c r="J9" s="16">
        <f>IFERROR(ROUND(I9/E9,2),"")</f>
        <v/>
      </c>
      <c r="K9" s="26">
        <f>IFERROR(ROUND(G9*0.82,1),"")</f>
        <v/>
      </c>
      <c r="L9" s="16" t="inlineStr"/>
    </row>
    <row r="10" ht="22" customHeight="1">
      <c r="B10" s="49" t="inlineStr">
        <is>
          <t>September</t>
        </is>
      </c>
      <c r="C10" s="10" t="inlineStr"/>
      <c r="D10" s="10" t="inlineStr"/>
      <c r="E10" s="36">
        <f>IFERROR(D10-C10,"")</f>
        <v/>
      </c>
      <c r="F10" s="10" t="inlineStr"/>
      <c r="G10" s="10">
        <f>IFERROR(E10-F10,"")</f>
        <v/>
      </c>
      <c r="H10" s="10" t="inlineStr"/>
      <c r="I10" s="10" t="inlineStr"/>
      <c r="J10" s="10">
        <f>IFERROR(ROUND(I10/E10,2),"")</f>
        <v/>
      </c>
      <c r="K10" s="36">
        <f>IFERROR(ROUND(G10*0.82,1),"")</f>
        <v/>
      </c>
      <c r="L10" s="10" t="inlineStr"/>
    </row>
    <row r="11" ht="22" customHeight="1">
      <c r="B11" s="18" t="inlineStr">
        <is>
          <t>October</t>
        </is>
      </c>
      <c r="C11" s="16" t="inlineStr"/>
      <c r="D11" s="16" t="inlineStr"/>
      <c r="E11" s="26">
        <f>IFERROR(D11-C11,"")</f>
        <v/>
      </c>
      <c r="F11" s="16" t="inlineStr"/>
      <c r="G11" s="16">
        <f>IFERROR(E11-F11,"")</f>
        <v/>
      </c>
      <c r="H11" s="16" t="inlineStr"/>
      <c r="I11" s="16" t="inlineStr"/>
      <c r="J11" s="16">
        <f>IFERROR(ROUND(I11/E11,2),"")</f>
        <v/>
      </c>
      <c r="K11" s="26">
        <f>IFERROR(ROUND(G11*0.82,1),"")</f>
        <v/>
      </c>
      <c r="L11" s="16" t="inlineStr"/>
    </row>
    <row r="12" ht="22" customHeight="1">
      <c r="B12" s="49" t="inlineStr">
        <is>
          <t>November</t>
        </is>
      </c>
      <c r="C12" s="10" t="inlineStr"/>
      <c r="D12" s="10" t="inlineStr"/>
      <c r="E12" s="36">
        <f>IFERROR(D12-C12,"")</f>
        <v/>
      </c>
      <c r="F12" s="10" t="inlineStr"/>
      <c r="G12" s="10">
        <f>IFERROR(E12-F12,"")</f>
        <v/>
      </c>
      <c r="H12" s="10" t="inlineStr"/>
      <c r="I12" s="10" t="inlineStr"/>
      <c r="J12" s="10">
        <f>IFERROR(ROUND(I12/E12,2),"")</f>
        <v/>
      </c>
      <c r="K12" s="36">
        <f>IFERROR(ROUND(G12*0.82,1),"")</f>
        <v/>
      </c>
      <c r="L12" s="10" t="inlineStr"/>
    </row>
    <row r="13" ht="22" customHeight="1">
      <c r="B13" s="18" t="inlineStr">
        <is>
          <t>December</t>
        </is>
      </c>
      <c r="C13" s="16" t="inlineStr"/>
      <c r="D13" s="16" t="inlineStr"/>
      <c r="E13" s="26">
        <f>IFERROR(D13-C13,"")</f>
        <v/>
      </c>
      <c r="F13" s="16" t="inlineStr"/>
      <c r="G13" s="16">
        <f>IFERROR(E13-F13,"")</f>
        <v/>
      </c>
      <c r="H13" s="16" t="inlineStr"/>
      <c r="I13" s="16" t="inlineStr"/>
      <c r="J13" s="16">
        <f>IFERROR(ROUND(I13/E13,2),"")</f>
        <v/>
      </c>
      <c r="K13" s="26">
        <f>IFERROR(ROUND(G13*0.82,1),"")</f>
        <v/>
      </c>
      <c r="L13" s="16" t="inlineStr"/>
    </row>
    <row r="14" ht="22" customHeight="1">
      <c r="B14" s="49" t="inlineStr">
        <is>
          <t>January</t>
        </is>
      </c>
      <c r="C14" s="10" t="inlineStr"/>
      <c r="D14" s="10" t="inlineStr"/>
      <c r="E14" s="36">
        <f>IFERROR(D14-C14,"")</f>
        <v/>
      </c>
      <c r="F14" s="10" t="inlineStr"/>
      <c r="G14" s="10">
        <f>IFERROR(E14-F14,"")</f>
        <v/>
      </c>
      <c r="H14" s="10" t="inlineStr"/>
      <c r="I14" s="10" t="inlineStr"/>
      <c r="J14" s="10">
        <f>IFERROR(ROUND(I14/E14,2),"")</f>
        <v/>
      </c>
      <c r="K14" s="36">
        <f>IFERROR(ROUND(G14*0.82,1),"")</f>
        <v/>
      </c>
      <c r="L14" s="10" t="inlineStr"/>
    </row>
    <row r="15" ht="22" customHeight="1">
      <c r="B15" s="18" t="inlineStr">
        <is>
          <t>February</t>
        </is>
      </c>
      <c r="C15" s="16" t="inlineStr"/>
      <c r="D15" s="16" t="inlineStr"/>
      <c r="E15" s="26">
        <f>IFERROR(D15-C15,"")</f>
        <v/>
      </c>
      <c r="F15" s="16" t="inlineStr"/>
      <c r="G15" s="16">
        <f>IFERROR(E15-F15,"")</f>
        <v/>
      </c>
      <c r="H15" s="16" t="inlineStr"/>
      <c r="I15" s="16" t="inlineStr"/>
      <c r="J15" s="16">
        <f>IFERROR(ROUND(I15/E15,2),"")</f>
        <v/>
      </c>
      <c r="K15" s="26">
        <f>IFERROR(ROUND(G15*0.82,1),"")</f>
        <v/>
      </c>
      <c r="L15" s="16" t="inlineStr"/>
    </row>
    <row r="16" ht="22" customHeight="1">
      <c r="B16" s="49" t="inlineStr">
        <is>
          <t>March</t>
        </is>
      </c>
      <c r="C16" s="10" t="inlineStr"/>
      <c r="D16" s="10" t="inlineStr"/>
      <c r="E16" s="36">
        <f>IFERROR(D16-C16,"")</f>
        <v/>
      </c>
      <c r="F16" s="10" t="inlineStr"/>
      <c r="G16" s="10">
        <f>IFERROR(E16-F16,"")</f>
        <v/>
      </c>
      <c r="H16" s="10" t="inlineStr"/>
      <c r="I16" s="10" t="inlineStr"/>
      <c r="J16" s="10">
        <f>IFERROR(ROUND(I16/E16,2),"")</f>
        <v/>
      </c>
      <c r="K16" s="36">
        <f>IFERROR(ROUND(G16*0.82,1),"")</f>
        <v/>
      </c>
      <c r="L16" s="10" t="inlineStr"/>
    </row>
    <row r="17" ht="22" customHeight="1"/>
    <row r="18" ht="26" customHeight="1">
      <c r="B18" s="50" t="inlineStr">
        <is>
          <t>ANNUAL TOTAL</t>
        </is>
      </c>
      <c r="C18" s="47" t="n"/>
      <c r="D18" s="47" t="n"/>
      <c r="E18" s="48">
        <f>IFERROR(SUM(E5:E16),"")</f>
        <v/>
      </c>
      <c r="F18" s="48">
        <f>IFERROR(SUM(F5:F16),"")</f>
        <v/>
      </c>
      <c r="G18" s="48">
        <f>IFERROR(SUM(G5:G16),"")</f>
        <v/>
      </c>
      <c r="H18" s="47" t="n"/>
      <c r="I18" s="48">
        <f>IFERROR(SUM(I5:I16),"")</f>
        <v/>
      </c>
      <c r="J18" s="47" t="n"/>
      <c r="K18" s="48">
        <f>IFERROR(SUM(K5:K16),"")</f>
        <v/>
      </c>
      <c r="L18" s="47" t="n"/>
    </row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</sheetData>
  <mergeCells count="2">
    <mergeCell ref="B2:L2"/>
    <mergeCell ref="B3:L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ENE-04: ENERGY SAVINGS &amp; CARBON OFFSET REGISTER</t>
        </is>
      </c>
    </row>
    <row r="3" ht="20" customHeight="1">
      <c r="B3" s="17" t="inlineStr">
        <is>
          <t>CO2 Offset = RE Generation (kWh) × Grid Emission Factor (0.82 kg CO2/kWh for India, 2024). Update emission factor annually from CEA report. Trees equivalent = CO2 Offset (kg) ÷ 21.77 kg CO2 absorbed per tree per year.</t>
        </is>
      </c>
    </row>
    <row r="4" ht="25" customHeight="1">
      <c r="B4" s="13" t="inlineStr">
        <is>
          <t>Month</t>
        </is>
      </c>
      <c r="C4" s="13" t="inlineStr">
        <is>
          <t>Solar
Gen.
(kWh)</t>
        </is>
      </c>
      <c r="D4" s="13" t="inlineStr">
        <is>
          <t>Other RE
Gen. (kWh)</t>
        </is>
      </c>
      <c r="E4" s="13" t="inlineStr">
        <is>
          <t>Total
RE Gen.
(kWh)</t>
        </is>
      </c>
      <c r="F4" s="13" t="inlineStr">
        <is>
          <t>Grid
Tariff
(₹/kWh)</t>
        </is>
      </c>
      <c r="G4" s="13" t="inlineStr">
        <is>
          <t>Cost
Saved
(₹)</t>
        </is>
      </c>
      <c r="H4" s="13" t="inlineStr">
        <is>
          <t>CO2
Offset
(kg)</t>
        </is>
      </c>
      <c r="I4" s="13" t="inlineStr">
        <is>
          <t>Trees
Equivalent</t>
        </is>
      </c>
      <c r="J4" s="13" t="inlineStr">
        <is>
          <t>Cumulative
CO2
Offset
(tonnes)</t>
        </is>
      </c>
      <c r="K4" s="13" t="inlineStr">
        <is>
          <t>Status</t>
        </is>
      </c>
    </row>
    <row r="5" ht="22" customHeight="1">
      <c r="B5" s="18" t="inlineStr">
        <is>
          <t>April</t>
        </is>
      </c>
      <c r="C5" s="16" t="inlineStr"/>
      <c r="D5" s="16" t="inlineStr"/>
      <c r="E5" s="26">
        <f>IFERROR(C5+D5,"")</f>
        <v/>
      </c>
      <c r="F5" s="16" t="inlineStr"/>
      <c r="G5" s="26">
        <f>IFERROR(ROUND(E5*F5,0),"")</f>
        <v/>
      </c>
      <c r="H5" s="26">
        <f>IFERROR(ROUND(E5*0.82,1),"")</f>
        <v/>
      </c>
      <c r="I5" s="16">
        <f>IFERROR(ROUND(H5/21.77,0),"")</f>
        <v/>
      </c>
      <c r="J5" s="16">
        <f>IFERROR(ROUND(SUM($H$5:H5)/1000,2),"")</f>
        <v/>
      </c>
      <c r="K5" s="16" t="inlineStr">
        <is>
          <t>Verified</t>
        </is>
      </c>
    </row>
    <row r="6" ht="22" customHeight="1">
      <c r="B6" s="49" t="inlineStr">
        <is>
          <t>May</t>
        </is>
      </c>
      <c r="C6" s="10" t="inlineStr"/>
      <c r="D6" s="10" t="inlineStr"/>
      <c r="E6" s="36">
        <f>IFERROR(C6+D6,"")</f>
        <v/>
      </c>
      <c r="F6" s="10" t="inlineStr"/>
      <c r="G6" s="36">
        <f>IFERROR(ROUND(E6*F6,0),"")</f>
        <v/>
      </c>
      <c r="H6" s="36">
        <f>IFERROR(ROUND(E6*0.82,1),"")</f>
        <v/>
      </c>
      <c r="I6" s="10">
        <f>IFERROR(ROUND(H6/21.77,0),"")</f>
        <v/>
      </c>
      <c r="J6" s="10">
        <f>IFERROR(ROUND(SUM($H$5:H6)/1000,2),"")</f>
        <v/>
      </c>
      <c r="K6" s="10" t="inlineStr">
        <is>
          <t>Verified</t>
        </is>
      </c>
    </row>
    <row r="7" ht="22" customHeight="1">
      <c r="B7" s="18" t="inlineStr">
        <is>
          <t>June</t>
        </is>
      </c>
      <c r="C7" s="16" t="inlineStr"/>
      <c r="D7" s="16" t="inlineStr"/>
      <c r="E7" s="26">
        <f>IFERROR(C7+D7,"")</f>
        <v/>
      </c>
      <c r="F7" s="16" t="inlineStr"/>
      <c r="G7" s="26">
        <f>IFERROR(ROUND(E7*F7,0),"")</f>
        <v/>
      </c>
      <c r="H7" s="26">
        <f>IFERROR(ROUND(E7*0.82,1),"")</f>
        <v/>
      </c>
      <c r="I7" s="16">
        <f>IFERROR(ROUND(H7/21.77,0),"")</f>
        <v/>
      </c>
      <c r="J7" s="16">
        <f>IFERROR(ROUND(SUM($H$5:H7)/1000,2),"")</f>
        <v/>
      </c>
      <c r="K7" s="16" t="inlineStr">
        <is>
          <t>Verified</t>
        </is>
      </c>
    </row>
    <row r="8" ht="22" customHeight="1">
      <c r="B8" s="49" t="inlineStr">
        <is>
          <t>July</t>
        </is>
      </c>
      <c r="C8" s="10" t="inlineStr"/>
      <c r="D8" s="10" t="inlineStr"/>
      <c r="E8" s="36">
        <f>IFERROR(C8+D8,"")</f>
        <v/>
      </c>
      <c r="F8" s="10" t="inlineStr"/>
      <c r="G8" s="36">
        <f>IFERROR(ROUND(E8*F8,0),"")</f>
        <v/>
      </c>
      <c r="H8" s="36">
        <f>IFERROR(ROUND(E8*0.82,1),"")</f>
        <v/>
      </c>
      <c r="I8" s="10">
        <f>IFERROR(ROUND(H8/21.77,0),"")</f>
        <v/>
      </c>
      <c r="J8" s="10">
        <f>IFERROR(ROUND(SUM($H$5:H8)/1000,2),"")</f>
        <v/>
      </c>
      <c r="K8" s="10" t="inlineStr">
        <is>
          <t>Verified</t>
        </is>
      </c>
    </row>
    <row r="9" ht="22" customHeight="1">
      <c r="B9" s="18" t="inlineStr">
        <is>
          <t>August</t>
        </is>
      </c>
      <c r="C9" s="16" t="inlineStr"/>
      <c r="D9" s="16" t="inlineStr"/>
      <c r="E9" s="26">
        <f>IFERROR(C9+D9,"")</f>
        <v/>
      </c>
      <c r="F9" s="16" t="inlineStr"/>
      <c r="G9" s="26">
        <f>IFERROR(ROUND(E9*F9,0),"")</f>
        <v/>
      </c>
      <c r="H9" s="26">
        <f>IFERROR(ROUND(E9*0.82,1),"")</f>
        <v/>
      </c>
      <c r="I9" s="16">
        <f>IFERROR(ROUND(H9/21.77,0),"")</f>
        <v/>
      </c>
      <c r="J9" s="16">
        <f>IFERROR(ROUND(SUM($H$5:H9)/1000,2),"")</f>
        <v/>
      </c>
      <c r="K9" s="16" t="inlineStr">
        <is>
          <t>Verified</t>
        </is>
      </c>
    </row>
    <row r="10" ht="22" customHeight="1">
      <c r="B10" s="49" t="inlineStr">
        <is>
          <t>September</t>
        </is>
      </c>
      <c r="C10" s="10" t="inlineStr"/>
      <c r="D10" s="10" t="inlineStr"/>
      <c r="E10" s="36">
        <f>IFERROR(C10+D10,"")</f>
        <v/>
      </c>
      <c r="F10" s="10" t="inlineStr"/>
      <c r="G10" s="36">
        <f>IFERROR(ROUND(E10*F10,0),"")</f>
        <v/>
      </c>
      <c r="H10" s="36">
        <f>IFERROR(ROUND(E10*0.82,1),"")</f>
        <v/>
      </c>
      <c r="I10" s="10">
        <f>IFERROR(ROUND(H10/21.77,0),"")</f>
        <v/>
      </c>
      <c r="J10" s="10">
        <f>IFERROR(ROUND(SUM($H$5:H10)/1000,2),"")</f>
        <v/>
      </c>
      <c r="K10" s="10" t="inlineStr">
        <is>
          <t>Verified</t>
        </is>
      </c>
    </row>
    <row r="11" ht="22" customHeight="1">
      <c r="B11" s="18" t="inlineStr">
        <is>
          <t>October</t>
        </is>
      </c>
      <c r="C11" s="16" t="inlineStr"/>
      <c r="D11" s="16" t="inlineStr"/>
      <c r="E11" s="26">
        <f>IFERROR(C11+D11,"")</f>
        <v/>
      </c>
      <c r="F11" s="16" t="inlineStr"/>
      <c r="G11" s="26">
        <f>IFERROR(ROUND(E11*F11,0),"")</f>
        <v/>
      </c>
      <c r="H11" s="26">
        <f>IFERROR(ROUND(E11*0.82,1),"")</f>
        <v/>
      </c>
      <c r="I11" s="16">
        <f>IFERROR(ROUND(H11/21.77,0),"")</f>
        <v/>
      </c>
      <c r="J11" s="16">
        <f>IFERROR(ROUND(SUM($H$5:H11)/1000,2),"")</f>
        <v/>
      </c>
      <c r="K11" s="16" t="inlineStr">
        <is>
          <t>Verified</t>
        </is>
      </c>
    </row>
    <row r="12" ht="22" customHeight="1">
      <c r="B12" s="49" t="inlineStr">
        <is>
          <t>November</t>
        </is>
      </c>
      <c r="C12" s="10" t="inlineStr"/>
      <c r="D12" s="10" t="inlineStr"/>
      <c r="E12" s="36">
        <f>IFERROR(C12+D12,"")</f>
        <v/>
      </c>
      <c r="F12" s="10" t="inlineStr"/>
      <c r="G12" s="36">
        <f>IFERROR(ROUND(E12*F12,0),"")</f>
        <v/>
      </c>
      <c r="H12" s="36">
        <f>IFERROR(ROUND(E12*0.82,1),"")</f>
        <v/>
      </c>
      <c r="I12" s="10">
        <f>IFERROR(ROUND(H12/21.77,0),"")</f>
        <v/>
      </c>
      <c r="J12" s="10">
        <f>IFERROR(ROUND(SUM($H$5:H12)/1000,2),"")</f>
        <v/>
      </c>
      <c r="K12" s="10" t="inlineStr">
        <is>
          <t>Verified</t>
        </is>
      </c>
    </row>
    <row r="13" ht="22" customHeight="1">
      <c r="B13" s="18" t="inlineStr">
        <is>
          <t>December</t>
        </is>
      </c>
      <c r="C13" s="16" t="inlineStr"/>
      <c r="D13" s="16" t="inlineStr"/>
      <c r="E13" s="26">
        <f>IFERROR(C13+D13,"")</f>
        <v/>
      </c>
      <c r="F13" s="16" t="inlineStr"/>
      <c r="G13" s="26">
        <f>IFERROR(ROUND(E13*F13,0),"")</f>
        <v/>
      </c>
      <c r="H13" s="26">
        <f>IFERROR(ROUND(E13*0.82,1),"")</f>
        <v/>
      </c>
      <c r="I13" s="16">
        <f>IFERROR(ROUND(H13/21.77,0),"")</f>
        <v/>
      </c>
      <c r="J13" s="16">
        <f>IFERROR(ROUND(SUM($H$5:H13)/1000,2),"")</f>
        <v/>
      </c>
      <c r="K13" s="16" t="inlineStr">
        <is>
          <t>Verified</t>
        </is>
      </c>
    </row>
    <row r="14" ht="22" customHeight="1">
      <c r="B14" s="49" t="inlineStr">
        <is>
          <t>January</t>
        </is>
      </c>
      <c r="C14" s="10" t="inlineStr"/>
      <c r="D14" s="10" t="inlineStr"/>
      <c r="E14" s="36">
        <f>IFERROR(C14+D14,"")</f>
        <v/>
      </c>
      <c r="F14" s="10" t="inlineStr"/>
      <c r="G14" s="36">
        <f>IFERROR(ROUND(E14*F14,0),"")</f>
        <v/>
      </c>
      <c r="H14" s="36">
        <f>IFERROR(ROUND(E14*0.82,1),"")</f>
        <v/>
      </c>
      <c r="I14" s="10">
        <f>IFERROR(ROUND(H14/21.77,0),"")</f>
        <v/>
      </c>
      <c r="J14" s="10">
        <f>IFERROR(ROUND(SUM($H$5:H14)/1000,2),"")</f>
        <v/>
      </c>
      <c r="K14" s="10" t="inlineStr">
        <is>
          <t>Verified</t>
        </is>
      </c>
    </row>
    <row r="15" ht="22" customHeight="1">
      <c r="B15" s="18" t="inlineStr">
        <is>
          <t>February</t>
        </is>
      </c>
      <c r="C15" s="16" t="inlineStr"/>
      <c r="D15" s="16" t="inlineStr"/>
      <c r="E15" s="26">
        <f>IFERROR(C15+D15,"")</f>
        <v/>
      </c>
      <c r="F15" s="16" t="inlineStr"/>
      <c r="G15" s="26">
        <f>IFERROR(ROUND(E15*F15,0),"")</f>
        <v/>
      </c>
      <c r="H15" s="26">
        <f>IFERROR(ROUND(E15*0.82,1),"")</f>
        <v/>
      </c>
      <c r="I15" s="16">
        <f>IFERROR(ROUND(H15/21.77,0),"")</f>
        <v/>
      </c>
      <c r="J15" s="16">
        <f>IFERROR(ROUND(SUM($H$5:H15)/1000,2),"")</f>
        <v/>
      </c>
      <c r="K15" s="16" t="inlineStr">
        <is>
          <t>Verified</t>
        </is>
      </c>
    </row>
    <row r="16" ht="22" customHeight="1">
      <c r="B16" s="49" t="inlineStr">
        <is>
          <t>March</t>
        </is>
      </c>
      <c r="C16" s="10" t="inlineStr"/>
      <c r="D16" s="10" t="inlineStr"/>
      <c r="E16" s="36">
        <f>IFERROR(C16+D16,"")</f>
        <v/>
      </c>
      <c r="F16" s="10" t="inlineStr"/>
      <c r="G16" s="36">
        <f>IFERROR(ROUND(E16*F16,0),"")</f>
        <v/>
      </c>
      <c r="H16" s="36">
        <f>IFERROR(ROUND(E16*0.82,1),"")</f>
        <v/>
      </c>
      <c r="I16" s="10">
        <f>IFERROR(ROUND(H16/21.77,0),"")</f>
        <v/>
      </c>
      <c r="J16" s="10">
        <f>IFERROR(ROUND(SUM($H$5:H16)/1000,2),"")</f>
        <v/>
      </c>
      <c r="K16" s="10" t="inlineStr">
        <is>
          <t>Verified</t>
        </is>
      </c>
    </row>
    <row r="17" ht="22" customHeight="1"/>
    <row r="18" ht="26" customHeight="1">
      <c r="B18" s="50" t="inlineStr">
        <is>
          <t>ANNUAL TOTAL</t>
        </is>
      </c>
      <c r="C18" s="48">
        <f>IFERROR(SUM(C5:C16),"")</f>
        <v/>
      </c>
      <c r="D18" s="48">
        <f>IFERROR(SUM(D5:D16),"")</f>
        <v/>
      </c>
      <c r="E18" s="48">
        <f>IFERROR(SUM(E5:E16),"")</f>
        <v/>
      </c>
      <c r="F18" s="47" t="n"/>
      <c r="G18" s="48">
        <f>IFERROR(SUM(G5:G16),"")</f>
        <v/>
      </c>
      <c r="H18" s="48">
        <f>IFERROR(SUM(H5:H16),"")</f>
        <v/>
      </c>
      <c r="I18" s="48">
        <f>IFERROR(SUM(I5:I16),"")</f>
        <v/>
      </c>
      <c r="J18" s="47" t="n"/>
      <c r="K18" s="47" t="n"/>
    </row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</sheetData>
  <mergeCells count="2">
    <mergeCell ref="B3:K3"/>
    <mergeCell ref="B2: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ENE-02: BUILDING / DEPARTMENT ENERGY AUDIT REGISTER</t>
        </is>
      </c>
    </row>
    <row r="3" ht="20" customHeight="1">
      <c r="B3" s="2" t="inlineStr">
        <is>
          <t>A.Y.: _______  Energy Auditor: ___________________  Audit Period: _______  Standard: BEE / ISO 50001</t>
        </is>
      </c>
    </row>
    <row r="4" ht="25" customHeight="1">
      <c r="B4" s="13" t="inlineStr">
        <is>
          <t>Audit
Ref.</t>
        </is>
      </c>
      <c r="C4" s="13" t="inlineStr">
        <is>
          <t>Building /
Department</t>
        </is>
      </c>
      <c r="D4" s="13" t="inlineStr">
        <is>
          <t>Floor
Area (m²)</t>
        </is>
      </c>
      <c r="E4" s="13" t="inlineStr">
        <is>
          <t>Annual
Consumption
(kWh)</t>
        </is>
      </c>
      <c r="F4" s="13" t="inlineStr">
        <is>
          <t>EPI
(kWh/m²)</t>
        </is>
      </c>
      <c r="G4" s="13" t="inlineStr">
        <is>
          <t>Lighting
Load (kW)</t>
        </is>
      </c>
      <c r="H4" s="13" t="inlineStr">
        <is>
          <t>HVAC
Load (kW)</t>
        </is>
      </c>
      <c r="I4" s="13" t="inlineStr">
        <is>
          <t>Equipment
Load (kW)</t>
        </is>
      </c>
      <c r="J4" s="13" t="inlineStr">
        <is>
          <t>Key
Recommendations</t>
        </is>
      </c>
    </row>
    <row r="5" ht="24" customHeight="1">
      <c r="B5" s="14" t="inlineStr">
        <is>
          <t>AUD/001</t>
        </is>
      </c>
      <c r="C5" s="15" t="inlineStr">
        <is>
          <t>Academic Block A</t>
        </is>
      </c>
      <c r="D5" s="16" t="inlineStr"/>
      <c r="E5" s="16" t="inlineStr"/>
      <c r="F5" s="26">
        <f>IFERROR(ROUND(E5/D5,1),"")</f>
        <v/>
      </c>
      <c r="G5" s="16" t="inlineStr"/>
      <c r="H5" s="16" t="inlineStr"/>
      <c r="I5" s="16" t="inlineStr"/>
      <c r="J5" s="15" t="inlineStr"/>
    </row>
    <row r="6" ht="24" customHeight="1">
      <c r="B6" s="8" t="inlineStr">
        <is>
          <t>AUD/002</t>
        </is>
      </c>
      <c r="C6" s="9" t="inlineStr">
        <is>
          <t>Academic Block B</t>
        </is>
      </c>
      <c r="D6" s="10" t="inlineStr"/>
      <c r="E6" s="10" t="inlineStr"/>
      <c r="F6" s="36">
        <f>IFERROR(ROUND(E6/D6,1),"")</f>
        <v/>
      </c>
      <c r="G6" s="10" t="inlineStr"/>
      <c r="H6" s="10" t="inlineStr"/>
      <c r="I6" s="10" t="inlineStr"/>
      <c r="J6" s="9" t="inlineStr"/>
    </row>
    <row r="7" ht="24" customHeight="1">
      <c r="B7" s="14" t="inlineStr">
        <is>
          <t>AUD/003</t>
        </is>
      </c>
      <c r="C7" s="15" t="inlineStr">
        <is>
          <t>Laboratory Block</t>
        </is>
      </c>
      <c r="D7" s="16" t="inlineStr"/>
      <c r="E7" s="16" t="inlineStr"/>
      <c r="F7" s="26">
        <f>IFERROR(ROUND(E7/D7,1),"")</f>
        <v/>
      </c>
      <c r="G7" s="16" t="inlineStr"/>
      <c r="H7" s="16" t="inlineStr"/>
      <c r="I7" s="16" t="inlineStr"/>
      <c r="J7" s="15" t="inlineStr"/>
    </row>
    <row r="8" ht="24" customHeight="1">
      <c r="B8" s="8" t="inlineStr">
        <is>
          <t>AUD/004</t>
        </is>
      </c>
      <c r="C8" s="9" t="inlineStr">
        <is>
          <t>Library</t>
        </is>
      </c>
      <c r="D8" s="10" t="inlineStr"/>
      <c r="E8" s="10" t="inlineStr"/>
      <c r="F8" s="36">
        <f>IFERROR(ROUND(E8/D8,1),"")</f>
        <v/>
      </c>
      <c r="G8" s="10" t="inlineStr"/>
      <c r="H8" s="10" t="inlineStr"/>
      <c r="I8" s="10" t="inlineStr"/>
      <c r="J8" s="9" t="inlineStr"/>
    </row>
    <row r="9" ht="24" customHeight="1">
      <c r="B9" s="14" t="inlineStr">
        <is>
          <t>AUD/005</t>
        </is>
      </c>
      <c r="C9" s="15" t="inlineStr">
        <is>
          <t>Administrative Block</t>
        </is>
      </c>
      <c r="D9" s="16" t="inlineStr"/>
      <c r="E9" s="16" t="inlineStr"/>
      <c r="F9" s="26">
        <f>IFERROR(ROUND(E9/D9,1),"")</f>
        <v/>
      </c>
      <c r="G9" s="16" t="inlineStr"/>
      <c r="H9" s="16" t="inlineStr"/>
      <c r="I9" s="16" t="inlineStr"/>
      <c r="J9" s="15" t="inlineStr"/>
    </row>
    <row r="10" ht="24" customHeight="1">
      <c r="B10" s="8" t="inlineStr">
        <is>
          <t>AUD/006</t>
        </is>
      </c>
      <c r="C10" s="9" t="inlineStr">
        <is>
          <t>Canteen &amp; Kitchen</t>
        </is>
      </c>
      <c r="D10" s="10" t="inlineStr"/>
      <c r="E10" s="10" t="inlineStr"/>
      <c r="F10" s="36">
        <f>IFERROR(ROUND(E10/D10,1),"")</f>
        <v/>
      </c>
      <c r="G10" s="10" t="inlineStr"/>
      <c r="H10" s="10" t="inlineStr"/>
      <c r="I10" s="10" t="inlineStr"/>
      <c r="J10" s="9" t="inlineStr"/>
    </row>
    <row r="11" ht="24" customHeight="1">
      <c r="B11" s="14" t="inlineStr">
        <is>
          <t>AUD/007</t>
        </is>
      </c>
      <c r="C11" s="15" t="inlineStr">
        <is>
          <t>Hostels — Boys</t>
        </is>
      </c>
      <c r="D11" s="16" t="inlineStr"/>
      <c r="E11" s="16" t="inlineStr"/>
      <c r="F11" s="26">
        <f>IFERROR(ROUND(E11/D11,1),"")</f>
        <v/>
      </c>
      <c r="G11" s="16" t="inlineStr"/>
      <c r="H11" s="16" t="inlineStr"/>
      <c r="I11" s="16" t="inlineStr"/>
      <c r="J11" s="15" t="inlineStr"/>
    </row>
    <row r="12" ht="24" customHeight="1">
      <c r="B12" s="8" t="inlineStr">
        <is>
          <t>AUD/008</t>
        </is>
      </c>
      <c r="C12" s="9" t="inlineStr">
        <is>
          <t>Hostels — Girls</t>
        </is>
      </c>
      <c r="D12" s="10" t="inlineStr"/>
      <c r="E12" s="10" t="inlineStr"/>
      <c r="F12" s="36">
        <f>IFERROR(ROUND(E12/D12,1),"")</f>
        <v/>
      </c>
      <c r="G12" s="10" t="inlineStr"/>
      <c r="H12" s="10" t="inlineStr"/>
      <c r="I12" s="10" t="inlineStr"/>
      <c r="J12" s="9" t="inlineStr"/>
    </row>
    <row r="13" ht="24" customHeight="1">
      <c r="B13" s="14" t="inlineStr">
        <is>
          <t>AUD/009</t>
        </is>
      </c>
      <c r="C13" s="15" t="inlineStr">
        <is>
          <t>Sports Complex</t>
        </is>
      </c>
      <c r="D13" s="16" t="inlineStr"/>
      <c r="E13" s="16" t="inlineStr"/>
      <c r="F13" s="26">
        <f>IFERROR(ROUND(E13/D13,1),"")</f>
        <v/>
      </c>
      <c r="G13" s="16" t="inlineStr"/>
      <c r="H13" s="16" t="inlineStr"/>
      <c r="I13" s="16" t="inlineStr"/>
      <c r="J13" s="15" t="inlineStr"/>
    </row>
    <row r="14" ht="24" customHeight="1">
      <c r="B14" s="8" t="inlineStr">
        <is>
          <t>AUD/010</t>
        </is>
      </c>
      <c r="C14" s="9" t="inlineStr">
        <is>
          <t>Workshop / Fabrication</t>
        </is>
      </c>
      <c r="D14" s="10" t="inlineStr"/>
      <c r="E14" s="10" t="inlineStr"/>
      <c r="F14" s="36">
        <f>IFERROR(ROUND(E14/D14,1),"")</f>
        <v/>
      </c>
      <c r="G14" s="10" t="inlineStr"/>
      <c r="H14" s="10" t="inlineStr"/>
      <c r="I14" s="10" t="inlineStr"/>
      <c r="J14" s="9" t="inlineStr"/>
    </row>
    <row r="15" ht="24" customHeight="1">
      <c r="B15" s="14" t="inlineStr">
        <is>
          <t>AUD/011</t>
        </is>
      </c>
      <c r="C15" s="15" t="inlineStr">
        <is>
          <t>Computer Labs</t>
        </is>
      </c>
      <c r="D15" s="16" t="inlineStr"/>
      <c r="E15" s="16" t="inlineStr"/>
      <c r="F15" s="26">
        <f>IFERROR(ROUND(E15/D15,1),"")</f>
        <v/>
      </c>
      <c r="G15" s="16" t="inlineStr"/>
      <c r="H15" s="16" t="inlineStr"/>
      <c r="I15" s="16" t="inlineStr"/>
      <c r="J15" s="15" t="inlineStr"/>
    </row>
    <row r="16" ht="24" customHeight="1">
      <c r="B16" s="8" t="inlineStr">
        <is>
          <t>AUD/012</t>
        </is>
      </c>
      <c r="C16" s="9" t="inlineStr">
        <is>
          <t>Auditorium</t>
        </is>
      </c>
      <c r="D16" s="10" t="inlineStr"/>
      <c r="E16" s="10" t="inlineStr"/>
      <c r="F16" s="36">
        <f>IFERROR(ROUND(E16/D16,1),"")</f>
        <v/>
      </c>
      <c r="G16" s="10" t="inlineStr"/>
      <c r="H16" s="10" t="inlineStr"/>
      <c r="I16" s="10" t="inlineStr"/>
      <c r="J16" s="9" t="inlineStr"/>
    </row>
    <row r="17" ht="24" customHeight="1">
      <c r="B17" s="14" t="inlineStr">
        <is>
          <t>AUD/013</t>
        </is>
      </c>
      <c r="C17" s="15" t="inlineStr">
        <is>
          <t>Principal's Block</t>
        </is>
      </c>
      <c r="D17" s="16" t="inlineStr"/>
      <c r="E17" s="16" t="inlineStr"/>
      <c r="F17" s="26">
        <f>IFERROR(ROUND(E17/D17,1),"")</f>
        <v/>
      </c>
      <c r="G17" s="16" t="inlineStr"/>
      <c r="H17" s="16" t="inlineStr"/>
      <c r="I17" s="16" t="inlineStr"/>
      <c r="J17" s="15" t="inlineStr"/>
    </row>
    <row r="18" ht="24" customHeight="1">
      <c r="B18" s="8" t="inlineStr">
        <is>
          <t>AUD/014</t>
        </is>
      </c>
      <c r="C18" s="9" t="inlineStr">
        <is>
          <t>Security &amp; Utilities</t>
        </is>
      </c>
      <c r="D18" s="10" t="inlineStr"/>
      <c r="E18" s="10" t="inlineStr"/>
      <c r="F18" s="36">
        <f>IFERROR(ROUND(E18/D18,1),"")</f>
        <v/>
      </c>
      <c r="G18" s="10" t="inlineStr"/>
      <c r="H18" s="10" t="inlineStr"/>
      <c r="I18" s="10" t="inlineStr"/>
      <c r="J18" s="9" t="inlineStr"/>
    </row>
    <row r="19" ht="24" customHeight="1">
      <c r="B19" s="14" t="inlineStr">
        <is>
          <t>AUD/015</t>
        </is>
      </c>
      <c r="C19" s="15" t="inlineStr">
        <is>
          <t>Academic Block A</t>
        </is>
      </c>
      <c r="D19" s="16" t="inlineStr"/>
      <c r="E19" s="16" t="inlineStr"/>
      <c r="F19" s="26">
        <f>IFERROR(ROUND(E19/D19,1),"")</f>
        <v/>
      </c>
      <c r="G19" s="16" t="inlineStr"/>
      <c r="H19" s="16" t="inlineStr"/>
      <c r="I19" s="16" t="inlineStr"/>
      <c r="J19" s="15" t="inlineStr"/>
    </row>
    <row r="20" ht="24" customHeight="1">
      <c r="B20" s="8" t="inlineStr">
        <is>
          <t>AUD/016</t>
        </is>
      </c>
      <c r="C20" s="9" t="inlineStr">
        <is>
          <t>Academic Block B</t>
        </is>
      </c>
      <c r="D20" s="10" t="inlineStr"/>
      <c r="E20" s="10" t="inlineStr"/>
      <c r="F20" s="36">
        <f>IFERROR(ROUND(E20/D20,1),"")</f>
        <v/>
      </c>
      <c r="G20" s="10" t="inlineStr"/>
      <c r="H20" s="10" t="inlineStr"/>
      <c r="I20" s="10" t="inlineStr"/>
      <c r="J20" s="9" t="inlineStr"/>
    </row>
    <row r="21" ht="24" customHeight="1">
      <c r="B21" s="14" t="inlineStr">
        <is>
          <t>AUD/017</t>
        </is>
      </c>
      <c r="C21" s="15" t="inlineStr">
        <is>
          <t>Laboratory Block</t>
        </is>
      </c>
      <c r="D21" s="16" t="inlineStr"/>
      <c r="E21" s="16" t="inlineStr"/>
      <c r="F21" s="26">
        <f>IFERROR(ROUND(E21/D21,1),"")</f>
        <v/>
      </c>
      <c r="G21" s="16" t="inlineStr"/>
      <c r="H21" s="16" t="inlineStr"/>
      <c r="I21" s="16" t="inlineStr"/>
      <c r="J21" s="15" t="inlineStr"/>
    </row>
    <row r="22" ht="24" customHeight="1">
      <c r="B22" s="8" t="inlineStr">
        <is>
          <t>AUD/018</t>
        </is>
      </c>
      <c r="C22" s="9" t="inlineStr">
        <is>
          <t>Library</t>
        </is>
      </c>
      <c r="D22" s="10" t="inlineStr"/>
      <c r="E22" s="10" t="inlineStr"/>
      <c r="F22" s="36">
        <f>IFERROR(ROUND(E22/D22,1),"")</f>
        <v/>
      </c>
      <c r="G22" s="10" t="inlineStr"/>
      <c r="H22" s="10" t="inlineStr"/>
      <c r="I22" s="10" t="inlineStr"/>
      <c r="J22" s="9" t="inlineStr"/>
    </row>
    <row r="23" ht="24" customHeight="1">
      <c r="B23" s="14" t="inlineStr">
        <is>
          <t>AUD/019</t>
        </is>
      </c>
      <c r="C23" s="15" t="inlineStr">
        <is>
          <t>Administrative Block</t>
        </is>
      </c>
      <c r="D23" s="16" t="inlineStr"/>
      <c r="E23" s="16" t="inlineStr"/>
      <c r="F23" s="26">
        <f>IFERROR(ROUND(E23/D23,1),"")</f>
        <v/>
      </c>
      <c r="G23" s="16" t="inlineStr"/>
      <c r="H23" s="16" t="inlineStr"/>
      <c r="I23" s="16" t="inlineStr"/>
      <c r="J23" s="15" t="inlineStr"/>
    </row>
    <row r="24" ht="24" customHeight="1">
      <c r="B24" s="8" t="inlineStr">
        <is>
          <t>AUD/020</t>
        </is>
      </c>
      <c r="C24" s="9" t="inlineStr">
        <is>
          <t>Canteen &amp; Kitchen</t>
        </is>
      </c>
      <c r="D24" s="10" t="inlineStr"/>
      <c r="E24" s="10" t="inlineStr"/>
      <c r="F24" s="36">
        <f>IFERROR(ROUND(E24/D24,1),"")</f>
        <v/>
      </c>
      <c r="G24" s="10" t="inlineStr"/>
      <c r="H24" s="10" t="inlineStr"/>
      <c r="I24" s="10" t="inlineStr"/>
      <c r="J24" s="9" t="inlineStr"/>
    </row>
    <row r="25" ht="24" customHeight="1"/>
    <row r="26" ht="24" customHeight="1">
      <c r="B26" s="34" t="inlineStr">
        <is>
          <t>ENERGY AUDIT SUMMARY</t>
        </is>
      </c>
    </row>
    <row r="27" ht="24" customHeight="1">
      <c r="B27" s="51" t="inlineStr">
        <is>
          <t>Buildings / Depts Audited</t>
        </is>
      </c>
      <c r="F27" s="26">
        <f>COUNTA(B5:B24)</f>
        <v/>
      </c>
    </row>
    <row r="28" ht="24" customHeight="1">
      <c r="B28" s="25" t="inlineStr">
        <is>
          <t>Total Campus Area Audited (m²)</t>
        </is>
      </c>
      <c r="F28" s="36">
        <f>IFERROR(SUM(D5:D24),"")</f>
        <v/>
      </c>
    </row>
    <row r="29" ht="24" customHeight="1">
      <c r="B29" s="51" t="inlineStr">
        <is>
          <t>Total Annual Consumption (kWh)</t>
        </is>
      </c>
      <c r="F29" s="26">
        <f>IFERROR(SUM(E5:E24),"")</f>
        <v/>
      </c>
    </row>
    <row r="30">
      <c r="B30" s="25" t="inlineStr">
        <is>
          <t>Campus Average EPI (kWh/m²)</t>
        </is>
      </c>
      <c r="F30" s="36">
        <f>IFERROR(ROUND(AVERAGE(F5:F24),1),"")</f>
        <v/>
      </c>
    </row>
    <row r="31">
      <c r="B31" s="51" t="inlineStr">
        <is>
          <t>Highest EPI Building (least efficient)</t>
        </is>
      </c>
      <c r="F31" s="26">
        <f>IFERROR(MAX(F5:F24),"")</f>
        <v/>
      </c>
    </row>
    <row r="32">
      <c r="B32" s="25" t="inlineStr">
        <is>
          <t>Recommended Savings Potential (%)</t>
        </is>
      </c>
      <c r="F32" s="36" t="inlineStr"/>
    </row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37" t="inlineStr">
        <is>
          <t>FIN-02: ENERGY COST SAVINGS REGISTER — RENEWABLE ENERGY</t>
        </is>
      </c>
    </row>
    <row r="3" ht="20" customHeight="1">
      <c r="B3" s="38" t="inlineStr">
        <is>
          <t>A.Y.: _______  Finance Officer: ___________________  REC Coordinator: ___________________</t>
        </is>
      </c>
    </row>
    <row r="4" ht="25" customHeight="1">
      <c r="B4" s="39" t="inlineStr">
        <is>
          <t>Month</t>
        </is>
      </c>
      <c r="C4" s="39" t="inlineStr">
        <is>
          <t>RE
Generation
(kWh)</t>
        </is>
      </c>
      <c r="D4" s="39" t="inlineStr">
        <is>
          <t>Grid
Tariff
(₹/kWh)</t>
        </is>
      </c>
      <c r="E4" s="39" t="inlineStr">
        <is>
          <t>Gross
Savings (₹)</t>
        </is>
      </c>
      <c r="F4" s="39" t="inlineStr">
        <is>
          <t>O&amp;M
Cost (₹)</t>
        </is>
      </c>
      <c r="G4" s="39" t="inlineStr">
        <is>
          <t>Net
Savings (₹)</t>
        </is>
      </c>
      <c r="H4" s="39" t="inlineStr">
        <is>
          <t>Net
Metering
Credit (₹)</t>
        </is>
      </c>
      <c r="I4" s="39" t="inlineStr">
        <is>
          <t>Total
Benefit (₹)</t>
        </is>
      </c>
      <c r="J4" s="39" t="inlineStr">
        <is>
          <t>Cumulative
Savings (₹)</t>
        </is>
      </c>
      <c r="K4" s="39" t="inlineStr">
        <is>
          <t>Notes</t>
        </is>
      </c>
    </row>
    <row r="5" ht="22" customHeight="1">
      <c r="B5" s="44" t="inlineStr">
        <is>
          <t>April</t>
        </is>
      </c>
      <c r="C5" s="22" t="inlineStr"/>
      <c r="D5" s="22" t="inlineStr"/>
      <c r="E5" s="22">
        <f>IFERROR(ROUND(C5*D5,0),"")</f>
        <v/>
      </c>
      <c r="F5" s="22" t="inlineStr"/>
      <c r="G5" s="42">
        <f>IFERROR(E5-F5,"")</f>
        <v/>
      </c>
      <c r="H5" s="22" t="inlineStr"/>
      <c r="I5" s="42">
        <f>IFERROR(G5+H5,"")</f>
        <v/>
      </c>
      <c r="J5" s="22">
        <f>IFERROR(SUM($I$5:I5),"")</f>
        <v/>
      </c>
      <c r="K5" s="41" t="inlineStr"/>
    </row>
    <row r="6" ht="22" customHeight="1">
      <c r="B6" s="45" t="inlineStr">
        <is>
          <t>May</t>
        </is>
      </c>
      <c r="C6" s="10" t="inlineStr"/>
      <c r="D6" s="10" t="inlineStr"/>
      <c r="E6" s="10">
        <f>IFERROR(ROUND(C6*D6,0),"")</f>
        <v/>
      </c>
      <c r="F6" s="10" t="inlineStr"/>
      <c r="G6" s="43">
        <f>IFERROR(E6-F6,"")</f>
        <v/>
      </c>
      <c r="H6" s="10" t="inlineStr"/>
      <c r="I6" s="43">
        <f>IFERROR(G6+H6,"")</f>
        <v/>
      </c>
      <c r="J6" s="10">
        <f>IFERROR(SUM($I$5:I6),"")</f>
        <v/>
      </c>
      <c r="K6" s="9" t="inlineStr"/>
    </row>
    <row r="7" ht="22" customHeight="1">
      <c r="B7" s="44" t="inlineStr">
        <is>
          <t>June</t>
        </is>
      </c>
      <c r="C7" s="22" t="inlineStr"/>
      <c r="D7" s="22" t="inlineStr"/>
      <c r="E7" s="22">
        <f>IFERROR(ROUND(C7*D7,0),"")</f>
        <v/>
      </c>
      <c r="F7" s="22" t="inlineStr"/>
      <c r="G7" s="42">
        <f>IFERROR(E7-F7,"")</f>
        <v/>
      </c>
      <c r="H7" s="22" t="inlineStr"/>
      <c r="I7" s="42">
        <f>IFERROR(G7+H7,"")</f>
        <v/>
      </c>
      <c r="J7" s="22">
        <f>IFERROR(SUM($I$5:I7),"")</f>
        <v/>
      </c>
      <c r="K7" s="41" t="inlineStr"/>
    </row>
    <row r="8" ht="22" customHeight="1">
      <c r="B8" s="45" t="inlineStr">
        <is>
          <t>July</t>
        </is>
      </c>
      <c r="C8" s="10" t="inlineStr"/>
      <c r="D8" s="10" t="inlineStr"/>
      <c r="E8" s="10">
        <f>IFERROR(ROUND(C8*D8,0),"")</f>
        <v/>
      </c>
      <c r="F8" s="10" t="inlineStr"/>
      <c r="G8" s="43">
        <f>IFERROR(E8-F8,"")</f>
        <v/>
      </c>
      <c r="H8" s="10" t="inlineStr"/>
      <c r="I8" s="43">
        <f>IFERROR(G8+H8,"")</f>
        <v/>
      </c>
      <c r="J8" s="10">
        <f>IFERROR(SUM($I$5:I8),"")</f>
        <v/>
      </c>
      <c r="K8" s="9" t="inlineStr"/>
    </row>
    <row r="9" ht="22" customHeight="1">
      <c r="B9" s="44" t="inlineStr">
        <is>
          <t>August</t>
        </is>
      </c>
      <c r="C9" s="22" t="inlineStr"/>
      <c r="D9" s="22" t="inlineStr"/>
      <c r="E9" s="22">
        <f>IFERROR(ROUND(C9*D9,0),"")</f>
        <v/>
      </c>
      <c r="F9" s="22" t="inlineStr"/>
      <c r="G9" s="42">
        <f>IFERROR(E9-F9,"")</f>
        <v/>
      </c>
      <c r="H9" s="22" t="inlineStr"/>
      <c r="I9" s="42">
        <f>IFERROR(G9+H9,"")</f>
        <v/>
      </c>
      <c r="J9" s="22">
        <f>IFERROR(SUM($I$5:I9),"")</f>
        <v/>
      </c>
      <c r="K9" s="41" t="inlineStr"/>
    </row>
    <row r="10" ht="22" customHeight="1">
      <c r="B10" s="45" t="inlineStr">
        <is>
          <t>September</t>
        </is>
      </c>
      <c r="C10" s="10" t="inlineStr"/>
      <c r="D10" s="10" t="inlineStr"/>
      <c r="E10" s="10">
        <f>IFERROR(ROUND(C10*D10,0),"")</f>
        <v/>
      </c>
      <c r="F10" s="10" t="inlineStr"/>
      <c r="G10" s="43">
        <f>IFERROR(E10-F10,"")</f>
        <v/>
      </c>
      <c r="H10" s="10" t="inlineStr"/>
      <c r="I10" s="43">
        <f>IFERROR(G10+H10,"")</f>
        <v/>
      </c>
      <c r="J10" s="10">
        <f>IFERROR(SUM($I$5:I10),"")</f>
        <v/>
      </c>
      <c r="K10" s="9" t="inlineStr"/>
    </row>
    <row r="11" ht="22" customHeight="1">
      <c r="B11" s="44" t="inlineStr">
        <is>
          <t>October</t>
        </is>
      </c>
      <c r="C11" s="22" t="inlineStr"/>
      <c r="D11" s="22" t="inlineStr"/>
      <c r="E11" s="22">
        <f>IFERROR(ROUND(C11*D11,0),"")</f>
        <v/>
      </c>
      <c r="F11" s="22" t="inlineStr"/>
      <c r="G11" s="42">
        <f>IFERROR(E11-F11,"")</f>
        <v/>
      </c>
      <c r="H11" s="22" t="inlineStr"/>
      <c r="I11" s="42">
        <f>IFERROR(G11+H11,"")</f>
        <v/>
      </c>
      <c r="J11" s="22">
        <f>IFERROR(SUM($I$5:I11),"")</f>
        <v/>
      </c>
      <c r="K11" s="41" t="inlineStr"/>
    </row>
    <row r="12" ht="22" customHeight="1">
      <c r="B12" s="45" t="inlineStr">
        <is>
          <t>November</t>
        </is>
      </c>
      <c r="C12" s="10" t="inlineStr"/>
      <c r="D12" s="10" t="inlineStr"/>
      <c r="E12" s="10">
        <f>IFERROR(ROUND(C12*D12,0),"")</f>
        <v/>
      </c>
      <c r="F12" s="10" t="inlineStr"/>
      <c r="G12" s="43">
        <f>IFERROR(E12-F12,"")</f>
        <v/>
      </c>
      <c r="H12" s="10" t="inlineStr"/>
      <c r="I12" s="43">
        <f>IFERROR(G12+H12,"")</f>
        <v/>
      </c>
      <c r="J12" s="10">
        <f>IFERROR(SUM($I$5:I12),"")</f>
        <v/>
      </c>
      <c r="K12" s="9" t="inlineStr"/>
    </row>
    <row r="13" ht="22" customHeight="1">
      <c r="B13" s="44" t="inlineStr">
        <is>
          <t>December</t>
        </is>
      </c>
      <c r="C13" s="22" t="inlineStr"/>
      <c r="D13" s="22" t="inlineStr"/>
      <c r="E13" s="22">
        <f>IFERROR(ROUND(C13*D13,0),"")</f>
        <v/>
      </c>
      <c r="F13" s="22" t="inlineStr"/>
      <c r="G13" s="42">
        <f>IFERROR(E13-F13,"")</f>
        <v/>
      </c>
      <c r="H13" s="22" t="inlineStr"/>
      <c r="I13" s="42">
        <f>IFERROR(G13+H13,"")</f>
        <v/>
      </c>
      <c r="J13" s="22">
        <f>IFERROR(SUM($I$5:I13),"")</f>
        <v/>
      </c>
      <c r="K13" s="41" t="inlineStr"/>
    </row>
    <row r="14" ht="22" customHeight="1">
      <c r="B14" s="45" t="inlineStr">
        <is>
          <t>January</t>
        </is>
      </c>
      <c r="C14" s="10" t="inlineStr"/>
      <c r="D14" s="10" t="inlineStr"/>
      <c r="E14" s="10">
        <f>IFERROR(ROUND(C14*D14,0),"")</f>
        <v/>
      </c>
      <c r="F14" s="10" t="inlineStr"/>
      <c r="G14" s="43">
        <f>IFERROR(E14-F14,"")</f>
        <v/>
      </c>
      <c r="H14" s="10" t="inlineStr"/>
      <c r="I14" s="43">
        <f>IFERROR(G14+H14,"")</f>
        <v/>
      </c>
      <c r="J14" s="10">
        <f>IFERROR(SUM($I$5:I14),"")</f>
        <v/>
      </c>
      <c r="K14" s="9" t="inlineStr"/>
    </row>
    <row r="15" ht="22" customHeight="1">
      <c r="B15" s="44" t="inlineStr">
        <is>
          <t>February</t>
        </is>
      </c>
      <c r="C15" s="22" t="inlineStr"/>
      <c r="D15" s="22" t="inlineStr"/>
      <c r="E15" s="22">
        <f>IFERROR(ROUND(C15*D15,0),"")</f>
        <v/>
      </c>
      <c r="F15" s="22" t="inlineStr"/>
      <c r="G15" s="42">
        <f>IFERROR(E15-F15,"")</f>
        <v/>
      </c>
      <c r="H15" s="22" t="inlineStr"/>
      <c r="I15" s="42">
        <f>IFERROR(G15+H15,"")</f>
        <v/>
      </c>
      <c r="J15" s="22">
        <f>IFERROR(SUM($I$5:I15),"")</f>
        <v/>
      </c>
      <c r="K15" s="41" t="inlineStr"/>
    </row>
    <row r="16" ht="22" customHeight="1">
      <c r="B16" s="45" t="inlineStr">
        <is>
          <t>March</t>
        </is>
      </c>
      <c r="C16" s="10" t="inlineStr"/>
      <c r="D16" s="10" t="inlineStr"/>
      <c r="E16" s="10">
        <f>IFERROR(ROUND(C16*D16,0),"")</f>
        <v/>
      </c>
      <c r="F16" s="10" t="inlineStr"/>
      <c r="G16" s="43">
        <f>IFERROR(E16-F16,"")</f>
        <v/>
      </c>
      <c r="H16" s="10" t="inlineStr"/>
      <c r="I16" s="43">
        <f>IFERROR(G16+H16,"")</f>
        <v/>
      </c>
      <c r="J16" s="10">
        <f>IFERROR(SUM($I$5:I16),"")</f>
        <v/>
      </c>
      <c r="K16" s="9" t="inlineStr"/>
    </row>
    <row r="17" ht="22" customHeight="1"/>
    <row r="18" ht="26" customHeight="1">
      <c r="B18" s="46" t="inlineStr">
        <is>
          <t>ANNUAL TOTAL</t>
        </is>
      </c>
      <c r="C18" s="48">
        <f>IFERROR(SUM(C5:C16),"")</f>
        <v/>
      </c>
      <c r="D18" s="47" t="n"/>
      <c r="E18" s="48">
        <f>IFERROR(SUM(E5:E16),"")</f>
        <v/>
      </c>
      <c r="F18" s="48">
        <f>IFERROR(SUM(F5:F16),"")</f>
        <v/>
      </c>
      <c r="G18" s="48">
        <f>IFERROR(SUM(G5:G16),"")</f>
        <v/>
      </c>
      <c r="H18" s="48">
        <f>IFERROR(SUM(H5:H16),"")</f>
        <v/>
      </c>
      <c r="I18" s="48">
        <f>IFERROR(SUM(I5:I16),"")</f>
        <v/>
      </c>
      <c r="J18" s="47" t="n"/>
      <c r="K18" s="47" t="n"/>
    </row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</sheetData>
  <mergeCells count="2"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GC-01: GREEN CAMPUS CERTIFICATION &amp; COMPLIANCE REGISTER</t>
        </is>
      </c>
    </row>
    <row r="3" ht="20" customHeight="1">
      <c r="B3" s="2" t="inlineStr">
        <is>
          <t>A.Y.: _______  REC Coordinator: ___________________  NAAC Ref.: Criterion VII.2 / ARIIA</t>
        </is>
      </c>
    </row>
    <row r="4" ht="25" customHeight="1">
      <c r="B4" s="13" t="inlineStr">
        <is>
          <t>Sl.</t>
        </is>
      </c>
      <c r="C4" s="13" t="inlineStr">
        <is>
          <t>Green Criterion / Initiative</t>
        </is>
      </c>
      <c r="D4" s="13" t="inlineStr">
        <is>
          <t>Standard /</t>
        </is>
      </c>
      <c r="E4" s="13" t="inlineStr">
        <is>
          <t>Current
Status</t>
        </is>
      </c>
      <c r="F4" s="13" t="inlineStr">
        <is>
          <t>Score /
Rating</t>
        </is>
      </c>
      <c r="G4" s="13" t="inlineStr">
        <is>
          <t>Evidence
Available</t>
        </is>
      </c>
      <c r="H4" s="13" t="inlineStr">
        <is>
          <t>Target
(Next Year)</t>
        </is>
      </c>
      <c r="I4" s="13" t="inlineStr">
        <is>
          <t>Action
Required</t>
        </is>
      </c>
    </row>
    <row r="5" ht="24" customHeight="1">
      <c r="B5" s="52" t="n">
        <v>1</v>
      </c>
      <c r="C5" s="53" t="inlineStr">
        <is>
          <t>Solar PV installed — % of total energy demand met</t>
        </is>
      </c>
      <c r="D5" s="54" t="inlineStr">
        <is>
          <t>NAAC VII.2 / MNRE</t>
        </is>
      </c>
      <c r="E5" s="54" t="inlineStr"/>
      <c r="F5" s="54" t="inlineStr"/>
      <c r="G5" s="54" t="inlineStr">
        <is>
          <t>Y</t>
        </is>
      </c>
      <c r="H5" s="54" t="inlineStr">
        <is>
          <t>Achieved / In Progress</t>
        </is>
      </c>
      <c r="I5" s="53" t="inlineStr"/>
    </row>
    <row r="6" ht="24" customHeight="1">
      <c r="B6" s="55" t="n">
        <v>2</v>
      </c>
      <c r="C6" s="56" t="inlineStr">
        <is>
          <t>Solar hot water system operational</t>
        </is>
      </c>
      <c r="D6" s="57" t="inlineStr">
        <is>
          <t>Green Campus Norm</t>
        </is>
      </c>
      <c r="E6" s="57" t="inlineStr"/>
      <c r="F6" s="57" t="inlineStr"/>
      <c r="G6" s="57" t="inlineStr">
        <is>
          <t>Y</t>
        </is>
      </c>
      <c r="H6" s="57" t="inlineStr">
        <is>
          <t>Operational</t>
        </is>
      </c>
      <c r="I6" s="56" t="inlineStr"/>
    </row>
    <row r="7" ht="24" customHeight="1">
      <c r="B7" s="52" t="n">
        <v>3</v>
      </c>
      <c r="C7" s="53" t="inlineStr">
        <is>
          <t>Rainwater harvesting system installed</t>
        </is>
      </c>
      <c r="D7" s="54" t="inlineStr">
        <is>
          <t>MoEFCC / GRIHA</t>
        </is>
      </c>
      <c r="E7" s="54" t="inlineStr"/>
      <c r="F7" s="54" t="inlineStr"/>
      <c r="G7" s="54" t="inlineStr">
        <is>
          <t>Y</t>
        </is>
      </c>
      <c r="H7" s="54" t="inlineStr">
        <is>
          <t>Installed</t>
        </is>
      </c>
      <c r="I7" s="53" t="inlineStr"/>
    </row>
    <row r="8" ht="24" customHeight="1">
      <c r="B8" s="55" t="n">
        <v>4</v>
      </c>
      <c r="C8" s="56" t="inlineStr">
        <is>
          <t>LED lighting — % of campus lighting</t>
        </is>
      </c>
      <c r="D8" s="57" t="inlineStr">
        <is>
          <t>BEE / Energy Star</t>
        </is>
      </c>
      <c r="E8" s="57" t="inlineStr"/>
      <c r="F8" s="57" t="inlineStr"/>
      <c r="G8" s="57" t="inlineStr">
        <is>
          <t>Y</t>
        </is>
      </c>
      <c r="H8" s="57" t="inlineStr">
        <is>
          <t>≥90% LED</t>
        </is>
      </c>
      <c r="I8" s="56" t="inlineStr"/>
    </row>
    <row r="9" ht="24" customHeight="1">
      <c r="B9" s="52" t="n">
        <v>5</v>
      </c>
      <c r="C9" s="53" t="inlineStr">
        <is>
          <t>Energy efficient HVAC / AC systems</t>
        </is>
      </c>
      <c r="D9" s="54" t="inlineStr">
        <is>
          <t>BEE Star Rating</t>
        </is>
      </c>
      <c r="E9" s="54" t="inlineStr"/>
      <c r="F9" s="54" t="inlineStr"/>
      <c r="G9" s="54" t="inlineStr">
        <is>
          <t>Y</t>
        </is>
      </c>
      <c r="H9" s="54" t="inlineStr">
        <is>
          <t>≥3 Star</t>
        </is>
      </c>
      <c r="I9" s="53" t="inlineStr"/>
    </row>
    <row r="10" ht="24" customHeight="1">
      <c r="B10" s="55" t="n">
        <v>6</v>
      </c>
      <c r="C10" s="56" t="inlineStr">
        <is>
          <t>Green building design — GRIHA / LEED certified</t>
        </is>
      </c>
      <c r="D10" s="57" t="inlineStr">
        <is>
          <t>GRIHA / LEED India</t>
        </is>
      </c>
      <c r="E10" s="57" t="inlineStr"/>
      <c r="F10" s="57" t="inlineStr"/>
      <c r="G10" s="57" t="inlineStr">
        <is>
          <t>Y</t>
        </is>
      </c>
      <c r="H10" s="57" t="inlineStr">
        <is>
          <t>Target: GRIHA ≥3 Star</t>
        </is>
      </c>
      <c r="I10" s="56" t="inlineStr"/>
    </row>
    <row r="11" ht="24" customHeight="1">
      <c r="B11" s="52" t="n">
        <v>7</v>
      </c>
      <c r="C11" s="53" t="inlineStr">
        <is>
          <t>EV charging points on campus</t>
        </is>
      </c>
      <c r="D11" s="54" t="inlineStr">
        <is>
          <t>Green Campus</t>
        </is>
      </c>
      <c r="E11" s="54" t="inlineStr"/>
      <c r="F11" s="54" t="inlineStr"/>
      <c r="G11" s="54" t="inlineStr">
        <is>
          <t>Y</t>
        </is>
      </c>
      <c r="H11" s="54" t="inlineStr">
        <is>
          <t>≥2 EV points</t>
        </is>
      </c>
      <c r="I11" s="53" t="inlineStr"/>
    </row>
    <row r="12" ht="24" customHeight="1">
      <c r="B12" s="55" t="n">
        <v>8</v>
      </c>
      <c r="C12" s="56" t="inlineStr">
        <is>
          <t>Biogas plant from campus / canteen waste</t>
        </is>
      </c>
      <c r="D12" s="57" t="inlineStr">
        <is>
          <t>Green Campus</t>
        </is>
      </c>
      <c r="E12" s="57" t="inlineStr"/>
      <c r="F12" s="57" t="inlineStr"/>
      <c r="G12" s="57" t="inlineStr">
        <is>
          <t>Y</t>
        </is>
      </c>
      <c r="H12" s="57" t="inlineStr">
        <is>
          <t>Operational</t>
        </is>
      </c>
      <c r="I12" s="56" t="inlineStr"/>
    </row>
    <row r="13" ht="24" customHeight="1">
      <c r="B13" s="52" t="n">
        <v>9</v>
      </c>
      <c r="C13" s="53" t="inlineStr">
        <is>
          <t>Waste segregation at source</t>
        </is>
      </c>
      <c r="D13" s="54" t="inlineStr">
        <is>
          <t>SWM Rules 2016</t>
        </is>
      </c>
      <c r="E13" s="54" t="inlineStr"/>
      <c r="F13" s="54" t="inlineStr"/>
      <c r="G13" s="54" t="inlineStr">
        <is>
          <t>Y</t>
        </is>
      </c>
      <c r="H13" s="54" t="inlineStr">
        <is>
          <t>Implemented</t>
        </is>
      </c>
      <c r="I13" s="53" t="inlineStr"/>
    </row>
    <row r="14" ht="24" customHeight="1">
      <c r="B14" s="55" t="n">
        <v>10</v>
      </c>
      <c r="C14" s="56" t="inlineStr">
        <is>
          <t>E-waste disposal certified</t>
        </is>
      </c>
      <c r="D14" s="57" t="inlineStr">
        <is>
          <t>CPCB / E-Waste Rules</t>
        </is>
      </c>
      <c r="E14" s="57" t="inlineStr"/>
      <c r="F14" s="57" t="inlineStr"/>
      <c r="G14" s="57" t="inlineStr">
        <is>
          <t>Y</t>
        </is>
      </c>
      <c r="H14" s="57" t="inlineStr">
        <is>
          <t>Certified agency</t>
        </is>
      </c>
      <c r="I14" s="56" t="inlineStr"/>
    </row>
    <row r="15" ht="24" customHeight="1">
      <c r="B15" s="52" t="n">
        <v>11</v>
      </c>
      <c r="C15" s="53" t="inlineStr">
        <is>
          <t>Tree census — green cover maintained</t>
        </is>
      </c>
      <c r="D15" s="54" t="inlineStr">
        <is>
          <t>MoEFCC / NAAC</t>
        </is>
      </c>
      <c r="E15" s="54" t="inlineStr"/>
      <c r="F15" s="54" t="inlineStr"/>
      <c r="G15" s="54" t="inlineStr">
        <is>
          <t>Y</t>
        </is>
      </c>
      <c r="H15" s="54" t="inlineStr">
        <is>
          <t>Updated annually</t>
        </is>
      </c>
      <c r="I15" s="53" t="inlineStr"/>
    </row>
    <row r="16" ht="24" customHeight="1">
      <c r="B16" s="55" t="n">
        <v>12</v>
      </c>
      <c r="C16" s="56" t="inlineStr">
        <is>
          <t>Water recycling / STP on campus</t>
        </is>
      </c>
      <c r="D16" s="57" t="inlineStr">
        <is>
          <t>MoEFCC</t>
        </is>
      </c>
      <c r="E16" s="57" t="inlineStr"/>
      <c r="F16" s="57" t="inlineStr"/>
      <c r="G16" s="57" t="inlineStr">
        <is>
          <t>Y</t>
        </is>
      </c>
      <c r="H16" s="57" t="inlineStr">
        <is>
          <t>STP operational</t>
        </is>
      </c>
      <c r="I16" s="56" t="inlineStr"/>
    </row>
    <row r="17" ht="24" customHeight="1">
      <c r="B17" s="52" t="n">
        <v>13</v>
      </c>
      <c r="C17" s="53" t="inlineStr">
        <is>
          <t>ISO 50001 Energy Management System</t>
        </is>
      </c>
      <c r="D17" s="54" t="inlineStr">
        <is>
          <t>ISO 50001</t>
        </is>
      </c>
      <c r="E17" s="54" t="inlineStr"/>
      <c r="F17" s="54" t="inlineStr"/>
      <c r="G17" s="54" t="inlineStr">
        <is>
          <t>Y</t>
        </is>
      </c>
      <c r="H17" s="54" t="inlineStr">
        <is>
          <t>Pursuing / Achieved</t>
        </is>
      </c>
      <c r="I17" s="53" t="inlineStr"/>
    </row>
    <row r="18" ht="24" customHeight="1">
      <c r="B18" s="55" t="n">
        <v>14</v>
      </c>
      <c r="C18" s="56" t="inlineStr">
        <is>
          <t>Carbon footprint calculated annually</t>
        </is>
      </c>
      <c r="D18" s="57" t="inlineStr">
        <is>
          <t>GHG Protocol</t>
        </is>
      </c>
      <c r="E18" s="57" t="inlineStr"/>
      <c r="F18" s="57" t="inlineStr"/>
      <c r="G18" s="57" t="inlineStr">
        <is>
          <t>Y</t>
        </is>
      </c>
      <c r="H18" s="57" t="inlineStr">
        <is>
          <t>Calculated</t>
        </is>
      </c>
      <c r="I18" s="56" t="inlineStr"/>
    </row>
    <row r="19" ht="24" customHeight="1">
      <c r="B19" s="52" t="n">
        <v>15</v>
      </c>
      <c r="C19" s="53" t="inlineStr">
        <is>
          <t>Green Procurement Policy implemented</t>
        </is>
      </c>
      <c r="D19" s="54" t="inlineStr">
        <is>
          <t>PSC / Green Norms</t>
        </is>
      </c>
      <c r="E19" s="54" t="inlineStr"/>
      <c r="F19" s="54" t="inlineStr"/>
      <c r="G19" s="54" t="inlineStr">
        <is>
          <t>Y</t>
        </is>
      </c>
      <c r="H19" s="54" t="inlineStr">
        <is>
          <t>Policy in place</t>
        </is>
      </c>
      <c r="I19" s="53" t="inlineStr"/>
    </row>
    <row r="20" ht="24" customHeight="1">
      <c r="B20" s="55" t="n">
        <v>16</v>
      </c>
      <c r="C20" s="56" t="inlineStr">
        <is>
          <t>RE awareness curriculum in courses</t>
        </is>
      </c>
      <c r="D20" s="57" t="inlineStr">
        <is>
          <t>Academic Council</t>
        </is>
      </c>
      <c r="E20" s="57" t="inlineStr"/>
      <c r="F20" s="57" t="inlineStr"/>
      <c r="G20" s="57" t="inlineStr">
        <is>
          <t>Y</t>
        </is>
      </c>
      <c r="H20" s="57" t="inlineStr">
        <is>
          <t>Min. 1 course</t>
        </is>
      </c>
      <c r="I20" s="56" t="inlineStr"/>
    </row>
    <row r="21" ht="24" customHeight="1">
      <c r="B21" s="52" t="n">
        <v>17</v>
      </c>
      <c r="C21" s="53" t="inlineStr">
        <is>
          <t>Student RE projects and publications</t>
        </is>
      </c>
      <c r="D21" s="54" t="inlineStr">
        <is>
          <t>NAAC III / ARIIA</t>
        </is>
      </c>
      <c r="E21" s="54" t="inlineStr"/>
      <c r="F21" s="54" t="inlineStr"/>
      <c r="G21" s="54" t="inlineStr">
        <is>
          <t>Y</t>
        </is>
      </c>
      <c r="H21" s="54" t="inlineStr">
        <is>
          <t>≥3 per year</t>
        </is>
      </c>
      <c r="I21" s="53" t="inlineStr"/>
    </row>
    <row r="22" ht="24" customHeight="1">
      <c r="B22" s="55" t="n">
        <v>18</v>
      </c>
      <c r="C22" s="56" t="inlineStr">
        <is>
          <t>Best Green Campus Award — applied</t>
        </is>
      </c>
      <c r="D22" s="57" t="inlineStr">
        <is>
          <t>AICTE / State</t>
        </is>
      </c>
      <c r="E22" s="57" t="inlineStr"/>
      <c r="F22" s="57" t="inlineStr"/>
      <c r="G22" s="57" t="inlineStr">
        <is>
          <t>Y</t>
        </is>
      </c>
      <c r="H22" s="57" t="inlineStr">
        <is>
          <t>Applied / Won</t>
        </is>
      </c>
      <c r="I22" s="56" t="inlineStr"/>
    </row>
    <row r="23" ht="24" customHeight="1"/>
    <row r="24" ht="24" customHeight="1">
      <c r="B24" s="34" t="inlineStr">
        <is>
          <t>GREEN CAMPUS COMPLIANCE SUMMARY</t>
        </is>
      </c>
    </row>
    <row r="25" ht="24" customHeight="1">
      <c r="B25" s="51" t="inlineStr">
        <is>
          <t>Total Green Criteria Tracked</t>
        </is>
      </c>
      <c r="F25" s="26">
        <f>COUNTA(B5:B22)</f>
        <v/>
      </c>
    </row>
    <row r="26" ht="24" customHeight="1">
      <c r="B26" s="25" t="inlineStr">
        <is>
          <t>Criteria with Evidence Available</t>
        </is>
      </c>
      <c r="F26" s="36">
        <f>COUNTIF(G5:G22,"Y")</f>
        <v/>
      </c>
    </row>
    <row r="27" ht="24" customHeight="1">
      <c r="B27" s="51" t="inlineStr">
        <is>
          <t>Criteria Fully Achieved</t>
        </is>
      </c>
      <c r="F27" s="26">
        <f>COUNTIF(E5:E22,"Achieved")</f>
        <v/>
      </c>
    </row>
    <row r="28" ht="24" customHeight="1">
      <c r="B28" s="25" t="inlineStr">
        <is>
          <t>Criteria In Progress</t>
        </is>
      </c>
      <c r="F28" s="36">
        <f>COUNTIF(E5:E22,"In Progress")</f>
        <v/>
      </c>
    </row>
    <row r="29" ht="24" customHeight="1">
      <c r="B29" s="51" t="inlineStr">
        <is>
          <t>NAAC Green Campus Score (Target)</t>
        </is>
      </c>
      <c r="F29" s="26" t="inlineStr"/>
    </row>
    <row r="30" ht="24" customHeight="1">
      <c r="B30" s="25" t="inlineStr">
        <is>
          <t>GRIHA / LEED Level Achieved</t>
        </is>
      </c>
      <c r="F30" s="36" t="inlineStr"/>
    </row>
    <row r="31" ht="24" customHeight="1"/>
    <row r="32" ht="24" customHeight="1"/>
    <row r="33" ht="24" customHeight="1"/>
  </sheetData>
  <mergeCells count="15">
    <mergeCell ref="B26:E26"/>
    <mergeCell ref="B27:E27"/>
    <mergeCell ref="F26:I26"/>
    <mergeCell ref="F27:I27"/>
    <mergeCell ref="B24:I24"/>
    <mergeCell ref="B2:I2"/>
    <mergeCell ref="B30:E30"/>
    <mergeCell ref="F30:I30"/>
    <mergeCell ref="B29:E29"/>
    <mergeCell ref="B3:I3"/>
    <mergeCell ref="B25:E25"/>
    <mergeCell ref="F29:I29"/>
    <mergeCell ref="F25:I25"/>
    <mergeCell ref="B28:E28"/>
    <mergeCell ref="F28:I2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AWR-01: ENERGY AWARENESS &amp; GREEN CAMPUS PROGRAMME REGISTER</t>
        </is>
      </c>
    </row>
    <row r="3" ht="25" customHeight="1">
      <c r="B3" s="2" t="inlineStr">
        <is>
          <t>A.Y.: _______  REC Coordinator: ___________________  NAAC Ref.: Criterion VII.2 / V.3</t>
        </is>
      </c>
    </row>
    <row r="4" ht="25" customHeight="1">
      <c r="B4" s="13" t="inlineStr">
        <is>
          <t>Sl.</t>
        </is>
      </c>
      <c r="C4" s="13" t="inlineStr">
        <is>
          <t>Programme / Event Title</t>
        </is>
      </c>
      <c r="D4" s="13" t="inlineStr">
        <is>
          <t>Theme</t>
        </is>
      </c>
      <c r="E4" s="13" t="inlineStr">
        <is>
          <t>Date</t>
        </is>
      </c>
      <c r="F4" s="13" t="inlineStr">
        <is>
          <t>Target Audience</t>
        </is>
      </c>
      <c r="G4" s="13" t="inlineStr">
        <is>
          <t>Mode</t>
        </is>
      </c>
      <c r="H4" s="13" t="inlineStr">
        <is>
          <t>Participants</t>
        </is>
      </c>
      <c r="I4" s="13" t="inlineStr">
        <is>
          <t>Resource
Person</t>
        </is>
      </c>
      <c r="J4" s="13" t="inlineStr">
        <is>
          <t>Feedback
Score (/5)</t>
        </is>
      </c>
    </row>
    <row r="5" ht="22" customHeight="1">
      <c r="B5" s="14" t="n">
        <v>1</v>
      </c>
      <c r="C5" s="15" t="inlineStr">
        <is>
          <t>Solar Energy — How It Works</t>
        </is>
      </c>
      <c r="D5" s="16" t="inlineStr">
        <is>
          <t>Solar PV Basics</t>
        </is>
      </c>
      <c r="E5" s="16" t="inlineStr">
        <is>
          <t>May</t>
        </is>
      </c>
      <c r="F5" s="15" t="inlineStr">
        <is>
          <t>Students — All Years</t>
        </is>
      </c>
      <c r="G5" s="16" t="inlineStr">
        <is>
          <t>Physical</t>
        </is>
      </c>
      <c r="H5" s="16" t="inlineStr"/>
      <c r="I5" s="15" t="inlineStr"/>
      <c r="J5" s="16" t="inlineStr"/>
    </row>
    <row r="6" ht="22" customHeight="1">
      <c r="B6" s="8" t="n">
        <v>2</v>
      </c>
      <c r="C6" s="9" t="inlineStr">
        <is>
          <t>Energy Audit Workshop — Campus Walk</t>
        </is>
      </c>
      <c r="D6" s="10" t="inlineStr">
        <is>
          <t>Energy Efficiency</t>
        </is>
      </c>
      <c r="E6" s="10" t="inlineStr">
        <is>
          <t>June</t>
        </is>
      </c>
      <c r="F6" s="9" t="inlineStr">
        <is>
          <t>Faculty + Students</t>
        </is>
      </c>
      <c r="G6" s="10" t="inlineStr">
        <is>
          <t>Physical</t>
        </is>
      </c>
      <c r="H6" s="10" t="inlineStr"/>
      <c r="I6" s="9" t="inlineStr"/>
      <c r="J6" s="10" t="inlineStr"/>
    </row>
    <row r="7" ht="22" customHeight="1">
      <c r="B7" s="14" t="n">
        <v>3</v>
      </c>
      <c r="C7" s="15" t="inlineStr">
        <is>
          <t>National Energy Conservation Day (Dec 14)</t>
        </is>
      </c>
      <c r="D7" s="16" t="inlineStr">
        <is>
          <t>Energy Saving</t>
        </is>
      </c>
      <c r="E7" s="16" t="inlineStr">
        <is>
          <t>December</t>
        </is>
      </c>
      <c r="F7" s="15" t="inlineStr">
        <is>
          <t>All Campus</t>
        </is>
      </c>
      <c r="G7" s="16" t="inlineStr">
        <is>
          <t>Physical</t>
        </is>
      </c>
      <c r="H7" s="16" t="inlineStr"/>
      <c r="I7" s="15" t="inlineStr"/>
      <c r="J7" s="16" t="inlineStr"/>
    </row>
    <row r="8" ht="22" customHeight="1">
      <c r="B8" s="8" t="n">
        <v>4</v>
      </c>
      <c r="C8" s="9" t="inlineStr">
        <is>
          <t>World Environment Day — RE Pledge</t>
        </is>
      </c>
      <c r="D8" s="10" t="inlineStr">
        <is>
          <t>Climate Action</t>
        </is>
      </c>
      <c r="E8" s="10" t="inlineStr">
        <is>
          <t>June 5</t>
        </is>
      </c>
      <c r="F8" s="9" t="inlineStr">
        <is>
          <t>All Campus</t>
        </is>
      </c>
      <c r="G8" s="10" t="inlineStr">
        <is>
          <t>Physical</t>
        </is>
      </c>
      <c r="H8" s="10" t="inlineStr"/>
      <c r="I8" s="9" t="inlineStr"/>
      <c r="J8" s="10" t="inlineStr"/>
    </row>
    <row r="9" ht="22" customHeight="1">
      <c r="B9" s="14" t="n">
        <v>5</v>
      </c>
      <c r="C9" s="15" t="inlineStr">
        <is>
          <t>RE Project Showcase — Student Exhibition</t>
        </is>
      </c>
      <c r="D9" s="16" t="inlineStr">
        <is>
          <t>Student Innovation</t>
        </is>
      </c>
      <c r="E9" s="16" t="inlineStr">
        <is>
          <t>October</t>
        </is>
      </c>
      <c r="F9" s="15" t="inlineStr">
        <is>
          <t>All Departments</t>
        </is>
      </c>
      <c r="G9" s="16" t="inlineStr">
        <is>
          <t>Physical</t>
        </is>
      </c>
      <c r="H9" s="16" t="inlineStr"/>
      <c r="I9" s="15" t="inlineStr"/>
      <c r="J9" s="16" t="inlineStr"/>
    </row>
    <row r="10" ht="22" customHeight="1">
      <c r="B10" s="8" t="n">
        <v>6</v>
      </c>
      <c r="C10" s="9" t="inlineStr">
        <is>
          <t>Green Campus Orientation — New Students</t>
        </is>
      </c>
      <c r="D10" s="10" t="inlineStr">
        <is>
          <t>Green Vision</t>
        </is>
      </c>
      <c r="E10" s="10" t="inlineStr">
        <is>
          <t>July</t>
        </is>
      </c>
      <c r="F10" s="9" t="inlineStr">
        <is>
          <t>I Year Students</t>
        </is>
      </c>
      <c r="G10" s="10" t="inlineStr">
        <is>
          <t>Physical</t>
        </is>
      </c>
      <c r="H10" s="10" t="inlineStr"/>
      <c r="I10" s="9" t="inlineStr"/>
      <c r="J10" s="10" t="inlineStr"/>
    </row>
    <row r="11" ht="22" customHeight="1">
      <c r="B11" s="14" t="n">
        <v>7</v>
      </c>
      <c r="C11" s="15" t="inlineStr">
        <is>
          <t>Solar Panel Installation Demo</t>
        </is>
      </c>
      <c r="D11" s="16" t="inlineStr">
        <is>
          <t>Hands-on RE</t>
        </is>
      </c>
      <c r="E11" s="16" t="inlineStr">
        <is>
          <t>August</t>
        </is>
      </c>
      <c r="F11" s="15" t="inlineStr">
        <is>
          <t>Engineering Students</t>
        </is>
      </c>
      <c r="G11" s="16" t="inlineStr">
        <is>
          <t>Physical</t>
        </is>
      </c>
      <c r="H11" s="16" t="inlineStr"/>
      <c r="I11" s="15" t="inlineStr"/>
      <c r="J11" s="16" t="inlineStr"/>
    </row>
    <row r="12" ht="22" customHeight="1">
      <c r="B12" s="8" t="n">
        <v>8</v>
      </c>
      <c r="C12" s="9" t="inlineStr">
        <is>
          <t>Carbon Footprint Calculator Workshop</t>
        </is>
      </c>
      <c r="D12" s="10" t="inlineStr">
        <is>
          <t>Climate Literacy</t>
        </is>
      </c>
      <c r="E12" s="10" t="inlineStr">
        <is>
          <t>September</t>
        </is>
      </c>
      <c r="F12" s="9" t="inlineStr">
        <is>
          <t>Faculty + Students</t>
        </is>
      </c>
      <c r="G12" s="10" t="inlineStr">
        <is>
          <t>Physical</t>
        </is>
      </c>
      <c r="H12" s="10" t="inlineStr"/>
      <c r="I12" s="9" t="inlineStr"/>
      <c r="J12" s="10" t="inlineStr"/>
    </row>
    <row r="13" ht="22" customHeight="1">
      <c r="B13" s="14" t="n">
        <v>9</v>
      </c>
      <c r="C13" s="15" t="inlineStr">
        <is>
          <t>Biogas and Waste-to-Energy Session</t>
        </is>
      </c>
      <c r="D13" s="16" t="inlineStr">
        <is>
          <t>Circular Economy</t>
        </is>
      </c>
      <c r="E13" s="16" t="inlineStr">
        <is>
          <t>November</t>
        </is>
      </c>
      <c r="F13" s="15" t="inlineStr">
        <is>
          <t>Science Students</t>
        </is>
      </c>
      <c r="G13" s="16" t="inlineStr">
        <is>
          <t>Physical</t>
        </is>
      </c>
      <c r="H13" s="16" t="inlineStr"/>
      <c r="I13" s="15" t="inlineStr"/>
      <c r="J13" s="16" t="inlineStr"/>
    </row>
    <row r="14" ht="22" customHeight="1">
      <c r="B14" s="8" t="n">
        <v>10</v>
      </c>
      <c r="C14" s="9" t="inlineStr">
        <is>
          <t>RE Career Opportunities Seminar</t>
        </is>
      </c>
      <c r="D14" s="10" t="inlineStr">
        <is>
          <t>Career Awareness</t>
        </is>
      </c>
      <c r="E14" s="10" t="inlineStr">
        <is>
          <t>February</t>
        </is>
      </c>
      <c r="F14" s="9" t="inlineStr">
        <is>
          <t>Final Year Students</t>
        </is>
      </c>
      <c r="G14" s="10" t="inlineStr">
        <is>
          <t>Physical</t>
        </is>
      </c>
      <c r="H14" s="10" t="inlineStr"/>
      <c r="I14" s="9" t="inlineStr"/>
      <c r="J14" s="10" t="inlineStr"/>
    </row>
    <row r="15" ht="22" customHeight="1">
      <c r="B15" s="14" t="n">
        <v>11</v>
      </c>
      <c r="C15" s="15" t="inlineStr">
        <is>
          <t>Electric Vehicle Technology Talk</t>
        </is>
      </c>
      <c r="D15" s="16" t="inlineStr">
        <is>
          <t>Emerging Tech</t>
        </is>
      </c>
      <c r="E15" s="16" t="inlineStr">
        <is>
          <t>March</t>
        </is>
      </c>
      <c r="F15" s="15" t="inlineStr">
        <is>
          <t>EEE / Mechanical</t>
        </is>
      </c>
      <c r="G15" s="16" t="inlineStr">
        <is>
          <t>Physical</t>
        </is>
      </c>
      <c r="H15" s="16" t="inlineStr"/>
      <c r="I15" s="15" t="inlineStr"/>
      <c r="J15" s="16" t="inlineStr"/>
    </row>
    <row r="16" ht="22" customHeight="1">
      <c r="B16" s="8" t="n">
        <v>12</v>
      </c>
      <c r="C16" s="9" t="inlineStr">
        <is>
          <t>State RE Quiz Competition</t>
        </is>
      </c>
      <c r="D16" s="10" t="inlineStr">
        <is>
          <t>RE Knowledge</t>
        </is>
      </c>
      <c r="E16" s="10" t="inlineStr">
        <is>
          <t>January</t>
        </is>
      </c>
      <c r="F16" s="9" t="inlineStr">
        <is>
          <t>All Students</t>
        </is>
      </c>
      <c r="G16" s="10" t="inlineStr">
        <is>
          <t>Physical</t>
        </is>
      </c>
      <c r="H16" s="10" t="inlineStr"/>
      <c r="I16" s="9" t="inlineStr"/>
      <c r="J16" s="10" t="inlineStr"/>
    </row>
    <row r="17" ht="22" customHeight="1">
      <c r="B17" s="14" t="n">
        <v>13</v>
      </c>
      <c r="C17" s="15" t="inlineStr">
        <is>
          <t>Community Solar Awareness Drive</t>
        </is>
      </c>
      <c r="D17" s="16" t="inlineStr">
        <is>
          <t>Social Impact</t>
        </is>
      </c>
      <c r="E17" s="16" t="inlineStr">
        <is>
          <t>October</t>
        </is>
      </c>
      <c r="F17" s="15" t="inlineStr">
        <is>
          <t>Local Community</t>
        </is>
      </c>
      <c r="G17" s="16" t="inlineStr">
        <is>
          <t>Physical</t>
        </is>
      </c>
      <c r="H17" s="16" t="inlineStr"/>
      <c r="I17" s="15" t="inlineStr"/>
      <c r="J17" s="16" t="inlineStr"/>
    </row>
    <row r="18" ht="22" customHeight="1">
      <c r="B18" s="8" t="n">
        <v>14</v>
      </c>
      <c r="C18" s="9" t="inlineStr">
        <is>
          <t>Faculty FDP — Energy Management</t>
        </is>
      </c>
      <c r="D18" s="10" t="inlineStr">
        <is>
          <t>Capacity Building</t>
        </is>
      </c>
      <c r="E18" s="10" t="inlineStr">
        <is>
          <t>July</t>
        </is>
      </c>
      <c r="F18" s="9" t="inlineStr">
        <is>
          <t>All Faculty</t>
        </is>
      </c>
      <c r="G18" s="10" t="inlineStr">
        <is>
          <t>Physical</t>
        </is>
      </c>
      <c r="H18" s="10" t="inlineStr"/>
      <c r="I18" s="9" t="inlineStr"/>
      <c r="J18" s="10" t="inlineStr"/>
    </row>
    <row r="19" ht="22" customHeight="1"/>
    <row r="20" ht="24" customHeight="1">
      <c r="B20" s="34" t="inlineStr">
        <is>
          <t>AWARENESS PROGRAMME IMPACT SUMMARY</t>
        </is>
      </c>
    </row>
    <row r="21" ht="22" customHeight="1">
      <c r="B21" s="51" t="inlineStr">
        <is>
          <t>Total Programmes Conducted</t>
        </is>
      </c>
      <c r="F21" s="26">
        <f>COUNTA(B5:B18)</f>
        <v/>
      </c>
    </row>
    <row r="22" ht="22" customHeight="1">
      <c r="B22" s="25" t="inlineStr">
        <is>
          <t>Total Participants Reached</t>
        </is>
      </c>
      <c r="F22" s="36">
        <f>IFERROR(SUM(H5:H18),"")</f>
        <v/>
      </c>
    </row>
    <row r="23" ht="22" customHeight="1">
      <c r="B23" s="51" t="inlineStr">
        <is>
          <t>Average Feedback Score (/5)</t>
        </is>
      </c>
      <c r="F23" s="26">
        <f>IFERROR(ROUND(AVERAGE(J5:J18),2),"")</f>
        <v/>
      </c>
    </row>
    <row r="24" ht="22" customHeight="1">
      <c r="B24" s="25" t="inlineStr">
        <is>
          <t>Student-Led RE Activities</t>
        </is>
      </c>
      <c r="F24" s="36" t="inlineStr"/>
    </row>
    <row r="25" ht="22" customHeight="1">
      <c r="B25" s="51" t="inlineStr">
        <is>
          <t>External Experts Engaged</t>
        </is>
      </c>
      <c r="F25" s="26" t="inlineStr"/>
    </row>
    <row r="26" ht="22" customHeight="1">
      <c r="B26" s="25" t="inlineStr">
        <is>
          <t>Programmes Linked to Academic Curriculum</t>
        </is>
      </c>
      <c r="F26" s="36" t="inlineStr"/>
    </row>
    <row r="27" ht="22" customHeight="1"/>
  </sheetData>
  <mergeCells count="15">
    <mergeCell ref="B23:E23"/>
    <mergeCell ref="B26:E26"/>
    <mergeCell ref="B3:J3"/>
    <mergeCell ref="F21:J21"/>
    <mergeCell ref="B20:J20"/>
    <mergeCell ref="F24:J24"/>
    <mergeCell ref="F23:J23"/>
    <mergeCell ref="F26:J26"/>
    <mergeCell ref="B21:E21"/>
    <mergeCell ref="F25:J25"/>
    <mergeCell ref="B25:E25"/>
    <mergeCell ref="B24:E24"/>
    <mergeCell ref="F22:J22"/>
    <mergeCell ref="B22:E22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AWR-02: STUDENT RENEWABLE ENERGY PROJECT &amp; RESEARCH REGISTER</t>
        </is>
      </c>
    </row>
    <row r="3" ht="25" customHeight="1">
      <c r="B3" s="2" t="inlineStr">
        <is>
          <t>A.Y.: _______  REC Coordinator: ___________________  NAAC Ref.: Criterion III.3 / ARIIA</t>
        </is>
      </c>
    </row>
    <row r="4" ht="25" customHeight="1">
      <c r="B4" s="13" t="inlineStr">
        <is>
          <t>Project
Ref.</t>
        </is>
      </c>
      <c r="C4" s="13" t="inlineStr">
        <is>
          <t>Project Title</t>
        </is>
      </c>
      <c r="D4" s="13" t="inlineStr">
        <is>
          <t>RE Domain</t>
        </is>
      </c>
      <c r="E4" s="13" t="inlineStr">
        <is>
          <t>Student(s)
/ Dept.</t>
        </is>
      </c>
      <c r="F4" s="13" t="inlineStr">
        <is>
          <t>Guide
/ Mentor</t>
        </is>
      </c>
      <c r="G4" s="13" t="inlineStr">
        <is>
          <t>Year</t>
        </is>
      </c>
      <c r="H4" s="13" t="inlineStr">
        <is>
          <t>Funding
(₹)</t>
        </is>
      </c>
      <c r="I4" s="13" t="inlineStr">
        <is>
          <t>Publication /
Patent</t>
        </is>
      </c>
      <c r="J4" s="13" t="inlineStr">
        <is>
          <t>Status</t>
        </is>
      </c>
    </row>
    <row r="5" ht="22" customHeight="1">
      <c r="B5" s="14" t="inlineStr">
        <is>
          <t>REP/2024/001</t>
        </is>
      </c>
      <c r="C5" s="15" t="inlineStr"/>
      <c r="D5" s="16" t="inlineStr">
        <is>
          <t>Solar PV — Energy Generation</t>
        </is>
      </c>
      <c r="E5" s="15" t="inlineStr"/>
      <c r="F5" s="15" t="inlineStr"/>
      <c r="G5" s="16" t="inlineStr">
        <is>
          <t>Final Year</t>
        </is>
      </c>
      <c r="H5" s="16" t="inlineStr"/>
      <c r="I5" s="15" t="inlineStr"/>
      <c r="J5" s="16" t="inlineStr">
        <is>
          <t>Ongoing</t>
        </is>
      </c>
    </row>
    <row r="6" ht="22" customHeight="1">
      <c r="B6" s="8" t="inlineStr">
        <is>
          <t>REP/2024/002</t>
        </is>
      </c>
      <c r="C6" s="9" t="inlineStr"/>
      <c r="D6" s="10" t="inlineStr">
        <is>
          <t>Solar Thermal</t>
        </is>
      </c>
      <c r="E6" s="9" t="inlineStr"/>
      <c r="F6" s="9" t="inlineStr"/>
      <c r="G6" s="10" t="inlineStr">
        <is>
          <t>Final Year</t>
        </is>
      </c>
      <c r="H6" s="10" t="inlineStr"/>
      <c r="I6" s="9" t="inlineStr"/>
      <c r="J6" s="10" t="inlineStr">
        <is>
          <t>Ongoing</t>
        </is>
      </c>
    </row>
    <row r="7" ht="22" customHeight="1">
      <c r="B7" s="14" t="inlineStr">
        <is>
          <t>REP/2024/003</t>
        </is>
      </c>
      <c r="C7" s="15" t="inlineStr"/>
      <c r="D7" s="16" t="inlineStr">
        <is>
          <t>Wind Energy</t>
        </is>
      </c>
      <c r="E7" s="15" t="inlineStr"/>
      <c r="F7" s="15" t="inlineStr"/>
      <c r="G7" s="16" t="inlineStr">
        <is>
          <t>Final Year</t>
        </is>
      </c>
      <c r="H7" s="16" t="inlineStr"/>
      <c r="I7" s="15" t="inlineStr"/>
      <c r="J7" s="16" t="inlineStr">
        <is>
          <t>Ongoing</t>
        </is>
      </c>
    </row>
    <row r="8" ht="22" customHeight="1">
      <c r="B8" s="8" t="inlineStr">
        <is>
          <t>REP/2024/004</t>
        </is>
      </c>
      <c r="C8" s="9" t="inlineStr"/>
      <c r="D8" s="10" t="inlineStr">
        <is>
          <t>Biogas / Biomass</t>
        </is>
      </c>
      <c r="E8" s="9" t="inlineStr"/>
      <c r="F8" s="9" t="inlineStr"/>
      <c r="G8" s="10" t="inlineStr">
        <is>
          <t>Final Year</t>
        </is>
      </c>
      <c r="H8" s="10" t="inlineStr"/>
      <c r="I8" s="9" t="inlineStr"/>
      <c r="J8" s="10" t="inlineStr">
        <is>
          <t>Ongoing</t>
        </is>
      </c>
    </row>
    <row r="9" ht="22" customHeight="1">
      <c r="B9" s="14" t="inlineStr">
        <is>
          <t>REP/2024/005</t>
        </is>
      </c>
      <c r="C9" s="15" t="inlineStr"/>
      <c r="D9" s="16" t="inlineStr">
        <is>
          <t>Energy Storage</t>
        </is>
      </c>
      <c r="E9" s="15" t="inlineStr"/>
      <c r="F9" s="15" t="inlineStr"/>
      <c r="G9" s="16" t="inlineStr">
        <is>
          <t>Final Year</t>
        </is>
      </c>
      <c r="H9" s="16" t="inlineStr"/>
      <c r="I9" s="15" t="inlineStr"/>
      <c r="J9" s="16" t="inlineStr">
        <is>
          <t>Ongoing</t>
        </is>
      </c>
    </row>
    <row r="10" ht="22" customHeight="1">
      <c r="B10" s="8" t="inlineStr">
        <is>
          <t>REP/2024/006</t>
        </is>
      </c>
      <c r="C10" s="9" t="inlineStr"/>
      <c r="D10" s="10" t="inlineStr">
        <is>
          <t>Hybrid RE System</t>
        </is>
      </c>
      <c r="E10" s="9" t="inlineStr"/>
      <c r="F10" s="9" t="inlineStr"/>
      <c r="G10" s="10" t="inlineStr">
        <is>
          <t>Final Year</t>
        </is>
      </c>
      <c r="H10" s="10" t="inlineStr"/>
      <c r="I10" s="9" t="inlineStr"/>
      <c r="J10" s="10" t="inlineStr">
        <is>
          <t>Ongoing</t>
        </is>
      </c>
    </row>
    <row r="11" ht="22" customHeight="1">
      <c r="B11" s="14" t="inlineStr">
        <is>
          <t>REP/2024/007</t>
        </is>
      </c>
      <c r="C11" s="15" t="inlineStr"/>
      <c r="D11" s="16" t="inlineStr">
        <is>
          <t>Energy Efficiency</t>
        </is>
      </c>
      <c r="E11" s="15" t="inlineStr"/>
      <c r="F11" s="15" t="inlineStr"/>
      <c r="G11" s="16" t="inlineStr">
        <is>
          <t>Final Year</t>
        </is>
      </c>
      <c r="H11" s="16" t="inlineStr"/>
      <c r="I11" s="15" t="inlineStr"/>
      <c r="J11" s="16" t="inlineStr">
        <is>
          <t>Ongoing</t>
        </is>
      </c>
    </row>
    <row r="12" ht="22" customHeight="1">
      <c r="B12" s="8" t="inlineStr">
        <is>
          <t>REP/2024/008</t>
        </is>
      </c>
      <c r="C12" s="9" t="inlineStr"/>
      <c r="D12" s="10" t="inlineStr">
        <is>
          <t>Green Building</t>
        </is>
      </c>
      <c r="E12" s="9" t="inlineStr"/>
      <c r="F12" s="9" t="inlineStr"/>
      <c r="G12" s="10" t="inlineStr">
        <is>
          <t>Final Year</t>
        </is>
      </c>
      <c r="H12" s="10" t="inlineStr"/>
      <c r="I12" s="9" t="inlineStr"/>
      <c r="J12" s="10" t="inlineStr">
        <is>
          <t>Ongoing</t>
        </is>
      </c>
    </row>
    <row r="13" ht="22" customHeight="1">
      <c r="B13" s="14" t="inlineStr">
        <is>
          <t>REP/2024/009</t>
        </is>
      </c>
      <c r="C13" s="15" t="inlineStr"/>
      <c r="D13" s="16" t="inlineStr">
        <is>
          <t>EV &amp; Smart Grid</t>
        </is>
      </c>
      <c r="E13" s="15" t="inlineStr"/>
      <c r="F13" s="15" t="inlineStr"/>
      <c r="G13" s="16" t="inlineStr">
        <is>
          <t>Final Year</t>
        </is>
      </c>
      <c r="H13" s="16" t="inlineStr"/>
      <c r="I13" s="15" t="inlineStr"/>
      <c r="J13" s="16" t="inlineStr">
        <is>
          <t>Ongoing</t>
        </is>
      </c>
    </row>
    <row r="14" ht="22" customHeight="1">
      <c r="B14" s="8" t="inlineStr">
        <is>
          <t>REP/2025/010</t>
        </is>
      </c>
      <c r="C14" s="9" t="inlineStr"/>
      <c r="D14" s="10" t="inlineStr">
        <is>
          <t>IoT for Energy Management</t>
        </is>
      </c>
      <c r="E14" s="9" t="inlineStr"/>
      <c r="F14" s="9" t="inlineStr"/>
      <c r="G14" s="10" t="inlineStr">
        <is>
          <t>Final Year</t>
        </is>
      </c>
      <c r="H14" s="10" t="inlineStr"/>
      <c r="I14" s="9" t="inlineStr"/>
      <c r="J14" s="10" t="inlineStr">
        <is>
          <t>Ongoing</t>
        </is>
      </c>
    </row>
    <row r="15" ht="22" customHeight="1">
      <c r="B15" s="14" t="inlineStr">
        <is>
          <t>REP/2025/011</t>
        </is>
      </c>
      <c r="C15" s="15" t="inlineStr"/>
      <c r="D15" s="16" t="inlineStr">
        <is>
          <t>Carbon Footprint Analysis</t>
        </is>
      </c>
      <c r="E15" s="15" t="inlineStr"/>
      <c r="F15" s="15" t="inlineStr"/>
      <c r="G15" s="16" t="inlineStr">
        <is>
          <t>Final Year</t>
        </is>
      </c>
      <c r="H15" s="16" t="inlineStr"/>
      <c r="I15" s="15" t="inlineStr"/>
      <c r="J15" s="16" t="inlineStr">
        <is>
          <t>Ongoing</t>
        </is>
      </c>
    </row>
    <row r="16" ht="22" customHeight="1">
      <c r="B16" s="8" t="inlineStr">
        <is>
          <t>REP/2025/012</t>
        </is>
      </c>
      <c r="C16" s="9" t="inlineStr"/>
      <c r="D16" s="10" t="inlineStr">
        <is>
          <t>Green Hydrogen</t>
        </is>
      </c>
      <c r="E16" s="9" t="inlineStr"/>
      <c r="F16" s="9" t="inlineStr"/>
      <c r="G16" s="10" t="inlineStr">
        <is>
          <t>Final Year</t>
        </is>
      </c>
      <c r="H16" s="10" t="inlineStr"/>
      <c r="I16" s="9" t="inlineStr"/>
      <c r="J16" s="10" t="inlineStr">
        <is>
          <t>Ongoing</t>
        </is>
      </c>
    </row>
    <row r="17" ht="22" customHeight="1">
      <c r="B17" s="14" t="inlineStr">
        <is>
          <t>REP/2025/013</t>
        </is>
      </c>
      <c r="C17" s="15" t="inlineStr"/>
      <c r="D17" s="16" t="inlineStr">
        <is>
          <t>Solar PV — Energy Generation</t>
        </is>
      </c>
      <c r="E17" s="15" t="inlineStr"/>
      <c r="F17" s="15" t="inlineStr"/>
      <c r="G17" s="16" t="inlineStr">
        <is>
          <t>Final Year</t>
        </is>
      </c>
      <c r="H17" s="16" t="inlineStr"/>
      <c r="I17" s="15" t="inlineStr"/>
      <c r="J17" s="16" t="inlineStr">
        <is>
          <t>Ongoing</t>
        </is>
      </c>
    </row>
    <row r="18" ht="22" customHeight="1">
      <c r="B18" s="8" t="inlineStr">
        <is>
          <t>REP/2025/014</t>
        </is>
      </c>
      <c r="C18" s="9" t="inlineStr"/>
      <c r="D18" s="10" t="inlineStr">
        <is>
          <t>Solar Thermal</t>
        </is>
      </c>
      <c r="E18" s="9" t="inlineStr"/>
      <c r="F18" s="9" t="inlineStr"/>
      <c r="G18" s="10" t="inlineStr">
        <is>
          <t>Final Year</t>
        </is>
      </c>
      <c r="H18" s="10" t="inlineStr"/>
      <c r="I18" s="9" t="inlineStr"/>
      <c r="J18" s="10" t="inlineStr">
        <is>
          <t>Ongoing</t>
        </is>
      </c>
    </row>
    <row r="19" ht="22" customHeight="1">
      <c r="B19" s="14" t="inlineStr">
        <is>
          <t>REP/2025/015</t>
        </is>
      </c>
      <c r="C19" s="15" t="inlineStr"/>
      <c r="D19" s="16" t="inlineStr">
        <is>
          <t>Wind Energy</t>
        </is>
      </c>
      <c r="E19" s="15" t="inlineStr"/>
      <c r="F19" s="15" t="inlineStr"/>
      <c r="G19" s="16" t="inlineStr">
        <is>
          <t>Final Year</t>
        </is>
      </c>
      <c r="H19" s="16" t="inlineStr"/>
      <c r="I19" s="15" t="inlineStr"/>
      <c r="J19" s="16" t="inlineStr">
        <is>
          <t>Ongoing</t>
        </is>
      </c>
    </row>
    <row r="20" ht="22" customHeight="1">
      <c r="B20" s="8" t="inlineStr">
        <is>
          <t>REP/2025/016</t>
        </is>
      </c>
      <c r="C20" s="9" t="inlineStr"/>
      <c r="D20" s="10" t="inlineStr">
        <is>
          <t>Biogas / Biomass</t>
        </is>
      </c>
      <c r="E20" s="9" t="inlineStr"/>
      <c r="F20" s="9" t="inlineStr"/>
      <c r="G20" s="10" t="inlineStr">
        <is>
          <t>Final Year</t>
        </is>
      </c>
      <c r="H20" s="10" t="inlineStr"/>
      <c r="I20" s="9" t="inlineStr"/>
      <c r="J20" s="10" t="inlineStr">
        <is>
          <t>Ongoing</t>
        </is>
      </c>
    </row>
    <row r="21" ht="22" customHeight="1">
      <c r="B21" s="14" t="inlineStr">
        <is>
          <t>REP/2025/017</t>
        </is>
      </c>
      <c r="C21" s="15" t="inlineStr"/>
      <c r="D21" s="16" t="inlineStr">
        <is>
          <t>Energy Storage</t>
        </is>
      </c>
      <c r="E21" s="15" t="inlineStr"/>
      <c r="F21" s="15" t="inlineStr"/>
      <c r="G21" s="16" t="inlineStr">
        <is>
          <t>Final Year</t>
        </is>
      </c>
      <c r="H21" s="16" t="inlineStr"/>
      <c r="I21" s="15" t="inlineStr"/>
      <c r="J21" s="16" t="inlineStr">
        <is>
          <t>Ongoing</t>
        </is>
      </c>
    </row>
    <row r="22" ht="22" customHeight="1">
      <c r="B22" s="8" t="inlineStr">
        <is>
          <t>REP/2025/018</t>
        </is>
      </c>
      <c r="C22" s="9" t="inlineStr"/>
      <c r="D22" s="10" t="inlineStr">
        <is>
          <t>Hybrid RE System</t>
        </is>
      </c>
      <c r="E22" s="9" t="inlineStr"/>
      <c r="F22" s="9" t="inlineStr"/>
      <c r="G22" s="10" t="inlineStr">
        <is>
          <t>Final Year</t>
        </is>
      </c>
      <c r="H22" s="10" t="inlineStr"/>
      <c r="I22" s="9" t="inlineStr"/>
      <c r="J22" s="10" t="inlineStr">
        <is>
          <t>Ongoing</t>
        </is>
      </c>
    </row>
    <row r="23" ht="22" customHeight="1"/>
    <row r="24" ht="24" customHeight="1">
      <c r="B24" s="34" t="inlineStr">
        <is>
          <t>STUDENT PROJECT IMPACT SUMMARY</t>
        </is>
      </c>
    </row>
    <row r="25" ht="22" customHeight="1">
      <c r="B25" s="51" t="inlineStr">
        <is>
          <t>Total Projects Registered</t>
        </is>
      </c>
      <c r="F25" s="26">
        <f>COUNTA(B5:B22)</f>
        <v/>
      </c>
    </row>
    <row r="26" ht="22" customHeight="1">
      <c r="B26" s="25" t="inlineStr">
        <is>
          <t>Funded Projects (with grant)</t>
        </is>
      </c>
      <c r="F26" s="36">
        <f>COUNTIF(H5:H22,"&gt;"&amp;0)</f>
        <v/>
      </c>
    </row>
    <row r="27" ht="22" customHeight="1">
      <c r="B27" s="51" t="inlineStr">
        <is>
          <t>Published Papers</t>
        </is>
      </c>
      <c r="F27" s="26">
        <f>COUNTIF(I5:I22,"&lt;&gt;"&amp;"")</f>
        <v/>
      </c>
    </row>
    <row r="28">
      <c r="B28" s="25" t="inlineStr">
        <is>
          <t>Patent Filed</t>
        </is>
      </c>
      <c r="F28" s="36" t="inlineStr"/>
    </row>
    <row r="29">
      <c r="B29" s="51" t="inlineStr">
        <is>
          <t>Projects Completed</t>
        </is>
      </c>
      <c r="F29" s="26">
        <f>COUNTIF(J5:J22,"Completed")</f>
        <v/>
      </c>
    </row>
    <row r="30">
      <c r="B30" s="25" t="inlineStr">
        <is>
          <t>Total Project Funding (₹)</t>
        </is>
      </c>
      <c r="F30" s="36">
        <f>IFERROR(SUM(H5:H22),"")</f>
        <v/>
      </c>
    </row>
  </sheetData>
  <mergeCells count="15">
    <mergeCell ref="B26:E26"/>
    <mergeCell ref="B27:E27"/>
    <mergeCell ref="B3:J3"/>
    <mergeCell ref="F29:J29"/>
    <mergeCell ref="F30:J30"/>
    <mergeCell ref="F26:J26"/>
    <mergeCell ref="B30:E30"/>
    <mergeCell ref="F25:J25"/>
    <mergeCell ref="F27:J27"/>
    <mergeCell ref="B25:E25"/>
    <mergeCell ref="F28:J28"/>
    <mergeCell ref="B29:E29"/>
    <mergeCell ref="B28:E28"/>
    <mergeCell ref="B24:J24"/>
    <mergeCell ref="B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REC-30: RENEWABLE ENERGY COMMITTEE KPI DASHBOARD</t>
        </is>
      </c>
    </row>
    <row r="3" ht="25" customHeight="1">
      <c r="B3" s="2" t="inlineStr">
        <is>
          <t>A.Y.: _______  Month: _______  REC Coordinator: ___________________  Date: _______</t>
        </is>
      </c>
    </row>
    <row r="4" ht="24" customHeight="1">
      <c r="B4" s="58" t="inlineStr">
        <is>
          <t>SOLAR PV GENERATION KPIs</t>
        </is>
      </c>
    </row>
    <row r="5" ht="22" customHeight="1">
      <c r="B5" s="39" t="inlineStr">
        <is>
          <t>Sl.</t>
        </is>
      </c>
      <c r="C5" s="39" t="inlineStr">
        <is>
          <t>Key Performance Indicator</t>
        </is>
      </c>
      <c r="D5" s="39" t="inlineStr">
        <is>
          <t>Unit</t>
        </is>
      </c>
      <c r="E5" s="39" t="inlineStr">
        <is>
          <t>Target</t>
        </is>
      </c>
      <c r="F5" s="39" t="inlineStr">
        <is>
          <t>Prev. Year
Actual</t>
        </is>
      </c>
      <c r="G5" s="39" t="inlineStr">
        <is>
          <t>Current Year
Actual</t>
        </is>
      </c>
      <c r="H5" s="39" t="inlineStr">
        <is>
          <t>Status</t>
        </is>
      </c>
      <c r="I5" s="39" t="inlineStr">
        <is>
          <t>Action Required</t>
        </is>
      </c>
    </row>
    <row r="6" ht="22" customHeight="1">
      <c r="B6" s="40" t="n">
        <v>1</v>
      </c>
      <c r="C6" s="41" t="inlineStr">
        <is>
          <t>Total solar PV installed capacity (kWp)</t>
        </is>
      </c>
      <c r="D6" s="22" t="inlineStr">
        <is>
          <t>kWp</t>
        </is>
      </c>
      <c r="E6" s="22" t="inlineStr">
        <is>
          <t>Increasing annually</t>
        </is>
      </c>
      <c r="F6" s="22" t="inlineStr"/>
      <c r="G6" s="22" t="inlineStr"/>
      <c r="H6" s="22" t="inlineStr">
        <is>
          <t>On Track</t>
        </is>
      </c>
      <c r="I6" s="41" t="inlineStr"/>
    </row>
    <row r="7" ht="22" customHeight="1">
      <c r="B7" s="8" t="n">
        <v>2</v>
      </c>
      <c r="C7" s="9" t="inlineStr">
        <is>
          <t>Monthly solar generation (kWh)</t>
        </is>
      </c>
      <c r="D7" s="10" t="inlineStr">
        <is>
          <t>kWh</t>
        </is>
      </c>
      <c r="E7" s="10" t="inlineStr">
        <is>
          <t>As per CUF 15–20%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40" t="n">
        <v>3</v>
      </c>
      <c r="C8" s="41" t="inlineStr">
        <is>
          <t>Annual solar generation (kWh)</t>
        </is>
      </c>
      <c r="D8" s="22" t="inlineStr">
        <is>
          <t>kWh</t>
        </is>
      </c>
      <c r="E8" s="22" t="inlineStr">
        <is>
          <t>Increasing YoY</t>
        </is>
      </c>
      <c r="F8" s="22" t="inlineStr"/>
      <c r="G8" s="22" t="inlineStr"/>
      <c r="H8" s="22" t="inlineStr">
        <is>
          <t>On Track</t>
        </is>
      </c>
      <c r="I8" s="41" t="inlineStr"/>
    </row>
    <row r="9" ht="22" customHeight="1">
      <c r="B9" s="8" t="n">
        <v>4</v>
      </c>
      <c r="C9" s="9" t="inlineStr">
        <is>
          <t>Specific yield (kWh/kWp/month)</t>
        </is>
      </c>
      <c r="D9" s="10" t="inlineStr">
        <is>
          <t>kWh/kWp</t>
        </is>
      </c>
      <c r="E9" s="10" t="inlineStr">
        <is>
          <t>≥100 (avg)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40" t="n">
        <v>5</v>
      </c>
      <c r="C10" s="41" t="inlineStr">
        <is>
          <t>Performance Ratio (PR)</t>
        </is>
      </c>
      <c r="D10" s="22" t="inlineStr">
        <is>
          <t>% — target ≥75%</t>
        </is>
      </c>
      <c r="E10" s="22" t="inlineStr">
        <is>
          <t>≥75%</t>
        </is>
      </c>
      <c r="F10" s="22" t="inlineStr"/>
      <c r="G10" s="22" t="inlineStr"/>
      <c r="H10" s="22" t="inlineStr">
        <is>
          <t>On Track</t>
        </is>
      </c>
      <c r="I10" s="41" t="inlineStr"/>
    </row>
    <row r="11" ht="22" customHeight="1">
      <c r="B11" s="8" t="n">
        <v>6</v>
      </c>
      <c r="C11" s="9" t="inlineStr">
        <is>
          <t>CUF (Capacity Utilisation Factor)</t>
        </is>
      </c>
      <c r="D11" s="10" t="inlineStr">
        <is>
          <t>% — target 15–20%</t>
        </is>
      </c>
      <c r="E11" s="10" t="inlineStr">
        <is>
          <t>15–20%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>
      <c r="B12" s="40" t="n">
        <v>7</v>
      </c>
      <c r="C12" s="41" t="inlineStr">
        <is>
          <t>System uptime (% of days operational)</t>
        </is>
      </c>
      <c r="D12" s="22" t="inlineStr">
        <is>
          <t>% uptime</t>
        </is>
      </c>
      <c r="E12" s="22" t="inlineStr">
        <is>
          <t>≥98%</t>
        </is>
      </c>
      <c r="F12" s="22" t="inlineStr"/>
      <c r="G12" s="22" t="inlineStr"/>
      <c r="H12" s="22" t="inlineStr">
        <is>
          <t>On Track</t>
        </is>
      </c>
      <c r="I12" s="41" t="inlineStr"/>
    </row>
    <row r="13" ht="22" customHeight="1"/>
    <row r="14" ht="24" customHeight="1">
      <c r="B14" s="19" t="inlineStr">
        <is>
          <t>ENERGY &amp; SAVINGS KPIs</t>
        </is>
      </c>
    </row>
    <row r="15" ht="22" customHeight="1">
      <c r="B15" s="13" t="inlineStr">
        <is>
          <t>Sl.</t>
        </is>
      </c>
      <c r="C15" s="13" t="inlineStr">
        <is>
          <t>Key Performance Indicator</t>
        </is>
      </c>
      <c r="D15" s="13" t="inlineStr">
        <is>
          <t>Unit</t>
        </is>
      </c>
      <c r="E15" s="13" t="inlineStr">
        <is>
          <t>Target</t>
        </is>
      </c>
      <c r="F15" s="13" t="inlineStr">
        <is>
          <t>Prev. Year
Actual</t>
        </is>
      </c>
      <c r="G15" s="13" t="inlineStr">
        <is>
          <t>Current Year
Actual</t>
        </is>
      </c>
      <c r="H15" s="13" t="inlineStr">
        <is>
          <t>Status</t>
        </is>
      </c>
      <c r="I15" s="13" t="inlineStr">
        <is>
          <t>Action Required</t>
        </is>
      </c>
    </row>
    <row r="16" ht="22" customHeight="1">
      <c r="B16" s="14" t="n">
        <v>1</v>
      </c>
      <c r="C16" s="15" t="inlineStr">
        <is>
          <t>RE as % of total campus energy consumption</t>
        </is>
      </c>
      <c r="D16" s="16" t="inlineStr">
        <is>
          <t>% RE</t>
        </is>
      </c>
      <c r="E16" s="16" t="inlineStr">
        <is>
          <t>Increasing — target ≥30%</t>
        </is>
      </c>
      <c r="F16" s="16" t="inlineStr"/>
      <c r="G16" s="16" t="inlineStr"/>
      <c r="H16" s="16" t="inlineStr">
        <is>
          <t>On Track</t>
        </is>
      </c>
      <c r="I16" s="15" t="inlineStr"/>
    </row>
    <row r="17" ht="22" customHeight="1">
      <c r="B17" s="8" t="n">
        <v>2</v>
      </c>
      <c r="C17" s="9" t="inlineStr">
        <is>
          <t>Annual energy cost savings from RE (₹L)</t>
        </is>
      </c>
      <c r="D17" s="10" t="inlineStr">
        <is>
          <t>₹L</t>
        </is>
      </c>
      <c r="E17" s="10" t="inlineStr">
        <is>
          <t>Increasing YoY</t>
        </is>
      </c>
      <c r="F17" s="10" t="inlineStr"/>
      <c r="G17" s="10" t="inlineStr"/>
      <c r="H17" s="10" t="inlineStr">
        <is>
          <t>On Track</t>
        </is>
      </c>
      <c r="I17" s="9" t="inlineStr"/>
    </row>
    <row r="18" ht="22" customHeight="1">
      <c r="B18" s="14" t="n">
        <v>3</v>
      </c>
      <c r="C18" s="15" t="inlineStr">
        <is>
          <t>Annual CO2 offset from RE (tonnes)</t>
        </is>
      </c>
      <c r="D18" s="16" t="inlineStr">
        <is>
          <t>Tonnes</t>
        </is>
      </c>
      <c r="E18" s="16" t="inlineStr">
        <is>
          <t>Increasing YoY</t>
        </is>
      </c>
      <c r="F18" s="16" t="inlineStr"/>
      <c r="G18" s="16" t="inlineStr"/>
      <c r="H18" s="16" t="inlineStr">
        <is>
          <t>On Track</t>
        </is>
      </c>
      <c r="I18" s="15" t="inlineStr"/>
    </row>
    <row r="19" ht="22" customHeight="1">
      <c r="B19" s="8" t="n">
        <v>4</v>
      </c>
      <c r="C19" s="9" t="inlineStr">
        <is>
          <t>Trees equivalent saved annually</t>
        </is>
      </c>
      <c r="D19" s="10" t="inlineStr">
        <is>
          <t>No.</t>
        </is>
      </c>
      <c r="E19" s="10" t="inlineStr">
        <is>
          <t>Tracked</t>
        </is>
      </c>
      <c r="F19" s="10" t="inlineStr"/>
      <c r="G19" s="10" t="inlineStr"/>
      <c r="H19" s="10" t="inlineStr">
        <is>
          <t>On Track</t>
        </is>
      </c>
      <c r="I19" s="9" t="inlineStr"/>
    </row>
    <row r="20" ht="22" customHeight="1">
      <c r="B20" s="14" t="n">
        <v>5</v>
      </c>
      <c r="C20" s="15" t="inlineStr">
        <is>
          <t>Campus EPI (kWh/m²/year) — audit based</t>
        </is>
      </c>
      <c r="D20" s="16" t="inlineStr">
        <is>
          <t>kWh/m²</t>
        </is>
      </c>
      <c r="E20" s="16" t="inlineStr">
        <is>
          <t>Decreasing YoY</t>
        </is>
      </c>
      <c r="F20" s="16" t="inlineStr"/>
      <c r="G20" s="16" t="inlineStr"/>
      <c r="H20" s="16" t="inlineStr">
        <is>
          <t>On Track</t>
        </is>
      </c>
      <c r="I20" s="15" t="inlineStr"/>
    </row>
    <row r="21" ht="22" customHeight="1">
      <c r="B21" s="8" t="n">
        <v>6</v>
      </c>
      <c r="C21" s="9" t="inlineStr">
        <is>
          <t>Grid energy consumption YoY change (%)</t>
        </is>
      </c>
      <c r="D21" s="10" t="inlineStr">
        <is>
          <t>% change</t>
        </is>
      </c>
      <c r="E21" s="10" t="inlineStr">
        <is>
          <t>Decreasing</t>
        </is>
      </c>
      <c r="F21" s="10" t="inlineStr"/>
      <c r="G21" s="10" t="inlineStr"/>
      <c r="H21" s="10" t="inlineStr">
        <is>
          <t>On Track</t>
        </is>
      </c>
      <c r="I21" s="9" t="inlineStr"/>
    </row>
    <row r="22" ht="22" customHeight="1"/>
    <row r="23" ht="24" customHeight="1">
      <c r="B23" s="34" t="inlineStr">
        <is>
          <t>GREEN CAMPUS KPIs</t>
        </is>
      </c>
    </row>
    <row r="24" ht="22" customHeight="1">
      <c r="B24" s="30" t="inlineStr">
        <is>
          <t>Sl.</t>
        </is>
      </c>
      <c r="C24" s="30" t="inlineStr">
        <is>
          <t>Key Performance Indicator</t>
        </is>
      </c>
      <c r="D24" s="30" t="inlineStr">
        <is>
          <t>Unit</t>
        </is>
      </c>
      <c r="E24" s="30" t="inlineStr">
        <is>
          <t>Target</t>
        </is>
      </c>
      <c r="F24" s="30" t="inlineStr">
        <is>
          <t>Prev. Year
Actual</t>
        </is>
      </c>
      <c r="G24" s="30" t="inlineStr">
        <is>
          <t>Current Year
Actual</t>
        </is>
      </c>
      <c r="H24" s="30" t="inlineStr">
        <is>
          <t>Status</t>
        </is>
      </c>
      <c r="I24" s="30" t="inlineStr">
        <is>
          <t>Action Required</t>
        </is>
      </c>
    </row>
    <row r="25" ht="22" customHeight="1">
      <c r="B25" s="31" t="n">
        <v>1</v>
      </c>
      <c r="C25" s="32" t="inlineStr">
        <is>
          <t>Green campus criteria achieved (% of checklist)</t>
        </is>
      </c>
      <c r="D25" s="33" t="inlineStr">
        <is>
          <t>% achieved</t>
        </is>
      </c>
      <c r="E25" s="33" t="inlineStr">
        <is>
          <t>≥60% → 100%</t>
        </is>
      </c>
      <c r="F25" s="33" t="inlineStr"/>
      <c r="G25" s="33" t="inlineStr"/>
      <c r="H25" s="33" t="inlineStr">
        <is>
          <t>On Track</t>
        </is>
      </c>
      <c r="I25" s="32" t="inlineStr"/>
    </row>
    <row r="26" ht="22" customHeight="1">
      <c r="B26" s="8" t="n">
        <v>2</v>
      </c>
      <c r="C26" s="9" t="inlineStr">
        <is>
          <t>GRIHA / LEED / Green certification status</t>
        </is>
      </c>
      <c r="D26" s="10" t="inlineStr">
        <is>
          <t>Star / Points</t>
        </is>
      </c>
      <c r="E26" s="10" t="inlineStr">
        <is>
          <t>Tracked</t>
        </is>
      </c>
      <c r="F26" s="10" t="inlineStr"/>
      <c r="G26" s="10" t="inlineStr"/>
      <c r="H26" s="10" t="inlineStr">
        <is>
          <t>On Track</t>
        </is>
      </c>
      <c r="I26" s="9" t="inlineStr"/>
    </row>
    <row r="27" ht="22" customHeight="1">
      <c r="B27" s="31" t="n">
        <v>3</v>
      </c>
      <c r="C27" s="32" t="inlineStr">
        <is>
          <t>Rainwater harvested annually (kL)</t>
        </is>
      </c>
      <c r="D27" s="33" t="inlineStr">
        <is>
          <t>kL</t>
        </is>
      </c>
      <c r="E27" s="33" t="inlineStr">
        <is>
          <t>Increasing</t>
        </is>
      </c>
      <c r="F27" s="33" t="inlineStr"/>
      <c r="G27" s="33" t="inlineStr"/>
      <c r="H27" s="33" t="inlineStr">
        <is>
          <t>On Track</t>
        </is>
      </c>
      <c r="I27" s="32" t="inlineStr"/>
    </row>
    <row r="28" ht="22" customHeight="1">
      <c r="B28" s="8" t="n">
        <v>4</v>
      </c>
      <c r="C28" s="9" t="inlineStr">
        <is>
          <t>Biogas generated from campus waste (m³/month)</t>
        </is>
      </c>
      <c r="D28" s="10" t="inlineStr">
        <is>
          <t>m³</t>
        </is>
      </c>
      <c r="E28" s="10" t="inlineStr">
        <is>
          <t>Tracked</t>
        </is>
      </c>
      <c r="F28" s="10" t="inlineStr"/>
      <c r="G28" s="10" t="inlineStr"/>
      <c r="H28" s="10" t="inlineStr">
        <is>
          <t>On Track</t>
        </is>
      </c>
      <c r="I28" s="9" t="inlineStr"/>
    </row>
    <row r="29" ht="22" customHeight="1">
      <c r="B29" s="31" t="n">
        <v>5</v>
      </c>
      <c r="C29" s="32" t="inlineStr">
        <is>
          <t>EV charging sessions per month</t>
        </is>
      </c>
      <c r="D29" s="33" t="inlineStr">
        <is>
          <t>No.</t>
        </is>
      </c>
      <c r="E29" s="33" t="inlineStr">
        <is>
          <t>Increasing</t>
        </is>
      </c>
      <c r="F29" s="33" t="inlineStr"/>
      <c r="G29" s="33" t="inlineStr"/>
      <c r="H29" s="33" t="inlineStr">
        <is>
          <t>On Track</t>
        </is>
      </c>
      <c r="I29" s="32" t="inlineStr"/>
    </row>
    <row r="30" ht="22" customHeight="1">
      <c r="B30" s="8" t="n">
        <v>6</v>
      </c>
      <c r="C30" s="9" t="inlineStr">
        <is>
          <t>ISO 50001 compliance status</t>
        </is>
      </c>
      <c r="D30" s="10" t="inlineStr">
        <is>
          <t>Y/N</t>
        </is>
      </c>
      <c r="E30" s="10" t="inlineStr">
        <is>
          <t>Pursuing / Achieved</t>
        </is>
      </c>
      <c r="F30" s="10" t="inlineStr"/>
      <c r="G30" s="10" t="inlineStr"/>
      <c r="H30" s="10" t="inlineStr">
        <is>
          <t>On Track</t>
        </is>
      </c>
      <c r="I30" s="9" t="inlineStr"/>
    </row>
    <row r="31" ht="22" customHeight="1"/>
    <row r="32" ht="24" customHeight="1">
      <c r="B32" s="59" t="inlineStr">
        <is>
          <t>FINANCIAL &amp; COMPLIANCE KPIs</t>
        </is>
      </c>
    </row>
    <row r="33" ht="22" customHeight="1">
      <c r="B33" s="60" t="inlineStr">
        <is>
          <t>Sl.</t>
        </is>
      </c>
      <c r="C33" s="60" t="inlineStr">
        <is>
          <t>Key Performance Indicator</t>
        </is>
      </c>
      <c r="D33" s="60" t="inlineStr">
        <is>
          <t>Unit</t>
        </is>
      </c>
      <c r="E33" s="60" t="inlineStr">
        <is>
          <t>Target</t>
        </is>
      </c>
      <c r="F33" s="60" t="inlineStr">
        <is>
          <t>Prev. Year
Actual</t>
        </is>
      </c>
      <c r="G33" s="60" t="inlineStr">
        <is>
          <t>Current Year
Actual</t>
        </is>
      </c>
      <c r="H33" s="60" t="inlineStr">
        <is>
          <t>Status</t>
        </is>
      </c>
      <c r="I33" s="60" t="inlineStr">
        <is>
          <t>Action Required</t>
        </is>
      </c>
    </row>
    <row r="34" ht="22" customHeight="1">
      <c r="B34" s="61" t="n">
        <v>1</v>
      </c>
      <c r="C34" s="62" t="inlineStr">
        <is>
          <t>RE capital investment (₹L)</t>
        </is>
      </c>
      <c r="D34" s="63" t="inlineStr">
        <is>
          <t>₹L — cumulative</t>
        </is>
      </c>
      <c r="E34" s="63" t="inlineStr">
        <is>
          <t>Tracked</t>
        </is>
      </c>
      <c r="F34" s="63" t="inlineStr"/>
      <c r="G34" s="63" t="inlineStr"/>
      <c r="H34" s="63" t="inlineStr">
        <is>
          <t>On Track</t>
        </is>
      </c>
      <c r="I34" s="62" t="inlineStr"/>
    </row>
    <row r="35" ht="22" customHeight="1">
      <c r="B35" s="8" t="n">
        <v>2</v>
      </c>
      <c r="C35" s="9" t="inlineStr">
        <is>
          <t>Simple payback period (years)</t>
        </is>
      </c>
      <c r="D35" s="10" t="inlineStr">
        <is>
          <t>Years</t>
        </is>
      </c>
      <c r="E35" s="10" t="inlineStr">
        <is>
          <t>≤7 years</t>
        </is>
      </c>
      <c r="F35" s="10" t="inlineStr"/>
      <c r="G35" s="10" t="inlineStr"/>
      <c r="H35" s="10" t="inlineStr">
        <is>
          <t>On Track</t>
        </is>
      </c>
      <c r="I35" s="9" t="inlineStr"/>
    </row>
    <row r="36" ht="22" customHeight="1">
      <c r="B36" s="61" t="n">
        <v>3</v>
      </c>
      <c r="C36" s="62" t="inlineStr">
        <is>
          <t>Net metering credits earned (₹L)</t>
        </is>
      </c>
      <c r="D36" s="63" t="inlineStr">
        <is>
          <t>₹L/year</t>
        </is>
      </c>
      <c r="E36" s="63" t="inlineStr">
        <is>
          <t>Increasing</t>
        </is>
      </c>
      <c r="F36" s="63" t="inlineStr"/>
      <c r="G36" s="63" t="inlineStr"/>
      <c r="H36" s="63" t="inlineStr">
        <is>
          <t>On Track</t>
        </is>
      </c>
      <c r="I36" s="62" t="inlineStr"/>
    </row>
    <row r="37" ht="22" customHeight="1">
      <c r="B37" s="8" t="n">
        <v>4</v>
      </c>
      <c r="C37" s="9" t="inlineStr">
        <is>
          <t>MNRE / govt. subsidy availed (₹L)</t>
        </is>
      </c>
      <c r="D37" s="10" t="inlineStr">
        <is>
          <t>₹L</t>
        </is>
      </c>
      <c r="E37" s="10" t="inlineStr">
        <is>
          <t>Tracked</t>
        </is>
      </c>
      <c r="F37" s="10" t="inlineStr"/>
      <c r="G37" s="10" t="inlineStr"/>
      <c r="H37" s="10" t="inlineStr">
        <is>
          <t>On Track</t>
        </is>
      </c>
      <c r="I37" s="9" t="inlineStr"/>
    </row>
    <row r="38" ht="22" customHeight="1">
      <c r="B38" s="61" t="n">
        <v>5</v>
      </c>
      <c r="C38" s="62" t="inlineStr">
        <is>
          <t>AMC renewals done on time</t>
        </is>
      </c>
      <c r="D38" s="63" t="inlineStr">
        <is>
          <t>% on time</t>
        </is>
      </c>
      <c r="E38" s="63" t="inlineStr">
        <is>
          <t>100%</t>
        </is>
      </c>
      <c r="F38" s="63" t="inlineStr"/>
      <c r="G38" s="63" t="inlineStr"/>
      <c r="H38" s="63" t="inlineStr">
        <is>
          <t>On Track</t>
        </is>
      </c>
      <c r="I38" s="62" t="inlineStr"/>
    </row>
    <row r="39" ht="22" customHeight="1">
      <c r="B39" s="8" t="n">
        <v>6</v>
      </c>
      <c r="C39" s="9" t="inlineStr">
        <is>
          <t>NAAC Green Campus data submitted</t>
        </is>
      </c>
      <c r="D39" s="10" t="inlineStr">
        <is>
          <t>Y/N</t>
        </is>
      </c>
      <c r="E39" s="10" t="inlineStr">
        <is>
          <t>Yes annually</t>
        </is>
      </c>
      <c r="F39" s="10" t="inlineStr"/>
      <c r="G39" s="10" t="inlineStr"/>
      <c r="H39" s="10" t="inlineStr">
        <is>
          <t>On Track</t>
        </is>
      </c>
      <c r="I39" s="9" t="inlineStr"/>
    </row>
    <row r="40" ht="22" customHeight="1"/>
    <row r="41" ht="24" customHeight="1">
      <c r="B41" s="64" t="inlineStr">
        <is>
          <t>AWARENESS &amp; RESEARCH KPIs</t>
        </is>
      </c>
    </row>
    <row r="42" ht="22" customHeight="1">
      <c r="B42" s="65" t="inlineStr">
        <is>
          <t>Sl.</t>
        </is>
      </c>
      <c r="C42" s="65" t="inlineStr">
        <is>
          <t>Key Performance Indicator</t>
        </is>
      </c>
      <c r="D42" s="65" t="inlineStr">
        <is>
          <t>Unit</t>
        </is>
      </c>
      <c r="E42" s="65" t="inlineStr">
        <is>
          <t>Target</t>
        </is>
      </c>
      <c r="F42" s="65" t="inlineStr">
        <is>
          <t>Prev. Year
Actual</t>
        </is>
      </c>
      <c r="G42" s="65" t="inlineStr">
        <is>
          <t>Current Year
Actual</t>
        </is>
      </c>
      <c r="H42" s="65" t="inlineStr">
        <is>
          <t>Status</t>
        </is>
      </c>
      <c r="I42" s="65" t="inlineStr">
        <is>
          <t>Action Required</t>
        </is>
      </c>
    </row>
    <row r="43" ht="22" customHeight="1">
      <c r="B43" s="66" t="n">
        <v>1</v>
      </c>
      <c r="C43" s="67" t="inlineStr">
        <is>
          <t>Energy awareness programmes conducted</t>
        </is>
      </c>
      <c r="D43" s="68" t="inlineStr">
        <is>
          <t>No. per year</t>
        </is>
      </c>
      <c r="E43" s="68" t="inlineStr">
        <is>
          <t>≥12</t>
        </is>
      </c>
      <c r="F43" s="68" t="inlineStr"/>
      <c r="G43" s="68" t="inlineStr"/>
      <c r="H43" s="68" t="inlineStr">
        <is>
          <t>On Track</t>
        </is>
      </c>
      <c r="I43" s="67" t="inlineStr"/>
    </row>
    <row r="44" ht="22" customHeight="1">
      <c r="B44" s="8" t="n">
        <v>2</v>
      </c>
      <c r="C44" s="9" t="inlineStr">
        <is>
          <t>Students reached through RE awareness</t>
        </is>
      </c>
      <c r="D44" s="10" t="inlineStr">
        <is>
          <t>% of enrolled</t>
        </is>
      </c>
      <c r="E44" s="10" t="inlineStr">
        <is>
          <t>≥50%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>
      <c r="B45" s="66" t="n">
        <v>3</v>
      </c>
      <c r="C45" s="67" t="inlineStr">
        <is>
          <t>Student RE projects registered</t>
        </is>
      </c>
      <c r="D45" s="68" t="inlineStr">
        <is>
          <t>No. per year</t>
        </is>
      </c>
      <c r="E45" s="68" t="inlineStr">
        <is>
          <t>≥10</t>
        </is>
      </c>
      <c r="F45" s="68" t="inlineStr"/>
      <c r="G45" s="68" t="inlineStr"/>
      <c r="H45" s="68" t="inlineStr">
        <is>
          <t>On Track</t>
        </is>
      </c>
      <c r="I45" s="67" t="inlineStr"/>
    </row>
    <row r="46" ht="22" customHeight="1">
      <c r="B46" s="8" t="n">
        <v>4</v>
      </c>
      <c r="C46" s="9" t="inlineStr">
        <is>
          <t>RE publications / patents</t>
        </is>
      </c>
      <c r="D46" s="10" t="inlineStr">
        <is>
          <t>No. per year</t>
        </is>
      </c>
      <c r="E46" s="10" t="inlineStr">
        <is>
          <t>≥3</t>
        </is>
      </c>
      <c r="F46" s="10" t="inlineStr"/>
      <c r="G46" s="10" t="inlineStr"/>
      <c r="H46" s="10" t="inlineStr">
        <is>
          <t>On Track</t>
        </is>
      </c>
      <c r="I46" s="9" t="inlineStr"/>
    </row>
    <row r="47" ht="22" customHeight="1">
      <c r="B47" s="66" t="n">
        <v>5</v>
      </c>
      <c r="C47" s="67" t="inlineStr">
        <is>
          <t>RE expert talks / guest lectures</t>
        </is>
      </c>
      <c r="D47" s="68" t="inlineStr">
        <is>
          <t>No. per year</t>
        </is>
      </c>
      <c r="E47" s="68" t="inlineStr">
        <is>
          <t>≥6</t>
        </is>
      </c>
      <c r="F47" s="68" t="inlineStr"/>
      <c r="G47" s="68" t="inlineStr"/>
      <c r="H47" s="68" t="inlineStr">
        <is>
          <t>On Track</t>
        </is>
      </c>
      <c r="I47" s="67" t="inlineStr"/>
    </row>
    <row r="48" ht="22" customHeight="1">
      <c r="B48" s="8" t="n">
        <v>6</v>
      </c>
      <c r="C48" s="9" t="inlineStr">
        <is>
          <t>Faculty RE training / FDP sessions</t>
        </is>
      </c>
      <c r="D48" s="10" t="inlineStr">
        <is>
          <t>No. per year</t>
        </is>
      </c>
      <c r="E48" s="10" t="inlineStr">
        <is>
          <t>≥2</t>
        </is>
      </c>
      <c r="F48" s="10" t="inlineStr"/>
      <c r="G48" s="10" t="inlineStr"/>
      <c r="H48" s="10" t="inlineStr">
        <is>
          <t>On Track</t>
        </is>
      </c>
      <c r="I48" s="9" t="inlineStr"/>
    </row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2:I2"/>
    <mergeCell ref="B3:I3"/>
    <mergeCell ref="B14:I14"/>
    <mergeCell ref="B23:I23"/>
    <mergeCell ref="B41:I41"/>
    <mergeCell ref="B32:I32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REC-31: RENEWABLE ENERGY ANNUAL REPORT COMPILATION FORM</t>
        </is>
      </c>
    </row>
    <row r="3" ht="25" customHeight="1">
      <c r="B3" s="2" t="inlineStr">
        <is>
          <t>A.Y.: _______  REC Coordinator: ___________________  Submitted to: Management / IQAC / MNRE / NAAC  Date: _______</t>
        </is>
      </c>
    </row>
    <row r="4" ht="24" customHeight="1">
      <c r="B4" s="58" t="inlineStr">
        <is>
          <t>SECTION 1 — SOLAR PV SYSTEMS</t>
        </is>
      </c>
    </row>
    <row r="5" ht="22" customHeight="1">
      <c r="B5" s="39" t="inlineStr">
        <is>
          <t>Sl.</t>
        </is>
      </c>
      <c r="C5" s="39" t="inlineStr">
        <is>
          <t>Performance Metric</t>
        </is>
      </c>
      <c r="D5" s="39" t="inlineStr">
        <is>
          <t>Unit</t>
        </is>
      </c>
      <c r="E5" s="39" t="inlineStr">
        <is>
          <t>Current A.Y.</t>
        </is>
      </c>
      <c r="F5" s="39" t="inlineStr">
        <is>
          <t>Previous A.Y.</t>
        </is>
      </c>
      <c r="G5" s="39" t="inlineStr">
        <is>
          <t>Growth %</t>
        </is>
      </c>
      <c r="H5" s="39" t="inlineStr">
        <is>
          <t>Target Next Year</t>
        </is>
      </c>
    </row>
    <row r="6" ht="22" customHeight="1">
      <c r="B6" s="40" t="n">
        <v>1</v>
      </c>
      <c r="C6" s="41" t="inlineStr">
        <is>
          <t>Total installed solar capacity (kWp)</t>
        </is>
      </c>
      <c r="D6" s="22" t="inlineStr">
        <is>
          <t>kWp</t>
        </is>
      </c>
      <c r="E6" s="22" t="inlineStr"/>
      <c r="F6" s="22" t="inlineStr"/>
      <c r="G6" s="22">
        <f>IFERROR(ROUND((E6-F6)/IF(F6=0,1,F6)*100,1),"")</f>
        <v/>
      </c>
      <c r="H6" s="22" t="inlineStr"/>
    </row>
    <row r="7" ht="22" customHeight="1">
      <c r="B7" s="8" t="n">
        <v>2</v>
      </c>
      <c r="C7" s="9" t="inlineStr">
        <is>
          <t>Annual solar energy generated (kWh)</t>
        </is>
      </c>
      <c r="D7" s="10" t="inlineStr">
        <is>
          <t>kWh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40" t="n">
        <v>3</v>
      </c>
      <c r="C8" s="41" t="inlineStr">
        <is>
          <t>New solar capacity added this year (kWp)</t>
        </is>
      </c>
      <c r="D8" s="22" t="inlineStr">
        <is>
          <t>kWp</t>
        </is>
      </c>
      <c r="E8" s="22" t="inlineStr"/>
      <c r="F8" s="22" t="inlineStr"/>
      <c r="G8" s="22">
        <f>IFERROR(ROUND((E8-F8)/IF(F8=0,1,F8)*100,1),"")</f>
        <v/>
      </c>
      <c r="H8" s="22" t="inlineStr"/>
    </row>
    <row r="9" ht="22" customHeight="1">
      <c r="B9" s="8" t="n">
        <v>4</v>
      </c>
      <c r="C9" s="9" t="inlineStr">
        <is>
          <t>System average performance ratio (%)</t>
        </is>
      </c>
      <c r="D9" s="10" t="inlineStr">
        <is>
          <t>% PR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40" t="n">
        <v>5</v>
      </c>
      <c r="C10" s="41" t="inlineStr">
        <is>
          <t>Units exported to grid (net metering)</t>
        </is>
      </c>
      <c r="D10" s="22" t="inlineStr">
        <is>
          <t>kWh</t>
        </is>
      </c>
      <c r="E10" s="22" t="inlineStr"/>
      <c r="F10" s="22" t="inlineStr"/>
      <c r="G10" s="22">
        <f>IFERROR(ROUND((E10-F10)/IF(F10=0,1,F10)*100,1),"")</f>
        <v/>
      </c>
      <c r="H10" s="22" t="inlineStr"/>
    </row>
    <row r="11" ht="22" customHeight="1">
      <c r="B11" s="8" t="n">
        <v>6</v>
      </c>
      <c r="C11" s="9" t="inlineStr">
        <is>
          <t>System downtime incidents</t>
        </is>
      </c>
      <c r="D11" s="10" t="inlineStr">
        <is>
          <t>No.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34" t="inlineStr">
        <is>
          <t>SECTION 2 — OTHER RE SYSTEMS</t>
        </is>
      </c>
    </row>
    <row r="14" ht="22" customHeight="1">
      <c r="B14" s="30" t="inlineStr">
        <is>
          <t>Sl.</t>
        </is>
      </c>
      <c r="C14" s="30" t="inlineStr">
        <is>
          <t>Performance Metric</t>
        </is>
      </c>
      <c r="D14" s="30" t="inlineStr">
        <is>
          <t>Unit</t>
        </is>
      </c>
      <c r="E14" s="30" t="inlineStr">
        <is>
          <t>Current A.Y.</t>
        </is>
      </c>
      <c r="F14" s="30" t="inlineStr">
        <is>
          <t>Previous A.Y.</t>
        </is>
      </c>
      <c r="G14" s="30" t="inlineStr">
        <is>
          <t>Growth %</t>
        </is>
      </c>
      <c r="H14" s="30" t="inlineStr">
        <is>
          <t>Target Next Year</t>
        </is>
      </c>
    </row>
    <row r="15" ht="22" customHeight="1">
      <c r="B15" s="31" t="n">
        <v>1</v>
      </c>
      <c r="C15" s="32" t="inlineStr">
        <is>
          <t>Solar hot water — energy generated (kWh equivalent)</t>
        </is>
      </c>
      <c r="D15" s="33" t="inlineStr">
        <is>
          <t>kWh eq.</t>
        </is>
      </c>
      <c r="E15" s="33" t="inlineStr"/>
      <c r="F15" s="33" t="inlineStr"/>
      <c r="G15" s="33">
        <f>IFERROR(ROUND((E15-F15)/IF(F15=0,1,F15)*100,1),"")</f>
        <v/>
      </c>
      <c r="H15" s="33" t="inlineStr"/>
    </row>
    <row r="16" ht="22" customHeight="1">
      <c r="B16" s="8" t="n">
        <v>2</v>
      </c>
      <c r="C16" s="9" t="inlineStr">
        <is>
          <t>Wind energy generated (kWh)</t>
        </is>
      </c>
      <c r="D16" s="10" t="inlineStr">
        <is>
          <t>kWh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31" t="n">
        <v>3</v>
      </c>
      <c r="C17" s="32" t="inlineStr">
        <is>
          <t>Biogas generated (m³)</t>
        </is>
      </c>
      <c r="D17" s="33" t="inlineStr">
        <is>
          <t>m³</t>
        </is>
      </c>
      <c r="E17" s="33" t="inlineStr"/>
      <c r="F17" s="33" t="inlineStr"/>
      <c r="G17" s="33">
        <f>IFERROR(ROUND((E17-F17)/IF(F17=0,1,F17)*100,1),"")</f>
        <v/>
      </c>
      <c r="H17" s="33" t="inlineStr"/>
    </row>
    <row r="18" ht="22" customHeight="1">
      <c r="B18" s="8" t="n">
        <v>4</v>
      </c>
      <c r="C18" s="9" t="inlineStr">
        <is>
          <t>Battery storage capacity (kWh)</t>
        </is>
      </c>
      <c r="D18" s="10" t="inlineStr">
        <is>
          <t>kWh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31" t="n">
        <v>5</v>
      </c>
      <c r="C19" s="32" t="inlineStr">
        <is>
          <t>EV charging units dispensed (kWh)</t>
        </is>
      </c>
      <c r="D19" s="33" t="inlineStr">
        <is>
          <t>kWh</t>
        </is>
      </c>
      <c r="E19" s="33" t="inlineStr"/>
      <c r="F19" s="33" t="inlineStr"/>
      <c r="G19" s="33">
        <f>IFERROR(ROUND((E19-F19)/IF(F19=0,1,F19)*100,1),"")</f>
        <v/>
      </c>
      <c r="H19" s="33" t="inlineStr"/>
    </row>
    <row r="20" ht="22" customHeight="1">
      <c r="B20" s="8" t="n">
        <v>6</v>
      </c>
      <c r="C20" s="9" t="inlineStr">
        <is>
          <t>Total RE generation (all sources, kWh)</t>
        </is>
      </c>
      <c r="D20" s="10" t="inlineStr">
        <is>
          <t>kWh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19" t="inlineStr">
        <is>
          <t>SECTION 3 — ENERGY &amp; SAVINGS</t>
        </is>
      </c>
    </row>
    <row r="23" ht="22" customHeight="1">
      <c r="B23" s="13" t="inlineStr">
        <is>
          <t>Sl.</t>
        </is>
      </c>
      <c r="C23" s="13" t="inlineStr">
        <is>
          <t>Performance Metric</t>
        </is>
      </c>
      <c r="D23" s="13" t="inlineStr">
        <is>
          <t>Unit</t>
        </is>
      </c>
      <c r="E23" s="13" t="inlineStr">
        <is>
          <t>Current A.Y.</t>
        </is>
      </c>
      <c r="F23" s="13" t="inlineStr">
        <is>
          <t>Previous A.Y.</t>
        </is>
      </c>
      <c r="G23" s="13" t="inlineStr">
        <is>
          <t>Growth %</t>
        </is>
      </c>
      <c r="H23" s="13" t="inlineStr">
        <is>
          <t>Target Next Year</t>
        </is>
      </c>
    </row>
    <row r="24" ht="22" customHeight="1">
      <c r="B24" s="14" t="n">
        <v>1</v>
      </c>
      <c r="C24" s="15" t="inlineStr">
        <is>
          <t>Total campus grid consumption (kWh)</t>
        </is>
      </c>
      <c r="D24" s="16" t="inlineStr">
        <is>
          <t>kWh</t>
        </is>
      </c>
      <c r="E24" s="16" t="inlineStr"/>
      <c r="F24" s="16" t="inlineStr"/>
      <c r="G24" s="16">
        <f>IFERROR(ROUND((E24-F24)/IF(F24=0,1,F24)*100,1),"")</f>
        <v/>
      </c>
      <c r="H24" s="16" t="inlineStr"/>
    </row>
    <row r="25" ht="22" customHeight="1">
      <c r="B25" s="8" t="n">
        <v>2</v>
      </c>
      <c r="C25" s="9" t="inlineStr">
        <is>
          <t>RE as % of total energy</t>
        </is>
      </c>
      <c r="D25" s="10" t="inlineStr">
        <is>
          <t>% RE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14" t="n">
        <v>3</v>
      </c>
      <c r="C26" s="15" t="inlineStr">
        <is>
          <t>Annual energy cost savings (₹L)</t>
        </is>
      </c>
      <c r="D26" s="16" t="inlineStr">
        <is>
          <t>₹L</t>
        </is>
      </c>
      <c r="E26" s="16" t="inlineStr"/>
      <c r="F26" s="16" t="inlineStr"/>
      <c r="G26" s="16">
        <f>IFERROR(ROUND((E26-F26)/IF(F26=0,1,F26)*100,1),"")</f>
        <v/>
      </c>
      <c r="H26" s="16" t="inlineStr"/>
    </row>
    <row r="27" ht="22" customHeight="1">
      <c r="B27" s="8" t="n">
        <v>4</v>
      </c>
      <c r="C27" s="9" t="inlineStr">
        <is>
          <t>Annual CO2 offset (tonnes)</t>
        </is>
      </c>
      <c r="D27" s="10" t="inlineStr">
        <is>
          <t>Tonnes CO2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14" t="n">
        <v>5</v>
      </c>
      <c r="C28" s="15" t="inlineStr">
        <is>
          <t>Equivalent trees saved</t>
        </is>
      </c>
      <c r="D28" s="16" t="inlineStr">
        <is>
          <t>No.</t>
        </is>
      </c>
      <c r="E28" s="16" t="inlineStr"/>
      <c r="F28" s="16" t="inlineStr"/>
      <c r="G28" s="16">
        <f>IFERROR(ROUND((E28-F28)/IF(F28=0,1,F28)*100,1),"")</f>
        <v/>
      </c>
      <c r="H28" s="16" t="inlineStr"/>
    </row>
    <row r="29" ht="22" customHeight="1">
      <c r="B29" s="8" t="n">
        <v>6</v>
      </c>
      <c r="C29" s="9" t="inlineStr">
        <is>
          <t>Campus EPI (kWh/m²)</t>
        </is>
      </c>
      <c r="D29" s="10" t="inlineStr">
        <is>
          <t>kWh/m²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59" t="inlineStr">
        <is>
          <t>SECTION 4 — GREEN CAMPUS &amp; COMPLIANCE</t>
        </is>
      </c>
    </row>
    <row r="32" ht="22" customHeight="1">
      <c r="B32" s="60" t="inlineStr">
        <is>
          <t>Sl.</t>
        </is>
      </c>
      <c r="C32" s="60" t="inlineStr">
        <is>
          <t>Performance Metric</t>
        </is>
      </c>
      <c r="D32" s="60" t="inlineStr">
        <is>
          <t>Unit</t>
        </is>
      </c>
      <c r="E32" s="60" t="inlineStr">
        <is>
          <t>Current A.Y.</t>
        </is>
      </c>
      <c r="F32" s="60" t="inlineStr">
        <is>
          <t>Previous A.Y.</t>
        </is>
      </c>
      <c r="G32" s="60" t="inlineStr">
        <is>
          <t>Growth %</t>
        </is>
      </c>
      <c r="H32" s="60" t="inlineStr">
        <is>
          <t>Target Next Year</t>
        </is>
      </c>
    </row>
    <row r="33" ht="22" customHeight="1">
      <c r="B33" s="61" t="n">
        <v>1</v>
      </c>
      <c r="C33" s="62" t="inlineStr">
        <is>
          <t>Green campus certification status</t>
        </is>
      </c>
      <c r="D33" s="63" t="inlineStr">
        <is>
          <t>Level / Points</t>
        </is>
      </c>
      <c r="E33" s="63" t="inlineStr"/>
      <c r="F33" s="63" t="inlineStr"/>
      <c r="G33" s="63">
        <f>IFERROR(ROUND((E33-F33)/IF(F33=0,1,F33)*100,1),"")</f>
        <v/>
      </c>
      <c r="H33" s="63" t="inlineStr"/>
    </row>
    <row r="34" ht="22" customHeight="1">
      <c r="B34" s="8" t="n">
        <v>2</v>
      </c>
      <c r="C34" s="9" t="inlineStr">
        <is>
          <t>NAAC Green Campus score achieved</t>
        </is>
      </c>
      <c r="D34" s="10" t="inlineStr">
        <is>
          <t>Score /100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61" t="n">
        <v>3</v>
      </c>
      <c r="C35" s="62" t="inlineStr">
        <is>
          <t>GRIHA / LEED certification</t>
        </is>
      </c>
      <c r="D35" s="63" t="inlineStr">
        <is>
          <t>Star / LEED Level</t>
        </is>
      </c>
      <c r="E35" s="63" t="inlineStr"/>
      <c r="F35" s="63" t="inlineStr"/>
      <c r="G35" s="63">
        <f>IFERROR(ROUND((E35-F35)/IF(F35=0,1,F35)*100,1),"")</f>
        <v/>
      </c>
      <c r="H35" s="63" t="inlineStr"/>
    </row>
    <row r="36" ht="22" customHeight="1">
      <c r="B36" s="8" t="n">
        <v>4</v>
      </c>
      <c r="C36" s="9" t="inlineStr">
        <is>
          <t>MNRE scheme benefits availed (₹L)</t>
        </is>
      </c>
      <c r="D36" s="10" t="inlineStr">
        <is>
          <t>₹L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61" t="n">
        <v>5</v>
      </c>
      <c r="C37" s="62" t="inlineStr">
        <is>
          <t>ISO 50001 status</t>
        </is>
      </c>
      <c r="D37" s="63" t="inlineStr">
        <is>
          <t>Status</t>
        </is>
      </c>
      <c r="E37" s="63" t="inlineStr"/>
      <c r="F37" s="63" t="inlineStr"/>
      <c r="G37" s="63">
        <f>IFERROR(ROUND((E37-F37)/IF(F37=0,1,F37)*100,1),"")</f>
        <v/>
      </c>
      <c r="H37" s="63" t="inlineStr"/>
    </row>
    <row r="38" ht="22" customHeight="1">
      <c r="B38" s="8" t="n">
        <v>6</v>
      </c>
      <c r="C38" s="9" t="inlineStr">
        <is>
          <t>Total RE capital investment (₹L)</t>
        </is>
      </c>
      <c r="D38" s="10" t="inlineStr">
        <is>
          <t>₹L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64" t="inlineStr">
        <is>
          <t>SECTION 5 — AWARENESS &amp; RESEARCH</t>
        </is>
      </c>
    </row>
    <row r="41" ht="22" customHeight="1">
      <c r="B41" s="65" t="inlineStr">
        <is>
          <t>Sl.</t>
        </is>
      </c>
      <c r="C41" s="65" t="inlineStr">
        <is>
          <t>Performance Metric</t>
        </is>
      </c>
      <c r="D41" s="65" t="inlineStr">
        <is>
          <t>Unit</t>
        </is>
      </c>
      <c r="E41" s="65" t="inlineStr">
        <is>
          <t>Current A.Y.</t>
        </is>
      </c>
      <c r="F41" s="65" t="inlineStr">
        <is>
          <t>Previous A.Y.</t>
        </is>
      </c>
      <c r="G41" s="65" t="inlineStr">
        <is>
          <t>Growth %</t>
        </is>
      </c>
      <c r="H41" s="65" t="inlineStr">
        <is>
          <t>Target Next Year</t>
        </is>
      </c>
    </row>
    <row r="42" ht="22" customHeight="1">
      <c r="B42" s="66" t="n">
        <v>1</v>
      </c>
      <c r="C42" s="67" t="inlineStr">
        <is>
          <t>Energy awareness programmes</t>
        </is>
      </c>
      <c r="D42" s="68" t="inlineStr">
        <is>
          <t>No.</t>
        </is>
      </c>
      <c r="E42" s="68" t="inlineStr"/>
      <c r="F42" s="68" t="inlineStr"/>
      <c r="G42" s="68">
        <f>IFERROR(ROUND((E42-F42)/IF(F42=0,1,F42)*100,1),"")</f>
        <v/>
      </c>
      <c r="H42" s="68" t="inlineStr"/>
    </row>
    <row r="43" ht="22" customHeight="1">
      <c r="B43" s="8" t="n">
        <v>2</v>
      </c>
      <c r="C43" s="9" t="inlineStr">
        <is>
          <t>Students reached</t>
        </is>
      </c>
      <c r="D43" s="10" t="inlineStr">
        <is>
          <t>No.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66" t="n">
        <v>3</v>
      </c>
      <c r="C44" s="67" t="inlineStr">
        <is>
          <t>Student RE projects</t>
        </is>
      </c>
      <c r="D44" s="68" t="inlineStr">
        <is>
          <t>No.</t>
        </is>
      </c>
      <c r="E44" s="68" t="inlineStr"/>
      <c r="F44" s="68" t="inlineStr"/>
      <c r="G44" s="68">
        <f>IFERROR(ROUND((E44-F44)/IF(F44=0,1,F44)*100,1),"")</f>
        <v/>
      </c>
      <c r="H44" s="68" t="inlineStr"/>
    </row>
    <row r="45" ht="22" customHeight="1">
      <c r="B45" s="8" t="n">
        <v>4</v>
      </c>
      <c r="C45" s="9" t="inlineStr">
        <is>
          <t>RE publications</t>
        </is>
      </c>
      <c r="D45" s="10" t="inlineStr">
        <is>
          <t>No.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66" t="n">
        <v>5</v>
      </c>
      <c r="C46" s="67" t="inlineStr">
        <is>
          <t>Patents filed</t>
        </is>
      </c>
      <c r="D46" s="68" t="inlineStr">
        <is>
          <t>No.</t>
        </is>
      </c>
      <c r="E46" s="68" t="inlineStr"/>
      <c r="F46" s="68" t="inlineStr"/>
      <c r="G46" s="68">
        <f>IFERROR(ROUND((E46-F46)/IF(F46=0,1,F46)*100,1),"")</f>
        <v/>
      </c>
      <c r="H46" s="68" t="inlineStr"/>
    </row>
    <row r="47" ht="22" customHeight="1">
      <c r="B47" s="8" t="n">
        <v>6</v>
      </c>
      <c r="C47" s="9" t="inlineStr">
        <is>
          <t>Faculty RE FDP sessions</t>
        </is>
      </c>
      <c r="D47" s="10" t="inlineStr">
        <is>
          <t>No.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0" customHeight="1">
      <c r="B49" s="17" t="inlineStr">
        <is>
          <t>Annual Report submitted to: Management, IQAC (NAAC AQAR Criterion VII.2 — Best Practices, Green Campus), ARIIA, NIRF, MNRE/SECI (for subsidised installations), DISCOM (net metering annual reconciliation), Governing Body.</t>
        </is>
      </c>
    </row>
    <row r="50" ht="22" customHeight="1">
      <c r="B50" s="29" t="inlineStr">
        <is>
          <t>REC Coordinator: ___________________    Chairperson (Principal): ___________________    IQAC Coordinator: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2026-04-28T05:37:34Z</dcterms:created>
  <dcterms:modified xmlns:dcterms="http://purl.org/dc/terms/" xmlns:xsi="http://www.w3.org/2001/XMLSchema-instance" xsi:type="dcterms:W3CDTF">2026-04-28T05:37:35Z</dcterms:modified>
</cp:coreProperties>
</file>