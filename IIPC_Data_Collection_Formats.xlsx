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IPC-00 Composition" sheetId="2" state="visible" r:id="rId2"/>
    <sheet xmlns:r="http://schemas.openxmlformats.org/officeDocument/2006/relationships" name="IIPC-NA Notice &amp; Agenda" sheetId="3" state="visible" r:id="rId3"/>
    <sheet xmlns:r="http://schemas.openxmlformats.org/officeDocument/2006/relationships" name="IIPC-AT Attendance" sheetId="4" state="visible" r:id="rId4"/>
    <sheet xmlns:r="http://schemas.openxmlformats.org/officeDocument/2006/relationships" name="IIPC-MM Minutes" sheetId="5" state="visible" r:id="rId5"/>
    <sheet xmlns:r="http://schemas.openxmlformats.org/officeDocument/2006/relationships" name="IIPC-ATR Action Report" sheetId="6" state="visible" r:id="rId6"/>
    <sheet xmlns:r="http://schemas.openxmlformats.org/officeDocument/2006/relationships" name="IIPC-01 Industry Partner DB" sheetId="7" state="visible" r:id="rId7"/>
    <sheet xmlns:r="http://schemas.openxmlformats.org/officeDocument/2006/relationships" name="IIPC-02 MoU Register" sheetId="8" state="visible" r:id="rId8"/>
    <sheet xmlns:r="http://schemas.openxmlformats.org/officeDocument/2006/relationships" name="IIPC-03 MoU Activity Monitor" sheetId="9" state="visible" r:id="rId9"/>
    <sheet xmlns:r="http://schemas.openxmlformats.org/officeDocument/2006/relationships" name="IIPC-07 Internship Register" sheetId="10" state="visible" r:id="rId10"/>
    <sheet xmlns:r="http://schemas.openxmlformats.org/officeDocument/2006/relationships" name="IIPC-08 Internship Monitoring" sheetId="11" state="visible" r:id="rId11"/>
    <sheet xmlns:r="http://schemas.openxmlformats.org/officeDocument/2006/relationships" name="IIPC-10 Industry Feedback" sheetId="12" state="visible" r:id="rId12"/>
    <sheet xmlns:r="http://schemas.openxmlformats.org/officeDocument/2006/relationships" name="IIPC-11 Expert Lectures" sheetId="13" state="visible" r:id="rId13"/>
    <sheet xmlns:r="http://schemas.openxmlformats.org/officeDocument/2006/relationships" name="IIPC-13 Advisory Board" sheetId="14" state="visible" r:id="rId14"/>
    <sheet xmlns:r="http://schemas.openxmlformats.org/officeDocument/2006/relationships" name="IIPC-16 Joint RD Projects" sheetId="15" state="visible" r:id="rId15"/>
    <sheet xmlns:r="http://schemas.openxmlformats.org/officeDocument/2006/relationships" name="IIPC-19 Live Projects" sheetId="16" state="visible" r:id="rId16"/>
    <sheet xmlns:r="http://schemas.openxmlformats.org/officeDocument/2006/relationships" name="IIPC-20 Campus Recruitment" sheetId="17" state="visible" r:id="rId17"/>
    <sheet xmlns:r="http://schemas.openxmlformats.org/officeDocument/2006/relationships" name="IIPC-22 Placement Tracking" sheetId="18" state="visible" r:id="rId18"/>
    <sheet xmlns:r="http://schemas.openxmlformats.org/officeDocument/2006/relationships" name="IIPC-23 Placement Dash" sheetId="19" state="visible" r:id="rId19"/>
    <sheet xmlns:r="http://schemas.openxmlformats.org/officeDocument/2006/relationships" name="IIPC-25 Consultancy Register" sheetId="20" state="visible" r:id="rId20"/>
    <sheet xmlns:r="http://schemas.openxmlformats.org/officeDocument/2006/relationships" name="IIPC-29 Industry Survey" sheetId="21" state="visible" r:id="rId21"/>
    <sheet xmlns:r="http://schemas.openxmlformats.org/officeDocument/2006/relationships" name="IIPC-31 KPI Dashboard" sheetId="22" state="visible" r:id="rId22"/>
    <sheet xmlns:r="http://schemas.openxmlformats.org/officeDocument/2006/relationships" name="IIPC-32 Annual Repor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E3A5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3"/>
    </font>
    <font>
      <name val="Arial"/>
      <color rgb="003F2000"/>
      <sz val="9"/>
    </font>
    <font>
      <name val="Arial"/>
      <b val="1"/>
      <color rgb="00FFFFFF"/>
      <sz val="14"/>
    </font>
    <font>
      <name val="Arial"/>
      <b val="1"/>
      <color rgb="001E3A5F"/>
      <sz val="10"/>
    </font>
    <font>
      <name val="Arial"/>
      <b val="1"/>
      <color rgb="00334155"/>
      <sz val="10"/>
    </font>
    <font>
      <name val="Arial"/>
      <b val="1"/>
      <color rgb="00166534"/>
      <sz val="10"/>
    </font>
    <font>
      <name val="Arial"/>
      <color rgb="000F172A"/>
      <sz val="9"/>
    </font>
    <font>
      <name val="Arial"/>
      <b val="1"/>
      <color rgb="000A1628"/>
      <sz val="10"/>
    </font>
    <font>
      <name val="Arial"/>
      <b val="1"/>
      <color rgb="00431407"/>
      <sz val="10"/>
    </font>
    <font>
      <name val="Arial"/>
      <b val="1"/>
      <color rgb="000D9488"/>
      <sz val="9"/>
    </font>
    <font>
      <name val="Arial"/>
      <b val="1"/>
      <color rgb="003F2000"/>
      <sz val="10"/>
    </font>
  </fonts>
  <fills count="21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BEAFE"/>
      </patternFill>
    </fill>
    <fill>
      <patternFill patternType="solid">
        <fgColor rgb="00D97706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0D9488"/>
      </patternFill>
    </fill>
    <fill>
      <patternFill patternType="solid">
        <fgColor rgb="00CCFBF1"/>
      </patternFill>
    </fill>
    <fill>
      <patternFill patternType="solid">
        <fgColor rgb="00C2410C"/>
      </patternFill>
    </fill>
    <fill>
      <patternFill patternType="solid">
        <fgColor rgb="00FFEDD5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3" fillId="15" borderId="0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15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17" fillId="14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18" fillId="9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20" borderId="0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28" customWidth="1" min="4" max="4"/>
    <col width="18" customWidth="1" min="5" max="5"/>
    <col width="3" customWidth="1" min="6" max="6"/>
  </cols>
  <sheetData>
    <row r="1" ht="10" customHeight="1"/>
    <row r="2" ht="75" customHeight="1">
      <c r="B2" s="1" t="inlineStr">
        <is>
          <t>INDUSTRY–INSTITUTE PARTNERSHIP COMMITTEE (IIPC)
Data Collection Formats — Master Workbook</t>
        </is>
      </c>
    </row>
    <row r="3" ht="28" customHeight="1">
      <c r="B3" s="2" t="inlineStr">
        <is>
          <t>Institution: _________________________  IIPC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0" customHeight="1">
      <c r="B5" s="4" t="inlineStr">
        <is>
          <t>── GOVERNANCE &amp; ADMINISTRATION ──</t>
        </is>
      </c>
    </row>
    <row r="6" ht="20" customHeight="1">
      <c r="B6" s="5" t="inlineStr">
        <is>
          <t>IIPC-00</t>
        </is>
      </c>
      <c r="C6" s="6" t="inlineStr">
        <is>
          <t>Committee Composition &amp; Members Register</t>
        </is>
      </c>
      <c r="D6" s="6" t="inlineStr">
        <is>
          <t>Record IIPC members, industry reps &amp; institutional team</t>
        </is>
      </c>
      <c r="E6" s="7" t="inlineStr">
        <is>
          <t>Annual</t>
        </is>
      </c>
    </row>
    <row r="7" ht="20" customHeight="1">
      <c r="B7" s="8" t="inlineStr">
        <is>
          <t>IIPC-NA</t>
        </is>
      </c>
      <c r="C7" s="9" t="inlineStr">
        <is>
          <t>Meeting Notice, Agenda &amp; Dispatch Record</t>
        </is>
      </c>
      <c r="D7" s="9" t="inlineStr">
        <is>
          <t>Formal notice and agenda for IIPC meetings</t>
        </is>
      </c>
      <c r="E7" s="10" t="inlineStr">
        <is>
          <t>Each Meeting</t>
        </is>
      </c>
    </row>
    <row r="8" ht="20" customHeight="1">
      <c r="B8" s="5" t="inlineStr">
        <is>
          <t>IIPC-AT</t>
        </is>
      </c>
      <c r="C8" s="6" t="inlineStr">
        <is>
          <t>Attendance &amp; Quorum Register</t>
        </is>
      </c>
      <c r="D8" s="6" t="inlineStr">
        <is>
          <t>Confirm attendance and quorum validity</t>
        </is>
      </c>
      <c r="E8" s="7" t="inlineStr">
        <is>
          <t>Each Meeting</t>
        </is>
      </c>
    </row>
    <row r="9" ht="20" customHeight="1">
      <c r="B9" s="8" t="inlineStr">
        <is>
          <t>IIPC-MM</t>
        </is>
      </c>
      <c r="C9" s="9" t="inlineStr">
        <is>
          <t>Meeting Minutes &amp; Resolutions</t>
        </is>
      </c>
      <c r="D9" s="9" t="inlineStr">
        <is>
          <t>Record discussions, resolutions &amp; directives</t>
        </is>
      </c>
      <c r="E9" s="10" t="inlineStr">
        <is>
          <t>Each Meeting</t>
        </is>
      </c>
    </row>
    <row r="10" ht="20" customHeight="1">
      <c r="B10" s="5" t="inlineStr">
        <is>
          <t>IIPC-ATR</t>
        </is>
      </c>
      <c r="C10" s="6" t="inlineStr">
        <is>
          <t>Action Taken Report</t>
        </is>
      </c>
      <c r="D10" s="6" t="inlineStr">
        <is>
          <t>Track implementation of IIPC resolutions</t>
        </is>
      </c>
      <c r="E10" s="7" t="inlineStr">
        <is>
          <t>Each Meeting</t>
        </is>
      </c>
    </row>
    <row r="11" ht="20" customHeight="1">
      <c r="B11" s="4" t="inlineStr">
        <is>
          <t>── INDUSTRY PARTNERSHIP MANAGEMENT ──</t>
        </is>
      </c>
    </row>
    <row r="12" ht="20" customHeight="1">
      <c r="B12" s="5" t="inlineStr">
        <is>
          <t>IIPC-01</t>
        </is>
      </c>
      <c r="C12" s="6" t="inlineStr">
        <is>
          <t>Industry Partner Database &amp; Profile Register</t>
        </is>
      </c>
      <c r="D12" s="6" t="inlineStr">
        <is>
          <t>Maintain comprehensive database of all industry partners</t>
        </is>
      </c>
      <c r="E12" s="7" t="inlineStr">
        <is>
          <t>Annual / Continuous</t>
        </is>
      </c>
    </row>
    <row r="13" ht="20" customHeight="1">
      <c r="B13" s="8" t="inlineStr">
        <is>
          <t>IIPC-02</t>
        </is>
      </c>
      <c r="C13" s="9" t="inlineStr">
        <is>
          <t>MoU / Agreement Register</t>
        </is>
      </c>
      <c r="D13" s="9" t="inlineStr">
        <is>
          <t>Track all MoUs, MOAs, NDAs and formal agreements</t>
        </is>
      </c>
      <c r="E13" s="10" t="inlineStr">
        <is>
          <t>Continuous</t>
        </is>
      </c>
    </row>
    <row r="14" ht="20" customHeight="1">
      <c r="B14" s="5" t="inlineStr">
        <is>
          <t>IIPC-03</t>
        </is>
      </c>
      <c r="C14" s="6" t="inlineStr">
        <is>
          <t>MoU Activity Monitoring Register</t>
        </is>
      </c>
      <c r="D14" s="6" t="inlineStr">
        <is>
          <t>Monitor activities planned and executed under each MoU</t>
        </is>
      </c>
      <c r="E14" s="7" t="inlineStr">
        <is>
          <t>Quarterly</t>
        </is>
      </c>
    </row>
    <row r="15" ht="20" customHeight="1">
      <c r="B15" s="8" t="inlineStr">
        <is>
          <t>IIPC-04</t>
        </is>
      </c>
      <c r="C15" s="9" t="inlineStr">
        <is>
          <t>Industry Visit &amp; Interaction Log</t>
        </is>
      </c>
      <c r="D15" s="9" t="inlineStr">
        <is>
          <t>Record visits by industry representatives to campus</t>
        </is>
      </c>
      <c r="E15" s="10" t="inlineStr">
        <is>
          <t>Continuous</t>
        </is>
      </c>
    </row>
    <row r="16" ht="20" customHeight="1">
      <c r="B16" s="5" t="inlineStr">
        <is>
          <t>IIPC-05</t>
        </is>
      </c>
      <c r="C16" s="6" t="inlineStr">
        <is>
          <t>Campus-to-Industry Visit Register</t>
        </is>
      </c>
      <c r="D16" s="6" t="inlineStr">
        <is>
          <t>Track faculty and student visits to industry premises</t>
        </is>
      </c>
      <c r="E16" s="7" t="inlineStr">
        <is>
          <t>Continuous</t>
        </is>
      </c>
    </row>
    <row r="17" ht="20" customHeight="1">
      <c r="B17" s="4" t="inlineStr">
        <is>
          <t>── INTERNSHIP &amp; IN-PLANT TRAINING ──</t>
        </is>
      </c>
    </row>
    <row r="18" ht="20" customHeight="1">
      <c r="B18" s="5" t="inlineStr">
        <is>
          <t>IIPC-06</t>
        </is>
      </c>
      <c r="C18" s="6" t="inlineStr">
        <is>
          <t>Internship Opportunity Register</t>
        </is>
      </c>
      <c r="D18" s="6" t="inlineStr">
        <is>
          <t>Database of internship opportunities from partners</t>
        </is>
      </c>
      <c r="E18" s="7" t="inlineStr">
        <is>
          <t>Continuous</t>
        </is>
      </c>
    </row>
    <row r="19" ht="20" customHeight="1">
      <c r="B19" s="8" t="inlineStr">
        <is>
          <t>IIPC-07</t>
        </is>
      </c>
      <c r="C19" s="9" t="inlineStr">
        <is>
          <t>Student Internship / IPT Application Register</t>
        </is>
      </c>
      <c r="D19" s="9" t="inlineStr">
        <is>
          <t>Track student applications and industry confirmations</t>
        </is>
      </c>
      <c r="E19" s="10" t="inlineStr">
        <is>
          <t>Continuous</t>
        </is>
      </c>
    </row>
    <row r="20" ht="20" customHeight="1">
      <c r="B20" s="5" t="inlineStr">
        <is>
          <t>IIPC-08</t>
        </is>
      </c>
      <c r="C20" s="6" t="inlineStr">
        <is>
          <t>Student Internship Monitoring Form</t>
        </is>
      </c>
      <c r="D20" s="6" t="inlineStr">
        <is>
          <t>Monitor student progress, mentor interaction &amp; attendance</t>
        </is>
      </c>
      <c r="E20" s="7" t="inlineStr">
        <is>
          <t>Each Internship</t>
        </is>
      </c>
    </row>
    <row r="21" ht="20" customHeight="1">
      <c r="B21" s="8" t="inlineStr">
        <is>
          <t>IIPC-09</t>
        </is>
      </c>
      <c r="C21" s="9" t="inlineStr">
        <is>
          <t>Internship Completion &amp; Feedback Form</t>
        </is>
      </c>
      <c r="D21" s="9" t="inlineStr">
        <is>
          <t>Record internship outcomes, certificates &amp; student feedback</t>
        </is>
      </c>
      <c r="E21" s="10" t="inlineStr">
        <is>
          <t>Post-Internship</t>
        </is>
      </c>
    </row>
    <row r="22" ht="20" customHeight="1">
      <c r="B22" s="5" t="inlineStr">
        <is>
          <t>IIPC-10</t>
        </is>
      </c>
      <c r="C22" s="6" t="inlineStr">
        <is>
          <t>Industry Feedback on Interns Register</t>
        </is>
      </c>
      <c r="D22" s="6" t="inlineStr">
        <is>
          <t>Capture employer rating of student performance</t>
        </is>
      </c>
      <c r="E22" s="7" t="inlineStr">
        <is>
          <t>Post-Internship</t>
        </is>
      </c>
    </row>
    <row r="23" ht="20" customHeight="1">
      <c r="B23" s="4" t="inlineStr">
        <is>
          <t>── GUEST LECTURES &amp; EXPERT TALKS ──</t>
        </is>
      </c>
    </row>
    <row r="24" ht="20" customHeight="1">
      <c r="B24" s="5" t="inlineStr">
        <is>
          <t>IIPC-11</t>
        </is>
      </c>
      <c r="C24" s="6" t="inlineStr">
        <is>
          <t>Expert / Guest Lecture Invitation &amp; Register</t>
        </is>
      </c>
      <c r="D24" s="6" t="inlineStr">
        <is>
          <t>Plan and document expert lectures from industry</t>
        </is>
      </c>
      <c r="E24" s="7" t="inlineStr">
        <is>
          <t>Continuous</t>
        </is>
      </c>
    </row>
    <row r="25" ht="20" customHeight="1">
      <c r="B25" s="8" t="inlineStr">
        <is>
          <t>IIPC-12</t>
        </is>
      </c>
      <c r="C25" s="9" t="inlineStr">
        <is>
          <t>Industry Expert Panel Register</t>
        </is>
      </c>
      <c r="D25" s="9" t="inlineStr">
        <is>
          <t>Maintain pool of domain experts for repeated engagement</t>
        </is>
      </c>
      <c r="E25" s="10" t="inlineStr">
        <is>
          <t>Annual / Continuous</t>
        </is>
      </c>
    </row>
    <row r="26" ht="20" customHeight="1">
      <c r="B26" s="4" t="inlineStr">
        <is>
          <t>── CURRICULUM &amp; ACADEMIC INTERFACE ──</t>
        </is>
      </c>
    </row>
    <row r="27" ht="20" customHeight="1">
      <c r="B27" s="8" t="inlineStr">
        <is>
          <t>IIPC-13</t>
        </is>
      </c>
      <c r="C27" s="9" t="inlineStr">
        <is>
          <t>Industry Advisory Board (IAB) Register</t>
        </is>
      </c>
      <c r="D27" s="9" t="inlineStr">
        <is>
          <t>Constitute and manage Industry Advisory Board for curriculum</t>
        </is>
      </c>
      <c r="E27" s="10" t="inlineStr">
        <is>
          <t>Annual</t>
        </is>
      </c>
    </row>
    <row r="28" ht="20" customHeight="1">
      <c r="B28" s="5" t="inlineStr">
        <is>
          <t>IIPC-14</t>
        </is>
      </c>
      <c r="C28" s="6" t="inlineStr">
        <is>
          <t>Industry Input to Curriculum Register</t>
        </is>
      </c>
      <c r="D28" s="6" t="inlineStr">
        <is>
          <t>Capture structured industry feedback on curriculum gaps</t>
        </is>
      </c>
      <c r="E28" s="7" t="inlineStr">
        <is>
          <t>Annual</t>
        </is>
      </c>
    </row>
    <row r="29" ht="20" customHeight="1">
      <c r="B29" s="8" t="inlineStr">
        <is>
          <t>IIPC-15</t>
        </is>
      </c>
      <c r="C29" s="9" t="inlineStr">
        <is>
          <t>Adjunct Faculty &amp; Visiting Expert Register</t>
        </is>
      </c>
      <c r="D29" s="9" t="inlineStr">
        <is>
          <t>Track industry professionals teaching at the institution</t>
        </is>
      </c>
      <c r="E29" s="10" t="inlineStr">
        <is>
          <t>Each Semester</t>
        </is>
      </c>
    </row>
    <row r="30" ht="20" customHeight="1">
      <c r="B30" s="5" t="inlineStr">
        <is>
          <t>IIPC-16</t>
        </is>
      </c>
      <c r="C30" s="6" t="inlineStr">
        <is>
          <t>Joint Research &amp; Development Project Register</t>
        </is>
      </c>
      <c r="D30" s="6" t="inlineStr">
        <is>
          <t>Track collaborative research with industry partners</t>
        </is>
      </c>
      <c r="E30" s="7" t="inlineStr">
        <is>
          <t>Continuous</t>
        </is>
      </c>
    </row>
    <row r="31" ht="20" customHeight="1">
      <c r="B31" s="4" t="inlineStr">
        <is>
          <t>── CORPORATE TRAINING &amp; UPSKILLING ──</t>
        </is>
      </c>
    </row>
    <row r="32" ht="20" customHeight="1">
      <c r="B32" s="5" t="inlineStr">
        <is>
          <t>IIPC-17</t>
        </is>
      </c>
      <c r="C32" s="6" t="inlineStr">
        <is>
          <t>Corporate / Executive Training Programme Register</t>
        </is>
      </c>
      <c r="D32" s="6" t="inlineStr">
        <is>
          <t>Track training programmes delivered to industry clients</t>
        </is>
      </c>
      <c r="E32" s="7" t="inlineStr">
        <is>
          <t>Continuous</t>
        </is>
      </c>
    </row>
    <row r="33" ht="20" customHeight="1">
      <c r="B33" s="8" t="inlineStr">
        <is>
          <t>IIPC-18</t>
        </is>
      </c>
      <c r="C33" s="9" t="inlineStr">
        <is>
          <t>Skill Development &amp; Certification Programme Reg.</t>
        </is>
      </c>
      <c r="D33" s="9" t="inlineStr">
        <is>
          <t>Record jointly-conducted skill courses with industry</t>
        </is>
      </c>
      <c r="E33" s="10" t="inlineStr">
        <is>
          <t>Continuous</t>
        </is>
      </c>
    </row>
    <row r="34" ht="20" customHeight="1">
      <c r="B34" s="5" t="inlineStr">
        <is>
          <t>IIPC-19</t>
        </is>
      </c>
      <c r="C34" s="6" t="inlineStr">
        <is>
          <t>Live Project / Problem Statement Register</t>
        </is>
      </c>
      <c r="D34" s="6" t="inlineStr">
        <is>
          <t>Track real-world projects assigned by industry to students</t>
        </is>
      </c>
      <c r="E34" s="7" t="inlineStr">
        <is>
          <t>Each Semester</t>
        </is>
      </c>
    </row>
    <row r="35" ht="20" customHeight="1">
      <c r="B35" s="4" t="inlineStr">
        <is>
          <t>── PLACEMENT &amp; CAREER SERVICES ──</t>
        </is>
      </c>
    </row>
    <row r="36" ht="20" customHeight="1">
      <c r="B36" s="5" t="inlineStr">
        <is>
          <t>IIPC-20</t>
        </is>
      </c>
      <c r="C36" s="6" t="inlineStr">
        <is>
          <t>Campus Recruitment Drive Register</t>
        </is>
      </c>
      <c r="D36" s="6" t="inlineStr">
        <is>
          <t>Manage on-campus placement drives end-to-end</t>
        </is>
      </c>
      <c r="E36" s="7" t="inlineStr">
        <is>
          <t>Continuous</t>
        </is>
      </c>
    </row>
    <row r="37" ht="20" customHeight="1">
      <c r="B37" s="8" t="inlineStr">
        <is>
          <t>IIPC-21</t>
        </is>
      </c>
      <c r="C37" s="9" t="inlineStr">
        <is>
          <t>Pre-Placement Talk (PPT) Register</t>
        </is>
      </c>
      <c r="D37" s="9" t="inlineStr">
        <is>
          <t>Document pre-placement talks and company presentations</t>
        </is>
      </c>
      <c r="E37" s="10" t="inlineStr">
        <is>
          <t>Continuous</t>
        </is>
      </c>
    </row>
    <row r="38" ht="20" customHeight="1">
      <c r="B38" s="5" t="inlineStr">
        <is>
          <t>IIPC-22</t>
        </is>
      </c>
      <c r="C38" s="6" t="inlineStr">
        <is>
          <t>Student Placement Tracking Register</t>
        </is>
      </c>
      <c r="D38" s="6" t="inlineStr">
        <is>
          <t>Track individual student placement offers and joins</t>
        </is>
      </c>
      <c r="E38" s="7" t="inlineStr">
        <is>
          <t>Continuous</t>
        </is>
      </c>
    </row>
    <row r="39" ht="20" customHeight="1">
      <c r="B39" s="8" t="inlineStr">
        <is>
          <t>IIPC-23</t>
        </is>
      </c>
      <c r="C39" s="9" t="inlineStr">
        <is>
          <t>Placement Statistics Dashboard</t>
        </is>
      </c>
      <c r="D39" s="9" t="inlineStr">
        <is>
          <t>Compile placement data for accreditation and reporting</t>
        </is>
      </c>
      <c r="E39" s="10" t="inlineStr">
        <is>
          <t>Annual / Semester</t>
        </is>
      </c>
    </row>
    <row r="40" ht="20" customHeight="1">
      <c r="B40" s="4" t="inlineStr">
        <is>
          <t>── FINANCIAL &amp; CONSULTANCY ──</t>
        </is>
      </c>
    </row>
    <row r="41" ht="20" customHeight="1">
      <c r="B41" s="8" t="inlineStr">
        <is>
          <t>IIPC-24</t>
        </is>
      </c>
      <c r="C41" s="9" t="inlineStr">
        <is>
          <t>Sponsored Research &amp; Industry Grants Register</t>
        </is>
      </c>
      <c r="D41" s="9" t="inlineStr">
        <is>
          <t>Track industry-sponsored research projects and funding</t>
        </is>
      </c>
      <c r="E41" s="10" t="inlineStr">
        <is>
          <t>Continuous</t>
        </is>
      </c>
    </row>
    <row r="42" ht="20" customHeight="1">
      <c r="B42" s="5" t="inlineStr">
        <is>
          <t>IIPC-25</t>
        </is>
      </c>
      <c r="C42" s="6" t="inlineStr">
        <is>
          <t>Consultancy Assignment Register</t>
        </is>
      </c>
      <c r="D42" s="6" t="inlineStr">
        <is>
          <t>Log all consultancy work done for industry</t>
        </is>
      </c>
      <c r="E42" s="7" t="inlineStr">
        <is>
          <t>Continuous</t>
        </is>
      </c>
    </row>
    <row r="43" ht="20" customHeight="1">
      <c r="B43" s="8" t="inlineStr">
        <is>
          <t>IIPC-26</t>
        </is>
      </c>
      <c r="C43" s="9" t="inlineStr">
        <is>
          <t>Revenue Sharing Register</t>
        </is>
      </c>
      <c r="D43" s="9" t="inlineStr">
        <is>
          <t>Track consultancy/training revenue and institutional share</t>
        </is>
      </c>
      <c r="E43" s="10" t="inlineStr">
        <is>
          <t>Continuous</t>
        </is>
      </c>
    </row>
    <row r="44" ht="20" customHeight="1">
      <c r="B44" s="4" t="inlineStr">
        <is>
          <t>── KNOWLEDGE TRANSFER &amp; CSR ──</t>
        </is>
      </c>
    </row>
    <row r="45" ht="20" customHeight="1">
      <c r="B45" s="8" t="inlineStr">
        <is>
          <t>IIPC-27</t>
        </is>
      </c>
      <c r="C45" s="9" t="inlineStr">
        <is>
          <t>Technology Transfer &amp; Licensing Register</t>
        </is>
      </c>
      <c r="D45" s="9" t="inlineStr">
        <is>
          <t>Document technology transfer from institution to industry</t>
        </is>
      </c>
      <c r="E45" s="10" t="inlineStr">
        <is>
          <t>As Required</t>
        </is>
      </c>
    </row>
    <row r="46" ht="20" customHeight="1">
      <c r="B46" s="5" t="inlineStr">
        <is>
          <t>IIPC-28</t>
        </is>
      </c>
      <c r="C46" s="6" t="inlineStr">
        <is>
          <t>Industry CSR &amp; Social Responsibility Register</t>
        </is>
      </c>
      <c r="D46" s="6" t="inlineStr">
        <is>
          <t>Track CSR contributions by industry partners</t>
        </is>
      </c>
      <c r="E46" s="7" t="inlineStr">
        <is>
          <t>Annual</t>
        </is>
      </c>
    </row>
    <row r="47" ht="20" customHeight="1">
      <c r="B47" s="4" t="inlineStr">
        <is>
          <t>── MONITORING, FEEDBACK &amp; REPORTING ──</t>
        </is>
      </c>
    </row>
    <row r="48" ht="20" customHeight="1">
      <c r="B48" s="5" t="inlineStr">
        <is>
          <t>IIPC-29</t>
        </is>
      </c>
      <c r="C48" s="6" t="inlineStr">
        <is>
          <t>Industry Satisfaction Survey</t>
        </is>
      </c>
      <c r="D48" s="6" t="inlineStr">
        <is>
          <t>Annual survey on partnership quality and outcomes</t>
        </is>
      </c>
      <c r="E48" s="7" t="inlineStr">
        <is>
          <t>Annual</t>
        </is>
      </c>
    </row>
    <row r="49" ht="20" customHeight="1">
      <c r="B49" s="8" t="inlineStr">
        <is>
          <t>IIPC-30</t>
        </is>
      </c>
      <c r="C49" s="9" t="inlineStr">
        <is>
          <t>Student Industry-Readiness Feedback Register</t>
        </is>
      </c>
      <c r="D49" s="9" t="inlineStr">
        <is>
          <t>Capture industry feedback on graduate employability</t>
        </is>
      </c>
      <c r="E49" s="10" t="inlineStr">
        <is>
          <t>Annual</t>
        </is>
      </c>
    </row>
    <row r="50" ht="20" customHeight="1">
      <c r="B50" s="5" t="inlineStr">
        <is>
          <t>IIPC-31</t>
        </is>
      </c>
      <c r="C50" s="6" t="inlineStr">
        <is>
          <t>IIPC KPI Dashboard</t>
        </is>
      </c>
      <c r="D50" s="6" t="inlineStr">
        <is>
          <t>Track all IIPC KPIs — partnerships, placements, revenue</t>
        </is>
      </c>
      <c r="E50" s="7" t="inlineStr">
        <is>
          <t>Monthly / Quarterly</t>
        </is>
      </c>
    </row>
    <row r="51" ht="20" customHeight="1">
      <c r="B51" s="8" t="inlineStr">
        <is>
          <t>IIPC-32</t>
        </is>
      </c>
      <c r="C51" s="9" t="inlineStr">
        <is>
          <t>IIPC Annual Report Compilation Form</t>
        </is>
      </c>
      <c r="D51" s="9" t="inlineStr">
        <is>
          <t>Year-end report for management and accreditation</t>
        </is>
      </c>
      <c r="E51" s="10" t="inlineStr">
        <is>
          <t>Annual</t>
        </is>
      </c>
    </row>
    <row r="52" ht="21" customHeight="1"/>
    <row r="53" ht="21" customHeight="1"/>
    <row r="54" ht="21" customHeight="1"/>
    <row r="106">
      <c r="B106" s="11" t="inlineStr">
        <is>
          <t>• IIPC = Industry–Institute Partnership Committee — the apex body managing all industry linkage, internship, placement and collaborative activities.</t>
        </is>
      </c>
    </row>
    <row r="107">
      <c r="B107" s="11" t="inlineStr">
        <is>
          <t>• IIPC data feeds into: NAAC AQAR Criterion II.2, III.3, V.2, VI.2, NIRF (Graduation Outcomes), NBA SAR Criterion 5 &amp; 6, Governing Body reports.</t>
        </is>
      </c>
    </row>
    <row r="108">
      <c r="B108" s="11" t="inlineStr">
        <is>
          <t>• MoUs must be registered, renewed every 3 years and include specific activity-level commitments — passive MoUs have no accreditation value.</t>
        </is>
      </c>
    </row>
    <row r="109">
      <c r="B109" s="11" t="inlineStr">
        <is>
          <t>• All revenue from consultancy, training and research must be routed through Finance Committee per institutional revenue-sharing policy.</t>
        </is>
      </c>
    </row>
    <row r="110">
      <c r="B110" s="11" t="inlineStr">
        <is>
          <t>• Internship data (company, duration, stipend, outcomes) must be verified and archived for NAAC/NBA evidence.</t>
        </is>
      </c>
    </row>
    <row r="111">
      <c r="B111" s="11" t="inlineStr">
        <is>
          <t>• Placement data must be reconciled with T&amp;P Cell and verified by offer letters — only confirmed joinees count for NIRF.</t>
        </is>
      </c>
    </row>
    <row r="112">
      <c r="B112" s="11" t="inlineStr">
        <is>
          <t>• Industry Advisory Board (IAB) recommendations on curriculum must be formally recorded and referred to BoS for action.</t>
        </is>
      </c>
    </row>
  </sheetData>
  <mergeCells count="19">
    <mergeCell ref="B108:E108"/>
    <mergeCell ref="B40:E40"/>
    <mergeCell ref="B5:E5"/>
    <mergeCell ref="B26:E26"/>
    <mergeCell ref="B110:E110"/>
    <mergeCell ref="B35:E35"/>
    <mergeCell ref="B106:E106"/>
    <mergeCell ref="B109:E109"/>
    <mergeCell ref="B3:E3"/>
    <mergeCell ref="B47:E47"/>
    <mergeCell ref="B31:E31"/>
    <mergeCell ref="B11:E11"/>
    <mergeCell ref="B2:E2"/>
    <mergeCell ref="B111:E111"/>
    <mergeCell ref="B107:E107"/>
    <mergeCell ref="B17:E17"/>
    <mergeCell ref="B23:E23"/>
    <mergeCell ref="B44:E44"/>
    <mergeCell ref="B112:E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52" customHeight="1">
      <c r="B2" s="12" t="inlineStr">
        <is>
          <t>IIPC-00: INDUSTRY–INSTITUTE PARTNERSHIP COMMITTEE —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Organisation / Designation</t>
        </is>
      </c>
      <c r="E4" s="13" t="inlineStr">
        <is>
          <t>Role in IIPC</t>
        </is>
      </c>
      <c r="F4" s="13" t="inlineStr">
        <is>
          <t>Domain / Sector</t>
        </is>
      </c>
      <c r="G4" s="13" t="inlineStr">
        <is>
          <t>Email / Phone</t>
        </is>
      </c>
      <c r="H4" s="13" t="inlineStr">
        <is>
          <t>Term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>
        <is>
          <t>Principal / Director</t>
        </is>
      </c>
      <c r="E5" s="14" t="inlineStr">
        <is>
          <t>Chairperson</t>
        </is>
      </c>
      <c r="F5" s="16" t="inlineStr">
        <is>
          <t>IIPC Strategy &amp; Leadership</t>
        </is>
      </c>
      <c r="G5" s="15" t="inlineStr"/>
      <c r="H5" s="16" t="inlineStr"/>
      <c r="I5" s="16" t="inlineStr"/>
    </row>
    <row r="6" ht="22" customHeight="1">
      <c r="B6" s="8" t="n">
        <v>2</v>
      </c>
      <c r="C6" s="9" t="inlineStr"/>
      <c r="D6" s="9" t="inlineStr">
        <is>
          <t>Faculty In-charge — Industry Relations</t>
        </is>
      </c>
      <c r="E6" s="8" t="inlineStr">
        <is>
          <t>IIPC Coordinator</t>
        </is>
      </c>
      <c r="F6" s="10" t="inlineStr">
        <is>
          <t>Partnership Coordination</t>
        </is>
      </c>
      <c r="G6" s="9" t="inlineStr"/>
      <c r="H6" s="10" t="inlineStr"/>
      <c r="I6" s="10" t="inlineStr"/>
    </row>
    <row r="7" ht="22" customHeight="1">
      <c r="B7" s="14" t="n">
        <v>3</v>
      </c>
      <c r="C7" s="15" t="inlineStr"/>
      <c r="D7" s="15" t="inlineStr">
        <is>
          <t>Training &amp; Placement Officer</t>
        </is>
      </c>
      <c r="E7" s="14" t="inlineStr">
        <is>
          <t>T&amp;P Officer</t>
        </is>
      </c>
      <c r="F7" s="16" t="inlineStr">
        <is>
          <t>Placement &amp; Internship</t>
        </is>
      </c>
      <c r="G7" s="15" t="inlineStr"/>
      <c r="H7" s="16" t="inlineStr"/>
      <c r="I7" s="16" t="inlineStr"/>
    </row>
    <row r="8" ht="22" customHeight="1">
      <c r="B8" s="8" t="n">
        <v>4</v>
      </c>
      <c r="C8" s="9" t="inlineStr"/>
      <c r="D8" s="9" t="inlineStr">
        <is>
          <t>Dean – Research &amp; Development</t>
        </is>
      </c>
      <c r="E8" s="8" t="inlineStr">
        <is>
          <t>Dean R&amp;D / Research</t>
        </is>
      </c>
      <c r="F8" s="10" t="inlineStr">
        <is>
          <t>Sponsored Research &amp; Consultancy</t>
        </is>
      </c>
      <c r="G8" s="9" t="inlineStr"/>
      <c r="H8" s="10" t="inlineStr"/>
      <c r="I8" s="10" t="inlineStr"/>
    </row>
    <row r="9" ht="22" customHeight="1">
      <c r="B9" s="14" t="n">
        <v>5</v>
      </c>
      <c r="C9" s="15" t="inlineStr"/>
      <c r="D9" s="15" t="inlineStr">
        <is>
          <t>Senior Faculty (Core Engineering)</t>
        </is>
      </c>
      <c r="E9" s="14" t="inlineStr">
        <is>
          <t>Faculty Rep – Engineering</t>
        </is>
      </c>
      <c r="F9" s="16" t="inlineStr">
        <is>
          <t>Technical Collaboration</t>
        </is>
      </c>
      <c r="G9" s="15" t="inlineStr"/>
      <c r="H9" s="16" t="inlineStr"/>
      <c r="I9" s="16" t="inlineStr"/>
    </row>
    <row r="10" ht="22" customHeight="1">
      <c r="B10" s="8" t="n">
        <v>6</v>
      </c>
      <c r="C10" s="9" t="inlineStr"/>
      <c r="D10" s="9" t="inlineStr">
        <is>
          <t>Senior Faculty (MBA / Management)</t>
        </is>
      </c>
      <c r="E10" s="8" t="inlineStr">
        <is>
          <t>Faculty Rep – Management</t>
        </is>
      </c>
      <c r="F10" s="10" t="inlineStr">
        <is>
          <t>Management &amp; Consulting</t>
        </is>
      </c>
      <c r="G10" s="9" t="inlineStr"/>
      <c r="H10" s="10" t="inlineStr"/>
      <c r="I10" s="10" t="inlineStr"/>
    </row>
    <row r="11" ht="22" customHeight="1">
      <c r="B11" s="14" t="n">
        <v>7</v>
      </c>
      <c r="C11" s="15" t="inlineStr"/>
      <c r="D11" s="15" t="inlineStr">
        <is>
          <t>CEO / CTO / VP (Manufacturing Sector)</t>
        </is>
      </c>
      <c r="E11" s="14" t="inlineStr">
        <is>
          <t>Industry Partner – CXO 1</t>
        </is>
      </c>
      <c r="F11" s="16" t="inlineStr">
        <is>
          <t>Manufacturing &amp; Core Industry</t>
        </is>
      </c>
      <c r="G11" s="15" t="inlineStr"/>
      <c r="H11" s="16" t="inlineStr"/>
      <c r="I11" s="16" t="inlineStr"/>
    </row>
    <row r="12" ht="22" customHeight="1">
      <c r="B12" s="8" t="n">
        <v>8</v>
      </c>
      <c r="C12" s="9" t="inlineStr"/>
      <c r="D12" s="9" t="inlineStr">
        <is>
          <t>CEO / Head (IT / Software Sector)</t>
        </is>
      </c>
      <c r="E12" s="8" t="inlineStr">
        <is>
          <t>Industry Partner – CXO 2</t>
        </is>
      </c>
      <c r="F12" s="10" t="inlineStr">
        <is>
          <t>IT &amp; Digital Industry</t>
        </is>
      </c>
      <c r="G12" s="9" t="inlineStr"/>
      <c r="H12" s="10" t="inlineStr"/>
      <c r="I12" s="10" t="inlineStr"/>
    </row>
    <row r="13" ht="22" customHeight="1">
      <c r="B13" s="14" t="n">
        <v>9</v>
      </c>
      <c r="C13" s="15" t="inlineStr"/>
      <c r="D13" s="15" t="inlineStr">
        <is>
          <t>Director / GM (Service Sector)</t>
        </is>
      </c>
      <c r="E13" s="14" t="inlineStr">
        <is>
          <t>Industry Partner – CXO 3</t>
        </is>
      </c>
      <c r="F13" s="16" t="inlineStr">
        <is>
          <t>Services &amp; Consulting</t>
        </is>
      </c>
      <c r="G13" s="15" t="inlineStr"/>
      <c r="H13" s="16" t="inlineStr"/>
      <c r="I13" s="16" t="inlineStr"/>
    </row>
    <row r="14" ht="22" customHeight="1">
      <c r="B14" s="8" t="n">
        <v>10</v>
      </c>
      <c r="C14" s="9" t="inlineStr"/>
      <c r="D14" s="9" t="inlineStr">
        <is>
          <t>Entrepreneur / MSME Owner</t>
        </is>
      </c>
      <c r="E14" s="8" t="inlineStr">
        <is>
          <t>Industry Partner – MSME</t>
        </is>
      </c>
      <c r="F14" s="10" t="inlineStr">
        <is>
          <t>SME &amp; Startup Ecosystem</t>
        </is>
      </c>
      <c r="G14" s="9" t="inlineStr"/>
      <c r="H14" s="10" t="inlineStr"/>
      <c r="I14" s="10" t="inlineStr"/>
    </row>
    <row r="15" ht="22" customHeight="1">
      <c r="B15" s="14" t="n">
        <v>11</v>
      </c>
      <c r="C15" s="15" t="inlineStr"/>
      <c r="D15" s="15" t="inlineStr">
        <is>
          <t>GM / DGM (PSU / Government Entity)</t>
        </is>
      </c>
      <c r="E15" s="14" t="inlineStr">
        <is>
          <t>Industry Partner – PSU</t>
        </is>
      </c>
      <c r="F15" s="16" t="inlineStr">
        <is>
          <t>Public Sector Linkage</t>
        </is>
      </c>
      <c r="G15" s="15" t="inlineStr"/>
      <c r="H15" s="16" t="inlineStr"/>
      <c r="I15" s="16" t="inlineStr"/>
    </row>
    <row r="16" ht="22" customHeight="1">
      <c r="B16" s="8" t="n">
        <v>12</v>
      </c>
      <c r="C16" s="9" t="inlineStr"/>
      <c r="D16" s="9" t="inlineStr">
        <is>
          <t>Distinguished Alumnus – Senior Industry Role</t>
        </is>
      </c>
      <c r="E16" s="8" t="inlineStr">
        <is>
          <t>Alumni Industry Expert</t>
        </is>
      </c>
      <c r="F16" s="10" t="inlineStr">
        <is>
          <t>Alumni Industry Bridge</t>
        </is>
      </c>
      <c r="G16" s="9" t="inlineStr"/>
      <c r="H16" s="10" t="inlineStr"/>
      <c r="I16" s="10" t="inlineStr"/>
    </row>
    <row r="17" ht="22" customHeight="1">
      <c r="B17" s="14" t="n">
        <v>13</v>
      </c>
      <c r="C17" s="15" t="inlineStr"/>
      <c r="D17" s="15" t="inlineStr">
        <is>
          <t>IQAC In-charge</t>
        </is>
      </c>
      <c r="E17" s="14" t="inlineStr">
        <is>
          <t>IQAC Coordinator (Ex-off.)</t>
        </is>
      </c>
      <c r="F17" s="16" t="inlineStr">
        <is>
          <t>Quality &amp; Accreditation</t>
        </is>
      </c>
      <c r="G17" s="15" t="inlineStr"/>
      <c r="H17" s="16" t="inlineStr"/>
      <c r="I17" s="16" t="inlineStr"/>
    </row>
    <row r="18" ht="22" customHeight="1">
      <c r="B18" s="8" t="n">
        <v>14</v>
      </c>
      <c r="C18" s="9" t="inlineStr"/>
      <c r="D18" s="9" t="inlineStr">
        <is>
          <t>Finance Officer</t>
        </is>
      </c>
      <c r="E18" s="8" t="inlineStr">
        <is>
          <t>Finance Officer (Ex-off.)</t>
        </is>
      </c>
      <c r="F18" s="10" t="inlineStr">
        <is>
          <t>Revenue &amp; Financial Compliance</t>
        </is>
      </c>
      <c r="G18" s="9" t="inlineStr"/>
      <c r="H18" s="10" t="inlineStr"/>
      <c r="I18" s="10" t="inlineStr"/>
    </row>
    <row r="19" ht="22" customHeight="1">
      <c r="B19" s="14" t="n">
        <v>15</v>
      </c>
      <c r="C19" s="15" t="inlineStr"/>
      <c r="D19" s="15" t="inlineStr">
        <is>
          <t>Student Council – Placement Head</t>
        </is>
      </c>
      <c r="E19" s="14" t="inlineStr">
        <is>
          <t>Student Placement Rep.</t>
        </is>
      </c>
      <c r="F19" s="16" t="inlineStr">
        <is>
          <t>Student Voice</t>
        </is>
      </c>
      <c r="G19" s="15" t="inlineStr"/>
      <c r="H19" s="16" t="inlineStr"/>
      <c r="I19" s="16" t="inlineStr"/>
    </row>
    <row r="20" ht="22" customHeight="1"/>
    <row r="21" ht="20" customHeight="1">
      <c r="B21" s="17" t="inlineStr">
        <is>
          <t>Industry members bring real-world perspective and are critical for MoU credibility. Minimum 3 active industry members mandatory. Reconstitute annually with updated industry representatives.</t>
        </is>
      </c>
    </row>
    <row r="22" ht="22" customHeight="1"/>
    <row r="23" ht="22" customHeight="1"/>
    <row r="24" ht="22" customHeight="1"/>
    <row r="25" ht="22" customHeight="1"/>
  </sheetData>
  <mergeCells count="3">
    <mergeCell ref="B3:I3"/>
    <mergeCell ref="B21:I21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8" t="inlineStr">
        <is>
          <t>IIPC: MEETING NOTICE &amp; AGENDA</t>
        </is>
      </c>
    </row>
    <row r="3" ht="22" customHeight="1">
      <c r="B3" s="19" t="inlineStr">
        <is>
          <t>Meeting No.:</t>
        </is>
      </c>
      <c r="C3" s="9" t="n"/>
      <c r="D3" s="80" t="n"/>
      <c r="E3" s="81" t="n"/>
    </row>
    <row r="4" ht="22" customHeight="1">
      <c r="B4" s="19" t="inlineStr">
        <is>
          <t>Academic Year:</t>
        </is>
      </c>
      <c r="C4" s="9" t="n"/>
      <c r="D4" s="80" t="n"/>
      <c r="E4" s="81" t="n"/>
    </row>
    <row r="5" ht="22" customHeight="1">
      <c r="B5" s="19" t="inlineStr">
        <is>
          <t>Date:</t>
        </is>
      </c>
      <c r="C5" s="9" t="n"/>
      <c r="D5" s="80" t="n"/>
      <c r="E5" s="81" t="n"/>
    </row>
    <row r="6" ht="22" customHeight="1">
      <c r="B6" s="19" t="inlineStr">
        <is>
          <t>Time:</t>
        </is>
      </c>
      <c r="C6" s="9" t="n"/>
      <c r="D6" s="80" t="n"/>
      <c r="E6" s="81" t="n"/>
    </row>
    <row r="7" ht="22" customHeight="1">
      <c r="B7" s="19" t="inlineStr">
        <is>
          <t>Venue:</t>
        </is>
      </c>
      <c r="C7" s="9" t="n"/>
      <c r="D7" s="80" t="n"/>
      <c r="E7" s="81" t="n"/>
    </row>
    <row r="8" ht="22" customHeight="1">
      <c r="B8" s="19" t="inlineStr">
        <is>
          <t>Mode:</t>
        </is>
      </c>
      <c r="C8" s="9" t="n"/>
      <c r="D8" s="80" t="n"/>
      <c r="E8" s="81" t="n"/>
    </row>
    <row r="9" ht="22" customHeight="1">
      <c r="B9" s="19" t="inlineStr">
        <is>
          <t>Notice by:</t>
        </is>
      </c>
      <c r="C9" s="9" t="n"/>
      <c r="D9" s="80" t="n"/>
      <c r="E9" s="81" t="n"/>
    </row>
    <row r="10" ht="22" customHeight="1">
      <c r="B10" s="19" t="inlineStr">
        <is>
          <t>Notice Date:</t>
        </is>
      </c>
      <c r="C10" s="9" t="n"/>
      <c r="D10" s="80" t="n"/>
      <c r="E10" s="81" t="n"/>
    </row>
    <row r="11" ht="24" customHeight="1">
      <c r="B11" s="20" t="inlineStr">
        <is>
          <t>AGENDA ITEMS</t>
        </is>
      </c>
    </row>
    <row r="12" ht="24" customHeight="1">
      <c r="B12" s="13" t="inlineStr">
        <is>
          <t>Item
No.</t>
        </is>
      </c>
      <c r="C12" s="13" t="inlineStr">
        <is>
          <t>Agenda Item / Discussion Topic</t>
        </is>
      </c>
      <c r="D12" s="13" t="inlineStr">
        <is>
          <t>Presenter / Lead</t>
        </is>
      </c>
      <c r="E12" s="13" t="inlineStr">
        <is>
          <t>Duration (Min)</t>
        </is>
      </c>
    </row>
    <row r="13" ht="24" customHeight="1">
      <c r="B13" s="14" t="n">
        <v>1</v>
      </c>
      <c r="C13" s="15" t="inlineStr">
        <is>
          <t>Confirmation of minutes of previous IIPC meeting</t>
        </is>
      </c>
      <c r="D13" s="16" t="inlineStr"/>
      <c r="E13" s="16" t="inlineStr"/>
    </row>
    <row r="14" ht="24" customHeight="1">
      <c r="B14" s="8" t="n">
        <v>2</v>
      </c>
      <c r="C14" s="9" t="inlineStr">
        <is>
          <t>Action Taken Report on previous IIPC resolutions</t>
        </is>
      </c>
      <c r="D14" s="10" t="inlineStr"/>
      <c r="E14" s="10" t="inlineStr"/>
    </row>
    <row r="15" ht="24" customHeight="1">
      <c r="B15" s="14" t="n">
        <v>3</v>
      </c>
      <c r="C15" s="15" t="inlineStr">
        <is>
          <t>Industry partner database — new additions, lapsed MoUs</t>
        </is>
      </c>
      <c r="D15" s="16" t="inlineStr"/>
      <c r="E15" s="16" t="inlineStr"/>
    </row>
    <row r="16" ht="24" customHeight="1">
      <c r="B16" s="8" t="n">
        <v>4</v>
      </c>
      <c r="C16" s="9" t="inlineStr">
        <is>
          <t>MoU status — renewals due, activities pending</t>
        </is>
      </c>
      <c r="D16" s="10" t="inlineStr"/>
      <c r="E16" s="10" t="inlineStr"/>
    </row>
    <row r="17" ht="24" customHeight="1">
      <c r="B17" s="14" t="n">
        <v>5</v>
      </c>
      <c r="C17" s="15" t="inlineStr">
        <is>
          <t>Internship / IPT — current batch status and outcomes</t>
        </is>
      </c>
      <c r="D17" s="16" t="inlineStr"/>
      <c r="E17" s="16" t="inlineStr"/>
    </row>
    <row r="18" ht="24" customHeight="1">
      <c r="B18" s="8" t="n">
        <v>6</v>
      </c>
      <c r="C18" s="9" t="inlineStr">
        <is>
          <t>Guest lectures and expert visits — schedule review</t>
        </is>
      </c>
      <c r="D18" s="10" t="inlineStr"/>
      <c r="E18" s="10" t="inlineStr"/>
    </row>
    <row r="19" ht="24" customHeight="1">
      <c r="B19" s="14" t="n">
        <v>7</v>
      </c>
      <c r="C19" s="15" t="inlineStr">
        <is>
          <t>Industry Advisory Board — curriculum feedback update</t>
        </is>
      </c>
      <c r="D19" s="16" t="inlineStr"/>
      <c r="E19" s="16" t="inlineStr"/>
    </row>
    <row r="20" ht="24" customHeight="1">
      <c r="B20" s="8" t="n">
        <v>8</v>
      </c>
      <c r="C20" s="9" t="inlineStr">
        <is>
          <t>Campus recruitment — upcoming drives and preparation</t>
        </is>
      </c>
      <c r="D20" s="10" t="inlineStr"/>
      <c r="E20" s="10" t="inlineStr"/>
    </row>
    <row r="21" ht="24" customHeight="1">
      <c r="B21" s="14" t="n">
        <v>9</v>
      </c>
      <c r="C21" s="15" t="inlineStr">
        <is>
          <t>Live projects / problem statements — student progress</t>
        </is>
      </c>
      <c r="D21" s="16" t="inlineStr"/>
      <c r="E21" s="16" t="inlineStr"/>
    </row>
    <row r="22" ht="24" customHeight="1">
      <c r="B22" s="8" t="n">
        <v>10</v>
      </c>
      <c r="C22" s="9" t="inlineStr">
        <is>
          <t>Sponsored research and consultancy — status update</t>
        </is>
      </c>
      <c r="D22" s="10" t="inlineStr"/>
      <c r="E22" s="10" t="inlineStr"/>
    </row>
    <row r="23" ht="24" customHeight="1">
      <c r="B23" s="14" t="n">
        <v>11</v>
      </c>
      <c r="C23" s="15" t="inlineStr">
        <is>
          <t>Corporate training programmes — proposals and schedule</t>
        </is>
      </c>
      <c r="D23" s="16" t="inlineStr"/>
      <c r="E23" s="16" t="inlineStr"/>
    </row>
    <row r="24" ht="24" customHeight="1">
      <c r="B24" s="8" t="n">
        <v>12</v>
      </c>
      <c r="C24" s="9" t="inlineStr">
        <is>
          <t>Skill development programmes — enrolment and completion</t>
        </is>
      </c>
      <c r="D24" s="10" t="inlineStr"/>
      <c r="E24" s="10" t="inlineStr"/>
    </row>
    <row r="25" ht="24" customHeight="1">
      <c r="B25" s="14" t="n">
        <v>13</v>
      </c>
      <c r="C25" s="15" t="inlineStr">
        <is>
          <t>Revenue from industry — consultancy, training, grants</t>
        </is>
      </c>
      <c r="D25" s="16" t="inlineStr"/>
      <c r="E25" s="16" t="inlineStr"/>
    </row>
    <row r="26" ht="24" customHeight="1">
      <c r="B26" s="8" t="n">
        <v>14</v>
      </c>
      <c r="C26" s="9" t="inlineStr">
        <is>
          <t>Industry satisfaction survey — results and action plan</t>
        </is>
      </c>
      <c r="D26" s="10" t="inlineStr"/>
      <c r="E26" s="10" t="inlineStr"/>
    </row>
    <row r="27" ht="24" customHeight="1">
      <c r="B27" s="14" t="n">
        <v>15</v>
      </c>
      <c r="C27" s="15" t="inlineStr">
        <is>
          <t>NAAC / NIRF / NBA industry data — compilation status</t>
        </is>
      </c>
      <c r="D27" s="16" t="inlineStr"/>
      <c r="E27" s="16" t="inlineStr"/>
    </row>
    <row r="28" ht="24" customHeight="1">
      <c r="B28" s="8" t="n">
        <v>16</v>
      </c>
      <c r="C28" s="9" t="inlineStr">
        <is>
          <t>New partnership proposals — review and approval</t>
        </is>
      </c>
      <c r="D28" s="10" t="inlineStr"/>
      <c r="E28" s="10" t="inlineStr"/>
    </row>
    <row r="29" ht="24" customHeight="1">
      <c r="B29" s="14" t="n">
        <v>17</v>
      </c>
      <c r="C29" s="15" t="inlineStr">
        <is>
          <t>Any Other Matter with Permission of Chairperson (AOMPC)</t>
        </is>
      </c>
      <c r="D29" s="16" t="inlineStr"/>
      <c r="E29" s="16" t="inlineStr"/>
    </row>
    <row r="30" ht="24" customHeight="1"/>
    <row r="31" ht="24" customHeight="1">
      <c r="B31" s="21" t="inlineStr">
        <is>
          <t>DISPATCH RECORD</t>
        </is>
      </c>
    </row>
    <row r="32" ht="24" customHeight="1">
      <c r="B32" s="22" t="inlineStr">
        <is>
          <t>Sl.</t>
        </is>
      </c>
      <c r="C32" s="22" t="inlineStr">
        <is>
          <t>Member Name &amp; Role</t>
        </is>
      </c>
      <c r="D32" s="22" t="inlineStr">
        <is>
          <t>Mode of Dispatch</t>
        </is>
      </c>
      <c r="E32" s="22" t="inlineStr">
        <is>
          <t>Date &amp; Acknowledgement</t>
        </is>
      </c>
    </row>
    <row r="33" ht="22" customHeight="1">
      <c r="B33" s="23" t="n"/>
      <c r="C33" s="23" t="n"/>
      <c r="D33" s="23" t="n"/>
      <c r="E33" s="23" t="n"/>
    </row>
    <row r="34" ht="22" customHeight="1">
      <c r="B34" s="10" t="n"/>
      <c r="C34" s="10" t="n"/>
      <c r="D34" s="10" t="n"/>
      <c r="E34" s="10" t="n"/>
    </row>
    <row r="35" ht="22" customHeight="1">
      <c r="B35" s="23" t="n"/>
      <c r="C35" s="23" t="n"/>
      <c r="D35" s="23" t="n"/>
      <c r="E35" s="23" t="n"/>
    </row>
    <row r="36" ht="22" customHeight="1">
      <c r="B36" s="10" t="n"/>
      <c r="C36" s="10" t="n"/>
      <c r="D36" s="10" t="n"/>
      <c r="E36" s="10" t="n"/>
    </row>
    <row r="37" ht="24" customHeight="1"/>
  </sheetData>
  <mergeCells count="11">
    <mergeCell ref="B31:E31"/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IIPC: ATTENDANCE &amp; QUORUM REGISTER</t>
        </is>
      </c>
    </row>
    <row r="3" ht="25" customHeight="1">
      <c r="B3" s="2" t="inlineStr">
        <is>
          <t>Meeting No.: _______  Date: _______  Total Strength: _______  Quorum Required (50%): _______</t>
        </is>
      </c>
    </row>
    <row r="4" ht="25" customHeight="1">
      <c r="B4" s="13" t="inlineStr">
        <is>
          <t>Sl.</t>
        </is>
      </c>
      <c r="C4" s="13" t="inlineStr">
        <is>
          <t>Name</t>
        </is>
      </c>
      <c r="D4" s="13" t="inlineStr">
        <is>
          <t>Role / Organisation</t>
        </is>
      </c>
      <c r="E4" s="13" t="inlineStr">
        <is>
          <t>Mode
(Physical/VC)</t>
        </is>
      </c>
      <c r="F4" s="13" t="inlineStr">
        <is>
          <t>Present
(P/A)</t>
        </is>
      </c>
      <c r="G4" s="13" t="inlineStr">
        <is>
          <t>Proxy
(Y/N)</t>
        </is>
      </c>
      <c r="H4" s="13" t="inlineStr">
        <is>
          <t>Proxy Holder</t>
        </is>
      </c>
      <c r="I4" s="13" t="inlineStr">
        <is>
          <t>Signature</t>
        </is>
      </c>
    </row>
    <row r="5" ht="22" customHeight="1">
      <c r="B5" s="14" t="n">
        <v>1</v>
      </c>
      <c r="C5" s="15" t="inlineStr"/>
      <c r="D5" s="15" t="inlineStr"/>
      <c r="E5" s="16" t="inlineStr">
        <is>
          <t>Physical</t>
        </is>
      </c>
      <c r="F5" s="16" t="inlineStr"/>
      <c r="G5" s="16" t="inlineStr">
        <is>
          <t>N</t>
        </is>
      </c>
      <c r="H5" s="16" t="inlineStr"/>
      <c r="I5" s="16" t="inlineStr"/>
    </row>
    <row r="6" ht="22" customHeight="1">
      <c r="B6" s="8" t="n">
        <v>2</v>
      </c>
      <c r="C6" s="9" t="inlineStr"/>
      <c r="D6" s="9" t="inlineStr"/>
      <c r="E6" s="10" t="inlineStr">
        <is>
          <t>Physical</t>
        </is>
      </c>
      <c r="F6" s="10" t="inlineStr"/>
      <c r="G6" s="10" t="inlineStr">
        <is>
          <t>N</t>
        </is>
      </c>
      <c r="H6" s="10" t="inlineStr"/>
      <c r="I6" s="10" t="inlineStr"/>
    </row>
    <row r="7" ht="22" customHeight="1">
      <c r="B7" s="14" t="n">
        <v>3</v>
      </c>
      <c r="C7" s="15" t="inlineStr"/>
      <c r="D7" s="15" t="inlineStr"/>
      <c r="E7" s="16" t="inlineStr">
        <is>
          <t>Physical</t>
        </is>
      </c>
      <c r="F7" s="16" t="inlineStr"/>
      <c r="G7" s="16" t="inlineStr">
        <is>
          <t>N</t>
        </is>
      </c>
      <c r="H7" s="16" t="inlineStr"/>
      <c r="I7" s="16" t="inlineStr"/>
    </row>
    <row r="8" ht="22" customHeight="1">
      <c r="B8" s="8" t="n">
        <v>4</v>
      </c>
      <c r="C8" s="9" t="inlineStr"/>
      <c r="D8" s="9" t="inlineStr"/>
      <c r="E8" s="10" t="inlineStr">
        <is>
          <t>Physical</t>
        </is>
      </c>
      <c r="F8" s="10" t="inlineStr"/>
      <c r="G8" s="10" t="inlineStr">
        <is>
          <t>N</t>
        </is>
      </c>
      <c r="H8" s="10" t="inlineStr"/>
      <c r="I8" s="10" t="inlineStr"/>
    </row>
    <row r="9" ht="22" customHeight="1">
      <c r="B9" s="14" t="n">
        <v>5</v>
      </c>
      <c r="C9" s="15" t="inlineStr"/>
      <c r="D9" s="15" t="inlineStr"/>
      <c r="E9" s="16" t="inlineStr">
        <is>
          <t>Physical</t>
        </is>
      </c>
      <c r="F9" s="16" t="inlineStr"/>
      <c r="G9" s="16" t="inlineStr">
        <is>
          <t>N</t>
        </is>
      </c>
      <c r="H9" s="16" t="inlineStr"/>
      <c r="I9" s="16" t="inlineStr"/>
    </row>
    <row r="10" ht="22" customHeight="1">
      <c r="B10" s="8" t="n">
        <v>6</v>
      </c>
      <c r="C10" s="9" t="inlineStr"/>
      <c r="D10" s="9" t="inlineStr"/>
      <c r="E10" s="10" t="inlineStr">
        <is>
          <t>Physical</t>
        </is>
      </c>
      <c r="F10" s="10" t="inlineStr"/>
      <c r="G10" s="10" t="inlineStr">
        <is>
          <t>N</t>
        </is>
      </c>
      <c r="H10" s="10" t="inlineStr"/>
      <c r="I10" s="10" t="inlineStr"/>
    </row>
    <row r="11" ht="22" customHeight="1">
      <c r="B11" s="14" t="n">
        <v>7</v>
      </c>
      <c r="C11" s="15" t="inlineStr"/>
      <c r="D11" s="15" t="inlineStr"/>
      <c r="E11" s="16" t="inlineStr">
        <is>
          <t>Physical</t>
        </is>
      </c>
      <c r="F11" s="16" t="inlineStr"/>
      <c r="G11" s="16" t="inlineStr">
        <is>
          <t>N</t>
        </is>
      </c>
      <c r="H11" s="16" t="inlineStr"/>
      <c r="I11" s="16" t="inlineStr"/>
    </row>
    <row r="12" ht="22" customHeight="1">
      <c r="B12" s="8" t="n">
        <v>8</v>
      </c>
      <c r="C12" s="9" t="inlineStr"/>
      <c r="D12" s="9" t="inlineStr"/>
      <c r="E12" s="10" t="inlineStr">
        <is>
          <t>Physical</t>
        </is>
      </c>
      <c r="F12" s="10" t="inlineStr"/>
      <c r="G12" s="10" t="inlineStr">
        <is>
          <t>N</t>
        </is>
      </c>
      <c r="H12" s="10" t="inlineStr"/>
      <c r="I12" s="10" t="inlineStr"/>
    </row>
    <row r="13" ht="22" customHeight="1">
      <c r="B13" s="14" t="n">
        <v>9</v>
      </c>
      <c r="C13" s="15" t="inlineStr"/>
      <c r="D13" s="15" t="inlineStr"/>
      <c r="E13" s="16" t="inlineStr">
        <is>
          <t>Physical</t>
        </is>
      </c>
      <c r="F13" s="16" t="inlineStr"/>
      <c r="G13" s="16" t="inlineStr">
        <is>
          <t>N</t>
        </is>
      </c>
      <c r="H13" s="16" t="inlineStr"/>
      <c r="I13" s="16" t="inlineStr"/>
    </row>
    <row r="14" ht="22" customHeight="1">
      <c r="B14" s="8" t="n">
        <v>10</v>
      </c>
      <c r="C14" s="9" t="inlineStr"/>
      <c r="D14" s="9" t="inlineStr"/>
      <c r="E14" s="10" t="inlineStr">
        <is>
          <t>Physical</t>
        </is>
      </c>
      <c r="F14" s="10" t="inlineStr"/>
      <c r="G14" s="10" t="inlineStr">
        <is>
          <t>N</t>
        </is>
      </c>
      <c r="H14" s="10" t="inlineStr"/>
      <c r="I14" s="10" t="inlineStr"/>
    </row>
    <row r="15" ht="22" customHeight="1">
      <c r="B15" s="14" t="n">
        <v>11</v>
      </c>
      <c r="C15" s="15" t="inlineStr"/>
      <c r="D15" s="15" t="inlineStr"/>
      <c r="E15" s="16" t="inlineStr">
        <is>
          <t>Physical</t>
        </is>
      </c>
      <c r="F15" s="16" t="inlineStr"/>
      <c r="G15" s="16" t="inlineStr">
        <is>
          <t>N</t>
        </is>
      </c>
      <c r="H15" s="16" t="inlineStr"/>
      <c r="I15" s="16" t="inlineStr"/>
    </row>
    <row r="16" ht="22" customHeight="1">
      <c r="B16" s="8" t="n">
        <v>12</v>
      </c>
      <c r="C16" s="9" t="inlineStr"/>
      <c r="D16" s="9" t="inlineStr"/>
      <c r="E16" s="10" t="inlineStr">
        <is>
          <t>Physical</t>
        </is>
      </c>
      <c r="F16" s="10" t="inlineStr"/>
      <c r="G16" s="10" t="inlineStr">
        <is>
          <t>N</t>
        </is>
      </c>
      <c r="H16" s="10" t="inlineStr"/>
      <c r="I16" s="10" t="inlineStr"/>
    </row>
    <row r="17" ht="22" customHeight="1">
      <c r="B17" s="14" t="n">
        <v>13</v>
      </c>
      <c r="C17" s="15" t="inlineStr"/>
      <c r="D17" s="15" t="inlineStr"/>
      <c r="E17" s="16" t="inlineStr">
        <is>
          <t>Physical</t>
        </is>
      </c>
      <c r="F17" s="16" t="inlineStr"/>
      <c r="G17" s="16" t="inlineStr">
        <is>
          <t>N</t>
        </is>
      </c>
      <c r="H17" s="16" t="inlineStr"/>
      <c r="I17" s="16" t="inlineStr"/>
    </row>
    <row r="18" ht="22" customHeight="1">
      <c r="B18" s="8" t="n">
        <v>14</v>
      </c>
      <c r="C18" s="9" t="inlineStr"/>
      <c r="D18" s="9" t="inlineStr"/>
      <c r="E18" s="10" t="inlineStr">
        <is>
          <t>Physical</t>
        </is>
      </c>
      <c r="F18" s="10" t="inlineStr"/>
      <c r="G18" s="10" t="inlineStr">
        <is>
          <t>N</t>
        </is>
      </c>
      <c r="H18" s="10" t="inlineStr"/>
      <c r="I18" s="10" t="inlineStr"/>
    </row>
    <row r="19" ht="22" customHeight="1">
      <c r="B19" s="14" t="n">
        <v>15</v>
      </c>
      <c r="C19" s="15" t="inlineStr"/>
      <c r="D19" s="15" t="inlineStr"/>
      <c r="E19" s="16" t="inlineStr">
        <is>
          <t>Physical</t>
        </is>
      </c>
      <c r="F19" s="16" t="inlineStr"/>
      <c r="G19" s="16" t="inlineStr">
        <is>
          <t>N</t>
        </is>
      </c>
      <c r="H19" s="16" t="inlineStr"/>
      <c r="I19" s="16" t="inlineStr"/>
    </row>
    <row r="20" ht="22" customHeight="1">
      <c r="B20" s="8" t="n">
        <v>16</v>
      </c>
      <c r="C20" s="9" t="inlineStr"/>
      <c r="D20" s="9" t="inlineStr"/>
      <c r="E20" s="10" t="inlineStr">
        <is>
          <t>Physical</t>
        </is>
      </c>
      <c r="F20" s="10" t="inlineStr"/>
      <c r="G20" s="10" t="inlineStr">
        <is>
          <t>N</t>
        </is>
      </c>
      <c r="H20" s="10" t="inlineStr"/>
      <c r="I20" s="10" t="inlineStr"/>
    </row>
    <row r="21" ht="22" customHeight="1">
      <c r="B21" s="14" t="n">
        <v>17</v>
      </c>
      <c r="C21" s="15" t="inlineStr"/>
      <c r="D21" s="15" t="inlineStr"/>
      <c r="E21" s="16" t="inlineStr">
        <is>
          <t>Physical</t>
        </is>
      </c>
      <c r="F21" s="16" t="inlineStr"/>
      <c r="G21" s="16" t="inlineStr">
        <is>
          <t>N</t>
        </is>
      </c>
      <c r="H21" s="16" t="inlineStr"/>
      <c r="I21" s="16" t="inlineStr"/>
    </row>
    <row r="22" ht="22" customHeight="1"/>
    <row r="23" ht="24" customHeight="1">
      <c r="B23" s="21" t="inlineStr">
        <is>
          <t>QUORUM VERIFICATION</t>
        </is>
      </c>
    </row>
    <row r="24" ht="22" customHeight="1">
      <c r="B24" s="24" t="inlineStr">
        <is>
          <t>Total IIPC Members</t>
        </is>
      </c>
      <c r="C24" s="80" t="n"/>
      <c r="D24" s="80" t="n"/>
      <c r="E24" s="80" t="n"/>
      <c r="F24" s="81" t="n"/>
      <c r="G24" s="25" t="inlineStr"/>
      <c r="H24" s="80" t="n"/>
      <c r="I24" s="81" t="n"/>
    </row>
    <row r="25" ht="22" customHeight="1">
      <c r="B25" s="26" t="inlineStr">
        <is>
          <t>Present (Physical)</t>
        </is>
      </c>
      <c r="C25" s="80" t="n"/>
      <c r="D25" s="80" t="n"/>
      <c r="E25" s="80" t="n"/>
      <c r="F25" s="81" t="n"/>
      <c r="G25" s="25">
        <f>COUNTIF(F5:F21,"P")</f>
        <v/>
      </c>
      <c r="H25" s="80" t="n"/>
      <c r="I25" s="81" t="n"/>
    </row>
    <row r="26" ht="22" customHeight="1">
      <c r="B26" s="24" t="inlineStr">
        <is>
          <t>Present (VC)</t>
        </is>
      </c>
      <c r="C26" s="80" t="n"/>
      <c r="D26" s="80" t="n"/>
      <c r="E26" s="80" t="n"/>
      <c r="F26" s="81" t="n"/>
      <c r="G26" s="25" t="inlineStr"/>
      <c r="H26" s="80" t="n"/>
      <c r="I26" s="81" t="n"/>
    </row>
    <row r="27" ht="22" customHeight="1">
      <c r="B27" s="26" t="inlineStr">
        <is>
          <t>Total Effective</t>
        </is>
      </c>
      <c r="C27" s="80" t="n"/>
      <c r="D27" s="80" t="n"/>
      <c r="E27" s="80" t="n"/>
      <c r="F27" s="81" t="n"/>
      <c r="G27" s="25">
        <f>IFERROR(C25+C26,"")</f>
        <v/>
      </c>
      <c r="H27" s="80" t="n"/>
      <c r="I27" s="81" t="n"/>
    </row>
    <row r="28" ht="22" customHeight="1">
      <c r="B28" s="24" t="inlineStr">
        <is>
          <t>Quorum Required (50%)</t>
        </is>
      </c>
      <c r="C28" s="80" t="n"/>
      <c r="D28" s="80" t="n"/>
      <c r="E28" s="80" t="n"/>
      <c r="F28" s="81" t="n"/>
      <c r="G28" s="25" t="inlineStr"/>
      <c r="H28" s="80" t="n"/>
      <c r="I28" s="81" t="n"/>
    </row>
    <row r="29" ht="22" customHeight="1">
      <c r="B29" s="26" t="inlineStr">
        <is>
          <t>Quorum Achieved?</t>
        </is>
      </c>
      <c r="C29" s="80" t="n"/>
      <c r="D29" s="80" t="n"/>
      <c r="E29" s="80" t="n"/>
      <c r="F29" s="81" t="n"/>
      <c r="G29" s="27">
        <f>IFERROR(IF(C27&gt;=C28,"YES — Meeting Valid","NO — Adjourned"),"")</f>
        <v/>
      </c>
      <c r="H29" s="80" t="n"/>
      <c r="I29" s="81" t="n"/>
    </row>
  </sheetData>
  <mergeCells count="15">
    <mergeCell ref="G24:I24"/>
    <mergeCell ref="B29:F29"/>
    <mergeCell ref="G28:I28"/>
    <mergeCell ref="B24:F24"/>
    <mergeCell ref="G27:I27"/>
    <mergeCell ref="B2:I2"/>
    <mergeCell ref="B25:F25"/>
    <mergeCell ref="B28:F28"/>
    <mergeCell ref="B3:I3"/>
    <mergeCell ref="G26:I26"/>
    <mergeCell ref="B23:I23"/>
    <mergeCell ref="G29:I29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18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8" t="inlineStr">
        <is>
          <t>IIPC: MEETING MINUTES &amp; RESOLUTIONS</t>
        </is>
      </c>
    </row>
    <row r="3" ht="25" customHeight="1">
      <c r="B3" s="2" t="inlineStr">
        <is>
          <t>Meeting No.: _______  Date: _______  Venue: _______  Chairperson: ___________________</t>
        </is>
      </c>
    </row>
    <row r="4" ht="24" customHeight="1">
      <c r="B4" s="28" t="inlineStr">
        <is>
          <t>DISCUSSION &amp; RESOLUTIONS</t>
        </is>
      </c>
    </row>
    <row r="5" ht="30" customHeight="1">
      <c r="B5" s="29" t="inlineStr">
        <is>
          <t>Resolution
No.</t>
        </is>
      </c>
      <c r="C5" s="29" t="inlineStr">
        <is>
          <t>Discussion &amp; Resolution</t>
        </is>
      </c>
      <c r="D5" s="29" t="inlineStr">
        <is>
          <t>Responsible</t>
        </is>
      </c>
      <c r="E5" s="29" t="inlineStr">
        <is>
          <t>Voting</t>
        </is>
      </c>
      <c r="F5" s="29" t="inlineStr">
        <is>
          <t>Target
Date</t>
        </is>
      </c>
      <c r="G5" s="29" t="inlineStr">
        <is>
          <t>Status</t>
        </is>
      </c>
    </row>
    <row r="6" ht="30" customHeight="1">
      <c r="B6" s="14" t="inlineStr">
        <is>
          <t>IIPC/RES/001</t>
        </is>
      </c>
      <c r="C6" s="15" t="inlineStr"/>
      <c r="D6" s="16" t="inlineStr"/>
      <c r="E6" s="16" t="inlineStr"/>
      <c r="F6" s="16" t="inlineStr"/>
      <c r="G6" s="16" t="inlineStr">
        <is>
          <t>Pending</t>
        </is>
      </c>
    </row>
    <row r="7" ht="30" customHeight="1">
      <c r="B7" s="8" t="inlineStr">
        <is>
          <t>IIPC/RES/002</t>
        </is>
      </c>
      <c r="C7" s="9" t="inlineStr"/>
      <c r="D7" s="10" t="inlineStr"/>
      <c r="E7" s="10" t="inlineStr"/>
      <c r="F7" s="10" t="inlineStr"/>
      <c r="G7" s="10" t="inlineStr">
        <is>
          <t>Pending</t>
        </is>
      </c>
    </row>
    <row r="8" ht="30" customHeight="1">
      <c r="B8" s="14" t="inlineStr">
        <is>
          <t>IIPC/RES/003</t>
        </is>
      </c>
      <c r="C8" s="15" t="inlineStr"/>
      <c r="D8" s="16" t="inlineStr"/>
      <c r="E8" s="16" t="inlineStr"/>
      <c r="F8" s="16" t="inlineStr"/>
      <c r="G8" s="16" t="inlineStr">
        <is>
          <t>Pending</t>
        </is>
      </c>
    </row>
    <row r="9" ht="30" customHeight="1">
      <c r="B9" s="8" t="inlineStr">
        <is>
          <t>IIPC/RES/004</t>
        </is>
      </c>
      <c r="C9" s="9" t="inlineStr"/>
      <c r="D9" s="10" t="inlineStr"/>
      <c r="E9" s="10" t="inlineStr"/>
      <c r="F9" s="10" t="inlineStr"/>
      <c r="G9" s="10" t="inlineStr">
        <is>
          <t>Pending</t>
        </is>
      </c>
    </row>
    <row r="10" ht="30" customHeight="1">
      <c r="B10" s="14" t="inlineStr">
        <is>
          <t>IIPC/RES/005</t>
        </is>
      </c>
      <c r="C10" s="15" t="inlineStr"/>
      <c r="D10" s="16" t="inlineStr"/>
      <c r="E10" s="16" t="inlineStr"/>
      <c r="F10" s="16" t="inlineStr"/>
      <c r="G10" s="16" t="inlineStr">
        <is>
          <t>Pending</t>
        </is>
      </c>
    </row>
    <row r="11" ht="30" customHeight="1">
      <c r="B11" s="8" t="inlineStr">
        <is>
          <t>IIPC/RES/006</t>
        </is>
      </c>
      <c r="C11" s="9" t="inlineStr"/>
      <c r="D11" s="10" t="inlineStr"/>
      <c r="E11" s="10" t="inlineStr"/>
      <c r="F11" s="10" t="inlineStr"/>
      <c r="G11" s="10" t="inlineStr">
        <is>
          <t>Pending</t>
        </is>
      </c>
    </row>
    <row r="12" ht="30" customHeight="1">
      <c r="B12" s="14" t="inlineStr">
        <is>
          <t>IIPC/RES/007</t>
        </is>
      </c>
      <c r="C12" s="15" t="inlineStr"/>
      <c r="D12" s="16" t="inlineStr"/>
      <c r="E12" s="16" t="inlineStr"/>
      <c r="F12" s="16" t="inlineStr"/>
      <c r="G12" s="16" t="inlineStr">
        <is>
          <t>Pending</t>
        </is>
      </c>
    </row>
    <row r="13" ht="30" customHeight="1">
      <c r="B13" s="8" t="inlineStr">
        <is>
          <t>IIPC/RES/008</t>
        </is>
      </c>
      <c r="C13" s="9" t="inlineStr"/>
      <c r="D13" s="10" t="inlineStr"/>
      <c r="E13" s="10" t="inlineStr"/>
      <c r="F13" s="10" t="inlineStr"/>
      <c r="G13" s="10" t="inlineStr">
        <is>
          <t>Pending</t>
        </is>
      </c>
    </row>
    <row r="14" ht="30" customHeight="1">
      <c r="B14" s="14" t="inlineStr">
        <is>
          <t>IIPC/RES/009</t>
        </is>
      </c>
      <c r="C14" s="15" t="inlineStr"/>
      <c r="D14" s="16" t="inlineStr"/>
      <c r="E14" s="16" t="inlineStr"/>
      <c r="F14" s="16" t="inlineStr"/>
      <c r="G14" s="16" t="inlineStr">
        <is>
          <t>Pending</t>
        </is>
      </c>
    </row>
    <row r="15" ht="30" customHeight="1">
      <c r="B15" s="8" t="inlineStr">
        <is>
          <t>IIPC/RES/010</t>
        </is>
      </c>
      <c r="C15" s="9" t="inlineStr"/>
      <c r="D15" s="10" t="inlineStr"/>
      <c r="E15" s="10" t="inlineStr"/>
      <c r="F15" s="10" t="inlineStr"/>
      <c r="G15" s="10" t="inlineStr">
        <is>
          <t>Pending</t>
        </is>
      </c>
    </row>
    <row r="16" ht="30" customHeight="1">
      <c r="B16" s="14" t="inlineStr">
        <is>
          <t>IIPC/RES/011</t>
        </is>
      </c>
      <c r="C16" s="15" t="inlineStr"/>
      <c r="D16" s="16" t="inlineStr"/>
      <c r="E16" s="16" t="inlineStr"/>
      <c r="F16" s="16" t="inlineStr"/>
      <c r="G16" s="16" t="inlineStr">
        <is>
          <t>Pending</t>
        </is>
      </c>
    </row>
    <row r="17" ht="30" customHeight="1">
      <c r="B17" s="8" t="inlineStr">
        <is>
          <t>IIPC/RES/012</t>
        </is>
      </c>
      <c r="C17" s="9" t="inlineStr"/>
      <c r="D17" s="10" t="inlineStr"/>
      <c r="E17" s="10" t="inlineStr"/>
      <c r="F17" s="10" t="inlineStr"/>
      <c r="G17" s="10" t="inlineStr">
        <is>
          <t>Pending</t>
        </is>
      </c>
    </row>
    <row r="18" ht="30" customHeight="1">
      <c r="B18" s="14" t="inlineStr">
        <is>
          <t>IIPC/RES/013</t>
        </is>
      </c>
      <c r="C18" s="15" t="inlineStr"/>
      <c r="D18" s="16" t="inlineStr"/>
      <c r="E18" s="16" t="inlineStr"/>
      <c r="F18" s="16" t="inlineStr"/>
      <c r="G18" s="16" t="inlineStr">
        <is>
          <t>Pending</t>
        </is>
      </c>
    </row>
    <row r="19" ht="30" customHeight="1">
      <c r="B19" s="8" t="inlineStr">
        <is>
          <t>IIPC/RES/014</t>
        </is>
      </c>
      <c r="C19" s="9" t="inlineStr"/>
      <c r="D19" s="10" t="inlineStr"/>
      <c r="E19" s="10" t="inlineStr"/>
      <c r="F19" s="10" t="inlineStr"/>
      <c r="G19" s="10" t="inlineStr">
        <is>
          <t>Pending</t>
        </is>
      </c>
    </row>
    <row r="20" ht="30" customHeight="1"/>
    <row r="21" ht="30" customHeight="1">
      <c r="B21" s="30" t="inlineStr">
        <is>
          <t>Next Meeting: _______    Chairperson: ___________________    IIPC Coordinator: ___________________</t>
        </is>
      </c>
    </row>
    <row r="22" ht="30" customHeight="1"/>
    <row r="23" ht="30" customHeight="1"/>
    <row r="24" ht="30" customHeight="1"/>
  </sheetData>
  <mergeCells count="4">
    <mergeCell ref="B3:G3"/>
    <mergeCell ref="B2:G2"/>
    <mergeCell ref="B4:G4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0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8" t="inlineStr">
        <is>
          <t>IIPC: ACTION TAKEN REPORT (ATR)</t>
        </is>
      </c>
    </row>
    <row r="3" ht="25" customHeight="1">
      <c r="B3" s="2" t="inlineStr">
        <is>
          <t>Current Meeting No.: _______  Date: _______  Previous Meeting Ref.: _______</t>
        </is>
      </c>
    </row>
    <row r="4" ht="25" customHeight="1">
      <c r="B4" s="31" t="inlineStr">
        <is>
          <t>Resolution
No.</t>
        </is>
      </c>
      <c r="C4" s="31" t="inlineStr">
        <is>
          <t>Resolution / Decision</t>
        </is>
      </c>
      <c r="D4" s="31" t="inlineStr">
        <is>
          <t>Action Required</t>
        </is>
      </c>
      <c r="E4" s="31" t="inlineStr">
        <is>
          <t>Responsible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</t>
        </is>
      </c>
    </row>
    <row r="5" ht="26" customHeight="1">
      <c r="B5" s="32" t="inlineStr">
        <is>
          <t>IIPC/RES/001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Implemented</t>
        </is>
      </c>
    </row>
    <row r="6" ht="26" customHeight="1">
      <c r="B6" s="8" t="inlineStr">
        <is>
          <t>IIPC/RES/002</t>
        </is>
      </c>
      <c r="C6" s="9" t="inlineStr"/>
      <c r="D6" s="9" t="inlineStr"/>
      <c r="E6" s="10" t="inlineStr"/>
      <c r="F6" s="10" t="inlineStr"/>
      <c r="G6" s="10" t="inlineStr"/>
      <c r="H6" s="9" t="inlineStr">
        <is>
          <t>In Progress</t>
        </is>
      </c>
    </row>
    <row r="7" ht="26" customHeight="1">
      <c r="B7" s="32" t="inlineStr">
        <is>
          <t>IIPC/RES/003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Pending</t>
        </is>
      </c>
    </row>
    <row r="8" ht="26" customHeight="1">
      <c r="B8" s="8" t="inlineStr">
        <is>
          <t>IIPC/RES/004</t>
        </is>
      </c>
      <c r="C8" s="9" t="inlineStr"/>
      <c r="D8" s="9" t="inlineStr"/>
      <c r="E8" s="10" t="inlineStr"/>
      <c r="F8" s="10" t="inlineStr"/>
      <c r="G8" s="10" t="inlineStr"/>
      <c r="H8" s="9" t="inlineStr">
        <is>
          <t>Deferred</t>
        </is>
      </c>
    </row>
    <row r="9" ht="26" customHeight="1">
      <c r="B9" s="32" t="inlineStr">
        <is>
          <t>IIPC/RES/005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Referred</t>
        </is>
      </c>
    </row>
    <row r="10" ht="26" customHeight="1">
      <c r="B10" s="8" t="inlineStr">
        <is>
          <t>IIPC/RES/006</t>
        </is>
      </c>
      <c r="C10" s="9" t="inlineStr"/>
      <c r="D10" s="9" t="inlineStr"/>
      <c r="E10" s="10" t="inlineStr"/>
      <c r="F10" s="10" t="inlineStr"/>
      <c r="G10" s="10" t="inlineStr"/>
      <c r="H10" s="9" t="inlineStr">
        <is>
          <t>Implemented</t>
        </is>
      </c>
    </row>
    <row r="11" ht="26" customHeight="1">
      <c r="B11" s="32" t="inlineStr">
        <is>
          <t>IIPC/RES/007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6" customHeight="1">
      <c r="B12" s="8" t="inlineStr">
        <is>
          <t>IIPC/RES/008</t>
        </is>
      </c>
      <c r="C12" s="9" t="inlineStr"/>
      <c r="D12" s="9" t="inlineStr"/>
      <c r="E12" s="10" t="inlineStr"/>
      <c r="F12" s="10" t="inlineStr"/>
      <c r="G12" s="10" t="inlineStr"/>
      <c r="H12" s="9" t="inlineStr">
        <is>
          <t>Pending</t>
        </is>
      </c>
    </row>
    <row r="13" ht="26" customHeight="1">
      <c r="B13" s="32" t="inlineStr">
        <is>
          <t>IIPC/RES/009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Deferred</t>
        </is>
      </c>
    </row>
    <row r="14" ht="26" customHeight="1">
      <c r="B14" s="8" t="inlineStr">
        <is>
          <t>IIPC/RES/010</t>
        </is>
      </c>
      <c r="C14" s="9" t="inlineStr"/>
      <c r="D14" s="9" t="inlineStr"/>
      <c r="E14" s="10" t="inlineStr"/>
      <c r="F14" s="10" t="inlineStr"/>
      <c r="G14" s="10" t="inlineStr"/>
      <c r="H14" s="9" t="inlineStr">
        <is>
          <t>Referred</t>
        </is>
      </c>
    </row>
    <row r="15" ht="26" customHeight="1">
      <c r="B15" s="32" t="inlineStr">
        <is>
          <t>IIPC/RES/011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Implemented</t>
        </is>
      </c>
    </row>
    <row r="16" ht="26" customHeight="1">
      <c r="B16" s="8" t="inlineStr">
        <is>
          <t>IIPC/RES/012</t>
        </is>
      </c>
      <c r="C16" s="9" t="inlineStr"/>
      <c r="D16" s="9" t="inlineStr"/>
      <c r="E16" s="10" t="inlineStr"/>
      <c r="F16" s="10" t="inlineStr"/>
      <c r="G16" s="10" t="inlineStr"/>
      <c r="H16" s="9" t="inlineStr">
        <is>
          <t>In Progress</t>
        </is>
      </c>
    </row>
    <row r="17" ht="26" customHeight="1">
      <c r="B17" s="32" t="inlineStr">
        <is>
          <t>IIPC/RES/013</t>
        </is>
      </c>
      <c r="C17" s="33" t="inlineStr"/>
      <c r="D17" s="33" t="inlineStr"/>
      <c r="E17" s="34" t="inlineStr"/>
      <c r="F17" s="34" t="inlineStr"/>
      <c r="G17" s="34" t="inlineStr"/>
      <c r="H17" s="33" t="inlineStr">
        <is>
          <t>Pending</t>
        </is>
      </c>
    </row>
    <row r="18" ht="26" customHeight="1">
      <c r="B18" s="8" t="inlineStr">
        <is>
          <t>IIPC/RES/014</t>
        </is>
      </c>
      <c r="C18" s="9" t="inlineStr"/>
      <c r="D18" s="9" t="inlineStr"/>
      <c r="E18" s="10" t="inlineStr"/>
      <c r="F18" s="10" t="inlineStr"/>
      <c r="G18" s="10" t="inlineStr"/>
      <c r="H18" s="9" t="inlineStr">
        <is>
          <t>Deferred</t>
        </is>
      </c>
    </row>
    <row r="19" ht="26" customHeight="1">
      <c r="B19" s="32" t="inlineStr">
        <is>
          <t>IIPC/RES/015</t>
        </is>
      </c>
      <c r="C19" s="33" t="inlineStr"/>
      <c r="D19" s="33" t="inlineStr"/>
      <c r="E19" s="34" t="inlineStr"/>
      <c r="F19" s="34" t="inlineStr"/>
      <c r="G19" s="34" t="inlineStr"/>
      <c r="H19" s="33" t="inlineStr">
        <is>
          <t>Referred</t>
        </is>
      </c>
    </row>
    <row r="20" ht="26" customHeight="1"/>
    <row r="21" ht="24" customHeight="1">
      <c r="B21" s="35" t="inlineStr">
        <is>
          <t>ATR SUMMARY</t>
        </is>
      </c>
    </row>
    <row r="22" ht="26" customHeight="1">
      <c r="B22" s="36" t="inlineStr">
        <is>
          <t>Total Resolutions Under Review</t>
        </is>
      </c>
      <c r="C22" s="80" t="n"/>
      <c r="D22" s="80" t="n"/>
      <c r="E22" s="81" t="n"/>
      <c r="F22" s="37">
        <f>COUNTA(B5:B19)</f>
        <v/>
      </c>
      <c r="G22" s="80" t="n"/>
      <c r="H22" s="81" t="n"/>
    </row>
    <row r="23" ht="26" customHeight="1">
      <c r="B23" s="26" t="inlineStr">
        <is>
          <t>Implemented</t>
        </is>
      </c>
      <c r="C23" s="80" t="n"/>
      <c r="D23" s="80" t="n"/>
      <c r="E23" s="81" t="n"/>
      <c r="F23" s="38">
        <f>COUNTIF(H5:H19,"Implemented")</f>
        <v/>
      </c>
      <c r="G23" s="80" t="n"/>
      <c r="H23" s="81" t="n"/>
    </row>
    <row r="24" ht="26" customHeight="1">
      <c r="B24" s="36" t="inlineStr">
        <is>
          <t>In Progress</t>
        </is>
      </c>
      <c r="C24" s="80" t="n"/>
      <c r="D24" s="80" t="n"/>
      <c r="E24" s="81" t="n"/>
      <c r="F24" s="37">
        <f>COUNTIF(H5:H19,"In Progress")</f>
        <v/>
      </c>
      <c r="G24" s="80" t="n"/>
      <c r="H24" s="81" t="n"/>
    </row>
    <row r="25" ht="26" customHeight="1">
      <c r="B25" s="26" t="inlineStr">
        <is>
          <t>Pending</t>
        </is>
      </c>
      <c r="C25" s="80" t="n"/>
      <c r="D25" s="80" t="n"/>
      <c r="E25" s="81" t="n"/>
      <c r="F25" s="38">
        <f>COUNTIF(H5:H19,"Pending")</f>
        <v/>
      </c>
      <c r="G25" s="80" t="n"/>
      <c r="H25" s="81" t="n"/>
    </row>
    <row r="26" ht="26" customHeight="1">
      <c r="B26" s="36" t="inlineStr">
        <is>
          <t>Deferred</t>
        </is>
      </c>
      <c r="C26" s="80" t="n"/>
      <c r="D26" s="80" t="n"/>
      <c r="E26" s="81" t="n"/>
      <c r="F26" s="37">
        <f>COUNTIF(H5:H19,"Deferred")</f>
        <v/>
      </c>
      <c r="G26" s="80" t="n"/>
      <c r="H26" s="81" t="n"/>
    </row>
    <row r="27" ht="26" customHeight="1">
      <c r="B27" s="26" t="inlineStr">
        <is>
          <t>Implementation Rate (%)</t>
        </is>
      </c>
      <c r="C27" s="80" t="n"/>
      <c r="D27" s="80" t="n"/>
      <c r="E27" s="81" t="n"/>
      <c r="F27" s="38">
        <f>IFERROR(ROUND(C23/C22*100,1),"")</f>
        <v/>
      </c>
      <c r="G27" s="80" t="n"/>
      <c r="H27" s="81" t="n"/>
    </row>
  </sheetData>
  <mergeCells count="15">
    <mergeCell ref="F23:H23"/>
    <mergeCell ref="B26:E26"/>
    <mergeCell ref="B27:E27"/>
    <mergeCell ref="B23:E23"/>
    <mergeCell ref="F22:H22"/>
    <mergeCell ref="B21:H21"/>
    <mergeCell ref="F27:H27"/>
    <mergeCell ref="F26:H26"/>
    <mergeCell ref="B2:H2"/>
    <mergeCell ref="B25:E25"/>
    <mergeCell ref="B24:E24"/>
    <mergeCell ref="B3:H3"/>
    <mergeCell ref="B22:E22"/>
    <mergeCell ref="F24:H24"/>
    <mergeCell ref="F25:H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IIPC-01: INDUSTRY PARTNER DATABASE &amp; PROFILE REGISTER</t>
        </is>
      </c>
    </row>
    <row r="3" ht="25" customHeight="1">
      <c r="B3" s="2" t="inlineStr">
        <is>
          <t>A.Y.: _______  IIPC Coordinator: ___________________  Last Updated: _______</t>
        </is>
      </c>
    </row>
    <row r="4" ht="25" customHeight="1">
      <c r="B4" s="13" t="inlineStr">
        <is>
          <t>Partner
Ref.</t>
        </is>
      </c>
      <c r="C4" s="13" t="inlineStr">
        <is>
          <t>Organisation Name</t>
        </is>
      </c>
      <c r="D4" s="13" t="inlineStr">
        <is>
          <t>Sector / Domain</t>
        </is>
      </c>
      <c r="E4" s="13" t="inlineStr">
        <is>
          <t>Organisation
Type</t>
        </is>
      </c>
      <c r="F4" s="13" t="inlineStr">
        <is>
          <t>City /
State</t>
        </is>
      </c>
      <c r="G4" s="13" t="inlineStr">
        <is>
          <t>MoU
Status</t>
        </is>
      </c>
      <c r="H4" s="13" t="inlineStr">
        <is>
          <t>Activities
Under MoU</t>
        </is>
      </c>
      <c r="I4" s="13" t="inlineStr">
        <is>
          <t>Key Contact
Person</t>
        </is>
      </c>
      <c r="J4" s="13" t="inlineStr">
        <is>
          <t>Years of
Partnership</t>
        </is>
      </c>
      <c r="K4" s="13" t="inlineStr">
        <is>
          <t>Engagement
Level</t>
        </is>
      </c>
    </row>
    <row r="5" ht="22" customHeight="1">
      <c r="B5" s="14" t="inlineStr">
        <is>
          <t>PRTN/001</t>
        </is>
      </c>
      <c r="C5" s="15" t="inlineStr"/>
      <c r="D5" s="16" t="inlineStr">
        <is>
          <t>IT/Software</t>
        </is>
      </c>
      <c r="E5" s="16" t="inlineStr">
        <is>
          <t>MNC</t>
        </is>
      </c>
      <c r="F5" s="16" t="inlineStr"/>
      <c r="G5" s="16" t="inlineStr">
        <is>
          <t>Active</t>
        </is>
      </c>
      <c r="H5" s="16" t="inlineStr"/>
      <c r="I5" s="15" t="inlineStr"/>
      <c r="J5" s="16" t="inlineStr"/>
      <c r="K5" s="16" t="inlineStr">
        <is>
          <t>Strategic — Multi-year, Multi-activity</t>
        </is>
      </c>
    </row>
    <row r="6" ht="22" customHeight="1">
      <c r="B6" s="8" t="inlineStr">
        <is>
          <t>PRTN/002</t>
        </is>
      </c>
      <c r="C6" s="9" t="inlineStr"/>
      <c r="D6" s="10" t="inlineStr">
        <is>
          <t>Manufacturing</t>
        </is>
      </c>
      <c r="E6" s="10" t="inlineStr">
        <is>
          <t>Large Indian Corp.</t>
        </is>
      </c>
      <c r="F6" s="10" t="inlineStr"/>
      <c r="G6" s="10" t="inlineStr">
        <is>
          <t>Active</t>
        </is>
      </c>
      <c r="H6" s="10" t="inlineStr"/>
      <c r="I6" s="9" t="inlineStr"/>
      <c r="J6" s="10" t="inlineStr"/>
      <c r="K6" s="10" t="inlineStr">
        <is>
          <t>Active — Regular engagement</t>
        </is>
      </c>
    </row>
    <row r="7" ht="22" customHeight="1">
      <c r="B7" s="14" t="inlineStr">
        <is>
          <t>PRTN/003</t>
        </is>
      </c>
      <c r="C7" s="15" t="inlineStr"/>
      <c r="D7" s="16" t="inlineStr">
        <is>
          <t>Automotive</t>
        </is>
      </c>
      <c r="E7" s="16" t="inlineStr">
        <is>
          <t>PSU</t>
        </is>
      </c>
      <c r="F7" s="16" t="inlineStr"/>
      <c r="G7" s="16" t="inlineStr">
        <is>
          <t>Active</t>
        </is>
      </c>
      <c r="H7" s="16" t="inlineStr"/>
      <c r="I7" s="15" t="inlineStr"/>
      <c r="J7" s="16" t="inlineStr"/>
      <c r="K7" s="16" t="inlineStr">
        <is>
          <t>Moderate — Annual activity</t>
        </is>
      </c>
    </row>
    <row r="8" ht="22" customHeight="1">
      <c r="B8" s="8" t="inlineStr">
        <is>
          <t>PRTN/004</t>
        </is>
      </c>
      <c r="C8" s="9" t="inlineStr"/>
      <c r="D8" s="10" t="inlineStr">
        <is>
          <t>Pharma/Healthcare</t>
        </is>
      </c>
      <c r="E8" s="10" t="inlineStr">
        <is>
          <t>MSME</t>
        </is>
      </c>
      <c r="F8" s="10" t="inlineStr"/>
      <c r="G8" s="10" t="inlineStr">
        <is>
          <t>Active</t>
        </is>
      </c>
      <c r="H8" s="10" t="inlineStr"/>
      <c r="I8" s="9" t="inlineStr"/>
      <c r="J8" s="10" t="inlineStr"/>
      <c r="K8" s="10" t="inlineStr">
        <is>
          <t>Dormant — MoU but minimal activity</t>
        </is>
      </c>
    </row>
    <row r="9" ht="22" customHeight="1">
      <c r="B9" s="14" t="inlineStr">
        <is>
          <t>PRTN/005</t>
        </is>
      </c>
      <c r="C9" s="15" t="inlineStr"/>
      <c r="D9" s="16" t="inlineStr">
        <is>
          <t>FMCG/Retail</t>
        </is>
      </c>
      <c r="E9" s="16" t="inlineStr">
        <is>
          <t>Startup</t>
        </is>
      </c>
      <c r="F9" s="16" t="inlineStr"/>
      <c r="G9" s="16" t="inlineStr">
        <is>
          <t>Active</t>
        </is>
      </c>
      <c r="H9" s="16" t="inlineStr"/>
      <c r="I9" s="15" t="inlineStr"/>
      <c r="J9" s="16" t="inlineStr"/>
      <c r="K9" s="16" t="inlineStr">
        <is>
          <t>Prospective — Under discussion</t>
        </is>
      </c>
    </row>
    <row r="10" ht="22" customHeight="1">
      <c r="B10" s="8" t="inlineStr">
        <is>
          <t>PRTN/006</t>
        </is>
      </c>
      <c r="C10" s="9" t="inlineStr"/>
      <c r="D10" s="10" t="inlineStr">
        <is>
          <t>Banking/Finance</t>
        </is>
      </c>
      <c r="E10" s="10" t="inlineStr">
        <is>
          <t>NGO/Social Org.</t>
        </is>
      </c>
      <c r="F10" s="10" t="inlineStr"/>
      <c r="G10" s="10" t="inlineStr">
        <is>
          <t>Active</t>
        </is>
      </c>
      <c r="H10" s="10" t="inlineStr"/>
      <c r="I10" s="9" t="inlineStr"/>
      <c r="J10" s="10" t="inlineStr"/>
      <c r="K10" s="10" t="inlineStr">
        <is>
          <t>Strategic — Multi-year, Multi-activity</t>
        </is>
      </c>
    </row>
    <row r="11" ht="22" customHeight="1">
      <c r="B11" s="14" t="inlineStr">
        <is>
          <t>PRTN/007</t>
        </is>
      </c>
      <c r="C11" s="15" t="inlineStr"/>
      <c r="D11" s="16" t="inlineStr">
        <is>
          <t>Energy/Power</t>
        </is>
      </c>
      <c r="E11" s="16" t="inlineStr">
        <is>
          <t>Govt. Agency</t>
        </is>
      </c>
      <c r="F11" s="16" t="inlineStr"/>
      <c r="G11" s="16" t="inlineStr">
        <is>
          <t>Active</t>
        </is>
      </c>
      <c r="H11" s="16" t="inlineStr"/>
      <c r="I11" s="15" t="inlineStr"/>
      <c r="J11" s="16" t="inlineStr"/>
      <c r="K11" s="16" t="inlineStr">
        <is>
          <t>Active — Regular engagement</t>
        </is>
      </c>
    </row>
    <row r="12" ht="22" customHeight="1">
      <c r="B12" s="8" t="inlineStr">
        <is>
          <t>PRTN/008</t>
        </is>
      </c>
      <c r="C12" s="9" t="inlineStr"/>
      <c r="D12" s="10" t="inlineStr">
        <is>
          <t>Construction/Infra</t>
        </is>
      </c>
      <c r="E12" s="10" t="inlineStr">
        <is>
          <t>MNC</t>
        </is>
      </c>
      <c r="F12" s="10" t="inlineStr"/>
      <c r="G12" s="10" t="inlineStr">
        <is>
          <t>Active</t>
        </is>
      </c>
      <c r="H12" s="10" t="inlineStr"/>
      <c r="I12" s="9" t="inlineStr"/>
      <c r="J12" s="10" t="inlineStr"/>
      <c r="K12" s="10" t="inlineStr">
        <is>
          <t>Moderate — Annual activity</t>
        </is>
      </c>
    </row>
    <row r="13" ht="22" customHeight="1">
      <c r="B13" s="14" t="inlineStr">
        <is>
          <t>PRTN/009</t>
        </is>
      </c>
      <c r="C13" s="15" t="inlineStr"/>
      <c r="D13" s="16" t="inlineStr">
        <is>
          <t>Telecom</t>
        </is>
      </c>
      <c r="E13" s="16" t="inlineStr">
        <is>
          <t>Large Indian Corp.</t>
        </is>
      </c>
      <c r="F13" s="16" t="inlineStr"/>
      <c r="G13" s="16" t="inlineStr">
        <is>
          <t>Active</t>
        </is>
      </c>
      <c r="H13" s="16" t="inlineStr"/>
      <c r="I13" s="15" t="inlineStr"/>
      <c r="J13" s="16" t="inlineStr"/>
      <c r="K13" s="16" t="inlineStr">
        <is>
          <t>Dormant — MoU but minimal activity</t>
        </is>
      </c>
    </row>
    <row r="14" ht="22" customHeight="1">
      <c r="B14" s="8" t="inlineStr">
        <is>
          <t>PRTN/010</t>
        </is>
      </c>
      <c r="C14" s="9" t="inlineStr"/>
      <c r="D14" s="10" t="inlineStr">
        <is>
          <t>Agriculture/Agri-tech</t>
        </is>
      </c>
      <c r="E14" s="10" t="inlineStr">
        <is>
          <t>PSU</t>
        </is>
      </c>
      <c r="F14" s="10" t="inlineStr"/>
      <c r="G14" s="10" t="inlineStr">
        <is>
          <t>Active</t>
        </is>
      </c>
      <c r="H14" s="10" t="inlineStr"/>
      <c r="I14" s="9" t="inlineStr"/>
      <c r="J14" s="10" t="inlineStr"/>
      <c r="K14" s="10" t="inlineStr">
        <is>
          <t>Prospective — Under discussion</t>
        </is>
      </c>
    </row>
    <row r="15" ht="22" customHeight="1">
      <c r="B15" s="14" t="inlineStr">
        <is>
          <t>PRTN/011</t>
        </is>
      </c>
      <c r="C15" s="15" t="inlineStr"/>
      <c r="D15" s="16" t="inlineStr">
        <is>
          <t>Defence/Aerospace</t>
        </is>
      </c>
      <c r="E15" s="16" t="inlineStr">
        <is>
          <t>MSME</t>
        </is>
      </c>
      <c r="F15" s="16" t="inlineStr"/>
      <c r="G15" s="16" t="inlineStr">
        <is>
          <t>Active</t>
        </is>
      </c>
      <c r="H15" s="16" t="inlineStr"/>
      <c r="I15" s="15" t="inlineStr"/>
      <c r="J15" s="16" t="inlineStr"/>
      <c r="K15" s="16" t="inlineStr">
        <is>
          <t>Strategic — Multi-year, Multi-activity</t>
        </is>
      </c>
    </row>
    <row r="16" ht="22" customHeight="1">
      <c r="B16" s="8" t="inlineStr">
        <is>
          <t>PRTN/012</t>
        </is>
      </c>
      <c r="C16" s="9" t="inlineStr"/>
      <c r="D16" s="10" t="inlineStr">
        <is>
          <t>Education/Ed-tech</t>
        </is>
      </c>
      <c r="E16" s="10" t="inlineStr">
        <is>
          <t>Startup</t>
        </is>
      </c>
      <c r="F16" s="10" t="inlineStr"/>
      <c r="G16" s="10" t="inlineStr">
        <is>
          <t>Active</t>
        </is>
      </c>
      <c r="H16" s="10" t="inlineStr"/>
      <c r="I16" s="9" t="inlineStr"/>
      <c r="J16" s="10" t="inlineStr"/>
      <c r="K16" s="10" t="inlineStr">
        <is>
          <t>Active — Regular engagement</t>
        </is>
      </c>
    </row>
    <row r="17" ht="22" customHeight="1">
      <c r="B17" s="14" t="inlineStr">
        <is>
          <t>PRTN/013</t>
        </is>
      </c>
      <c r="C17" s="15" t="inlineStr"/>
      <c r="D17" s="16" t="inlineStr">
        <is>
          <t>IT/Software</t>
        </is>
      </c>
      <c r="E17" s="16" t="inlineStr">
        <is>
          <t>NGO/Social Org.</t>
        </is>
      </c>
      <c r="F17" s="16" t="inlineStr"/>
      <c r="G17" s="16" t="inlineStr">
        <is>
          <t>Active</t>
        </is>
      </c>
      <c r="H17" s="16" t="inlineStr"/>
      <c r="I17" s="15" t="inlineStr"/>
      <c r="J17" s="16" t="inlineStr"/>
      <c r="K17" s="16" t="inlineStr">
        <is>
          <t>Moderate — Annual activity</t>
        </is>
      </c>
    </row>
    <row r="18" ht="22" customHeight="1">
      <c r="B18" s="8" t="inlineStr">
        <is>
          <t>PRTN/014</t>
        </is>
      </c>
      <c r="C18" s="9" t="inlineStr"/>
      <c r="D18" s="10" t="inlineStr">
        <is>
          <t>Manufacturing</t>
        </is>
      </c>
      <c r="E18" s="10" t="inlineStr">
        <is>
          <t>Govt. Agency</t>
        </is>
      </c>
      <c r="F18" s="10" t="inlineStr"/>
      <c r="G18" s="10" t="inlineStr">
        <is>
          <t>Active</t>
        </is>
      </c>
      <c r="H18" s="10" t="inlineStr"/>
      <c r="I18" s="9" t="inlineStr"/>
      <c r="J18" s="10" t="inlineStr"/>
      <c r="K18" s="10" t="inlineStr">
        <is>
          <t>Dormant — MoU but minimal activity</t>
        </is>
      </c>
    </row>
    <row r="19" ht="22" customHeight="1">
      <c r="B19" s="14" t="inlineStr">
        <is>
          <t>PRTN/015</t>
        </is>
      </c>
      <c r="C19" s="15" t="inlineStr"/>
      <c r="D19" s="16" t="inlineStr">
        <is>
          <t>Automotive</t>
        </is>
      </c>
      <c r="E19" s="16" t="inlineStr">
        <is>
          <t>MNC</t>
        </is>
      </c>
      <c r="F19" s="16" t="inlineStr"/>
      <c r="G19" s="16" t="inlineStr">
        <is>
          <t>Active</t>
        </is>
      </c>
      <c r="H19" s="16" t="inlineStr"/>
      <c r="I19" s="15" t="inlineStr"/>
      <c r="J19" s="16" t="inlineStr"/>
      <c r="K19" s="16" t="inlineStr">
        <is>
          <t>Prospective — Under discussion</t>
        </is>
      </c>
    </row>
    <row r="20" ht="22" customHeight="1">
      <c r="B20" s="8" t="inlineStr">
        <is>
          <t>PRTN/016</t>
        </is>
      </c>
      <c r="C20" s="9" t="inlineStr"/>
      <c r="D20" s="10" t="inlineStr">
        <is>
          <t>Pharma/Healthcare</t>
        </is>
      </c>
      <c r="E20" s="10" t="inlineStr">
        <is>
          <t>Large Indian Corp.</t>
        </is>
      </c>
      <c r="F20" s="10" t="inlineStr"/>
      <c r="G20" s="10" t="inlineStr">
        <is>
          <t>Active</t>
        </is>
      </c>
      <c r="H20" s="10" t="inlineStr"/>
      <c r="I20" s="9" t="inlineStr"/>
      <c r="J20" s="10" t="inlineStr"/>
      <c r="K20" s="10" t="inlineStr">
        <is>
          <t>Strategic — Multi-year, Multi-activity</t>
        </is>
      </c>
    </row>
    <row r="21" ht="22" customHeight="1">
      <c r="B21" s="14" t="inlineStr">
        <is>
          <t>PRTN/017</t>
        </is>
      </c>
      <c r="C21" s="15" t="inlineStr"/>
      <c r="D21" s="16" t="inlineStr">
        <is>
          <t>FMCG/Retail</t>
        </is>
      </c>
      <c r="E21" s="16" t="inlineStr">
        <is>
          <t>PSU</t>
        </is>
      </c>
      <c r="F21" s="16" t="inlineStr"/>
      <c r="G21" s="16" t="inlineStr">
        <is>
          <t>Active</t>
        </is>
      </c>
      <c r="H21" s="16" t="inlineStr"/>
      <c r="I21" s="15" t="inlineStr"/>
      <c r="J21" s="16" t="inlineStr"/>
      <c r="K21" s="16" t="inlineStr">
        <is>
          <t>Active — Regular engagement</t>
        </is>
      </c>
    </row>
    <row r="22" ht="22" customHeight="1">
      <c r="B22" s="8" t="inlineStr">
        <is>
          <t>PRTN/018</t>
        </is>
      </c>
      <c r="C22" s="9" t="inlineStr"/>
      <c r="D22" s="10" t="inlineStr">
        <is>
          <t>Banking/Finance</t>
        </is>
      </c>
      <c r="E22" s="10" t="inlineStr">
        <is>
          <t>MSME</t>
        </is>
      </c>
      <c r="F22" s="10" t="inlineStr"/>
      <c r="G22" s="10" t="inlineStr">
        <is>
          <t>Active</t>
        </is>
      </c>
      <c r="H22" s="10" t="inlineStr"/>
      <c r="I22" s="9" t="inlineStr"/>
      <c r="J22" s="10" t="inlineStr"/>
      <c r="K22" s="10" t="inlineStr">
        <is>
          <t>Moderate — Annual activity</t>
        </is>
      </c>
    </row>
    <row r="23" ht="22" customHeight="1">
      <c r="B23" s="14" t="inlineStr">
        <is>
          <t>PRTN/019</t>
        </is>
      </c>
      <c r="C23" s="15" t="inlineStr"/>
      <c r="D23" s="16" t="inlineStr">
        <is>
          <t>Energy/Power</t>
        </is>
      </c>
      <c r="E23" s="16" t="inlineStr">
        <is>
          <t>Startup</t>
        </is>
      </c>
      <c r="F23" s="16" t="inlineStr"/>
      <c r="G23" s="16" t="inlineStr">
        <is>
          <t>Active</t>
        </is>
      </c>
      <c r="H23" s="16" t="inlineStr"/>
      <c r="I23" s="15" t="inlineStr"/>
      <c r="J23" s="16" t="inlineStr"/>
      <c r="K23" s="16" t="inlineStr">
        <is>
          <t>Dormant — MoU but minimal activity</t>
        </is>
      </c>
    </row>
    <row r="24" ht="22" customHeight="1">
      <c r="B24" s="8" t="inlineStr">
        <is>
          <t>PRTN/020</t>
        </is>
      </c>
      <c r="C24" s="9" t="inlineStr"/>
      <c r="D24" s="10" t="inlineStr">
        <is>
          <t>Construction/Infra</t>
        </is>
      </c>
      <c r="E24" s="10" t="inlineStr">
        <is>
          <t>NGO/Social Org.</t>
        </is>
      </c>
      <c r="F24" s="10" t="inlineStr"/>
      <c r="G24" s="10" t="inlineStr">
        <is>
          <t>Active</t>
        </is>
      </c>
      <c r="H24" s="10" t="inlineStr"/>
      <c r="I24" s="9" t="inlineStr"/>
      <c r="J24" s="10" t="inlineStr"/>
      <c r="K24" s="10" t="inlineStr">
        <is>
          <t>Prospective — Under discussion</t>
        </is>
      </c>
    </row>
    <row r="25" ht="22" customHeight="1">
      <c r="B25" s="14" t="inlineStr">
        <is>
          <t>PRTN/021</t>
        </is>
      </c>
      <c r="C25" s="15" t="inlineStr"/>
      <c r="D25" s="16" t="inlineStr">
        <is>
          <t>Telecom</t>
        </is>
      </c>
      <c r="E25" s="16" t="inlineStr">
        <is>
          <t>Govt. Agency</t>
        </is>
      </c>
      <c r="F25" s="16" t="inlineStr"/>
      <c r="G25" s="16" t="inlineStr">
        <is>
          <t>Active</t>
        </is>
      </c>
      <c r="H25" s="16" t="inlineStr"/>
      <c r="I25" s="15" t="inlineStr"/>
      <c r="J25" s="16" t="inlineStr"/>
      <c r="K25" s="16" t="inlineStr">
        <is>
          <t>Strategic — Multi-year, Multi-activity</t>
        </is>
      </c>
    </row>
    <row r="26" ht="22" customHeight="1">
      <c r="B26" s="8" t="inlineStr">
        <is>
          <t>PRTN/022</t>
        </is>
      </c>
      <c r="C26" s="9" t="inlineStr"/>
      <c r="D26" s="10" t="inlineStr">
        <is>
          <t>Agriculture/Agri-tech</t>
        </is>
      </c>
      <c r="E26" s="10" t="inlineStr">
        <is>
          <t>MNC</t>
        </is>
      </c>
      <c r="F26" s="10" t="inlineStr"/>
      <c r="G26" s="10" t="inlineStr">
        <is>
          <t>Active</t>
        </is>
      </c>
      <c r="H26" s="10" t="inlineStr"/>
      <c r="I26" s="9" t="inlineStr"/>
      <c r="J26" s="10" t="inlineStr"/>
      <c r="K26" s="10" t="inlineStr">
        <is>
          <t>Active — Regular engagement</t>
        </is>
      </c>
    </row>
    <row r="27" ht="22" customHeight="1">
      <c r="B27" s="14" t="inlineStr">
        <is>
          <t>PRTN/023</t>
        </is>
      </c>
      <c r="C27" s="15" t="inlineStr"/>
      <c r="D27" s="16" t="inlineStr">
        <is>
          <t>Defence/Aerospace</t>
        </is>
      </c>
      <c r="E27" s="16" t="inlineStr">
        <is>
          <t>Large Indian Corp.</t>
        </is>
      </c>
      <c r="F27" s="16" t="inlineStr"/>
      <c r="G27" s="16" t="inlineStr">
        <is>
          <t>Active</t>
        </is>
      </c>
      <c r="H27" s="16" t="inlineStr"/>
      <c r="I27" s="15" t="inlineStr"/>
      <c r="J27" s="16" t="inlineStr"/>
      <c r="K27" s="16" t="inlineStr">
        <is>
          <t>Moderate — Annual activity</t>
        </is>
      </c>
    </row>
    <row r="28" ht="22" customHeight="1">
      <c r="B28" s="8" t="inlineStr">
        <is>
          <t>PRTN/024</t>
        </is>
      </c>
      <c r="C28" s="9" t="inlineStr"/>
      <c r="D28" s="10" t="inlineStr">
        <is>
          <t>Education/Ed-tech</t>
        </is>
      </c>
      <c r="E28" s="10" t="inlineStr">
        <is>
          <t>PSU</t>
        </is>
      </c>
      <c r="F28" s="10" t="inlineStr"/>
      <c r="G28" s="10" t="inlineStr">
        <is>
          <t>Active</t>
        </is>
      </c>
      <c r="H28" s="10" t="inlineStr"/>
      <c r="I28" s="9" t="inlineStr"/>
      <c r="J28" s="10" t="inlineStr"/>
      <c r="K28" s="10" t="inlineStr">
        <is>
          <t>Dormant — MoU but minimal activity</t>
        </is>
      </c>
    </row>
    <row r="29" ht="22" customHeight="1">
      <c r="B29" s="14" t="inlineStr">
        <is>
          <t>PRTN/025</t>
        </is>
      </c>
      <c r="C29" s="15" t="inlineStr"/>
      <c r="D29" s="16" t="inlineStr">
        <is>
          <t>IT/Software</t>
        </is>
      </c>
      <c r="E29" s="16" t="inlineStr">
        <is>
          <t>MSME</t>
        </is>
      </c>
      <c r="F29" s="16" t="inlineStr"/>
      <c r="G29" s="16" t="inlineStr">
        <is>
          <t>Active</t>
        </is>
      </c>
      <c r="H29" s="16" t="inlineStr"/>
      <c r="I29" s="15" t="inlineStr"/>
      <c r="J29" s="16" t="inlineStr"/>
      <c r="K29" s="16" t="inlineStr">
        <is>
          <t>Prospective — Under discussion</t>
        </is>
      </c>
    </row>
    <row r="30" ht="22" customHeight="1">
      <c r="B30" s="8" t="inlineStr">
        <is>
          <t>PRTN/026</t>
        </is>
      </c>
      <c r="C30" s="9" t="inlineStr"/>
      <c r="D30" s="10" t="inlineStr">
        <is>
          <t>Manufacturing</t>
        </is>
      </c>
      <c r="E30" s="10" t="inlineStr">
        <is>
          <t>Startup</t>
        </is>
      </c>
      <c r="F30" s="10" t="inlineStr"/>
      <c r="G30" s="10" t="inlineStr">
        <is>
          <t>Active</t>
        </is>
      </c>
      <c r="H30" s="10" t="inlineStr"/>
      <c r="I30" s="9" t="inlineStr"/>
      <c r="J30" s="10" t="inlineStr"/>
      <c r="K30" s="10" t="inlineStr">
        <is>
          <t>Strategic — Multi-year, Multi-activity</t>
        </is>
      </c>
    </row>
    <row r="31" ht="22" customHeight="1">
      <c r="B31" s="14" t="inlineStr">
        <is>
          <t>PRTN/027</t>
        </is>
      </c>
      <c r="C31" s="15" t="inlineStr"/>
      <c r="D31" s="16" t="inlineStr">
        <is>
          <t>Automotive</t>
        </is>
      </c>
      <c r="E31" s="16" t="inlineStr">
        <is>
          <t>NGO/Social Org.</t>
        </is>
      </c>
      <c r="F31" s="16" t="inlineStr"/>
      <c r="G31" s="16" t="inlineStr">
        <is>
          <t>Active</t>
        </is>
      </c>
      <c r="H31" s="16" t="inlineStr"/>
      <c r="I31" s="15" t="inlineStr"/>
      <c r="J31" s="16" t="inlineStr"/>
      <c r="K31" s="16" t="inlineStr">
        <is>
          <t>Active — Regular engagement</t>
        </is>
      </c>
    </row>
    <row r="32" ht="22" customHeight="1">
      <c r="B32" s="8" t="inlineStr">
        <is>
          <t>PRTN/028</t>
        </is>
      </c>
      <c r="C32" s="9" t="inlineStr"/>
      <c r="D32" s="10" t="inlineStr">
        <is>
          <t>Pharma/Healthcare</t>
        </is>
      </c>
      <c r="E32" s="10" t="inlineStr">
        <is>
          <t>Govt. Agency</t>
        </is>
      </c>
      <c r="F32" s="10" t="inlineStr"/>
      <c r="G32" s="10" t="inlineStr">
        <is>
          <t>Active</t>
        </is>
      </c>
      <c r="H32" s="10" t="inlineStr"/>
      <c r="I32" s="9" t="inlineStr"/>
      <c r="J32" s="10" t="inlineStr"/>
      <c r="K32" s="10" t="inlineStr">
        <is>
          <t>Moderate — Annual activity</t>
        </is>
      </c>
    </row>
    <row r="33" ht="22" customHeight="1"/>
    <row r="34" ht="24" customHeight="1">
      <c r="B34" s="35" t="inlineStr">
        <is>
          <t>PARTNER ECOSYSTEM SUMMARY</t>
        </is>
      </c>
    </row>
    <row r="35" ht="22" customHeight="1">
      <c r="B35" s="31" t="inlineStr">
        <is>
          <t>Sector</t>
        </is>
      </c>
      <c r="C35" s="31" t="inlineStr">
        <is>
          <t>No. of Partners</t>
        </is>
      </c>
      <c r="D35" s="31" t="inlineStr">
        <is>
          <t>MoU Active</t>
        </is>
      </c>
      <c r="E35" s="31" t="inlineStr">
        <is>
          <t>Internship
Providers</t>
        </is>
      </c>
      <c r="F35" s="31" t="inlineStr">
        <is>
          <t>Placement
Recruiters</t>
        </is>
      </c>
      <c r="G35" s="31" t="inlineStr">
        <is>
          <t>Research
Collaborators</t>
        </is>
      </c>
      <c r="H35" s="31" t="inlineStr">
        <is>
          <t>Training
Partners</t>
        </is>
      </c>
      <c r="I35" s="31" t="inlineStr">
        <is>
          <t>CSR
Contributors</t>
        </is>
      </c>
      <c r="J35" s="31" t="inlineStr">
        <is>
          <t>Avg.
Engagement</t>
        </is>
      </c>
      <c r="K35" s="31" t="inlineStr">
        <is>
          <t>Remarks</t>
        </is>
      </c>
    </row>
    <row r="36" ht="22" customHeight="1">
      <c r="B36" s="33" t="inlineStr">
        <is>
          <t>IT/Software</t>
        </is>
      </c>
      <c r="C36" s="34" t="inlineStr"/>
      <c r="D36" s="34" t="inlineStr"/>
      <c r="E36" s="34" t="inlineStr"/>
      <c r="F36" s="34" t="inlineStr"/>
      <c r="G36" s="34" t="inlineStr"/>
      <c r="H36" s="34" t="inlineStr"/>
      <c r="I36" s="34" t="inlineStr"/>
      <c r="J36" s="34" t="inlineStr"/>
      <c r="K36" s="33" t="inlineStr"/>
    </row>
    <row r="37" ht="22" customHeight="1">
      <c r="B37" s="9" t="inlineStr">
        <is>
          <t>Manufacturing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9" t="inlineStr"/>
    </row>
    <row r="38" ht="22" customHeight="1">
      <c r="B38" s="33" t="inlineStr">
        <is>
          <t>Automotive</t>
        </is>
      </c>
      <c r="C38" s="34" t="inlineStr"/>
      <c r="D38" s="34" t="inlineStr"/>
      <c r="E38" s="34" t="inlineStr"/>
      <c r="F38" s="34" t="inlineStr"/>
      <c r="G38" s="34" t="inlineStr"/>
      <c r="H38" s="34" t="inlineStr"/>
      <c r="I38" s="34" t="inlineStr"/>
      <c r="J38" s="34" t="inlineStr"/>
      <c r="K38" s="33" t="inlineStr"/>
    </row>
    <row r="39" ht="22" customHeight="1">
      <c r="B39" s="9" t="inlineStr">
        <is>
          <t>Pharma/Healthcare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9" t="inlineStr"/>
    </row>
    <row r="40">
      <c r="B40" s="33" t="inlineStr">
        <is>
          <t>FMCG/Retail</t>
        </is>
      </c>
      <c r="C40" s="34" t="inlineStr"/>
      <c r="D40" s="34" t="inlineStr"/>
      <c r="E40" s="34" t="inlineStr"/>
      <c r="F40" s="34" t="inlineStr"/>
      <c r="G40" s="34" t="inlineStr"/>
      <c r="H40" s="34" t="inlineStr"/>
      <c r="I40" s="34" t="inlineStr"/>
      <c r="J40" s="34" t="inlineStr"/>
      <c r="K40" s="33" t="inlineStr"/>
    </row>
    <row r="41">
      <c r="B41" s="9" t="inlineStr">
        <is>
          <t>Banking/Finance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9" t="inlineStr"/>
    </row>
    <row r="42">
      <c r="B42" s="33" t="inlineStr">
        <is>
          <t>Energy/Power</t>
        </is>
      </c>
      <c r="C42" s="34" t="inlineStr"/>
      <c r="D42" s="34" t="inlineStr"/>
      <c r="E42" s="34" t="inlineStr"/>
      <c r="F42" s="34" t="inlineStr"/>
      <c r="G42" s="34" t="inlineStr"/>
      <c r="H42" s="34" t="inlineStr"/>
      <c r="I42" s="34" t="inlineStr"/>
      <c r="J42" s="34" t="inlineStr"/>
      <c r="K42" s="33" t="inlineStr"/>
    </row>
    <row r="43">
      <c r="B43" s="9" t="inlineStr">
        <is>
          <t>Construction/Infra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9" t="inlineStr"/>
    </row>
    <row r="44">
      <c r="B44" s="24" t="inlineStr">
        <is>
          <t>TOTAL</t>
        </is>
      </c>
      <c r="C44" s="39" t="inlineStr"/>
      <c r="D44" s="39" t="inlineStr"/>
      <c r="E44" s="39" t="inlineStr"/>
      <c r="F44" s="39" t="inlineStr"/>
      <c r="G44" s="39" t="inlineStr"/>
      <c r="H44" s="39" t="inlineStr"/>
      <c r="I44" s="39" t="inlineStr"/>
      <c r="J44" s="39" t="inlineStr"/>
      <c r="K44" s="24" t="inlineStr"/>
    </row>
  </sheetData>
  <mergeCells count="3">
    <mergeCell ref="B34:K34"/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IIPC-02: MoU / AGREEMENT REGISTER</t>
        </is>
      </c>
    </row>
    <row r="3" ht="25" customHeight="1">
      <c r="B3" s="2" t="inlineStr">
        <is>
          <t>A.Y.: _______  IIPC Coordinator: ___________________  Legal Advisor: ___________________</t>
        </is>
      </c>
    </row>
    <row r="4" ht="25" customHeight="1">
      <c r="B4" s="13" t="inlineStr">
        <is>
          <t>MoU
Ref.</t>
        </is>
      </c>
      <c r="C4" s="13" t="inlineStr">
        <is>
          <t>Partner Organisation</t>
        </is>
      </c>
      <c r="D4" s="13" t="inlineStr">
        <is>
          <t>Type of
Agreement</t>
        </is>
      </c>
      <c r="E4" s="13" t="inlineStr">
        <is>
          <t>Date
Signed</t>
        </is>
      </c>
      <c r="F4" s="13" t="inlineStr">
        <is>
          <t>Valid
Upto</t>
        </is>
      </c>
      <c r="G4" s="13" t="inlineStr">
        <is>
          <t>Renewal
Due</t>
        </is>
      </c>
      <c r="H4" s="13" t="inlineStr">
        <is>
          <t>Key Activities
Committed</t>
        </is>
      </c>
      <c r="I4" s="13" t="inlineStr">
        <is>
          <t>Focal Person
(Institution)</t>
        </is>
      </c>
      <c r="J4" s="13" t="inlineStr">
        <is>
          <t>Focal Person
(Industry)</t>
        </is>
      </c>
      <c r="K4" s="13" t="inlineStr">
        <is>
          <t>Status</t>
        </is>
      </c>
    </row>
    <row r="5" ht="22" customHeight="1">
      <c r="B5" s="14" t="inlineStr">
        <is>
          <t>MOU/2024/001</t>
        </is>
      </c>
      <c r="C5" s="15" t="inlineStr"/>
      <c r="D5" s="16" t="inlineStr">
        <is>
          <t>MoU (General Collaboration)</t>
        </is>
      </c>
      <c r="E5" s="16" t="inlineStr"/>
      <c r="F5" s="16" t="inlineStr"/>
      <c r="G5" s="16" t="inlineStr"/>
      <c r="H5" s="15" t="inlineStr"/>
      <c r="I5" s="16" t="inlineStr"/>
      <c r="J5" s="16" t="inlineStr"/>
      <c r="K5" s="16" t="inlineStr">
        <is>
          <t>Active</t>
        </is>
      </c>
    </row>
    <row r="6" ht="22" customHeight="1">
      <c r="B6" s="8" t="inlineStr">
        <is>
          <t>MOU/2024/002</t>
        </is>
      </c>
      <c r="C6" s="9" t="inlineStr"/>
      <c r="D6" s="10" t="inlineStr">
        <is>
          <t>MoA (Memorandum of Agreement)</t>
        </is>
      </c>
      <c r="E6" s="10" t="inlineStr"/>
      <c r="F6" s="10" t="inlineStr"/>
      <c r="G6" s="10" t="inlineStr"/>
      <c r="H6" s="9" t="inlineStr"/>
      <c r="I6" s="10" t="inlineStr"/>
      <c r="J6" s="10" t="inlineStr"/>
      <c r="K6" s="10" t="inlineStr">
        <is>
          <t>Active</t>
        </is>
      </c>
    </row>
    <row r="7" ht="22" customHeight="1">
      <c r="B7" s="14" t="inlineStr">
        <is>
          <t>MOU/2024/003</t>
        </is>
      </c>
      <c r="C7" s="15" t="inlineStr"/>
      <c r="D7" s="16" t="inlineStr">
        <is>
          <t>MoU — Research</t>
        </is>
      </c>
      <c r="E7" s="16" t="inlineStr"/>
      <c r="F7" s="16" t="inlineStr"/>
      <c r="G7" s="16" t="inlineStr"/>
      <c r="H7" s="15" t="inlineStr"/>
      <c r="I7" s="16" t="inlineStr"/>
      <c r="J7" s="16" t="inlineStr"/>
      <c r="K7" s="16" t="inlineStr">
        <is>
          <t>Active</t>
        </is>
      </c>
    </row>
    <row r="8" ht="22" customHeight="1">
      <c r="B8" s="8" t="inlineStr">
        <is>
          <t>MOU/2024/004</t>
        </is>
      </c>
      <c r="C8" s="9" t="inlineStr"/>
      <c r="D8" s="10" t="inlineStr">
        <is>
          <t>MoU — Internship</t>
        </is>
      </c>
      <c r="E8" s="10" t="inlineStr"/>
      <c r="F8" s="10" t="inlineStr"/>
      <c r="G8" s="10" t="inlineStr"/>
      <c r="H8" s="9" t="inlineStr"/>
      <c r="I8" s="10" t="inlineStr"/>
      <c r="J8" s="10" t="inlineStr"/>
      <c r="K8" s="10" t="inlineStr">
        <is>
          <t>Active</t>
        </is>
      </c>
    </row>
    <row r="9" ht="22" customHeight="1">
      <c r="B9" s="14" t="inlineStr">
        <is>
          <t>MOU/2024/005</t>
        </is>
      </c>
      <c r="C9" s="15" t="inlineStr"/>
      <c r="D9" s="16" t="inlineStr">
        <is>
          <t>MoU — Placement</t>
        </is>
      </c>
      <c r="E9" s="16" t="inlineStr"/>
      <c r="F9" s="16" t="inlineStr"/>
      <c r="G9" s="16" t="inlineStr"/>
      <c r="H9" s="15" t="inlineStr"/>
      <c r="I9" s="16" t="inlineStr"/>
      <c r="J9" s="16" t="inlineStr"/>
      <c r="K9" s="16" t="inlineStr">
        <is>
          <t>Expired — Renewal Pending</t>
        </is>
      </c>
    </row>
    <row r="10" ht="22" customHeight="1">
      <c r="B10" s="8" t="inlineStr">
        <is>
          <t>MOU/2024/006</t>
        </is>
      </c>
      <c r="C10" s="9" t="inlineStr"/>
      <c r="D10" s="10" t="inlineStr">
        <is>
          <t>MoU — Training</t>
        </is>
      </c>
      <c r="E10" s="10" t="inlineStr"/>
      <c r="F10" s="10" t="inlineStr"/>
      <c r="G10" s="10" t="inlineStr"/>
      <c r="H10" s="9" t="inlineStr"/>
      <c r="I10" s="10" t="inlineStr"/>
      <c r="J10" s="10" t="inlineStr"/>
      <c r="K10" s="10" t="inlineStr">
        <is>
          <t>Active</t>
        </is>
      </c>
    </row>
    <row r="11" ht="22" customHeight="1">
      <c r="B11" s="14" t="inlineStr">
        <is>
          <t>MOU/2024/007</t>
        </is>
      </c>
      <c r="C11" s="15" t="inlineStr"/>
      <c r="D11" s="16" t="inlineStr">
        <is>
          <t>MoU — Sponsored Project</t>
        </is>
      </c>
      <c r="E11" s="16" t="inlineStr"/>
      <c r="F11" s="16" t="inlineStr"/>
      <c r="G11" s="16" t="inlineStr"/>
      <c r="H11" s="15" t="inlineStr"/>
      <c r="I11" s="16" t="inlineStr"/>
      <c r="J11" s="16" t="inlineStr"/>
      <c r="K11" s="16" t="inlineStr">
        <is>
          <t>Active</t>
        </is>
      </c>
    </row>
    <row r="12" ht="22" customHeight="1">
      <c r="B12" s="8" t="inlineStr">
        <is>
          <t>MOU/2024/008</t>
        </is>
      </c>
      <c r="C12" s="9" t="inlineStr"/>
      <c r="D12" s="10" t="inlineStr">
        <is>
          <t>Joint Venture Agreement</t>
        </is>
      </c>
      <c r="E12" s="10" t="inlineStr"/>
      <c r="F12" s="10" t="inlineStr"/>
      <c r="G12" s="10" t="inlineStr"/>
      <c r="H12" s="9" t="inlineStr"/>
      <c r="I12" s="10" t="inlineStr"/>
      <c r="J12" s="10" t="inlineStr"/>
      <c r="K12" s="10" t="inlineStr">
        <is>
          <t>Active</t>
        </is>
      </c>
    </row>
    <row r="13" ht="22" customHeight="1">
      <c r="B13" s="14" t="inlineStr">
        <is>
          <t>MOU/2024/009</t>
        </is>
      </c>
      <c r="C13" s="15" t="inlineStr"/>
      <c r="D13" s="16" t="inlineStr">
        <is>
          <t>NDA</t>
        </is>
      </c>
      <c r="E13" s="16" t="inlineStr"/>
      <c r="F13" s="16" t="inlineStr"/>
      <c r="G13" s="16" t="inlineStr"/>
      <c r="H13" s="15" t="inlineStr"/>
      <c r="I13" s="16" t="inlineStr"/>
      <c r="J13" s="16" t="inlineStr"/>
      <c r="K13" s="16" t="inlineStr">
        <is>
          <t>Active</t>
        </is>
      </c>
    </row>
    <row r="14" ht="22" customHeight="1">
      <c r="B14" s="8" t="inlineStr">
        <is>
          <t>MOU/2024/010</t>
        </is>
      </c>
      <c r="C14" s="9" t="inlineStr"/>
      <c r="D14" s="10" t="inlineStr">
        <is>
          <t>Consultancy Agreement</t>
        </is>
      </c>
      <c r="E14" s="10" t="inlineStr"/>
      <c r="F14" s="10" t="inlineStr"/>
      <c r="G14" s="10" t="inlineStr"/>
      <c r="H14" s="9" t="inlineStr"/>
      <c r="I14" s="10" t="inlineStr"/>
      <c r="J14" s="10" t="inlineStr"/>
      <c r="K14" s="10" t="inlineStr">
        <is>
          <t>Expired — Renewal Pending</t>
        </is>
      </c>
    </row>
    <row r="15" ht="22" customHeight="1">
      <c r="B15" s="14" t="inlineStr">
        <is>
          <t>MOU/2024/011</t>
        </is>
      </c>
      <c r="C15" s="15" t="inlineStr"/>
      <c r="D15" s="16" t="inlineStr">
        <is>
          <t>Technology Transfer Agreement</t>
        </is>
      </c>
      <c r="E15" s="16" t="inlineStr"/>
      <c r="F15" s="16" t="inlineStr"/>
      <c r="G15" s="16" t="inlineStr"/>
      <c r="H15" s="15" t="inlineStr"/>
      <c r="I15" s="16" t="inlineStr"/>
      <c r="J15" s="16" t="inlineStr"/>
      <c r="K15" s="16" t="inlineStr">
        <is>
          <t>Active</t>
        </is>
      </c>
    </row>
    <row r="16" ht="22" customHeight="1">
      <c r="B16" s="8" t="inlineStr">
        <is>
          <t>MOU/2024/012</t>
        </is>
      </c>
      <c r="C16" s="9" t="inlineStr"/>
      <c r="D16" s="10" t="inlineStr">
        <is>
          <t>CSR Partnership Agreement</t>
        </is>
      </c>
      <c r="E16" s="10" t="inlineStr"/>
      <c r="F16" s="10" t="inlineStr"/>
      <c r="G16" s="10" t="inlineStr"/>
      <c r="H16" s="9" t="inlineStr"/>
      <c r="I16" s="10" t="inlineStr"/>
      <c r="J16" s="10" t="inlineStr"/>
      <c r="K16" s="10" t="inlineStr">
        <is>
          <t>Active</t>
        </is>
      </c>
    </row>
    <row r="17" ht="22" customHeight="1">
      <c r="B17" s="14" t="inlineStr">
        <is>
          <t>MOU/2025/013</t>
        </is>
      </c>
      <c r="C17" s="15" t="inlineStr"/>
      <c r="D17" s="16" t="inlineStr">
        <is>
          <t>MoU (General Collaboration)</t>
        </is>
      </c>
      <c r="E17" s="16" t="inlineStr"/>
      <c r="F17" s="16" t="inlineStr"/>
      <c r="G17" s="16" t="inlineStr"/>
      <c r="H17" s="15" t="inlineStr"/>
      <c r="I17" s="16" t="inlineStr"/>
      <c r="J17" s="16" t="inlineStr"/>
      <c r="K17" s="16" t="inlineStr">
        <is>
          <t>Active</t>
        </is>
      </c>
    </row>
    <row r="18" ht="22" customHeight="1">
      <c r="B18" s="8" t="inlineStr">
        <is>
          <t>MOU/2025/014</t>
        </is>
      </c>
      <c r="C18" s="9" t="inlineStr"/>
      <c r="D18" s="10" t="inlineStr">
        <is>
          <t>MoA (Memorandum of Agreement)</t>
        </is>
      </c>
      <c r="E18" s="10" t="inlineStr"/>
      <c r="F18" s="10" t="inlineStr"/>
      <c r="G18" s="10" t="inlineStr"/>
      <c r="H18" s="9" t="inlineStr"/>
      <c r="I18" s="10" t="inlineStr"/>
      <c r="J18" s="10" t="inlineStr"/>
      <c r="K18" s="10" t="inlineStr">
        <is>
          <t>Active</t>
        </is>
      </c>
    </row>
    <row r="19" ht="22" customHeight="1">
      <c r="B19" s="14" t="inlineStr">
        <is>
          <t>MOU/2025/015</t>
        </is>
      </c>
      <c r="C19" s="15" t="inlineStr"/>
      <c r="D19" s="16" t="inlineStr">
        <is>
          <t>MoU — Research</t>
        </is>
      </c>
      <c r="E19" s="16" t="inlineStr"/>
      <c r="F19" s="16" t="inlineStr"/>
      <c r="G19" s="16" t="inlineStr"/>
      <c r="H19" s="15" t="inlineStr"/>
      <c r="I19" s="16" t="inlineStr"/>
      <c r="J19" s="16" t="inlineStr"/>
      <c r="K19" s="16" t="inlineStr">
        <is>
          <t>Expired — Renewal Pending</t>
        </is>
      </c>
    </row>
    <row r="20" ht="22" customHeight="1">
      <c r="B20" s="8" t="inlineStr">
        <is>
          <t>MOU/2025/016</t>
        </is>
      </c>
      <c r="C20" s="9" t="inlineStr"/>
      <c r="D20" s="10" t="inlineStr">
        <is>
          <t>MoU — Internship</t>
        </is>
      </c>
      <c r="E20" s="10" t="inlineStr"/>
      <c r="F20" s="10" t="inlineStr"/>
      <c r="G20" s="10" t="inlineStr"/>
      <c r="H20" s="9" t="inlineStr"/>
      <c r="I20" s="10" t="inlineStr"/>
      <c r="J20" s="10" t="inlineStr"/>
      <c r="K20" s="10" t="inlineStr">
        <is>
          <t>Active</t>
        </is>
      </c>
    </row>
    <row r="21" ht="22" customHeight="1">
      <c r="B21" s="14" t="inlineStr">
        <is>
          <t>MOU/2025/017</t>
        </is>
      </c>
      <c r="C21" s="15" t="inlineStr"/>
      <c r="D21" s="16" t="inlineStr">
        <is>
          <t>MoU — Placement</t>
        </is>
      </c>
      <c r="E21" s="16" t="inlineStr"/>
      <c r="F21" s="16" t="inlineStr"/>
      <c r="G21" s="16" t="inlineStr"/>
      <c r="H21" s="15" t="inlineStr"/>
      <c r="I21" s="16" t="inlineStr"/>
      <c r="J21" s="16" t="inlineStr"/>
      <c r="K21" s="16" t="inlineStr">
        <is>
          <t>Active</t>
        </is>
      </c>
    </row>
    <row r="22" ht="22" customHeight="1">
      <c r="B22" s="8" t="inlineStr">
        <is>
          <t>MOU/2025/018</t>
        </is>
      </c>
      <c r="C22" s="9" t="inlineStr"/>
      <c r="D22" s="10" t="inlineStr">
        <is>
          <t>MoU — Training</t>
        </is>
      </c>
      <c r="E22" s="10" t="inlineStr"/>
      <c r="F22" s="10" t="inlineStr"/>
      <c r="G22" s="10" t="inlineStr"/>
      <c r="H22" s="9" t="inlineStr"/>
      <c r="I22" s="10" t="inlineStr"/>
      <c r="J22" s="10" t="inlineStr"/>
      <c r="K22" s="10" t="inlineStr">
        <is>
          <t>Active</t>
        </is>
      </c>
    </row>
    <row r="23" ht="22" customHeight="1">
      <c r="B23" s="14" t="inlineStr">
        <is>
          <t>MOU/2025/019</t>
        </is>
      </c>
      <c r="C23" s="15" t="inlineStr"/>
      <c r="D23" s="16" t="inlineStr">
        <is>
          <t>MoU — Sponsored Project</t>
        </is>
      </c>
      <c r="E23" s="16" t="inlineStr"/>
      <c r="F23" s="16" t="inlineStr"/>
      <c r="G23" s="16" t="inlineStr"/>
      <c r="H23" s="15" t="inlineStr"/>
      <c r="I23" s="16" t="inlineStr"/>
      <c r="J23" s="16" t="inlineStr"/>
      <c r="K23" s="16" t="inlineStr">
        <is>
          <t>Active</t>
        </is>
      </c>
    </row>
    <row r="24" ht="22" customHeight="1">
      <c r="B24" s="8" t="inlineStr">
        <is>
          <t>MOU/2025/020</t>
        </is>
      </c>
      <c r="C24" s="9" t="inlineStr"/>
      <c r="D24" s="10" t="inlineStr">
        <is>
          <t>Joint Venture Agreement</t>
        </is>
      </c>
      <c r="E24" s="10" t="inlineStr"/>
      <c r="F24" s="10" t="inlineStr"/>
      <c r="G24" s="10" t="inlineStr"/>
      <c r="H24" s="9" t="inlineStr"/>
      <c r="I24" s="10" t="inlineStr"/>
      <c r="J24" s="10" t="inlineStr"/>
      <c r="K24" s="10" t="inlineStr">
        <is>
          <t>Expired — Renewal Pending</t>
        </is>
      </c>
    </row>
    <row r="25" ht="22" customHeight="1">
      <c r="B25" s="14" t="inlineStr">
        <is>
          <t>MOU/2025/021</t>
        </is>
      </c>
      <c r="C25" s="15" t="inlineStr"/>
      <c r="D25" s="16" t="inlineStr">
        <is>
          <t>NDA</t>
        </is>
      </c>
      <c r="E25" s="16" t="inlineStr"/>
      <c r="F25" s="16" t="inlineStr"/>
      <c r="G25" s="16" t="inlineStr"/>
      <c r="H25" s="15" t="inlineStr"/>
      <c r="I25" s="16" t="inlineStr"/>
      <c r="J25" s="16" t="inlineStr"/>
      <c r="K25" s="16" t="inlineStr">
        <is>
          <t>Active</t>
        </is>
      </c>
    </row>
    <row r="26" ht="22" customHeight="1">
      <c r="B26" s="8" t="inlineStr">
        <is>
          <t>MOU/2025/022</t>
        </is>
      </c>
      <c r="C26" s="9" t="inlineStr"/>
      <c r="D26" s="10" t="inlineStr">
        <is>
          <t>Consultancy Agreement</t>
        </is>
      </c>
      <c r="E26" s="10" t="inlineStr"/>
      <c r="F26" s="10" t="inlineStr"/>
      <c r="G26" s="10" t="inlineStr"/>
      <c r="H26" s="9" t="inlineStr"/>
      <c r="I26" s="10" t="inlineStr"/>
      <c r="J26" s="10" t="inlineStr"/>
      <c r="K26" s="10" t="inlineStr">
        <is>
          <t>Active</t>
        </is>
      </c>
    </row>
    <row r="27" ht="22" customHeight="1">
      <c r="B27" s="14" t="inlineStr">
        <is>
          <t>MOU/2025/023</t>
        </is>
      </c>
      <c r="C27" s="15" t="inlineStr"/>
      <c r="D27" s="16" t="inlineStr">
        <is>
          <t>Technology Transfer Agreement</t>
        </is>
      </c>
      <c r="E27" s="16" t="inlineStr"/>
      <c r="F27" s="16" t="inlineStr"/>
      <c r="G27" s="16" t="inlineStr"/>
      <c r="H27" s="15" t="inlineStr"/>
      <c r="I27" s="16" t="inlineStr"/>
      <c r="J27" s="16" t="inlineStr"/>
      <c r="K27" s="16" t="inlineStr">
        <is>
          <t>Active</t>
        </is>
      </c>
    </row>
    <row r="28" ht="22" customHeight="1">
      <c r="B28" s="8" t="inlineStr">
        <is>
          <t>MOU/2025/024</t>
        </is>
      </c>
      <c r="C28" s="9" t="inlineStr"/>
      <c r="D28" s="10" t="inlineStr">
        <is>
          <t>CSR Partnership Agreement</t>
        </is>
      </c>
      <c r="E28" s="10" t="inlineStr"/>
      <c r="F28" s="10" t="inlineStr"/>
      <c r="G28" s="10" t="inlineStr"/>
      <c r="H28" s="9" t="inlineStr"/>
      <c r="I28" s="10" t="inlineStr"/>
      <c r="J28" s="10" t="inlineStr"/>
      <c r="K28" s="10" t="inlineStr">
        <is>
          <t>Active</t>
        </is>
      </c>
    </row>
    <row r="29" ht="22" customHeight="1"/>
    <row r="30" ht="24" customHeight="1">
      <c r="B30" s="35" t="inlineStr">
        <is>
          <t>MoU STATUS SUMMARY</t>
        </is>
      </c>
    </row>
    <row r="31" ht="22" customHeight="1">
      <c r="B31" s="31" t="inlineStr">
        <is>
          <t>Agreement Type</t>
        </is>
      </c>
      <c r="C31" s="31" t="inlineStr">
        <is>
          <t>Total
Signed</t>
        </is>
      </c>
      <c r="D31" s="31" t="inlineStr">
        <is>
          <t>Currently
Active</t>
        </is>
      </c>
      <c r="E31" s="31" t="inlineStr">
        <is>
          <t>Expired</t>
        </is>
      </c>
      <c r="F31" s="31" t="inlineStr">
        <is>
          <t>Renewal
Pending</t>
        </is>
      </c>
      <c r="G31" s="31" t="inlineStr">
        <is>
          <t>Activities
Undertaken</t>
        </is>
      </c>
      <c r="H31" s="31" t="inlineStr">
        <is>
          <t>Student
Benefited</t>
        </is>
      </c>
      <c r="I31" s="31" t="inlineStr">
        <is>
          <t>Revenue
Generated (₹L)</t>
        </is>
      </c>
    </row>
    <row r="32" ht="22" customHeight="1">
      <c r="B32" s="33" t="inlineStr">
        <is>
          <t>General MoU</t>
        </is>
      </c>
      <c r="C32" s="34" t="inlineStr"/>
      <c r="D32" s="34" t="inlineStr"/>
      <c r="E32" s="34" t="inlineStr"/>
      <c r="F32" s="34" t="inlineStr"/>
      <c r="G32" s="34" t="inlineStr"/>
      <c r="H32" s="34" t="inlineStr"/>
      <c r="I32" s="34" t="inlineStr"/>
      <c r="J32" s="40" t="n"/>
      <c r="K32" s="40" t="n"/>
    </row>
    <row r="33" ht="22" customHeight="1">
      <c r="B33" s="9" t="inlineStr">
        <is>
          <t>Research MoU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41" t="n"/>
      <c r="K33" s="41" t="n"/>
    </row>
    <row r="34">
      <c r="B34" s="33" t="inlineStr">
        <is>
          <t>Internship MoU</t>
        </is>
      </c>
      <c r="C34" s="34" t="inlineStr"/>
      <c r="D34" s="34" t="inlineStr"/>
      <c r="E34" s="34" t="inlineStr"/>
      <c r="F34" s="34" t="inlineStr"/>
      <c r="G34" s="34" t="inlineStr"/>
      <c r="H34" s="34" t="inlineStr"/>
      <c r="I34" s="34" t="inlineStr"/>
      <c r="J34" s="40" t="n"/>
      <c r="K34" s="40" t="n"/>
    </row>
    <row r="35">
      <c r="B35" s="9" t="inlineStr">
        <is>
          <t>Placement MoU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41" t="n"/>
      <c r="K35" s="41" t="n"/>
    </row>
    <row r="36">
      <c r="B36" s="33" t="inlineStr">
        <is>
          <t>Training MoU</t>
        </is>
      </c>
      <c r="C36" s="34" t="inlineStr"/>
      <c r="D36" s="34" t="inlineStr"/>
      <c r="E36" s="34" t="inlineStr"/>
      <c r="F36" s="34" t="inlineStr"/>
      <c r="G36" s="34" t="inlineStr"/>
      <c r="H36" s="34" t="inlineStr"/>
      <c r="I36" s="34" t="inlineStr"/>
      <c r="J36" s="40" t="n"/>
      <c r="K36" s="40" t="n"/>
    </row>
    <row r="37">
      <c r="B37" s="9" t="inlineStr">
        <is>
          <t>CSR / Other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41" t="n"/>
      <c r="K37" s="41" t="n"/>
    </row>
    <row r="38">
      <c r="B38" s="24" t="inlineStr">
        <is>
          <t>TOTAL</t>
        </is>
      </c>
      <c r="C38" s="39" t="inlineStr"/>
      <c r="D38" s="39" t="inlineStr"/>
      <c r="E38" s="39" t="inlineStr"/>
      <c r="F38" s="39" t="inlineStr"/>
      <c r="G38" s="39" t="inlineStr"/>
      <c r="H38" s="39" t="inlineStr"/>
      <c r="I38" s="39" t="inlineStr"/>
      <c r="J38" s="42" t="n"/>
      <c r="K38" s="42" t="n"/>
    </row>
  </sheetData>
  <mergeCells count="3">
    <mergeCell ref="B30:K30"/>
    <mergeCell ref="B3:K3"/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IIPC-03: MoU ACTIVITY MONITORING REGISTER</t>
        </is>
      </c>
    </row>
    <row r="3" ht="25" customHeight="1">
      <c r="B3" s="2" t="inlineStr">
        <is>
          <t>A.Y.: _______  IIPC Coordinator: ___________________  Review: Quarterly</t>
        </is>
      </c>
    </row>
    <row r="4" ht="25" customHeight="1">
      <c r="B4" s="13" t="inlineStr">
        <is>
          <t>MoU
Ref.</t>
        </is>
      </c>
      <c r="C4" s="13" t="inlineStr">
        <is>
          <t>Partner Organisation</t>
        </is>
      </c>
      <c r="D4" s="13" t="inlineStr">
        <is>
          <t>Activity
Type</t>
        </is>
      </c>
      <c r="E4" s="13" t="inlineStr">
        <is>
          <t>Activity
Title</t>
        </is>
      </c>
      <c r="F4" s="13" t="inlineStr">
        <is>
          <t>Planned
Date</t>
        </is>
      </c>
      <c r="G4" s="13" t="inlineStr">
        <is>
          <t>Actual
Date</t>
        </is>
      </c>
      <c r="H4" s="13" t="inlineStr">
        <is>
          <t>No. Students
Benefited</t>
        </is>
      </c>
      <c r="I4" s="13" t="inlineStr">
        <is>
          <t>Faculty
Involved</t>
        </is>
      </c>
      <c r="J4" s="13" t="inlineStr">
        <is>
          <t>Outcome / Remarks</t>
        </is>
      </c>
    </row>
    <row r="5" ht="22" customHeight="1">
      <c r="B5" s="14" t="inlineStr">
        <is>
          <t>MOU/001</t>
        </is>
      </c>
      <c r="C5" s="15" t="inlineStr"/>
      <c r="D5" s="16" t="inlineStr">
        <is>
          <t>Guest Lecture</t>
        </is>
      </c>
      <c r="E5" s="15" t="inlineStr"/>
      <c r="F5" s="16" t="inlineStr"/>
      <c r="G5" s="16" t="inlineStr"/>
      <c r="H5" s="16" t="inlineStr"/>
      <c r="I5" s="16" t="inlineStr"/>
      <c r="J5" s="15" t="inlineStr"/>
    </row>
    <row r="6" ht="22" customHeight="1">
      <c r="B6" s="8" t="inlineStr">
        <is>
          <t>MOU/002</t>
        </is>
      </c>
      <c r="C6" s="9" t="inlineStr"/>
      <c r="D6" s="10" t="inlineStr">
        <is>
          <t>Internship Batch</t>
        </is>
      </c>
      <c r="E6" s="9" t="inlineStr"/>
      <c r="F6" s="10" t="inlineStr"/>
      <c r="G6" s="10" t="inlineStr"/>
      <c r="H6" s="10" t="inlineStr"/>
      <c r="I6" s="10" t="inlineStr"/>
      <c r="J6" s="9" t="inlineStr"/>
    </row>
    <row r="7" ht="22" customHeight="1">
      <c r="B7" s="14" t="inlineStr">
        <is>
          <t>MOU/003</t>
        </is>
      </c>
      <c r="C7" s="15" t="inlineStr"/>
      <c r="D7" s="16" t="inlineStr">
        <is>
          <t>Campus Drive</t>
        </is>
      </c>
      <c r="E7" s="15" t="inlineStr"/>
      <c r="F7" s="16" t="inlineStr"/>
      <c r="G7" s="16" t="inlineStr"/>
      <c r="H7" s="16" t="inlineStr"/>
      <c r="I7" s="16" t="inlineStr"/>
      <c r="J7" s="15" t="inlineStr"/>
    </row>
    <row r="8" ht="22" customHeight="1">
      <c r="B8" s="8" t="inlineStr">
        <is>
          <t>MOU/004</t>
        </is>
      </c>
      <c r="C8" s="9" t="inlineStr"/>
      <c r="D8" s="10" t="inlineStr">
        <is>
          <t>Expert Workshop</t>
        </is>
      </c>
      <c r="E8" s="9" t="inlineStr"/>
      <c r="F8" s="10" t="inlineStr"/>
      <c r="G8" s="10" t="inlineStr"/>
      <c r="H8" s="10" t="inlineStr"/>
      <c r="I8" s="10" t="inlineStr"/>
      <c r="J8" s="9" t="inlineStr"/>
    </row>
    <row r="9" ht="22" customHeight="1">
      <c r="B9" s="14" t="inlineStr">
        <is>
          <t>MOU/005</t>
        </is>
      </c>
      <c r="C9" s="15" t="inlineStr"/>
      <c r="D9" s="16" t="inlineStr">
        <is>
          <t>Joint Project</t>
        </is>
      </c>
      <c r="E9" s="15" t="inlineStr"/>
      <c r="F9" s="16" t="inlineStr"/>
      <c r="G9" s="16" t="inlineStr"/>
      <c r="H9" s="16" t="inlineStr"/>
      <c r="I9" s="16" t="inlineStr"/>
      <c r="J9" s="15" t="inlineStr"/>
    </row>
    <row r="10" ht="22" customHeight="1">
      <c r="B10" s="8" t="inlineStr">
        <is>
          <t>MOU/006</t>
        </is>
      </c>
      <c r="C10" s="9" t="inlineStr"/>
      <c r="D10" s="10" t="inlineStr">
        <is>
          <t>Industry Visit</t>
        </is>
      </c>
      <c r="E10" s="9" t="inlineStr"/>
      <c r="F10" s="10" t="inlineStr"/>
      <c r="G10" s="10" t="inlineStr"/>
      <c r="H10" s="10" t="inlineStr"/>
      <c r="I10" s="10" t="inlineStr"/>
      <c r="J10" s="9" t="inlineStr"/>
    </row>
    <row r="11" ht="22" customHeight="1">
      <c r="B11" s="14" t="inlineStr">
        <is>
          <t>MOU/007</t>
        </is>
      </c>
      <c r="C11" s="15" t="inlineStr"/>
      <c r="D11" s="16" t="inlineStr">
        <is>
          <t>Faculty Internship</t>
        </is>
      </c>
      <c r="E11" s="15" t="inlineStr"/>
      <c r="F11" s="16" t="inlineStr"/>
      <c r="G11" s="16" t="inlineStr"/>
      <c r="H11" s="16" t="inlineStr"/>
      <c r="I11" s="16" t="inlineStr"/>
      <c r="J11" s="15" t="inlineStr"/>
    </row>
    <row r="12" ht="22" customHeight="1">
      <c r="B12" s="8" t="inlineStr">
        <is>
          <t>MOU/008</t>
        </is>
      </c>
      <c r="C12" s="9" t="inlineStr"/>
      <c r="D12" s="10" t="inlineStr">
        <is>
          <t>Research Collaboration</t>
        </is>
      </c>
      <c r="E12" s="9" t="inlineStr"/>
      <c r="F12" s="10" t="inlineStr"/>
      <c r="G12" s="10" t="inlineStr"/>
      <c r="H12" s="10" t="inlineStr"/>
      <c r="I12" s="10" t="inlineStr"/>
      <c r="J12" s="9" t="inlineStr"/>
    </row>
    <row r="13" ht="22" customHeight="1">
      <c r="B13" s="14" t="inlineStr">
        <is>
          <t>MOU/009</t>
        </is>
      </c>
      <c r="C13" s="15" t="inlineStr"/>
      <c r="D13" s="16" t="inlineStr">
        <is>
          <t>Skill Certification</t>
        </is>
      </c>
      <c r="E13" s="15" t="inlineStr"/>
      <c r="F13" s="16" t="inlineStr"/>
      <c r="G13" s="16" t="inlineStr"/>
      <c r="H13" s="16" t="inlineStr"/>
      <c r="I13" s="16" t="inlineStr"/>
      <c r="J13" s="15" t="inlineStr"/>
    </row>
    <row r="14" ht="22" customHeight="1">
      <c r="B14" s="8" t="inlineStr">
        <is>
          <t>MOU/010</t>
        </is>
      </c>
      <c r="C14" s="9" t="inlineStr"/>
      <c r="D14" s="10" t="inlineStr">
        <is>
          <t>Lab Sharing</t>
        </is>
      </c>
      <c r="E14" s="9" t="inlineStr"/>
      <c r="F14" s="10" t="inlineStr"/>
      <c r="G14" s="10" t="inlineStr"/>
      <c r="H14" s="10" t="inlineStr"/>
      <c r="I14" s="10" t="inlineStr"/>
      <c r="J14" s="9" t="inlineStr"/>
    </row>
    <row r="15" ht="22" customHeight="1">
      <c r="B15" s="14" t="inlineStr">
        <is>
          <t>MOU/011</t>
        </is>
      </c>
      <c r="C15" s="15" t="inlineStr"/>
      <c r="D15" s="16" t="inlineStr">
        <is>
          <t>Curriculum Review</t>
        </is>
      </c>
      <c r="E15" s="15" t="inlineStr"/>
      <c r="F15" s="16" t="inlineStr"/>
      <c r="G15" s="16" t="inlineStr"/>
      <c r="H15" s="16" t="inlineStr"/>
      <c r="I15" s="16" t="inlineStr"/>
      <c r="J15" s="15" t="inlineStr"/>
    </row>
    <row r="16" ht="22" customHeight="1">
      <c r="B16" s="8" t="inlineStr">
        <is>
          <t>MOU/012</t>
        </is>
      </c>
      <c r="C16" s="9" t="inlineStr"/>
      <c r="D16" s="10" t="inlineStr">
        <is>
          <t>CSR Activity</t>
        </is>
      </c>
      <c r="E16" s="9" t="inlineStr"/>
      <c r="F16" s="10" t="inlineStr"/>
      <c r="G16" s="10" t="inlineStr"/>
      <c r="H16" s="10" t="inlineStr"/>
      <c r="I16" s="10" t="inlineStr"/>
      <c r="J16" s="9" t="inlineStr"/>
    </row>
    <row r="17" ht="22" customHeight="1">
      <c r="B17" s="14" t="inlineStr">
        <is>
          <t>MOU/001</t>
        </is>
      </c>
      <c r="C17" s="15" t="inlineStr"/>
      <c r="D17" s="16" t="inlineStr">
        <is>
          <t>Sponsored Project</t>
        </is>
      </c>
      <c r="E17" s="15" t="inlineStr"/>
      <c r="F17" s="16" t="inlineStr"/>
      <c r="G17" s="16" t="inlineStr"/>
      <c r="H17" s="16" t="inlineStr"/>
      <c r="I17" s="16" t="inlineStr"/>
      <c r="J17" s="15" t="inlineStr"/>
    </row>
    <row r="18" ht="22" customHeight="1">
      <c r="B18" s="8" t="inlineStr">
        <is>
          <t>MOU/002</t>
        </is>
      </c>
      <c r="C18" s="9" t="inlineStr"/>
      <c r="D18" s="10" t="inlineStr">
        <is>
          <t>Live Problem Statement</t>
        </is>
      </c>
      <c r="E18" s="9" t="inlineStr"/>
      <c r="F18" s="10" t="inlineStr"/>
      <c r="G18" s="10" t="inlineStr"/>
      <c r="H18" s="10" t="inlineStr"/>
      <c r="I18" s="10" t="inlineStr"/>
      <c r="J18" s="9" t="inlineStr"/>
    </row>
    <row r="19" ht="22" customHeight="1">
      <c r="B19" s="14" t="inlineStr">
        <is>
          <t>MOU/003</t>
        </is>
      </c>
      <c r="C19" s="15" t="inlineStr"/>
      <c r="D19" s="16" t="inlineStr">
        <is>
          <t>Advisory Board Meeting</t>
        </is>
      </c>
      <c r="E19" s="15" t="inlineStr"/>
      <c r="F19" s="16" t="inlineStr"/>
      <c r="G19" s="16" t="inlineStr"/>
      <c r="H19" s="16" t="inlineStr"/>
      <c r="I19" s="16" t="inlineStr"/>
      <c r="J19" s="15" t="inlineStr"/>
    </row>
    <row r="20" ht="22" customHeight="1">
      <c r="B20" s="8" t="inlineStr">
        <is>
          <t>MOU/004</t>
        </is>
      </c>
      <c r="C20" s="9" t="inlineStr"/>
      <c r="D20" s="10" t="inlineStr">
        <is>
          <t>Guest Lecture</t>
        </is>
      </c>
      <c r="E20" s="9" t="inlineStr"/>
      <c r="F20" s="10" t="inlineStr"/>
      <c r="G20" s="10" t="inlineStr"/>
      <c r="H20" s="10" t="inlineStr"/>
      <c r="I20" s="10" t="inlineStr"/>
      <c r="J20" s="9" t="inlineStr"/>
    </row>
    <row r="21" ht="22" customHeight="1">
      <c r="B21" s="14" t="inlineStr">
        <is>
          <t>MOU/005</t>
        </is>
      </c>
      <c r="C21" s="15" t="inlineStr"/>
      <c r="D21" s="16" t="inlineStr">
        <is>
          <t>Internship Batch</t>
        </is>
      </c>
      <c r="E21" s="15" t="inlineStr"/>
      <c r="F21" s="16" t="inlineStr"/>
      <c r="G21" s="16" t="inlineStr"/>
      <c r="H21" s="16" t="inlineStr"/>
      <c r="I21" s="16" t="inlineStr"/>
      <c r="J21" s="15" t="inlineStr"/>
    </row>
    <row r="22" ht="22" customHeight="1">
      <c r="B22" s="8" t="inlineStr">
        <is>
          <t>MOU/006</t>
        </is>
      </c>
      <c r="C22" s="9" t="inlineStr"/>
      <c r="D22" s="10" t="inlineStr">
        <is>
          <t>Campus Drive</t>
        </is>
      </c>
      <c r="E22" s="9" t="inlineStr"/>
      <c r="F22" s="10" t="inlineStr"/>
      <c r="G22" s="10" t="inlineStr"/>
      <c r="H22" s="10" t="inlineStr"/>
      <c r="I22" s="10" t="inlineStr"/>
      <c r="J22" s="9" t="inlineStr"/>
    </row>
    <row r="23" ht="22" customHeight="1">
      <c r="B23" s="14" t="inlineStr">
        <is>
          <t>MOU/007</t>
        </is>
      </c>
      <c r="C23" s="15" t="inlineStr"/>
      <c r="D23" s="16" t="inlineStr">
        <is>
          <t>Expert Workshop</t>
        </is>
      </c>
      <c r="E23" s="15" t="inlineStr"/>
      <c r="F23" s="16" t="inlineStr"/>
      <c r="G23" s="16" t="inlineStr"/>
      <c r="H23" s="16" t="inlineStr"/>
      <c r="I23" s="16" t="inlineStr"/>
      <c r="J23" s="15" t="inlineStr"/>
    </row>
    <row r="24" ht="22" customHeight="1">
      <c r="B24" s="8" t="inlineStr">
        <is>
          <t>MOU/008</t>
        </is>
      </c>
      <c r="C24" s="9" t="inlineStr"/>
      <c r="D24" s="10" t="inlineStr">
        <is>
          <t>Joint Project</t>
        </is>
      </c>
      <c r="E24" s="9" t="inlineStr"/>
      <c r="F24" s="10" t="inlineStr"/>
      <c r="G24" s="10" t="inlineStr"/>
      <c r="H24" s="10" t="inlineStr"/>
      <c r="I24" s="10" t="inlineStr"/>
      <c r="J24" s="9" t="inlineStr"/>
    </row>
    <row r="25" ht="22" customHeight="1">
      <c r="B25" s="14" t="inlineStr">
        <is>
          <t>MOU/009</t>
        </is>
      </c>
      <c r="C25" s="15" t="inlineStr"/>
      <c r="D25" s="16" t="inlineStr">
        <is>
          <t>Industry Visit</t>
        </is>
      </c>
      <c r="E25" s="15" t="inlineStr"/>
      <c r="F25" s="16" t="inlineStr"/>
      <c r="G25" s="16" t="inlineStr"/>
      <c r="H25" s="16" t="inlineStr"/>
      <c r="I25" s="16" t="inlineStr"/>
      <c r="J25" s="15" t="inlineStr"/>
    </row>
    <row r="26" ht="22" customHeight="1">
      <c r="B26" s="8" t="inlineStr">
        <is>
          <t>MOU/010</t>
        </is>
      </c>
      <c r="C26" s="9" t="inlineStr"/>
      <c r="D26" s="10" t="inlineStr">
        <is>
          <t>Faculty Internship</t>
        </is>
      </c>
      <c r="E26" s="9" t="inlineStr"/>
      <c r="F26" s="10" t="inlineStr"/>
      <c r="G26" s="10" t="inlineStr"/>
      <c r="H26" s="10" t="inlineStr"/>
      <c r="I26" s="10" t="inlineStr"/>
      <c r="J26" s="9" t="inlineStr"/>
    </row>
    <row r="27" ht="22" customHeight="1">
      <c r="B27" s="14" t="inlineStr">
        <is>
          <t>MOU/011</t>
        </is>
      </c>
      <c r="C27" s="15" t="inlineStr"/>
      <c r="D27" s="16" t="inlineStr">
        <is>
          <t>Research Collaboration</t>
        </is>
      </c>
      <c r="E27" s="15" t="inlineStr"/>
      <c r="F27" s="16" t="inlineStr"/>
      <c r="G27" s="16" t="inlineStr"/>
      <c r="H27" s="16" t="inlineStr"/>
      <c r="I27" s="16" t="inlineStr"/>
      <c r="J27" s="15" t="inlineStr"/>
    </row>
    <row r="28" ht="22" customHeight="1">
      <c r="B28" s="8" t="inlineStr">
        <is>
          <t>MOU/012</t>
        </is>
      </c>
      <c r="C28" s="9" t="inlineStr"/>
      <c r="D28" s="10" t="inlineStr">
        <is>
          <t>Skill Certification</t>
        </is>
      </c>
      <c r="E28" s="9" t="inlineStr"/>
      <c r="F28" s="10" t="inlineStr"/>
      <c r="G28" s="10" t="inlineStr"/>
      <c r="H28" s="10" t="inlineStr"/>
      <c r="I28" s="10" t="inlineStr"/>
      <c r="J28" s="9" t="inlineStr"/>
    </row>
    <row r="29" ht="22" customHeight="1"/>
    <row r="30" ht="24" customHeight="1">
      <c r="B30" s="35" t="inlineStr">
        <is>
          <t>QUARTERLY ACTIVITY SUMMARY</t>
        </is>
      </c>
    </row>
    <row r="31" ht="22" customHeight="1">
      <c r="B31" s="31" t="inlineStr">
        <is>
          <t>Quarter</t>
        </is>
      </c>
      <c r="C31" s="31" t="inlineStr">
        <is>
          <t>Activities Planned</t>
        </is>
      </c>
      <c r="D31" s="31" t="inlineStr">
        <is>
          <t>Activities Conducted</t>
        </is>
      </c>
      <c r="E31" s="31" t="inlineStr">
        <is>
          <t>Completion %</t>
        </is>
      </c>
      <c r="F31" s="31" t="inlineStr">
        <is>
          <t>Students Benefited</t>
        </is>
      </c>
      <c r="G31" s="31" t="inlineStr">
        <is>
          <t>Faculty Involved</t>
        </is>
      </c>
      <c r="H31" s="31" t="inlineStr">
        <is>
          <t>New Partners Engaged</t>
        </is>
      </c>
      <c r="I31" s="31" t="inlineStr">
        <is>
          <t>Revenue (₹L)</t>
        </is>
      </c>
      <c r="J31" s="31" t="inlineStr">
        <is>
          <t>Status</t>
        </is>
      </c>
    </row>
    <row r="32" ht="22" customHeight="1">
      <c r="B32" s="33" t="inlineStr">
        <is>
          <t>Q1 (Apr–Jun)</t>
        </is>
      </c>
      <c r="C32" s="34" t="inlineStr"/>
      <c r="D32" s="34" t="inlineStr"/>
      <c r="E32" s="34">
        <f>IFERROR(ROUND(D32/C32*100,1),"")</f>
        <v/>
      </c>
      <c r="F32" s="34" t="inlineStr"/>
      <c r="G32" s="34" t="inlineStr"/>
      <c r="H32" s="34" t="inlineStr"/>
      <c r="I32" s="34" t="inlineStr"/>
      <c r="J32" s="34" t="inlineStr"/>
    </row>
    <row r="33" ht="22" customHeight="1">
      <c r="B33" s="9" t="inlineStr">
        <is>
          <t>Q2 (Jul–Sep)</t>
        </is>
      </c>
      <c r="C33" s="10" t="inlineStr"/>
      <c r="D33" s="10" t="inlineStr"/>
      <c r="E33" s="10">
        <f>IFERROR(ROUND(D33/C33*100,1),"")</f>
        <v/>
      </c>
      <c r="F33" s="10" t="inlineStr"/>
      <c r="G33" s="10" t="inlineStr"/>
      <c r="H33" s="10" t="inlineStr"/>
      <c r="I33" s="10" t="inlineStr"/>
      <c r="J33" s="10" t="inlineStr"/>
    </row>
    <row r="34" ht="22" customHeight="1">
      <c r="B34" s="33" t="inlineStr">
        <is>
          <t>Q3 (Oct–Dec)</t>
        </is>
      </c>
      <c r="C34" s="34" t="inlineStr"/>
      <c r="D34" s="34" t="inlineStr"/>
      <c r="E34" s="34">
        <f>IFERROR(ROUND(D34/C34*100,1),"")</f>
        <v/>
      </c>
      <c r="F34" s="34" t="inlineStr"/>
      <c r="G34" s="34" t="inlineStr"/>
      <c r="H34" s="34" t="inlineStr"/>
      <c r="I34" s="34" t="inlineStr"/>
      <c r="J34" s="34" t="inlineStr"/>
    </row>
    <row r="35" ht="22" customHeight="1">
      <c r="B35" s="9" t="inlineStr">
        <is>
          <t>Q4 (Jan–Mar)</t>
        </is>
      </c>
      <c r="C35" s="10" t="inlineStr"/>
      <c r="D35" s="10" t="inlineStr"/>
      <c r="E35" s="10">
        <f>IFERROR(ROUND(D35/C35*100,1),"")</f>
        <v/>
      </c>
      <c r="F35" s="10" t="inlineStr"/>
      <c r="G35" s="10" t="inlineStr"/>
      <c r="H35" s="10" t="inlineStr"/>
      <c r="I35" s="10" t="inlineStr"/>
      <c r="J35" s="10" t="inlineStr"/>
    </row>
    <row r="36">
      <c r="B36" s="24" t="inlineStr">
        <is>
          <t>ANNUAL TOTAL</t>
        </is>
      </c>
      <c r="C36" s="39" t="inlineStr"/>
      <c r="D36" s="39" t="inlineStr"/>
      <c r="E36" s="39">
        <f>IFERROR(ROUND(D36/C36*100,1),"")</f>
        <v/>
      </c>
      <c r="F36" s="39" t="inlineStr"/>
      <c r="G36" s="39" t="inlineStr"/>
      <c r="H36" s="39" t="inlineStr"/>
      <c r="I36" s="39" t="inlineStr"/>
      <c r="J36" s="39" t="inlineStr"/>
    </row>
  </sheetData>
  <mergeCells count="3">
    <mergeCell ref="B3:J3"/>
    <mergeCell ref="B30:J30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IIPC-07: STUDENT INTERNSHIP / IN-PLANT TRAINING (IPT) REGISTER</t>
        </is>
      </c>
    </row>
    <row r="3" ht="25" customHeight="1">
      <c r="B3" s="2" t="inlineStr">
        <is>
          <t>Semester / A.Y.: _______  T&amp;P Officer: ___________________  NAAC Ref.: Criterion V.2 / II.4</t>
        </is>
      </c>
    </row>
    <row r="4" ht="25" customHeight="1">
      <c r="B4" s="13" t="inlineStr">
        <is>
          <t>Intern.
Ref.</t>
        </is>
      </c>
      <c r="C4" s="13" t="inlineStr">
        <is>
          <t>Student Name</t>
        </is>
      </c>
      <c r="D4" s="13" t="inlineStr">
        <is>
          <t>Roll No.
/ Programme</t>
        </is>
      </c>
      <c r="E4" s="13" t="inlineStr">
        <is>
          <t>Organisation</t>
        </is>
      </c>
      <c r="F4" s="13" t="inlineStr">
        <is>
          <t>Department /
Domain</t>
        </is>
      </c>
      <c r="G4" s="13" t="inlineStr">
        <is>
          <t>Duration
(Weeks)</t>
        </is>
      </c>
      <c r="H4" s="13" t="inlineStr">
        <is>
          <t>Start
Date</t>
        </is>
      </c>
      <c r="I4" s="13" t="inlineStr">
        <is>
          <t>End
Date</t>
        </is>
      </c>
      <c r="J4" s="13" t="inlineStr">
        <is>
          <t>Stipend
(₹/month)</t>
        </is>
      </c>
      <c r="K4" s="13" t="inlineStr">
        <is>
          <t>Status</t>
        </is>
      </c>
    </row>
    <row r="5" ht="22" customHeight="1">
      <c r="B5" s="14" t="inlineStr">
        <is>
          <t>INT/2024/0001</t>
        </is>
      </c>
      <c r="C5" s="15" t="inlineStr"/>
      <c r="D5" s="16" t="inlineStr"/>
      <c r="E5" s="15" t="inlineStr"/>
      <c r="F5" s="16" t="inlineStr"/>
      <c r="G5" s="16" t="inlineStr"/>
      <c r="H5" s="16" t="inlineStr"/>
      <c r="I5" s="16" t="inlineStr"/>
      <c r="J5" s="16" t="inlineStr"/>
      <c r="K5" s="16" t="inlineStr">
        <is>
          <t>Completed</t>
        </is>
      </c>
    </row>
    <row r="6" ht="22" customHeight="1">
      <c r="B6" s="8" t="inlineStr">
        <is>
          <t>INT/2024/0002</t>
        </is>
      </c>
      <c r="C6" s="9" t="inlineStr"/>
      <c r="D6" s="10" t="inlineStr"/>
      <c r="E6" s="9" t="inlineStr"/>
      <c r="F6" s="10" t="inlineStr"/>
      <c r="G6" s="10" t="inlineStr"/>
      <c r="H6" s="10" t="inlineStr"/>
      <c r="I6" s="10" t="inlineStr"/>
      <c r="J6" s="10" t="inlineStr"/>
      <c r="K6" s="10" t="inlineStr">
        <is>
          <t>Ongoing</t>
        </is>
      </c>
    </row>
    <row r="7" ht="22" customHeight="1">
      <c r="B7" s="14" t="inlineStr">
        <is>
          <t>INT/2024/0003</t>
        </is>
      </c>
      <c r="C7" s="15" t="inlineStr"/>
      <c r="D7" s="16" t="inlineStr"/>
      <c r="E7" s="15" t="inlineStr"/>
      <c r="F7" s="16" t="inlineStr"/>
      <c r="G7" s="16" t="inlineStr"/>
      <c r="H7" s="16" t="inlineStr"/>
      <c r="I7" s="16" t="inlineStr"/>
      <c r="J7" s="16" t="inlineStr"/>
      <c r="K7" s="16" t="inlineStr">
        <is>
          <t>Confirmed — Yet to Start</t>
        </is>
      </c>
    </row>
    <row r="8" ht="22" customHeight="1">
      <c r="B8" s="8" t="inlineStr">
        <is>
          <t>INT/2024/0004</t>
        </is>
      </c>
      <c r="C8" s="9" t="inlineStr"/>
      <c r="D8" s="10" t="inlineStr"/>
      <c r="E8" s="9" t="inlineStr"/>
      <c r="F8" s="10" t="inlineStr"/>
      <c r="G8" s="10" t="inlineStr"/>
      <c r="H8" s="10" t="inlineStr"/>
      <c r="I8" s="10" t="inlineStr"/>
      <c r="J8" s="10" t="inlineStr"/>
      <c r="K8" s="10" t="inlineStr">
        <is>
          <t>Offered — Pending Join</t>
        </is>
      </c>
    </row>
    <row r="9" ht="22" customHeight="1">
      <c r="B9" s="14" t="inlineStr">
        <is>
          <t>INT/2024/0005</t>
        </is>
      </c>
      <c r="C9" s="15" t="inlineStr"/>
      <c r="D9" s="16" t="inlineStr"/>
      <c r="E9" s="15" t="inlineStr"/>
      <c r="F9" s="16" t="inlineStr"/>
      <c r="G9" s="16" t="inlineStr"/>
      <c r="H9" s="16" t="inlineStr"/>
      <c r="I9" s="16" t="inlineStr"/>
      <c r="J9" s="16" t="inlineStr"/>
      <c r="K9" s="16" t="inlineStr">
        <is>
          <t>Not Completed</t>
        </is>
      </c>
    </row>
    <row r="10" ht="22" customHeight="1">
      <c r="B10" s="8" t="inlineStr">
        <is>
          <t>INT/2024/0006</t>
        </is>
      </c>
      <c r="C10" s="9" t="inlineStr"/>
      <c r="D10" s="10" t="inlineStr"/>
      <c r="E10" s="9" t="inlineStr"/>
      <c r="F10" s="10" t="inlineStr"/>
      <c r="G10" s="10" t="inlineStr"/>
      <c r="H10" s="10" t="inlineStr"/>
      <c r="I10" s="10" t="inlineStr"/>
      <c r="J10" s="10" t="inlineStr"/>
      <c r="K10" s="10" t="inlineStr">
        <is>
          <t>Extended</t>
        </is>
      </c>
    </row>
    <row r="11" ht="22" customHeight="1">
      <c r="B11" s="14" t="inlineStr">
        <is>
          <t>INT/2024/0007</t>
        </is>
      </c>
      <c r="C11" s="15" t="inlineStr"/>
      <c r="D11" s="16" t="inlineStr"/>
      <c r="E11" s="15" t="inlineStr"/>
      <c r="F11" s="16" t="inlineStr"/>
      <c r="G11" s="16" t="inlineStr"/>
      <c r="H11" s="16" t="inlineStr"/>
      <c r="I11" s="16" t="inlineStr"/>
      <c r="J11" s="16" t="inlineStr"/>
      <c r="K11" s="16" t="inlineStr">
        <is>
          <t>Completed</t>
        </is>
      </c>
    </row>
    <row r="12" ht="22" customHeight="1">
      <c r="B12" s="8" t="inlineStr">
        <is>
          <t>INT/2024/0008</t>
        </is>
      </c>
      <c r="C12" s="9" t="inlineStr"/>
      <c r="D12" s="10" t="inlineStr"/>
      <c r="E12" s="9" t="inlineStr"/>
      <c r="F12" s="10" t="inlineStr"/>
      <c r="G12" s="10" t="inlineStr"/>
      <c r="H12" s="10" t="inlineStr"/>
      <c r="I12" s="10" t="inlineStr"/>
      <c r="J12" s="10" t="inlineStr"/>
      <c r="K12" s="10" t="inlineStr">
        <is>
          <t>Ongoing</t>
        </is>
      </c>
    </row>
    <row r="13" ht="22" customHeight="1">
      <c r="B13" s="14" t="inlineStr">
        <is>
          <t>INT/2024/0009</t>
        </is>
      </c>
      <c r="C13" s="15" t="inlineStr"/>
      <c r="D13" s="16" t="inlineStr"/>
      <c r="E13" s="15" t="inlineStr"/>
      <c r="F13" s="16" t="inlineStr"/>
      <c r="G13" s="16" t="inlineStr"/>
      <c r="H13" s="16" t="inlineStr"/>
      <c r="I13" s="16" t="inlineStr"/>
      <c r="J13" s="16" t="inlineStr"/>
      <c r="K13" s="16" t="inlineStr">
        <is>
          <t>Confirmed — Yet to Start</t>
        </is>
      </c>
    </row>
    <row r="14" ht="22" customHeight="1">
      <c r="B14" s="8" t="inlineStr">
        <is>
          <t>INT/2024/0010</t>
        </is>
      </c>
      <c r="C14" s="9" t="inlineStr"/>
      <c r="D14" s="10" t="inlineStr"/>
      <c r="E14" s="9" t="inlineStr"/>
      <c r="F14" s="10" t="inlineStr"/>
      <c r="G14" s="10" t="inlineStr"/>
      <c r="H14" s="10" t="inlineStr"/>
      <c r="I14" s="10" t="inlineStr"/>
      <c r="J14" s="10" t="inlineStr"/>
      <c r="K14" s="10" t="inlineStr">
        <is>
          <t>Offered — Pending Join</t>
        </is>
      </c>
    </row>
    <row r="15" ht="22" customHeight="1">
      <c r="B15" s="14" t="inlineStr">
        <is>
          <t>INT/2024/0011</t>
        </is>
      </c>
      <c r="C15" s="15" t="inlineStr"/>
      <c r="D15" s="16" t="inlineStr"/>
      <c r="E15" s="15" t="inlineStr"/>
      <c r="F15" s="16" t="inlineStr"/>
      <c r="G15" s="16" t="inlineStr"/>
      <c r="H15" s="16" t="inlineStr"/>
      <c r="I15" s="16" t="inlineStr"/>
      <c r="J15" s="16" t="inlineStr"/>
      <c r="K15" s="16" t="inlineStr">
        <is>
          <t>Not Completed</t>
        </is>
      </c>
    </row>
    <row r="16" ht="22" customHeight="1">
      <c r="B16" s="8" t="inlineStr">
        <is>
          <t>INT/2024/0012</t>
        </is>
      </c>
      <c r="C16" s="9" t="inlineStr"/>
      <c r="D16" s="10" t="inlineStr"/>
      <c r="E16" s="9" t="inlineStr"/>
      <c r="F16" s="10" t="inlineStr"/>
      <c r="G16" s="10" t="inlineStr"/>
      <c r="H16" s="10" t="inlineStr"/>
      <c r="I16" s="10" t="inlineStr"/>
      <c r="J16" s="10" t="inlineStr"/>
      <c r="K16" s="10" t="inlineStr">
        <is>
          <t>Extended</t>
        </is>
      </c>
    </row>
    <row r="17" ht="22" customHeight="1">
      <c r="B17" s="14" t="inlineStr">
        <is>
          <t>INT/2024/0013</t>
        </is>
      </c>
      <c r="C17" s="15" t="inlineStr"/>
      <c r="D17" s="16" t="inlineStr"/>
      <c r="E17" s="15" t="inlineStr"/>
      <c r="F17" s="16" t="inlineStr"/>
      <c r="G17" s="16" t="inlineStr"/>
      <c r="H17" s="16" t="inlineStr"/>
      <c r="I17" s="16" t="inlineStr"/>
      <c r="J17" s="16" t="inlineStr"/>
      <c r="K17" s="16" t="inlineStr">
        <is>
          <t>Completed</t>
        </is>
      </c>
    </row>
    <row r="18" ht="22" customHeight="1">
      <c r="B18" s="8" t="inlineStr">
        <is>
          <t>INT/2024/0014</t>
        </is>
      </c>
      <c r="C18" s="9" t="inlineStr"/>
      <c r="D18" s="10" t="inlineStr"/>
      <c r="E18" s="9" t="inlineStr"/>
      <c r="F18" s="10" t="inlineStr"/>
      <c r="G18" s="10" t="inlineStr"/>
      <c r="H18" s="10" t="inlineStr"/>
      <c r="I18" s="10" t="inlineStr"/>
      <c r="J18" s="10" t="inlineStr"/>
      <c r="K18" s="10" t="inlineStr">
        <is>
          <t>Ongoing</t>
        </is>
      </c>
    </row>
    <row r="19" ht="22" customHeight="1">
      <c r="B19" s="14" t="inlineStr">
        <is>
          <t>INT/2025/0015</t>
        </is>
      </c>
      <c r="C19" s="15" t="inlineStr"/>
      <c r="D19" s="16" t="inlineStr"/>
      <c r="E19" s="15" t="inlineStr"/>
      <c r="F19" s="16" t="inlineStr"/>
      <c r="G19" s="16" t="inlineStr"/>
      <c r="H19" s="16" t="inlineStr"/>
      <c r="I19" s="16" t="inlineStr"/>
      <c r="J19" s="16" t="inlineStr"/>
      <c r="K19" s="16" t="inlineStr">
        <is>
          <t>Confirmed — Yet to Start</t>
        </is>
      </c>
    </row>
    <row r="20" ht="22" customHeight="1">
      <c r="B20" s="8" t="inlineStr">
        <is>
          <t>INT/2025/0016</t>
        </is>
      </c>
      <c r="C20" s="9" t="inlineStr"/>
      <c r="D20" s="10" t="inlineStr"/>
      <c r="E20" s="9" t="inlineStr"/>
      <c r="F20" s="10" t="inlineStr"/>
      <c r="G20" s="10" t="inlineStr"/>
      <c r="H20" s="10" t="inlineStr"/>
      <c r="I20" s="10" t="inlineStr"/>
      <c r="J20" s="10" t="inlineStr"/>
      <c r="K20" s="10" t="inlineStr">
        <is>
          <t>Offered — Pending Join</t>
        </is>
      </c>
    </row>
    <row r="21" ht="22" customHeight="1">
      <c r="B21" s="14" t="inlineStr">
        <is>
          <t>INT/2025/0017</t>
        </is>
      </c>
      <c r="C21" s="15" t="inlineStr"/>
      <c r="D21" s="16" t="inlineStr"/>
      <c r="E21" s="15" t="inlineStr"/>
      <c r="F21" s="16" t="inlineStr"/>
      <c r="G21" s="16" t="inlineStr"/>
      <c r="H21" s="16" t="inlineStr"/>
      <c r="I21" s="16" t="inlineStr"/>
      <c r="J21" s="16" t="inlineStr"/>
      <c r="K21" s="16" t="inlineStr">
        <is>
          <t>Not Completed</t>
        </is>
      </c>
    </row>
    <row r="22" ht="22" customHeight="1">
      <c r="B22" s="8" t="inlineStr">
        <is>
          <t>INT/2025/0018</t>
        </is>
      </c>
      <c r="C22" s="9" t="inlineStr"/>
      <c r="D22" s="10" t="inlineStr"/>
      <c r="E22" s="9" t="inlineStr"/>
      <c r="F22" s="10" t="inlineStr"/>
      <c r="G22" s="10" t="inlineStr"/>
      <c r="H22" s="10" t="inlineStr"/>
      <c r="I22" s="10" t="inlineStr"/>
      <c r="J22" s="10" t="inlineStr"/>
      <c r="K22" s="10" t="inlineStr">
        <is>
          <t>Extended</t>
        </is>
      </c>
    </row>
    <row r="23" ht="22" customHeight="1">
      <c r="B23" s="14" t="inlineStr">
        <is>
          <t>INT/2025/0019</t>
        </is>
      </c>
      <c r="C23" s="15" t="inlineStr"/>
      <c r="D23" s="16" t="inlineStr"/>
      <c r="E23" s="15" t="inlineStr"/>
      <c r="F23" s="16" t="inlineStr"/>
      <c r="G23" s="16" t="inlineStr"/>
      <c r="H23" s="16" t="inlineStr"/>
      <c r="I23" s="16" t="inlineStr"/>
      <c r="J23" s="16" t="inlineStr"/>
      <c r="K23" s="16" t="inlineStr">
        <is>
          <t>Completed</t>
        </is>
      </c>
    </row>
    <row r="24" ht="22" customHeight="1">
      <c r="B24" s="8" t="inlineStr">
        <is>
          <t>INT/2025/0020</t>
        </is>
      </c>
      <c r="C24" s="9" t="inlineStr"/>
      <c r="D24" s="10" t="inlineStr"/>
      <c r="E24" s="9" t="inlineStr"/>
      <c r="F24" s="10" t="inlineStr"/>
      <c r="G24" s="10" t="inlineStr"/>
      <c r="H24" s="10" t="inlineStr"/>
      <c r="I24" s="10" t="inlineStr"/>
      <c r="J24" s="10" t="inlineStr"/>
      <c r="K24" s="10" t="inlineStr">
        <is>
          <t>Ongoing</t>
        </is>
      </c>
    </row>
    <row r="25" ht="22" customHeight="1">
      <c r="B25" s="14" t="inlineStr">
        <is>
          <t>INT/2025/0021</t>
        </is>
      </c>
      <c r="C25" s="15" t="inlineStr"/>
      <c r="D25" s="16" t="inlineStr"/>
      <c r="E25" s="15" t="inlineStr"/>
      <c r="F25" s="16" t="inlineStr"/>
      <c r="G25" s="16" t="inlineStr"/>
      <c r="H25" s="16" t="inlineStr"/>
      <c r="I25" s="16" t="inlineStr"/>
      <c r="J25" s="16" t="inlineStr"/>
      <c r="K25" s="16" t="inlineStr">
        <is>
          <t>Confirmed — Yet to Start</t>
        </is>
      </c>
    </row>
    <row r="26" ht="22" customHeight="1">
      <c r="B26" s="8" t="inlineStr">
        <is>
          <t>INT/2025/0022</t>
        </is>
      </c>
      <c r="C26" s="9" t="inlineStr"/>
      <c r="D26" s="10" t="inlineStr"/>
      <c r="E26" s="9" t="inlineStr"/>
      <c r="F26" s="10" t="inlineStr"/>
      <c r="G26" s="10" t="inlineStr"/>
      <c r="H26" s="10" t="inlineStr"/>
      <c r="I26" s="10" t="inlineStr"/>
      <c r="J26" s="10" t="inlineStr"/>
      <c r="K26" s="10" t="inlineStr">
        <is>
          <t>Offered — Pending Join</t>
        </is>
      </c>
    </row>
    <row r="27" ht="22" customHeight="1">
      <c r="B27" s="14" t="inlineStr">
        <is>
          <t>INT/2025/0023</t>
        </is>
      </c>
      <c r="C27" s="15" t="inlineStr"/>
      <c r="D27" s="16" t="inlineStr"/>
      <c r="E27" s="15" t="inlineStr"/>
      <c r="F27" s="16" t="inlineStr"/>
      <c r="G27" s="16" t="inlineStr"/>
      <c r="H27" s="16" t="inlineStr"/>
      <c r="I27" s="16" t="inlineStr"/>
      <c r="J27" s="16" t="inlineStr"/>
      <c r="K27" s="16" t="inlineStr">
        <is>
          <t>Not Completed</t>
        </is>
      </c>
    </row>
    <row r="28" ht="22" customHeight="1">
      <c r="B28" s="8" t="inlineStr">
        <is>
          <t>INT/2025/0024</t>
        </is>
      </c>
      <c r="C28" s="9" t="inlineStr"/>
      <c r="D28" s="10" t="inlineStr"/>
      <c r="E28" s="9" t="inlineStr"/>
      <c r="F28" s="10" t="inlineStr"/>
      <c r="G28" s="10" t="inlineStr"/>
      <c r="H28" s="10" t="inlineStr"/>
      <c r="I28" s="10" t="inlineStr"/>
      <c r="J28" s="10" t="inlineStr"/>
      <c r="K28" s="10" t="inlineStr">
        <is>
          <t>Extended</t>
        </is>
      </c>
    </row>
    <row r="29" ht="22" customHeight="1">
      <c r="B29" s="14" t="inlineStr">
        <is>
          <t>INT/2025/0025</t>
        </is>
      </c>
      <c r="C29" s="15" t="inlineStr"/>
      <c r="D29" s="16" t="inlineStr"/>
      <c r="E29" s="15" t="inlineStr"/>
      <c r="F29" s="16" t="inlineStr"/>
      <c r="G29" s="16" t="inlineStr"/>
      <c r="H29" s="16" t="inlineStr"/>
      <c r="I29" s="16" t="inlineStr"/>
      <c r="J29" s="16" t="inlineStr"/>
      <c r="K29" s="16" t="inlineStr">
        <is>
          <t>Completed</t>
        </is>
      </c>
    </row>
    <row r="30" ht="22" customHeight="1">
      <c r="B30" s="8" t="inlineStr">
        <is>
          <t>INT/2025/0026</t>
        </is>
      </c>
      <c r="C30" s="9" t="inlineStr"/>
      <c r="D30" s="10" t="inlineStr"/>
      <c r="E30" s="9" t="inlineStr"/>
      <c r="F30" s="10" t="inlineStr"/>
      <c r="G30" s="10" t="inlineStr"/>
      <c r="H30" s="10" t="inlineStr"/>
      <c r="I30" s="10" t="inlineStr"/>
      <c r="J30" s="10" t="inlineStr"/>
      <c r="K30" s="10" t="inlineStr">
        <is>
          <t>Ongoing</t>
        </is>
      </c>
    </row>
    <row r="31" ht="22" customHeight="1">
      <c r="B31" s="14" t="inlineStr">
        <is>
          <t>INT/2025/0027</t>
        </is>
      </c>
      <c r="C31" s="15" t="inlineStr"/>
      <c r="D31" s="16" t="inlineStr"/>
      <c r="E31" s="15" t="inlineStr"/>
      <c r="F31" s="16" t="inlineStr"/>
      <c r="G31" s="16" t="inlineStr"/>
      <c r="H31" s="16" t="inlineStr"/>
      <c r="I31" s="16" t="inlineStr"/>
      <c r="J31" s="16" t="inlineStr"/>
      <c r="K31" s="16" t="inlineStr">
        <is>
          <t>Confirmed — Yet to Start</t>
        </is>
      </c>
    </row>
    <row r="32" ht="22" customHeight="1">
      <c r="B32" s="8" t="inlineStr">
        <is>
          <t>INT/2025/0028</t>
        </is>
      </c>
      <c r="C32" s="9" t="inlineStr"/>
      <c r="D32" s="10" t="inlineStr"/>
      <c r="E32" s="9" t="inlineStr"/>
      <c r="F32" s="10" t="inlineStr"/>
      <c r="G32" s="10" t="inlineStr"/>
      <c r="H32" s="10" t="inlineStr"/>
      <c r="I32" s="10" t="inlineStr"/>
      <c r="J32" s="10" t="inlineStr"/>
      <c r="K32" s="10" t="inlineStr">
        <is>
          <t>Offered — Pending Join</t>
        </is>
      </c>
    </row>
    <row r="33" ht="22" customHeight="1"/>
    <row r="34" ht="24" customHeight="1">
      <c r="B34" s="43" t="inlineStr">
        <is>
          <t>INTERNSHIP PROGRAMME SUMMARY</t>
        </is>
      </c>
    </row>
    <row r="35" ht="22" customHeight="1">
      <c r="B35" s="44" t="inlineStr">
        <is>
          <t>Department</t>
        </is>
      </c>
      <c r="C35" s="44" t="inlineStr">
        <is>
          <t>Eligible
Students</t>
        </is>
      </c>
      <c r="D35" s="44" t="inlineStr">
        <is>
          <t>Secured
Internship</t>
        </is>
      </c>
      <c r="E35" s="44" t="inlineStr">
        <is>
          <t>Placement %</t>
        </is>
      </c>
      <c r="F35" s="44" t="inlineStr">
        <is>
          <t>With
Stipend</t>
        </is>
      </c>
      <c r="G35" s="44" t="inlineStr">
        <is>
          <t>Avg Stipend
(₹/month)</t>
        </is>
      </c>
      <c r="H35" s="44" t="inlineStr">
        <is>
          <t>Top Recruiting
Organisation</t>
        </is>
      </c>
      <c r="I35" s="44" t="inlineStr">
        <is>
          <t>Duration
(Avg Weeks)</t>
        </is>
      </c>
    </row>
    <row r="36" ht="22" customHeight="1">
      <c r="B36" s="45" t="inlineStr">
        <is>
          <t>CSE</t>
        </is>
      </c>
      <c r="C36" s="45" t="inlineStr"/>
      <c r="D36" s="45" t="inlineStr"/>
      <c r="E36" s="45">
        <f>IFERROR(ROUND(D36/C36*100,1),"")</f>
        <v/>
      </c>
      <c r="F36" s="45" t="inlineStr"/>
      <c r="G36" s="45" t="inlineStr"/>
      <c r="H36" s="46" t="inlineStr"/>
      <c r="I36" s="45" t="inlineStr"/>
      <c r="J36" s="47" t="n"/>
      <c r="K36" s="47" t="n"/>
    </row>
    <row r="37" ht="22" customHeight="1">
      <c r="B37" s="10" t="inlineStr">
        <is>
          <t>ECE</t>
        </is>
      </c>
      <c r="C37" s="10" t="inlineStr"/>
      <c r="D37" s="10" t="inlineStr"/>
      <c r="E37" s="10">
        <f>IFERROR(ROUND(D37/C37*100,1),"")</f>
        <v/>
      </c>
      <c r="F37" s="10" t="inlineStr"/>
      <c r="G37" s="10" t="inlineStr"/>
      <c r="H37" s="9" t="inlineStr"/>
      <c r="I37" s="10" t="inlineStr"/>
      <c r="J37" s="41" t="n"/>
      <c r="K37" s="41" t="n"/>
    </row>
    <row r="38" ht="22" customHeight="1">
      <c r="B38" s="45" t="inlineStr">
        <is>
          <t>EEE</t>
        </is>
      </c>
      <c r="C38" s="45" t="inlineStr"/>
      <c r="D38" s="45" t="inlineStr"/>
      <c r="E38" s="45">
        <f>IFERROR(ROUND(D38/C38*100,1),"")</f>
        <v/>
      </c>
      <c r="F38" s="45" t="inlineStr"/>
      <c r="G38" s="45" t="inlineStr"/>
      <c r="H38" s="46" t="inlineStr"/>
      <c r="I38" s="45" t="inlineStr"/>
      <c r="J38" s="47" t="n"/>
      <c r="K38" s="47" t="n"/>
    </row>
    <row r="39" ht="22" customHeight="1">
      <c r="B39" s="10" t="inlineStr">
        <is>
          <t>MECH</t>
        </is>
      </c>
      <c r="C39" s="10" t="inlineStr"/>
      <c r="D39" s="10" t="inlineStr"/>
      <c r="E39" s="10">
        <f>IFERROR(ROUND(D39/C39*100,1),"")</f>
        <v/>
      </c>
      <c r="F39" s="10" t="inlineStr"/>
      <c r="G39" s="10" t="inlineStr"/>
      <c r="H39" s="9" t="inlineStr"/>
      <c r="I39" s="10" t="inlineStr"/>
      <c r="J39" s="41" t="n"/>
      <c r="K39" s="41" t="n"/>
    </row>
    <row r="40" ht="22" customHeight="1">
      <c r="B40" s="45" t="inlineStr">
        <is>
          <t>CIVIL</t>
        </is>
      </c>
      <c r="C40" s="45" t="inlineStr"/>
      <c r="D40" s="45" t="inlineStr"/>
      <c r="E40" s="45">
        <f>IFERROR(ROUND(D40/C40*100,1),"")</f>
        <v/>
      </c>
      <c r="F40" s="45" t="inlineStr"/>
      <c r="G40" s="45" t="inlineStr"/>
      <c r="H40" s="46" t="inlineStr"/>
      <c r="I40" s="45" t="inlineStr"/>
      <c r="J40" s="47" t="n"/>
      <c r="K40" s="47" t="n"/>
    </row>
    <row r="41" ht="22" customHeight="1">
      <c r="B41" s="10" t="inlineStr">
        <is>
          <t>MBA</t>
        </is>
      </c>
      <c r="C41" s="10" t="inlineStr"/>
      <c r="D41" s="10" t="inlineStr"/>
      <c r="E41" s="10">
        <f>IFERROR(ROUND(D41/C41*100,1),"")</f>
        <v/>
      </c>
      <c r="F41" s="10" t="inlineStr"/>
      <c r="G41" s="10" t="inlineStr"/>
      <c r="H41" s="9" t="inlineStr"/>
      <c r="I41" s="10" t="inlineStr"/>
      <c r="J41" s="41" t="n"/>
      <c r="K41" s="41" t="n"/>
    </row>
    <row r="42">
      <c r="B42" s="45" t="inlineStr">
        <is>
          <t>MCA</t>
        </is>
      </c>
      <c r="C42" s="45" t="inlineStr"/>
      <c r="D42" s="45" t="inlineStr"/>
      <c r="E42" s="45">
        <f>IFERROR(ROUND(D42/C42*100,1),"")</f>
        <v/>
      </c>
      <c r="F42" s="45" t="inlineStr"/>
      <c r="G42" s="45" t="inlineStr"/>
      <c r="H42" s="46" t="inlineStr"/>
      <c r="I42" s="45" t="inlineStr"/>
      <c r="J42" s="47" t="n"/>
      <c r="K42" s="47" t="n"/>
    </row>
    <row r="43">
      <c r="B43" s="10" t="inlineStr">
        <is>
          <t>S&amp;H</t>
        </is>
      </c>
      <c r="C43" s="10" t="inlineStr"/>
      <c r="D43" s="10" t="inlineStr"/>
      <c r="E43" s="10">
        <f>IFERROR(ROUND(D43/C43*100,1),"")</f>
        <v/>
      </c>
      <c r="F43" s="10" t="inlineStr"/>
      <c r="G43" s="10" t="inlineStr"/>
      <c r="H43" s="9" t="inlineStr"/>
      <c r="I43" s="10" t="inlineStr"/>
      <c r="J43" s="41" t="n"/>
      <c r="K43" s="41" t="n"/>
    </row>
    <row r="44">
      <c r="B44" s="39" t="inlineStr">
        <is>
          <t>INSTITUTION</t>
        </is>
      </c>
      <c r="C44" s="39" t="inlineStr"/>
      <c r="D44" s="39" t="inlineStr"/>
      <c r="E44" s="39">
        <f>IFERROR(ROUND(D44/C44*100,1),"")</f>
        <v/>
      </c>
      <c r="F44" s="39" t="inlineStr"/>
      <c r="G44" s="39" t="inlineStr"/>
      <c r="H44" s="24" t="inlineStr"/>
      <c r="I44" s="39" t="inlineStr"/>
      <c r="J44" s="42" t="n"/>
      <c r="K44" s="42" t="n"/>
    </row>
  </sheetData>
  <mergeCells count="3">
    <mergeCell ref="B34:K34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20" customWidth="1" min="4" max="4"/>
    <col width="20" customWidth="1" min="5" max="5"/>
    <col width="3" customWidth="1" min="6" max="6"/>
  </cols>
  <sheetData>
    <row r="1" ht="10" customHeight="1"/>
    <row r="2" ht="52" customHeight="1">
      <c r="B2" s="18" t="inlineStr">
        <is>
          <t>IIPC-08: STUDENT INTERNSHIP MONITORING FORM</t>
        </is>
      </c>
    </row>
    <row r="3" ht="25" customHeight="1">
      <c r="B3" s="2" t="inlineStr">
        <is>
          <t>Internship Ref.: _______  IIPC Coordinator: ___________________  Faculty Mentor: ___________________</t>
        </is>
      </c>
    </row>
    <row r="4" ht="24" customHeight="1">
      <c r="B4" s="20" t="inlineStr">
        <is>
          <t>SECTION A — INTERNSHIP DETAILS</t>
        </is>
      </c>
    </row>
    <row r="5" ht="28" customHeight="1">
      <c r="B5" s="48" t="inlineStr">
        <is>
          <t>Student Name &amp; Roll No.:</t>
        </is>
      </c>
      <c r="C5" s="9" t="n"/>
      <c r="D5" s="80" t="n"/>
      <c r="E5" s="81" t="n"/>
    </row>
    <row r="6" ht="28" customHeight="1">
      <c r="B6" s="48" t="inlineStr">
        <is>
          <t>Programme / Branch / Year:</t>
        </is>
      </c>
      <c r="C6" s="9" t="n"/>
      <c r="D6" s="80" t="n"/>
      <c r="E6" s="81" t="n"/>
    </row>
    <row r="7" ht="28" customHeight="1">
      <c r="B7" s="48" t="inlineStr">
        <is>
          <t>Organisation Name:</t>
        </is>
      </c>
      <c r="C7" s="9" t="n"/>
      <c r="D7" s="80" t="n"/>
      <c r="E7" s="81" t="n"/>
    </row>
    <row r="8" ht="28" customHeight="1">
      <c r="B8" s="48" t="inlineStr">
        <is>
          <t>Department / Division:</t>
        </is>
      </c>
      <c r="C8" s="9" t="n"/>
      <c r="D8" s="80" t="n"/>
      <c r="E8" s="81" t="n"/>
    </row>
    <row r="9" ht="28" customHeight="1">
      <c r="B9" s="48" t="inlineStr">
        <is>
          <t>Industry Mentor Name &amp; Contact:</t>
        </is>
      </c>
      <c r="C9" s="9" t="n"/>
      <c r="D9" s="80" t="n"/>
      <c r="E9" s="81" t="n"/>
    </row>
    <row r="10" ht="28" customHeight="1">
      <c r="B10" s="48" t="inlineStr">
        <is>
          <t>Internship Duration:</t>
        </is>
      </c>
      <c r="C10" s="49" t="inlineStr">
        <is>
          <t>From: _______  To: _______  Total Weeks: _______</t>
        </is>
      </c>
      <c r="D10" s="80" t="n"/>
      <c r="E10" s="81" t="n"/>
    </row>
    <row r="11" ht="28" customHeight="1">
      <c r="B11" s="48" t="inlineStr">
        <is>
          <t>Work Mode:</t>
        </is>
      </c>
      <c r="C11" s="49" t="inlineStr">
        <is>
          <t>[ ] On-site  [ ] Remote  [ ] Hybrid</t>
        </is>
      </c>
      <c r="D11" s="80" t="n"/>
      <c r="E11" s="81" t="n"/>
    </row>
    <row r="12" ht="28" customHeight="1">
      <c r="B12" s="48" t="inlineStr">
        <is>
          <t>Stipend:</t>
        </is>
      </c>
      <c r="C12" s="49" t="inlineStr">
        <is>
          <t>[ ] Yes — ₹ _______ / month   [ ] No</t>
        </is>
      </c>
      <c r="D12" s="80" t="n"/>
      <c r="E12" s="81" t="n"/>
    </row>
    <row r="13" ht="28" customHeight="1">
      <c r="B13" s="48" t="inlineStr">
        <is>
          <t>Internship Type:</t>
        </is>
      </c>
      <c r="C13" s="49" t="inlineStr">
        <is>
          <t>[ ] Mandatory (Curriculum)  [ ] Voluntary  [ ] Summer  [ ] Winter  [ ] Year-round</t>
        </is>
      </c>
      <c r="D13" s="80" t="n"/>
      <c r="E13" s="81" t="n"/>
    </row>
    <row r="14" ht="28" customHeight="1">
      <c r="B14" s="48" t="inlineStr">
        <is>
          <t>Project / Work Assigned:</t>
        </is>
      </c>
      <c r="C14" s="9" t="n"/>
      <c r="D14" s="80" t="n"/>
      <c r="E14" s="81" t="n"/>
    </row>
    <row r="15" ht="28" customHeight="1"/>
    <row r="16" ht="24" customHeight="1">
      <c r="B16" s="35" t="inlineStr">
        <is>
          <t>SECTION B — WEEKLY PROGRESS LOG</t>
        </is>
      </c>
    </row>
    <row r="17" ht="28" customHeight="1">
      <c r="B17" s="31" t="inlineStr">
        <is>
          <t>Week No.</t>
        </is>
      </c>
      <c r="C17" s="31" t="inlineStr">
        <is>
          <t>Key Activities / Tasks</t>
        </is>
      </c>
      <c r="D17" s="31" t="inlineStr">
        <is>
          <t>Skills Applied / Learnt</t>
        </is>
      </c>
      <c r="E17" s="31" t="inlineStr">
        <is>
          <t>Issues / Observations</t>
        </is>
      </c>
    </row>
    <row r="18" ht="32" customHeight="1">
      <c r="B18" s="32" t="inlineStr">
        <is>
          <t>Week 1</t>
        </is>
      </c>
      <c r="C18" s="33" t="inlineStr"/>
      <c r="D18" s="33" t="inlineStr"/>
      <c r="E18" s="33" t="inlineStr"/>
    </row>
    <row r="19" ht="32" customHeight="1">
      <c r="B19" s="8" t="inlineStr">
        <is>
          <t>Week 2</t>
        </is>
      </c>
      <c r="C19" s="9" t="inlineStr"/>
      <c r="D19" s="9" t="inlineStr"/>
      <c r="E19" s="9" t="inlineStr"/>
    </row>
    <row r="20" ht="32" customHeight="1">
      <c r="B20" s="32" t="inlineStr">
        <is>
          <t>Week 3</t>
        </is>
      </c>
      <c r="C20" s="33" t="inlineStr"/>
      <c r="D20" s="33" t="inlineStr"/>
      <c r="E20" s="33" t="inlineStr"/>
    </row>
    <row r="21" ht="32" customHeight="1">
      <c r="B21" s="8" t="inlineStr">
        <is>
          <t>Week 4</t>
        </is>
      </c>
      <c r="C21" s="9" t="inlineStr"/>
      <c r="D21" s="9" t="inlineStr"/>
      <c r="E21" s="9" t="inlineStr"/>
    </row>
    <row r="22" ht="32" customHeight="1">
      <c r="B22" s="32" t="inlineStr">
        <is>
          <t>Week 5</t>
        </is>
      </c>
      <c r="C22" s="33" t="inlineStr"/>
      <c r="D22" s="33" t="inlineStr"/>
      <c r="E22" s="33" t="inlineStr"/>
    </row>
    <row r="23" ht="32" customHeight="1">
      <c r="B23" s="8" t="inlineStr">
        <is>
          <t>Week 6</t>
        </is>
      </c>
      <c r="C23" s="9" t="inlineStr"/>
      <c r="D23" s="9" t="inlineStr"/>
      <c r="E23" s="9" t="inlineStr"/>
    </row>
    <row r="24" ht="32" customHeight="1">
      <c r="B24" s="32" t="inlineStr">
        <is>
          <t>Week 7</t>
        </is>
      </c>
      <c r="C24" s="33" t="inlineStr"/>
      <c r="D24" s="33" t="inlineStr"/>
      <c r="E24" s="33" t="inlineStr"/>
    </row>
    <row r="25" ht="32" customHeight="1">
      <c r="B25" s="8" t="inlineStr">
        <is>
          <t>Week 8</t>
        </is>
      </c>
      <c r="C25" s="9" t="inlineStr"/>
      <c r="D25" s="9" t="inlineStr"/>
      <c r="E25" s="9" t="inlineStr"/>
    </row>
    <row r="26" ht="32" customHeight="1">
      <c r="B26" s="32" t="inlineStr">
        <is>
          <t>Week 9</t>
        </is>
      </c>
      <c r="C26" s="33" t="inlineStr"/>
      <c r="D26" s="33" t="inlineStr"/>
      <c r="E26" s="33" t="inlineStr"/>
    </row>
    <row r="27" ht="32" customHeight="1">
      <c r="B27" s="8" t="inlineStr">
        <is>
          <t>Week 10</t>
        </is>
      </c>
      <c r="C27" s="9" t="inlineStr"/>
      <c r="D27" s="9" t="inlineStr"/>
      <c r="E27" s="9" t="inlineStr"/>
    </row>
    <row r="28" ht="28" customHeight="1"/>
    <row r="29" ht="24" customHeight="1">
      <c r="B29" s="43" t="inlineStr">
        <is>
          <t>SECTION C — FACULTY MENTOR REVIEW (Mid-Term &amp; End-Term)</t>
        </is>
      </c>
    </row>
    <row r="30" ht="28" customHeight="1">
      <c r="B30" s="50" t="inlineStr">
        <is>
          <t>Student reporting regularity (attendance):</t>
        </is>
      </c>
      <c r="C30" s="49" t="inlineStr">
        <is>
          <t>[ ] Regular  [ ] Occasional absence  [ ] Poor attendance</t>
        </is>
      </c>
      <c r="D30" s="80" t="n"/>
      <c r="E30" s="81" t="n"/>
    </row>
    <row r="31" ht="28" customHeight="1">
      <c r="B31" s="50" t="inlineStr">
        <is>
          <t>Quality of weekly progress reports:</t>
        </is>
      </c>
      <c r="C31" s="49" t="inlineStr">
        <is>
          <t>[ ] Excellent  [ ] Good  [ ] Average  [ ] Poor</t>
        </is>
      </c>
      <c r="D31" s="80" t="n"/>
      <c r="E31" s="81" t="n"/>
    </row>
    <row r="32" ht="28" customHeight="1">
      <c r="B32" s="50" t="inlineStr">
        <is>
          <t>Student engagement with project:</t>
        </is>
      </c>
      <c r="C32" s="49" t="inlineStr">
        <is>
          <t>[ ] Highly engaged  [ ] Moderate  [ ] Low engagement</t>
        </is>
      </c>
      <c r="D32" s="80" t="n"/>
      <c r="E32" s="81" t="n"/>
    </row>
    <row r="33" ht="28" customHeight="1">
      <c r="B33" s="50" t="inlineStr">
        <is>
          <t>Learning evident in reports:</t>
        </is>
      </c>
      <c r="C33" s="49" t="inlineStr">
        <is>
          <t>[ ] Significant  [ ] Moderate  [ ] Minimal</t>
        </is>
      </c>
      <c r="D33" s="80" t="n"/>
      <c r="E33" s="81" t="n"/>
    </row>
    <row r="34" ht="28" customHeight="1">
      <c r="B34" s="50" t="inlineStr">
        <is>
          <t>Industry mentor satisfaction (reported):</t>
        </is>
      </c>
      <c r="C34" s="49" t="inlineStr">
        <is>
          <t>[ ] Very satisfied  [ ] Satisfied  [ ] Neutral  [ ] Unsatisfied</t>
        </is>
      </c>
      <c r="D34" s="80" t="n"/>
      <c r="E34" s="81" t="n"/>
    </row>
    <row r="35" ht="28" customHeight="1">
      <c r="B35" s="50" t="inlineStr">
        <is>
          <t>Overall faculty assessment (/10):</t>
        </is>
      </c>
      <c r="C35" s="49" t="inlineStr">
        <is>
          <t>Mid-term: ____  End-term: ____</t>
        </is>
      </c>
      <c r="D35" s="80" t="n"/>
      <c r="E35" s="81" t="n"/>
    </row>
    <row r="36" ht="28" customHeight="1">
      <c r="B36" s="50" t="inlineStr">
        <is>
          <t>Recommended grade:</t>
        </is>
      </c>
      <c r="C36" s="49" t="inlineStr">
        <is>
          <t>[ ] A (Excellent)  [ ] B (Good)  [ ] C (Average)  [ ] D (Below Average)  [ ] F (Fail)</t>
        </is>
      </c>
      <c r="D36" s="80" t="n"/>
      <c r="E36" s="81" t="n"/>
    </row>
    <row r="37" ht="28" customHeight="1"/>
    <row r="38" ht="28" customHeight="1">
      <c r="B38" s="30" t="inlineStr">
        <is>
          <t>Faculty Mentor Sign.: ___________________    Industry Mentor Sign.: ___________________    Date: ___________________</t>
        </is>
      </c>
    </row>
    <row r="39" ht="28" customHeight="1"/>
    <row r="40" ht="28" customHeight="1"/>
    <row r="41" ht="28" customHeight="1"/>
  </sheetData>
  <mergeCells count="23">
    <mergeCell ref="C31:E31"/>
    <mergeCell ref="C9:E9"/>
    <mergeCell ref="C12:E12"/>
    <mergeCell ref="C36:E36"/>
    <mergeCell ref="C11:E11"/>
    <mergeCell ref="B4:E4"/>
    <mergeCell ref="C8:E8"/>
    <mergeCell ref="B16:E16"/>
    <mergeCell ref="B3:E3"/>
    <mergeCell ref="C7:E7"/>
    <mergeCell ref="C32:E32"/>
    <mergeCell ref="C13:E13"/>
    <mergeCell ref="B2:E2"/>
    <mergeCell ref="C30:E30"/>
    <mergeCell ref="C34:E34"/>
    <mergeCell ref="C6:E6"/>
    <mergeCell ref="C33:E33"/>
    <mergeCell ref="C14:E14"/>
    <mergeCell ref="C5:E5"/>
    <mergeCell ref="B38:E38"/>
    <mergeCell ref="B29:E29"/>
    <mergeCell ref="C35:E35"/>
    <mergeCell ref="C10:E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52" customHeight="1">
      <c r="B2" s="18" t="inlineStr">
        <is>
          <t>IIPC-10: INDUSTRY FEEDBACK ON STUDENT INTERNS</t>
        </is>
      </c>
    </row>
    <row r="3" ht="25" customHeight="1">
      <c r="B3" s="2" t="inlineStr">
        <is>
          <t>Internship Ref.: _______  Organisation: ___________________  Industry Mentor: ___________________  Date: _______</t>
        </is>
      </c>
    </row>
    <row r="4" ht="22" customHeight="1">
      <c r="B4" s="51" t="inlineStr">
        <is>
          <t>Rating Scale: 1 = Poor  |  2 = Below Average  |  3 = Average  |  4 = Good  |  5 = Excellent</t>
        </is>
      </c>
    </row>
    <row r="5" ht="24" customHeight="1">
      <c r="B5" s="20" t="inlineStr">
        <is>
          <t>TECHNICAL COMPETENCY</t>
        </is>
      </c>
    </row>
    <row r="6" ht="22" customHeight="1">
      <c r="B6" s="13" t="inlineStr">
        <is>
          <t>Q.</t>
        </is>
      </c>
      <c r="C6" s="13" t="inlineStr">
        <is>
          <t>Feedback Parameter</t>
        </is>
      </c>
      <c r="D6" s="13" t="inlineStr">
        <is>
          <t>1
(Poor)</t>
        </is>
      </c>
      <c r="E6" s="13" t="inlineStr">
        <is>
          <t>2</t>
        </is>
      </c>
      <c r="F6" s="13" t="inlineStr">
        <is>
          <t>3
(Avg)</t>
        </is>
      </c>
      <c r="G6" s="13" t="inlineStr">
        <is>
          <t>4</t>
        </is>
      </c>
      <c r="H6" s="13" t="inlineStr">
        <is>
          <t>5
(Excel.)</t>
        </is>
      </c>
      <c r="I6" s="13" t="inlineStr">
        <is>
          <t>Score</t>
        </is>
      </c>
    </row>
    <row r="7" ht="22" customHeight="1">
      <c r="B7" s="14" t="inlineStr">
        <is>
          <t>F1</t>
        </is>
      </c>
      <c r="C7" s="15" t="inlineStr">
        <is>
          <t>Domain knowledge relevant to the internship project</t>
        </is>
      </c>
      <c r="D7" s="16" t="inlineStr"/>
      <c r="E7" s="16" t="inlineStr"/>
      <c r="F7" s="16" t="inlineStr"/>
      <c r="G7" s="16" t="inlineStr"/>
      <c r="H7" s="16" t="inlineStr"/>
      <c r="I7" s="52">
        <f>IFERROR(D7*1+E7*2+F7*3+G7*4+H7*5,"")</f>
        <v/>
      </c>
    </row>
    <row r="8" ht="22" customHeight="1">
      <c r="B8" s="8" t="inlineStr">
        <is>
          <t>F2</t>
        </is>
      </c>
      <c r="C8" s="9" t="inlineStr">
        <is>
          <t>Problem-solving and analytical ability</t>
        </is>
      </c>
      <c r="D8" s="10" t="inlineStr"/>
      <c r="E8" s="10" t="inlineStr"/>
      <c r="F8" s="10" t="inlineStr"/>
      <c r="G8" s="10" t="inlineStr"/>
      <c r="H8" s="10" t="inlineStr"/>
      <c r="I8" s="38">
        <f>IFERROR(D8*1+E8*2+F8*3+G8*4+H8*5,"")</f>
        <v/>
      </c>
    </row>
    <row r="9" ht="22" customHeight="1">
      <c r="B9" s="14" t="inlineStr">
        <is>
          <t>F3</t>
        </is>
      </c>
      <c r="C9" s="15" t="inlineStr">
        <is>
          <t>Proficiency with relevant tools / software / equipment</t>
        </is>
      </c>
      <c r="D9" s="16" t="inlineStr"/>
      <c r="E9" s="16" t="inlineStr"/>
      <c r="F9" s="16" t="inlineStr"/>
      <c r="G9" s="16" t="inlineStr"/>
      <c r="H9" s="16" t="inlineStr"/>
      <c r="I9" s="52">
        <f>IFERROR(D9*1+E9*2+F9*3+G9*4+H9*5,"")</f>
        <v/>
      </c>
    </row>
    <row r="10" ht="22" customHeight="1">
      <c r="B10" s="8" t="inlineStr">
        <is>
          <t>F4</t>
        </is>
      </c>
      <c r="C10" s="9" t="inlineStr">
        <is>
          <t>Quality of project deliverables / work output</t>
        </is>
      </c>
      <c r="D10" s="10" t="inlineStr"/>
      <c r="E10" s="10" t="inlineStr"/>
      <c r="F10" s="10" t="inlineStr"/>
      <c r="G10" s="10" t="inlineStr"/>
      <c r="H10" s="10" t="inlineStr"/>
      <c r="I10" s="38">
        <f>IFERROR(D10*1+E10*2+F10*3+G10*4+H10*5,"")</f>
        <v/>
      </c>
    </row>
    <row r="11" ht="22" customHeight="1">
      <c r="B11" s="14" t="inlineStr">
        <is>
          <t>F5</t>
        </is>
      </c>
      <c r="C11" s="15" t="inlineStr">
        <is>
          <t>Ability to apply classroom knowledge to real work</t>
        </is>
      </c>
      <c r="D11" s="16" t="inlineStr"/>
      <c r="E11" s="16" t="inlineStr"/>
      <c r="F11" s="16" t="inlineStr"/>
      <c r="G11" s="16" t="inlineStr"/>
      <c r="H11" s="16" t="inlineStr"/>
      <c r="I11" s="52">
        <f>IFERROR(D11*1+E11*2+F11*3+G11*4+H11*5,"")</f>
        <v/>
      </c>
    </row>
    <row r="12" ht="22" customHeight="1"/>
    <row r="13" ht="24" customHeight="1">
      <c r="B13" s="35" t="inlineStr">
        <is>
          <t>PROFESSIONAL SKILLS</t>
        </is>
      </c>
    </row>
    <row r="14" ht="22" customHeight="1">
      <c r="B14" s="31" t="inlineStr">
        <is>
          <t>Q.</t>
        </is>
      </c>
      <c r="C14" s="31" t="inlineStr">
        <is>
          <t>Feedback Parameter</t>
        </is>
      </c>
      <c r="D14" s="31" t="inlineStr">
        <is>
          <t>1
(Poor)</t>
        </is>
      </c>
      <c r="E14" s="31" t="inlineStr">
        <is>
          <t>2</t>
        </is>
      </c>
      <c r="F14" s="31" t="inlineStr">
        <is>
          <t>3
(Avg)</t>
        </is>
      </c>
      <c r="G14" s="31" t="inlineStr">
        <is>
          <t>4</t>
        </is>
      </c>
      <c r="H14" s="31" t="inlineStr">
        <is>
          <t>5
(Excel.)</t>
        </is>
      </c>
      <c r="I14" s="31" t="inlineStr">
        <is>
          <t>Score</t>
        </is>
      </c>
    </row>
    <row r="15" ht="22" customHeight="1">
      <c r="B15" s="32" t="inlineStr">
        <is>
          <t>F6</t>
        </is>
      </c>
      <c r="C15" s="33" t="inlineStr">
        <is>
          <t>Communication skills (verbal and written)</t>
        </is>
      </c>
      <c r="D15" s="34" t="inlineStr"/>
      <c r="E15" s="34" t="inlineStr"/>
      <c r="F15" s="34" t="inlineStr"/>
      <c r="G15" s="34" t="inlineStr"/>
      <c r="H15" s="34" t="inlineStr"/>
      <c r="I15" s="53">
        <f>IFERROR(D15*1+E15*2+F15*3+G15*4+H15*5,"")</f>
        <v/>
      </c>
    </row>
    <row r="16" ht="22" customHeight="1">
      <c r="B16" s="8" t="inlineStr">
        <is>
          <t>F7</t>
        </is>
      </c>
      <c r="C16" s="9" t="inlineStr">
        <is>
          <t>Teamwork and collaboration with colleagues</t>
        </is>
      </c>
      <c r="D16" s="10" t="inlineStr"/>
      <c r="E16" s="10" t="inlineStr"/>
      <c r="F16" s="10" t="inlineStr"/>
      <c r="G16" s="10" t="inlineStr"/>
      <c r="H16" s="10" t="inlineStr"/>
      <c r="I16" s="38">
        <f>IFERROR(D16*1+E16*2+F16*3+G16*4+H16*5,"")</f>
        <v/>
      </c>
    </row>
    <row r="17" ht="22" customHeight="1">
      <c r="B17" s="32" t="inlineStr">
        <is>
          <t>F8</t>
        </is>
      </c>
      <c r="C17" s="33" t="inlineStr">
        <is>
          <t>Time management and meeting deadlines</t>
        </is>
      </c>
      <c r="D17" s="34" t="inlineStr"/>
      <c r="E17" s="34" t="inlineStr"/>
      <c r="F17" s="34" t="inlineStr"/>
      <c r="G17" s="34" t="inlineStr"/>
      <c r="H17" s="34" t="inlineStr"/>
      <c r="I17" s="53">
        <f>IFERROR(D17*1+E17*2+F17*3+G17*4+H17*5,"")</f>
        <v/>
      </c>
    </row>
    <row r="18" ht="22" customHeight="1">
      <c r="B18" s="8" t="inlineStr">
        <is>
          <t>F9</t>
        </is>
      </c>
      <c r="C18" s="9" t="inlineStr">
        <is>
          <t>Initiative and self-motivation</t>
        </is>
      </c>
      <c r="D18" s="10" t="inlineStr"/>
      <c r="E18" s="10" t="inlineStr"/>
      <c r="F18" s="10" t="inlineStr"/>
      <c r="G18" s="10" t="inlineStr"/>
      <c r="H18" s="10" t="inlineStr"/>
      <c r="I18" s="38">
        <f>IFERROR(D18*1+E18*2+F18*3+G18*4+H18*5,"")</f>
        <v/>
      </c>
    </row>
    <row r="19" ht="22" customHeight="1">
      <c r="B19" s="32" t="inlineStr">
        <is>
          <t>F10</t>
        </is>
      </c>
      <c r="C19" s="33" t="inlineStr">
        <is>
          <t>Adaptability and willingness to learn</t>
        </is>
      </c>
      <c r="D19" s="34" t="inlineStr"/>
      <c r="E19" s="34" t="inlineStr"/>
      <c r="F19" s="34" t="inlineStr"/>
      <c r="G19" s="34" t="inlineStr"/>
      <c r="H19" s="34" t="inlineStr"/>
      <c r="I19" s="53">
        <f>IFERROR(D19*1+E19*2+F19*3+G19*4+H19*5,"")</f>
        <v/>
      </c>
    </row>
    <row r="20" ht="22" customHeight="1">
      <c r="B20" s="8" t="inlineStr">
        <is>
          <t>F11</t>
        </is>
      </c>
      <c r="C20" s="9" t="inlineStr">
        <is>
          <t>Professional ethics and conduct</t>
        </is>
      </c>
      <c r="D20" s="10" t="inlineStr"/>
      <c r="E20" s="10" t="inlineStr"/>
      <c r="F20" s="10" t="inlineStr"/>
      <c r="G20" s="10" t="inlineStr"/>
      <c r="H20" s="10" t="inlineStr"/>
      <c r="I20" s="38">
        <f>IFERROR(D20*1+E20*2+F20*3+G20*4+H20*5,"")</f>
        <v/>
      </c>
    </row>
    <row r="21" ht="22" customHeight="1"/>
    <row r="22" ht="24" customHeight="1">
      <c r="B22" s="43" t="inlineStr">
        <is>
          <t>OVERALL ASSESSMENT</t>
        </is>
      </c>
    </row>
    <row r="23" ht="22" customHeight="1">
      <c r="B23" s="44" t="inlineStr">
        <is>
          <t>Q.</t>
        </is>
      </c>
      <c r="C23" s="44" t="inlineStr">
        <is>
          <t>Feedback Parameter</t>
        </is>
      </c>
      <c r="D23" s="44" t="inlineStr">
        <is>
          <t>1
(Poor)</t>
        </is>
      </c>
      <c r="E23" s="44" t="inlineStr">
        <is>
          <t>2</t>
        </is>
      </c>
      <c r="F23" s="44" t="inlineStr">
        <is>
          <t>3
(Avg)</t>
        </is>
      </c>
      <c r="G23" s="44" t="inlineStr">
        <is>
          <t>4</t>
        </is>
      </c>
      <c r="H23" s="44" t="inlineStr">
        <is>
          <t>5
(Excel.)</t>
        </is>
      </c>
      <c r="I23" s="44" t="inlineStr">
        <is>
          <t>Score</t>
        </is>
      </c>
    </row>
    <row r="24" ht="22" customHeight="1">
      <c r="B24" s="54" t="inlineStr">
        <is>
          <t>F12</t>
        </is>
      </c>
      <c r="C24" s="46" t="inlineStr">
        <is>
          <t>Overall performance during internship</t>
        </is>
      </c>
      <c r="D24" s="45" t="inlineStr"/>
      <c r="E24" s="45" t="inlineStr"/>
      <c r="F24" s="45" t="inlineStr"/>
      <c r="G24" s="45" t="inlineStr"/>
      <c r="H24" s="45" t="inlineStr"/>
      <c r="I24" s="55">
        <f>IFERROR(D24*1+E24*2+F24*3+G24*4+H24*5,"")</f>
        <v/>
      </c>
    </row>
    <row r="25" ht="22" customHeight="1">
      <c r="B25" s="8" t="inlineStr">
        <is>
          <t>F13</t>
        </is>
      </c>
      <c r="C25" s="9" t="inlineStr">
        <is>
          <t>Would you offer a full-time role to this student?</t>
        </is>
      </c>
      <c r="D25" s="56" t="inlineStr">
        <is>
          <t>[ ] Definitely Yes  [ ] Likely  [ ] Uncertain  [ ] No</t>
        </is>
      </c>
    </row>
    <row r="26" ht="22" customHeight="1">
      <c r="B26" s="54" t="inlineStr">
        <is>
          <t>F14</t>
        </is>
      </c>
      <c r="C26" s="46" t="inlineStr">
        <is>
          <t>Would you accept interns from this institution again?</t>
        </is>
      </c>
      <c r="D26" s="57" t="inlineStr">
        <is>
          <t>[ ] Yes  [ ] Yes, with conditions  [ ] No</t>
        </is>
      </c>
    </row>
    <row r="27" ht="22" customHeight="1">
      <c r="B27" s="8" t="inlineStr">
        <is>
          <t>F15</t>
        </is>
      </c>
      <c r="C27" s="9" t="inlineStr">
        <is>
          <t>Overall rating for the intern (/10)</t>
        </is>
      </c>
      <c r="D27" s="10" t="inlineStr"/>
      <c r="E27" s="10" t="inlineStr"/>
      <c r="F27" s="10" t="inlineStr"/>
      <c r="G27" s="10" t="inlineStr"/>
      <c r="H27" s="10" t="inlineStr"/>
      <c r="I27" s="38">
        <f>IFERROR(D27*1+E27*2+F27*3+G27*4+H27*5,"")</f>
        <v/>
      </c>
    </row>
    <row r="28" ht="22" customHeight="1"/>
    <row r="29" ht="22" customHeight="1">
      <c r="B29" s="58" t="inlineStr">
        <is>
          <t>Areas of Strength observed in the intern:</t>
        </is>
      </c>
    </row>
    <row r="30" ht="60" customHeight="1">
      <c r="B30" s="59" t="inlineStr"/>
    </row>
    <row r="31" ht="22" customHeight="1"/>
    <row r="32" ht="22" customHeight="1">
      <c r="B32" s="58" t="inlineStr">
        <is>
          <t>Areas for improvement / skills the student should develop:</t>
        </is>
      </c>
    </row>
    <row r="33" ht="60" customHeight="1">
      <c r="B33" s="59" t="inlineStr"/>
    </row>
    <row r="34" ht="22" customHeight="1"/>
    <row r="35" ht="22" customHeight="1">
      <c r="B35" s="30" t="inlineStr">
        <is>
          <t>Industry Mentor Signature: ___________________    Name: ___________________    Organisation: ___________________    Date: ___________________</t>
        </is>
      </c>
    </row>
    <row r="36" ht="22" customHeight="1"/>
    <row r="37" ht="22" customHeight="1"/>
    <row r="38" ht="22" customHeight="1"/>
    <row r="39" ht="22" customHeight="1"/>
    <row r="40" ht="22" customHeight="1"/>
    <row r="41" ht="22" customHeight="1"/>
  </sheetData>
  <mergeCells count="11">
    <mergeCell ref="B13:I13"/>
    <mergeCell ref="B35:I35"/>
    <mergeCell ref="B29:I29"/>
    <mergeCell ref="B33:I34"/>
    <mergeCell ref="B2:I2"/>
    <mergeCell ref="B3:I3"/>
    <mergeCell ref="B5:I5"/>
    <mergeCell ref="B22:I22"/>
    <mergeCell ref="B30:I31"/>
    <mergeCell ref="B32:I32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IIPC-11: EXPERT / GUEST LECTURE &amp; INDUSTRY INTERACTION REGISTER</t>
        </is>
      </c>
    </row>
    <row r="3" ht="25" customHeight="1">
      <c r="B3" s="2" t="inlineStr">
        <is>
          <t>A.Y.: _______  IIPC Coordinator: ___________________  NAAC Ref.: Criterion II.4 / V.1</t>
        </is>
      </c>
    </row>
    <row r="4" ht="25" customHeight="1">
      <c r="B4" s="13" t="inlineStr">
        <is>
          <t>Sl.</t>
        </is>
      </c>
      <c r="C4" s="13" t="inlineStr">
        <is>
          <t>Expert / Speaker Name</t>
        </is>
      </c>
      <c r="D4" s="13" t="inlineStr">
        <is>
          <t>Organisation &amp; Designation</t>
        </is>
      </c>
      <c r="E4" s="13" t="inlineStr">
        <is>
          <t>Topic / Subject</t>
        </is>
      </c>
      <c r="F4" s="13" t="inlineStr">
        <is>
          <t>Date</t>
        </is>
      </c>
      <c r="G4" s="13" t="inlineStr">
        <is>
          <t>Dept. / Programme</t>
        </is>
      </c>
      <c r="H4" s="13" t="inlineStr">
        <is>
          <t>Mode</t>
        </is>
      </c>
      <c r="I4" s="13" t="inlineStr">
        <is>
          <t>Students
Attended</t>
        </is>
      </c>
      <c r="J4" s="13" t="inlineStr">
        <is>
          <t>Feedback
Score (/5)</t>
        </is>
      </c>
    </row>
    <row r="5" ht="22" customHeight="1">
      <c r="B5" s="14" t="n">
        <v>1</v>
      </c>
      <c r="C5" s="15" t="inlineStr"/>
      <c r="D5" s="15" t="inlineStr"/>
      <c r="E5" s="15" t="inlineStr">
        <is>
          <t>Technical Keynote</t>
        </is>
      </c>
      <c r="F5" s="16" t="inlineStr"/>
      <c r="G5" s="16" t="inlineStr"/>
      <c r="H5" s="16" t="inlineStr">
        <is>
          <t>Physical</t>
        </is>
      </c>
      <c r="I5" s="16" t="inlineStr"/>
      <c r="J5" s="16" t="inlineStr"/>
    </row>
    <row r="6" ht="22" customHeight="1">
      <c r="B6" s="8" t="n">
        <v>2</v>
      </c>
      <c r="C6" s="9" t="inlineStr"/>
      <c r="D6" s="9" t="inlineStr"/>
      <c r="E6" s="9" t="inlineStr">
        <is>
          <t>Industry Best Practices</t>
        </is>
      </c>
      <c r="F6" s="10" t="inlineStr"/>
      <c r="G6" s="10" t="inlineStr"/>
      <c r="H6" s="10" t="inlineStr">
        <is>
          <t>Physical</t>
        </is>
      </c>
      <c r="I6" s="10" t="inlineStr"/>
      <c r="J6" s="10" t="inlineStr"/>
    </row>
    <row r="7" ht="22" customHeight="1">
      <c r="B7" s="14" t="n">
        <v>3</v>
      </c>
      <c r="C7" s="15" t="inlineStr"/>
      <c r="D7" s="15" t="inlineStr"/>
      <c r="E7" s="15" t="inlineStr">
        <is>
          <t>Emerging Technologies</t>
        </is>
      </c>
      <c r="F7" s="16" t="inlineStr"/>
      <c r="G7" s="16" t="inlineStr"/>
      <c r="H7" s="16" t="inlineStr">
        <is>
          <t>Physical</t>
        </is>
      </c>
      <c r="I7" s="16" t="inlineStr"/>
      <c r="J7" s="16" t="inlineStr"/>
    </row>
    <row r="8" ht="22" customHeight="1">
      <c r="B8" s="8" t="n">
        <v>4</v>
      </c>
      <c r="C8" s="9" t="inlineStr"/>
      <c r="D8" s="9" t="inlineStr"/>
      <c r="E8" s="9" t="inlineStr">
        <is>
          <t>Career Guidance Talk</t>
        </is>
      </c>
      <c r="F8" s="10" t="inlineStr"/>
      <c r="G8" s="10" t="inlineStr"/>
      <c r="H8" s="10" t="inlineStr">
        <is>
          <t>Physical</t>
        </is>
      </c>
      <c r="I8" s="10" t="inlineStr"/>
      <c r="J8" s="10" t="inlineStr"/>
    </row>
    <row r="9" ht="22" customHeight="1">
      <c r="B9" s="14" t="n">
        <v>5</v>
      </c>
      <c r="C9" s="15" t="inlineStr"/>
      <c r="D9" s="15" t="inlineStr"/>
      <c r="E9" s="15" t="inlineStr">
        <is>
          <t>Entrepreneurship Session</t>
        </is>
      </c>
      <c r="F9" s="16" t="inlineStr"/>
      <c r="G9" s="16" t="inlineStr"/>
      <c r="H9" s="16" t="inlineStr">
        <is>
          <t>Physical</t>
        </is>
      </c>
      <c r="I9" s="16" t="inlineStr"/>
      <c r="J9" s="16" t="inlineStr"/>
    </row>
    <row r="10" ht="22" customHeight="1">
      <c r="B10" s="8" t="n">
        <v>6</v>
      </c>
      <c r="C10" s="9" t="inlineStr"/>
      <c r="D10" s="9" t="inlineStr"/>
      <c r="E10" s="9" t="inlineStr">
        <is>
          <t>Product Design &amp; Innovation</t>
        </is>
      </c>
      <c r="F10" s="10" t="inlineStr"/>
      <c r="G10" s="10" t="inlineStr"/>
      <c r="H10" s="10" t="inlineStr">
        <is>
          <t>Physical</t>
        </is>
      </c>
      <c r="I10" s="10" t="inlineStr"/>
      <c r="J10" s="10" t="inlineStr"/>
    </row>
    <row r="11" ht="22" customHeight="1">
      <c r="B11" s="14" t="n">
        <v>7</v>
      </c>
      <c r="C11" s="15" t="inlineStr"/>
      <c r="D11" s="15" t="inlineStr"/>
      <c r="E11" s="15" t="inlineStr">
        <is>
          <t>Leadership &amp; Management</t>
        </is>
      </c>
      <c r="F11" s="16" t="inlineStr"/>
      <c r="G11" s="16" t="inlineStr"/>
      <c r="H11" s="16" t="inlineStr">
        <is>
          <t>Physical</t>
        </is>
      </c>
      <c r="I11" s="16" t="inlineStr"/>
      <c r="J11" s="16" t="inlineStr"/>
    </row>
    <row r="12" ht="22" customHeight="1">
      <c r="B12" s="8" t="n">
        <v>8</v>
      </c>
      <c r="C12" s="9" t="inlineStr"/>
      <c r="D12" s="9" t="inlineStr"/>
      <c r="E12" s="9" t="inlineStr">
        <is>
          <t>Research &amp; Patents</t>
        </is>
      </c>
      <c r="F12" s="10" t="inlineStr"/>
      <c r="G12" s="10" t="inlineStr"/>
      <c r="H12" s="10" t="inlineStr">
        <is>
          <t>Physical</t>
        </is>
      </c>
      <c r="I12" s="10" t="inlineStr"/>
      <c r="J12" s="10" t="inlineStr"/>
    </row>
    <row r="13" ht="22" customHeight="1">
      <c r="B13" s="14" t="n">
        <v>9</v>
      </c>
      <c r="C13" s="15" t="inlineStr"/>
      <c r="D13" s="15" t="inlineStr"/>
      <c r="E13" s="15" t="inlineStr">
        <is>
          <t>HR &amp; Soft Skills</t>
        </is>
      </c>
      <c r="F13" s="16" t="inlineStr"/>
      <c r="G13" s="16" t="inlineStr"/>
      <c r="H13" s="16" t="inlineStr">
        <is>
          <t>Physical</t>
        </is>
      </c>
      <c r="I13" s="16" t="inlineStr"/>
      <c r="J13" s="16" t="inlineStr"/>
    </row>
    <row r="14" ht="22" customHeight="1">
      <c r="B14" s="8" t="n">
        <v>10</v>
      </c>
      <c r="C14" s="9" t="inlineStr"/>
      <c r="D14" s="9" t="inlineStr"/>
      <c r="E14" s="9" t="inlineStr">
        <is>
          <t>Digital Transformation</t>
        </is>
      </c>
      <c r="F14" s="10" t="inlineStr"/>
      <c r="G14" s="10" t="inlineStr"/>
      <c r="H14" s="10" t="inlineStr">
        <is>
          <t>Physical</t>
        </is>
      </c>
      <c r="I14" s="10" t="inlineStr"/>
      <c r="J14" s="10" t="inlineStr"/>
    </row>
    <row r="15" ht="22" customHeight="1">
      <c r="B15" s="14" t="n">
        <v>11</v>
      </c>
      <c r="C15" s="15" t="inlineStr"/>
      <c r="D15" s="15" t="inlineStr"/>
      <c r="E15" s="15" t="inlineStr">
        <is>
          <t>Sustainability &amp; ESG</t>
        </is>
      </c>
      <c r="F15" s="16" t="inlineStr"/>
      <c r="G15" s="16" t="inlineStr"/>
      <c r="H15" s="16" t="inlineStr">
        <is>
          <t>Physical</t>
        </is>
      </c>
      <c r="I15" s="16" t="inlineStr"/>
      <c r="J15" s="16" t="inlineStr"/>
    </row>
    <row r="16" ht="22" customHeight="1">
      <c r="B16" s="8" t="n">
        <v>12</v>
      </c>
      <c r="C16" s="9" t="inlineStr"/>
      <c r="D16" s="9" t="inlineStr"/>
      <c r="E16" s="9" t="inlineStr">
        <is>
          <t>Global Industry Trends</t>
        </is>
      </c>
      <c r="F16" s="10" t="inlineStr"/>
      <c r="G16" s="10" t="inlineStr"/>
      <c r="H16" s="10" t="inlineStr">
        <is>
          <t>Physical</t>
        </is>
      </c>
      <c r="I16" s="10" t="inlineStr"/>
      <c r="J16" s="10" t="inlineStr"/>
    </row>
    <row r="17" ht="22" customHeight="1">
      <c r="B17" s="14" t="n">
        <v>13</v>
      </c>
      <c r="C17" s="15" t="inlineStr"/>
      <c r="D17" s="15" t="inlineStr"/>
      <c r="E17" s="15" t="inlineStr">
        <is>
          <t>Technical Keynote</t>
        </is>
      </c>
      <c r="F17" s="16" t="inlineStr"/>
      <c r="G17" s="16" t="inlineStr"/>
      <c r="H17" s="16" t="inlineStr">
        <is>
          <t>Physical</t>
        </is>
      </c>
      <c r="I17" s="16" t="inlineStr"/>
      <c r="J17" s="16" t="inlineStr"/>
    </row>
    <row r="18" ht="22" customHeight="1">
      <c r="B18" s="8" t="n">
        <v>14</v>
      </c>
      <c r="C18" s="9" t="inlineStr"/>
      <c r="D18" s="9" t="inlineStr"/>
      <c r="E18" s="9" t="inlineStr">
        <is>
          <t>Industry Best Practices</t>
        </is>
      </c>
      <c r="F18" s="10" t="inlineStr"/>
      <c r="G18" s="10" t="inlineStr"/>
      <c r="H18" s="10" t="inlineStr">
        <is>
          <t>Physical</t>
        </is>
      </c>
      <c r="I18" s="10" t="inlineStr"/>
      <c r="J18" s="10" t="inlineStr"/>
    </row>
    <row r="19" ht="22" customHeight="1">
      <c r="B19" s="14" t="n">
        <v>15</v>
      </c>
      <c r="C19" s="15" t="inlineStr"/>
      <c r="D19" s="15" t="inlineStr"/>
      <c r="E19" s="15" t="inlineStr">
        <is>
          <t>Emerging Technologies</t>
        </is>
      </c>
      <c r="F19" s="16" t="inlineStr"/>
      <c r="G19" s="16" t="inlineStr"/>
      <c r="H19" s="16" t="inlineStr">
        <is>
          <t>Physical</t>
        </is>
      </c>
      <c r="I19" s="16" t="inlineStr"/>
      <c r="J19" s="16" t="inlineStr"/>
    </row>
    <row r="20" ht="22" customHeight="1">
      <c r="B20" s="8" t="n">
        <v>16</v>
      </c>
      <c r="C20" s="9" t="inlineStr"/>
      <c r="D20" s="9" t="inlineStr"/>
      <c r="E20" s="9" t="inlineStr">
        <is>
          <t>Career Guidance Talk</t>
        </is>
      </c>
      <c r="F20" s="10" t="inlineStr"/>
      <c r="G20" s="10" t="inlineStr"/>
      <c r="H20" s="10" t="inlineStr">
        <is>
          <t>Physical</t>
        </is>
      </c>
      <c r="I20" s="10" t="inlineStr"/>
      <c r="J20" s="10" t="inlineStr"/>
    </row>
    <row r="21" ht="22" customHeight="1">
      <c r="B21" s="14" t="n">
        <v>17</v>
      </c>
      <c r="C21" s="15" t="inlineStr"/>
      <c r="D21" s="15" t="inlineStr"/>
      <c r="E21" s="15" t="inlineStr">
        <is>
          <t>Entrepreneurship Session</t>
        </is>
      </c>
      <c r="F21" s="16" t="inlineStr"/>
      <c r="G21" s="16" t="inlineStr"/>
      <c r="H21" s="16" t="inlineStr">
        <is>
          <t>Physical</t>
        </is>
      </c>
      <c r="I21" s="16" t="inlineStr"/>
      <c r="J21" s="16" t="inlineStr"/>
    </row>
    <row r="22" ht="22" customHeight="1">
      <c r="B22" s="8" t="n">
        <v>18</v>
      </c>
      <c r="C22" s="9" t="inlineStr"/>
      <c r="D22" s="9" t="inlineStr"/>
      <c r="E22" s="9" t="inlineStr">
        <is>
          <t>Product Design &amp; Innovation</t>
        </is>
      </c>
      <c r="F22" s="10" t="inlineStr"/>
      <c r="G22" s="10" t="inlineStr"/>
      <c r="H22" s="10" t="inlineStr">
        <is>
          <t>Physical</t>
        </is>
      </c>
      <c r="I22" s="10" t="inlineStr"/>
      <c r="J22" s="10" t="inlineStr"/>
    </row>
    <row r="23" ht="22" customHeight="1">
      <c r="B23" s="14" t="n">
        <v>19</v>
      </c>
      <c r="C23" s="15" t="inlineStr"/>
      <c r="D23" s="15" t="inlineStr"/>
      <c r="E23" s="15" t="inlineStr">
        <is>
          <t>Leadership &amp; Management</t>
        </is>
      </c>
      <c r="F23" s="16" t="inlineStr"/>
      <c r="G23" s="16" t="inlineStr"/>
      <c r="H23" s="16" t="inlineStr">
        <is>
          <t>Physical</t>
        </is>
      </c>
      <c r="I23" s="16" t="inlineStr"/>
      <c r="J23" s="16" t="inlineStr"/>
    </row>
    <row r="24" ht="22" customHeight="1">
      <c r="B24" s="8" t="n">
        <v>20</v>
      </c>
      <c r="C24" s="9" t="inlineStr"/>
      <c r="D24" s="9" t="inlineStr"/>
      <c r="E24" s="9" t="inlineStr">
        <is>
          <t>Research &amp; Patents</t>
        </is>
      </c>
      <c r="F24" s="10" t="inlineStr"/>
      <c r="G24" s="10" t="inlineStr"/>
      <c r="H24" s="10" t="inlineStr">
        <is>
          <t>Physical</t>
        </is>
      </c>
      <c r="I24" s="10" t="inlineStr"/>
      <c r="J24" s="10" t="inlineStr"/>
    </row>
    <row r="25" ht="22" customHeight="1">
      <c r="B25" s="14" t="n">
        <v>21</v>
      </c>
      <c r="C25" s="15" t="inlineStr"/>
      <c r="D25" s="15" t="inlineStr"/>
      <c r="E25" s="15" t="inlineStr">
        <is>
          <t>HR &amp; Soft Skills</t>
        </is>
      </c>
      <c r="F25" s="16" t="inlineStr"/>
      <c r="G25" s="16" t="inlineStr"/>
      <c r="H25" s="16" t="inlineStr">
        <is>
          <t>Physical</t>
        </is>
      </c>
      <c r="I25" s="16" t="inlineStr"/>
      <c r="J25" s="16" t="inlineStr"/>
    </row>
    <row r="26" ht="22" customHeight="1">
      <c r="B26" s="8" t="n">
        <v>22</v>
      </c>
      <c r="C26" s="9" t="inlineStr"/>
      <c r="D26" s="9" t="inlineStr"/>
      <c r="E26" s="9" t="inlineStr">
        <is>
          <t>Digital Transformation</t>
        </is>
      </c>
      <c r="F26" s="10" t="inlineStr"/>
      <c r="G26" s="10" t="inlineStr"/>
      <c r="H26" s="10" t="inlineStr">
        <is>
          <t>Physical</t>
        </is>
      </c>
      <c r="I26" s="10" t="inlineStr"/>
      <c r="J26" s="10" t="inlineStr"/>
    </row>
    <row r="27" ht="22" customHeight="1">
      <c r="B27" s="14" t="n">
        <v>23</v>
      </c>
      <c r="C27" s="15" t="inlineStr"/>
      <c r="D27" s="15" t="inlineStr"/>
      <c r="E27" s="15" t="inlineStr">
        <is>
          <t>Sustainability &amp; ESG</t>
        </is>
      </c>
      <c r="F27" s="16" t="inlineStr"/>
      <c r="G27" s="16" t="inlineStr"/>
      <c r="H27" s="16" t="inlineStr">
        <is>
          <t>Physical</t>
        </is>
      </c>
      <c r="I27" s="16" t="inlineStr"/>
      <c r="J27" s="16" t="inlineStr"/>
    </row>
    <row r="28" ht="22" customHeight="1">
      <c r="B28" s="8" t="n">
        <v>24</v>
      </c>
      <c r="C28" s="9" t="inlineStr"/>
      <c r="D28" s="9" t="inlineStr"/>
      <c r="E28" s="9" t="inlineStr">
        <is>
          <t>Global Industry Trends</t>
        </is>
      </c>
      <c r="F28" s="10" t="inlineStr"/>
      <c r="G28" s="10" t="inlineStr"/>
      <c r="H28" s="10" t="inlineStr">
        <is>
          <t>Physical</t>
        </is>
      </c>
      <c r="I28" s="10" t="inlineStr"/>
      <c r="J28" s="10" t="inlineStr"/>
    </row>
    <row r="29" ht="22" customHeight="1">
      <c r="B29" s="14" t="n">
        <v>25</v>
      </c>
      <c r="C29" s="15" t="inlineStr"/>
      <c r="D29" s="15" t="inlineStr"/>
      <c r="E29" s="15" t="inlineStr">
        <is>
          <t>Technical Keynote</t>
        </is>
      </c>
      <c r="F29" s="16" t="inlineStr"/>
      <c r="G29" s="16" t="inlineStr"/>
      <c r="H29" s="16" t="inlineStr">
        <is>
          <t>Physical</t>
        </is>
      </c>
      <c r="I29" s="16" t="inlineStr"/>
      <c r="J29" s="16" t="inlineStr"/>
    </row>
    <row r="30" ht="22" customHeight="1">
      <c r="B30" s="8" t="n">
        <v>26</v>
      </c>
      <c r="C30" s="9" t="inlineStr"/>
      <c r="D30" s="9" t="inlineStr"/>
      <c r="E30" s="9" t="inlineStr">
        <is>
          <t>Industry Best Practices</t>
        </is>
      </c>
      <c r="F30" s="10" t="inlineStr"/>
      <c r="G30" s="10" t="inlineStr"/>
      <c r="H30" s="10" t="inlineStr">
        <is>
          <t>Physical</t>
        </is>
      </c>
      <c r="I30" s="10" t="inlineStr"/>
      <c r="J30" s="10" t="inlineStr"/>
    </row>
    <row r="31" ht="22" customHeight="1"/>
    <row r="32" ht="24" customHeight="1">
      <c r="B32" s="35" t="inlineStr">
        <is>
          <t>DEPARTMENT-WISE EXPERT ENGAGEMENT SUMMARY</t>
        </is>
      </c>
    </row>
    <row r="33" ht="22" customHeight="1">
      <c r="B33" s="31" t="inlineStr">
        <is>
          <t>Department</t>
        </is>
      </c>
      <c r="C33" s="31" t="inlineStr">
        <is>
          <t>Lectures
Arranged</t>
        </is>
      </c>
      <c r="D33" s="31" t="inlineStr">
        <is>
          <t>Unique Industry
Experts</t>
        </is>
      </c>
      <c r="E33" s="31" t="inlineStr">
        <is>
          <t>Total Students
Reached</t>
        </is>
      </c>
      <c r="F33" s="31" t="inlineStr">
        <is>
          <t>Avg. Feedback
(/5)</t>
        </is>
      </c>
      <c r="G33" s="31" t="inlineStr">
        <is>
          <t>Most Common
Topic</t>
        </is>
      </c>
    </row>
    <row r="34" ht="22" customHeight="1">
      <c r="B34" s="33" t="inlineStr">
        <is>
          <t>CSE</t>
        </is>
      </c>
      <c r="C34" s="34" t="inlineStr"/>
      <c r="D34" s="34" t="inlineStr"/>
      <c r="E34" s="34" t="inlineStr"/>
      <c r="F34" s="34" t="inlineStr"/>
      <c r="G34" s="33" t="inlineStr"/>
      <c r="H34" s="40" t="n"/>
      <c r="I34" s="40" t="n"/>
      <c r="J34" s="40" t="n"/>
    </row>
    <row r="35" ht="22" customHeight="1">
      <c r="B35" s="9" t="inlineStr">
        <is>
          <t>ECE</t>
        </is>
      </c>
      <c r="C35" s="10" t="inlineStr"/>
      <c r="D35" s="10" t="inlineStr"/>
      <c r="E35" s="10" t="inlineStr"/>
      <c r="F35" s="10" t="inlineStr"/>
      <c r="G35" s="9" t="inlineStr"/>
      <c r="H35" s="41" t="n"/>
      <c r="I35" s="41" t="n"/>
      <c r="J35" s="41" t="n"/>
    </row>
    <row r="36" ht="22" customHeight="1">
      <c r="B36" s="33" t="inlineStr">
        <is>
          <t>EEE</t>
        </is>
      </c>
      <c r="C36" s="34" t="inlineStr"/>
      <c r="D36" s="34" t="inlineStr"/>
      <c r="E36" s="34" t="inlineStr"/>
      <c r="F36" s="34" t="inlineStr"/>
      <c r="G36" s="33" t="inlineStr"/>
      <c r="H36" s="40" t="n"/>
      <c r="I36" s="40" t="n"/>
      <c r="J36" s="40" t="n"/>
    </row>
    <row r="37" ht="22" customHeight="1">
      <c r="B37" s="9" t="inlineStr">
        <is>
          <t>MECH</t>
        </is>
      </c>
      <c r="C37" s="10" t="inlineStr"/>
      <c r="D37" s="10" t="inlineStr"/>
      <c r="E37" s="10" t="inlineStr"/>
      <c r="F37" s="10" t="inlineStr"/>
      <c r="G37" s="9" t="inlineStr"/>
      <c r="H37" s="41" t="n"/>
      <c r="I37" s="41" t="n"/>
      <c r="J37" s="41" t="n"/>
    </row>
    <row r="38" ht="22" customHeight="1">
      <c r="B38" s="33" t="inlineStr">
        <is>
          <t>CIVIL</t>
        </is>
      </c>
      <c r="C38" s="34" t="inlineStr"/>
      <c r="D38" s="34" t="inlineStr"/>
      <c r="E38" s="34" t="inlineStr"/>
      <c r="F38" s="34" t="inlineStr"/>
      <c r="G38" s="33" t="inlineStr"/>
      <c r="H38" s="40" t="n"/>
      <c r="I38" s="40" t="n"/>
      <c r="J38" s="40" t="n"/>
    </row>
    <row r="39" ht="22" customHeight="1">
      <c r="B39" s="9" t="inlineStr">
        <is>
          <t>MBA</t>
        </is>
      </c>
      <c r="C39" s="10" t="inlineStr"/>
      <c r="D39" s="10" t="inlineStr"/>
      <c r="E39" s="10" t="inlineStr"/>
      <c r="F39" s="10" t="inlineStr"/>
      <c r="G39" s="9" t="inlineStr"/>
      <c r="H39" s="41" t="n"/>
      <c r="I39" s="41" t="n"/>
      <c r="J39" s="41" t="n"/>
    </row>
    <row r="40">
      <c r="B40" s="33" t="inlineStr">
        <is>
          <t>MCA</t>
        </is>
      </c>
      <c r="C40" s="34" t="inlineStr"/>
      <c r="D40" s="34" t="inlineStr"/>
      <c r="E40" s="34" t="inlineStr"/>
      <c r="F40" s="34" t="inlineStr"/>
      <c r="G40" s="33" t="inlineStr"/>
      <c r="H40" s="40" t="n"/>
      <c r="I40" s="40" t="n"/>
      <c r="J40" s="40" t="n"/>
    </row>
    <row r="41">
      <c r="B41" s="9" t="inlineStr">
        <is>
          <t>S&amp;H</t>
        </is>
      </c>
      <c r="C41" s="10" t="inlineStr"/>
      <c r="D41" s="10" t="inlineStr"/>
      <c r="E41" s="10" t="inlineStr"/>
      <c r="F41" s="10" t="inlineStr"/>
      <c r="G41" s="9" t="inlineStr"/>
      <c r="H41" s="41" t="n"/>
      <c r="I41" s="41" t="n"/>
      <c r="J41" s="41" t="n"/>
    </row>
    <row r="42">
      <c r="B42" s="24" t="inlineStr">
        <is>
          <t>INSTITUTION</t>
        </is>
      </c>
      <c r="C42" s="39" t="inlineStr"/>
      <c r="D42" s="39" t="inlineStr"/>
      <c r="E42" s="39" t="inlineStr"/>
      <c r="F42" s="39" t="inlineStr"/>
      <c r="G42" s="24" t="inlineStr"/>
      <c r="H42" s="42" t="n"/>
      <c r="I42" s="42" t="n"/>
      <c r="J42" s="42" t="n"/>
    </row>
  </sheetData>
  <mergeCells count="3">
    <mergeCell ref="B32:J32"/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20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IIPC-13: INDUSTRY ADVISORY BOARD (IAB) — REGISTER &amp; MEETING RECORD</t>
        </is>
      </c>
    </row>
    <row r="3" ht="25" customHeight="1">
      <c r="B3" s="2" t="inlineStr">
        <is>
          <t>A.Y.: _______  IAB Constituted on: _______  IIPC Coordinator: ___________________</t>
        </is>
      </c>
    </row>
    <row r="4" ht="24" customHeight="1">
      <c r="B4" s="20" t="inlineStr">
        <is>
          <t>IAB MEMBER REGISTER</t>
        </is>
      </c>
    </row>
    <row r="5" ht="22" customHeight="1">
      <c r="B5" s="13" t="inlineStr">
        <is>
          <t>Sl.</t>
        </is>
      </c>
      <c r="C5" s="13" t="inlineStr">
        <is>
          <t>IAB Member Name</t>
        </is>
      </c>
      <c r="D5" s="13" t="inlineStr">
        <is>
          <t>Organisation &amp; Designation</t>
        </is>
      </c>
      <c r="E5" s="13" t="inlineStr">
        <is>
          <t>Sector / Domain</t>
        </is>
      </c>
      <c r="F5" s="13" t="inlineStr">
        <is>
          <t>Contact / Email</t>
        </is>
      </c>
      <c r="G5" s="13" t="inlineStr">
        <is>
          <t>Nominated by</t>
        </is>
      </c>
      <c r="H5" s="13" t="inlineStr">
        <is>
          <t>Term</t>
        </is>
      </c>
      <c r="I5" s="13" t="inlineStr">
        <is>
          <t>Status</t>
        </is>
      </c>
    </row>
    <row r="6" ht="22" customHeight="1">
      <c r="B6" s="14" t="n">
        <v>1</v>
      </c>
      <c r="C6" s="15" t="inlineStr"/>
      <c r="D6" s="15" t="inlineStr"/>
      <c r="E6" s="16" t="inlineStr">
        <is>
          <t>IT/Software</t>
        </is>
      </c>
      <c r="F6" s="15" t="inlineStr"/>
      <c r="G6" s="16" t="inlineStr">
        <is>
          <t>IIPC</t>
        </is>
      </c>
      <c r="H6" s="16" t="inlineStr">
        <is>
          <t>1 year (renewable)</t>
        </is>
      </c>
      <c r="I6" s="16" t="inlineStr">
        <is>
          <t>Active</t>
        </is>
      </c>
    </row>
    <row r="7" ht="22" customHeight="1">
      <c r="B7" s="8" t="n">
        <v>2</v>
      </c>
      <c r="C7" s="9" t="inlineStr"/>
      <c r="D7" s="9" t="inlineStr"/>
      <c r="E7" s="10" t="inlineStr">
        <is>
          <t>Manufacturing</t>
        </is>
      </c>
      <c r="F7" s="9" t="inlineStr"/>
      <c r="G7" s="10" t="inlineStr">
        <is>
          <t>IIPC</t>
        </is>
      </c>
      <c r="H7" s="10" t="inlineStr">
        <is>
          <t>1 year (renewable)</t>
        </is>
      </c>
      <c r="I7" s="10" t="inlineStr">
        <is>
          <t>Active</t>
        </is>
      </c>
    </row>
    <row r="8" ht="22" customHeight="1">
      <c r="B8" s="14" t="n">
        <v>3</v>
      </c>
      <c r="C8" s="15" t="inlineStr"/>
      <c r="D8" s="15" t="inlineStr"/>
      <c r="E8" s="16" t="inlineStr">
        <is>
          <t>Automotive</t>
        </is>
      </c>
      <c r="F8" s="15" t="inlineStr"/>
      <c r="G8" s="16" t="inlineStr">
        <is>
          <t>IIPC</t>
        </is>
      </c>
      <c r="H8" s="16" t="inlineStr">
        <is>
          <t>1 year (renewable)</t>
        </is>
      </c>
      <c r="I8" s="16" t="inlineStr">
        <is>
          <t>Active</t>
        </is>
      </c>
    </row>
    <row r="9" ht="22" customHeight="1">
      <c r="B9" s="8" t="n">
        <v>4</v>
      </c>
      <c r="C9" s="9" t="inlineStr"/>
      <c r="D9" s="9" t="inlineStr"/>
      <c r="E9" s="10" t="inlineStr">
        <is>
          <t>Pharma/Healthcare</t>
        </is>
      </c>
      <c r="F9" s="9" t="inlineStr"/>
      <c r="G9" s="10" t="inlineStr">
        <is>
          <t>IIPC</t>
        </is>
      </c>
      <c r="H9" s="10" t="inlineStr">
        <is>
          <t>1 year (renewable)</t>
        </is>
      </c>
      <c r="I9" s="10" t="inlineStr">
        <is>
          <t>Active</t>
        </is>
      </c>
    </row>
    <row r="10" ht="22" customHeight="1">
      <c r="B10" s="14" t="n">
        <v>5</v>
      </c>
      <c r="C10" s="15" t="inlineStr"/>
      <c r="D10" s="15" t="inlineStr"/>
      <c r="E10" s="16" t="inlineStr">
        <is>
          <t>FMCG/Retail</t>
        </is>
      </c>
      <c r="F10" s="15" t="inlineStr"/>
      <c r="G10" s="16" t="inlineStr">
        <is>
          <t>IIPC</t>
        </is>
      </c>
      <c r="H10" s="16" t="inlineStr">
        <is>
          <t>1 year (renewable)</t>
        </is>
      </c>
      <c r="I10" s="16" t="inlineStr">
        <is>
          <t>Active</t>
        </is>
      </c>
    </row>
    <row r="11" ht="22" customHeight="1">
      <c r="B11" s="8" t="n">
        <v>6</v>
      </c>
      <c r="C11" s="9" t="inlineStr"/>
      <c r="D11" s="9" t="inlineStr"/>
      <c r="E11" s="10" t="inlineStr">
        <is>
          <t>Banking/Finance</t>
        </is>
      </c>
      <c r="F11" s="9" t="inlineStr"/>
      <c r="G11" s="10" t="inlineStr">
        <is>
          <t>IIPC</t>
        </is>
      </c>
      <c r="H11" s="10" t="inlineStr">
        <is>
          <t>1 year (renewable)</t>
        </is>
      </c>
      <c r="I11" s="10" t="inlineStr">
        <is>
          <t>Active</t>
        </is>
      </c>
    </row>
    <row r="12" ht="22" customHeight="1">
      <c r="B12" s="14" t="n">
        <v>7</v>
      </c>
      <c r="C12" s="15" t="inlineStr"/>
      <c r="D12" s="15" t="inlineStr"/>
      <c r="E12" s="16" t="inlineStr">
        <is>
          <t>Energy/Power</t>
        </is>
      </c>
      <c r="F12" s="15" t="inlineStr"/>
      <c r="G12" s="16" t="inlineStr">
        <is>
          <t>IIPC</t>
        </is>
      </c>
      <c r="H12" s="16" t="inlineStr">
        <is>
          <t>1 year (renewable)</t>
        </is>
      </c>
      <c r="I12" s="16" t="inlineStr">
        <is>
          <t>Active</t>
        </is>
      </c>
    </row>
    <row r="13" ht="22" customHeight="1">
      <c r="B13" s="8" t="n">
        <v>8</v>
      </c>
      <c r="C13" s="9" t="inlineStr"/>
      <c r="D13" s="9" t="inlineStr"/>
      <c r="E13" s="10" t="inlineStr">
        <is>
          <t>Construction/Infra</t>
        </is>
      </c>
      <c r="F13" s="9" t="inlineStr"/>
      <c r="G13" s="10" t="inlineStr">
        <is>
          <t>IIPC</t>
        </is>
      </c>
      <c r="H13" s="10" t="inlineStr">
        <is>
          <t>1 year (renewable)</t>
        </is>
      </c>
      <c r="I13" s="10" t="inlineStr">
        <is>
          <t>Active</t>
        </is>
      </c>
    </row>
    <row r="14" ht="22" customHeight="1">
      <c r="B14" s="14" t="n">
        <v>9</v>
      </c>
      <c r="C14" s="15" t="inlineStr"/>
      <c r="D14" s="15" t="inlineStr"/>
      <c r="E14" s="16" t="inlineStr">
        <is>
          <t>Telecom</t>
        </is>
      </c>
      <c r="F14" s="15" t="inlineStr"/>
      <c r="G14" s="16" t="inlineStr">
        <is>
          <t>IIPC</t>
        </is>
      </c>
      <c r="H14" s="16" t="inlineStr">
        <is>
          <t>1 year (renewable)</t>
        </is>
      </c>
      <c r="I14" s="16" t="inlineStr">
        <is>
          <t>Active</t>
        </is>
      </c>
    </row>
    <row r="15" ht="22" customHeight="1">
      <c r="B15" s="8" t="n">
        <v>10</v>
      </c>
      <c r="C15" s="9" t="inlineStr"/>
      <c r="D15" s="9" t="inlineStr"/>
      <c r="E15" s="10" t="inlineStr">
        <is>
          <t>Agriculture/Agri-tech</t>
        </is>
      </c>
      <c r="F15" s="9" t="inlineStr"/>
      <c r="G15" s="10" t="inlineStr">
        <is>
          <t>IIPC</t>
        </is>
      </c>
      <c r="H15" s="10" t="inlineStr">
        <is>
          <t>1 year (renewable)</t>
        </is>
      </c>
      <c r="I15" s="10" t="inlineStr">
        <is>
          <t>Active</t>
        </is>
      </c>
    </row>
    <row r="16" ht="22" customHeight="1">
      <c r="B16" s="14" t="n">
        <v>11</v>
      </c>
      <c r="C16" s="15" t="inlineStr"/>
      <c r="D16" s="15" t="inlineStr"/>
      <c r="E16" s="16" t="inlineStr">
        <is>
          <t>Defence/Aerospace</t>
        </is>
      </c>
      <c r="F16" s="15" t="inlineStr"/>
      <c r="G16" s="16" t="inlineStr">
        <is>
          <t>IIPC</t>
        </is>
      </c>
      <c r="H16" s="16" t="inlineStr">
        <is>
          <t>1 year (renewable)</t>
        </is>
      </c>
      <c r="I16" s="16" t="inlineStr">
        <is>
          <t>Active</t>
        </is>
      </c>
    </row>
    <row r="17" ht="22" customHeight="1">
      <c r="B17" s="8" t="n">
        <v>12</v>
      </c>
      <c r="C17" s="9" t="inlineStr"/>
      <c r="D17" s="9" t="inlineStr"/>
      <c r="E17" s="10" t="inlineStr">
        <is>
          <t>Education/Ed-tech</t>
        </is>
      </c>
      <c r="F17" s="9" t="inlineStr"/>
      <c r="G17" s="10" t="inlineStr">
        <is>
          <t>IIPC</t>
        </is>
      </c>
      <c r="H17" s="10" t="inlineStr">
        <is>
          <t>1 year (renewable)</t>
        </is>
      </c>
      <c r="I17" s="10" t="inlineStr">
        <is>
          <t>Active</t>
        </is>
      </c>
    </row>
    <row r="18" ht="22" customHeight="1"/>
    <row r="19" ht="24" customHeight="1">
      <c r="B19" s="35" t="inlineStr">
        <is>
          <t>IAB MEETING RECORD</t>
        </is>
      </c>
    </row>
    <row r="20" ht="22" customHeight="1">
      <c r="B20" s="31" t="inlineStr">
        <is>
          <t>Meeting
No.</t>
        </is>
      </c>
      <c r="C20" s="31" t="inlineStr">
        <is>
          <t>Date</t>
        </is>
      </c>
      <c r="D20" s="31" t="inlineStr">
        <is>
          <t>Agenda Summary</t>
        </is>
      </c>
      <c r="E20" s="31" t="inlineStr">
        <is>
          <t>Key Recommendations
(Curriculum / Industry)</t>
        </is>
      </c>
      <c r="F20" s="31" t="inlineStr">
        <is>
          <t>Department
Concerned</t>
        </is>
      </c>
      <c r="G20" s="31" t="inlineStr">
        <is>
          <t>Referred to BoS</t>
        </is>
      </c>
      <c r="H20" s="31" t="inlineStr">
        <is>
          <t>Action
Deadline</t>
        </is>
      </c>
      <c r="I20" s="31" t="inlineStr">
        <is>
          <t>Status</t>
        </is>
      </c>
    </row>
    <row r="21" ht="30" customHeight="1">
      <c r="B21" s="32" t="inlineStr">
        <is>
          <t>IAB/MTG/001</t>
        </is>
      </c>
      <c r="C21" s="34" t="inlineStr"/>
      <c r="D21" s="33" t="inlineStr"/>
      <c r="E21" s="33" t="inlineStr"/>
      <c r="F21" s="34" t="inlineStr"/>
      <c r="G21" s="34" t="inlineStr">
        <is>
          <t>Y</t>
        </is>
      </c>
      <c r="H21" s="34" t="inlineStr"/>
      <c r="I21" s="34" t="inlineStr">
        <is>
          <t>Pending</t>
        </is>
      </c>
    </row>
    <row r="22" ht="30" customHeight="1">
      <c r="B22" s="8" t="inlineStr">
        <is>
          <t>IAB/MTG/002</t>
        </is>
      </c>
      <c r="C22" s="10" t="inlineStr"/>
      <c r="D22" s="9" t="inlineStr"/>
      <c r="E22" s="9" t="inlineStr"/>
      <c r="F22" s="10" t="inlineStr"/>
      <c r="G22" s="10" t="inlineStr">
        <is>
          <t>Y</t>
        </is>
      </c>
      <c r="H22" s="10" t="inlineStr"/>
      <c r="I22" s="10" t="inlineStr">
        <is>
          <t>Pending</t>
        </is>
      </c>
    </row>
    <row r="23" ht="30" customHeight="1">
      <c r="B23" s="32" t="inlineStr">
        <is>
          <t>IAB/MTG/003</t>
        </is>
      </c>
      <c r="C23" s="34" t="inlineStr"/>
      <c r="D23" s="33" t="inlineStr"/>
      <c r="E23" s="33" t="inlineStr"/>
      <c r="F23" s="34" t="inlineStr"/>
      <c r="G23" s="34" t="inlineStr">
        <is>
          <t>Y</t>
        </is>
      </c>
      <c r="H23" s="34" t="inlineStr"/>
      <c r="I23" s="34" t="inlineStr">
        <is>
          <t>Pending</t>
        </is>
      </c>
    </row>
    <row r="24" ht="30" customHeight="1">
      <c r="B24" s="8" t="inlineStr">
        <is>
          <t>IAB/MTG/004</t>
        </is>
      </c>
      <c r="C24" s="10" t="inlineStr"/>
      <c r="D24" s="9" t="inlineStr"/>
      <c r="E24" s="9" t="inlineStr"/>
      <c r="F24" s="10" t="inlineStr"/>
      <c r="G24" s="10" t="inlineStr">
        <is>
          <t>Y</t>
        </is>
      </c>
      <c r="H24" s="10" t="inlineStr"/>
      <c r="I24" s="10" t="inlineStr">
        <is>
          <t>Pending</t>
        </is>
      </c>
    </row>
    <row r="25" ht="30" customHeight="1">
      <c r="B25" s="32" t="inlineStr">
        <is>
          <t>IAB/MTG/005</t>
        </is>
      </c>
      <c r="C25" s="34" t="inlineStr"/>
      <c r="D25" s="33" t="inlineStr"/>
      <c r="E25" s="33" t="inlineStr"/>
      <c r="F25" s="34" t="inlineStr"/>
      <c r="G25" s="34" t="inlineStr">
        <is>
          <t>Y</t>
        </is>
      </c>
      <c r="H25" s="34" t="inlineStr"/>
      <c r="I25" s="34" t="inlineStr">
        <is>
          <t>Pending</t>
        </is>
      </c>
    </row>
    <row r="26" ht="30" customHeight="1">
      <c r="B26" s="8" t="inlineStr">
        <is>
          <t>IAB/MTG/006</t>
        </is>
      </c>
      <c r="C26" s="10" t="inlineStr"/>
      <c r="D26" s="9" t="inlineStr"/>
      <c r="E26" s="9" t="inlineStr"/>
      <c r="F26" s="10" t="inlineStr"/>
      <c r="G26" s="10" t="inlineStr">
        <is>
          <t>Y</t>
        </is>
      </c>
      <c r="H26" s="10" t="inlineStr"/>
      <c r="I26" s="10" t="inlineStr">
        <is>
          <t>Pending</t>
        </is>
      </c>
    </row>
    <row r="27" ht="30" customHeight="1">
      <c r="B27" s="32" t="inlineStr">
        <is>
          <t>IAB/MTG/007</t>
        </is>
      </c>
      <c r="C27" s="34" t="inlineStr"/>
      <c r="D27" s="33" t="inlineStr"/>
      <c r="E27" s="33" t="inlineStr"/>
      <c r="F27" s="34" t="inlineStr"/>
      <c r="G27" s="34" t="inlineStr">
        <is>
          <t>Y</t>
        </is>
      </c>
      <c r="H27" s="34" t="inlineStr"/>
      <c r="I27" s="34" t="inlineStr">
        <is>
          <t>Pending</t>
        </is>
      </c>
    </row>
    <row r="28" ht="30" customHeight="1">
      <c r="B28" s="8" t="inlineStr">
        <is>
          <t>IAB/MTG/008</t>
        </is>
      </c>
      <c r="C28" s="10" t="inlineStr"/>
      <c r="D28" s="9" t="inlineStr"/>
      <c r="E28" s="9" t="inlineStr"/>
      <c r="F28" s="10" t="inlineStr"/>
      <c r="G28" s="10" t="inlineStr">
        <is>
          <t>Y</t>
        </is>
      </c>
      <c r="H28" s="10" t="inlineStr"/>
      <c r="I28" s="10" t="inlineStr">
        <is>
          <t>Pending</t>
        </is>
      </c>
    </row>
    <row r="29" ht="22" customHeight="1"/>
    <row r="30" ht="24" customHeight="1">
      <c r="B30" s="43" t="inlineStr">
        <is>
          <t>CURRICULUM RECOMMENDATION TRACKER</t>
        </is>
      </c>
    </row>
    <row r="31" ht="22" customHeight="1">
      <c r="B31" s="44" t="inlineStr">
        <is>
          <t>Recommendation
Ref.</t>
        </is>
      </c>
      <c r="C31" s="44" t="inlineStr">
        <is>
          <t>IAB Recommendation</t>
        </is>
      </c>
      <c r="D31" s="44" t="inlineStr">
        <is>
          <t>Related Course /</t>
        </is>
      </c>
      <c r="E31" s="44" t="inlineStr">
        <is>
          <t>Dept.</t>
        </is>
      </c>
      <c r="F31" s="44" t="inlineStr">
        <is>
          <t>Referred to BoS
(Date)</t>
        </is>
      </c>
      <c r="G31" s="44" t="inlineStr">
        <is>
          <t>BoS Decision</t>
        </is>
      </c>
      <c r="H31" s="44" t="inlineStr">
        <is>
          <t>Implementation
Date</t>
        </is>
      </c>
      <c r="I31" s="44" t="inlineStr">
        <is>
          <t>Status</t>
        </is>
      </c>
    </row>
    <row r="32" ht="28" customHeight="1">
      <c r="B32" s="54" t="inlineStr">
        <is>
          <t>IAB/REC/001</t>
        </is>
      </c>
      <c r="C32" s="46" t="inlineStr"/>
      <c r="D32" s="46" t="inlineStr"/>
      <c r="E32" s="45" t="inlineStr"/>
      <c r="F32" s="45" t="inlineStr"/>
      <c r="G32" s="45" t="inlineStr"/>
      <c r="H32" s="45" t="inlineStr"/>
      <c r="I32" s="45" t="inlineStr">
        <is>
          <t>Pending</t>
        </is>
      </c>
    </row>
    <row r="33" ht="28" customHeight="1">
      <c r="B33" s="8" t="inlineStr">
        <is>
          <t>IAB/REC/002</t>
        </is>
      </c>
      <c r="C33" s="9" t="inlineStr"/>
      <c r="D33" s="9" t="inlineStr"/>
      <c r="E33" s="10" t="inlineStr"/>
      <c r="F33" s="10" t="inlineStr"/>
      <c r="G33" s="10" t="inlineStr"/>
      <c r="H33" s="10" t="inlineStr"/>
      <c r="I33" s="10" t="inlineStr">
        <is>
          <t>Pending</t>
        </is>
      </c>
    </row>
    <row r="34" ht="28" customHeight="1">
      <c r="B34" s="54" t="inlineStr">
        <is>
          <t>IAB/REC/003</t>
        </is>
      </c>
      <c r="C34" s="46" t="inlineStr"/>
      <c r="D34" s="46" t="inlineStr"/>
      <c r="E34" s="45" t="inlineStr"/>
      <c r="F34" s="45" t="inlineStr"/>
      <c r="G34" s="45" t="inlineStr"/>
      <c r="H34" s="45" t="inlineStr"/>
      <c r="I34" s="45" t="inlineStr">
        <is>
          <t>Pending</t>
        </is>
      </c>
    </row>
    <row r="35" ht="28" customHeight="1">
      <c r="B35" s="8" t="inlineStr">
        <is>
          <t>IAB/REC/004</t>
        </is>
      </c>
      <c r="C35" s="9" t="inlineStr"/>
      <c r="D35" s="9" t="inlineStr"/>
      <c r="E35" s="10" t="inlineStr"/>
      <c r="F35" s="10" t="inlineStr"/>
      <c r="G35" s="10" t="inlineStr"/>
      <c r="H35" s="10" t="inlineStr"/>
      <c r="I35" s="10" t="inlineStr">
        <is>
          <t>Pending</t>
        </is>
      </c>
    </row>
    <row r="36" ht="28" customHeight="1">
      <c r="B36" s="54" t="inlineStr">
        <is>
          <t>IAB/REC/005</t>
        </is>
      </c>
      <c r="C36" s="46" t="inlineStr"/>
      <c r="D36" s="46" t="inlineStr"/>
      <c r="E36" s="45" t="inlineStr"/>
      <c r="F36" s="45" t="inlineStr"/>
      <c r="G36" s="45" t="inlineStr"/>
      <c r="H36" s="45" t="inlineStr"/>
      <c r="I36" s="45" t="inlineStr">
        <is>
          <t>Pending</t>
        </is>
      </c>
    </row>
    <row r="37" ht="28" customHeight="1">
      <c r="B37" s="8" t="inlineStr">
        <is>
          <t>IAB/REC/006</t>
        </is>
      </c>
      <c r="C37" s="9" t="inlineStr"/>
      <c r="D37" s="9" t="inlineStr"/>
      <c r="E37" s="10" t="inlineStr"/>
      <c r="F37" s="10" t="inlineStr"/>
      <c r="G37" s="10" t="inlineStr"/>
      <c r="H37" s="10" t="inlineStr"/>
      <c r="I37" s="10" t="inlineStr">
        <is>
          <t>Pending</t>
        </is>
      </c>
    </row>
    <row r="38" ht="28" customHeight="1">
      <c r="B38" s="54" t="inlineStr">
        <is>
          <t>IAB/REC/007</t>
        </is>
      </c>
      <c r="C38" s="46" t="inlineStr"/>
      <c r="D38" s="46" t="inlineStr"/>
      <c r="E38" s="45" t="inlineStr"/>
      <c r="F38" s="45" t="inlineStr"/>
      <c r="G38" s="45" t="inlineStr"/>
      <c r="H38" s="45" t="inlineStr"/>
      <c r="I38" s="45" t="inlineStr">
        <is>
          <t>Pending</t>
        </is>
      </c>
    </row>
    <row r="39" ht="28" customHeight="1">
      <c r="B39" s="8" t="inlineStr">
        <is>
          <t>IAB/REC/008</t>
        </is>
      </c>
      <c r="C39" s="9" t="inlineStr"/>
      <c r="D39" s="9" t="inlineStr"/>
      <c r="E39" s="10" t="inlineStr"/>
      <c r="F39" s="10" t="inlineStr"/>
      <c r="G39" s="10" t="inlineStr"/>
      <c r="H39" s="10" t="inlineStr"/>
      <c r="I39" s="10" t="inlineStr">
        <is>
          <t>Pending</t>
        </is>
      </c>
    </row>
    <row r="40" ht="28" customHeight="1">
      <c r="B40" s="54" t="inlineStr">
        <is>
          <t>IAB/REC/009</t>
        </is>
      </c>
      <c r="C40" s="46" t="inlineStr"/>
      <c r="D40" s="46" t="inlineStr"/>
      <c r="E40" s="45" t="inlineStr"/>
      <c r="F40" s="45" t="inlineStr"/>
      <c r="G40" s="45" t="inlineStr"/>
      <c r="H40" s="45" t="inlineStr"/>
      <c r="I40" s="45" t="inlineStr">
        <is>
          <t>Pending</t>
        </is>
      </c>
    </row>
    <row r="41" ht="28" customHeight="1">
      <c r="B41" s="8" t="inlineStr">
        <is>
          <t>IAB/REC/010</t>
        </is>
      </c>
      <c r="C41" s="9" t="inlineStr"/>
      <c r="D41" s="9" t="inlineStr"/>
      <c r="E41" s="10" t="inlineStr"/>
      <c r="F41" s="10" t="inlineStr"/>
      <c r="G41" s="10" t="inlineStr"/>
      <c r="H41" s="10" t="inlineStr"/>
      <c r="I41" s="10" t="inlineStr">
        <is>
          <t>Pending</t>
        </is>
      </c>
    </row>
  </sheetData>
  <mergeCells count="5">
    <mergeCell ref="B30:I30"/>
    <mergeCell ref="B2:I2"/>
    <mergeCell ref="B3:I3"/>
    <mergeCell ref="B19:I19"/>
    <mergeCell ref="B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IIPC-16: JOINT RESEARCH &amp; DEVELOPMENT PROJECT REGISTER</t>
        </is>
      </c>
    </row>
    <row r="3" ht="25" customHeight="1">
      <c r="B3" s="2" t="inlineStr">
        <is>
          <t>A.Y.: _______  Dean R&amp;D: ___________________  IIPC Coordinator: ___________________</t>
        </is>
      </c>
    </row>
    <row r="4" ht="25" customHeight="1">
      <c r="B4" s="13" t="inlineStr">
        <is>
          <t>Project
Ref.</t>
        </is>
      </c>
      <c r="C4" s="13" t="inlineStr">
        <is>
          <t>Project Title</t>
        </is>
      </c>
      <c r="D4" s="13" t="inlineStr">
        <is>
          <t>Industry Partner</t>
        </is>
      </c>
      <c r="E4" s="13" t="inlineStr">
        <is>
          <t>PI / Dept.</t>
        </is>
      </c>
      <c r="F4" s="13" t="inlineStr">
        <is>
          <t>Industry
Funding (₹L)</t>
        </is>
      </c>
      <c r="G4" s="13" t="inlineStr">
        <is>
          <t>Institute
Contribution</t>
        </is>
      </c>
      <c r="H4" s="13" t="inlineStr">
        <is>
          <t>Start
Date</t>
        </is>
      </c>
      <c r="I4" s="13" t="inlineStr">
        <is>
          <t>End
Date</t>
        </is>
      </c>
      <c r="J4" s="13" t="inlineStr">
        <is>
          <t>Status</t>
        </is>
      </c>
    </row>
    <row r="5" ht="22" customHeight="1">
      <c r="B5" s="14" t="inlineStr">
        <is>
          <t>JRD/2024/001</t>
        </is>
      </c>
      <c r="C5" s="15" t="inlineStr"/>
      <c r="D5" s="15" t="inlineStr"/>
      <c r="E5" s="16" t="inlineStr"/>
      <c r="F5" s="16" t="inlineStr"/>
      <c r="G5" s="16" t="inlineStr"/>
      <c r="H5" s="16" t="inlineStr"/>
      <c r="I5" s="16" t="inlineStr"/>
      <c r="J5" s="16" t="inlineStr">
        <is>
          <t>Ongoing</t>
        </is>
      </c>
    </row>
    <row r="6" ht="22" customHeight="1">
      <c r="B6" s="8" t="inlineStr">
        <is>
          <t>JRD/2024/002</t>
        </is>
      </c>
      <c r="C6" s="9" t="inlineStr"/>
      <c r="D6" s="9" t="inlineStr"/>
      <c r="E6" s="10" t="inlineStr"/>
      <c r="F6" s="10" t="inlineStr"/>
      <c r="G6" s="10" t="inlineStr"/>
      <c r="H6" s="10" t="inlineStr"/>
      <c r="I6" s="10" t="inlineStr"/>
      <c r="J6" s="10" t="inlineStr">
        <is>
          <t>Completed</t>
        </is>
      </c>
    </row>
    <row r="7" ht="22" customHeight="1">
      <c r="B7" s="14" t="inlineStr">
        <is>
          <t>JRD/2024/003</t>
        </is>
      </c>
      <c r="C7" s="15" t="inlineStr"/>
      <c r="D7" s="15" t="inlineStr"/>
      <c r="E7" s="16" t="inlineStr"/>
      <c r="F7" s="16" t="inlineStr"/>
      <c r="G7" s="16" t="inlineStr"/>
      <c r="H7" s="16" t="inlineStr"/>
      <c r="I7" s="16" t="inlineStr"/>
      <c r="J7" s="16" t="inlineStr">
        <is>
          <t>Pending Start</t>
        </is>
      </c>
    </row>
    <row r="8" ht="22" customHeight="1">
      <c r="B8" s="8" t="inlineStr">
        <is>
          <t>JRD/2024/004</t>
        </is>
      </c>
      <c r="C8" s="9" t="inlineStr"/>
      <c r="D8" s="9" t="inlineStr"/>
      <c r="E8" s="10" t="inlineStr"/>
      <c r="F8" s="10" t="inlineStr"/>
      <c r="G8" s="10" t="inlineStr"/>
      <c r="H8" s="10" t="inlineStr"/>
      <c r="I8" s="10" t="inlineStr"/>
      <c r="J8" s="10" t="inlineStr">
        <is>
          <t>Report Submitted</t>
        </is>
      </c>
    </row>
    <row r="9" ht="22" customHeight="1">
      <c r="B9" s="14" t="inlineStr">
        <is>
          <t>JRD/2024/005</t>
        </is>
      </c>
      <c r="C9" s="15" t="inlineStr"/>
      <c r="D9" s="15" t="inlineStr"/>
      <c r="E9" s="16" t="inlineStr"/>
      <c r="F9" s="16" t="inlineStr"/>
      <c r="G9" s="16" t="inlineStr"/>
      <c r="H9" s="16" t="inlineStr"/>
      <c r="I9" s="16" t="inlineStr"/>
      <c r="J9" s="16" t="inlineStr">
        <is>
          <t>Patent Filed</t>
        </is>
      </c>
    </row>
    <row r="10" ht="22" customHeight="1">
      <c r="B10" s="8" t="inlineStr">
        <is>
          <t>JRD/2024/006</t>
        </is>
      </c>
      <c r="C10" s="9" t="inlineStr"/>
      <c r="D10" s="9" t="inlineStr"/>
      <c r="E10" s="10" t="inlineStr"/>
      <c r="F10" s="10" t="inlineStr"/>
      <c r="G10" s="10" t="inlineStr"/>
      <c r="H10" s="10" t="inlineStr"/>
      <c r="I10" s="10" t="inlineStr"/>
      <c r="J10" s="10" t="inlineStr">
        <is>
          <t>Ongoing</t>
        </is>
      </c>
    </row>
    <row r="11" ht="22" customHeight="1">
      <c r="B11" s="14" t="inlineStr">
        <is>
          <t>JRD/2024/007</t>
        </is>
      </c>
      <c r="C11" s="15" t="inlineStr"/>
      <c r="D11" s="15" t="inlineStr"/>
      <c r="E11" s="16" t="inlineStr"/>
      <c r="F11" s="16" t="inlineStr"/>
      <c r="G11" s="16" t="inlineStr"/>
      <c r="H11" s="16" t="inlineStr"/>
      <c r="I11" s="16" t="inlineStr"/>
      <c r="J11" s="16" t="inlineStr">
        <is>
          <t>Completed</t>
        </is>
      </c>
    </row>
    <row r="12" ht="22" customHeight="1">
      <c r="B12" s="8" t="inlineStr">
        <is>
          <t>JRD/2024/008</t>
        </is>
      </c>
      <c r="C12" s="9" t="inlineStr"/>
      <c r="D12" s="9" t="inlineStr"/>
      <c r="E12" s="10" t="inlineStr"/>
      <c r="F12" s="10" t="inlineStr"/>
      <c r="G12" s="10" t="inlineStr"/>
      <c r="H12" s="10" t="inlineStr"/>
      <c r="I12" s="10" t="inlineStr"/>
      <c r="J12" s="10" t="inlineStr">
        <is>
          <t>Pending Start</t>
        </is>
      </c>
    </row>
    <row r="13" ht="22" customHeight="1">
      <c r="B13" s="14" t="inlineStr">
        <is>
          <t>JRD/2025/009</t>
        </is>
      </c>
      <c r="C13" s="15" t="inlineStr"/>
      <c r="D13" s="15" t="inlineStr"/>
      <c r="E13" s="16" t="inlineStr"/>
      <c r="F13" s="16" t="inlineStr"/>
      <c r="G13" s="16" t="inlineStr"/>
      <c r="H13" s="16" t="inlineStr"/>
      <c r="I13" s="16" t="inlineStr"/>
      <c r="J13" s="16" t="inlineStr">
        <is>
          <t>Report Submitted</t>
        </is>
      </c>
    </row>
    <row r="14" ht="22" customHeight="1">
      <c r="B14" s="8" t="inlineStr">
        <is>
          <t>JRD/2025/010</t>
        </is>
      </c>
      <c r="C14" s="9" t="inlineStr"/>
      <c r="D14" s="9" t="inlineStr"/>
      <c r="E14" s="10" t="inlineStr"/>
      <c r="F14" s="10" t="inlineStr"/>
      <c r="G14" s="10" t="inlineStr"/>
      <c r="H14" s="10" t="inlineStr"/>
      <c r="I14" s="10" t="inlineStr"/>
      <c r="J14" s="10" t="inlineStr">
        <is>
          <t>Patent Filed</t>
        </is>
      </c>
    </row>
    <row r="15" ht="22" customHeight="1">
      <c r="B15" s="14" t="inlineStr">
        <is>
          <t>JRD/2025/011</t>
        </is>
      </c>
      <c r="C15" s="15" t="inlineStr"/>
      <c r="D15" s="15" t="inlineStr"/>
      <c r="E15" s="16" t="inlineStr"/>
      <c r="F15" s="16" t="inlineStr"/>
      <c r="G15" s="16" t="inlineStr"/>
      <c r="H15" s="16" t="inlineStr"/>
      <c r="I15" s="16" t="inlineStr"/>
      <c r="J15" s="16" t="inlineStr">
        <is>
          <t>Ongoing</t>
        </is>
      </c>
    </row>
    <row r="16" ht="22" customHeight="1">
      <c r="B16" s="8" t="inlineStr">
        <is>
          <t>JRD/2025/012</t>
        </is>
      </c>
      <c r="C16" s="9" t="inlineStr"/>
      <c r="D16" s="9" t="inlineStr"/>
      <c r="E16" s="10" t="inlineStr"/>
      <c r="F16" s="10" t="inlineStr"/>
      <c r="G16" s="10" t="inlineStr"/>
      <c r="H16" s="10" t="inlineStr"/>
      <c r="I16" s="10" t="inlineStr"/>
      <c r="J16" s="10" t="inlineStr">
        <is>
          <t>Completed</t>
        </is>
      </c>
    </row>
    <row r="17" ht="22" customHeight="1">
      <c r="B17" s="14" t="inlineStr">
        <is>
          <t>JRD/2025/013</t>
        </is>
      </c>
      <c r="C17" s="15" t="inlineStr"/>
      <c r="D17" s="15" t="inlineStr"/>
      <c r="E17" s="16" t="inlineStr"/>
      <c r="F17" s="16" t="inlineStr"/>
      <c r="G17" s="16" t="inlineStr"/>
      <c r="H17" s="16" t="inlineStr"/>
      <c r="I17" s="16" t="inlineStr"/>
      <c r="J17" s="16" t="inlineStr">
        <is>
          <t>Pending Start</t>
        </is>
      </c>
    </row>
    <row r="18" ht="22" customHeight="1">
      <c r="B18" s="8" t="inlineStr">
        <is>
          <t>JRD/2025/014</t>
        </is>
      </c>
      <c r="C18" s="9" t="inlineStr"/>
      <c r="D18" s="9" t="inlineStr"/>
      <c r="E18" s="10" t="inlineStr"/>
      <c r="F18" s="10" t="inlineStr"/>
      <c r="G18" s="10" t="inlineStr"/>
      <c r="H18" s="10" t="inlineStr"/>
      <c r="I18" s="10" t="inlineStr"/>
      <c r="J18" s="10" t="inlineStr">
        <is>
          <t>Report Submitted</t>
        </is>
      </c>
    </row>
    <row r="19" ht="22" customHeight="1">
      <c r="B19" s="14" t="inlineStr">
        <is>
          <t>JRD/2025/015</t>
        </is>
      </c>
      <c r="C19" s="15" t="inlineStr"/>
      <c r="D19" s="15" t="inlineStr"/>
      <c r="E19" s="16" t="inlineStr"/>
      <c r="F19" s="16" t="inlineStr"/>
      <c r="G19" s="16" t="inlineStr"/>
      <c r="H19" s="16" t="inlineStr"/>
      <c r="I19" s="16" t="inlineStr"/>
      <c r="J19" s="16" t="inlineStr">
        <is>
          <t>Patent Filed</t>
        </is>
      </c>
    </row>
    <row r="20" ht="22" customHeight="1">
      <c r="B20" s="8" t="inlineStr">
        <is>
          <t>JRD/2025/016</t>
        </is>
      </c>
      <c r="C20" s="9" t="inlineStr"/>
      <c r="D20" s="9" t="inlineStr"/>
      <c r="E20" s="10" t="inlineStr"/>
      <c r="F20" s="10" t="inlineStr"/>
      <c r="G20" s="10" t="inlineStr"/>
      <c r="H20" s="10" t="inlineStr"/>
      <c r="I20" s="10" t="inlineStr"/>
      <c r="J20" s="10" t="inlineStr">
        <is>
          <t>Ongoing</t>
        </is>
      </c>
    </row>
    <row r="21" ht="22" customHeight="1"/>
    <row r="22" ht="24" customHeight="1">
      <c r="B22" s="35" t="inlineStr">
        <is>
          <t>JOINT R&amp;D PORTFOLIO SUMMARY</t>
        </is>
      </c>
    </row>
    <row r="23" ht="22" customHeight="1">
      <c r="B23" s="60" t="inlineStr">
        <is>
          <t>Total Joint R&amp;D Projects</t>
        </is>
      </c>
      <c r="C23" s="80" t="n"/>
      <c r="D23" s="80" t="n"/>
      <c r="E23" s="81" t="n"/>
      <c r="F23" s="37">
        <f>COUNTA(B5:B20)</f>
        <v/>
      </c>
      <c r="G23" s="80" t="n"/>
      <c r="H23" s="80" t="n"/>
      <c r="I23" s="80" t="n"/>
      <c r="J23" s="81" t="n"/>
    </row>
    <row r="24" ht="22" customHeight="1">
      <c r="B24" s="26" t="inlineStr">
        <is>
          <t>Ongoing Projects</t>
        </is>
      </c>
      <c r="C24" s="80" t="n"/>
      <c r="D24" s="80" t="n"/>
      <c r="E24" s="81" t="n"/>
      <c r="F24" s="38">
        <f>COUNTIF(J5:J20,"Ongoing")</f>
        <v/>
      </c>
      <c r="G24" s="80" t="n"/>
      <c r="H24" s="80" t="n"/>
      <c r="I24" s="80" t="n"/>
      <c r="J24" s="81" t="n"/>
    </row>
    <row r="25" ht="22" customHeight="1">
      <c r="B25" s="60" t="inlineStr">
        <is>
          <t>Completed Projects</t>
        </is>
      </c>
      <c r="C25" s="80" t="n"/>
      <c r="D25" s="80" t="n"/>
      <c r="E25" s="81" t="n"/>
      <c r="F25" s="37">
        <f>COUNTIF(J5:J20,"Completed")</f>
        <v/>
      </c>
      <c r="G25" s="80" t="n"/>
      <c r="H25" s="80" t="n"/>
      <c r="I25" s="80" t="n"/>
      <c r="J25" s="81" t="n"/>
    </row>
    <row r="26" ht="22" customHeight="1">
      <c r="B26" s="26" t="inlineStr">
        <is>
          <t>Total Industry Funding (₹L)</t>
        </is>
      </c>
      <c r="C26" s="80" t="n"/>
      <c r="D26" s="80" t="n"/>
      <c r="E26" s="81" t="n"/>
      <c r="F26" s="38">
        <f>IFERROR(SUM(F5:F20),"")</f>
        <v/>
      </c>
      <c r="G26" s="80" t="n"/>
      <c r="H26" s="80" t="n"/>
      <c r="I26" s="80" t="n"/>
      <c r="J26" s="81" t="n"/>
    </row>
    <row r="27" ht="22" customHeight="1">
      <c r="B27" s="60" t="inlineStr">
        <is>
          <t>Papers Published from Joint Projects</t>
        </is>
      </c>
      <c r="C27" s="80" t="n"/>
      <c r="D27" s="80" t="n"/>
      <c r="E27" s="81" t="n"/>
      <c r="F27" s="37" t="inlineStr"/>
      <c r="G27" s="80" t="n"/>
      <c r="H27" s="80" t="n"/>
      <c r="I27" s="80" t="n"/>
      <c r="J27" s="81" t="n"/>
    </row>
    <row r="28" ht="22" customHeight="1">
      <c r="B28" s="26" t="inlineStr">
        <is>
          <t>Patents Filed from Joint Projects</t>
        </is>
      </c>
      <c r="C28" s="80" t="n"/>
      <c r="D28" s="80" t="n"/>
      <c r="E28" s="81" t="n"/>
      <c r="F28" s="38" t="inlineStr"/>
      <c r="G28" s="80" t="n"/>
      <c r="H28" s="80" t="n"/>
      <c r="I28" s="80" t="n"/>
      <c r="J28" s="81" t="n"/>
    </row>
    <row r="29" ht="22" customHeight="1">
      <c r="B29" s="60" t="inlineStr">
        <is>
          <t>Products / Technologies Developed</t>
        </is>
      </c>
      <c r="C29" s="80" t="n"/>
      <c r="D29" s="80" t="n"/>
      <c r="E29" s="81" t="n"/>
      <c r="F29" s="37" t="inlineStr"/>
      <c r="G29" s="80" t="n"/>
      <c r="H29" s="80" t="n"/>
      <c r="I29" s="80" t="n"/>
      <c r="J29" s="81" t="n"/>
    </row>
    <row r="30" ht="22" customHeight="1"/>
    <row r="31" ht="22" customHeight="1"/>
  </sheetData>
  <mergeCells count="17">
    <mergeCell ref="B26:E26"/>
    <mergeCell ref="B27:E27"/>
    <mergeCell ref="B3:J3"/>
    <mergeCell ref="F29:J29"/>
    <mergeCell ref="B23:E23"/>
    <mergeCell ref="F24:J24"/>
    <mergeCell ref="F23:J23"/>
    <mergeCell ref="B22:J22"/>
    <mergeCell ref="F25:J25"/>
    <mergeCell ref="F28:J28"/>
    <mergeCell ref="B25:E25"/>
    <mergeCell ref="B29:E29"/>
    <mergeCell ref="B24:E24"/>
    <mergeCell ref="F27:J27"/>
    <mergeCell ref="B28:E28"/>
    <mergeCell ref="F26:J26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IIPC-19: LIVE PROJECT / INDUSTRY PROBLEM STATEMENT REGISTER</t>
        </is>
      </c>
    </row>
    <row r="3" ht="25" customHeight="1">
      <c r="B3" s="2" t="inlineStr">
        <is>
          <t>Semester: _______  A.Y.: _______  IIPC Coordinator: ___________________  Faculty Coordinator: ___________________</t>
        </is>
      </c>
    </row>
    <row r="4" ht="25" customHeight="1">
      <c r="B4" s="13" t="inlineStr">
        <is>
          <t>Project
Ref.</t>
        </is>
      </c>
      <c r="C4" s="13" t="inlineStr">
        <is>
          <t>Problem Statement / Title</t>
        </is>
      </c>
      <c r="D4" s="13" t="inlineStr">
        <is>
          <t>Sponsoring
Organisation</t>
        </is>
      </c>
      <c r="E4" s="13" t="inlineStr">
        <is>
          <t>Student
Team</t>
        </is>
      </c>
      <c r="F4" s="13" t="inlineStr">
        <is>
          <t>Faculty
Guide</t>
        </is>
      </c>
      <c r="G4" s="13" t="inlineStr">
        <is>
          <t>Semester /
Duration</t>
        </is>
      </c>
      <c r="H4" s="13" t="inlineStr">
        <is>
          <t>Deliverable</t>
        </is>
      </c>
      <c r="I4" s="13" t="inlineStr">
        <is>
          <t>Industry
Rating (/5)</t>
        </is>
      </c>
      <c r="J4" s="13" t="inlineStr">
        <is>
          <t>Status</t>
        </is>
      </c>
    </row>
    <row r="5" ht="22" customHeight="1">
      <c r="B5" s="14" t="inlineStr">
        <is>
          <t>LP/2024/001</t>
        </is>
      </c>
      <c r="C5" s="15" t="inlineStr"/>
      <c r="D5" s="15" t="inlineStr"/>
      <c r="E5" s="16" t="inlineStr">
        <is>
          <t>Team 1</t>
        </is>
      </c>
      <c r="F5" s="16" t="inlineStr"/>
      <c r="G5" s="16" t="inlineStr"/>
      <c r="H5" s="16" t="inlineStr">
        <is>
          <t>Prototype/Report</t>
        </is>
      </c>
      <c r="I5" s="16" t="inlineStr"/>
      <c r="J5" s="16" t="inlineStr">
        <is>
          <t>Completed</t>
        </is>
      </c>
    </row>
    <row r="6" ht="22" customHeight="1">
      <c r="B6" s="8" t="inlineStr">
        <is>
          <t>LP/2024/002</t>
        </is>
      </c>
      <c r="C6" s="9" t="inlineStr"/>
      <c r="D6" s="9" t="inlineStr"/>
      <c r="E6" s="10" t="inlineStr">
        <is>
          <t>Team 2</t>
        </is>
      </c>
      <c r="F6" s="10" t="inlineStr"/>
      <c r="G6" s="10" t="inlineStr"/>
      <c r="H6" s="10" t="inlineStr">
        <is>
          <t>Prototype/Report</t>
        </is>
      </c>
      <c r="I6" s="10" t="inlineStr"/>
      <c r="J6" s="10" t="inlineStr">
        <is>
          <t>Ongoing</t>
        </is>
      </c>
    </row>
    <row r="7" ht="22" customHeight="1">
      <c r="B7" s="14" t="inlineStr">
        <is>
          <t>LP/2024/003</t>
        </is>
      </c>
      <c r="C7" s="15" t="inlineStr"/>
      <c r="D7" s="15" t="inlineStr"/>
      <c r="E7" s="16" t="inlineStr">
        <is>
          <t>Team 3</t>
        </is>
      </c>
      <c r="F7" s="16" t="inlineStr"/>
      <c r="G7" s="16" t="inlineStr"/>
      <c r="H7" s="16" t="inlineStr">
        <is>
          <t>Prototype/Report</t>
        </is>
      </c>
      <c r="I7" s="16" t="inlineStr"/>
      <c r="J7" s="16" t="inlineStr">
        <is>
          <t>Evaluated</t>
        </is>
      </c>
    </row>
    <row r="8" ht="22" customHeight="1">
      <c r="B8" s="8" t="inlineStr">
        <is>
          <t>LP/2024/004</t>
        </is>
      </c>
      <c r="C8" s="9" t="inlineStr"/>
      <c r="D8" s="9" t="inlineStr"/>
      <c r="E8" s="10" t="inlineStr">
        <is>
          <t>Team 4</t>
        </is>
      </c>
      <c r="F8" s="10" t="inlineStr"/>
      <c r="G8" s="10" t="inlineStr"/>
      <c r="H8" s="10" t="inlineStr">
        <is>
          <t>Prototype/Report</t>
        </is>
      </c>
      <c r="I8" s="10" t="inlineStr"/>
      <c r="J8" s="10" t="inlineStr">
        <is>
          <t>Awarded — Best Project</t>
        </is>
      </c>
    </row>
    <row r="9" ht="22" customHeight="1">
      <c r="B9" s="14" t="inlineStr">
        <is>
          <t>LP/2024/005</t>
        </is>
      </c>
      <c r="C9" s="15" t="inlineStr"/>
      <c r="D9" s="15" t="inlineStr"/>
      <c r="E9" s="16" t="inlineStr">
        <is>
          <t>Team 5</t>
        </is>
      </c>
      <c r="F9" s="16" t="inlineStr"/>
      <c r="G9" s="16" t="inlineStr"/>
      <c r="H9" s="16" t="inlineStr">
        <is>
          <t>Prototype/Report</t>
        </is>
      </c>
      <c r="I9" s="16" t="inlineStr"/>
      <c r="J9" s="16" t="inlineStr">
        <is>
          <t>Completed</t>
        </is>
      </c>
    </row>
    <row r="10" ht="22" customHeight="1">
      <c r="B10" s="8" t="inlineStr">
        <is>
          <t>LP/2024/006</t>
        </is>
      </c>
      <c r="C10" s="9" t="inlineStr"/>
      <c r="D10" s="9" t="inlineStr"/>
      <c r="E10" s="10" t="inlineStr">
        <is>
          <t>Team 6</t>
        </is>
      </c>
      <c r="F10" s="10" t="inlineStr"/>
      <c r="G10" s="10" t="inlineStr"/>
      <c r="H10" s="10" t="inlineStr">
        <is>
          <t>Prototype/Report</t>
        </is>
      </c>
      <c r="I10" s="10" t="inlineStr"/>
      <c r="J10" s="10" t="inlineStr">
        <is>
          <t>Ongoing</t>
        </is>
      </c>
    </row>
    <row r="11" ht="22" customHeight="1">
      <c r="B11" s="14" t="inlineStr">
        <is>
          <t>LP/2024/007</t>
        </is>
      </c>
      <c r="C11" s="15" t="inlineStr"/>
      <c r="D11" s="15" t="inlineStr"/>
      <c r="E11" s="16" t="inlineStr">
        <is>
          <t>Team 7</t>
        </is>
      </c>
      <c r="F11" s="16" t="inlineStr"/>
      <c r="G11" s="16" t="inlineStr"/>
      <c r="H11" s="16" t="inlineStr">
        <is>
          <t>Prototype/Report</t>
        </is>
      </c>
      <c r="I11" s="16" t="inlineStr"/>
      <c r="J11" s="16" t="inlineStr">
        <is>
          <t>Evaluated</t>
        </is>
      </c>
    </row>
    <row r="12" ht="22" customHeight="1">
      <c r="B12" s="8" t="inlineStr">
        <is>
          <t>LP/2024/008</t>
        </is>
      </c>
      <c r="C12" s="9" t="inlineStr"/>
      <c r="D12" s="9" t="inlineStr"/>
      <c r="E12" s="10" t="inlineStr">
        <is>
          <t>Team 8</t>
        </is>
      </c>
      <c r="F12" s="10" t="inlineStr"/>
      <c r="G12" s="10" t="inlineStr"/>
      <c r="H12" s="10" t="inlineStr">
        <is>
          <t>Prototype/Report</t>
        </is>
      </c>
      <c r="I12" s="10" t="inlineStr"/>
      <c r="J12" s="10" t="inlineStr">
        <is>
          <t>Awarded — Best Project</t>
        </is>
      </c>
    </row>
    <row r="13" ht="22" customHeight="1">
      <c r="B13" s="14" t="inlineStr">
        <is>
          <t>LP/2024/009</t>
        </is>
      </c>
      <c r="C13" s="15" t="inlineStr"/>
      <c r="D13" s="15" t="inlineStr"/>
      <c r="E13" s="16" t="inlineStr">
        <is>
          <t>Team 9</t>
        </is>
      </c>
      <c r="F13" s="16" t="inlineStr"/>
      <c r="G13" s="16" t="inlineStr"/>
      <c r="H13" s="16" t="inlineStr">
        <is>
          <t>Prototype/Report</t>
        </is>
      </c>
      <c r="I13" s="16" t="inlineStr"/>
      <c r="J13" s="16" t="inlineStr">
        <is>
          <t>Completed</t>
        </is>
      </c>
    </row>
    <row r="14" ht="22" customHeight="1">
      <c r="B14" s="8" t="inlineStr">
        <is>
          <t>LP/2024/010</t>
        </is>
      </c>
      <c r="C14" s="9" t="inlineStr"/>
      <c r="D14" s="9" t="inlineStr"/>
      <c r="E14" s="10" t="inlineStr">
        <is>
          <t>Team 10</t>
        </is>
      </c>
      <c r="F14" s="10" t="inlineStr"/>
      <c r="G14" s="10" t="inlineStr"/>
      <c r="H14" s="10" t="inlineStr">
        <is>
          <t>Prototype/Report</t>
        </is>
      </c>
      <c r="I14" s="10" t="inlineStr"/>
      <c r="J14" s="10" t="inlineStr">
        <is>
          <t>Ongoing</t>
        </is>
      </c>
    </row>
    <row r="15" ht="22" customHeight="1">
      <c r="B15" s="14" t="inlineStr">
        <is>
          <t>LP/2025/011</t>
        </is>
      </c>
      <c r="C15" s="15" t="inlineStr"/>
      <c r="D15" s="15" t="inlineStr"/>
      <c r="E15" s="16" t="inlineStr">
        <is>
          <t>Team 11</t>
        </is>
      </c>
      <c r="F15" s="16" t="inlineStr"/>
      <c r="G15" s="16" t="inlineStr"/>
      <c r="H15" s="16" t="inlineStr">
        <is>
          <t>Prototype/Report</t>
        </is>
      </c>
      <c r="I15" s="16" t="inlineStr"/>
      <c r="J15" s="16" t="inlineStr">
        <is>
          <t>Evaluated</t>
        </is>
      </c>
    </row>
    <row r="16" ht="22" customHeight="1">
      <c r="B16" s="8" t="inlineStr">
        <is>
          <t>LP/2025/012</t>
        </is>
      </c>
      <c r="C16" s="9" t="inlineStr"/>
      <c r="D16" s="9" t="inlineStr"/>
      <c r="E16" s="10" t="inlineStr">
        <is>
          <t>Team 12</t>
        </is>
      </c>
      <c r="F16" s="10" t="inlineStr"/>
      <c r="G16" s="10" t="inlineStr"/>
      <c r="H16" s="10" t="inlineStr">
        <is>
          <t>Prototype/Report</t>
        </is>
      </c>
      <c r="I16" s="10" t="inlineStr"/>
      <c r="J16" s="10" t="inlineStr">
        <is>
          <t>Awarded — Best Project</t>
        </is>
      </c>
    </row>
    <row r="17" ht="22" customHeight="1">
      <c r="B17" s="14" t="inlineStr">
        <is>
          <t>LP/2025/013</t>
        </is>
      </c>
      <c r="C17" s="15" t="inlineStr"/>
      <c r="D17" s="15" t="inlineStr"/>
      <c r="E17" s="16" t="inlineStr">
        <is>
          <t>Team 13</t>
        </is>
      </c>
      <c r="F17" s="16" t="inlineStr"/>
      <c r="G17" s="16" t="inlineStr"/>
      <c r="H17" s="16" t="inlineStr">
        <is>
          <t>Prototype/Report</t>
        </is>
      </c>
      <c r="I17" s="16" t="inlineStr"/>
      <c r="J17" s="16" t="inlineStr">
        <is>
          <t>Completed</t>
        </is>
      </c>
    </row>
    <row r="18" ht="22" customHeight="1">
      <c r="B18" s="8" t="inlineStr">
        <is>
          <t>LP/2025/014</t>
        </is>
      </c>
      <c r="C18" s="9" t="inlineStr"/>
      <c r="D18" s="9" t="inlineStr"/>
      <c r="E18" s="10" t="inlineStr">
        <is>
          <t>Team 14</t>
        </is>
      </c>
      <c r="F18" s="10" t="inlineStr"/>
      <c r="G18" s="10" t="inlineStr"/>
      <c r="H18" s="10" t="inlineStr">
        <is>
          <t>Prototype/Report</t>
        </is>
      </c>
      <c r="I18" s="10" t="inlineStr"/>
      <c r="J18" s="10" t="inlineStr">
        <is>
          <t>Ongoing</t>
        </is>
      </c>
    </row>
    <row r="19" ht="22" customHeight="1">
      <c r="B19" s="14" t="inlineStr">
        <is>
          <t>LP/2025/015</t>
        </is>
      </c>
      <c r="C19" s="15" t="inlineStr"/>
      <c r="D19" s="15" t="inlineStr"/>
      <c r="E19" s="16" t="inlineStr">
        <is>
          <t>Team 15</t>
        </is>
      </c>
      <c r="F19" s="16" t="inlineStr"/>
      <c r="G19" s="16" t="inlineStr"/>
      <c r="H19" s="16" t="inlineStr">
        <is>
          <t>Prototype/Report</t>
        </is>
      </c>
      <c r="I19" s="16" t="inlineStr"/>
      <c r="J19" s="16" t="inlineStr">
        <is>
          <t>Evaluated</t>
        </is>
      </c>
    </row>
    <row r="20" ht="22" customHeight="1">
      <c r="B20" s="8" t="inlineStr">
        <is>
          <t>LP/2025/016</t>
        </is>
      </c>
      <c r="C20" s="9" t="inlineStr"/>
      <c r="D20" s="9" t="inlineStr"/>
      <c r="E20" s="10" t="inlineStr">
        <is>
          <t>Team 16</t>
        </is>
      </c>
      <c r="F20" s="10" t="inlineStr"/>
      <c r="G20" s="10" t="inlineStr"/>
      <c r="H20" s="10" t="inlineStr">
        <is>
          <t>Prototype/Report</t>
        </is>
      </c>
      <c r="I20" s="10" t="inlineStr"/>
      <c r="J20" s="10" t="inlineStr">
        <is>
          <t>Awarded — Best Project</t>
        </is>
      </c>
    </row>
    <row r="21" ht="22" customHeight="1">
      <c r="B21" s="14" t="inlineStr">
        <is>
          <t>LP/2025/017</t>
        </is>
      </c>
      <c r="C21" s="15" t="inlineStr"/>
      <c r="D21" s="15" t="inlineStr"/>
      <c r="E21" s="16" t="inlineStr">
        <is>
          <t>Team 17</t>
        </is>
      </c>
      <c r="F21" s="16" t="inlineStr"/>
      <c r="G21" s="16" t="inlineStr"/>
      <c r="H21" s="16" t="inlineStr">
        <is>
          <t>Prototype/Report</t>
        </is>
      </c>
      <c r="I21" s="16" t="inlineStr"/>
      <c r="J21" s="16" t="inlineStr">
        <is>
          <t>Completed</t>
        </is>
      </c>
    </row>
    <row r="22" ht="22" customHeight="1">
      <c r="B22" s="8" t="inlineStr">
        <is>
          <t>LP/2025/018</t>
        </is>
      </c>
      <c r="C22" s="9" t="inlineStr"/>
      <c r="D22" s="9" t="inlineStr"/>
      <c r="E22" s="10" t="inlineStr">
        <is>
          <t>Team 18</t>
        </is>
      </c>
      <c r="F22" s="10" t="inlineStr"/>
      <c r="G22" s="10" t="inlineStr"/>
      <c r="H22" s="10" t="inlineStr">
        <is>
          <t>Prototype/Report</t>
        </is>
      </c>
      <c r="I22" s="10" t="inlineStr"/>
      <c r="J22" s="10" t="inlineStr">
        <is>
          <t>Ongoing</t>
        </is>
      </c>
    </row>
    <row r="23" ht="22" customHeight="1">
      <c r="B23" s="14" t="inlineStr">
        <is>
          <t>LP/2025/019</t>
        </is>
      </c>
      <c r="C23" s="15" t="inlineStr"/>
      <c r="D23" s="15" t="inlineStr"/>
      <c r="E23" s="16" t="inlineStr">
        <is>
          <t>Team 19</t>
        </is>
      </c>
      <c r="F23" s="16" t="inlineStr"/>
      <c r="G23" s="16" t="inlineStr"/>
      <c r="H23" s="16" t="inlineStr">
        <is>
          <t>Prototype/Report</t>
        </is>
      </c>
      <c r="I23" s="16" t="inlineStr"/>
      <c r="J23" s="16" t="inlineStr">
        <is>
          <t>Evaluated</t>
        </is>
      </c>
    </row>
    <row r="24" ht="22" customHeight="1">
      <c r="B24" s="8" t="inlineStr">
        <is>
          <t>LP/2025/020</t>
        </is>
      </c>
      <c r="C24" s="9" t="inlineStr"/>
      <c r="D24" s="9" t="inlineStr"/>
      <c r="E24" s="10" t="inlineStr">
        <is>
          <t>Team 20</t>
        </is>
      </c>
      <c r="F24" s="10" t="inlineStr"/>
      <c r="G24" s="10" t="inlineStr"/>
      <c r="H24" s="10" t="inlineStr">
        <is>
          <t>Prototype/Report</t>
        </is>
      </c>
      <c r="I24" s="10" t="inlineStr"/>
      <c r="J24" s="10" t="inlineStr">
        <is>
          <t>Awarded — Best Project</t>
        </is>
      </c>
    </row>
    <row r="25" ht="22" customHeight="1"/>
    <row r="26" ht="24" customHeight="1">
      <c r="B26" s="35" t="inlineStr">
        <is>
          <t>LIVE PROJECT IMPACT SUMMARY</t>
        </is>
      </c>
    </row>
    <row r="27" ht="22" customHeight="1">
      <c r="B27" s="60" t="inlineStr">
        <is>
          <t>Total Live Projects</t>
        </is>
      </c>
      <c r="C27" s="80" t="n"/>
      <c r="D27" s="80" t="n"/>
      <c r="E27" s="81" t="n"/>
      <c r="F27" s="37">
        <f>COUNTA(B5:B24)</f>
        <v/>
      </c>
      <c r="G27" s="80" t="n"/>
      <c r="H27" s="80" t="n"/>
      <c r="I27" s="80" t="n"/>
      <c r="J27" s="81" t="n"/>
    </row>
    <row r="28" ht="22" customHeight="1">
      <c r="B28" s="26" t="inlineStr">
        <is>
          <t>Completed &amp; Delivered</t>
        </is>
      </c>
      <c r="C28" s="80" t="n"/>
      <c r="D28" s="80" t="n"/>
      <c r="E28" s="81" t="n"/>
      <c r="F28" s="38">
        <f>COUNTIF(J5:J24,"Completed")</f>
        <v/>
      </c>
      <c r="G28" s="80" t="n"/>
      <c r="H28" s="80" t="n"/>
      <c r="I28" s="80" t="n"/>
      <c r="J28" s="81" t="n"/>
    </row>
    <row r="29" ht="22" customHeight="1">
      <c r="B29" s="60" t="inlineStr">
        <is>
          <t>Projects Converted to Research / Patent</t>
        </is>
      </c>
      <c r="C29" s="80" t="n"/>
      <c r="D29" s="80" t="n"/>
      <c r="E29" s="81" t="n"/>
      <c r="F29" s="37" t="inlineStr"/>
      <c r="G29" s="80" t="n"/>
      <c r="H29" s="80" t="n"/>
      <c r="I29" s="80" t="n"/>
      <c r="J29" s="81" t="n"/>
    </row>
    <row r="30" ht="22" customHeight="1">
      <c r="B30" s="26" t="inlineStr">
        <is>
          <t>Students Benefited</t>
        </is>
      </c>
      <c r="C30" s="80" t="n"/>
      <c r="D30" s="80" t="n"/>
      <c r="E30" s="81" t="n"/>
      <c r="F30" s="38" t="inlineStr"/>
      <c r="G30" s="80" t="n"/>
      <c r="H30" s="80" t="n"/>
      <c r="I30" s="80" t="n"/>
      <c r="J30" s="81" t="n"/>
    </row>
    <row r="31" ht="22" customHeight="1">
      <c r="B31" s="60" t="inlineStr">
        <is>
          <t>Companies Providing Problems</t>
        </is>
      </c>
      <c r="C31" s="80" t="n"/>
      <c r="D31" s="80" t="n"/>
      <c r="E31" s="81" t="n"/>
      <c r="F31" s="37" t="inlineStr"/>
      <c r="G31" s="80" t="n"/>
      <c r="H31" s="80" t="n"/>
      <c r="I31" s="80" t="n"/>
      <c r="J31" s="81" t="n"/>
    </row>
    <row r="32" ht="22" customHeight="1">
      <c r="B32" s="26" t="inlineStr">
        <is>
          <t>Average Industry Rating (/5)</t>
        </is>
      </c>
      <c r="C32" s="80" t="n"/>
      <c r="D32" s="80" t="n"/>
      <c r="E32" s="81" t="n"/>
      <c r="F32" s="38">
        <f>IFERROR(ROUND(AVERAGE(I5:I24),2),"")</f>
        <v/>
      </c>
      <c r="G32" s="80" t="n"/>
      <c r="H32" s="80" t="n"/>
      <c r="I32" s="80" t="n"/>
      <c r="J32" s="81" t="n"/>
    </row>
    <row r="33" ht="22" customHeight="1"/>
  </sheetData>
  <mergeCells count="15">
    <mergeCell ref="B31:E31"/>
    <mergeCell ref="F30:J30"/>
    <mergeCell ref="B27:E27"/>
    <mergeCell ref="B3:J3"/>
    <mergeCell ref="F29:J29"/>
    <mergeCell ref="B30:E30"/>
    <mergeCell ref="B26:J26"/>
    <mergeCell ref="F28:J28"/>
    <mergeCell ref="B29:E29"/>
    <mergeCell ref="B2:J2"/>
    <mergeCell ref="F31:J31"/>
    <mergeCell ref="B28:E28"/>
    <mergeCell ref="F32:J32"/>
    <mergeCell ref="F27:J27"/>
    <mergeCell ref="B32:E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K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8" t="inlineStr">
        <is>
          <t>IIPC-20: CAMPUS RECRUITMENT DRIVE REGISTER</t>
        </is>
      </c>
    </row>
    <row r="3" ht="25" customHeight="1">
      <c r="B3" s="2" t="inlineStr">
        <is>
          <t>A.Y.: _______  T&amp;P Officer: ___________________  NAAC Ref.: Criterion V.2 / NIRF Graduation Outcomes</t>
        </is>
      </c>
    </row>
    <row r="4" ht="25" customHeight="1">
      <c r="B4" s="13" t="inlineStr">
        <is>
          <t>Drive
Ref.</t>
        </is>
      </c>
      <c r="C4" s="13" t="inlineStr">
        <is>
          <t>Company / Organisation</t>
        </is>
      </c>
      <c r="D4" s="13" t="inlineStr">
        <is>
          <t>Sector</t>
        </is>
      </c>
      <c r="E4" s="13" t="inlineStr">
        <is>
          <t>Drive
Date</t>
        </is>
      </c>
      <c r="F4" s="13" t="inlineStr">
        <is>
          <t>Programmes
Eligible</t>
        </is>
      </c>
      <c r="G4" s="13" t="inlineStr">
        <is>
          <t>Students
Registered</t>
        </is>
      </c>
      <c r="H4" s="13" t="inlineStr">
        <is>
          <t>Students
Shortlisted</t>
        </is>
      </c>
      <c r="I4" s="13" t="inlineStr">
        <is>
          <t>Students
Offered</t>
        </is>
      </c>
      <c r="J4" s="13" t="inlineStr">
        <is>
          <t>Avg CTC
(₹L PA)</t>
        </is>
      </c>
      <c r="K4" s="13" t="inlineStr">
        <is>
          <t>Drive
Outcome</t>
        </is>
      </c>
    </row>
    <row r="5" ht="22" customHeight="1">
      <c r="B5" s="14" t="inlineStr">
        <is>
          <t>CDR/2024/001</t>
        </is>
      </c>
      <c r="C5" s="15" t="inlineStr"/>
      <c r="D5" s="16" t="inlineStr">
        <is>
          <t>IT/Software</t>
        </is>
      </c>
      <c r="E5" s="16" t="inlineStr"/>
      <c r="F5" s="16" t="inlineStr"/>
      <c r="G5" s="16" t="inlineStr"/>
      <c r="H5" s="16" t="inlineStr"/>
      <c r="I5" s="16" t="inlineStr"/>
      <c r="J5" s="16" t="inlineStr"/>
      <c r="K5" s="16" t="inlineStr">
        <is>
          <t>Successful — Multiple Offers</t>
        </is>
      </c>
    </row>
    <row r="6" ht="22" customHeight="1">
      <c r="B6" s="8" t="inlineStr">
        <is>
          <t>CDR/2024/002</t>
        </is>
      </c>
      <c r="C6" s="9" t="inlineStr"/>
      <c r="D6" s="10" t="inlineStr">
        <is>
          <t>Manufacturing</t>
        </is>
      </c>
      <c r="E6" s="10" t="inlineStr"/>
      <c r="F6" s="10" t="inlineStr"/>
      <c r="G6" s="10" t="inlineStr"/>
      <c r="H6" s="10" t="inlineStr"/>
      <c r="I6" s="10" t="inlineStr"/>
      <c r="J6" s="10" t="inlineStr"/>
      <c r="K6" s="10" t="inlineStr">
        <is>
          <t>Successful — Few Offers</t>
        </is>
      </c>
    </row>
    <row r="7" ht="22" customHeight="1">
      <c r="B7" s="14" t="inlineStr">
        <is>
          <t>CDR/2024/003</t>
        </is>
      </c>
      <c r="C7" s="15" t="inlineStr"/>
      <c r="D7" s="16" t="inlineStr">
        <is>
          <t>Automotive</t>
        </is>
      </c>
      <c r="E7" s="16" t="inlineStr"/>
      <c r="F7" s="16" t="inlineStr"/>
      <c r="G7" s="16" t="inlineStr"/>
      <c r="H7" s="16" t="inlineStr"/>
      <c r="I7" s="16" t="inlineStr"/>
      <c r="J7" s="16" t="inlineStr"/>
      <c r="K7" s="16" t="inlineStr">
        <is>
          <t>Ongoing — Results Awaited</t>
        </is>
      </c>
    </row>
    <row r="8" ht="22" customHeight="1">
      <c r="B8" s="8" t="inlineStr">
        <is>
          <t>CDR/2024/004</t>
        </is>
      </c>
      <c r="C8" s="9" t="inlineStr"/>
      <c r="D8" s="10" t="inlineStr">
        <is>
          <t>Pharma/Healthcare</t>
        </is>
      </c>
      <c r="E8" s="10" t="inlineStr"/>
      <c r="F8" s="10" t="inlineStr"/>
      <c r="G8" s="10" t="inlineStr"/>
      <c r="H8" s="10" t="inlineStr"/>
      <c r="I8" s="10" t="inlineStr"/>
      <c r="J8" s="10" t="inlineStr"/>
      <c r="K8" s="10" t="inlineStr">
        <is>
          <t>Deferred</t>
        </is>
      </c>
    </row>
    <row r="9" ht="22" customHeight="1">
      <c r="B9" s="14" t="inlineStr">
        <is>
          <t>CDR/2024/005</t>
        </is>
      </c>
      <c r="C9" s="15" t="inlineStr"/>
      <c r="D9" s="16" t="inlineStr">
        <is>
          <t>FMCG/Retail</t>
        </is>
      </c>
      <c r="E9" s="16" t="inlineStr"/>
      <c r="F9" s="16" t="inlineStr"/>
      <c r="G9" s="16" t="inlineStr"/>
      <c r="H9" s="16" t="inlineStr"/>
      <c r="I9" s="16" t="inlineStr"/>
      <c r="J9" s="16" t="inlineStr"/>
      <c r="K9" s="16" t="inlineStr">
        <is>
          <t>Cancelled</t>
        </is>
      </c>
    </row>
    <row r="10" ht="22" customHeight="1">
      <c r="B10" s="8" t="inlineStr">
        <is>
          <t>CDR/2024/006</t>
        </is>
      </c>
      <c r="C10" s="9" t="inlineStr"/>
      <c r="D10" s="10" t="inlineStr">
        <is>
          <t>Banking/Finance</t>
        </is>
      </c>
      <c r="E10" s="10" t="inlineStr"/>
      <c r="F10" s="10" t="inlineStr"/>
      <c r="G10" s="10" t="inlineStr"/>
      <c r="H10" s="10" t="inlineStr"/>
      <c r="I10" s="10" t="inlineStr"/>
      <c r="J10" s="10" t="inlineStr"/>
      <c r="K10" s="10" t="inlineStr">
        <is>
          <t>Not Eligible Batch</t>
        </is>
      </c>
    </row>
    <row r="11" ht="22" customHeight="1">
      <c r="B11" s="14" t="inlineStr">
        <is>
          <t>CDR/2024/007</t>
        </is>
      </c>
      <c r="C11" s="15" t="inlineStr"/>
      <c r="D11" s="16" t="inlineStr">
        <is>
          <t>Energy/Power</t>
        </is>
      </c>
      <c r="E11" s="16" t="inlineStr"/>
      <c r="F11" s="16" t="inlineStr"/>
      <c r="G11" s="16" t="inlineStr"/>
      <c r="H11" s="16" t="inlineStr"/>
      <c r="I11" s="16" t="inlineStr"/>
      <c r="J11" s="16" t="inlineStr"/>
      <c r="K11" s="16" t="inlineStr">
        <is>
          <t>Successful — Multiple Offers</t>
        </is>
      </c>
    </row>
    <row r="12" ht="22" customHeight="1">
      <c r="B12" s="8" t="inlineStr">
        <is>
          <t>CDR/2024/008</t>
        </is>
      </c>
      <c r="C12" s="9" t="inlineStr"/>
      <c r="D12" s="10" t="inlineStr">
        <is>
          <t>Construction/Infra</t>
        </is>
      </c>
      <c r="E12" s="10" t="inlineStr"/>
      <c r="F12" s="10" t="inlineStr"/>
      <c r="G12" s="10" t="inlineStr"/>
      <c r="H12" s="10" t="inlineStr"/>
      <c r="I12" s="10" t="inlineStr"/>
      <c r="J12" s="10" t="inlineStr"/>
      <c r="K12" s="10" t="inlineStr">
        <is>
          <t>Successful — Few Offers</t>
        </is>
      </c>
    </row>
    <row r="13" ht="22" customHeight="1">
      <c r="B13" s="14" t="inlineStr">
        <is>
          <t>CDR/2024/009</t>
        </is>
      </c>
      <c r="C13" s="15" t="inlineStr"/>
      <c r="D13" s="16" t="inlineStr">
        <is>
          <t>Telecom</t>
        </is>
      </c>
      <c r="E13" s="16" t="inlineStr"/>
      <c r="F13" s="16" t="inlineStr"/>
      <c r="G13" s="16" t="inlineStr"/>
      <c r="H13" s="16" t="inlineStr"/>
      <c r="I13" s="16" t="inlineStr"/>
      <c r="J13" s="16" t="inlineStr"/>
      <c r="K13" s="16" t="inlineStr">
        <is>
          <t>Ongoing — Results Awaited</t>
        </is>
      </c>
    </row>
    <row r="14" ht="22" customHeight="1">
      <c r="B14" s="8" t="inlineStr">
        <is>
          <t>CDR/2024/010</t>
        </is>
      </c>
      <c r="C14" s="9" t="inlineStr"/>
      <c r="D14" s="10" t="inlineStr">
        <is>
          <t>Agriculture/Agri-tech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10" t="inlineStr">
        <is>
          <t>Deferred</t>
        </is>
      </c>
    </row>
    <row r="15" ht="22" customHeight="1">
      <c r="B15" s="14" t="inlineStr">
        <is>
          <t>CDR/2024/011</t>
        </is>
      </c>
      <c r="C15" s="15" t="inlineStr"/>
      <c r="D15" s="16" t="inlineStr">
        <is>
          <t>Defence/Aerospace</t>
        </is>
      </c>
      <c r="E15" s="16" t="inlineStr"/>
      <c r="F15" s="16" t="inlineStr"/>
      <c r="G15" s="16" t="inlineStr"/>
      <c r="H15" s="16" t="inlineStr"/>
      <c r="I15" s="16" t="inlineStr"/>
      <c r="J15" s="16" t="inlineStr"/>
      <c r="K15" s="16" t="inlineStr">
        <is>
          <t>Cancelled</t>
        </is>
      </c>
    </row>
    <row r="16" ht="22" customHeight="1">
      <c r="B16" s="8" t="inlineStr">
        <is>
          <t>CDR/2024/012</t>
        </is>
      </c>
      <c r="C16" s="9" t="inlineStr"/>
      <c r="D16" s="10" t="inlineStr">
        <is>
          <t>Education/Ed-tech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>
        <is>
          <t>Not Eligible Batch</t>
        </is>
      </c>
    </row>
    <row r="17" ht="22" customHeight="1">
      <c r="B17" s="14" t="inlineStr">
        <is>
          <t>CDR/2024/013</t>
        </is>
      </c>
      <c r="C17" s="15" t="inlineStr"/>
      <c r="D17" s="16" t="inlineStr">
        <is>
          <t>IT/Software</t>
        </is>
      </c>
      <c r="E17" s="16" t="inlineStr"/>
      <c r="F17" s="16" t="inlineStr"/>
      <c r="G17" s="16" t="inlineStr"/>
      <c r="H17" s="16" t="inlineStr"/>
      <c r="I17" s="16" t="inlineStr"/>
      <c r="J17" s="16" t="inlineStr"/>
      <c r="K17" s="16" t="inlineStr">
        <is>
          <t>Successful — Multiple Offers</t>
        </is>
      </c>
    </row>
    <row r="18" ht="22" customHeight="1">
      <c r="B18" s="8" t="inlineStr">
        <is>
          <t>CDR/2025/014</t>
        </is>
      </c>
      <c r="C18" s="9" t="inlineStr"/>
      <c r="D18" s="10" t="inlineStr">
        <is>
          <t>Manufacturing</t>
        </is>
      </c>
      <c r="E18" s="10" t="inlineStr"/>
      <c r="F18" s="10" t="inlineStr"/>
      <c r="G18" s="10" t="inlineStr"/>
      <c r="H18" s="10" t="inlineStr"/>
      <c r="I18" s="10" t="inlineStr"/>
      <c r="J18" s="10" t="inlineStr"/>
      <c r="K18" s="10" t="inlineStr">
        <is>
          <t>Successful — Few Offers</t>
        </is>
      </c>
    </row>
    <row r="19" ht="22" customHeight="1">
      <c r="B19" s="14" t="inlineStr">
        <is>
          <t>CDR/2025/015</t>
        </is>
      </c>
      <c r="C19" s="15" t="inlineStr"/>
      <c r="D19" s="16" t="inlineStr">
        <is>
          <t>Automotive</t>
        </is>
      </c>
      <c r="E19" s="16" t="inlineStr"/>
      <c r="F19" s="16" t="inlineStr"/>
      <c r="G19" s="16" t="inlineStr"/>
      <c r="H19" s="16" t="inlineStr"/>
      <c r="I19" s="16" t="inlineStr"/>
      <c r="J19" s="16" t="inlineStr"/>
      <c r="K19" s="16" t="inlineStr">
        <is>
          <t>Ongoing — Results Awaited</t>
        </is>
      </c>
    </row>
    <row r="20" ht="22" customHeight="1">
      <c r="B20" s="8" t="inlineStr">
        <is>
          <t>CDR/2025/016</t>
        </is>
      </c>
      <c r="C20" s="9" t="inlineStr"/>
      <c r="D20" s="10" t="inlineStr">
        <is>
          <t>Pharma/Healthcare</t>
        </is>
      </c>
      <c r="E20" s="10" t="inlineStr"/>
      <c r="F20" s="10" t="inlineStr"/>
      <c r="G20" s="10" t="inlineStr"/>
      <c r="H20" s="10" t="inlineStr"/>
      <c r="I20" s="10" t="inlineStr"/>
      <c r="J20" s="10" t="inlineStr"/>
      <c r="K20" s="10" t="inlineStr">
        <is>
          <t>Deferred</t>
        </is>
      </c>
    </row>
    <row r="21" ht="22" customHeight="1">
      <c r="B21" s="14" t="inlineStr">
        <is>
          <t>CDR/2025/017</t>
        </is>
      </c>
      <c r="C21" s="15" t="inlineStr"/>
      <c r="D21" s="16" t="inlineStr">
        <is>
          <t>FMCG/Retail</t>
        </is>
      </c>
      <c r="E21" s="16" t="inlineStr"/>
      <c r="F21" s="16" t="inlineStr"/>
      <c r="G21" s="16" t="inlineStr"/>
      <c r="H21" s="16" t="inlineStr"/>
      <c r="I21" s="16" t="inlineStr"/>
      <c r="J21" s="16" t="inlineStr"/>
      <c r="K21" s="16" t="inlineStr">
        <is>
          <t>Cancelled</t>
        </is>
      </c>
    </row>
    <row r="22" ht="22" customHeight="1">
      <c r="B22" s="8" t="inlineStr">
        <is>
          <t>CDR/2025/018</t>
        </is>
      </c>
      <c r="C22" s="9" t="inlineStr"/>
      <c r="D22" s="10" t="inlineStr">
        <is>
          <t>Banking/Finance</t>
        </is>
      </c>
      <c r="E22" s="10" t="inlineStr"/>
      <c r="F22" s="10" t="inlineStr"/>
      <c r="G22" s="10" t="inlineStr"/>
      <c r="H22" s="10" t="inlineStr"/>
      <c r="I22" s="10" t="inlineStr"/>
      <c r="J22" s="10" t="inlineStr"/>
      <c r="K22" s="10" t="inlineStr">
        <is>
          <t>Not Eligible Batch</t>
        </is>
      </c>
    </row>
    <row r="23" ht="22" customHeight="1">
      <c r="B23" s="14" t="inlineStr">
        <is>
          <t>CDR/2025/019</t>
        </is>
      </c>
      <c r="C23" s="15" t="inlineStr"/>
      <c r="D23" s="16" t="inlineStr">
        <is>
          <t>Energy/Power</t>
        </is>
      </c>
      <c r="E23" s="16" t="inlineStr"/>
      <c r="F23" s="16" t="inlineStr"/>
      <c r="G23" s="16" t="inlineStr"/>
      <c r="H23" s="16" t="inlineStr"/>
      <c r="I23" s="16" t="inlineStr"/>
      <c r="J23" s="16" t="inlineStr"/>
      <c r="K23" s="16" t="inlineStr">
        <is>
          <t>Successful — Multiple Offers</t>
        </is>
      </c>
    </row>
    <row r="24" ht="22" customHeight="1">
      <c r="B24" s="8" t="inlineStr">
        <is>
          <t>CDR/2025/020</t>
        </is>
      </c>
      <c r="C24" s="9" t="inlineStr"/>
      <c r="D24" s="10" t="inlineStr">
        <is>
          <t>Construction/Infra</t>
        </is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>
        <is>
          <t>Successful — Few Offers</t>
        </is>
      </c>
    </row>
    <row r="25" ht="22" customHeight="1">
      <c r="B25" s="14" t="inlineStr">
        <is>
          <t>CDR/2025/021</t>
        </is>
      </c>
      <c r="C25" s="15" t="inlineStr"/>
      <c r="D25" s="16" t="inlineStr">
        <is>
          <t>Telecom</t>
        </is>
      </c>
      <c r="E25" s="16" t="inlineStr"/>
      <c r="F25" s="16" t="inlineStr"/>
      <c r="G25" s="16" t="inlineStr"/>
      <c r="H25" s="16" t="inlineStr"/>
      <c r="I25" s="16" t="inlineStr"/>
      <c r="J25" s="16" t="inlineStr"/>
      <c r="K25" s="16" t="inlineStr">
        <is>
          <t>Ongoing — Results Awaited</t>
        </is>
      </c>
    </row>
    <row r="26" ht="22" customHeight="1">
      <c r="B26" s="8" t="inlineStr">
        <is>
          <t>CDR/2025/022</t>
        </is>
      </c>
      <c r="C26" s="9" t="inlineStr"/>
      <c r="D26" s="10" t="inlineStr">
        <is>
          <t>Agriculture/Agri-tech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>
        <is>
          <t>Deferred</t>
        </is>
      </c>
    </row>
    <row r="27" ht="22" customHeight="1">
      <c r="B27" s="14" t="inlineStr">
        <is>
          <t>CDR/2025/023</t>
        </is>
      </c>
      <c r="C27" s="15" t="inlineStr"/>
      <c r="D27" s="16" t="inlineStr">
        <is>
          <t>Defence/Aerospace</t>
        </is>
      </c>
      <c r="E27" s="16" t="inlineStr"/>
      <c r="F27" s="16" t="inlineStr"/>
      <c r="G27" s="16" t="inlineStr"/>
      <c r="H27" s="16" t="inlineStr"/>
      <c r="I27" s="16" t="inlineStr"/>
      <c r="J27" s="16" t="inlineStr"/>
      <c r="K27" s="16" t="inlineStr">
        <is>
          <t>Cancelled</t>
        </is>
      </c>
    </row>
    <row r="28" ht="22" customHeight="1">
      <c r="B28" s="8" t="inlineStr">
        <is>
          <t>CDR/2025/024</t>
        </is>
      </c>
      <c r="C28" s="9" t="inlineStr"/>
      <c r="D28" s="10" t="inlineStr">
        <is>
          <t>Education/Ed-tech</t>
        </is>
      </c>
      <c r="E28" s="10" t="inlineStr"/>
      <c r="F28" s="10" t="inlineStr"/>
      <c r="G28" s="10" t="inlineStr"/>
      <c r="H28" s="10" t="inlineStr"/>
      <c r="I28" s="10" t="inlineStr"/>
      <c r="J28" s="10" t="inlineStr"/>
      <c r="K28" s="10" t="inlineStr">
        <is>
          <t>Not Eligible Batch</t>
        </is>
      </c>
    </row>
    <row r="29" ht="22" customHeight="1">
      <c r="B29" s="14" t="inlineStr">
        <is>
          <t>CDR/2025/025</t>
        </is>
      </c>
      <c r="C29" s="15" t="inlineStr"/>
      <c r="D29" s="16" t="inlineStr">
        <is>
          <t>IT/Software</t>
        </is>
      </c>
      <c r="E29" s="16" t="inlineStr"/>
      <c r="F29" s="16" t="inlineStr"/>
      <c r="G29" s="16" t="inlineStr"/>
      <c r="H29" s="16" t="inlineStr"/>
      <c r="I29" s="16" t="inlineStr"/>
      <c r="J29" s="16" t="inlineStr"/>
      <c r="K29" s="16" t="inlineStr">
        <is>
          <t>Successful — Multiple Offers</t>
        </is>
      </c>
    </row>
    <row r="30" ht="22" customHeight="1">
      <c r="B30" s="8" t="inlineStr">
        <is>
          <t>CDR/2025/026</t>
        </is>
      </c>
      <c r="C30" s="9" t="inlineStr"/>
      <c r="D30" s="10" t="inlineStr">
        <is>
          <t>Manufacturing</t>
        </is>
      </c>
      <c r="E30" s="10" t="inlineStr"/>
      <c r="F30" s="10" t="inlineStr"/>
      <c r="G30" s="10" t="inlineStr"/>
      <c r="H30" s="10" t="inlineStr"/>
      <c r="I30" s="10" t="inlineStr"/>
      <c r="J30" s="10" t="inlineStr"/>
      <c r="K30" s="10" t="inlineStr">
        <is>
          <t>Successful — Few Offers</t>
        </is>
      </c>
    </row>
    <row r="31" ht="22" customHeight="1"/>
    <row r="32" ht="24" customHeight="1">
      <c r="B32" s="43" t="inlineStr">
        <is>
          <t>RECRUITMENT DRIVE SUMMARY</t>
        </is>
      </c>
    </row>
    <row r="33" ht="22" customHeight="1">
      <c r="B33" s="44" t="inlineStr">
        <is>
          <t>Sector</t>
        </is>
      </c>
      <c r="C33" s="44" t="inlineStr">
        <is>
          <t>Companies
Visted</t>
        </is>
      </c>
      <c r="D33" s="44" t="inlineStr">
        <is>
          <t>Students
Registered</t>
        </is>
      </c>
      <c r="E33" s="44" t="inlineStr">
        <is>
          <t>Offers
Extended</t>
        </is>
      </c>
      <c r="F33" s="44" t="inlineStr">
        <is>
          <t>Offers
Accepted</t>
        </is>
      </c>
      <c r="G33" s="44" t="inlineStr">
        <is>
          <t>Avg CTC
(₹L)</t>
        </is>
      </c>
      <c r="H33" s="44" t="inlineStr">
        <is>
          <t>Max CTC
(₹L)</t>
        </is>
      </c>
      <c r="I33" s="44" t="inlineStr">
        <is>
          <t>Students
Placed</t>
        </is>
      </c>
      <c r="J33" s="44" t="inlineStr">
        <is>
          <t>Placement
%</t>
        </is>
      </c>
      <c r="K33" s="44" t="inlineStr">
        <is>
          <t>Remarks</t>
        </is>
      </c>
    </row>
    <row r="34" ht="22" customHeight="1">
      <c r="B34" s="46" t="inlineStr">
        <is>
          <t>IT/Software</t>
        </is>
      </c>
      <c r="C34" s="45" t="inlineStr"/>
      <c r="D34" s="45" t="inlineStr"/>
      <c r="E34" s="45" t="inlineStr"/>
      <c r="F34" s="45" t="inlineStr"/>
      <c r="G34" s="45" t="inlineStr"/>
      <c r="H34" s="45" t="inlineStr"/>
      <c r="I34" s="45" t="inlineStr"/>
      <c r="J34" s="45">
        <f>IFERROR(ROUND(I34/D34*100,1),"")</f>
        <v/>
      </c>
      <c r="K34" s="46" t="inlineStr"/>
    </row>
    <row r="35" ht="22" customHeight="1">
      <c r="B35" s="9" t="inlineStr">
        <is>
          <t>Manufacturing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>
        <f>IFERROR(ROUND(I35/D35*100,1),"")</f>
        <v/>
      </c>
      <c r="K35" s="9" t="inlineStr"/>
    </row>
    <row r="36" ht="22" customHeight="1">
      <c r="B36" s="46" t="inlineStr">
        <is>
          <t>Automotive</t>
        </is>
      </c>
      <c r="C36" s="45" t="inlineStr"/>
      <c r="D36" s="45" t="inlineStr"/>
      <c r="E36" s="45" t="inlineStr"/>
      <c r="F36" s="45" t="inlineStr"/>
      <c r="G36" s="45" t="inlineStr"/>
      <c r="H36" s="45" t="inlineStr"/>
      <c r="I36" s="45" t="inlineStr"/>
      <c r="J36" s="45">
        <f>IFERROR(ROUND(I36/D36*100,1),"")</f>
        <v/>
      </c>
      <c r="K36" s="46" t="inlineStr"/>
    </row>
    <row r="37" ht="22" customHeight="1">
      <c r="B37" s="9" t="inlineStr">
        <is>
          <t>Pharma/Healthcare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>
        <f>IFERROR(ROUND(I37/D37*100,1),"")</f>
        <v/>
      </c>
      <c r="K37" s="9" t="inlineStr"/>
    </row>
    <row r="38" ht="22" customHeight="1">
      <c r="B38" s="46" t="inlineStr">
        <is>
          <t>FMCG/Retail</t>
        </is>
      </c>
      <c r="C38" s="45" t="inlineStr"/>
      <c r="D38" s="45" t="inlineStr"/>
      <c r="E38" s="45" t="inlineStr"/>
      <c r="F38" s="45" t="inlineStr"/>
      <c r="G38" s="45" t="inlineStr"/>
      <c r="H38" s="45" t="inlineStr"/>
      <c r="I38" s="45" t="inlineStr"/>
      <c r="J38" s="45">
        <f>IFERROR(ROUND(I38/D38*100,1),"")</f>
        <v/>
      </c>
      <c r="K38" s="46" t="inlineStr"/>
    </row>
    <row r="39" ht="22" customHeight="1">
      <c r="B39" s="9" t="inlineStr">
        <is>
          <t>Banking/Finance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>
        <f>IFERROR(ROUND(I39/D39*100,1),"")</f>
        <v/>
      </c>
      <c r="K39" s="9" t="inlineStr"/>
    </row>
    <row r="40" ht="22" customHeight="1">
      <c r="B40" s="46" t="inlineStr">
        <is>
          <t>Energy/Power</t>
        </is>
      </c>
      <c r="C40" s="45" t="inlineStr"/>
      <c r="D40" s="45" t="inlineStr"/>
      <c r="E40" s="45" t="inlineStr"/>
      <c r="F40" s="45" t="inlineStr"/>
      <c r="G40" s="45" t="inlineStr"/>
      <c r="H40" s="45" t="inlineStr"/>
      <c r="I40" s="45" t="inlineStr"/>
      <c r="J40" s="45">
        <f>IFERROR(ROUND(I40/D40*100,1),"")</f>
        <v/>
      </c>
      <c r="K40" s="46" t="inlineStr"/>
    </row>
    <row r="41" ht="22" customHeight="1">
      <c r="B41" s="9" t="inlineStr">
        <is>
          <t>Construction/Infra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>
        <f>IFERROR(ROUND(I41/D41*100,1),"")</f>
        <v/>
      </c>
      <c r="K41" s="9" t="inlineStr"/>
    </row>
    <row r="42">
      <c r="B42" s="46" t="inlineStr">
        <is>
          <t>Others</t>
        </is>
      </c>
      <c r="C42" s="45" t="inlineStr"/>
      <c r="D42" s="45" t="inlineStr"/>
      <c r="E42" s="45" t="inlineStr"/>
      <c r="F42" s="45" t="inlineStr"/>
      <c r="G42" s="45" t="inlineStr"/>
      <c r="H42" s="45" t="inlineStr"/>
      <c r="I42" s="45" t="inlineStr"/>
      <c r="J42" s="45">
        <f>IFERROR(ROUND(I42/D42*100,1),"")</f>
        <v/>
      </c>
      <c r="K42" s="46" t="inlineStr"/>
    </row>
    <row r="43">
      <c r="B43" s="24" t="inlineStr">
        <is>
          <t>TOTAL</t>
        </is>
      </c>
      <c r="C43" s="39" t="inlineStr"/>
      <c r="D43" s="39" t="inlineStr"/>
      <c r="E43" s="39" t="inlineStr"/>
      <c r="F43" s="39" t="inlineStr"/>
      <c r="G43" s="39" t="inlineStr"/>
      <c r="H43" s="39" t="inlineStr"/>
      <c r="I43" s="39" t="inlineStr"/>
      <c r="J43" s="39">
        <f>IFERROR(ROUND(I43/D43*100,1),"")</f>
        <v/>
      </c>
      <c r="K43" s="24" t="inlineStr"/>
    </row>
  </sheetData>
  <mergeCells count="3">
    <mergeCell ref="B32:K32"/>
    <mergeCell ref="B3:K3"/>
    <mergeCell ref="B2:K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IIPC-22: STUDENT PLACEMENT INDIVIDUAL TRACKING REGISTER</t>
        </is>
      </c>
    </row>
    <row r="3" ht="25" customHeight="1">
      <c r="B3" s="2" t="inlineStr">
        <is>
          <t>Batch: _______  Programme: ___________________  T&amp;P Officer: ___________________  A.Y.: _______</t>
        </is>
      </c>
    </row>
    <row r="4" ht="25" customHeight="1">
      <c r="B4" s="13" t="inlineStr">
        <is>
          <t>Student
Ref.</t>
        </is>
      </c>
      <c r="C4" s="13" t="inlineStr">
        <is>
          <t>Student Name</t>
        </is>
      </c>
      <c r="D4" s="13" t="inlineStr">
        <is>
          <t>Roll No.</t>
        </is>
      </c>
      <c r="E4" s="13" t="inlineStr">
        <is>
          <t>Programme
/ Branch</t>
        </is>
      </c>
      <c r="F4" s="13" t="inlineStr">
        <is>
          <t>Company
Offered</t>
        </is>
      </c>
      <c r="G4" s="13" t="inlineStr">
        <is>
          <t>Role /
Designation</t>
        </is>
      </c>
      <c r="H4" s="13" t="inlineStr">
        <is>
          <t>CTC
(₹L PA)</t>
        </is>
      </c>
      <c r="I4" s="13" t="inlineStr">
        <is>
          <t>Date of
Offer</t>
        </is>
      </c>
      <c r="J4" s="13" t="inlineStr">
        <is>
          <t>Date of
Joining</t>
        </is>
      </c>
      <c r="K4" s="13" t="inlineStr">
        <is>
          <t>Status</t>
        </is>
      </c>
    </row>
    <row r="5" ht="22" customHeight="1">
      <c r="B5" s="14" t="inlineStr">
        <is>
          <t>STU/0001</t>
        </is>
      </c>
      <c r="C5" s="15" t="inlineStr"/>
      <c r="D5" s="16" t="inlineStr"/>
      <c r="E5" s="16" t="inlineStr"/>
      <c r="F5" s="15" t="inlineStr"/>
      <c r="G5" s="15" t="inlineStr"/>
      <c r="H5" s="16" t="inlineStr"/>
      <c r="I5" s="16" t="inlineStr"/>
      <c r="J5" s="16" t="inlineStr"/>
      <c r="K5" s="16" t="inlineStr">
        <is>
          <t>Joined — Confirmed</t>
        </is>
      </c>
    </row>
    <row r="6" ht="22" customHeight="1">
      <c r="B6" s="8" t="inlineStr">
        <is>
          <t>STU/0002</t>
        </is>
      </c>
      <c r="C6" s="9" t="inlineStr"/>
      <c r="D6" s="10" t="inlineStr"/>
      <c r="E6" s="10" t="inlineStr"/>
      <c r="F6" s="9" t="inlineStr"/>
      <c r="G6" s="9" t="inlineStr"/>
      <c r="H6" s="10" t="inlineStr"/>
      <c r="I6" s="10" t="inlineStr"/>
      <c r="J6" s="10" t="inlineStr"/>
      <c r="K6" s="10" t="inlineStr">
        <is>
          <t>Offer Accepted — Yet to Join</t>
        </is>
      </c>
    </row>
    <row r="7" ht="22" customHeight="1">
      <c r="B7" s="14" t="inlineStr">
        <is>
          <t>STU/0003</t>
        </is>
      </c>
      <c r="C7" s="15" t="inlineStr"/>
      <c r="D7" s="16" t="inlineStr"/>
      <c r="E7" s="16" t="inlineStr"/>
      <c r="F7" s="15" t="inlineStr"/>
      <c r="G7" s="15" t="inlineStr"/>
      <c r="H7" s="16" t="inlineStr"/>
      <c r="I7" s="16" t="inlineStr"/>
      <c r="J7" s="16" t="inlineStr"/>
      <c r="K7" s="16" t="inlineStr">
        <is>
          <t>Multiple Offers — Decision Pending</t>
        </is>
      </c>
    </row>
    <row r="8" ht="22" customHeight="1">
      <c r="B8" s="8" t="inlineStr">
        <is>
          <t>STU/0004</t>
        </is>
      </c>
      <c r="C8" s="9" t="inlineStr"/>
      <c r="D8" s="10" t="inlineStr"/>
      <c r="E8" s="10" t="inlineStr"/>
      <c r="F8" s="9" t="inlineStr"/>
      <c r="G8" s="9" t="inlineStr"/>
      <c r="H8" s="10" t="inlineStr"/>
      <c r="I8" s="10" t="inlineStr"/>
      <c r="J8" s="10" t="inlineStr"/>
      <c r="K8" s="10" t="inlineStr">
        <is>
          <t>Higher Studies</t>
        </is>
      </c>
    </row>
    <row r="9" ht="22" customHeight="1">
      <c r="B9" s="14" t="inlineStr">
        <is>
          <t>STU/0005</t>
        </is>
      </c>
      <c r="C9" s="15" t="inlineStr"/>
      <c r="D9" s="16" t="inlineStr"/>
      <c r="E9" s="16" t="inlineStr"/>
      <c r="F9" s="15" t="inlineStr"/>
      <c r="G9" s="15" t="inlineStr"/>
      <c r="H9" s="16" t="inlineStr"/>
      <c r="I9" s="16" t="inlineStr"/>
      <c r="J9" s="16" t="inlineStr"/>
      <c r="K9" s="16" t="inlineStr">
        <is>
          <t>Entrepreneur</t>
        </is>
      </c>
    </row>
    <row r="10" ht="22" customHeight="1">
      <c r="B10" s="8" t="inlineStr">
        <is>
          <t>STU/0006</t>
        </is>
      </c>
      <c r="C10" s="9" t="inlineStr"/>
      <c r="D10" s="10" t="inlineStr"/>
      <c r="E10" s="10" t="inlineStr"/>
      <c r="F10" s="9" t="inlineStr"/>
      <c r="G10" s="9" t="inlineStr"/>
      <c r="H10" s="10" t="inlineStr"/>
      <c r="I10" s="10" t="inlineStr"/>
      <c r="J10" s="10" t="inlineStr"/>
      <c r="K10" s="10" t="inlineStr">
        <is>
          <t>Not Placed</t>
        </is>
      </c>
    </row>
    <row r="11" ht="22" customHeight="1">
      <c r="B11" s="14" t="inlineStr">
        <is>
          <t>STU/0007</t>
        </is>
      </c>
      <c r="C11" s="15" t="inlineStr"/>
      <c r="D11" s="16" t="inlineStr"/>
      <c r="E11" s="16" t="inlineStr"/>
      <c r="F11" s="15" t="inlineStr"/>
      <c r="G11" s="15" t="inlineStr"/>
      <c r="H11" s="16" t="inlineStr"/>
      <c r="I11" s="16" t="inlineStr"/>
      <c r="J11" s="16" t="inlineStr"/>
      <c r="K11" s="16" t="inlineStr">
        <is>
          <t>Offer Declined</t>
        </is>
      </c>
    </row>
    <row r="12" ht="22" customHeight="1">
      <c r="B12" s="8" t="inlineStr">
        <is>
          <t>STU/0008</t>
        </is>
      </c>
      <c r="C12" s="9" t="inlineStr"/>
      <c r="D12" s="10" t="inlineStr"/>
      <c r="E12" s="10" t="inlineStr"/>
      <c r="F12" s="9" t="inlineStr"/>
      <c r="G12" s="9" t="inlineStr"/>
      <c r="H12" s="10" t="inlineStr"/>
      <c r="I12" s="10" t="inlineStr"/>
      <c r="J12" s="10" t="inlineStr"/>
      <c r="K12" s="10" t="inlineStr">
        <is>
          <t>Joined — Confirmed</t>
        </is>
      </c>
    </row>
    <row r="13" ht="22" customHeight="1">
      <c r="B13" s="14" t="inlineStr">
        <is>
          <t>STU/0009</t>
        </is>
      </c>
      <c r="C13" s="15" t="inlineStr"/>
      <c r="D13" s="16" t="inlineStr"/>
      <c r="E13" s="16" t="inlineStr"/>
      <c r="F13" s="15" t="inlineStr"/>
      <c r="G13" s="15" t="inlineStr"/>
      <c r="H13" s="16" t="inlineStr"/>
      <c r="I13" s="16" t="inlineStr"/>
      <c r="J13" s="16" t="inlineStr"/>
      <c r="K13" s="16" t="inlineStr">
        <is>
          <t>Offer Accepted — Yet to Join</t>
        </is>
      </c>
    </row>
    <row r="14" ht="22" customHeight="1">
      <c r="B14" s="8" t="inlineStr">
        <is>
          <t>STU/0010</t>
        </is>
      </c>
      <c r="C14" s="9" t="inlineStr"/>
      <c r="D14" s="10" t="inlineStr"/>
      <c r="E14" s="10" t="inlineStr"/>
      <c r="F14" s="9" t="inlineStr"/>
      <c r="G14" s="9" t="inlineStr"/>
      <c r="H14" s="10" t="inlineStr"/>
      <c r="I14" s="10" t="inlineStr"/>
      <c r="J14" s="10" t="inlineStr"/>
      <c r="K14" s="10" t="inlineStr">
        <is>
          <t>Multiple Offers — Decision Pending</t>
        </is>
      </c>
    </row>
    <row r="15" ht="22" customHeight="1">
      <c r="B15" s="14" t="inlineStr">
        <is>
          <t>STU/0011</t>
        </is>
      </c>
      <c r="C15" s="15" t="inlineStr"/>
      <c r="D15" s="16" t="inlineStr"/>
      <c r="E15" s="16" t="inlineStr"/>
      <c r="F15" s="15" t="inlineStr"/>
      <c r="G15" s="15" t="inlineStr"/>
      <c r="H15" s="16" t="inlineStr"/>
      <c r="I15" s="16" t="inlineStr"/>
      <c r="J15" s="16" t="inlineStr"/>
      <c r="K15" s="16" t="inlineStr">
        <is>
          <t>Higher Studies</t>
        </is>
      </c>
    </row>
    <row r="16" ht="22" customHeight="1">
      <c r="B16" s="8" t="inlineStr">
        <is>
          <t>STU/0012</t>
        </is>
      </c>
      <c r="C16" s="9" t="inlineStr"/>
      <c r="D16" s="10" t="inlineStr"/>
      <c r="E16" s="10" t="inlineStr"/>
      <c r="F16" s="9" t="inlineStr"/>
      <c r="G16" s="9" t="inlineStr"/>
      <c r="H16" s="10" t="inlineStr"/>
      <c r="I16" s="10" t="inlineStr"/>
      <c r="J16" s="10" t="inlineStr"/>
      <c r="K16" s="10" t="inlineStr">
        <is>
          <t>Entrepreneur</t>
        </is>
      </c>
    </row>
    <row r="17" ht="22" customHeight="1">
      <c r="B17" s="14" t="inlineStr">
        <is>
          <t>STU/0013</t>
        </is>
      </c>
      <c r="C17" s="15" t="inlineStr"/>
      <c r="D17" s="16" t="inlineStr"/>
      <c r="E17" s="16" t="inlineStr"/>
      <c r="F17" s="15" t="inlineStr"/>
      <c r="G17" s="15" t="inlineStr"/>
      <c r="H17" s="16" t="inlineStr"/>
      <c r="I17" s="16" t="inlineStr"/>
      <c r="J17" s="16" t="inlineStr"/>
      <c r="K17" s="16" t="inlineStr">
        <is>
          <t>Not Placed</t>
        </is>
      </c>
    </row>
    <row r="18" ht="22" customHeight="1">
      <c r="B18" s="8" t="inlineStr">
        <is>
          <t>STU/0014</t>
        </is>
      </c>
      <c r="C18" s="9" t="inlineStr"/>
      <c r="D18" s="10" t="inlineStr"/>
      <c r="E18" s="10" t="inlineStr"/>
      <c r="F18" s="9" t="inlineStr"/>
      <c r="G18" s="9" t="inlineStr"/>
      <c r="H18" s="10" t="inlineStr"/>
      <c r="I18" s="10" t="inlineStr"/>
      <c r="J18" s="10" t="inlineStr"/>
      <c r="K18" s="10" t="inlineStr">
        <is>
          <t>Offer Declined</t>
        </is>
      </c>
    </row>
    <row r="19" ht="22" customHeight="1">
      <c r="B19" s="14" t="inlineStr">
        <is>
          <t>STU/0015</t>
        </is>
      </c>
      <c r="C19" s="15" t="inlineStr"/>
      <c r="D19" s="16" t="inlineStr"/>
      <c r="E19" s="16" t="inlineStr"/>
      <c r="F19" s="15" t="inlineStr"/>
      <c r="G19" s="15" t="inlineStr"/>
      <c r="H19" s="16" t="inlineStr"/>
      <c r="I19" s="16" t="inlineStr"/>
      <c r="J19" s="16" t="inlineStr"/>
      <c r="K19" s="16" t="inlineStr">
        <is>
          <t>Joined — Confirmed</t>
        </is>
      </c>
    </row>
    <row r="20" ht="22" customHeight="1">
      <c r="B20" s="8" t="inlineStr">
        <is>
          <t>STU/0016</t>
        </is>
      </c>
      <c r="C20" s="9" t="inlineStr"/>
      <c r="D20" s="10" t="inlineStr"/>
      <c r="E20" s="10" t="inlineStr"/>
      <c r="F20" s="9" t="inlineStr"/>
      <c r="G20" s="9" t="inlineStr"/>
      <c r="H20" s="10" t="inlineStr"/>
      <c r="I20" s="10" t="inlineStr"/>
      <c r="J20" s="10" t="inlineStr"/>
      <c r="K20" s="10" t="inlineStr">
        <is>
          <t>Offer Accepted — Yet to Join</t>
        </is>
      </c>
    </row>
    <row r="21" ht="22" customHeight="1">
      <c r="B21" s="14" t="inlineStr">
        <is>
          <t>STU/0017</t>
        </is>
      </c>
      <c r="C21" s="15" t="inlineStr"/>
      <c r="D21" s="16" t="inlineStr"/>
      <c r="E21" s="16" t="inlineStr"/>
      <c r="F21" s="15" t="inlineStr"/>
      <c r="G21" s="15" t="inlineStr"/>
      <c r="H21" s="16" t="inlineStr"/>
      <c r="I21" s="16" t="inlineStr"/>
      <c r="J21" s="16" t="inlineStr"/>
      <c r="K21" s="16" t="inlineStr">
        <is>
          <t>Multiple Offers — Decision Pending</t>
        </is>
      </c>
    </row>
    <row r="22" ht="22" customHeight="1">
      <c r="B22" s="8" t="inlineStr">
        <is>
          <t>STU/0018</t>
        </is>
      </c>
      <c r="C22" s="9" t="inlineStr"/>
      <c r="D22" s="10" t="inlineStr"/>
      <c r="E22" s="10" t="inlineStr"/>
      <c r="F22" s="9" t="inlineStr"/>
      <c r="G22" s="9" t="inlineStr"/>
      <c r="H22" s="10" t="inlineStr"/>
      <c r="I22" s="10" t="inlineStr"/>
      <c r="J22" s="10" t="inlineStr"/>
      <c r="K22" s="10" t="inlineStr">
        <is>
          <t>Higher Studies</t>
        </is>
      </c>
    </row>
    <row r="23" ht="22" customHeight="1">
      <c r="B23" s="14" t="inlineStr">
        <is>
          <t>STU/0019</t>
        </is>
      </c>
      <c r="C23" s="15" t="inlineStr"/>
      <c r="D23" s="16" t="inlineStr"/>
      <c r="E23" s="16" t="inlineStr"/>
      <c r="F23" s="15" t="inlineStr"/>
      <c r="G23" s="15" t="inlineStr"/>
      <c r="H23" s="16" t="inlineStr"/>
      <c r="I23" s="16" t="inlineStr"/>
      <c r="J23" s="16" t="inlineStr"/>
      <c r="K23" s="16" t="inlineStr">
        <is>
          <t>Entrepreneur</t>
        </is>
      </c>
    </row>
    <row r="24" ht="22" customHeight="1">
      <c r="B24" s="8" t="inlineStr">
        <is>
          <t>STU/0020</t>
        </is>
      </c>
      <c r="C24" s="9" t="inlineStr"/>
      <c r="D24" s="10" t="inlineStr"/>
      <c r="E24" s="10" t="inlineStr"/>
      <c r="F24" s="9" t="inlineStr"/>
      <c r="G24" s="9" t="inlineStr"/>
      <c r="H24" s="10" t="inlineStr"/>
      <c r="I24" s="10" t="inlineStr"/>
      <c r="J24" s="10" t="inlineStr"/>
      <c r="K24" s="10" t="inlineStr">
        <is>
          <t>Not Placed</t>
        </is>
      </c>
    </row>
    <row r="25" ht="22" customHeight="1">
      <c r="B25" s="14" t="inlineStr">
        <is>
          <t>STU/0021</t>
        </is>
      </c>
      <c r="C25" s="15" t="inlineStr"/>
      <c r="D25" s="16" t="inlineStr"/>
      <c r="E25" s="16" t="inlineStr"/>
      <c r="F25" s="15" t="inlineStr"/>
      <c r="G25" s="15" t="inlineStr"/>
      <c r="H25" s="16" t="inlineStr"/>
      <c r="I25" s="16" t="inlineStr"/>
      <c r="J25" s="16" t="inlineStr"/>
      <c r="K25" s="16" t="inlineStr">
        <is>
          <t>Offer Declined</t>
        </is>
      </c>
    </row>
    <row r="26" ht="22" customHeight="1">
      <c r="B26" s="8" t="inlineStr">
        <is>
          <t>STU/0022</t>
        </is>
      </c>
      <c r="C26" s="9" t="inlineStr"/>
      <c r="D26" s="10" t="inlineStr"/>
      <c r="E26" s="10" t="inlineStr"/>
      <c r="F26" s="9" t="inlineStr"/>
      <c r="G26" s="9" t="inlineStr"/>
      <c r="H26" s="10" t="inlineStr"/>
      <c r="I26" s="10" t="inlineStr"/>
      <c r="J26" s="10" t="inlineStr"/>
      <c r="K26" s="10" t="inlineStr">
        <is>
          <t>Joined — Confirmed</t>
        </is>
      </c>
    </row>
    <row r="27" ht="22" customHeight="1">
      <c r="B27" s="14" t="inlineStr">
        <is>
          <t>STU/0023</t>
        </is>
      </c>
      <c r="C27" s="15" t="inlineStr"/>
      <c r="D27" s="16" t="inlineStr"/>
      <c r="E27" s="16" t="inlineStr"/>
      <c r="F27" s="15" t="inlineStr"/>
      <c r="G27" s="15" t="inlineStr"/>
      <c r="H27" s="16" t="inlineStr"/>
      <c r="I27" s="16" t="inlineStr"/>
      <c r="J27" s="16" t="inlineStr"/>
      <c r="K27" s="16" t="inlineStr">
        <is>
          <t>Offer Accepted — Yet to Join</t>
        </is>
      </c>
    </row>
    <row r="28" ht="22" customHeight="1">
      <c r="B28" s="8" t="inlineStr">
        <is>
          <t>STU/0024</t>
        </is>
      </c>
      <c r="C28" s="9" t="inlineStr"/>
      <c r="D28" s="10" t="inlineStr"/>
      <c r="E28" s="10" t="inlineStr"/>
      <c r="F28" s="9" t="inlineStr"/>
      <c r="G28" s="9" t="inlineStr"/>
      <c r="H28" s="10" t="inlineStr"/>
      <c r="I28" s="10" t="inlineStr"/>
      <c r="J28" s="10" t="inlineStr"/>
      <c r="K28" s="10" t="inlineStr">
        <is>
          <t>Multiple Offers — Decision Pending</t>
        </is>
      </c>
    </row>
    <row r="29" ht="22" customHeight="1">
      <c r="B29" s="14" t="inlineStr">
        <is>
          <t>STU/0025</t>
        </is>
      </c>
      <c r="C29" s="15" t="inlineStr"/>
      <c r="D29" s="16" t="inlineStr"/>
      <c r="E29" s="16" t="inlineStr"/>
      <c r="F29" s="15" t="inlineStr"/>
      <c r="G29" s="15" t="inlineStr"/>
      <c r="H29" s="16" t="inlineStr"/>
      <c r="I29" s="16" t="inlineStr"/>
      <c r="J29" s="16" t="inlineStr"/>
      <c r="K29" s="16" t="inlineStr">
        <is>
          <t>Higher Studies</t>
        </is>
      </c>
    </row>
    <row r="30" ht="22" customHeight="1">
      <c r="B30" s="8" t="inlineStr">
        <is>
          <t>STU/0026</t>
        </is>
      </c>
      <c r="C30" s="9" t="inlineStr"/>
      <c r="D30" s="10" t="inlineStr"/>
      <c r="E30" s="10" t="inlineStr"/>
      <c r="F30" s="9" t="inlineStr"/>
      <c r="G30" s="9" t="inlineStr"/>
      <c r="H30" s="10" t="inlineStr"/>
      <c r="I30" s="10" t="inlineStr"/>
      <c r="J30" s="10" t="inlineStr"/>
      <c r="K30" s="10" t="inlineStr">
        <is>
          <t>Entrepreneur</t>
        </is>
      </c>
    </row>
    <row r="31" ht="22" customHeight="1">
      <c r="B31" s="14" t="inlineStr">
        <is>
          <t>STU/0027</t>
        </is>
      </c>
      <c r="C31" s="15" t="inlineStr"/>
      <c r="D31" s="16" t="inlineStr"/>
      <c r="E31" s="16" t="inlineStr"/>
      <c r="F31" s="15" t="inlineStr"/>
      <c r="G31" s="15" t="inlineStr"/>
      <c r="H31" s="16" t="inlineStr"/>
      <c r="I31" s="16" t="inlineStr"/>
      <c r="J31" s="16" t="inlineStr"/>
      <c r="K31" s="16" t="inlineStr">
        <is>
          <t>Not Placed</t>
        </is>
      </c>
    </row>
    <row r="32" ht="22" customHeight="1">
      <c r="B32" s="8" t="inlineStr">
        <is>
          <t>STU/0028</t>
        </is>
      </c>
      <c r="C32" s="9" t="inlineStr"/>
      <c r="D32" s="10" t="inlineStr"/>
      <c r="E32" s="10" t="inlineStr"/>
      <c r="F32" s="9" t="inlineStr"/>
      <c r="G32" s="9" t="inlineStr"/>
      <c r="H32" s="10" t="inlineStr"/>
      <c r="I32" s="10" t="inlineStr"/>
      <c r="J32" s="10" t="inlineStr"/>
      <c r="K32" s="10" t="inlineStr">
        <is>
          <t>Offer Declined</t>
        </is>
      </c>
    </row>
    <row r="33" ht="22" customHeight="1">
      <c r="B33" s="14" t="inlineStr">
        <is>
          <t>STU/0029</t>
        </is>
      </c>
      <c r="C33" s="15" t="inlineStr"/>
      <c r="D33" s="16" t="inlineStr"/>
      <c r="E33" s="16" t="inlineStr"/>
      <c r="F33" s="15" t="inlineStr"/>
      <c r="G33" s="15" t="inlineStr"/>
      <c r="H33" s="16" t="inlineStr"/>
      <c r="I33" s="16" t="inlineStr"/>
      <c r="J33" s="16" t="inlineStr"/>
      <c r="K33" s="16" t="inlineStr">
        <is>
          <t>Joined — Confirmed</t>
        </is>
      </c>
    </row>
    <row r="34" ht="22" customHeight="1">
      <c r="B34" s="8" t="inlineStr">
        <is>
          <t>STU/0030</t>
        </is>
      </c>
      <c r="C34" s="9" t="inlineStr"/>
      <c r="D34" s="10" t="inlineStr"/>
      <c r="E34" s="10" t="inlineStr"/>
      <c r="F34" s="9" t="inlineStr"/>
      <c r="G34" s="9" t="inlineStr"/>
      <c r="H34" s="10" t="inlineStr"/>
      <c r="I34" s="10" t="inlineStr"/>
      <c r="J34" s="10" t="inlineStr"/>
      <c r="K34" s="10" t="inlineStr">
        <is>
          <t>Offer Accepted — Yet to Join</t>
        </is>
      </c>
    </row>
    <row r="35" ht="22" customHeight="1"/>
    <row r="36" ht="24" customHeight="1">
      <c r="B36" s="43" t="inlineStr">
        <is>
          <t>PLACEMENT STATISTICS SUMMARY</t>
        </is>
      </c>
    </row>
    <row r="37" ht="22" customHeight="1">
      <c r="B37" s="61" t="inlineStr">
        <is>
          <t>Total Students in Batch</t>
        </is>
      </c>
      <c r="C37" s="80" t="n"/>
      <c r="D37" s="80" t="n"/>
      <c r="E37" s="81" t="n"/>
      <c r="F37" s="37">
        <f>COUNTA(B5:B34)</f>
        <v/>
      </c>
      <c r="G37" s="80" t="n"/>
      <c r="H37" s="80" t="n"/>
      <c r="I37" s="80" t="n"/>
      <c r="J37" s="80" t="n"/>
      <c r="K37" s="81" t="n"/>
    </row>
    <row r="38" ht="22" customHeight="1">
      <c r="B38" s="26" t="inlineStr">
        <is>
          <t>Students Registered for Placement</t>
        </is>
      </c>
      <c r="C38" s="80" t="n"/>
      <c r="D38" s="80" t="n"/>
      <c r="E38" s="81" t="n"/>
      <c r="F38" s="38" t="inlineStr"/>
      <c r="G38" s="80" t="n"/>
      <c r="H38" s="80" t="n"/>
      <c r="I38" s="80" t="n"/>
      <c r="J38" s="80" t="n"/>
      <c r="K38" s="81" t="n"/>
    </row>
    <row r="39" ht="22" customHeight="1">
      <c r="B39" s="61" t="inlineStr">
        <is>
          <t>Offers Received (Total)</t>
        </is>
      </c>
      <c r="C39" s="80" t="n"/>
      <c r="D39" s="80" t="n"/>
      <c r="E39" s="81" t="n"/>
      <c r="F39" s="37" t="inlineStr"/>
      <c r="G39" s="80" t="n"/>
      <c r="H39" s="80" t="n"/>
      <c r="I39" s="80" t="n"/>
      <c r="J39" s="80" t="n"/>
      <c r="K39" s="81" t="n"/>
    </row>
    <row r="40" ht="22" customHeight="1">
      <c r="B40" s="26" t="inlineStr">
        <is>
          <t>Unique Students Placed</t>
        </is>
      </c>
      <c r="C40" s="80" t="n"/>
      <c r="D40" s="80" t="n"/>
      <c r="E40" s="81" t="n"/>
      <c r="F40" s="38">
        <f>COUNTIF(K5:K34,"Joined — Confirmed")</f>
        <v/>
      </c>
      <c r="G40" s="80" t="n"/>
      <c r="H40" s="80" t="n"/>
      <c r="I40" s="80" t="n"/>
      <c r="J40" s="80" t="n"/>
      <c r="K40" s="81" t="n"/>
    </row>
    <row r="41" ht="22" customHeight="1">
      <c r="B41" s="61" t="inlineStr">
        <is>
          <t>Placement Rate (%)</t>
        </is>
      </c>
      <c r="C41" s="80" t="n"/>
      <c r="D41" s="80" t="n"/>
      <c r="E41" s="81" t="n"/>
      <c r="F41" s="37">
        <f>IFERROR(ROUND(C41/C38*100,1),"")</f>
        <v/>
      </c>
      <c r="G41" s="80" t="n"/>
      <c r="H41" s="80" t="n"/>
      <c r="I41" s="80" t="n"/>
      <c r="J41" s="80" t="n"/>
      <c r="K41" s="81" t="n"/>
    </row>
    <row r="42">
      <c r="B42" s="26" t="inlineStr">
        <is>
          <t>Highest CTC (₹L PA)</t>
        </is>
      </c>
      <c r="C42" s="80" t="n"/>
      <c r="D42" s="80" t="n"/>
      <c r="E42" s="81" t="n"/>
      <c r="F42" s="38">
        <f>IFERROR(MAX(H5:H34),"")</f>
        <v/>
      </c>
      <c r="G42" s="80" t="n"/>
      <c r="H42" s="80" t="n"/>
      <c r="I42" s="80" t="n"/>
      <c r="J42" s="80" t="n"/>
      <c r="K42" s="81" t="n"/>
    </row>
    <row r="43">
      <c r="B43" s="61" t="inlineStr">
        <is>
          <t>Average CTC (₹L PA)</t>
        </is>
      </c>
      <c r="C43" s="80" t="n"/>
      <c r="D43" s="80" t="n"/>
      <c r="E43" s="81" t="n"/>
      <c r="F43" s="37">
        <f>IFERROR(ROUND(AVERAGE(H5:H34),2),"")</f>
        <v/>
      </c>
      <c r="G43" s="80" t="n"/>
      <c r="H43" s="80" t="n"/>
      <c r="I43" s="80" t="n"/>
      <c r="J43" s="80" t="n"/>
      <c r="K43" s="81" t="n"/>
    </row>
    <row r="44">
      <c r="B44" s="26" t="inlineStr">
        <is>
          <t>Median CTC (₹L PA)</t>
        </is>
      </c>
      <c r="C44" s="80" t="n"/>
      <c r="D44" s="80" t="n"/>
      <c r="E44" s="81" t="n"/>
      <c r="F44" s="38">
        <f>IFERROR(ROUND(MEDIAN(H5:H34),2),"")</f>
        <v/>
      </c>
      <c r="G44" s="80" t="n"/>
      <c r="H44" s="80" t="n"/>
      <c r="I44" s="80" t="n"/>
      <c r="J44" s="80" t="n"/>
      <c r="K44" s="81" t="n"/>
    </row>
  </sheetData>
  <mergeCells count="19">
    <mergeCell ref="B40:E40"/>
    <mergeCell ref="F42:K42"/>
    <mergeCell ref="F41:K41"/>
    <mergeCell ref="B36:K36"/>
    <mergeCell ref="B41:E41"/>
    <mergeCell ref="F38:K38"/>
    <mergeCell ref="F43:K43"/>
    <mergeCell ref="B3:K3"/>
    <mergeCell ref="F39:K39"/>
    <mergeCell ref="F37:K37"/>
    <mergeCell ref="B43:E43"/>
    <mergeCell ref="B39:E39"/>
    <mergeCell ref="B2:K2"/>
    <mergeCell ref="B42:E42"/>
    <mergeCell ref="F44:K44"/>
    <mergeCell ref="B38:E38"/>
    <mergeCell ref="F40:K40"/>
    <mergeCell ref="B44:E44"/>
    <mergeCell ref="B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8" t="inlineStr">
        <is>
          <t>IIPC-23: PLACEMENT STATISTICS DASHBOARD — INSTITUTION-WIDE</t>
        </is>
      </c>
    </row>
    <row r="3" ht="25" customHeight="1">
      <c r="B3" s="2" t="inlineStr">
        <is>
          <t>A.Y.: _______  T&amp;P Officer: ___________________  Submitted to: NIRF / NAAC / Management  Date: _______</t>
        </is>
      </c>
    </row>
    <row r="4" ht="24" customHeight="1">
      <c r="B4" s="20" t="inlineStr">
        <is>
          <t>DEPARTMENT-WISE PLACEMENT SUMMARY</t>
        </is>
      </c>
    </row>
    <row r="5" ht="22" customHeight="1">
      <c r="B5" s="13" t="inlineStr">
        <is>
          <t>Dept.</t>
        </is>
      </c>
      <c r="C5" s="13" t="inlineStr">
        <is>
          <t>Total
Graduates</t>
        </is>
      </c>
      <c r="D5" s="13" t="inlineStr">
        <is>
          <t>Eligible for
Placement</t>
        </is>
      </c>
      <c r="E5" s="13" t="inlineStr">
        <is>
          <t>Registered
for Placement</t>
        </is>
      </c>
      <c r="F5" s="13" t="inlineStr">
        <is>
          <t>Total
Offers</t>
        </is>
      </c>
      <c r="G5" s="13" t="inlineStr">
        <is>
          <t>Unique
Placed</t>
        </is>
      </c>
      <c r="H5" s="13" t="inlineStr">
        <is>
          <t>Placement
%</t>
        </is>
      </c>
      <c r="I5" s="13" t="inlineStr">
        <is>
          <t>Highest
CTC (₹L)</t>
        </is>
      </c>
      <c r="J5" s="13" t="inlineStr">
        <is>
          <t>Avg CTC
(₹L)</t>
        </is>
      </c>
      <c r="K5" s="13" t="inlineStr">
        <is>
          <t>Top Recruiter</t>
        </is>
      </c>
    </row>
    <row r="6" ht="22" customHeight="1">
      <c r="B6" s="16" t="inlineStr">
        <is>
          <t>CSE</t>
        </is>
      </c>
      <c r="C6" s="16" t="inlineStr"/>
      <c r="D6" s="16" t="inlineStr"/>
      <c r="E6" s="16" t="inlineStr"/>
      <c r="F6" s="16" t="inlineStr"/>
      <c r="G6" s="16" t="inlineStr"/>
      <c r="H6" s="16">
        <f>IFERROR(ROUND(G6/D6*100,1),"")</f>
        <v/>
      </c>
      <c r="I6" s="16" t="inlineStr"/>
      <c r="J6" s="16" t="inlineStr"/>
      <c r="K6" s="15" t="inlineStr"/>
    </row>
    <row r="7" ht="22" customHeight="1">
      <c r="B7" s="10" t="inlineStr">
        <is>
          <t>ECE</t>
        </is>
      </c>
      <c r="C7" s="10" t="inlineStr"/>
      <c r="D7" s="10" t="inlineStr"/>
      <c r="E7" s="10" t="inlineStr"/>
      <c r="F7" s="10" t="inlineStr"/>
      <c r="G7" s="10" t="inlineStr"/>
      <c r="H7" s="10">
        <f>IFERROR(ROUND(G7/D7*100,1),"")</f>
        <v/>
      </c>
      <c r="I7" s="10" t="inlineStr"/>
      <c r="J7" s="10" t="inlineStr"/>
      <c r="K7" s="9" t="inlineStr"/>
    </row>
    <row r="8" ht="22" customHeight="1">
      <c r="B8" s="16" t="inlineStr">
        <is>
          <t>EEE</t>
        </is>
      </c>
      <c r="C8" s="16" t="inlineStr"/>
      <c r="D8" s="16" t="inlineStr"/>
      <c r="E8" s="16" t="inlineStr"/>
      <c r="F8" s="16" t="inlineStr"/>
      <c r="G8" s="16" t="inlineStr"/>
      <c r="H8" s="16">
        <f>IFERROR(ROUND(G8/D8*100,1),"")</f>
        <v/>
      </c>
      <c r="I8" s="16" t="inlineStr"/>
      <c r="J8" s="16" t="inlineStr"/>
      <c r="K8" s="15" t="inlineStr"/>
    </row>
    <row r="9" ht="22" customHeight="1">
      <c r="B9" s="10" t="inlineStr">
        <is>
          <t>MECH</t>
        </is>
      </c>
      <c r="C9" s="10" t="inlineStr"/>
      <c r="D9" s="10" t="inlineStr"/>
      <c r="E9" s="10" t="inlineStr"/>
      <c r="F9" s="10" t="inlineStr"/>
      <c r="G9" s="10" t="inlineStr"/>
      <c r="H9" s="10">
        <f>IFERROR(ROUND(G9/D9*100,1),"")</f>
        <v/>
      </c>
      <c r="I9" s="10" t="inlineStr"/>
      <c r="J9" s="10" t="inlineStr"/>
      <c r="K9" s="9" t="inlineStr"/>
    </row>
    <row r="10" ht="22" customHeight="1">
      <c r="B10" s="16" t="inlineStr">
        <is>
          <t>CIVIL</t>
        </is>
      </c>
      <c r="C10" s="16" t="inlineStr"/>
      <c r="D10" s="16" t="inlineStr"/>
      <c r="E10" s="16" t="inlineStr"/>
      <c r="F10" s="16" t="inlineStr"/>
      <c r="G10" s="16" t="inlineStr"/>
      <c r="H10" s="16">
        <f>IFERROR(ROUND(G10/D10*100,1),"")</f>
        <v/>
      </c>
      <c r="I10" s="16" t="inlineStr"/>
      <c r="J10" s="16" t="inlineStr"/>
      <c r="K10" s="15" t="inlineStr"/>
    </row>
    <row r="11" ht="22" customHeight="1">
      <c r="B11" s="10" t="inlineStr">
        <is>
          <t>MBA</t>
        </is>
      </c>
      <c r="C11" s="10" t="inlineStr"/>
      <c r="D11" s="10" t="inlineStr"/>
      <c r="E11" s="10" t="inlineStr"/>
      <c r="F11" s="10" t="inlineStr"/>
      <c r="G11" s="10" t="inlineStr"/>
      <c r="H11" s="10">
        <f>IFERROR(ROUND(G11/D11*100,1),"")</f>
        <v/>
      </c>
      <c r="I11" s="10" t="inlineStr"/>
      <c r="J11" s="10" t="inlineStr"/>
      <c r="K11" s="9" t="inlineStr"/>
    </row>
    <row r="12" ht="22" customHeight="1">
      <c r="B12" s="16" t="inlineStr">
        <is>
          <t>MCA</t>
        </is>
      </c>
      <c r="C12" s="16" t="inlineStr"/>
      <c r="D12" s="16" t="inlineStr"/>
      <c r="E12" s="16" t="inlineStr"/>
      <c r="F12" s="16" t="inlineStr"/>
      <c r="G12" s="16" t="inlineStr"/>
      <c r="H12" s="16">
        <f>IFERROR(ROUND(G12/D12*100,1),"")</f>
        <v/>
      </c>
      <c r="I12" s="16" t="inlineStr"/>
      <c r="J12" s="16" t="inlineStr"/>
      <c r="K12" s="15" t="inlineStr"/>
    </row>
    <row r="13" ht="22" customHeight="1">
      <c r="B13" s="10" t="inlineStr">
        <is>
          <t>S&amp;H</t>
        </is>
      </c>
      <c r="C13" s="10" t="inlineStr"/>
      <c r="D13" s="10" t="inlineStr"/>
      <c r="E13" s="10" t="inlineStr"/>
      <c r="F13" s="10" t="inlineStr"/>
      <c r="G13" s="10" t="inlineStr"/>
      <c r="H13" s="10">
        <f>IFERROR(ROUND(G13/D13*100,1),"")</f>
        <v/>
      </c>
      <c r="I13" s="10" t="inlineStr"/>
      <c r="J13" s="10" t="inlineStr"/>
      <c r="K13" s="9" t="inlineStr"/>
    </row>
    <row r="14" ht="22" customHeight="1">
      <c r="B14" s="39" t="inlineStr">
        <is>
          <t>INSTITUTION</t>
        </is>
      </c>
      <c r="C14" s="39" t="inlineStr"/>
      <c r="D14" s="39" t="inlineStr"/>
      <c r="E14" s="39" t="inlineStr"/>
      <c r="F14" s="39" t="inlineStr"/>
      <c r="G14" s="39" t="inlineStr"/>
      <c r="H14" s="39">
        <f>IFERROR(ROUND(G14/D14*100,1),"")</f>
        <v/>
      </c>
      <c r="I14" s="39" t="inlineStr"/>
      <c r="J14" s="39" t="inlineStr"/>
      <c r="K14" s="24" t="inlineStr"/>
    </row>
    <row r="15" ht="22" customHeight="1"/>
    <row r="16" ht="24" customHeight="1">
      <c r="B16" s="43" t="inlineStr">
        <is>
          <t>SECTOR-WISE PLACEMENT DISTRIBUTION</t>
        </is>
      </c>
    </row>
    <row r="17" ht="22" customHeight="1">
      <c r="B17" s="44" t="inlineStr">
        <is>
          <t>Sector</t>
        </is>
      </c>
      <c r="C17" s="44" t="inlineStr">
        <is>
          <t>Students
Placed</t>
        </is>
      </c>
      <c r="D17" s="44" t="inlineStr">
        <is>
          <t>% of Total
Placements</t>
        </is>
      </c>
      <c r="E17" s="44" t="inlineStr">
        <is>
          <t>Avg CTC
(₹L)</t>
        </is>
      </c>
      <c r="F17" s="44" t="inlineStr">
        <is>
          <t>Max CTC
(₹L)</t>
        </is>
      </c>
      <c r="G17" s="44" t="inlineStr">
        <is>
          <t>No. of
Companies</t>
        </is>
      </c>
      <c r="H17" s="44" t="inlineStr">
        <is>
          <t>YoY Change
%</t>
        </is>
      </c>
    </row>
    <row r="18" ht="22" customHeight="1">
      <c r="B18" s="46" t="inlineStr">
        <is>
          <t>IT/Software</t>
        </is>
      </c>
      <c r="C18" s="45" t="inlineStr"/>
      <c r="D18" s="45">
        <f>IFERROR(ROUND(C18/C27*100,1),"")</f>
        <v/>
      </c>
      <c r="E18" s="45" t="inlineStr"/>
      <c r="F18" s="45" t="inlineStr"/>
      <c r="G18" s="45" t="inlineStr"/>
      <c r="H18" s="45" t="inlineStr"/>
      <c r="I18" s="47" t="n"/>
      <c r="J18" s="47" t="n"/>
      <c r="K18" s="47" t="n"/>
    </row>
    <row r="19" ht="22" customHeight="1">
      <c r="B19" s="9" t="inlineStr">
        <is>
          <t>Manufacturing</t>
        </is>
      </c>
      <c r="C19" s="10" t="inlineStr"/>
      <c r="D19" s="10">
        <f>IFERROR(ROUND(C19/C27*100,1),"")</f>
        <v/>
      </c>
      <c r="E19" s="10" t="inlineStr"/>
      <c r="F19" s="10" t="inlineStr"/>
      <c r="G19" s="10" t="inlineStr"/>
      <c r="H19" s="10" t="inlineStr"/>
      <c r="I19" s="41" t="n"/>
      <c r="J19" s="41" t="n"/>
      <c r="K19" s="41" t="n"/>
    </row>
    <row r="20" ht="22" customHeight="1">
      <c r="B20" s="46" t="inlineStr">
        <is>
          <t>Automotive</t>
        </is>
      </c>
      <c r="C20" s="45" t="inlineStr"/>
      <c r="D20" s="45">
        <f>IFERROR(ROUND(C20/C27*100,1),"")</f>
        <v/>
      </c>
      <c r="E20" s="45" t="inlineStr"/>
      <c r="F20" s="45" t="inlineStr"/>
      <c r="G20" s="45" t="inlineStr"/>
      <c r="H20" s="45" t="inlineStr"/>
      <c r="I20" s="47" t="n"/>
      <c r="J20" s="47" t="n"/>
      <c r="K20" s="47" t="n"/>
    </row>
    <row r="21" ht="22" customHeight="1">
      <c r="B21" s="9" t="inlineStr">
        <is>
          <t>Pharma/Healthcare</t>
        </is>
      </c>
      <c r="C21" s="10" t="inlineStr"/>
      <c r="D21" s="10">
        <f>IFERROR(ROUND(C21/C27*100,1),"")</f>
        <v/>
      </c>
      <c r="E21" s="10" t="inlineStr"/>
      <c r="F21" s="10" t="inlineStr"/>
      <c r="G21" s="10" t="inlineStr"/>
      <c r="H21" s="10" t="inlineStr"/>
      <c r="I21" s="41" t="n"/>
      <c r="J21" s="41" t="n"/>
      <c r="K21" s="41" t="n"/>
    </row>
    <row r="22" ht="22" customHeight="1">
      <c r="B22" s="46" t="inlineStr">
        <is>
          <t>FMCG/Retail</t>
        </is>
      </c>
      <c r="C22" s="45" t="inlineStr"/>
      <c r="D22" s="45">
        <f>IFERROR(ROUND(C22/C27*100,1),"")</f>
        <v/>
      </c>
      <c r="E22" s="45" t="inlineStr"/>
      <c r="F22" s="45" t="inlineStr"/>
      <c r="G22" s="45" t="inlineStr"/>
      <c r="H22" s="45" t="inlineStr"/>
      <c r="I22" s="47" t="n"/>
      <c r="J22" s="47" t="n"/>
      <c r="K22" s="47" t="n"/>
    </row>
    <row r="23" ht="22" customHeight="1">
      <c r="B23" s="9" t="inlineStr">
        <is>
          <t>Banking/Finance</t>
        </is>
      </c>
      <c r="C23" s="10" t="inlineStr"/>
      <c r="D23" s="10">
        <f>IFERROR(ROUND(C23/C27*100,1),"")</f>
        <v/>
      </c>
      <c r="E23" s="10" t="inlineStr"/>
      <c r="F23" s="10" t="inlineStr"/>
      <c r="G23" s="10" t="inlineStr"/>
      <c r="H23" s="10" t="inlineStr"/>
      <c r="I23" s="41" t="n"/>
      <c r="J23" s="41" t="n"/>
      <c r="K23" s="41" t="n"/>
    </row>
    <row r="24" ht="22" customHeight="1">
      <c r="B24" s="46" t="inlineStr">
        <is>
          <t>Energy/Power</t>
        </is>
      </c>
      <c r="C24" s="45" t="inlineStr"/>
      <c r="D24" s="45">
        <f>IFERROR(ROUND(C24/C27*100,1),"")</f>
        <v/>
      </c>
      <c r="E24" s="45" t="inlineStr"/>
      <c r="F24" s="45" t="inlineStr"/>
      <c r="G24" s="45" t="inlineStr"/>
      <c r="H24" s="45" t="inlineStr"/>
      <c r="I24" s="47" t="n"/>
      <c r="J24" s="47" t="n"/>
      <c r="K24" s="47" t="n"/>
    </row>
    <row r="25" ht="22" customHeight="1">
      <c r="B25" s="9" t="inlineStr">
        <is>
          <t>Construction/Infra</t>
        </is>
      </c>
      <c r="C25" s="10" t="inlineStr"/>
      <c r="D25" s="10">
        <f>IFERROR(ROUND(C25/C27*100,1),"")</f>
        <v/>
      </c>
      <c r="E25" s="10" t="inlineStr"/>
      <c r="F25" s="10" t="inlineStr"/>
      <c r="G25" s="10" t="inlineStr"/>
      <c r="H25" s="10" t="inlineStr"/>
      <c r="I25" s="41" t="n"/>
      <c r="J25" s="41" t="n"/>
      <c r="K25" s="41" t="n"/>
    </row>
    <row r="26" ht="22" customHeight="1">
      <c r="B26" s="46" t="inlineStr">
        <is>
          <t>Others</t>
        </is>
      </c>
      <c r="C26" s="45" t="inlineStr"/>
      <c r="D26" s="45">
        <f>IFERROR(ROUND(C26/C27*100,1),"")</f>
        <v/>
      </c>
      <c r="E26" s="45" t="inlineStr"/>
      <c r="F26" s="45" t="inlineStr"/>
      <c r="G26" s="45" t="inlineStr"/>
      <c r="H26" s="45" t="inlineStr"/>
      <c r="I26" s="47" t="n"/>
      <c r="J26" s="47" t="n"/>
      <c r="K26" s="47" t="n"/>
    </row>
    <row r="27" ht="22" customHeight="1">
      <c r="B27" s="24" t="inlineStr">
        <is>
          <t>TOTAL</t>
        </is>
      </c>
      <c r="C27" s="39" t="inlineStr"/>
      <c r="D27" s="39">
        <f>IFERROR(ROUND(C27/C27*100,1),"")</f>
        <v/>
      </c>
      <c r="E27" s="39" t="inlineStr"/>
      <c r="F27" s="39" t="inlineStr"/>
      <c r="G27" s="39" t="inlineStr"/>
      <c r="H27" s="39" t="inlineStr"/>
      <c r="I27" s="42" t="n"/>
      <c r="J27" s="42" t="n"/>
      <c r="K27" s="42" t="n"/>
    </row>
    <row r="28" ht="22" customHeight="1"/>
    <row r="29" ht="24" customHeight="1">
      <c r="B29" s="35" t="inlineStr">
        <is>
          <t>YEAR-ON-YEAR PLACEMENT TREND</t>
        </is>
      </c>
    </row>
    <row r="30" ht="22" customHeight="1">
      <c r="B30" s="31" t="inlineStr">
        <is>
          <t>Batch Year</t>
        </is>
      </c>
      <c r="C30" s="31" t="inlineStr">
        <is>
          <t>Total
Eligible</t>
        </is>
      </c>
      <c r="D30" s="31" t="inlineStr">
        <is>
          <t>Placed</t>
        </is>
      </c>
      <c r="E30" s="31" t="inlineStr">
        <is>
          <t>Placement
%</t>
        </is>
      </c>
      <c r="F30" s="31" t="inlineStr">
        <is>
          <t>Highest
CTC (₹L)</t>
        </is>
      </c>
      <c r="G30" s="31" t="inlineStr">
        <is>
          <t>Average
CTC (₹L)</t>
        </is>
      </c>
      <c r="H30" s="31" t="inlineStr">
        <is>
          <t>Median
CTC (₹L)</t>
        </is>
      </c>
      <c r="I30" s="31" t="inlineStr">
        <is>
          <t>No. of
Recruiters</t>
        </is>
      </c>
      <c r="J30" s="31" t="inlineStr">
        <is>
          <t>Higher
Studies %</t>
        </is>
      </c>
      <c r="K30" s="31" t="inlineStr">
        <is>
          <t>Entrepreneurship %</t>
        </is>
      </c>
    </row>
    <row r="31" ht="22" customHeight="1">
      <c r="B31" s="32" t="inlineStr">
        <is>
          <t>2020</t>
        </is>
      </c>
      <c r="C31" s="34" t="inlineStr"/>
      <c r="D31" s="34" t="inlineStr"/>
      <c r="E31" s="34">
        <f>IFERROR(ROUND(D31/C31*100,1),"")</f>
        <v/>
      </c>
      <c r="F31" s="34" t="inlineStr"/>
      <c r="G31" s="34" t="inlineStr"/>
      <c r="H31" s="34" t="inlineStr"/>
      <c r="I31" s="34" t="inlineStr"/>
      <c r="J31" s="34" t="inlineStr"/>
      <c r="K31" s="34" t="inlineStr"/>
    </row>
    <row r="32" ht="22" customHeight="1">
      <c r="B32" s="8" t="inlineStr">
        <is>
          <t>2021</t>
        </is>
      </c>
      <c r="C32" s="10" t="inlineStr"/>
      <c r="D32" s="10" t="inlineStr"/>
      <c r="E32" s="10">
        <f>IFERROR(ROUND(D32/C32*100,1),"")</f>
        <v/>
      </c>
      <c r="F32" s="10" t="inlineStr"/>
      <c r="G32" s="10" t="inlineStr"/>
      <c r="H32" s="10" t="inlineStr"/>
      <c r="I32" s="10" t="inlineStr"/>
      <c r="J32" s="10" t="inlineStr"/>
      <c r="K32" s="10" t="inlineStr"/>
    </row>
    <row r="33" ht="22" customHeight="1">
      <c r="B33" s="32" t="inlineStr">
        <is>
          <t>2022</t>
        </is>
      </c>
      <c r="C33" s="34" t="inlineStr"/>
      <c r="D33" s="34" t="inlineStr"/>
      <c r="E33" s="34">
        <f>IFERROR(ROUND(D33/C33*100,1),"")</f>
        <v/>
      </c>
      <c r="F33" s="34" t="inlineStr"/>
      <c r="G33" s="34" t="inlineStr"/>
      <c r="H33" s="34" t="inlineStr"/>
      <c r="I33" s="34" t="inlineStr"/>
      <c r="J33" s="34" t="inlineStr"/>
      <c r="K33" s="34" t="inlineStr"/>
    </row>
    <row r="34" ht="22" customHeight="1">
      <c r="B34" s="8" t="inlineStr">
        <is>
          <t>2023</t>
        </is>
      </c>
      <c r="C34" s="10" t="inlineStr"/>
      <c r="D34" s="10" t="inlineStr"/>
      <c r="E34" s="10">
        <f>IFERROR(ROUND(D34/C34*100,1),"")</f>
        <v/>
      </c>
      <c r="F34" s="10" t="inlineStr"/>
      <c r="G34" s="10" t="inlineStr"/>
      <c r="H34" s="10" t="inlineStr"/>
      <c r="I34" s="10" t="inlineStr"/>
      <c r="J34" s="10" t="inlineStr"/>
      <c r="K34" s="10" t="inlineStr"/>
    </row>
    <row r="35" ht="22" customHeight="1">
      <c r="B35" s="32" t="inlineStr">
        <is>
          <t>2024</t>
        </is>
      </c>
      <c r="C35" s="34" t="inlineStr"/>
      <c r="D35" s="34" t="inlineStr"/>
      <c r="E35" s="34">
        <f>IFERROR(ROUND(D35/C35*100,1),"")</f>
        <v/>
      </c>
      <c r="F35" s="34" t="inlineStr"/>
      <c r="G35" s="34" t="inlineStr"/>
      <c r="H35" s="34" t="inlineStr"/>
      <c r="I35" s="34" t="inlineStr"/>
      <c r="J35" s="34" t="inlineStr"/>
      <c r="K35" s="34" t="inlineStr"/>
    </row>
    <row r="36" ht="22" customHeight="1">
      <c r="B36" s="8" t="inlineStr">
        <is>
          <t>2025</t>
        </is>
      </c>
      <c r="C36" s="10" t="inlineStr"/>
      <c r="D36" s="10" t="inlineStr"/>
      <c r="E36" s="10">
        <f>IFERROR(ROUND(D36/C36*100,1),"")</f>
        <v/>
      </c>
      <c r="F36" s="10" t="inlineStr"/>
      <c r="G36" s="10" t="inlineStr"/>
      <c r="H36" s="10" t="inlineStr"/>
      <c r="I36" s="10" t="inlineStr"/>
      <c r="J36" s="10" t="inlineStr"/>
      <c r="K36" s="10" t="inlineStr"/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5">
    <mergeCell ref="B4:K4"/>
    <mergeCell ref="B29:K29"/>
    <mergeCell ref="B2:K2"/>
    <mergeCell ref="B16:K16"/>
    <mergeCell ref="B3:K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8" t="inlineStr">
        <is>
          <t>IIPC-25: CONSULTANCY ASSIGNMENT REGISTER (₹)</t>
        </is>
      </c>
    </row>
    <row r="3" ht="25" customHeight="1">
      <c r="B3" s="2" t="inlineStr">
        <is>
          <t>A.Y.: _______  IIPC Coordinator: ___________________  Finance Officer: ___________________  Revenue Sharing Policy Ref.: _______</t>
        </is>
      </c>
    </row>
    <row r="4" ht="25" customHeight="1">
      <c r="B4" s="13" t="inlineStr">
        <is>
          <t>Consult.
Ref.</t>
        </is>
      </c>
      <c r="C4" s="13" t="inlineStr">
        <is>
          <t>Project Title</t>
        </is>
      </c>
      <c r="D4" s="13" t="inlineStr">
        <is>
          <t>Client Organisation</t>
        </is>
      </c>
      <c r="E4" s="13" t="inlineStr">
        <is>
          <t>Lead Faculty
&amp; Dept.</t>
        </is>
      </c>
      <c r="F4" s="13" t="inlineStr">
        <is>
          <t>Total
Fee (₹L)</t>
        </is>
      </c>
      <c r="G4" s="13" t="inlineStr">
        <is>
          <t>Received
(₹L)</t>
        </is>
      </c>
      <c r="H4" s="13" t="inlineStr">
        <is>
          <t>Pending
(₹L)</t>
        </is>
      </c>
      <c r="I4" s="13" t="inlineStr">
        <is>
          <t>Inst. Share
(₹L)</t>
        </is>
      </c>
      <c r="J4" s="13" t="inlineStr">
        <is>
          <t>Status</t>
        </is>
      </c>
    </row>
    <row r="5" ht="22" customHeight="1">
      <c r="B5" s="14" t="inlineStr">
        <is>
          <t>CONS/2024/001</t>
        </is>
      </c>
      <c r="C5" s="15" t="inlineStr"/>
      <c r="D5" s="15" t="inlineStr"/>
      <c r="E5" s="16" t="inlineStr"/>
      <c r="F5" s="16" t="inlineStr"/>
      <c r="G5" s="16" t="inlineStr"/>
      <c r="H5" s="16">
        <f>IFERROR(F5-G5,"")</f>
        <v/>
      </c>
      <c r="I5" s="16">
        <f>IFERROR(ROUND(G5*0.4,2),"")</f>
        <v/>
      </c>
      <c r="J5" s="16" t="inlineStr">
        <is>
          <t>Ongoing</t>
        </is>
      </c>
    </row>
    <row r="6" ht="22" customHeight="1">
      <c r="B6" s="8" t="inlineStr">
        <is>
          <t>CONS/2024/002</t>
        </is>
      </c>
      <c r="C6" s="9" t="inlineStr"/>
      <c r="D6" s="9" t="inlineStr"/>
      <c r="E6" s="10" t="inlineStr"/>
      <c r="F6" s="10" t="inlineStr"/>
      <c r="G6" s="10" t="inlineStr"/>
      <c r="H6" s="10">
        <f>IFERROR(F6-G6,"")</f>
        <v/>
      </c>
      <c r="I6" s="10">
        <f>IFERROR(ROUND(G6*0.4,2),"")</f>
        <v/>
      </c>
      <c r="J6" s="10" t="inlineStr">
        <is>
          <t>Ongoing</t>
        </is>
      </c>
    </row>
    <row r="7" ht="22" customHeight="1">
      <c r="B7" s="14" t="inlineStr">
        <is>
          <t>CONS/2024/003</t>
        </is>
      </c>
      <c r="C7" s="15" t="inlineStr"/>
      <c r="D7" s="15" t="inlineStr"/>
      <c r="E7" s="16" t="inlineStr"/>
      <c r="F7" s="16" t="inlineStr"/>
      <c r="G7" s="16" t="inlineStr"/>
      <c r="H7" s="16">
        <f>IFERROR(F7-G7,"")</f>
        <v/>
      </c>
      <c r="I7" s="16">
        <f>IFERROR(ROUND(G7*0.4,2),"")</f>
        <v/>
      </c>
      <c r="J7" s="16" t="inlineStr">
        <is>
          <t>Ongoing</t>
        </is>
      </c>
    </row>
    <row r="8" ht="22" customHeight="1">
      <c r="B8" s="8" t="inlineStr">
        <is>
          <t>CONS/2024/004</t>
        </is>
      </c>
      <c r="C8" s="9" t="inlineStr"/>
      <c r="D8" s="9" t="inlineStr"/>
      <c r="E8" s="10" t="inlineStr"/>
      <c r="F8" s="10" t="inlineStr"/>
      <c r="G8" s="10" t="inlineStr"/>
      <c r="H8" s="10">
        <f>IFERROR(F8-G8,"")</f>
        <v/>
      </c>
      <c r="I8" s="10">
        <f>IFERROR(ROUND(G8*0.4,2),"")</f>
        <v/>
      </c>
      <c r="J8" s="10" t="inlineStr">
        <is>
          <t>Ongoing</t>
        </is>
      </c>
    </row>
    <row r="9" ht="22" customHeight="1">
      <c r="B9" s="14" t="inlineStr">
        <is>
          <t>CONS/2024/005</t>
        </is>
      </c>
      <c r="C9" s="15" t="inlineStr"/>
      <c r="D9" s="15" t="inlineStr"/>
      <c r="E9" s="16" t="inlineStr"/>
      <c r="F9" s="16" t="inlineStr"/>
      <c r="G9" s="16" t="inlineStr"/>
      <c r="H9" s="16">
        <f>IFERROR(F9-G9,"")</f>
        <v/>
      </c>
      <c r="I9" s="16">
        <f>IFERROR(ROUND(G9*0.4,2),"")</f>
        <v/>
      </c>
      <c r="J9" s="16" t="inlineStr">
        <is>
          <t>Ongoing</t>
        </is>
      </c>
    </row>
    <row r="10" ht="22" customHeight="1">
      <c r="B10" s="8" t="inlineStr">
        <is>
          <t>CONS/2024/006</t>
        </is>
      </c>
      <c r="C10" s="9" t="inlineStr"/>
      <c r="D10" s="9" t="inlineStr"/>
      <c r="E10" s="10" t="inlineStr"/>
      <c r="F10" s="10" t="inlineStr"/>
      <c r="G10" s="10" t="inlineStr"/>
      <c r="H10" s="10">
        <f>IFERROR(F10-G10,"")</f>
        <v/>
      </c>
      <c r="I10" s="10">
        <f>IFERROR(ROUND(G10*0.4,2),"")</f>
        <v/>
      </c>
      <c r="J10" s="10" t="inlineStr">
        <is>
          <t>Ongoing</t>
        </is>
      </c>
    </row>
    <row r="11" ht="22" customHeight="1">
      <c r="B11" s="14" t="inlineStr">
        <is>
          <t>CONS/2024/007</t>
        </is>
      </c>
      <c r="C11" s="15" t="inlineStr"/>
      <c r="D11" s="15" t="inlineStr"/>
      <c r="E11" s="16" t="inlineStr"/>
      <c r="F11" s="16" t="inlineStr"/>
      <c r="G11" s="16" t="inlineStr"/>
      <c r="H11" s="16">
        <f>IFERROR(F11-G11,"")</f>
        <v/>
      </c>
      <c r="I11" s="16">
        <f>IFERROR(ROUND(G11*0.4,2),"")</f>
        <v/>
      </c>
      <c r="J11" s="16" t="inlineStr">
        <is>
          <t>Ongoing</t>
        </is>
      </c>
    </row>
    <row r="12" ht="22" customHeight="1">
      <c r="B12" s="8" t="inlineStr">
        <is>
          <t>CONS/2024/008</t>
        </is>
      </c>
      <c r="C12" s="9" t="inlineStr"/>
      <c r="D12" s="9" t="inlineStr"/>
      <c r="E12" s="10" t="inlineStr"/>
      <c r="F12" s="10" t="inlineStr"/>
      <c r="G12" s="10" t="inlineStr"/>
      <c r="H12" s="10">
        <f>IFERROR(F12-G12,"")</f>
        <v/>
      </c>
      <c r="I12" s="10">
        <f>IFERROR(ROUND(G12*0.4,2),"")</f>
        <v/>
      </c>
      <c r="J12" s="10" t="inlineStr">
        <is>
          <t>Ongoing</t>
        </is>
      </c>
    </row>
    <row r="13" ht="22" customHeight="1">
      <c r="B13" s="14" t="inlineStr">
        <is>
          <t>CONS/2024/009</t>
        </is>
      </c>
      <c r="C13" s="15" t="inlineStr"/>
      <c r="D13" s="15" t="inlineStr"/>
      <c r="E13" s="16" t="inlineStr"/>
      <c r="F13" s="16" t="inlineStr"/>
      <c r="G13" s="16" t="inlineStr"/>
      <c r="H13" s="16">
        <f>IFERROR(F13-G13,"")</f>
        <v/>
      </c>
      <c r="I13" s="16">
        <f>IFERROR(ROUND(G13*0.4,2),"")</f>
        <v/>
      </c>
      <c r="J13" s="16" t="inlineStr">
        <is>
          <t>Ongoing</t>
        </is>
      </c>
    </row>
    <row r="14" ht="22" customHeight="1">
      <c r="B14" s="8" t="inlineStr">
        <is>
          <t>CONS/2025/010</t>
        </is>
      </c>
      <c r="C14" s="9" t="inlineStr"/>
      <c r="D14" s="9" t="inlineStr"/>
      <c r="E14" s="10" t="inlineStr"/>
      <c r="F14" s="10" t="inlineStr"/>
      <c r="G14" s="10" t="inlineStr"/>
      <c r="H14" s="10">
        <f>IFERROR(F14-G14,"")</f>
        <v/>
      </c>
      <c r="I14" s="10">
        <f>IFERROR(ROUND(G14*0.4,2),"")</f>
        <v/>
      </c>
      <c r="J14" s="10" t="inlineStr">
        <is>
          <t>Ongoing</t>
        </is>
      </c>
    </row>
    <row r="15" ht="22" customHeight="1">
      <c r="B15" s="14" t="inlineStr">
        <is>
          <t>CONS/2025/011</t>
        </is>
      </c>
      <c r="C15" s="15" t="inlineStr"/>
      <c r="D15" s="15" t="inlineStr"/>
      <c r="E15" s="16" t="inlineStr"/>
      <c r="F15" s="16" t="inlineStr"/>
      <c r="G15" s="16" t="inlineStr"/>
      <c r="H15" s="16">
        <f>IFERROR(F15-G15,"")</f>
        <v/>
      </c>
      <c r="I15" s="16">
        <f>IFERROR(ROUND(G15*0.4,2),"")</f>
        <v/>
      </c>
      <c r="J15" s="16" t="inlineStr">
        <is>
          <t>Ongoing</t>
        </is>
      </c>
    </row>
    <row r="16" ht="22" customHeight="1">
      <c r="B16" s="8" t="inlineStr">
        <is>
          <t>CONS/2025/012</t>
        </is>
      </c>
      <c r="C16" s="9" t="inlineStr"/>
      <c r="D16" s="9" t="inlineStr"/>
      <c r="E16" s="10" t="inlineStr"/>
      <c r="F16" s="10" t="inlineStr"/>
      <c r="G16" s="10" t="inlineStr"/>
      <c r="H16" s="10">
        <f>IFERROR(F16-G16,"")</f>
        <v/>
      </c>
      <c r="I16" s="10">
        <f>IFERROR(ROUND(G16*0.4,2),"")</f>
        <v/>
      </c>
      <c r="J16" s="10" t="inlineStr">
        <is>
          <t>Ongoing</t>
        </is>
      </c>
    </row>
    <row r="17" ht="22" customHeight="1">
      <c r="B17" s="14" t="inlineStr">
        <is>
          <t>CONS/2025/013</t>
        </is>
      </c>
      <c r="C17" s="15" t="inlineStr"/>
      <c r="D17" s="15" t="inlineStr"/>
      <c r="E17" s="16" t="inlineStr"/>
      <c r="F17" s="16" t="inlineStr"/>
      <c r="G17" s="16" t="inlineStr"/>
      <c r="H17" s="16">
        <f>IFERROR(F17-G17,"")</f>
        <v/>
      </c>
      <c r="I17" s="16">
        <f>IFERROR(ROUND(G17*0.4,2),"")</f>
        <v/>
      </c>
      <c r="J17" s="16" t="inlineStr">
        <is>
          <t>Ongoing</t>
        </is>
      </c>
    </row>
    <row r="18" ht="22" customHeight="1">
      <c r="B18" s="8" t="inlineStr">
        <is>
          <t>CONS/2025/014</t>
        </is>
      </c>
      <c r="C18" s="9" t="inlineStr"/>
      <c r="D18" s="9" t="inlineStr"/>
      <c r="E18" s="10" t="inlineStr"/>
      <c r="F18" s="10" t="inlineStr"/>
      <c r="G18" s="10" t="inlineStr"/>
      <c r="H18" s="10">
        <f>IFERROR(F18-G18,"")</f>
        <v/>
      </c>
      <c r="I18" s="10">
        <f>IFERROR(ROUND(G18*0.4,2),"")</f>
        <v/>
      </c>
      <c r="J18" s="10" t="inlineStr">
        <is>
          <t>Ongoing</t>
        </is>
      </c>
    </row>
    <row r="19" ht="22" customHeight="1">
      <c r="B19" s="14" t="inlineStr">
        <is>
          <t>CONS/2025/015</t>
        </is>
      </c>
      <c r="C19" s="15" t="inlineStr"/>
      <c r="D19" s="15" t="inlineStr"/>
      <c r="E19" s="16" t="inlineStr"/>
      <c r="F19" s="16" t="inlineStr"/>
      <c r="G19" s="16" t="inlineStr"/>
      <c r="H19" s="16">
        <f>IFERROR(F19-G19,"")</f>
        <v/>
      </c>
      <c r="I19" s="16">
        <f>IFERROR(ROUND(G19*0.4,2),"")</f>
        <v/>
      </c>
      <c r="J19" s="16" t="inlineStr">
        <is>
          <t>Ongoing</t>
        </is>
      </c>
    </row>
    <row r="20" ht="22" customHeight="1">
      <c r="B20" s="8" t="inlineStr">
        <is>
          <t>CONS/2025/016</t>
        </is>
      </c>
      <c r="C20" s="9" t="inlineStr"/>
      <c r="D20" s="9" t="inlineStr"/>
      <c r="E20" s="10" t="inlineStr"/>
      <c r="F20" s="10" t="inlineStr"/>
      <c r="G20" s="10" t="inlineStr"/>
      <c r="H20" s="10">
        <f>IFERROR(F20-G20,"")</f>
        <v/>
      </c>
      <c r="I20" s="10">
        <f>IFERROR(ROUND(G20*0.4,2),"")</f>
        <v/>
      </c>
      <c r="J20" s="10" t="inlineStr">
        <is>
          <t>Ongoing</t>
        </is>
      </c>
    </row>
    <row r="21" ht="22" customHeight="1">
      <c r="B21" s="14" t="inlineStr">
        <is>
          <t>CONS/2025/017</t>
        </is>
      </c>
      <c r="C21" s="15" t="inlineStr"/>
      <c r="D21" s="15" t="inlineStr"/>
      <c r="E21" s="16" t="inlineStr"/>
      <c r="F21" s="16" t="inlineStr"/>
      <c r="G21" s="16" t="inlineStr"/>
      <c r="H21" s="16">
        <f>IFERROR(F21-G21,"")</f>
        <v/>
      </c>
      <c r="I21" s="16">
        <f>IFERROR(ROUND(G21*0.4,2),"")</f>
        <v/>
      </c>
      <c r="J21" s="16" t="inlineStr">
        <is>
          <t>Ongoing</t>
        </is>
      </c>
    </row>
    <row r="22" ht="22" customHeight="1">
      <c r="B22" s="8" t="inlineStr">
        <is>
          <t>CONS/2025/018</t>
        </is>
      </c>
      <c r="C22" s="9" t="inlineStr"/>
      <c r="D22" s="9" t="inlineStr"/>
      <c r="E22" s="10" t="inlineStr"/>
      <c r="F22" s="10" t="inlineStr"/>
      <c r="G22" s="10" t="inlineStr"/>
      <c r="H22" s="10">
        <f>IFERROR(F22-G22,"")</f>
        <v/>
      </c>
      <c r="I22" s="10">
        <f>IFERROR(ROUND(G22*0.4,2),"")</f>
        <v/>
      </c>
      <c r="J22" s="10" t="inlineStr">
        <is>
          <t>Ongoing</t>
        </is>
      </c>
    </row>
    <row r="23" ht="22" customHeight="1"/>
    <row r="24" ht="22" customHeight="1">
      <c r="B24" s="62" t="inlineStr">
        <is>
          <t>TOTAL CONSULTANCY</t>
        </is>
      </c>
      <c r="C24" s="63" t="n"/>
      <c r="D24" s="63" t="n"/>
      <c r="E24" s="63" t="n"/>
      <c r="F24" s="64">
        <f>IFERROR(SUM(F5:F22),"")</f>
        <v/>
      </c>
      <c r="G24" s="64">
        <f>IFERROR(SUM(G5:G22),"")</f>
        <v/>
      </c>
      <c r="H24" s="64">
        <f>IFERROR(SUM(H5:H22),"")</f>
        <v/>
      </c>
      <c r="I24" s="64">
        <f>IFERROR(SUM(I5:I22),"")</f>
        <v/>
      </c>
      <c r="J24" s="42" t="n"/>
    </row>
    <row r="25" ht="22" customHeight="1"/>
    <row r="26" ht="24" customHeight="1">
      <c r="B26" s="35" t="inlineStr">
        <is>
          <t>CONSULTANCY REVENUE DISTRIBUTION</t>
        </is>
      </c>
    </row>
    <row r="27" ht="22" customHeight="1">
      <c r="B27" s="31" t="inlineStr">
        <is>
          <t>Department</t>
        </is>
      </c>
      <c r="C27" s="31" t="inlineStr">
        <is>
          <t>No. of Projects</t>
        </is>
      </c>
      <c r="D27" s="31" t="inlineStr">
        <is>
          <t>Total Fee (₹L)</t>
        </is>
      </c>
      <c r="E27" s="31" t="inlineStr">
        <is>
          <t>Inst. Share
(₹L)</t>
        </is>
      </c>
      <c r="F27" s="31" t="inlineStr">
        <is>
          <t>Dept. Share
(₹L)</t>
        </is>
      </c>
      <c r="G27" s="31" t="inlineStr">
        <is>
          <t>Faculty Share
(₹L)</t>
        </is>
      </c>
      <c r="H27" s="31" t="inlineStr">
        <is>
          <t>YoY Growth
%</t>
        </is>
      </c>
    </row>
    <row r="28" ht="22" customHeight="1">
      <c r="B28" s="33" t="inlineStr">
        <is>
          <t>CSE</t>
        </is>
      </c>
      <c r="C28" s="34" t="inlineStr"/>
      <c r="D28" s="34" t="inlineStr"/>
      <c r="E28" s="34" t="inlineStr"/>
      <c r="F28" s="34" t="inlineStr"/>
      <c r="G28" s="34" t="inlineStr"/>
      <c r="H28" s="34" t="inlineStr"/>
      <c r="I28" s="40" t="n"/>
      <c r="J28" s="40" t="n"/>
    </row>
    <row r="29" ht="22" customHeight="1">
      <c r="B29" s="9" t="inlineStr">
        <is>
          <t>ECE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41" t="n"/>
      <c r="J29" s="41" t="n"/>
    </row>
    <row r="30" ht="22" customHeight="1">
      <c r="B30" s="33" t="inlineStr">
        <is>
          <t>EEE</t>
        </is>
      </c>
      <c r="C30" s="34" t="inlineStr"/>
      <c r="D30" s="34" t="inlineStr"/>
      <c r="E30" s="34" t="inlineStr"/>
      <c r="F30" s="34" t="inlineStr"/>
      <c r="G30" s="34" t="inlineStr"/>
      <c r="H30" s="34" t="inlineStr"/>
      <c r="I30" s="40" t="n"/>
      <c r="J30" s="40" t="n"/>
    </row>
    <row r="31" ht="22" customHeight="1">
      <c r="B31" s="9" t="inlineStr">
        <is>
          <t>MECH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41" t="n"/>
      <c r="J31" s="41" t="n"/>
    </row>
    <row r="32" ht="22" customHeight="1">
      <c r="B32" s="33" t="inlineStr">
        <is>
          <t>CIVIL</t>
        </is>
      </c>
      <c r="C32" s="34" t="inlineStr"/>
      <c r="D32" s="34" t="inlineStr"/>
      <c r="E32" s="34" t="inlineStr"/>
      <c r="F32" s="34" t="inlineStr"/>
      <c r="G32" s="34" t="inlineStr"/>
      <c r="H32" s="34" t="inlineStr"/>
      <c r="I32" s="40" t="n"/>
      <c r="J32" s="40" t="n"/>
    </row>
    <row r="33" ht="22" customHeight="1">
      <c r="B33" s="9" t="inlineStr">
        <is>
          <t>MBA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41" t="n"/>
      <c r="J33" s="41" t="n"/>
    </row>
    <row r="34">
      <c r="B34" s="33" t="inlineStr">
        <is>
          <t>MCA</t>
        </is>
      </c>
      <c r="C34" s="34" t="inlineStr"/>
      <c r="D34" s="34" t="inlineStr"/>
      <c r="E34" s="34" t="inlineStr"/>
      <c r="F34" s="34" t="inlineStr"/>
      <c r="G34" s="34" t="inlineStr"/>
      <c r="H34" s="34" t="inlineStr"/>
      <c r="I34" s="40" t="n"/>
      <c r="J34" s="40" t="n"/>
    </row>
    <row r="35">
      <c r="B35" s="9" t="inlineStr">
        <is>
          <t>S&amp;H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41" t="n"/>
      <c r="J35" s="41" t="n"/>
    </row>
    <row r="36">
      <c r="B36" s="24" t="inlineStr">
        <is>
          <t>INSTITUTION</t>
        </is>
      </c>
      <c r="C36" s="39" t="inlineStr"/>
      <c r="D36" s="39" t="inlineStr"/>
      <c r="E36" s="39" t="inlineStr"/>
      <c r="F36" s="39" t="inlineStr"/>
      <c r="G36" s="39" t="inlineStr"/>
      <c r="H36" s="39" t="inlineStr"/>
      <c r="I36" s="42" t="n"/>
      <c r="J36" s="42" t="n"/>
    </row>
  </sheetData>
  <mergeCells count="3">
    <mergeCell ref="B26:J26"/>
    <mergeCell ref="B3:J3"/>
    <mergeCell ref="B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I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8" t="inlineStr">
        <is>
          <t>IIPC-29: INDUSTRY SATISFACTION &amp; PARTNERSHIP QUALITY SURVEY</t>
        </is>
      </c>
    </row>
    <row r="3" ht="25" customHeight="1">
      <c r="B3" s="2" t="inlineStr">
        <is>
          <t>A.Y.: _______  Respondents: _______  Survey Period: _______  NAAC Ref.: Criterion V.2 / VI.2</t>
        </is>
      </c>
    </row>
    <row r="4" ht="22" customHeight="1">
      <c r="B4" s="51" t="inlineStr">
        <is>
          <t>Rating Scale: 1 = Very Dissatisfied  |  2 = Dissatisfied  |  3 = Neutral  |  4 = Satisfied  |  5 = Very Satisfied</t>
        </is>
      </c>
    </row>
    <row r="5" ht="24" customHeight="1">
      <c r="B5" s="20" t="inlineStr">
        <is>
          <t>A. STUDENT QUALITY</t>
        </is>
      </c>
    </row>
    <row r="6" ht="22" customHeight="1">
      <c r="B6" s="13" t="inlineStr">
        <is>
          <t>Q.</t>
        </is>
      </c>
      <c r="C6" s="13" t="inlineStr">
        <is>
          <t>Survey Statement</t>
        </is>
      </c>
      <c r="D6" s="13" t="inlineStr">
        <is>
          <t>Strongly
Agree (5)</t>
        </is>
      </c>
      <c r="E6" s="13" t="inlineStr">
        <is>
          <t>Agree
(4)</t>
        </is>
      </c>
      <c r="F6" s="13" t="inlineStr">
        <is>
          <t>Neutral
(3)</t>
        </is>
      </c>
      <c r="G6" s="13" t="inlineStr">
        <is>
          <t>Disagree
(2)</t>
        </is>
      </c>
      <c r="H6" s="13" t="inlineStr">
        <is>
          <t>Strongly
Disagree (1)</t>
        </is>
      </c>
      <c r="I6" s="13" t="inlineStr">
        <is>
          <t>Avg Score</t>
        </is>
      </c>
    </row>
    <row r="7" ht="22" customHeight="1">
      <c r="B7" s="14" t="inlineStr">
        <is>
          <t>Q1</t>
        </is>
      </c>
      <c r="C7" s="15" t="inlineStr">
        <is>
          <t>Technical knowledge of students / interns placed with us</t>
        </is>
      </c>
      <c r="D7" s="16" t="inlineStr"/>
      <c r="E7" s="16" t="inlineStr"/>
      <c r="F7" s="16" t="inlineStr"/>
      <c r="G7" s="16" t="inlineStr"/>
      <c r="H7" s="16" t="inlineStr"/>
      <c r="I7" s="52">
        <f>IFERROR(ROUND((D7*5+E7*4+F7*3+G7*2+H7)/SUM(D7:H7),2),"")</f>
        <v/>
      </c>
    </row>
    <row r="8" ht="22" customHeight="1">
      <c r="B8" s="8" t="inlineStr">
        <is>
          <t>Q2</t>
        </is>
      </c>
      <c r="C8" s="9" t="inlineStr">
        <is>
          <t>Problem-solving and analytical capability</t>
        </is>
      </c>
      <c r="D8" s="10" t="inlineStr"/>
      <c r="E8" s="10" t="inlineStr"/>
      <c r="F8" s="10" t="inlineStr"/>
      <c r="G8" s="10" t="inlineStr"/>
      <c r="H8" s="10" t="inlineStr"/>
      <c r="I8" s="38">
        <f>IFERROR(ROUND((D8*5+E8*4+F8*3+G8*2+H8)/SUM(D8:H8),2),"")</f>
        <v/>
      </c>
    </row>
    <row r="9" ht="22" customHeight="1">
      <c r="B9" s="14" t="inlineStr">
        <is>
          <t>Q3</t>
        </is>
      </c>
      <c r="C9" s="15" t="inlineStr">
        <is>
          <t>Communication and interpersonal skills</t>
        </is>
      </c>
      <c r="D9" s="16" t="inlineStr"/>
      <c r="E9" s="16" t="inlineStr"/>
      <c r="F9" s="16" t="inlineStr"/>
      <c r="G9" s="16" t="inlineStr"/>
      <c r="H9" s="16" t="inlineStr"/>
      <c r="I9" s="52">
        <f>IFERROR(ROUND((D9*5+E9*4+F9*3+G9*2+H9)/SUM(D9:H9),2),"")</f>
        <v/>
      </c>
    </row>
    <row r="10" ht="22" customHeight="1">
      <c r="B10" s="8" t="inlineStr">
        <is>
          <t>Q4</t>
        </is>
      </c>
      <c r="C10" s="9" t="inlineStr">
        <is>
          <t>Attitude, work ethic and discipline</t>
        </is>
      </c>
      <c r="D10" s="10" t="inlineStr"/>
      <c r="E10" s="10" t="inlineStr"/>
      <c r="F10" s="10" t="inlineStr"/>
      <c r="G10" s="10" t="inlineStr"/>
      <c r="H10" s="10" t="inlineStr"/>
      <c r="I10" s="38">
        <f>IFERROR(ROUND((D10*5+E10*4+F10*3+G10*2+H10)/SUM(D10:H10),2),"")</f>
        <v/>
      </c>
    </row>
    <row r="11" ht="22" customHeight="1">
      <c r="B11" s="14" t="inlineStr">
        <is>
          <t>Q5</t>
        </is>
      </c>
      <c r="C11" s="15" t="inlineStr">
        <is>
          <t>Adaptability to industry environment</t>
        </is>
      </c>
      <c r="D11" s="16" t="inlineStr"/>
      <c r="E11" s="16" t="inlineStr"/>
      <c r="F11" s="16" t="inlineStr"/>
      <c r="G11" s="16" t="inlineStr"/>
      <c r="H11" s="16" t="inlineStr"/>
      <c r="I11" s="52">
        <f>IFERROR(ROUND((D11*5+E11*4+F11*3+G11*2+H11)/SUM(D11:H11),2),"")</f>
        <v/>
      </c>
    </row>
    <row r="12" ht="22" customHeight="1">
      <c r="B12" s="8" t="inlineStr">
        <is>
          <t>Q6</t>
        </is>
      </c>
      <c r="C12" s="9" t="inlineStr">
        <is>
          <t>Overall industry-readiness of graduates</t>
        </is>
      </c>
      <c r="D12" s="10" t="inlineStr"/>
      <c r="E12" s="10" t="inlineStr"/>
      <c r="F12" s="10" t="inlineStr"/>
      <c r="G12" s="10" t="inlineStr"/>
      <c r="H12" s="10" t="inlineStr"/>
      <c r="I12" s="38">
        <f>IFERROR(ROUND((D12*5+E12*4+F12*3+G12*2+H12)/SUM(D12:H12),2),"")</f>
        <v/>
      </c>
    </row>
    <row r="13" ht="22" customHeight="1"/>
    <row r="14" ht="24" customHeight="1">
      <c r="B14" s="35" t="inlineStr">
        <is>
          <t>B. ACADEMIC INTERFACE &amp; COLLABORATION</t>
        </is>
      </c>
    </row>
    <row r="15" ht="22" customHeight="1">
      <c r="B15" s="31" t="inlineStr">
        <is>
          <t>Q.</t>
        </is>
      </c>
      <c r="C15" s="31" t="inlineStr">
        <is>
          <t>Survey Statement</t>
        </is>
      </c>
      <c r="D15" s="31" t="inlineStr">
        <is>
          <t>Strongly
Agree (5)</t>
        </is>
      </c>
      <c r="E15" s="31" t="inlineStr">
        <is>
          <t>Agree
(4)</t>
        </is>
      </c>
      <c r="F15" s="31" t="inlineStr">
        <is>
          <t>Neutral
(3)</t>
        </is>
      </c>
      <c r="G15" s="31" t="inlineStr">
        <is>
          <t>Disagree
(2)</t>
        </is>
      </c>
      <c r="H15" s="31" t="inlineStr">
        <is>
          <t>Strongly
Disagree (1)</t>
        </is>
      </c>
      <c r="I15" s="31" t="inlineStr">
        <is>
          <t>Avg Score</t>
        </is>
      </c>
    </row>
    <row r="16" ht="22" customHeight="1">
      <c r="B16" s="32" t="inlineStr">
        <is>
          <t>Q7</t>
        </is>
      </c>
      <c r="C16" s="33" t="inlineStr">
        <is>
          <t>Responsiveness of institution to industry needs</t>
        </is>
      </c>
      <c r="D16" s="34" t="inlineStr"/>
      <c r="E16" s="34" t="inlineStr"/>
      <c r="F16" s="34" t="inlineStr"/>
      <c r="G16" s="34" t="inlineStr"/>
      <c r="H16" s="34" t="inlineStr"/>
      <c r="I16" s="53">
        <f>IFERROR(ROUND((D16*5+E16*4+F16*3+G16*2+H16)/SUM(D16:H16),2),"")</f>
        <v/>
      </c>
    </row>
    <row r="17" ht="22" customHeight="1">
      <c r="B17" s="8" t="inlineStr">
        <is>
          <t>Q8</t>
        </is>
      </c>
      <c r="C17" s="9" t="inlineStr">
        <is>
          <t>Quality of joint projects / research undertaken</t>
        </is>
      </c>
      <c r="D17" s="10" t="inlineStr"/>
      <c r="E17" s="10" t="inlineStr"/>
      <c r="F17" s="10" t="inlineStr"/>
      <c r="G17" s="10" t="inlineStr"/>
      <c r="H17" s="10" t="inlineStr"/>
      <c r="I17" s="38">
        <f>IFERROR(ROUND((D17*5+E17*4+F17*3+G17*2+H17)/SUM(D17:H17),2),"")</f>
        <v/>
      </c>
    </row>
    <row r="18" ht="22" customHeight="1">
      <c r="B18" s="32" t="inlineStr">
        <is>
          <t>Q9</t>
        </is>
      </c>
      <c r="C18" s="33" t="inlineStr">
        <is>
          <t>Industry inputs integrated in curriculum effectively</t>
        </is>
      </c>
      <c r="D18" s="34" t="inlineStr"/>
      <c r="E18" s="34" t="inlineStr"/>
      <c r="F18" s="34" t="inlineStr"/>
      <c r="G18" s="34" t="inlineStr"/>
      <c r="H18" s="34" t="inlineStr"/>
      <c r="I18" s="53">
        <f>IFERROR(ROUND((D18*5+E18*4+F18*3+G18*2+H18)/SUM(D18:H18),2),"")</f>
        <v/>
      </c>
    </row>
    <row r="19" ht="22" customHeight="1">
      <c r="B19" s="8" t="inlineStr">
        <is>
          <t>Q10</t>
        </is>
      </c>
      <c r="C19" s="9" t="inlineStr">
        <is>
          <t>Speed of MoU activation and activity implementation</t>
        </is>
      </c>
      <c r="D19" s="10" t="inlineStr"/>
      <c r="E19" s="10" t="inlineStr"/>
      <c r="F19" s="10" t="inlineStr"/>
      <c r="G19" s="10" t="inlineStr"/>
      <c r="H19" s="10" t="inlineStr"/>
      <c r="I19" s="38">
        <f>IFERROR(ROUND((D19*5+E19*4+F19*3+G19*2+H19)/SUM(D19:H19),2),"")</f>
        <v/>
      </c>
    </row>
    <row r="20" ht="22" customHeight="1">
      <c r="B20" s="32" t="inlineStr">
        <is>
          <t>Q11</t>
        </is>
      </c>
      <c r="C20" s="33" t="inlineStr">
        <is>
          <t>Faculty industry-connect and domain awareness</t>
        </is>
      </c>
      <c r="D20" s="34" t="inlineStr"/>
      <c r="E20" s="34" t="inlineStr"/>
      <c r="F20" s="34" t="inlineStr"/>
      <c r="G20" s="34" t="inlineStr"/>
      <c r="H20" s="34" t="inlineStr"/>
      <c r="I20" s="53">
        <f>IFERROR(ROUND((D20*5+E20*4+F20*3+G20*2+H20)/SUM(D20:H20),2),"")</f>
        <v/>
      </c>
    </row>
    <row r="21" ht="22" customHeight="1">
      <c r="B21" s="8" t="inlineStr">
        <is>
          <t>Q12</t>
        </is>
      </c>
      <c r="C21" s="9" t="inlineStr">
        <is>
          <t>Transparency and professionalism in engagement</t>
        </is>
      </c>
      <c r="D21" s="10" t="inlineStr"/>
      <c r="E21" s="10" t="inlineStr"/>
      <c r="F21" s="10" t="inlineStr"/>
      <c r="G21" s="10" t="inlineStr"/>
      <c r="H21" s="10" t="inlineStr"/>
      <c r="I21" s="38">
        <f>IFERROR(ROUND((D21*5+E21*4+F21*3+G21*2+H21)/SUM(D21:H21),2),"")</f>
        <v/>
      </c>
    </row>
    <row r="22" ht="22" customHeight="1"/>
    <row r="23" ht="24" customHeight="1">
      <c r="B23" s="43" t="inlineStr">
        <is>
          <t>C. INTERNSHIP &amp; PLACEMENT PROCESS</t>
        </is>
      </c>
    </row>
    <row r="24" ht="22" customHeight="1">
      <c r="B24" s="44" t="inlineStr">
        <is>
          <t>Q.</t>
        </is>
      </c>
      <c r="C24" s="44" t="inlineStr">
        <is>
          <t>Survey Statement</t>
        </is>
      </c>
      <c r="D24" s="44" t="inlineStr">
        <is>
          <t>Strongly
Agree (5)</t>
        </is>
      </c>
      <c r="E24" s="44" t="inlineStr">
        <is>
          <t>Agree
(4)</t>
        </is>
      </c>
      <c r="F24" s="44" t="inlineStr">
        <is>
          <t>Neutral
(3)</t>
        </is>
      </c>
      <c r="G24" s="44" t="inlineStr">
        <is>
          <t>Disagree
(2)</t>
        </is>
      </c>
      <c r="H24" s="44" t="inlineStr">
        <is>
          <t>Strongly
Disagree (1)</t>
        </is>
      </c>
      <c r="I24" s="44" t="inlineStr">
        <is>
          <t>Avg Score</t>
        </is>
      </c>
    </row>
    <row r="25" ht="22" customHeight="1">
      <c r="B25" s="54" t="inlineStr">
        <is>
          <t>Q13</t>
        </is>
      </c>
      <c r="C25" s="46" t="inlineStr">
        <is>
          <t>Ease of coordinating internship / placement processes</t>
        </is>
      </c>
      <c r="D25" s="45" t="inlineStr"/>
      <c r="E25" s="45" t="inlineStr"/>
      <c r="F25" s="45" t="inlineStr"/>
      <c r="G25" s="45" t="inlineStr"/>
      <c r="H25" s="45" t="inlineStr"/>
      <c r="I25" s="55">
        <f>IFERROR(ROUND((D25*5+E25*4+F25*3+G25*2+H25)/SUM(D25:H25),2),"")</f>
        <v/>
      </c>
    </row>
    <row r="26" ht="22" customHeight="1">
      <c r="B26" s="8" t="inlineStr">
        <is>
          <t>Q14</t>
        </is>
      </c>
      <c r="C26" s="9" t="inlineStr">
        <is>
          <t>Quality of student preparation for campus drives</t>
        </is>
      </c>
      <c r="D26" s="10" t="inlineStr"/>
      <c r="E26" s="10" t="inlineStr"/>
      <c r="F26" s="10" t="inlineStr"/>
      <c r="G26" s="10" t="inlineStr"/>
      <c r="H26" s="10" t="inlineStr"/>
      <c r="I26" s="38">
        <f>IFERROR(ROUND((D26*5+E26*4+F26*3+G26*2+H26)/SUM(D26:H26),2),"")</f>
        <v/>
      </c>
    </row>
    <row r="27" ht="22" customHeight="1">
      <c r="B27" s="54" t="inlineStr">
        <is>
          <t>Q15</t>
        </is>
      </c>
      <c r="C27" s="46" t="inlineStr">
        <is>
          <t>Follow-through and communication by T&amp;P cell</t>
        </is>
      </c>
      <c r="D27" s="45" t="inlineStr"/>
      <c r="E27" s="45" t="inlineStr"/>
      <c r="F27" s="45" t="inlineStr"/>
      <c r="G27" s="45" t="inlineStr"/>
      <c r="H27" s="45" t="inlineStr"/>
      <c r="I27" s="55">
        <f>IFERROR(ROUND((D27*5+E27*4+F27*3+G27*2+H27)/SUM(D27:H27),2),"")</f>
        <v/>
      </c>
    </row>
    <row r="28" ht="22" customHeight="1">
      <c r="B28" s="8" t="inlineStr">
        <is>
          <t>Q16</t>
        </is>
      </c>
      <c r="C28" s="9" t="inlineStr">
        <is>
          <t>CGPA / marks reflecting true student capability</t>
        </is>
      </c>
      <c r="D28" s="10" t="inlineStr"/>
      <c r="E28" s="10" t="inlineStr"/>
      <c r="F28" s="10" t="inlineStr"/>
      <c r="G28" s="10" t="inlineStr"/>
      <c r="H28" s="10" t="inlineStr"/>
      <c r="I28" s="38">
        <f>IFERROR(ROUND((D28*5+E28*4+F28*3+G28*2+H28)/SUM(D28:H28),2),"")</f>
        <v/>
      </c>
    </row>
    <row r="29" ht="22" customHeight="1">
      <c r="B29" s="54" t="inlineStr">
        <is>
          <t>Q17</t>
        </is>
      </c>
      <c r="C29" s="46" t="inlineStr">
        <is>
          <t>Campus facilities and drive conduct quality</t>
        </is>
      </c>
      <c r="D29" s="45" t="inlineStr"/>
      <c r="E29" s="45" t="inlineStr"/>
      <c r="F29" s="45" t="inlineStr"/>
      <c r="G29" s="45" t="inlineStr"/>
      <c r="H29" s="45" t="inlineStr"/>
      <c r="I29" s="55">
        <f>IFERROR(ROUND((D29*5+E29*4+F29*3+G29*2+H29)/SUM(D29:H29),2),"")</f>
        <v/>
      </c>
    </row>
    <row r="30" ht="22" customHeight="1"/>
    <row r="31" ht="24" customHeight="1">
      <c r="B31" s="65" t="inlineStr">
        <is>
          <t>D. CONSULTANCY &amp; RESEARCH VALUE</t>
        </is>
      </c>
    </row>
    <row r="32" ht="22" customHeight="1">
      <c r="B32" s="66" t="inlineStr">
        <is>
          <t>Q.</t>
        </is>
      </c>
      <c r="C32" s="66" t="inlineStr">
        <is>
          <t>Survey Statement</t>
        </is>
      </c>
      <c r="D32" s="66" t="inlineStr">
        <is>
          <t>Strongly
Agree (5)</t>
        </is>
      </c>
      <c r="E32" s="66" t="inlineStr">
        <is>
          <t>Agree
(4)</t>
        </is>
      </c>
      <c r="F32" s="66" t="inlineStr">
        <is>
          <t>Neutral
(3)</t>
        </is>
      </c>
      <c r="G32" s="66" t="inlineStr">
        <is>
          <t>Disagree
(2)</t>
        </is>
      </c>
      <c r="H32" s="66" t="inlineStr">
        <is>
          <t>Strongly
Disagree (1)</t>
        </is>
      </c>
      <c r="I32" s="66" t="inlineStr">
        <is>
          <t>Avg Score</t>
        </is>
      </c>
    </row>
    <row r="33" ht="22" customHeight="1">
      <c r="B33" s="67" t="inlineStr">
        <is>
          <t>Q18</t>
        </is>
      </c>
      <c r="C33" s="68" t="inlineStr">
        <is>
          <t>Quality and usefulness of consultancy delivered</t>
        </is>
      </c>
      <c r="D33" s="69" t="inlineStr"/>
      <c r="E33" s="69" t="inlineStr"/>
      <c r="F33" s="69" t="inlineStr"/>
      <c r="G33" s="69" t="inlineStr"/>
      <c r="H33" s="69" t="inlineStr"/>
      <c r="I33" s="70">
        <f>IFERROR(ROUND((D33*5+E33*4+F33*3+G33*2+H33)/SUM(D33:H33),2),"")</f>
        <v/>
      </c>
    </row>
    <row r="34" ht="22" customHeight="1">
      <c r="B34" s="8" t="inlineStr">
        <is>
          <t>Q19</t>
        </is>
      </c>
      <c r="C34" s="9" t="inlineStr">
        <is>
          <t>Timeliness of project deliverables</t>
        </is>
      </c>
      <c r="D34" s="10" t="inlineStr"/>
      <c r="E34" s="10" t="inlineStr"/>
      <c r="F34" s="10" t="inlineStr"/>
      <c r="G34" s="10" t="inlineStr"/>
      <c r="H34" s="10" t="inlineStr"/>
      <c r="I34" s="38">
        <f>IFERROR(ROUND((D34*5+E34*4+F34*3+G34*2+H34)/SUM(D34:H34),2),"")</f>
        <v/>
      </c>
    </row>
    <row r="35" ht="22" customHeight="1">
      <c r="B35" s="67" t="inlineStr">
        <is>
          <t>Q20</t>
        </is>
      </c>
      <c r="C35" s="68" t="inlineStr">
        <is>
          <t>Research output benefiting our organisation</t>
        </is>
      </c>
      <c r="D35" s="69" t="inlineStr"/>
      <c r="E35" s="69" t="inlineStr"/>
      <c r="F35" s="69" t="inlineStr"/>
      <c r="G35" s="69" t="inlineStr"/>
      <c r="H35" s="69" t="inlineStr"/>
      <c r="I35" s="70">
        <f>IFERROR(ROUND((D35*5+E35*4+F35*3+G35*2+H35)/SUM(D35:H35),2),"")</f>
        <v/>
      </c>
    </row>
    <row r="36" ht="22" customHeight="1">
      <c r="B36" s="8" t="inlineStr">
        <is>
          <t>Q21</t>
        </is>
      </c>
      <c r="C36" s="9" t="inlineStr">
        <is>
          <t>Value for money in consultancy / training engagements</t>
        </is>
      </c>
      <c r="D36" s="10" t="inlineStr"/>
      <c r="E36" s="10" t="inlineStr"/>
      <c r="F36" s="10" t="inlineStr"/>
      <c r="G36" s="10" t="inlineStr"/>
      <c r="H36" s="10" t="inlineStr"/>
      <c r="I36" s="38">
        <f>IFERROR(ROUND((D36*5+E36*4+F36*3+G36*2+H36)/SUM(D36:H36),2),"")</f>
        <v/>
      </c>
    </row>
    <row r="37" ht="22" customHeight="1"/>
    <row r="38" ht="24" customHeight="1">
      <c r="B38" s="71" t="inlineStr">
        <is>
          <t>E. OVERALL PARTNERSHIP EXPERIENCE</t>
        </is>
      </c>
    </row>
    <row r="39" ht="22" customHeight="1">
      <c r="B39" s="72" t="inlineStr">
        <is>
          <t>Q.</t>
        </is>
      </c>
      <c r="C39" s="72" t="inlineStr">
        <is>
          <t>Survey Statement</t>
        </is>
      </c>
      <c r="D39" s="72" t="inlineStr">
        <is>
          <t>Strongly
Agree (5)</t>
        </is>
      </c>
      <c r="E39" s="72" t="inlineStr">
        <is>
          <t>Agree
(4)</t>
        </is>
      </c>
      <c r="F39" s="72" t="inlineStr">
        <is>
          <t>Neutral
(3)</t>
        </is>
      </c>
      <c r="G39" s="72" t="inlineStr">
        <is>
          <t>Disagree
(2)</t>
        </is>
      </c>
      <c r="H39" s="72" t="inlineStr">
        <is>
          <t>Strongly
Disagree (1)</t>
        </is>
      </c>
      <c r="I39" s="72" t="inlineStr">
        <is>
          <t>Avg Score</t>
        </is>
      </c>
    </row>
    <row r="40" ht="22" customHeight="1">
      <c r="B40" s="73" t="inlineStr">
        <is>
          <t>Q22</t>
        </is>
      </c>
      <c r="C40" s="74" t="inlineStr">
        <is>
          <t>Overall satisfaction with the partnership</t>
        </is>
      </c>
      <c r="D40" s="75" t="inlineStr"/>
      <c r="E40" s="75" t="inlineStr"/>
      <c r="F40" s="75" t="inlineStr"/>
      <c r="G40" s="75" t="inlineStr"/>
      <c r="H40" s="75" t="inlineStr"/>
      <c r="I40" s="37">
        <f>IFERROR(ROUND((D40*5+E40*4+F40*3+G40*2+H40)/SUM(D40:H40),2),"")</f>
        <v/>
      </c>
    </row>
    <row r="41" ht="22" customHeight="1">
      <c r="B41" s="8" t="inlineStr">
        <is>
          <t>Q23</t>
        </is>
      </c>
      <c r="C41" s="9" t="inlineStr">
        <is>
          <t>Would you recommend this institution to peer companies?</t>
        </is>
      </c>
      <c r="D41" s="10" t="inlineStr"/>
      <c r="E41" s="10" t="inlineStr"/>
      <c r="F41" s="10" t="inlineStr"/>
      <c r="G41" s="10" t="inlineStr"/>
      <c r="H41" s="10" t="inlineStr"/>
      <c r="I41" s="38">
        <f>IFERROR(ROUND((D41*5+E41*4+F41*3+G41*2+H41)/SUM(D41:H41),2),"")</f>
        <v/>
      </c>
    </row>
    <row r="42" ht="22" customHeight="1">
      <c r="B42" s="73" t="inlineStr">
        <is>
          <t>Q24</t>
        </is>
      </c>
      <c r="C42" s="74" t="inlineStr">
        <is>
          <t>Likelihood of continuing / deepening the partnership</t>
        </is>
      </c>
      <c r="D42" s="75" t="inlineStr"/>
      <c r="E42" s="75" t="inlineStr"/>
      <c r="F42" s="75" t="inlineStr"/>
      <c r="G42" s="75" t="inlineStr"/>
      <c r="H42" s="75" t="inlineStr"/>
      <c r="I42" s="37">
        <f>IFERROR(ROUND((D42*5+E42*4+F42*3+G42*2+H42)/SUM(D42:H42),2),"")</f>
        <v/>
      </c>
    </row>
    <row r="43" ht="22" customHeight="1">
      <c r="B43" s="8" t="inlineStr">
        <is>
          <t>Q25</t>
        </is>
      </c>
      <c r="C43" s="9" t="inlineStr">
        <is>
          <t>This institution's reputation in the industry</t>
        </is>
      </c>
      <c r="D43" s="10" t="inlineStr"/>
      <c r="E43" s="10" t="inlineStr"/>
      <c r="F43" s="10" t="inlineStr"/>
      <c r="G43" s="10" t="inlineStr"/>
      <c r="H43" s="10" t="inlineStr"/>
      <c r="I43" s="38">
        <f>IFERROR(ROUND((D43*5+E43*4+F43*3+G43*2+H43)/SUM(D43:H43),2),"")</f>
        <v/>
      </c>
    </row>
    <row r="44" ht="22" customHeight="1"/>
    <row r="45" ht="24" customHeight="1">
      <c r="B45" s="28" t="inlineStr">
        <is>
          <t>SURVEY SUMMARY &amp; ACTION PLAN</t>
        </is>
      </c>
    </row>
    <row r="46" ht="22" customHeight="1">
      <c r="B46" s="29" t="inlineStr">
        <is>
          <t>Section</t>
        </is>
      </c>
      <c r="C46" s="29" t="inlineStr">
        <is>
          <t>Avg Score (/5)</t>
        </is>
      </c>
      <c r="D46" s="29" t="inlineStr">
        <is>
          <t>Satisfaction %</t>
        </is>
      </c>
      <c r="E46" s="29" t="inlineStr">
        <is>
          <t>Benchmark
(≥3.5)</t>
        </is>
      </c>
      <c r="F46" s="29" t="inlineStr">
        <is>
          <t>Gap</t>
        </is>
      </c>
      <c r="G46" s="29" t="inlineStr">
        <is>
          <t>Status</t>
        </is>
      </c>
      <c r="H46" s="29" t="inlineStr">
        <is>
          <t>Priority Action</t>
        </is>
      </c>
    </row>
    <row r="47" ht="22" customHeight="1">
      <c r="B47" s="60" t="inlineStr">
        <is>
          <t>STUDENT QUALITY</t>
        </is>
      </c>
      <c r="C47" s="16" t="inlineStr"/>
      <c r="D47" s="16">
        <f>IFERROR(ROUND(C47/5*100,1),"")</f>
        <v/>
      </c>
      <c r="E47" s="16" t="n">
        <v>3.5</v>
      </c>
      <c r="F47" s="16">
        <f>IFERROR(ROUND(C47-E47,2),"")</f>
        <v/>
      </c>
      <c r="G47" s="16">
        <f>IFERROR(IF(C47&gt;=3.5,"Satisfactory","Needs Attention"),"")</f>
        <v/>
      </c>
      <c r="H47" s="15" t="inlineStr"/>
      <c r="I47" s="76" t="n"/>
    </row>
    <row r="48" ht="22" customHeight="1">
      <c r="B48" s="26" t="inlineStr">
        <is>
          <t>ACADEMIC INTERFACE &amp; COLLABORATION</t>
        </is>
      </c>
      <c r="C48" s="10" t="inlineStr"/>
      <c r="D48" s="10">
        <f>IFERROR(ROUND(C48/5*100,1),"")</f>
        <v/>
      </c>
      <c r="E48" s="10" t="n">
        <v>3.5</v>
      </c>
      <c r="F48" s="10">
        <f>IFERROR(ROUND(C48-E48,2),"")</f>
        <v/>
      </c>
      <c r="G48" s="10">
        <f>IFERROR(IF(C48&gt;=3.5,"Satisfactory","Needs Attention"),"")</f>
        <v/>
      </c>
      <c r="H48" s="9" t="inlineStr"/>
      <c r="I48" s="41" t="n"/>
    </row>
    <row r="49" ht="22" customHeight="1">
      <c r="B49" s="60" t="inlineStr">
        <is>
          <t>INTERNSHIP &amp; PLACEMENT PROCESS</t>
        </is>
      </c>
      <c r="C49" s="16" t="inlineStr"/>
      <c r="D49" s="16">
        <f>IFERROR(ROUND(C49/5*100,1),"")</f>
        <v/>
      </c>
      <c r="E49" s="16" t="n">
        <v>3.5</v>
      </c>
      <c r="F49" s="16">
        <f>IFERROR(ROUND(C49-E49,2),"")</f>
        <v/>
      </c>
      <c r="G49" s="16">
        <f>IFERROR(IF(C49&gt;=3.5,"Satisfactory","Needs Attention"),"")</f>
        <v/>
      </c>
      <c r="H49" s="15" t="inlineStr"/>
      <c r="I49" s="76" t="n"/>
    </row>
    <row r="50" ht="22" customHeight="1">
      <c r="B50" s="26" t="inlineStr">
        <is>
          <t>CONSULTANCY &amp; RESEARCH VALUE</t>
        </is>
      </c>
      <c r="C50" s="10" t="inlineStr"/>
      <c r="D50" s="10">
        <f>IFERROR(ROUND(C50/5*100,1),"")</f>
        <v/>
      </c>
      <c r="E50" s="10" t="n">
        <v>3.5</v>
      </c>
      <c r="F50" s="10">
        <f>IFERROR(ROUND(C50-E50,2),"")</f>
        <v/>
      </c>
      <c r="G50" s="10">
        <f>IFERROR(IF(C50&gt;=3.5,"Satisfactory","Needs Attention"),"")</f>
        <v/>
      </c>
      <c r="H50" s="9" t="inlineStr"/>
      <c r="I50" s="41" t="n"/>
    </row>
    <row r="51" ht="22" customHeight="1">
      <c r="B51" s="60" t="inlineStr">
        <is>
          <t>OVERALL PARTNERSHIP EXPERIENCE</t>
        </is>
      </c>
      <c r="C51" s="16" t="inlineStr"/>
      <c r="D51" s="16">
        <f>IFERROR(ROUND(C51/5*100,1),"")</f>
        <v/>
      </c>
      <c r="E51" s="16" t="n">
        <v>3.5</v>
      </c>
      <c r="F51" s="16">
        <f>IFERROR(ROUND(C51-E51,2),"")</f>
        <v/>
      </c>
      <c r="G51" s="16">
        <f>IFERROR(IF(C51&gt;=3.5,"Satisfactory","Needs Attention"),"")</f>
        <v/>
      </c>
      <c r="H51" s="15" t="inlineStr"/>
      <c r="I51" s="76" t="n"/>
    </row>
    <row r="52" ht="22" customHeight="1"/>
    <row r="53" ht="22" customHeight="1"/>
    <row r="54" ht="22" customHeight="1"/>
  </sheetData>
  <mergeCells count="9">
    <mergeCell ref="B45:I45"/>
    <mergeCell ref="B38:I38"/>
    <mergeCell ref="B2:I2"/>
    <mergeCell ref="B3:I3"/>
    <mergeCell ref="B5:I5"/>
    <mergeCell ref="B14:I14"/>
    <mergeCell ref="B31:I31"/>
    <mergeCell ref="B23:I23"/>
    <mergeCell ref="B4:I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I5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8" t="inlineStr">
        <is>
          <t>IIPC-31: INDUSTRY–INSTITUTE PARTNERSHIP COMMITTEE KPI DASHBOARD</t>
        </is>
      </c>
    </row>
    <row r="3" ht="25" customHeight="1">
      <c r="B3" s="2" t="inlineStr">
        <is>
          <t>A.Y.: _______  Quarter: Q1/Q2/Q3/Q4  IIPC Coordinator: ___________________  Date: _______</t>
        </is>
      </c>
    </row>
    <row r="4" ht="24" customHeight="1">
      <c r="B4" s="20" t="inlineStr">
        <is>
          <t>PARTNERSHIP ECOSYSTEM KPIs</t>
        </is>
      </c>
    </row>
    <row r="5" ht="22" customHeight="1">
      <c r="B5" s="13" t="inlineStr">
        <is>
          <t>Sl.</t>
        </is>
      </c>
      <c r="C5" s="13" t="inlineStr">
        <is>
          <t>Key Performance Indicator</t>
        </is>
      </c>
      <c r="D5" s="13" t="inlineStr">
        <is>
          <t>Unit</t>
        </is>
      </c>
      <c r="E5" s="13" t="inlineStr">
        <is>
          <t>Annual
Target</t>
        </is>
      </c>
      <c r="F5" s="13" t="inlineStr">
        <is>
          <t>Prev. Year
Actual</t>
        </is>
      </c>
      <c r="G5" s="13" t="inlineStr">
        <is>
          <t>Q-to-Date
Actual</t>
        </is>
      </c>
      <c r="H5" s="13" t="inlineStr">
        <is>
          <t>Status</t>
        </is>
      </c>
      <c r="I5" s="13" t="inlineStr">
        <is>
          <t>Action Required</t>
        </is>
      </c>
    </row>
    <row r="6" ht="22" customHeight="1">
      <c r="B6" s="14" t="n">
        <v>1</v>
      </c>
      <c r="C6" s="15" t="inlineStr">
        <is>
          <t>Active industry partners (MoU signed)</t>
        </is>
      </c>
      <c r="D6" s="16" t="inlineStr">
        <is>
          <t>No.</t>
        </is>
      </c>
      <c r="E6" s="16" t="inlineStr">
        <is>
          <t>≥25</t>
        </is>
      </c>
      <c r="F6" s="16" t="inlineStr"/>
      <c r="G6" s="16" t="inlineStr"/>
      <c r="H6" s="16" t="inlineStr">
        <is>
          <t>On Track</t>
        </is>
      </c>
      <c r="I6" s="15" t="inlineStr"/>
    </row>
    <row r="7" ht="22" customHeight="1">
      <c r="B7" s="8" t="n">
        <v>2</v>
      </c>
      <c r="C7" s="9" t="inlineStr">
        <is>
          <t>New MoUs signed this year</t>
        </is>
      </c>
      <c r="D7" s="10" t="inlineStr">
        <is>
          <t>No.</t>
        </is>
      </c>
      <c r="E7" s="10" t="inlineStr">
        <is>
          <t>≥5</t>
        </is>
      </c>
      <c r="F7" s="10" t="inlineStr"/>
      <c r="G7" s="10" t="inlineStr"/>
      <c r="H7" s="10" t="inlineStr">
        <is>
          <t>On Track</t>
        </is>
      </c>
      <c r="I7" s="9" t="inlineStr"/>
    </row>
    <row r="8" ht="22" customHeight="1">
      <c r="B8" s="14" t="n">
        <v>3</v>
      </c>
      <c r="C8" s="15" t="inlineStr">
        <is>
          <t>MoU utilisation rate (% with ≥1 activity)</t>
        </is>
      </c>
      <c r="D8" s="16" t="inlineStr">
        <is>
          <t>% of MoUs</t>
        </is>
      </c>
      <c r="E8" s="16" t="inlineStr">
        <is>
          <t>≥70%</t>
        </is>
      </c>
      <c r="F8" s="16" t="inlineStr"/>
      <c r="G8" s="16" t="inlineStr"/>
      <c r="H8" s="16" t="inlineStr">
        <is>
          <t>On Track</t>
        </is>
      </c>
      <c r="I8" s="15" t="inlineStr"/>
    </row>
    <row r="9" ht="22" customHeight="1">
      <c r="B9" s="8" t="n">
        <v>4</v>
      </c>
      <c r="C9" s="9" t="inlineStr">
        <is>
          <t>Sectors covered by partnerships</t>
        </is>
      </c>
      <c r="D9" s="10" t="inlineStr">
        <is>
          <t>No. of sectors</t>
        </is>
      </c>
      <c r="E9" s="10" t="inlineStr">
        <is>
          <t>≥6</t>
        </is>
      </c>
      <c r="F9" s="10" t="inlineStr"/>
      <c r="G9" s="10" t="inlineStr"/>
      <c r="H9" s="10" t="inlineStr">
        <is>
          <t>On Track</t>
        </is>
      </c>
      <c r="I9" s="9" t="inlineStr"/>
    </row>
    <row r="10" ht="22" customHeight="1">
      <c r="B10" s="14" t="n">
        <v>5</v>
      </c>
      <c r="C10" s="15" t="inlineStr">
        <is>
          <t>Industry Advisory Board meetings held</t>
        </is>
      </c>
      <c r="D10" s="16" t="inlineStr">
        <is>
          <t>No. per year</t>
        </is>
      </c>
      <c r="E10" s="16" t="inlineStr">
        <is>
          <t>≥2</t>
        </is>
      </c>
      <c r="F10" s="16" t="inlineStr"/>
      <c r="G10" s="16" t="inlineStr"/>
      <c r="H10" s="16" t="inlineStr">
        <is>
          <t>On Track</t>
        </is>
      </c>
      <c r="I10" s="15" t="inlineStr"/>
    </row>
    <row r="11" ht="22" customHeight="1">
      <c r="B11" s="8" t="n">
        <v>6</v>
      </c>
      <c r="C11" s="9" t="inlineStr">
        <is>
          <t>IAB curriculum recommendations implemented</t>
        </is>
      </c>
      <c r="D11" s="10" t="inlineStr">
        <is>
          <t>No.</t>
        </is>
      </c>
      <c r="E11" s="10" t="inlineStr">
        <is>
          <t>≥3</t>
        </is>
      </c>
      <c r="F11" s="10" t="inlineStr"/>
      <c r="G11" s="10" t="inlineStr"/>
      <c r="H11" s="10" t="inlineStr">
        <is>
          <t>On Track</t>
        </is>
      </c>
      <c r="I11" s="9" t="inlineStr"/>
    </row>
    <row r="12" ht="22" customHeight="1"/>
    <row r="13" ht="24" customHeight="1">
      <c r="B13" s="43" t="inlineStr">
        <is>
          <t>INTERNSHIP &amp; IN-PLANT TRAINING KPIs</t>
        </is>
      </c>
    </row>
    <row r="14" ht="22" customHeight="1">
      <c r="B14" s="44" t="inlineStr">
        <is>
          <t>Sl.</t>
        </is>
      </c>
      <c r="C14" s="44" t="inlineStr">
        <is>
          <t>Key Performance Indicator</t>
        </is>
      </c>
      <c r="D14" s="44" t="inlineStr">
        <is>
          <t>Unit</t>
        </is>
      </c>
      <c r="E14" s="44" t="inlineStr">
        <is>
          <t>Annual
Target</t>
        </is>
      </c>
      <c r="F14" s="44" t="inlineStr">
        <is>
          <t>Prev. Year
Actual</t>
        </is>
      </c>
      <c r="G14" s="44" t="inlineStr">
        <is>
          <t>Q-to-Date
Actual</t>
        </is>
      </c>
      <c r="H14" s="44" t="inlineStr">
        <is>
          <t>Status</t>
        </is>
      </c>
      <c r="I14" s="44" t="inlineStr">
        <is>
          <t>Action Required</t>
        </is>
      </c>
    </row>
    <row r="15" ht="22" customHeight="1">
      <c r="B15" s="54" t="n">
        <v>1</v>
      </c>
      <c r="C15" s="46" t="inlineStr">
        <is>
          <t>Students securing internship (% of eligible)</t>
        </is>
      </c>
      <c r="D15" s="45" t="inlineStr">
        <is>
          <t>% of students</t>
        </is>
      </c>
      <c r="E15" s="45" t="inlineStr">
        <is>
          <t>≥60%</t>
        </is>
      </c>
      <c r="F15" s="45" t="inlineStr"/>
      <c r="G15" s="45" t="inlineStr"/>
      <c r="H15" s="45" t="inlineStr">
        <is>
          <t>On Track</t>
        </is>
      </c>
      <c r="I15" s="46" t="inlineStr"/>
    </row>
    <row r="16" ht="22" customHeight="1">
      <c r="B16" s="8" t="n">
        <v>2</v>
      </c>
      <c r="C16" s="9" t="inlineStr">
        <is>
          <t>Internships with stipend (% of total)</t>
        </is>
      </c>
      <c r="D16" s="10" t="inlineStr">
        <is>
          <t>% of interns</t>
        </is>
      </c>
      <c r="E16" s="10" t="inlineStr">
        <is>
          <t>≥50%</t>
        </is>
      </c>
      <c r="F16" s="10" t="inlineStr"/>
      <c r="G16" s="10" t="inlineStr"/>
      <c r="H16" s="10" t="inlineStr">
        <is>
          <t>On Track</t>
        </is>
      </c>
      <c r="I16" s="9" t="inlineStr"/>
    </row>
    <row r="17" ht="22" customHeight="1">
      <c r="B17" s="54" t="n">
        <v>3</v>
      </c>
      <c r="C17" s="46" t="inlineStr">
        <is>
          <t>Average stipend per intern (₹/month)</t>
        </is>
      </c>
      <c r="D17" s="45" t="inlineStr">
        <is>
          <t>₹ per month</t>
        </is>
      </c>
      <c r="E17" s="45" t="inlineStr">
        <is>
          <t>≥₹5,000</t>
        </is>
      </c>
      <c r="F17" s="45" t="inlineStr"/>
      <c r="G17" s="45" t="inlineStr"/>
      <c r="H17" s="45" t="inlineStr">
        <is>
          <t>On Track</t>
        </is>
      </c>
      <c r="I17" s="46" t="inlineStr"/>
    </row>
    <row r="18" ht="22" customHeight="1">
      <c r="B18" s="8" t="n">
        <v>4</v>
      </c>
      <c r="C18" s="9" t="inlineStr">
        <is>
          <t>Industry feedback score on interns (/5)</t>
        </is>
      </c>
      <c r="D18" s="10" t="inlineStr">
        <is>
          <t>Score</t>
        </is>
      </c>
      <c r="E18" s="10" t="inlineStr">
        <is>
          <t>≥3.5</t>
        </is>
      </c>
      <c r="F18" s="10" t="inlineStr"/>
      <c r="G18" s="10" t="inlineStr"/>
      <c r="H18" s="10" t="inlineStr">
        <is>
          <t>On Track</t>
        </is>
      </c>
      <c r="I18" s="9" t="inlineStr"/>
    </row>
    <row r="19" ht="22" customHeight="1">
      <c r="B19" s="54" t="n">
        <v>5</v>
      </c>
      <c r="C19" s="46" t="inlineStr">
        <is>
          <t>Internship-to-offer conversion rate (%)</t>
        </is>
      </c>
      <c r="D19" s="45" t="inlineStr">
        <is>
          <t>% converted</t>
        </is>
      </c>
      <c r="E19" s="45" t="inlineStr">
        <is>
          <t>≥20%</t>
        </is>
      </c>
      <c r="F19" s="45" t="inlineStr"/>
      <c r="G19" s="45" t="inlineStr"/>
      <c r="H19" s="45" t="inlineStr">
        <is>
          <t>On Track</t>
        </is>
      </c>
      <c r="I19" s="46" t="inlineStr"/>
    </row>
    <row r="20" ht="22" customHeight="1">
      <c r="B20" s="8" t="n">
        <v>6</v>
      </c>
      <c r="C20" s="9" t="inlineStr">
        <is>
          <t>Partner companies offering internship</t>
        </is>
      </c>
      <c r="D20" s="10" t="inlineStr">
        <is>
          <t>No.</t>
        </is>
      </c>
      <c r="E20" s="10" t="inlineStr">
        <is>
          <t>≥30</t>
        </is>
      </c>
      <c r="F20" s="10" t="inlineStr"/>
      <c r="G20" s="10" t="inlineStr"/>
      <c r="H20" s="10" t="inlineStr">
        <is>
          <t>On Track</t>
        </is>
      </c>
      <c r="I20" s="9" t="inlineStr"/>
    </row>
    <row r="21" ht="22" customHeight="1"/>
    <row r="22" ht="24" customHeight="1">
      <c r="B22" s="35" t="inlineStr">
        <is>
          <t>GUEST LECTURES &amp; ACADEMIC INTERFACE KPIs</t>
        </is>
      </c>
    </row>
    <row r="23" ht="22" customHeight="1">
      <c r="B23" s="31" t="inlineStr">
        <is>
          <t>Sl.</t>
        </is>
      </c>
      <c r="C23" s="31" t="inlineStr">
        <is>
          <t>Key Performance Indicator</t>
        </is>
      </c>
      <c r="D23" s="31" t="inlineStr">
        <is>
          <t>Unit</t>
        </is>
      </c>
      <c r="E23" s="31" t="inlineStr">
        <is>
          <t>Annual
Target</t>
        </is>
      </c>
      <c r="F23" s="31" t="inlineStr">
        <is>
          <t>Prev. Year
Actual</t>
        </is>
      </c>
      <c r="G23" s="31" t="inlineStr">
        <is>
          <t>Q-to-Date
Actual</t>
        </is>
      </c>
      <c r="H23" s="31" t="inlineStr">
        <is>
          <t>Status</t>
        </is>
      </c>
      <c r="I23" s="31" t="inlineStr">
        <is>
          <t>Action Required</t>
        </is>
      </c>
    </row>
    <row r="24" ht="22" customHeight="1">
      <c r="B24" s="32" t="n">
        <v>1</v>
      </c>
      <c r="C24" s="33" t="inlineStr">
        <is>
          <t>Guest lectures by industry experts</t>
        </is>
      </c>
      <c r="D24" s="34" t="inlineStr">
        <is>
          <t>No. per year</t>
        </is>
      </c>
      <c r="E24" s="34" t="inlineStr">
        <is>
          <t>≥24</t>
        </is>
      </c>
      <c r="F24" s="34" t="inlineStr"/>
      <c r="G24" s="34" t="inlineStr"/>
      <c r="H24" s="34" t="inlineStr">
        <is>
          <t>On Track</t>
        </is>
      </c>
      <c r="I24" s="33" t="inlineStr"/>
    </row>
    <row r="25" ht="22" customHeight="1">
      <c r="B25" s="8" t="n">
        <v>2</v>
      </c>
      <c r="C25" s="9" t="inlineStr">
        <is>
          <t>Live projects / problem statements</t>
        </is>
      </c>
      <c r="D25" s="10" t="inlineStr">
        <is>
          <t>No. per semester</t>
        </is>
      </c>
      <c r="E25" s="10" t="inlineStr">
        <is>
          <t>≥10</t>
        </is>
      </c>
      <c r="F25" s="10" t="inlineStr"/>
      <c r="G25" s="10" t="inlineStr"/>
      <c r="H25" s="10" t="inlineStr">
        <is>
          <t>On Track</t>
        </is>
      </c>
      <c r="I25" s="9" t="inlineStr"/>
    </row>
    <row r="26" ht="22" customHeight="1">
      <c r="B26" s="32" t="n">
        <v>3</v>
      </c>
      <c r="C26" s="33" t="inlineStr">
        <is>
          <t>Adjunct faculty from industry</t>
        </is>
      </c>
      <c r="D26" s="34" t="inlineStr">
        <is>
          <t>No. per semester</t>
        </is>
      </c>
      <c r="E26" s="34" t="inlineStr">
        <is>
          <t>≥5</t>
        </is>
      </c>
      <c r="F26" s="34" t="inlineStr"/>
      <c r="G26" s="34" t="inlineStr"/>
      <c r="H26" s="34" t="inlineStr">
        <is>
          <t>On Track</t>
        </is>
      </c>
      <c r="I26" s="33" t="inlineStr"/>
    </row>
    <row r="27" ht="22" customHeight="1">
      <c r="B27" s="8" t="n">
        <v>4</v>
      </c>
      <c r="C27" s="9" t="inlineStr">
        <is>
          <t>Students benefited from industry interaction</t>
        </is>
      </c>
      <c r="D27" s="10" t="inlineStr">
        <is>
          <t>No.</t>
        </is>
      </c>
      <c r="E27" s="10" t="inlineStr">
        <is>
          <t>≥80% of enrolled</t>
        </is>
      </c>
      <c r="F27" s="10" t="inlineStr"/>
      <c r="G27" s="10" t="inlineStr"/>
      <c r="H27" s="10" t="inlineStr">
        <is>
          <t>On Track</t>
        </is>
      </c>
      <c r="I27" s="9" t="inlineStr"/>
    </row>
    <row r="28" ht="22" customHeight="1">
      <c r="B28" s="32" t="n">
        <v>5</v>
      </c>
      <c r="C28" s="33" t="inlineStr">
        <is>
          <t>Industry-sponsored skill courses</t>
        </is>
      </c>
      <c r="D28" s="34" t="inlineStr">
        <is>
          <t>No. per year</t>
        </is>
      </c>
      <c r="E28" s="34" t="inlineStr">
        <is>
          <t>≥3</t>
        </is>
      </c>
      <c r="F28" s="34" t="inlineStr"/>
      <c r="G28" s="34" t="inlineStr"/>
      <c r="H28" s="34" t="inlineStr">
        <is>
          <t>On Track</t>
        </is>
      </c>
      <c r="I28" s="33" t="inlineStr"/>
    </row>
    <row r="29" ht="22" customHeight="1">
      <c r="B29" s="8" t="n">
        <v>6</v>
      </c>
      <c r="C29" s="9" t="inlineStr">
        <is>
          <t>Corporate training programmes delivered</t>
        </is>
      </c>
      <c r="D29" s="10" t="inlineStr">
        <is>
          <t>No. per year</t>
        </is>
      </c>
      <c r="E29" s="10" t="inlineStr">
        <is>
          <t>≥5</t>
        </is>
      </c>
      <c r="F29" s="10" t="inlineStr"/>
      <c r="G29" s="10" t="inlineStr"/>
      <c r="H29" s="10" t="inlineStr">
        <is>
          <t>On Track</t>
        </is>
      </c>
      <c r="I29" s="9" t="inlineStr"/>
    </row>
    <row r="30" ht="22" customHeight="1"/>
    <row r="31" ht="24" customHeight="1">
      <c r="B31" s="65" t="inlineStr">
        <is>
          <t>PLACEMENT KPIs</t>
        </is>
      </c>
    </row>
    <row r="32" ht="22" customHeight="1">
      <c r="B32" s="66" t="inlineStr">
        <is>
          <t>Sl.</t>
        </is>
      </c>
      <c r="C32" s="66" t="inlineStr">
        <is>
          <t>Key Performance Indicator</t>
        </is>
      </c>
      <c r="D32" s="66" t="inlineStr">
        <is>
          <t>Unit</t>
        </is>
      </c>
      <c r="E32" s="66" t="inlineStr">
        <is>
          <t>Annual
Target</t>
        </is>
      </c>
      <c r="F32" s="66" t="inlineStr">
        <is>
          <t>Prev. Year
Actual</t>
        </is>
      </c>
      <c r="G32" s="66" t="inlineStr">
        <is>
          <t>Q-to-Date
Actual</t>
        </is>
      </c>
      <c r="H32" s="66" t="inlineStr">
        <is>
          <t>Status</t>
        </is>
      </c>
      <c r="I32" s="66" t="inlineStr">
        <is>
          <t>Action Required</t>
        </is>
      </c>
    </row>
    <row r="33" ht="22" customHeight="1">
      <c r="B33" s="67" t="n">
        <v>1</v>
      </c>
      <c r="C33" s="68" t="inlineStr">
        <is>
          <t>Overall placement rate (% of eligible)</t>
        </is>
      </c>
      <c r="D33" s="69" t="inlineStr">
        <is>
          <t>% placed</t>
        </is>
      </c>
      <c r="E33" s="69" t="inlineStr">
        <is>
          <t>≥70%</t>
        </is>
      </c>
      <c r="F33" s="69" t="inlineStr"/>
      <c r="G33" s="69" t="inlineStr"/>
      <c r="H33" s="69" t="inlineStr">
        <is>
          <t>On Track</t>
        </is>
      </c>
      <c r="I33" s="68" t="inlineStr"/>
    </row>
    <row r="34" ht="22" customHeight="1">
      <c r="B34" s="8" t="n">
        <v>2</v>
      </c>
      <c r="C34" s="9" t="inlineStr">
        <is>
          <t>Average CTC of placed students (₹L PA)</t>
        </is>
      </c>
      <c r="D34" s="10" t="inlineStr">
        <is>
          <t>₹L</t>
        </is>
      </c>
      <c r="E34" s="10" t="inlineStr">
        <is>
          <t>≥4 L PA</t>
        </is>
      </c>
      <c r="F34" s="10" t="inlineStr"/>
      <c r="G34" s="10" t="inlineStr"/>
      <c r="H34" s="10" t="inlineStr">
        <is>
          <t>On Track</t>
        </is>
      </c>
      <c r="I34" s="9" t="inlineStr"/>
    </row>
    <row r="35" ht="22" customHeight="1">
      <c r="B35" s="67" t="n">
        <v>3</v>
      </c>
      <c r="C35" s="68" t="inlineStr">
        <is>
          <t>Highest CTC (₹L PA)</t>
        </is>
      </c>
      <c r="D35" s="69" t="inlineStr">
        <is>
          <t>₹L</t>
        </is>
      </c>
      <c r="E35" s="69" t="inlineStr">
        <is>
          <t>Increasing</t>
        </is>
      </c>
      <c r="F35" s="69" t="inlineStr"/>
      <c r="G35" s="69" t="inlineStr"/>
      <c r="H35" s="69" t="inlineStr">
        <is>
          <t>On Track</t>
        </is>
      </c>
      <c r="I35" s="68" t="inlineStr"/>
    </row>
    <row r="36" ht="22" customHeight="1">
      <c r="B36" s="8" t="n">
        <v>4</v>
      </c>
      <c r="C36" s="9" t="inlineStr">
        <is>
          <t>Companies participating in campus drives</t>
        </is>
      </c>
      <c r="D36" s="10" t="inlineStr">
        <is>
          <t>No.</t>
        </is>
      </c>
      <c r="E36" s="10" t="inlineStr">
        <is>
          <t>≥50</t>
        </is>
      </c>
      <c r="F36" s="10" t="inlineStr"/>
      <c r="G36" s="10" t="inlineStr"/>
      <c r="H36" s="10" t="inlineStr">
        <is>
          <t>On Track</t>
        </is>
      </c>
      <c r="I36" s="9" t="inlineStr"/>
    </row>
    <row r="37" ht="22" customHeight="1">
      <c r="B37" s="67" t="n">
        <v>5</v>
      </c>
      <c r="C37" s="68" t="inlineStr">
        <is>
          <t>Pre-Placement Offers (PPOs) secured</t>
        </is>
      </c>
      <c r="D37" s="69" t="inlineStr">
        <is>
          <t>No.</t>
        </is>
      </c>
      <c r="E37" s="69" t="inlineStr">
        <is>
          <t>≥5</t>
        </is>
      </c>
      <c r="F37" s="69" t="inlineStr"/>
      <c r="G37" s="69" t="inlineStr"/>
      <c r="H37" s="69" t="inlineStr">
        <is>
          <t>On Track</t>
        </is>
      </c>
      <c r="I37" s="68" t="inlineStr"/>
    </row>
    <row r="38" ht="22" customHeight="1">
      <c r="B38" s="8" t="n">
        <v>6</v>
      </c>
      <c r="C38" s="9" t="inlineStr">
        <is>
          <t>Students placed in top-100 companies</t>
        </is>
      </c>
      <c r="D38" s="10" t="inlineStr">
        <is>
          <t>No.</t>
        </is>
      </c>
      <c r="E38" s="10" t="inlineStr">
        <is>
          <t>≥20</t>
        </is>
      </c>
      <c r="F38" s="10" t="inlineStr"/>
      <c r="G38" s="10" t="inlineStr"/>
      <c r="H38" s="10" t="inlineStr">
        <is>
          <t>On Track</t>
        </is>
      </c>
      <c r="I38" s="9" t="inlineStr"/>
    </row>
    <row r="39" ht="22" customHeight="1">
      <c r="B39" s="67" t="n">
        <v>7</v>
      </c>
      <c r="C39" s="68" t="inlineStr">
        <is>
          <t>Students in core domain jobs (%)</t>
        </is>
      </c>
      <c r="D39" s="69" t="inlineStr">
        <is>
          <t>% of placed</t>
        </is>
      </c>
      <c r="E39" s="69" t="inlineStr">
        <is>
          <t>≥50%</t>
        </is>
      </c>
      <c r="F39" s="69" t="inlineStr"/>
      <c r="G39" s="69" t="inlineStr"/>
      <c r="H39" s="69" t="inlineStr">
        <is>
          <t>On Track</t>
        </is>
      </c>
      <c r="I39" s="68" t="inlineStr"/>
    </row>
    <row r="40" ht="22" customHeight="1"/>
    <row r="41" ht="24" customHeight="1">
      <c r="B41" s="71" t="inlineStr">
        <is>
          <t>FINANCIAL &amp; RESEARCH KPIs</t>
        </is>
      </c>
    </row>
    <row r="42" ht="22" customHeight="1">
      <c r="B42" s="72" t="inlineStr">
        <is>
          <t>Sl.</t>
        </is>
      </c>
      <c r="C42" s="72" t="inlineStr">
        <is>
          <t>Key Performance Indicator</t>
        </is>
      </c>
      <c r="D42" s="72" t="inlineStr">
        <is>
          <t>Unit</t>
        </is>
      </c>
      <c r="E42" s="72" t="inlineStr">
        <is>
          <t>Annual
Target</t>
        </is>
      </c>
      <c r="F42" s="72" t="inlineStr">
        <is>
          <t>Prev. Year
Actual</t>
        </is>
      </c>
      <c r="G42" s="72" t="inlineStr">
        <is>
          <t>Q-to-Date
Actual</t>
        </is>
      </c>
      <c r="H42" s="72" t="inlineStr">
        <is>
          <t>Status</t>
        </is>
      </c>
      <c r="I42" s="72" t="inlineStr">
        <is>
          <t>Action Required</t>
        </is>
      </c>
    </row>
    <row r="43" ht="22" customHeight="1">
      <c r="B43" s="73" t="n">
        <v>1</v>
      </c>
      <c r="C43" s="74" t="inlineStr">
        <is>
          <t>Industry-sponsored research projects</t>
        </is>
      </c>
      <c r="D43" s="75" t="inlineStr">
        <is>
          <t>No.</t>
        </is>
      </c>
      <c r="E43" s="75" t="inlineStr">
        <is>
          <t>≥5</t>
        </is>
      </c>
      <c r="F43" s="75" t="inlineStr"/>
      <c r="G43" s="75" t="inlineStr"/>
      <c r="H43" s="75" t="inlineStr">
        <is>
          <t>On Track</t>
        </is>
      </c>
      <c r="I43" s="74" t="inlineStr"/>
    </row>
    <row r="44" ht="22" customHeight="1">
      <c r="B44" s="8" t="n">
        <v>2</v>
      </c>
      <c r="C44" s="9" t="inlineStr">
        <is>
          <t>Industry funding for research (₹L)</t>
        </is>
      </c>
      <c r="D44" s="10" t="inlineStr">
        <is>
          <t>₹L</t>
        </is>
      </c>
      <c r="E44" s="10" t="inlineStr">
        <is>
          <t>≥20</t>
        </is>
      </c>
      <c r="F44" s="10" t="inlineStr"/>
      <c r="G44" s="10" t="inlineStr"/>
      <c r="H44" s="10" t="inlineStr">
        <is>
          <t>On Track</t>
        </is>
      </c>
      <c r="I44" s="9" t="inlineStr"/>
    </row>
    <row r="45" ht="22" customHeight="1">
      <c r="B45" s="73" t="n">
        <v>3</v>
      </c>
      <c r="C45" s="74" t="inlineStr">
        <is>
          <t>Consultancy revenue (₹L)</t>
        </is>
      </c>
      <c r="D45" s="75" t="inlineStr">
        <is>
          <t>₹L</t>
        </is>
      </c>
      <c r="E45" s="75" t="inlineStr">
        <is>
          <t>≥25</t>
        </is>
      </c>
      <c r="F45" s="75" t="inlineStr"/>
      <c r="G45" s="75" t="inlineStr"/>
      <c r="H45" s="75" t="inlineStr">
        <is>
          <t>On Track</t>
        </is>
      </c>
      <c r="I45" s="74" t="inlineStr"/>
    </row>
    <row r="46" ht="22" customHeight="1">
      <c r="B46" s="8" t="n">
        <v>4</v>
      </c>
      <c r="C46" s="9" t="inlineStr">
        <is>
          <t>Corporate training revenue (₹L)</t>
        </is>
      </c>
      <c r="D46" s="10" t="inlineStr">
        <is>
          <t>₹L</t>
        </is>
      </c>
      <c r="E46" s="10" t="inlineStr">
        <is>
          <t>≥10</t>
        </is>
      </c>
      <c r="F46" s="10" t="inlineStr"/>
      <c r="G46" s="10" t="inlineStr"/>
      <c r="H46" s="10" t="inlineStr">
        <is>
          <t>On Track</t>
        </is>
      </c>
      <c r="I46" s="9" t="inlineStr"/>
    </row>
    <row r="47" ht="22" customHeight="1">
      <c r="B47" s="73" t="n">
        <v>5</v>
      </c>
      <c r="C47" s="74" t="inlineStr">
        <is>
          <t>Technology transfers / licensing</t>
        </is>
      </c>
      <c r="D47" s="75" t="inlineStr">
        <is>
          <t>No.</t>
        </is>
      </c>
      <c r="E47" s="75" t="inlineStr">
        <is>
          <t>≥1</t>
        </is>
      </c>
      <c r="F47" s="75" t="inlineStr"/>
      <c r="G47" s="75" t="inlineStr"/>
      <c r="H47" s="75" t="inlineStr">
        <is>
          <t>On Track</t>
        </is>
      </c>
      <c r="I47" s="74" t="inlineStr"/>
    </row>
    <row r="48" ht="22" customHeight="1">
      <c r="B48" s="8" t="n">
        <v>6</v>
      </c>
      <c r="C48" s="9" t="inlineStr">
        <is>
          <t>CSR contributions from industry (₹L)</t>
        </is>
      </c>
      <c r="D48" s="10" t="inlineStr">
        <is>
          <t>₹L</t>
        </is>
      </c>
      <c r="E48" s="10" t="inlineStr">
        <is>
          <t>≥5</t>
        </is>
      </c>
      <c r="F48" s="10" t="inlineStr"/>
      <c r="G48" s="10" t="inlineStr"/>
      <c r="H48" s="10" t="inlineStr">
        <is>
          <t>On Track</t>
        </is>
      </c>
      <c r="I48" s="9" t="inlineStr"/>
    </row>
    <row r="49" ht="22" customHeight="1"/>
    <row r="50" ht="24" customHeight="1">
      <c r="B50" s="77" t="inlineStr">
        <is>
          <t>INDUSTRY SATISFACTION KPIs</t>
        </is>
      </c>
    </row>
    <row r="51" ht="22" customHeight="1">
      <c r="B51" s="78" t="inlineStr">
        <is>
          <t>Sl.</t>
        </is>
      </c>
      <c r="C51" s="78" t="inlineStr">
        <is>
          <t>Key Performance Indicator</t>
        </is>
      </c>
      <c r="D51" s="78" t="inlineStr">
        <is>
          <t>Unit</t>
        </is>
      </c>
      <c r="E51" s="78" t="inlineStr">
        <is>
          <t>Annual
Target</t>
        </is>
      </c>
      <c r="F51" s="78" t="inlineStr">
        <is>
          <t>Prev. Year
Actual</t>
        </is>
      </c>
      <c r="G51" s="78" t="inlineStr">
        <is>
          <t>Q-to-Date
Actual</t>
        </is>
      </c>
      <c r="H51" s="78" t="inlineStr">
        <is>
          <t>Status</t>
        </is>
      </c>
      <c r="I51" s="78" t="inlineStr">
        <is>
          <t>Action Required</t>
        </is>
      </c>
    </row>
    <row r="52" ht="22" customHeight="1">
      <c r="B52" s="39" t="n">
        <v>1</v>
      </c>
      <c r="C52" s="79" t="inlineStr">
        <is>
          <t>Industry satisfaction survey score (/5)</t>
        </is>
      </c>
      <c r="D52" s="23" t="inlineStr">
        <is>
          <t>Score</t>
        </is>
      </c>
      <c r="E52" s="23" t="inlineStr">
        <is>
          <t>≥3.5</t>
        </is>
      </c>
      <c r="F52" s="23" t="inlineStr"/>
      <c r="G52" s="23" t="inlineStr"/>
      <c r="H52" s="23" t="inlineStr">
        <is>
          <t>On Track</t>
        </is>
      </c>
      <c r="I52" s="79" t="inlineStr"/>
    </row>
    <row r="53" ht="22" customHeight="1">
      <c r="B53" s="8" t="n">
        <v>2</v>
      </c>
      <c r="C53" s="9" t="inlineStr">
        <is>
          <t>Industry rating of student quality (/5)</t>
        </is>
      </c>
      <c r="D53" s="10" t="inlineStr">
        <is>
          <t>Score</t>
        </is>
      </c>
      <c r="E53" s="10" t="inlineStr">
        <is>
          <t>≥3.5</t>
        </is>
      </c>
      <c r="F53" s="10" t="inlineStr"/>
      <c r="G53" s="10" t="inlineStr"/>
      <c r="H53" s="10" t="inlineStr">
        <is>
          <t>On Track</t>
        </is>
      </c>
      <c r="I53" s="9" t="inlineStr"/>
    </row>
    <row r="54" ht="22" customHeight="1">
      <c r="B54" s="39" t="n">
        <v>3</v>
      </c>
      <c r="C54" s="79" t="inlineStr">
        <is>
          <t>Partner retention rate (% year-on-year)</t>
        </is>
      </c>
      <c r="D54" s="23" t="inlineStr">
        <is>
          <t>% renewing</t>
        </is>
      </c>
      <c r="E54" s="23" t="inlineStr">
        <is>
          <t>≥80%</t>
        </is>
      </c>
      <c r="F54" s="23" t="inlineStr"/>
      <c r="G54" s="23" t="inlineStr"/>
      <c r="H54" s="23" t="inlineStr">
        <is>
          <t>On Track</t>
        </is>
      </c>
      <c r="I54" s="79" t="inlineStr"/>
    </row>
    <row r="55" ht="22" customHeight="1">
      <c r="B55" s="8" t="n">
        <v>4</v>
      </c>
      <c r="C55" s="9" t="inlineStr">
        <is>
          <t>NAAC industry interaction data — compiled</t>
        </is>
      </c>
      <c r="D55" s="10" t="inlineStr">
        <is>
          <t>Y/N</t>
        </is>
      </c>
      <c r="E55" s="10" t="inlineStr">
        <is>
          <t>Yes by Jul 31</t>
        </is>
      </c>
      <c r="F55" s="10" t="inlineStr"/>
      <c r="G55" s="10" t="inlineStr"/>
      <c r="H55" s="10" t="inlineStr">
        <is>
          <t>On Track</t>
        </is>
      </c>
      <c r="I55" s="9" t="inlineStr"/>
    </row>
    <row r="56" ht="22" customHeight="1">
      <c r="B56" s="39" t="n">
        <v>5</v>
      </c>
      <c r="C56" s="79" t="inlineStr">
        <is>
          <t>NIRF graduation outcomes — submitted</t>
        </is>
      </c>
      <c r="D56" s="23" t="inlineStr">
        <is>
          <t>Y/N</t>
        </is>
      </c>
      <c r="E56" s="23" t="inlineStr">
        <is>
          <t>Yes annually</t>
        </is>
      </c>
      <c r="F56" s="23" t="inlineStr"/>
      <c r="G56" s="23" t="inlineStr"/>
      <c r="H56" s="23" t="inlineStr">
        <is>
          <t>On Track</t>
        </is>
      </c>
      <c r="I56" s="79" t="inlineStr"/>
    </row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</sheetData>
  <mergeCells count="8">
    <mergeCell ref="B13:I13"/>
    <mergeCell ref="B50:I50"/>
    <mergeCell ref="B2:I2"/>
    <mergeCell ref="B3:I3"/>
    <mergeCell ref="B22:I22"/>
    <mergeCell ref="B31:I31"/>
    <mergeCell ref="B41:I41"/>
    <mergeCell ref="B4:I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8" t="inlineStr">
        <is>
          <t>IIPC-32: IIPC ANNUAL REPORT COMPILATION FORM</t>
        </is>
      </c>
    </row>
    <row r="3" ht="25" customHeight="1">
      <c r="B3" s="2" t="inlineStr">
        <is>
          <t>A.Y.: _______  IIPC Coordinator: ___________________  Submitted to: Management / IQAC / Governing Body  Date: _______</t>
        </is>
      </c>
    </row>
    <row r="4" ht="24" customHeight="1">
      <c r="B4" s="20" t="inlineStr">
        <is>
          <t>SECTION 1 — PARTNERSHIPS &amp; MoUs</t>
        </is>
      </c>
    </row>
    <row r="5" ht="22" customHeight="1">
      <c r="B5" s="13" t="inlineStr">
        <is>
          <t>Sl.</t>
        </is>
      </c>
      <c r="C5" s="13" t="inlineStr">
        <is>
          <t>Performance Metric</t>
        </is>
      </c>
      <c r="D5" s="13" t="inlineStr">
        <is>
          <t>Unit</t>
        </is>
      </c>
      <c r="E5" s="13" t="inlineStr">
        <is>
          <t>Current A.Y.</t>
        </is>
      </c>
      <c r="F5" s="13" t="inlineStr">
        <is>
          <t>Previous A.Y.</t>
        </is>
      </c>
      <c r="G5" s="13" t="inlineStr">
        <is>
          <t>Growth %</t>
        </is>
      </c>
      <c r="H5" s="13" t="inlineStr">
        <is>
          <t>Target Next Year</t>
        </is>
      </c>
    </row>
    <row r="6" ht="22" customHeight="1">
      <c r="B6" s="14" t="n">
        <v>1</v>
      </c>
      <c r="C6" s="15" t="inlineStr">
        <is>
          <t>Active MoUs at year-end</t>
        </is>
      </c>
      <c r="D6" s="16" t="inlineStr">
        <is>
          <t>No.</t>
        </is>
      </c>
      <c r="E6" s="16" t="inlineStr"/>
      <c r="F6" s="16" t="inlineStr"/>
      <c r="G6" s="16">
        <f>IFERROR(ROUND((E6-F6)/F6*100,1),"")</f>
        <v/>
      </c>
      <c r="H6" s="16" t="inlineStr"/>
    </row>
    <row r="7" ht="22" customHeight="1">
      <c r="B7" s="8" t="n">
        <v>2</v>
      </c>
      <c r="C7" s="9" t="inlineStr">
        <is>
          <t>New MoUs signed this year</t>
        </is>
      </c>
      <c r="D7" s="10" t="inlineStr">
        <is>
          <t>No.</t>
        </is>
      </c>
      <c r="E7" s="10" t="inlineStr"/>
      <c r="F7" s="10" t="inlineStr"/>
      <c r="G7" s="10">
        <f>IFERROR(ROUND((E7-F7)/F7*100,1),"")</f>
        <v/>
      </c>
      <c r="H7" s="10" t="inlineStr"/>
    </row>
    <row r="8" ht="22" customHeight="1">
      <c r="B8" s="14" t="n">
        <v>3</v>
      </c>
      <c r="C8" s="15" t="inlineStr">
        <is>
          <t>MoUs expired / lapsed</t>
        </is>
      </c>
      <c r="D8" s="16" t="inlineStr">
        <is>
          <t>No.</t>
        </is>
      </c>
      <c r="E8" s="16" t="inlineStr"/>
      <c r="F8" s="16" t="inlineStr"/>
      <c r="G8" s="16">
        <f>IFERROR(ROUND((E8-F8)/F8*100,1),"")</f>
        <v/>
      </c>
      <c r="H8" s="16" t="inlineStr"/>
    </row>
    <row r="9" ht="22" customHeight="1">
      <c r="B9" s="8" t="n">
        <v>4</v>
      </c>
      <c r="C9" s="9" t="inlineStr">
        <is>
          <t>MoU utilisation rate (% with activities)</t>
        </is>
      </c>
      <c r="D9" s="10" t="inlineStr">
        <is>
          <t>% of MoUs</t>
        </is>
      </c>
      <c r="E9" s="10" t="inlineStr"/>
      <c r="F9" s="10" t="inlineStr"/>
      <c r="G9" s="10">
        <f>IFERROR(ROUND((E9-F9)/F9*100,1),"")</f>
        <v/>
      </c>
      <c r="H9" s="10" t="inlineStr"/>
    </row>
    <row r="10" ht="22" customHeight="1">
      <c r="B10" s="14" t="n">
        <v>5</v>
      </c>
      <c r="C10" s="15" t="inlineStr">
        <is>
          <t>Sectors covered</t>
        </is>
      </c>
      <c r="D10" s="16" t="inlineStr">
        <is>
          <t>No.</t>
        </is>
      </c>
      <c r="E10" s="16" t="inlineStr"/>
      <c r="F10" s="16" t="inlineStr"/>
      <c r="G10" s="16">
        <f>IFERROR(ROUND((E10-F10)/F10*100,1),"")</f>
        <v/>
      </c>
      <c r="H10" s="16" t="inlineStr"/>
    </row>
    <row r="11" ht="22" customHeight="1">
      <c r="B11" s="8" t="n">
        <v>6</v>
      </c>
      <c r="C11" s="9" t="inlineStr">
        <is>
          <t>IAB meetings conducted</t>
        </is>
      </c>
      <c r="D11" s="10" t="inlineStr">
        <is>
          <t>No.</t>
        </is>
      </c>
      <c r="E11" s="10" t="inlineStr"/>
      <c r="F11" s="10" t="inlineStr"/>
      <c r="G11" s="10">
        <f>IFERROR(ROUND((E11-F11)/F11*100,1),"")</f>
        <v/>
      </c>
      <c r="H11" s="10" t="inlineStr"/>
    </row>
    <row r="12" ht="22" customHeight="1">
      <c r="B12" s="14" t="n">
        <v>7</v>
      </c>
      <c r="C12" s="15" t="inlineStr">
        <is>
          <t>IAB recommendations to BoS</t>
        </is>
      </c>
      <c r="D12" s="16" t="inlineStr">
        <is>
          <t>No.</t>
        </is>
      </c>
      <c r="E12" s="16" t="inlineStr"/>
      <c r="F12" s="16" t="inlineStr"/>
      <c r="G12" s="16">
        <f>IFERROR(ROUND((E12-F12)/F12*100,1),"")</f>
        <v/>
      </c>
      <c r="H12" s="16" t="inlineStr"/>
    </row>
    <row r="13" ht="22" customHeight="1"/>
    <row r="14" ht="24" customHeight="1">
      <c r="B14" s="43" t="inlineStr">
        <is>
          <t>SECTION 2 — INTERNSHIP &amp; TRAINING</t>
        </is>
      </c>
    </row>
    <row r="15" ht="22" customHeight="1">
      <c r="B15" s="44" t="inlineStr">
        <is>
          <t>Sl.</t>
        </is>
      </c>
      <c r="C15" s="44" t="inlineStr">
        <is>
          <t>Performance Metric</t>
        </is>
      </c>
      <c r="D15" s="44" t="inlineStr">
        <is>
          <t>Unit</t>
        </is>
      </c>
      <c r="E15" s="44" t="inlineStr">
        <is>
          <t>Current A.Y.</t>
        </is>
      </c>
      <c r="F15" s="44" t="inlineStr">
        <is>
          <t>Previous A.Y.</t>
        </is>
      </c>
      <c r="G15" s="44" t="inlineStr">
        <is>
          <t>Growth %</t>
        </is>
      </c>
      <c r="H15" s="44" t="inlineStr">
        <is>
          <t>Target Next Year</t>
        </is>
      </c>
    </row>
    <row r="16" ht="22" customHeight="1">
      <c r="B16" s="54" t="n">
        <v>1</v>
      </c>
      <c r="C16" s="46" t="inlineStr">
        <is>
          <t>Students on internship / IPT</t>
        </is>
      </c>
      <c r="D16" s="45" t="inlineStr">
        <is>
          <t>No.</t>
        </is>
      </c>
      <c r="E16" s="45" t="inlineStr"/>
      <c r="F16" s="45" t="inlineStr"/>
      <c r="G16" s="45">
        <f>IFERROR(ROUND((E16-F16)/F16*100,1),"")</f>
        <v/>
      </c>
      <c r="H16" s="45" t="inlineStr"/>
    </row>
    <row r="17" ht="22" customHeight="1">
      <c r="B17" s="8" t="n">
        <v>2</v>
      </c>
      <c r="C17" s="9" t="inlineStr">
        <is>
          <t>Internship rate (% of eligible)</t>
        </is>
      </c>
      <c r="D17" s="10" t="inlineStr">
        <is>
          <t>% secured</t>
        </is>
      </c>
      <c r="E17" s="10" t="inlineStr"/>
      <c r="F17" s="10" t="inlineStr"/>
      <c r="G17" s="10">
        <f>IFERROR(ROUND((E17-F17)/F17*100,1),"")</f>
        <v/>
      </c>
      <c r="H17" s="10" t="inlineStr"/>
    </row>
    <row r="18" ht="22" customHeight="1">
      <c r="B18" s="54" t="n">
        <v>3</v>
      </c>
      <c r="C18" s="46" t="inlineStr">
        <is>
          <t>% with stipend</t>
        </is>
      </c>
      <c r="D18" s="45" t="inlineStr">
        <is>
          <t>% of interns</t>
        </is>
      </c>
      <c r="E18" s="45" t="inlineStr"/>
      <c r="F18" s="45" t="inlineStr"/>
      <c r="G18" s="45">
        <f>IFERROR(ROUND((E18-F18)/F18*100,1),"")</f>
        <v/>
      </c>
      <c r="H18" s="45" t="inlineStr"/>
    </row>
    <row r="19" ht="22" customHeight="1">
      <c r="B19" s="8" t="n">
        <v>4</v>
      </c>
      <c r="C19" s="9" t="inlineStr">
        <is>
          <t>Avg. stipend (₹/month)</t>
        </is>
      </c>
      <c r="D19" s="10" t="inlineStr">
        <is>
          <t>₹ per month</t>
        </is>
      </c>
      <c r="E19" s="10" t="inlineStr"/>
      <c r="F19" s="10" t="inlineStr"/>
      <c r="G19" s="10">
        <f>IFERROR(ROUND((E19-F19)/F19*100,1),"")</f>
        <v/>
      </c>
      <c r="H19" s="10" t="inlineStr"/>
    </row>
    <row r="20" ht="22" customHeight="1">
      <c r="B20" s="54" t="n">
        <v>5</v>
      </c>
      <c r="C20" s="46" t="inlineStr">
        <is>
          <t>Industry feedback score on interns (/5)</t>
        </is>
      </c>
      <c r="D20" s="45" t="inlineStr">
        <is>
          <t>Score</t>
        </is>
      </c>
      <c r="E20" s="45" t="inlineStr"/>
      <c r="F20" s="45" t="inlineStr"/>
      <c r="G20" s="45">
        <f>IFERROR(ROUND((E20-F20)/F20*100,1),"")</f>
        <v/>
      </c>
      <c r="H20" s="45" t="inlineStr"/>
    </row>
    <row r="21" ht="22" customHeight="1">
      <c r="B21" s="8" t="n">
        <v>6</v>
      </c>
      <c r="C21" s="9" t="inlineStr">
        <is>
          <t>Skill certification programmes</t>
        </is>
      </c>
      <c r="D21" s="10" t="inlineStr">
        <is>
          <t>No.</t>
        </is>
      </c>
      <c r="E21" s="10" t="inlineStr"/>
      <c r="F21" s="10" t="inlineStr"/>
      <c r="G21" s="10">
        <f>IFERROR(ROUND((E21-F21)/F21*100,1),"")</f>
        <v/>
      </c>
      <c r="H21" s="10" t="inlineStr"/>
    </row>
    <row r="22" ht="22" customHeight="1">
      <c r="B22" s="54" t="n">
        <v>7</v>
      </c>
      <c r="C22" s="46" t="inlineStr">
        <is>
          <t>Corporate training programmes delivered</t>
        </is>
      </c>
      <c r="D22" s="45" t="inlineStr">
        <is>
          <t>No. / participants</t>
        </is>
      </c>
      <c r="E22" s="45" t="inlineStr"/>
      <c r="F22" s="45" t="inlineStr"/>
      <c r="G22" s="45">
        <f>IFERROR(ROUND((E22-F22)/F22*100,1),"")</f>
        <v/>
      </c>
      <c r="H22" s="45" t="inlineStr"/>
    </row>
    <row r="23" ht="22" customHeight="1"/>
    <row r="24" ht="24" customHeight="1">
      <c r="B24" s="35" t="inlineStr">
        <is>
          <t>SECTION 3 — ACADEMIC INTERFACE</t>
        </is>
      </c>
    </row>
    <row r="25" ht="22" customHeight="1">
      <c r="B25" s="31" t="inlineStr">
        <is>
          <t>Sl.</t>
        </is>
      </c>
      <c r="C25" s="31" t="inlineStr">
        <is>
          <t>Performance Metric</t>
        </is>
      </c>
      <c r="D25" s="31" t="inlineStr">
        <is>
          <t>Unit</t>
        </is>
      </c>
      <c r="E25" s="31" t="inlineStr">
        <is>
          <t>Current A.Y.</t>
        </is>
      </c>
      <c r="F25" s="31" t="inlineStr">
        <is>
          <t>Previous A.Y.</t>
        </is>
      </c>
      <c r="G25" s="31" t="inlineStr">
        <is>
          <t>Growth %</t>
        </is>
      </c>
      <c r="H25" s="31" t="inlineStr">
        <is>
          <t>Target Next Year</t>
        </is>
      </c>
    </row>
    <row r="26" ht="22" customHeight="1">
      <c r="B26" s="32" t="n">
        <v>1</v>
      </c>
      <c r="C26" s="33" t="inlineStr">
        <is>
          <t>Expert / guest lectures conducted</t>
        </is>
      </c>
      <c r="D26" s="34" t="inlineStr">
        <is>
          <t>No.</t>
        </is>
      </c>
      <c r="E26" s="34" t="inlineStr"/>
      <c r="F26" s="34" t="inlineStr"/>
      <c r="G26" s="34">
        <f>IFERROR(ROUND((E26-F26)/F26*100,1),"")</f>
        <v/>
      </c>
      <c r="H26" s="34" t="inlineStr"/>
    </row>
    <row r="27" ht="22" customHeight="1">
      <c r="B27" s="8" t="n">
        <v>2</v>
      </c>
      <c r="C27" s="9" t="inlineStr">
        <is>
          <t>Live projects / problem statements</t>
        </is>
      </c>
      <c r="D27" s="10" t="inlineStr">
        <is>
          <t>No.</t>
        </is>
      </c>
      <c r="E27" s="10" t="inlineStr"/>
      <c r="F27" s="10" t="inlineStr"/>
      <c r="G27" s="10">
        <f>IFERROR(ROUND((E27-F27)/F27*100,1),"")</f>
        <v/>
      </c>
      <c r="H27" s="10" t="inlineStr"/>
    </row>
    <row r="28" ht="22" customHeight="1">
      <c r="B28" s="32" t="n">
        <v>3</v>
      </c>
      <c r="C28" s="33" t="inlineStr">
        <is>
          <t>Students in live projects</t>
        </is>
      </c>
      <c r="D28" s="34" t="inlineStr">
        <is>
          <t>No.</t>
        </is>
      </c>
      <c r="E28" s="34" t="inlineStr"/>
      <c r="F28" s="34" t="inlineStr"/>
      <c r="G28" s="34">
        <f>IFERROR(ROUND((E28-F28)/F28*100,1),"")</f>
        <v/>
      </c>
      <c r="H28" s="34" t="inlineStr"/>
    </row>
    <row r="29" ht="22" customHeight="1">
      <c r="B29" s="8" t="n">
        <v>4</v>
      </c>
      <c r="C29" s="9" t="inlineStr">
        <is>
          <t>Adjunct faculty from industry</t>
        </is>
      </c>
      <c r="D29" s="10" t="inlineStr">
        <is>
          <t>No.</t>
        </is>
      </c>
      <c r="E29" s="10" t="inlineStr"/>
      <c r="F29" s="10" t="inlineStr"/>
      <c r="G29" s="10">
        <f>IFERROR(ROUND((E29-F29)/F29*100,1),"")</f>
        <v/>
      </c>
      <c r="H29" s="10" t="inlineStr"/>
    </row>
    <row r="30" ht="22" customHeight="1">
      <c r="B30" s="32" t="n">
        <v>5</v>
      </c>
      <c r="C30" s="33" t="inlineStr">
        <is>
          <t>Curriculum changes per IAB feedback</t>
        </is>
      </c>
      <c r="D30" s="34" t="inlineStr">
        <is>
          <t>No.</t>
        </is>
      </c>
      <c r="E30" s="34" t="inlineStr"/>
      <c r="F30" s="34" t="inlineStr"/>
      <c r="G30" s="34">
        <f>IFERROR(ROUND((E30-F30)/F30*100,1),"")</f>
        <v/>
      </c>
      <c r="H30" s="34" t="inlineStr"/>
    </row>
    <row r="31" ht="22" customHeight="1">
      <c r="B31" s="8" t="n">
        <v>6</v>
      </c>
      <c r="C31" s="9" t="inlineStr">
        <is>
          <t>Students benefited from industry interaction</t>
        </is>
      </c>
      <c r="D31" s="10" t="inlineStr">
        <is>
          <t>No.</t>
        </is>
      </c>
      <c r="E31" s="10" t="inlineStr"/>
      <c r="F31" s="10" t="inlineStr"/>
      <c r="G31" s="10">
        <f>IFERROR(ROUND((E31-F31)/F31*100,1),"")</f>
        <v/>
      </c>
      <c r="H31" s="10" t="inlineStr"/>
    </row>
    <row r="32" ht="22" customHeight="1"/>
    <row r="33" ht="24" customHeight="1">
      <c r="B33" s="65" t="inlineStr">
        <is>
          <t>SECTION 4 — PLACEMENT</t>
        </is>
      </c>
    </row>
    <row r="34" ht="22" customHeight="1">
      <c r="B34" s="66" t="inlineStr">
        <is>
          <t>Sl.</t>
        </is>
      </c>
      <c r="C34" s="66" t="inlineStr">
        <is>
          <t>Performance Metric</t>
        </is>
      </c>
      <c r="D34" s="66" t="inlineStr">
        <is>
          <t>Unit</t>
        </is>
      </c>
      <c r="E34" s="66" t="inlineStr">
        <is>
          <t>Current A.Y.</t>
        </is>
      </c>
      <c r="F34" s="66" t="inlineStr">
        <is>
          <t>Previous A.Y.</t>
        </is>
      </c>
      <c r="G34" s="66" t="inlineStr">
        <is>
          <t>Growth %</t>
        </is>
      </c>
      <c r="H34" s="66" t="inlineStr">
        <is>
          <t>Target Next Year</t>
        </is>
      </c>
    </row>
    <row r="35" ht="22" customHeight="1">
      <c r="B35" s="67" t="n">
        <v>1</v>
      </c>
      <c r="C35" s="68" t="inlineStr">
        <is>
          <t>Overall placement rate (%)</t>
        </is>
      </c>
      <c r="D35" s="69" t="inlineStr">
        <is>
          <t>% placed</t>
        </is>
      </c>
      <c r="E35" s="69" t="inlineStr"/>
      <c r="F35" s="69" t="inlineStr"/>
      <c r="G35" s="69">
        <f>IFERROR(ROUND((E35-F35)/F35*100,1),"")</f>
        <v/>
      </c>
      <c r="H35" s="69" t="inlineStr"/>
    </row>
    <row r="36" ht="22" customHeight="1">
      <c r="B36" s="8" t="n">
        <v>2</v>
      </c>
      <c r="C36" s="9" t="inlineStr">
        <is>
          <t>Students placed (confirmed joining)</t>
        </is>
      </c>
      <c r="D36" s="10" t="inlineStr">
        <is>
          <t>No.</t>
        </is>
      </c>
      <c r="E36" s="10" t="inlineStr"/>
      <c r="F36" s="10" t="inlineStr"/>
      <c r="G36" s="10">
        <f>IFERROR(ROUND((E36-F36)/F36*100,1),"")</f>
        <v/>
      </c>
      <c r="H36" s="10" t="inlineStr"/>
    </row>
    <row r="37" ht="22" customHeight="1">
      <c r="B37" s="67" t="n">
        <v>3</v>
      </c>
      <c r="C37" s="68" t="inlineStr">
        <is>
          <t>Highest CTC (₹L PA)</t>
        </is>
      </c>
      <c r="D37" s="69" t="inlineStr">
        <is>
          <t>₹L</t>
        </is>
      </c>
      <c r="E37" s="69" t="inlineStr"/>
      <c r="F37" s="69" t="inlineStr"/>
      <c r="G37" s="69">
        <f>IFERROR(ROUND((E37-F37)/F37*100,1),"")</f>
        <v/>
      </c>
      <c r="H37" s="69" t="inlineStr"/>
    </row>
    <row r="38" ht="22" customHeight="1">
      <c r="B38" s="8" t="n">
        <v>4</v>
      </c>
      <c r="C38" s="9" t="inlineStr">
        <is>
          <t>Average CTC (₹L PA)</t>
        </is>
      </c>
      <c r="D38" s="10" t="inlineStr">
        <is>
          <t>₹L</t>
        </is>
      </c>
      <c r="E38" s="10" t="inlineStr"/>
      <c r="F38" s="10" t="inlineStr"/>
      <c r="G38" s="10">
        <f>IFERROR(ROUND((E38-F38)/F38*100,1),"")</f>
        <v/>
      </c>
      <c r="H38" s="10" t="inlineStr"/>
    </row>
    <row r="39" ht="22" customHeight="1">
      <c r="B39" s="67" t="n">
        <v>5</v>
      </c>
      <c r="C39" s="68" t="inlineStr">
        <is>
          <t>Companies visited campus</t>
        </is>
      </c>
      <c r="D39" s="69" t="inlineStr">
        <is>
          <t>No.</t>
        </is>
      </c>
      <c r="E39" s="69" t="inlineStr"/>
      <c r="F39" s="69" t="inlineStr"/>
      <c r="G39" s="69">
        <f>IFERROR(ROUND((E39-F39)/F39*100,1),"")</f>
        <v/>
      </c>
      <c r="H39" s="69" t="inlineStr"/>
    </row>
    <row r="40" ht="22" customHeight="1">
      <c r="B40" s="8" t="n">
        <v>6</v>
      </c>
      <c r="C40" s="9" t="inlineStr">
        <is>
          <t>PPOs received</t>
        </is>
      </c>
      <c r="D40" s="10" t="inlineStr">
        <is>
          <t>No.</t>
        </is>
      </c>
      <c r="E40" s="10" t="inlineStr"/>
      <c r="F40" s="10" t="inlineStr"/>
      <c r="G40" s="10">
        <f>IFERROR(ROUND((E40-F40)/F40*100,1),"")</f>
        <v/>
      </c>
      <c r="H40" s="10" t="inlineStr"/>
    </row>
    <row r="41" ht="22" customHeight="1">
      <c r="B41" s="67" t="n">
        <v>7</v>
      </c>
      <c r="C41" s="68" t="inlineStr">
        <is>
          <t>Higher studies (%)</t>
        </is>
      </c>
      <c r="D41" s="69" t="inlineStr">
        <is>
          <t>% of batch</t>
        </is>
      </c>
      <c r="E41" s="69" t="inlineStr"/>
      <c r="F41" s="69" t="inlineStr"/>
      <c r="G41" s="69">
        <f>IFERROR(ROUND((E41-F41)/F41*100,1),"")</f>
        <v/>
      </c>
      <c r="H41" s="69" t="inlineStr"/>
    </row>
    <row r="42" ht="22" customHeight="1"/>
    <row r="43" ht="24" customHeight="1">
      <c r="B43" s="71" t="inlineStr">
        <is>
          <t>SECTION 5 — REVENUE &amp; IMPACT</t>
        </is>
      </c>
    </row>
    <row r="44" ht="22" customHeight="1">
      <c r="B44" s="72" t="inlineStr">
        <is>
          <t>Sl.</t>
        </is>
      </c>
      <c r="C44" s="72" t="inlineStr">
        <is>
          <t>Performance Metric</t>
        </is>
      </c>
      <c r="D44" s="72" t="inlineStr">
        <is>
          <t>Unit</t>
        </is>
      </c>
      <c r="E44" s="72" t="inlineStr">
        <is>
          <t>Current A.Y.</t>
        </is>
      </c>
      <c r="F44" s="72" t="inlineStr">
        <is>
          <t>Previous A.Y.</t>
        </is>
      </c>
      <c r="G44" s="72" t="inlineStr">
        <is>
          <t>Growth %</t>
        </is>
      </c>
      <c r="H44" s="72" t="inlineStr">
        <is>
          <t>Target Next Year</t>
        </is>
      </c>
    </row>
    <row r="45" ht="22" customHeight="1">
      <c r="B45" s="73" t="n">
        <v>1</v>
      </c>
      <c r="C45" s="74" t="inlineStr">
        <is>
          <t>Consultancy revenue (₹L)</t>
        </is>
      </c>
      <c r="D45" s="75" t="inlineStr">
        <is>
          <t>₹L</t>
        </is>
      </c>
      <c r="E45" s="75" t="inlineStr"/>
      <c r="F45" s="75" t="inlineStr"/>
      <c r="G45" s="75">
        <f>IFERROR(ROUND((E45-F45)/F45*100,1),"")</f>
        <v/>
      </c>
      <c r="H45" s="75" t="inlineStr"/>
    </row>
    <row r="46" ht="22" customHeight="1">
      <c r="B46" s="8" t="n">
        <v>2</v>
      </c>
      <c r="C46" s="9" t="inlineStr">
        <is>
          <t>Industry research funding (₹L)</t>
        </is>
      </c>
      <c r="D46" s="10" t="inlineStr">
        <is>
          <t>₹L</t>
        </is>
      </c>
      <c r="E46" s="10" t="inlineStr"/>
      <c r="F46" s="10" t="inlineStr"/>
      <c r="G46" s="10">
        <f>IFERROR(ROUND((E46-F46)/F46*100,1),"")</f>
        <v/>
      </c>
      <c r="H46" s="10" t="inlineStr"/>
    </row>
    <row r="47" ht="22" customHeight="1">
      <c r="B47" s="73" t="n">
        <v>3</v>
      </c>
      <c r="C47" s="74" t="inlineStr">
        <is>
          <t>Corporate training revenue (₹L)</t>
        </is>
      </c>
      <c r="D47" s="75" t="inlineStr">
        <is>
          <t>₹L</t>
        </is>
      </c>
      <c r="E47" s="75" t="inlineStr"/>
      <c r="F47" s="75" t="inlineStr"/>
      <c r="G47" s="75">
        <f>IFERROR(ROUND((E47-F47)/F47*100,1),"")</f>
        <v/>
      </c>
      <c r="H47" s="75" t="inlineStr"/>
    </row>
    <row r="48" ht="22" customHeight="1">
      <c r="B48" s="8" t="n">
        <v>4</v>
      </c>
      <c r="C48" s="9" t="inlineStr">
        <is>
          <t>CSR from industry (₹L)</t>
        </is>
      </c>
      <c r="D48" s="10" t="inlineStr">
        <is>
          <t>₹L</t>
        </is>
      </c>
      <c r="E48" s="10" t="inlineStr"/>
      <c r="F48" s="10" t="inlineStr"/>
      <c r="G48" s="10">
        <f>IFERROR(ROUND((E48-F48)/F48*100,1),"")</f>
        <v/>
      </c>
      <c r="H48" s="10" t="inlineStr"/>
    </row>
    <row r="49" ht="22" customHeight="1">
      <c r="B49" s="73" t="n">
        <v>5</v>
      </c>
      <c r="C49" s="74" t="inlineStr">
        <is>
          <t>Industry satisfaction score (/5)</t>
        </is>
      </c>
      <c r="D49" s="75" t="inlineStr">
        <is>
          <t>Score</t>
        </is>
      </c>
      <c r="E49" s="75" t="inlineStr"/>
      <c r="F49" s="75" t="inlineStr"/>
      <c r="G49" s="75">
        <f>IFERROR(ROUND((E49-F49)/F49*100,1),"")</f>
        <v/>
      </c>
      <c r="H49" s="75" t="inlineStr"/>
    </row>
    <row r="50" ht="22" customHeight="1">
      <c r="B50" s="8" t="n">
        <v>6</v>
      </c>
      <c r="C50" s="9" t="inlineStr">
        <is>
          <t>Technology transfers</t>
        </is>
      </c>
      <c r="D50" s="10" t="inlineStr">
        <is>
          <t>No.</t>
        </is>
      </c>
      <c r="E50" s="10" t="inlineStr"/>
      <c r="F50" s="10" t="inlineStr"/>
      <c r="G50" s="10">
        <f>IFERROR(ROUND((E50-F50)/F50*100,1),"")</f>
        <v/>
      </c>
      <c r="H50" s="10" t="inlineStr"/>
    </row>
    <row r="51" ht="22" customHeight="1"/>
    <row r="52" ht="20" customHeight="1">
      <c r="B52" s="17" t="inlineStr">
        <is>
          <t>Annual Report submitted to: Management, IQAC (AQAR Criteria II.2, III.3, V.2), NAAC SSR, NIRF, NBA SAR, Governing Body. Placement data reconciled with T&amp;P Cell before submission.</t>
        </is>
      </c>
    </row>
    <row r="53" ht="22" customHeight="1">
      <c r="B53" s="30" t="inlineStr">
        <is>
          <t>IIPC Coordinator: ___________________    T&amp;P Officer: ___________________    Chairperson: ___________________    IQAC Coordinator: ___________________    Date: ___________________</t>
        </is>
      </c>
    </row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9">
    <mergeCell ref="B14:H14"/>
    <mergeCell ref="B52:H52"/>
    <mergeCell ref="B4:H4"/>
    <mergeCell ref="B53:H53"/>
    <mergeCell ref="B43:H43"/>
    <mergeCell ref="B24:H24"/>
    <mergeCell ref="B2:H2"/>
    <mergeCell ref="B33:H33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2026-04-20T15:25:22Z</dcterms:created>
  <dcterms:modified xmlns:dcterms="http://purl.org/dc/terms/" xmlns:xsi="http://www.w3.org/2001/XMLSchema-instance" xsi:type="dcterms:W3CDTF">2026-04-20T15:25:29Z</dcterms:modified>
</cp:coreProperties>
</file>