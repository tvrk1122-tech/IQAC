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C-00 Composition" sheetId="2" state="visible" r:id="rId2"/>
    <sheet xmlns:r="http://schemas.openxmlformats.org/officeDocument/2006/relationships" name="CC-NA Notice &amp; Agenda" sheetId="3" state="visible" r:id="rId3"/>
    <sheet xmlns:r="http://schemas.openxmlformats.org/officeDocument/2006/relationships" name="CC-AT Attendance" sheetId="4" state="visible" r:id="rId4"/>
    <sheet xmlns:r="http://schemas.openxmlformats.org/officeDocument/2006/relationships" name="CC-MM Minutes" sheetId="5" state="visible" r:id="rId5"/>
    <sheet xmlns:r="http://schemas.openxmlformats.org/officeDocument/2006/relationships" name="CC-ATR Action Report" sheetId="6" state="visible" r:id="rId6"/>
    <sheet xmlns:r="http://schemas.openxmlformats.org/officeDocument/2006/relationships" name="CC-06 Project Register" sheetId="7" state="visible" r:id="rId7"/>
    <sheet xmlns:r="http://schemas.openxmlformats.org/officeDocument/2006/relationships" name="CC-05 Project Proposal Form" sheetId="8" state="visible" r:id="rId8"/>
    <sheet xmlns:r="http://schemas.openxmlformats.org/officeDocument/2006/relationships" name="CC-13-14 Bid Evaluation" sheetId="9" state="visible" r:id="rId9"/>
    <sheet xmlns:r="http://schemas.openxmlformats.org/officeDocument/2006/relationships" name="CC-27 Daily Progress Report" sheetId="10" state="visible" r:id="rId10"/>
    <sheet xmlns:r="http://schemas.openxmlformats.org/officeDocument/2006/relationships" name="CC-30 NCR Register" sheetId="11" state="visible" r:id="rId11"/>
    <sheet xmlns:r="http://schemas.openxmlformats.org/officeDocument/2006/relationships" name="CC-37 Concrete Testing" sheetId="12" state="visible" r:id="rId12"/>
    <sheet xmlns:r="http://schemas.openxmlformats.org/officeDocument/2006/relationships" name="CC-42 Site Safety Checklist" sheetId="13" state="visible" r:id="rId13"/>
    <sheet xmlns:r="http://schemas.openxmlformats.org/officeDocument/2006/relationships" name="CC-32 RA Bill Register" sheetId="14" state="visible" r:id="rId14"/>
    <sheet xmlns:r="http://schemas.openxmlformats.org/officeDocument/2006/relationships" name="CC-46 Milestone Progress" sheetId="15" state="visible" r:id="rId15"/>
    <sheet xmlns:r="http://schemas.openxmlformats.org/officeDocument/2006/relationships" name="CC-49 DLP Register" sheetId="16" state="visible" r:id="rId16"/>
    <sheet xmlns:r="http://schemas.openxmlformats.org/officeDocument/2006/relationships" name="CC-44 Accident Register" sheetId="17" state="visible" r:id="rId17"/>
    <sheet xmlns:r="http://schemas.openxmlformats.org/officeDocument/2006/relationships" name="CC-51 KPI Dashboard" sheetId="18" state="visible" r:id="rId18"/>
    <sheet xmlns:r="http://schemas.openxmlformats.org/officeDocument/2006/relationships" name="CC-52 Annual Report" sheetId="19" state="visible" r:id="rId19"/>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FFFFFF"/>
      <sz val="17"/>
    </font>
    <font>
      <name val="Arial"/>
      <color rgb="001E3A5F"/>
      <sz val="9"/>
    </font>
    <font>
      <name val="Arial"/>
      <b val="1"/>
      <color rgb="00FFFFFF"/>
      <sz val="11"/>
    </font>
    <font>
      <name val="Arial"/>
      <b val="1"/>
      <color rgb="00FFFFFF"/>
      <sz val="10"/>
    </font>
    <font>
      <name val="Arial"/>
      <b val="1"/>
      <color rgb="000F172A"/>
      <sz val="10"/>
    </font>
    <font>
      <name val="Arial"/>
      <color rgb="000F172A"/>
      <sz val="10"/>
    </font>
    <font>
      <name val="Arial"/>
      <color rgb="0064748B"/>
      <sz val="9"/>
    </font>
    <font>
      <name val="Arial"/>
      <b val="1"/>
      <color rgb="00FFFFFF"/>
      <sz val="14"/>
    </font>
    <font>
      <name val="Arial"/>
      <color rgb="003F2000"/>
      <sz val="9"/>
    </font>
    <font>
      <name val="Arial"/>
      <b val="1"/>
      <color rgb="001E3A5F"/>
      <sz val="10"/>
    </font>
    <font>
      <name val="Arial"/>
      <b val="1"/>
      <color rgb="00334155"/>
      <sz val="10"/>
    </font>
    <font>
      <name val="Arial"/>
      <b val="1"/>
      <color rgb="00166534"/>
      <sz val="10"/>
    </font>
    <font>
      <name val="Arial"/>
      <color rgb="000F172A"/>
      <sz val="9"/>
    </font>
    <font>
      <name val="Arial"/>
      <b val="1"/>
      <color rgb="000A1628"/>
      <sz val="10"/>
    </font>
    <font>
      <name val="Arial"/>
      <b val="1"/>
      <color rgb="00451A03"/>
      <sz val="10"/>
    </font>
    <font>
      <name val="Arial"/>
      <b val="1"/>
      <color rgb="000D9488"/>
      <sz val="10"/>
    </font>
    <font>
      <name val="Arial"/>
      <b val="1"/>
      <color rgb="00B91C1C"/>
      <sz val="10"/>
    </font>
    <font>
      <name val="Arial"/>
      <b val="1"/>
      <color rgb="00B91C1C"/>
      <sz val="9"/>
    </font>
    <font>
      <name val="Arial"/>
      <color rgb="00B91C1C"/>
      <sz val="9"/>
    </font>
    <font>
      <name val="Arial"/>
      <b val="1"/>
      <color rgb="00B45309"/>
      <sz val="10"/>
    </font>
    <font>
      <name val="Arial"/>
      <b val="1"/>
      <color rgb="000F172A"/>
      <sz val="9"/>
    </font>
    <font>
      <name val="Arial"/>
      <b val="1"/>
      <color rgb="003F2000"/>
      <sz val="10"/>
    </font>
  </fonts>
  <fills count="22">
    <fill>
      <patternFill/>
    </fill>
    <fill>
      <patternFill patternType="gray125"/>
    </fill>
    <fill>
      <patternFill patternType="solid">
        <fgColor rgb="000A1628"/>
      </patternFill>
    </fill>
    <fill>
      <patternFill patternType="solid">
        <fgColor rgb="00DBEAFE"/>
      </patternFill>
    </fill>
    <fill>
      <patternFill patternType="solid">
        <fgColor rgb="00D97706"/>
      </patternFill>
    </fill>
    <fill>
      <patternFill patternType="solid">
        <fgColor rgb="00334155"/>
      </patternFill>
    </fill>
    <fill>
      <patternFill patternType="solid">
        <fgColor rgb="00F8FAFC"/>
      </patternFill>
    </fill>
    <fill>
      <patternFill patternType="solid">
        <fgColor rgb="00FFFFFF"/>
      </patternFill>
    </fill>
    <fill>
      <patternFill patternType="solid">
        <fgColor rgb="001E3A5F"/>
      </patternFill>
    </fill>
    <fill>
      <patternFill patternType="solid">
        <fgColor rgb="00FEF3C7"/>
      </patternFill>
    </fill>
    <fill>
      <patternFill patternType="solid">
        <fgColor rgb="00B45309"/>
      </patternFill>
    </fill>
    <fill>
      <patternFill patternType="solid">
        <fgColor rgb="00DCFCE7"/>
      </patternFill>
    </fill>
    <fill>
      <patternFill patternType="solid">
        <fgColor rgb="00E2E8F0"/>
      </patternFill>
    </fill>
    <fill>
      <patternFill patternType="solid">
        <fgColor rgb="000D9488"/>
      </patternFill>
    </fill>
    <fill>
      <patternFill patternType="solid">
        <fgColor rgb="00CCFBF1"/>
      </patternFill>
    </fill>
    <fill>
      <patternFill patternType="solid">
        <fgColor rgb="00B91C1C"/>
      </patternFill>
    </fill>
    <fill>
      <patternFill patternType="solid">
        <fgColor rgb="00FEE2E2"/>
      </patternFill>
    </fill>
    <fill>
      <patternFill patternType="solid">
        <fgColor rgb="00450A0A"/>
      </patternFill>
    </fill>
    <fill>
      <patternFill patternType="solid">
        <fgColor rgb="00C2410C"/>
      </patternFill>
    </fill>
    <fill>
      <patternFill patternType="solid">
        <fgColor rgb="00FFEDD5"/>
      </patternFill>
    </fill>
    <fill>
      <patternFill patternType="solid">
        <fgColor rgb="007C3AED"/>
      </patternFill>
    </fill>
    <fill>
      <patternFill patternType="solid">
        <fgColor rgb="00EDE9F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0"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7" fillId="0" borderId="0" applyAlignment="1" pivotButton="0" quotePrefix="0" xfId="0">
      <alignment horizontal="left" vertical="center" wrapText="1"/>
    </xf>
    <xf numFmtId="0" fontId="8" fillId="2" borderId="0" applyAlignment="1" pivotButton="0" quotePrefix="0" xfId="0">
      <alignment horizontal="center" vertical="center" wrapText="1"/>
    </xf>
    <xf numFmtId="0" fontId="4" fillId="8"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9" fillId="9" borderId="0" applyAlignment="1" pivotButton="0" quotePrefix="0" xfId="0">
      <alignment horizontal="left" vertical="center" wrapText="1"/>
    </xf>
    <xf numFmtId="0" fontId="10" fillId="3" borderId="1" applyAlignment="1" pivotButton="0" quotePrefix="0" xfId="0">
      <alignment horizontal="left" vertical="center" wrapText="1"/>
    </xf>
    <xf numFmtId="0" fontId="3" fillId="8" borderId="0" applyAlignment="1" pivotButton="0" quotePrefix="0" xfId="0">
      <alignment horizontal="center" vertical="center" wrapText="1"/>
    </xf>
    <xf numFmtId="0" fontId="3" fillId="10" borderId="0" applyAlignment="1" pivotButton="0" quotePrefix="0" xfId="0">
      <alignment horizontal="center" vertical="center" wrapText="1"/>
    </xf>
    <xf numFmtId="0" fontId="4" fillId="10" borderId="1" applyAlignment="1" pivotButton="0" quotePrefix="0" xfId="0">
      <alignment horizontal="center" vertical="center" wrapText="1"/>
    </xf>
    <xf numFmtId="0" fontId="6"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11"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12" fillId="11" borderId="1"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1" applyAlignment="1" pivotButton="0" quotePrefix="0" xfId="0">
      <alignment horizontal="center" vertical="center" wrapText="1"/>
    </xf>
    <xf numFmtId="0" fontId="13" fillId="12" borderId="0" applyAlignment="1" pivotButton="0" quotePrefix="0" xfId="0">
      <alignment horizontal="center" vertical="center" wrapText="1"/>
    </xf>
    <xf numFmtId="0" fontId="4"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3" fillId="13" borderId="0" applyAlignment="1" pivotButton="0" quotePrefix="0" xfId="0">
      <alignment horizontal="center" vertical="center" wrapText="1"/>
    </xf>
    <xf numFmtId="0" fontId="5" fillId="14" borderId="1" applyAlignment="1" pivotButton="0" quotePrefix="0" xfId="0">
      <alignment horizontal="left" vertical="center" wrapText="1"/>
    </xf>
    <xf numFmtId="0" fontId="10" fillId="11" borderId="1" applyAlignment="1" pivotButton="0" quotePrefix="0" xfId="0">
      <alignment horizontal="center" vertical="center" wrapText="1"/>
    </xf>
    <xf numFmtId="0" fontId="10" fillId="7" borderId="1" applyAlignment="1" pivotButton="0" quotePrefix="0" xfId="0">
      <alignment horizontal="center" vertical="center" wrapText="1"/>
    </xf>
    <xf numFmtId="0" fontId="5" fillId="3" borderId="1" applyAlignment="1" pivotButton="0" quotePrefix="0" xfId="0">
      <alignment horizontal="left" vertical="center" wrapText="1"/>
    </xf>
    <xf numFmtId="0" fontId="14" fillId="3" borderId="1" applyAlignment="1" pivotButton="0" quotePrefix="0" xfId="0">
      <alignment horizontal="left" vertical="center" wrapText="1"/>
    </xf>
    <xf numFmtId="0" fontId="7" fillId="7" borderId="1" applyAlignment="1" pivotButton="0" quotePrefix="0" xfId="0">
      <alignment horizontal="left" vertical="center" wrapText="1"/>
    </xf>
    <xf numFmtId="0" fontId="15" fillId="9" borderId="1" applyAlignment="1" pivotButton="0" quotePrefix="0" xfId="0">
      <alignment horizontal="left" vertical="center" wrapText="1"/>
    </xf>
    <xf numFmtId="0" fontId="16" fillId="14" borderId="1" applyAlignment="1" pivotButton="0" quotePrefix="0" xfId="0">
      <alignment horizontal="left" vertical="center" wrapText="1"/>
    </xf>
    <xf numFmtId="0" fontId="3" fillId="15" borderId="0" applyAlignment="1" pivotButton="0" quotePrefix="0" xfId="0">
      <alignment horizontal="center" vertical="center" wrapText="1"/>
    </xf>
    <xf numFmtId="0" fontId="17" fillId="16" borderId="1" applyAlignment="1" pivotButton="0" quotePrefix="0" xfId="0">
      <alignment horizontal="left" vertical="center" wrapText="1"/>
    </xf>
    <xf numFmtId="0" fontId="10" fillId="3"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18" fillId="16" borderId="0" applyAlignment="1" pivotButton="0" quotePrefix="0" xfId="0">
      <alignment horizontal="left" vertical="center" wrapText="1"/>
    </xf>
    <xf numFmtId="0" fontId="19" fillId="16" borderId="0" applyAlignment="1" pivotButton="0" quotePrefix="0" xfId="0">
      <alignment horizontal="left" vertical="center" wrapText="1"/>
    </xf>
    <xf numFmtId="0" fontId="20" fillId="9" borderId="1" applyAlignment="1" pivotButton="0" quotePrefix="0" xfId="0">
      <alignment horizontal="center" vertical="center" wrapText="1"/>
    </xf>
    <xf numFmtId="0" fontId="20" fillId="7" borderId="1" applyAlignment="1" pivotButton="0" quotePrefix="0" xfId="0">
      <alignment horizontal="center" vertical="center" wrapText="1"/>
    </xf>
    <xf numFmtId="0" fontId="8" fillId="17" borderId="0" applyAlignment="1" pivotButton="0" quotePrefix="0" xfId="0">
      <alignment horizontal="center" vertical="center" wrapText="1"/>
    </xf>
    <xf numFmtId="0" fontId="19" fillId="16" borderId="0" applyAlignment="1" pivotButton="0" quotePrefix="0" xfId="0">
      <alignment horizontal="center" vertical="center" wrapText="1"/>
    </xf>
    <xf numFmtId="0" fontId="4" fillId="15" borderId="1" applyAlignment="1" pivotButton="0" quotePrefix="0" xfId="0">
      <alignment horizontal="center" vertical="center" wrapText="1"/>
    </xf>
    <xf numFmtId="0" fontId="21" fillId="16" borderId="1" applyAlignment="1" pivotButton="0" quotePrefix="0" xfId="0">
      <alignment horizontal="center" vertical="center" wrapText="1"/>
    </xf>
    <xf numFmtId="0" fontId="13" fillId="16" borderId="1" applyAlignment="1" pivotButton="0" quotePrefix="0" xfId="0">
      <alignment horizontal="left" vertical="center" wrapText="1"/>
    </xf>
    <xf numFmtId="0" fontId="13" fillId="16" borderId="1" applyAlignment="1" pivotButton="0" quotePrefix="0" xfId="0">
      <alignment horizontal="center" vertical="center" wrapText="1"/>
    </xf>
    <xf numFmtId="0" fontId="21" fillId="7" borderId="1" applyAlignment="1" pivotButton="0" quotePrefix="0" xfId="0">
      <alignment horizontal="center" vertical="center" wrapText="1"/>
    </xf>
    <xf numFmtId="0" fontId="13" fillId="7" borderId="1" applyAlignment="1" pivotButton="0" quotePrefix="0" xfId="0">
      <alignment horizontal="left" vertical="center" wrapText="1"/>
    </xf>
    <xf numFmtId="0" fontId="13" fillId="7" borderId="1" applyAlignment="1" pivotButton="0" quotePrefix="0" xfId="0">
      <alignment horizontal="center" vertical="center" wrapText="1"/>
    </xf>
    <xf numFmtId="0" fontId="3" fillId="18" borderId="0" applyAlignment="1" pivotButton="0" quotePrefix="0" xfId="0">
      <alignment horizontal="center" vertical="center" wrapText="1"/>
    </xf>
    <xf numFmtId="0" fontId="21" fillId="19" borderId="1" applyAlignment="1" pivotButton="0" quotePrefix="0" xfId="0">
      <alignment horizontal="center" vertical="center" wrapText="1"/>
    </xf>
    <xf numFmtId="0" fontId="13" fillId="19" borderId="1" applyAlignment="1" pivotButton="0" quotePrefix="0" xfId="0">
      <alignment horizontal="left" vertical="center" wrapText="1"/>
    </xf>
    <xf numFmtId="0" fontId="13" fillId="19" borderId="1" applyAlignment="1" pivotButton="0" quotePrefix="0" xfId="0">
      <alignment horizontal="center" vertical="center" wrapText="1"/>
    </xf>
    <xf numFmtId="0" fontId="21" fillId="3" borderId="1" applyAlignment="1" pivotButton="0" quotePrefix="0" xfId="0">
      <alignment horizontal="center" vertical="center" wrapText="1"/>
    </xf>
    <xf numFmtId="0" fontId="13" fillId="3" borderId="1" applyAlignment="1" pivotButton="0" quotePrefix="0" xfId="0">
      <alignment horizontal="left" vertical="center" wrapText="1"/>
    </xf>
    <xf numFmtId="0" fontId="13" fillId="3" borderId="1" applyAlignment="1" pivotButton="0" quotePrefix="0" xfId="0">
      <alignment horizontal="center" vertical="center" wrapText="1"/>
    </xf>
    <xf numFmtId="0" fontId="21" fillId="14" borderId="1" applyAlignment="1" pivotButton="0" quotePrefix="0" xfId="0">
      <alignment horizontal="center" vertical="center" wrapText="1"/>
    </xf>
    <xf numFmtId="0" fontId="13" fillId="14" borderId="1" applyAlignment="1" pivotButton="0" quotePrefix="0" xfId="0">
      <alignment horizontal="left" vertical="center" wrapText="1"/>
    </xf>
    <xf numFmtId="0" fontId="13" fillId="14" borderId="1" applyAlignment="1" pivotButton="0" quotePrefix="0" xfId="0">
      <alignment horizontal="center" vertical="center" wrapText="1"/>
    </xf>
    <xf numFmtId="0" fontId="21" fillId="12" borderId="1" applyAlignment="1" pivotButton="0" quotePrefix="0" xfId="0">
      <alignment horizontal="center" vertical="center" wrapText="1"/>
    </xf>
    <xf numFmtId="0" fontId="13" fillId="12" borderId="1" applyAlignment="1" pivotButton="0" quotePrefix="0" xfId="0">
      <alignment horizontal="left" vertical="center" wrapText="1"/>
    </xf>
    <xf numFmtId="0" fontId="13" fillId="12" borderId="1" applyAlignment="1" pivotButton="0" quotePrefix="0" xfId="0">
      <alignment horizontal="center" vertical="center" wrapText="1"/>
    </xf>
    <xf numFmtId="0" fontId="4" fillId="8" borderId="1" applyAlignment="1" pivotButton="0" quotePrefix="0" xfId="0">
      <alignment horizontal="left" vertical="center" wrapText="1"/>
    </xf>
    <xf numFmtId="0" fontId="0" fillId="9" borderId="1" pivotButton="0" quotePrefix="0" xfId="0"/>
    <xf numFmtId="0" fontId="22" fillId="9" borderId="1" applyAlignment="1" pivotButton="0" quotePrefix="0" xfId="0">
      <alignment horizontal="center" vertical="center" wrapText="1"/>
    </xf>
    <xf numFmtId="0" fontId="5" fillId="16"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6" borderId="1" applyAlignment="1" pivotButton="0" quotePrefix="0" xfId="0">
      <alignment horizontal="left" vertical="center" wrapText="1"/>
    </xf>
    <xf numFmtId="0" fontId="5" fillId="16" borderId="1" applyAlignment="1" pivotButton="0" quotePrefix="0" xfId="0">
      <alignment horizontal="left" vertical="center" wrapText="1"/>
    </xf>
    <xf numFmtId="0" fontId="3" fillId="20" borderId="0" applyAlignment="1" pivotButton="0" quotePrefix="0" xfId="0">
      <alignment horizontal="center" vertical="center" wrapText="1"/>
    </xf>
    <xf numFmtId="0" fontId="4" fillId="20" borderId="1" applyAlignment="1" pivotButton="0" quotePrefix="0" xfId="0">
      <alignment horizontal="center" vertical="center" wrapText="1"/>
    </xf>
    <xf numFmtId="0" fontId="5" fillId="21" borderId="1" applyAlignment="1" pivotButton="0" quotePrefix="0" xfId="0">
      <alignment horizontal="center" vertical="center" wrapText="1"/>
    </xf>
    <xf numFmtId="0" fontId="6" fillId="21" borderId="1" applyAlignment="1" pivotButton="0" quotePrefix="0" xfId="0">
      <alignment horizontal="left" vertical="center" wrapText="1"/>
    </xf>
    <xf numFmtId="0" fontId="6" fillId="2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57"/>
  <sheetViews>
    <sheetView showGridLines="0" workbookViewId="0">
      <selection activeCell="A1" sqref="A1"/>
    </sheetView>
  </sheetViews>
  <sheetFormatPr baseColWidth="8" defaultRowHeight="15"/>
  <cols>
    <col width="3" customWidth="1" min="1" max="1"/>
    <col width="12" customWidth="1" min="2" max="2"/>
    <col width="46" customWidth="1" min="3" max="3"/>
    <col width="28" customWidth="1" min="4" max="4"/>
    <col width="18" customWidth="1" min="5" max="5"/>
    <col width="3" customWidth="1" min="6" max="6"/>
  </cols>
  <sheetData>
    <row r="1" ht="10" customHeight="1"/>
    <row r="2" ht="75" customHeight="1">
      <c r="B2" s="1" t="inlineStr">
        <is>
          <t>CONSTRUCTION COMMITTEE (CC)
Data Collection Formats — Master Workbook</t>
        </is>
      </c>
    </row>
    <row r="3" ht="28" customHeight="1">
      <c r="B3" s="2" t="inlineStr">
        <is>
          <t>Institution: _________________________  CC Coordinator: _____________  A.Y.: _______  Version: _____</t>
        </is>
      </c>
    </row>
    <row r="4" ht="22" customHeight="1">
      <c r="B4" s="3" t="inlineStr">
        <is>
          <t>Form No.</t>
        </is>
      </c>
      <c r="C4" s="3" t="inlineStr">
        <is>
          <t>Format / Form Title</t>
        </is>
      </c>
      <c r="D4" s="3" t="inlineStr">
        <is>
          <t>Purpose / Usage</t>
        </is>
      </c>
      <c r="E4" s="3" t="inlineStr">
        <is>
          <t>Frequency</t>
        </is>
      </c>
    </row>
    <row r="5" ht="20" customHeight="1">
      <c r="B5" s="4" t="inlineStr">
        <is>
          <t>── GOVERNANCE &amp; ADMINISTRATION ──</t>
        </is>
      </c>
    </row>
    <row r="6" ht="20" customHeight="1">
      <c r="B6" s="5" t="inlineStr">
        <is>
          <t>CC-00</t>
        </is>
      </c>
      <c r="C6" s="6" t="inlineStr">
        <is>
          <t>Committee Composition &amp; Members Register</t>
        </is>
      </c>
      <c r="D6" s="6" t="inlineStr">
        <is>
          <t>Record CC members, engineers, architects &amp; advisors</t>
        </is>
      </c>
      <c r="E6" s="7" t="inlineStr">
        <is>
          <t>Annual</t>
        </is>
      </c>
    </row>
    <row r="7" ht="20" customHeight="1">
      <c r="B7" s="8" t="inlineStr">
        <is>
          <t>CC-NA</t>
        </is>
      </c>
      <c r="C7" s="9" t="inlineStr">
        <is>
          <t>Meeting Notice, Agenda &amp; Dispatch Record</t>
        </is>
      </c>
      <c r="D7" s="9" t="inlineStr">
        <is>
          <t>Formal notice and agenda for CC meetings</t>
        </is>
      </c>
      <c r="E7" s="10" t="inlineStr">
        <is>
          <t>Each Meeting</t>
        </is>
      </c>
    </row>
    <row r="8" ht="20" customHeight="1">
      <c r="B8" s="5" t="inlineStr">
        <is>
          <t>CC-AT</t>
        </is>
      </c>
      <c r="C8" s="6" t="inlineStr">
        <is>
          <t>Attendance &amp; Quorum Register</t>
        </is>
      </c>
      <c r="D8" s="6" t="inlineStr">
        <is>
          <t>Confirm attendance and quorum</t>
        </is>
      </c>
      <c r="E8" s="7" t="inlineStr">
        <is>
          <t>Each Meeting</t>
        </is>
      </c>
    </row>
    <row r="9" ht="20" customHeight="1">
      <c r="B9" s="8" t="inlineStr">
        <is>
          <t>CC-MM</t>
        </is>
      </c>
      <c r="C9" s="9" t="inlineStr">
        <is>
          <t>Meeting Minutes &amp; Resolutions</t>
        </is>
      </c>
      <c r="D9" s="9" t="inlineStr">
        <is>
          <t>Record decisions, resolutions &amp; directives</t>
        </is>
      </c>
      <c r="E9" s="10" t="inlineStr">
        <is>
          <t>Each Meeting</t>
        </is>
      </c>
    </row>
    <row r="10" ht="20" customHeight="1">
      <c r="B10" s="5" t="inlineStr">
        <is>
          <t>CC-ATR</t>
        </is>
      </c>
      <c r="C10" s="6" t="inlineStr">
        <is>
          <t>Action Taken Report</t>
        </is>
      </c>
      <c r="D10" s="6" t="inlineStr">
        <is>
          <t>Track implementation of CC resolutions</t>
        </is>
      </c>
      <c r="E10" s="7" t="inlineStr">
        <is>
          <t>Each Meeting</t>
        </is>
      </c>
    </row>
    <row r="11" ht="20" customHeight="1">
      <c r="B11" s="4" t="inlineStr">
        <is>
          <t>── POLICY &amp; PLANNING ──</t>
        </is>
      </c>
    </row>
    <row r="12" ht="20" customHeight="1">
      <c r="B12" s="5" t="inlineStr">
        <is>
          <t>CC-01</t>
        </is>
      </c>
      <c r="C12" s="6" t="inlineStr">
        <is>
          <t>Construction Policy &amp; Governance Framework</t>
        </is>
      </c>
      <c r="D12" s="6" t="inlineStr">
        <is>
          <t>Document construction norms, approval authority &amp; rules</t>
        </is>
      </c>
      <c r="E12" s="7" t="inlineStr">
        <is>
          <t>Annual</t>
        </is>
      </c>
    </row>
    <row r="13" ht="20" customHeight="1">
      <c r="B13" s="8" t="inlineStr">
        <is>
          <t>CC-02</t>
        </is>
      </c>
      <c r="C13" s="9" t="inlineStr">
        <is>
          <t>Campus Master Plan &amp; Development Register</t>
        </is>
      </c>
      <c r="D13" s="9" t="inlineStr">
        <is>
          <t>Record campus master plan, zoning &amp; future expansion</t>
        </is>
      </c>
      <c r="E13" s="10" t="inlineStr">
        <is>
          <t>Annual / Per Review</t>
        </is>
      </c>
    </row>
    <row r="14" ht="20" customHeight="1">
      <c r="B14" s="5" t="inlineStr">
        <is>
          <t>CC-03</t>
        </is>
      </c>
      <c r="C14" s="6" t="inlineStr">
        <is>
          <t>Multi-Year Capital Works Plan</t>
        </is>
      </c>
      <c r="D14" s="6" t="inlineStr">
        <is>
          <t>Plan all construction projects over 3–5 year horizon</t>
        </is>
      </c>
      <c r="E14" s="7" t="inlineStr">
        <is>
          <t>Annual</t>
        </is>
      </c>
    </row>
    <row r="15" ht="20" customHeight="1">
      <c r="B15" s="8" t="inlineStr">
        <is>
          <t>CC-04</t>
        </is>
      </c>
      <c r="C15" s="9" t="inlineStr">
        <is>
          <t>Annual Construction Budget</t>
        </is>
      </c>
      <c r="D15" s="9" t="inlineStr">
        <is>
          <t>Plan annual capital expenditure for construction</t>
        </is>
      </c>
      <c r="E15" s="10" t="inlineStr">
        <is>
          <t>Annual</t>
        </is>
      </c>
    </row>
    <row r="16" ht="20" customHeight="1">
      <c r="B16" s="4" t="inlineStr">
        <is>
          <t>── PROJECT INITIATION ──</t>
        </is>
      </c>
    </row>
    <row r="17" ht="20" customHeight="1">
      <c r="B17" s="8" t="inlineStr">
        <is>
          <t>CC-05</t>
        </is>
      </c>
      <c r="C17" s="9" t="inlineStr">
        <is>
          <t>Construction Project Proposal Form</t>
        </is>
      </c>
      <c r="D17" s="9" t="inlineStr">
        <is>
          <t>Submit project proposal for CC approval</t>
        </is>
      </c>
      <c r="E17" s="10" t="inlineStr">
        <is>
          <t>Per Project</t>
        </is>
      </c>
    </row>
    <row r="18" ht="20" customHeight="1">
      <c r="B18" s="5" t="inlineStr">
        <is>
          <t>CC-06</t>
        </is>
      </c>
      <c r="C18" s="6" t="inlineStr">
        <is>
          <t>Project Register — All Active Projects</t>
        </is>
      </c>
      <c r="D18" s="6" t="inlineStr">
        <is>
          <t>Consolidated register of all construction projects</t>
        </is>
      </c>
      <c r="E18" s="7" t="inlineStr">
        <is>
          <t>Continuous</t>
        </is>
      </c>
    </row>
    <row r="19" ht="20" customHeight="1">
      <c r="B19" s="8" t="inlineStr">
        <is>
          <t>CC-07</t>
        </is>
      </c>
      <c r="C19" s="9" t="inlineStr">
        <is>
          <t>Feasibility &amp; Site Assessment Report</t>
        </is>
      </c>
      <c r="D19" s="9" t="inlineStr">
        <is>
          <t>Document feasibility study and site suitability</t>
        </is>
      </c>
      <c r="E19" s="10" t="inlineStr">
        <is>
          <t>Per Project</t>
        </is>
      </c>
    </row>
    <row r="20" ht="20" customHeight="1">
      <c r="B20" s="5" t="inlineStr">
        <is>
          <t>CC-08</t>
        </is>
      </c>
      <c r="C20" s="6" t="inlineStr">
        <is>
          <t>Regulatory Approval Register</t>
        </is>
      </c>
      <c r="D20" s="6" t="inlineStr">
        <is>
          <t>Track building permits, RERA, municipal approvals</t>
        </is>
      </c>
      <c r="E20" s="7" t="inlineStr">
        <is>
          <t>Per Project</t>
        </is>
      </c>
    </row>
    <row r="21" ht="20" customHeight="1">
      <c r="B21" s="8" t="inlineStr">
        <is>
          <t>CC-09</t>
        </is>
      </c>
      <c r="C21" s="9" t="inlineStr">
        <is>
          <t>Design &amp; Drawing Approval Register</t>
        </is>
      </c>
      <c r="D21" s="9" t="inlineStr">
        <is>
          <t>Track architectural and structural drawing approvals</t>
        </is>
      </c>
      <c r="E21" s="10" t="inlineStr">
        <is>
          <t>Per Design</t>
        </is>
      </c>
    </row>
    <row r="22" ht="20" customHeight="1">
      <c r="B22" s="5" t="inlineStr">
        <is>
          <t>CC-10</t>
        </is>
      </c>
      <c r="C22" s="6" t="inlineStr">
        <is>
          <t>Environmental Clearance Register</t>
        </is>
      </c>
      <c r="D22" s="6" t="inlineStr">
        <is>
          <t>Track environmental impact assessment and clearance</t>
        </is>
      </c>
      <c r="E22" s="7" t="inlineStr">
        <is>
          <t>Per Project</t>
        </is>
      </c>
    </row>
    <row r="23" ht="20" customHeight="1">
      <c r="B23" s="4" t="inlineStr">
        <is>
          <t>── TENDER &amp; PROCUREMENT ──</t>
        </is>
      </c>
    </row>
    <row r="24" ht="20" customHeight="1">
      <c r="B24" s="5" t="inlineStr">
        <is>
          <t>CC-11</t>
        </is>
      </c>
      <c r="C24" s="6" t="inlineStr">
        <is>
          <t>Tender Notice &amp; Publication Register</t>
        </is>
      </c>
      <c r="D24" s="6" t="inlineStr">
        <is>
          <t>Publish and track tender notices for construction works</t>
        </is>
      </c>
      <c r="E24" s="7" t="inlineStr">
        <is>
          <t>Per Tender</t>
        </is>
      </c>
    </row>
    <row r="25" ht="20" customHeight="1">
      <c r="B25" s="8" t="inlineStr">
        <is>
          <t>CC-12</t>
        </is>
      </c>
      <c r="C25" s="9" t="inlineStr">
        <is>
          <t>Tender Document Issue Register</t>
        </is>
      </c>
      <c r="D25" s="9" t="inlineStr">
        <is>
          <t>Track tender documents issued to bidders</t>
        </is>
      </c>
      <c r="E25" s="10" t="inlineStr">
        <is>
          <t>Per Tender</t>
        </is>
      </c>
    </row>
    <row r="26" ht="20" customHeight="1">
      <c r="B26" s="5" t="inlineStr">
        <is>
          <t>CC-13</t>
        </is>
      </c>
      <c r="C26" s="6" t="inlineStr">
        <is>
          <t>Bid Receipt &amp; Opening Register</t>
        </is>
      </c>
      <c r="D26" s="6" t="inlineStr">
        <is>
          <t>Record bids received and opening proceedings</t>
        </is>
      </c>
      <c r="E26" s="7" t="inlineStr">
        <is>
          <t>Per Tender</t>
        </is>
      </c>
    </row>
    <row r="27" ht="20" customHeight="1">
      <c r="B27" s="8" t="inlineStr">
        <is>
          <t>CC-14</t>
        </is>
      </c>
      <c r="C27" s="9" t="inlineStr">
        <is>
          <t>Bid Evaluation &amp; Comparative Register</t>
        </is>
      </c>
      <c r="D27" s="9" t="inlineStr">
        <is>
          <t>Evaluate and compare bids — technical and financial</t>
        </is>
      </c>
      <c r="E27" s="10" t="inlineStr">
        <is>
          <t>Per Tender</t>
        </is>
      </c>
    </row>
    <row r="28" ht="20" customHeight="1">
      <c r="B28" s="5" t="inlineStr">
        <is>
          <t>CC-15</t>
        </is>
      </c>
      <c r="C28" s="6" t="inlineStr">
        <is>
          <t>Tender Award &amp; Work Order Register</t>
        </is>
      </c>
      <c r="D28" s="6" t="inlineStr">
        <is>
          <t>Record tender award decisions and work order issue</t>
        </is>
      </c>
      <c r="E28" s="7" t="inlineStr">
        <is>
          <t>Per Tender</t>
        </is>
      </c>
    </row>
    <row r="29" ht="20" customHeight="1">
      <c r="B29" s="8" t="inlineStr">
        <is>
          <t>CC-16</t>
        </is>
      </c>
      <c r="C29" s="9" t="inlineStr">
        <is>
          <t>Rate Contract Register</t>
        </is>
      </c>
      <c r="D29" s="9" t="inlineStr">
        <is>
          <t>Manage rate contracts for standard construction items</t>
        </is>
      </c>
      <c r="E29" s="10" t="inlineStr">
        <is>
          <t>Annual</t>
        </is>
      </c>
    </row>
    <row r="30" ht="20" customHeight="1">
      <c r="B30" s="5" t="inlineStr">
        <is>
          <t>CC-17</t>
        </is>
      </c>
      <c r="C30" s="6" t="inlineStr">
        <is>
          <t>Contractor Empanelment Register</t>
        </is>
      </c>
      <c r="D30" s="6" t="inlineStr">
        <is>
          <t>Register pre-qualified / empanelled contractors</t>
        </is>
      </c>
      <c r="E30" s="7" t="inlineStr">
        <is>
          <t>Annual</t>
        </is>
      </c>
    </row>
    <row r="31" ht="20" customHeight="1">
      <c r="B31" s="4" t="inlineStr">
        <is>
          <t>── CONTRACT MANAGEMENT ──</t>
        </is>
      </c>
    </row>
    <row r="32" ht="20" customHeight="1">
      <c r="B32" s="5" t="inlineStr">
        <is>
          <t>CC-18</t>
        </is>
      </c>
      <c r="C32" s="6" t="inlineStr">
        <is>
          <t>Construction Agreement Register</t>
        </is>
      </c>
      <c r="D32" s="6" t="inlineStr">
        <is>
          <t>Register all signed construction contracts</t>
        </is>
      </c>
      <c r="E32" s="7" t="inlineStr">
        <is>
          <t>Per Contract</t>
        </is>
      </c>
    </row>
    <row r="33" ht="20" customHeight="1">
      <c r="B33" s="8" t="inlineStr">
        <is>
          <t>CC-19</t>
        </is>
      </c>
      <c r="C33" s="9" t="inlineStr">
        <is>
          <t>Performance Bank Guarantee Register</t>
        </is>
      </c>
      <c r="D33" s="9" t="inlineStr">
        <is>
          <t>Track PBG submitted by contractors</t>
        </is>
      </c>
      <c r="E33" s="10" t="inlineStr">
        <is>
          <t>Per Contract</t>
        </is>
      </c>
    </row>
    <row r="34" ht="20" customHeight="1">
      <c r="B34" s="5" t="inlineStr">
        <is>
          <t>CC-20</t>
        </is>
      </c>
      <c r="C34" s="6" t="inlineStr">
        <is>
          <t>Retention Money Register</t>
        </is>
      </c>
      <c r="D34" s="6" t="inlineStr">
        <is>
          <t>Track retention money deducted and released</t>
        </is>
      </c>
      <c r="E34" s="7" t="inlineStr">
        <is>
          <t>Per Contract</t>
        </is>
      </c>
    </row>
    <row r="35" ht="20" customHeight="1">
      <c r="B35" s="8" t="inlineStr">
        <is>
          <t>CC-21</t>
        </is>
      </c>
      <c r="C35" s="9" t="inlineStr">
        <is>
          <t>Contract Amendment / Variation Register</t>
        </is>
      </c>
      <c r="D35" s="9" t="inlineStr">
        <is>
          <t>Track scope changes, variations and amendments</t>
        </is>
      </c>
      <c r="E35" s="10" t="inlineStr">
        <is>
          <t>Per Change</t>
        </is>
      </c>
    </row>
    <row r="36" ht="20" customHeight="1">
      <c r="B36" s="5" t="inlineStr">
        <is>
          <t>CC-22</t>
        </is>
      </c>
      <c r="C36" s="6" t="inlineStr">
        <is>
          <t>Subcontractor Register</t>
        </is>
      </c>
      <c r="D36" s="6" t="inlineStr">
        <is>
          <t>Register approved subcontractors for each project</t>
        </is>
      </c>
      <c r="E36" s="7" t="inlineStr">
        <is>
          <t>Per Project</t>
        </is>
      </c>
    </row>
    <row r="37" ht="20" customHeight="1">
      <c r="B37" s="4" t="inlineStr">
        <is>
          <t>── SITE MANAGEMENT ──</t>
        </is>
      </c>
    </row>
    <row r="38" ht="20" customHeight="1">
      <c r="B38" s="5" t="inlineStr">
        <is>
          <t>CC-23</t>
        </is>
      </c>
      <c r="C38" s="6" t="inlineStr">
        <is>
          <t>Site Establishment Register</t>
        </is>
      </c>
      <c r="D38" s="6" t="inlineStr">
        <is>
          <t>Document site setup — office, store, utilities, hoarding</t>
        </is>
      </c>
      <c r="E38" s="7" t="inlineStr">
        <is>
          <t>Per Project</t>
        </is>
      </c>
    </row>
    <row r="39" ht="20" customHeight="1">
      <c r="B39" s="8" t="inlineStr">
        <is>
          <t>CC-24</t>
        </is>
      </c>
      <c r="C39" s="9" t="inlineStr">
        <is>
          <t>Site Labour Register</t>
        </is>
      </c>
      <c r="D39" s="9" t="inlineStr">
        <is>
          <t>Register all labourers — skilled, semi-skilled, unskilled</t>
        </is>
      </c>
      <c r="E39" s="10" t="inlineStr">
        <is>
          <t>Daily</t>
        </is>
      </c>
    </row>
    <row r="40" ht="20" customHeight="1">
      <c r="B40" s="5" t="inlineStr">
        <is>
          <t>CC-25</t>
        </is>
      </c>
      <c r="C40" s="6" t="inlineStr">
        <is>
          <t>Machinery &amp; Equipment on Site Register</t>
        </is>
      </c>
      <c r="D40" s="6" t="inlineStr">
        <is>
          <t>Register all plant, machinery and equipment on site</t>
        </is>
      </c>
      <c r="E40" s="7" t="inlineStr">
        <is>
          <t>Per Project</t>
        </is>
      </c>
    </row>
    <row r="41" ht="20" customHeight="1">
      <c r="B41" s="8" t="inlineStr">
        <is>
          <t>CC-26</t>
        </is>
      </c>
      <c r="C41" s="9" t="inlineStr">
        <is>
          <t>Material Inspection &amp; Testing Register</t>
        </is>
      </c>
      <c r="D41" s="9" t="inlineStr">
        <is>
          <t>Inspect and test materials before use — concrete, steel</t>
        </is>
      </c>
      <c r="E41" s="10" t="inlineStr">
        <is>
          <t>Per Delivery/Test</t>
        </is>
      </c>
    </row>
    <row r="42" ht="20" customHeight="1">
      <c r="B42" s="5" t="inlineStr">
        <is>
          <t>CC-27</t>
        </is>
      </c>
      <c r="C42" s="6" t="inlineStr">
        <is>
          <t>Daily Progress Report</t>
        </is>
      </c>
      <c r="D42" s="6" t="inlineStr">
        <is>
          <t>Record daily construction progress and status</t>
        </is>
      </c>
      <c r="E42" s="7" t="inlineStr">
        <is>
          <t>Daily</t>
        </is>
      </c>
    </row>
    <row r="43" ht="20" customHeight="1">
      <c r="B43" s="8" t="inlineStr">
        <is>
          <t>CC-28</t>
        </is>
      </c>
      <c r="C43" s="9" t="inlineStr">
        <is>
          <t>Weekly Progress Report</t>
        </is>
      </c>
      <c r="D43" s="9" t="inlineStr">
        <is>
          <t>Summarise weekly progress against schedule</t>
        </is>
      </c>
      <c r="E43" s="10" t="inlineStr">
        <is>
          <t>Weekly</t>
        </is>
      </c>
    </row>
    <row r="44" ht="20" customHeight="1">
      <c r="B44" s="5" t="inlineStr">
        <is>
          <t>CC-29</t>
        </is>
      </c>
      <c r="C44" s="6" t="inlineStr">
        <is>
          <t>Site Instruction Register</t>
        </is>
      </c>
      <c r="D44" s="6" t="inlineStr">
        <is>
          <t>Record site instructions issued by engineer-in-charge</t>
        </is>
      </c>
      <c r="E44" s="7" t="inlineStr">
        <is>
          <t>Per Instruction</t>
        </is>
      </c>
    </row>
    <row r="45" ht="20" customHeight="1">
      <c r="B45" s="8" t="inlineStr">
        <is>
          <t>CC-30</t>
        </is>
      </c>
      <c r="C45" s="9" t="inlineStr">
        <is>
          <t>Non-Conformance Report (NCR) Register</t>
        </is>
      </c>
      <c r="D45" s="9" t="inlineStr">
        <is>
          <t>Log quality non-conformances and corrective actions</t>
        </is>
      </c>
      <c r="E45" s="10" t="inlineStr">
        <is>
          <t>Per NCR</t>
        </is>
      </c>
    </row>
    <row r="46" ht="20" customHeight="1">
      <c r="B46" s="4" t="inlineStr">
        <is>
          <t>── MEASUREMENT &amp; PAYMENT ──</t>
        </is>
      </c>
    </row>
    <row r="47" ht="20" customHeight="1">
      <c r="B47" s="8" t="inlineStr">
        <is>
          <t>CC-31</t>
        </is>
      </c>
      <c r="C47" s="9" t="inlineStr">
        <is>
          <t>Measurement Book (MB) Register</t>
        </is>
      </c>
      <c r="D47" s="9" t="inlineStr">
        <is>
          <t>Record detailed measurements of work done for billing</t>
        </is>
      </c>
      <c r="E47" s="10" t="inlineStr">
        <is>
          <t>Per Billing Cycle</t>
        </is>
      </c>
    </row>
    <row r="48" ht="20" customHeight="1">
      <c r="B48" s="5" t="inlineStr">
        <is>
          <t>CC-32</t>
        </is>
      </c>
      <c r="C48" s="6" t="inlineStr">
        <is>
          <t>Running Account (RA) Bill Register</t>
        </is>
      </c>
      <c r="D48" s="6" t="inlineStr">
        <is>
          <t>Process and track Running Account bills from contractors</t>
        </is>
      </c>
      <c r="E48" s="7" t="inlineStr">
        <is>
          <t>Per Bill</t>
        </is>
      </c>
    </row>
    <row r="49" ht="20" customHeight="1">
      <c r="B49" s="8" t="inlineStr">
        <is>
          <t>CC-33</t>
        </is>
      </c>
      <c r="C49" s="9" t="inlineStr">
        <is>
          <t>Final Bill Register</t>
        </is>
      </c>
      <c r="D49" s="9" t="inlineStr">
        <is>
          <t>Process and settle final bill on project completion</t>
        </is>
      </c>
      <c r="E49" s="10" t="inlineStr">
        <is>
          <t>Per Project</t>
        </is>
      </c>
    </row>
    <row r="50" ht="20" customHeight="1">
      <c r="B50" s="5" t="inlineStr">
        <is>
          <t>CC-34</t>
        </is>
      </c>
      <c r="C50" s="6" t="inlineStr">
        <is>
          <t>Recovery &amp; Deductions Register</t>
        </is>
      </c>
      <c r="D50" s="6" t="inlineStr">
        <is>
          <t>Track advances, retention, penalties deducted from bills</t>
        </is>
      </c>
      <c r="E50" s="7" t="inlineStr">
        <is>
          <t>Per Bill</t>
        </is>
      </c>
    </row>
    <row r="51" ht="20" customHeight="1">
      <c r="B51" s="8" t="inlineStr">
        <is>
          <t>CC-35</t>
        </is>
      </c>
      <c r="C51" s="9" t="inlineStr">
        <is>
          <t>Price Escalation / Variation Register</t>
        </is>
      </c>
      <c r="D51" s="9" t="inlineStr">
        <is>
          <t>Track and process price escalation claims</t>
        </is>
      </c>
      <c r="E51" s="10" t="inlineStr">
        <is>
          <t>Per Claim</t>
        </is>
      </c>
    </row>
    <row r="52" ht="20" customHeight="1">
      <c r="B52" s="4" t="inlineStr">
        <is>
          <t>── QUALITY ASSURANCE ──</t>
        </is>
      </c>
    </row>
    <row r="53" ht="20" customHeight="1">
      <c r="B53" s="8" t="inlineStr">
        <is>
          <t>CC-36</t>
        </is>
      </c>
      <c r="C53" s="9" t="inlineStr">
        <is>
          <t>Quality Control Plan Register</t>
        </is>
      </c>
      <c r="D53" s="9" t="inlineStr">
        <is>
          <t>Document quality control plan for each project</t>
        </is>
      </c>
      <c r="E53" s="10" t="inlineStr">
        <is>
          <t>Per Project</t>
        </is>
      </c>
    </row>
    <row r="54" ht="20" customHeight="1">
      <c r="B54" s="5" t="inlineStr">
        <is>
          <t>CC-37</t>
        </is>
      </c>
      <c r="C54" s="6" t="inlineStr">
        <is>
          <t>Concrete Mix Design &amp; Testing Register</t>
        </is>
      </c>
      <c r="D54" s="6" t="inlineStr">
        <is>
          <t>Track concrete mix design, cube testing and results</t>
        </is>
      </c>
      <c r="E54" s="7" t="inlineStr">
        <is>
          <t>Per Pour</t>
        </is>
      </c>
    </row>
    <row r="55" ht="20" customHeight="1">
      <c r="B55" s="8" t="inlineStr">
        <is>
          <t>CC-38</t>
        </is>
      </c>
      <c r="C55" s="9" t="inlineStr">
        <is>
          <t>Steel / Reinforcement Testing Register</t>
        </is>
      </c>
      <c r="D55" s="9" t="inlineStr">
        <is>
          <t>Track steel testing — tensile, bend, chemical tests</t>
        </is>
      </c>
      <c r="E55" s="10" t="inlineStr">
        <is>
          <t>Per Delivery</t>
        </is>
      </c>
    </row>
    <row r="56" ht="20" customHeight="1">
      <c r="B56" s="5" t="inlineStr">
        <is>
          <t>CC-39</t>
        </is>
      </c>
      <c r="C56" s="6" t="inlineStr">
        <is>
          <t>Soil &amp; Foundation Test Register</t>
        </is>
      </c>
      <c r="D56" s="6" t="inlineStr">
        <is>
          <t>Document soil tests, bearing capacity and foundation data</t>
        </is>
      </c>
      <c r="E56" s="7" t="inlineStr">
        <is>
          <t>Per Project</t>
        </is>
      </c>
    </row>
    <row r="57" ht="20" customHeight="1">
      <c r="B57" s="8" t="inlineStr">
        <is>
          <t>CC-40</t>
        </is>
      </c>
      <c r="C57" s="9" t="inlineStr">
        <is>
          <t>Third Party / Independent Quality Audit Reg.</t>
        </is>
      </c>
      <c r="D57" s="9" t="inlineStr">
        <is>
          <t>Track third-party quality audits and compliance</t>
        </is>
      </c>
      <c r="E57" s="10" t="inlineStr">
        <is>
          <t>Per Milestone</t>
        </is>
      </c>
    </row>
    <row r="58" ht="20" customHeight="1">
      <c r="B58" s="4" t="inlineStr">
        <is>
          <t>── SAFETY ON SITE ──</t>
        </is>
      </c>
    </row>
    <row r="59" ht="20" customHeight="1">
      <c r="B59" s="8" t="inlineStr">
        <is>
          <t>CC-41</t>
        </is>
      </c>
      <c r="C59" s="9" t="inlineStr">
        <is>
          <t>Site Safety Plan Register</t>
        </is>
      </c>
      <c r="D59" s="9" t="inlineStr">
        <is>
          <t>Document site-specific safety plan for each project</t>
        </is>
      </c>
      <c r="E59" s="10" t="inlineStr">
        <is>
          <t>Per Project</t>
        </is>
      </c>
    </row>
    <row r="60" ht="20" customHeight="1">
      <c r="B60" s="5" t="inlineStr">
        <is>
          <t>CC-42</t>
        </is>
      </c>
      <c r="C60" s="6" t="inlineStr">
        <is>
          <t>Safety Inspection &amp; Checklist Register</t>
        </is>
      </c>
      <c r="D60" s="6" t="inlineStr">
        <is>
          <t>Weekly safety inspection of construction site</t>
        </is>
      </c>
      <c r="E60" s="7" t="inlineStr">
        <is>
          <t>Weekly</t>
        </is>
      </c>
    </row>
    <row r="61" ht="20" customHeight="1">
      <c r="B61" s="8" t="inlineStr">
        <is>
          <t>CC-43</t>
        </is>
      </c>
      <c r="C61" s="9" t="inlineStr">
        <is>
          <t>PPE Issue &amp; Compliance Register</t>
        </is>
      </c>
      <c r="D61" s="9" t="inlineStr">
        <is>
          <t>Track PPE issued to and worn by site workers</t>
        </is>
      </c>
      <c r="E61" s="10" t="inlineStr">
        <is>
          <t>Daily</t>
        </is>
      </c>
    </row>
    <row r="62" ht="20" customHeight="1">
      <c r="B62" s="5" t="inlineStr">
        <is>
          <t>CC-44</t>
        </is>
      </c>
      <c r="C62" s="6" t="inlineStr">
        <is>
          <t>Accident &amp; Near-Miss Register</t>
        </is>
      </c>
      <c r="D62" s="6" t="inlineStr">
        <is>
          <t>Log all accidents and near-misses on site</t>
        </is>
      </c>
      <c r="E62" s="7" t="inlineStr">
        <is>
          <t>Per Incident</t>
        </is>
      </c>
    </row>
    <row r="63" ht="20" customHeight="1">
      <c r="B63" s="8" t="inlineStr">
        <is>
          <t>CC-45</t>
        </is>
      </c>
      <c r="C63" s="9" t="inlineStr">
        <is>
          <t>Scaffold &amp; Formwork Inspection Register</t>
        </is>
      </c>
      <c r="D63" s="9" t="inlineStr">
        <is>
          <t>Inspect scaffolding and formwork before use</t>
        </is>
      </c>
      <c r="E63" s="10" t="inlineStr">
        <is>
          <t>Per Use</t>
        </is>
      </c>
    </row>
    <row r="64" ht="20" customHeight="1">
      <c r="B64" s="4" t="inlineStr">
        <is>
          <t>── PROJECT COMPLETION ──</t>
        </is>
      </c>
    </row>
    <row r="65" ht="20" customHeight="1">
      <c r="B65" s="8" t="inlineStr">
        <is>
          <t>CC-46</t>
        </is>
      </c>
      <c r="C65" s="9" t="inlineStr">
        <is>
          <t>Milestone / Physical Progress Register</t>
        </is>
      </c>
      <c r="D65" s="9" t="inlineStr">
        <is>
          <t>Track milestone-wise physical completion percentage</t>
        </is>
      </c>
      <c r="E65" s="10" t="inlineStr">
        <is>
          <t>Monthly</t>
        </is>
      </c>
    </row>
    <row r="66" ht="20" customHeight="1">
      <c r="B66" s="5" t="inlineStr">
        <is>
          <t>CC-47</t>
        </is>
      </c>
      <c r="C66" s="6" t="inlineStr">
        <is>
          <t>Snag List / Defect Register</t>
        </is>
      </c>
      <c r="D66" s="6" t="inlineStr">
        <is>
          <t>Document defects at practical completion</t>
        </is>
      </c>
      <c r="E66" s="7" t="inlineStr">
        <is>
          <t>At Completion</t>
        </is>
      </c>
    </row>
    <row r="67" ht="20" customHeight="1">
      <c r="B67" s="8" t="inlineStr">
        <is>
          <t>CC-48</t>
        </is>
      </c>
      <c r="C67" s="9" t="inlineStr">
        <is>
          <t>Project Completion Certificate Register</t>
        </is>
      </c>
      <c r="D67" s="9" t="inlineStr">
        <is>
          <t>Issue and register completion and handing-over certificates</t>
        </is>
      </c>
      <c r="E67" s="10" t="inlineStr">
        <is>
          <t>Per Project</t>
        </is>
      </c>
    </row>
    <row r="68" ht="20" customHeight="1">
      <c r="B68" s="5" t="inlineStr">
        <is>
          <t>CC-49</t>
        </is>
      </c>
      <c r="C68" s="6" t="inlineStr">
        <is>
          <t>Defect Liability Period (DLP) Register</t>
        </is>
      </c>
      <c r="D68" s="6" t="inlineStr">
        <is>
          <t>Track defects reported during DLP and rectification</t>
        </is>
      </c>
      <c r="E68" s="7" t="inlineStr">
        <is>
          <t>DLP Period</t>
        </is>
      </c>
    </row>
    <row r="69" ht="20" customHeight="1">
      <c r="B69" s="8" t="inlineStr">
        <is>
          <t>CC-50</t>
        </is>
      </c>
      <c r="C69" s="9" t="inlineStr">
        <is>
          <t>Handing Over &amp; Asset Register</t>
        </is>
      </c>
      <c r="D69" s="9" t="inlineStr">
        <is>
          <t>Hand over completed assets to user departments</t>
        </is>
      </c>
      <c r="E69" s="10" t="inlineStr">
        <is>
          <t>Per Handover</t>
        </is>
      </c>
    </row>
    <row r="70" ht="20" customHeight="1">
      <c r="B70" s="4" t="inlineStr">
        <is>
          <t>── MONITORING &amp; REPORTING ──</t>
        </is>
      </c>
    </row>
    <row r="71" ht="20" customHeight="1">
      <c r="B71" s="8" t="inlineStr">
        <is>
          <t>CC-51</t>
        </is>
      </c>
      <c r="C71" s="9" t="inlineStr">
        <is>
          <t>CC KPI Dashboard</t>
        </is>
      </c>
      <c r="D71" s="9" t="inlineStr">
        <is>
          <t>Track all construction KPIs — schedule, cost, quality</t>
        </is>
      </c>
      <c r="E71" s="10" t="inlineStr">
        <is>
          <t>Monthly</t>
        </is>
      </c>
    </row>
    <row r="72" ht="20" customHeight="1">
      <c r="B72" s="5" t="inlineStr">
        <is>
          <t>CC-52</t>
        </is>
      </c>
      <c r="C72" s="6" t="inlineStr">
        <is>
          <t>CC Annual Report Compilation Form</t>
        </is>
      </c>
      <c r="D72" s="6" t="inlineStr">
        <is>
          <t>Year-end report for Governing Body, Finance, NAAC</t>
        </is>
      </c>
      <c r="E72" s="7" t="inlineStr">
        <is>
          <t>Annual</t>
        </is>
      </c>
    </row>
    <row r="148">
      <c r="B148" s="11" t="inlineStr">
        <is>
          <t>• CC = Construction Committee — oversight of all capital construction, renovation and civil works on campus.</t>
        </is>
      </c>
    </row>
    <row r="149">
      <c r="B149" s="11" t="inlineStr">
        <is>
          <t>• All construction works above ₹5 lakhs require open tender; ₹1–5L = limited tender; &lt; ₹1L = quotation.</t>
        </is>
      </c>
    </row>
    <row r="150">
      <c r="B150" s="11" t="inlineStr">
        <is>
          <t>• Building plan approval from local municipal authority / development authority is mandatory before commencement.</t>
        </is>
      </c>
    </row>
    <row r="151">
      <c r="B151" s="11" t="inlineStr">
        <is>
          <t>• Concrete cube test: 1 set per 5m³ of concrete. Steel test: 1 sample per 10 MT delivery. Retain test certificates.</t>
        </is>
      </c>
    </row>
    <row r="152">
      <c r="B152" s="11" t="inlineStr">
        <is>
          <t>• Site safety: All labourers must wear PPE. No work at height without harness. No scaffolding without inspection.</t>
        </is>
      </c>
    </row>
    <row r="153">
      <c r="B153" s="11" t="inlineStr">
        <is>
          <t>• CC data feeds into: NAAC AQAR Criterion IV (Infrastructure), NIRF, Governing Body capital expenditure records.</t>
        </is>
      </c>
    </row>
    <row r="154">
      <c r="B154" s="11" t="inlineStr">
        <is>
          <t>• Measurement Book (MB) is a legal document — all entries must be in ink, no erasures. Corrections: strike-through.</t>
        </is>
      </c>
    </row>
    <row r="155">
      <c r="B155" s="11" t="inlineStr">
        <is>
          <t>• Defect Liability Period (DLP): minimum 12 months after completion. Retain PBG until DLP expires.</t>
        </is>
      </c>
    </row>
    <row r="156">
      <c r="B156" s="11" t="inlineStr">
        <is>
          <t>• Environmental clearance: projects &gt; 20,000 m² built-up area require EIA and MoEFCC clearance.</t>
        </is>
      </c>
    </row>
    <row r="157">
      <c r="B157" s="11" t="inlineStr">
        <is>
          <t>• Progress photos mandatory at each milestone — date-stamped and geotagged where possible.</t>
        </is>
      </c>
    </row>
  </sheetData>
  <mergeCells count="23">
    <mergeCell ref="B64:E64"/>
    <mergeCell ref="B5:E5"/>
    <mergeCell ref="B154:E154"/>
    <mergeCell ref="B153:E153"/>
    <mergeCell ref="B16:E16"/>
    <mergeCell ref="B3:E3"/>
    <mergeCell ref="B150:E150"/>
    <mergeCell ref="B156:E156"/>
    <mergeCell ref="B46:E46"/>
    <mergeCell ref="B155:E155"/>
    <mergeCell ref="B149:E149"/>
    <mergeCell ref="B31:E31"/>
    <mergeCell ref="B58:E58"/>
    <mergeCell ref="B152:E152"/>
    <mergeCell ref="B52:E52"/>
    <mergeCell ref="B70:E70"/>
    <mergeCell ref="B11:E11"/>
    <mergeCell ref="B151:E151"/>
    <mergeCell ref="B2:E2"/>
    <mergeCell ref="B23:E23"/>
    <mergeCell ref="B148:E148"/>
    <mergeCell ref="B157:E157"/>
    <mergeCell ref="B37:E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21"/>
  <sheetViews>
    <sheetView showGridLines="0" workbookViewId="0">
      <selection activeCell="A1" sqref="A1"/>
    </sheetView>
  </sheetViews>
  <sheetFormatPr baseColWidth="8" defaultRowHeight="15"/>
  <cols>
    <col width="3" customWidth="1" min="1" max="1"/>
    <col width="6" customWidth="1" min="2" max="2"/>
    <col width="26" customWidth="1" min="3" max="3"/>
    <col width="24" customWidth="1" min="4" max="4"/>
    <col width="20" customWidth="1" min="5" max="5"/>
    <col width="14" customWidth="1" min="6" max="6"/>
    <col width="14" customWidth="1" min="7" max="7"/>
    <col width="16" customWidth="1" min="8" max="8"/>
    <col width="14" customWidth="1" min="9" max="9"/>
    <col width="3" customWidth="1" min="10" max="10"/>
  </cols>
  <sheetData>
    <row r="1" ht="10" customHeight="1"/>
    <row r="2" ht="52" customHeight="1">
      <c r="B2" s="12" t="inlineStr">
        <is>
          <t>CC-00: CONSTRUCTION COMMITTEE — COMPOSITION REGISTER</t>
        </is>
      </c>
    </row>
    <row r="3" ht="25" customHeight="1">
      <c r="B3" s="2" t="inlineStr">
        <is>
          <t>Institution: _________________________  A.Y.: _______  Constituted on: _______  Order No.: _______</t>
        </is>
      </c>
    </row>
    <row r="4" ht="25" customHeight="1">
      <c r="B4" s="13" t="inlineStr">
        <is>
          <t>Sl.</t>
        </is>
      </c>
      <c r="C4" s="13" t="inlineStr">
        <is>
          <t>Name</t>
        </is>
      </c>
      <c r="D4" s="13" t="inlineStr">
        <is>
          <t>Designation</t>
        </is>
      </c>
      <c r="E4" s="13" t="inlineStr">
        <is>
          <t>Role in CC</t>
        </is>
      </c>
      <c r="F4" s="13" t="inlineStr">
        <is>
          <t>Expertise</t>
        </is>
      </c>
      <c r="G4" s="13" t="inlineStr">
        <is>
          <t>Email / Phone</t>
        </is>
      </c>
      <c r="H4" s="13" t="inlineStr">
        <is>
          <t>Term</t>
        </is>
      </c>
      <c r="I4" s="13" t="inlineStr">
        <is>
          <t>Signature</t>
        </is>
      </c>
    </row>
    <row r="5" ht="22" customHeight="1">
      <c r="B5" s="14" t="n">
        <v>1</v>
      </c>
      <c r="C5" s="15" t="inlineStr"/>
      <c r="D5" s="15" t="inlineStr">
        <is>
          <t>Principal / Director</t>
        </is>
      </c>
      <c r="E5" s="14" t="inlineStr">
        <is>
          <t>Chairperson</t>
        </is>
      </c>
      <c r="F5" s="16" t="inlineStr">
        <is>
          <t>CC Leadership &amp; Final Approval</t>
        </is>
      </c>
      <c r="G5" s="15" t="inlineStr"/>
      <c r="H5" s="16" t="inlineStr"/>
      <c r="I5" s="16" t="inlineStr"/>
    </row>
    <row r="6" ht="22" customHeight="1">
      <c r="B6" s="8" t="n">
        <v>2</v>
      </c>
      <c r="C6" s="9" t="inlineStr"/>
      <c r="D6" s="9" t="inlineStr">
        <is>
          <t>Estate Officer / Senior Civil Engineer</t>
        </is>
      </c>
      <c r="E6" s="8" t="inlineStr">
        <is>
          <t>CC Coordinator</t>
        </is>
      </c>
      <c r="F6" s="10" t="inlineStr">
        <is>
          <t>Day-to-day Construction Oversight</t>
        </is>
      </c>
      <c r="G6" s="9" t="inlineStr"/>
      <c r="H6" s="10" t="inlineStr"/>
      <c r="I6" s="10" t="inlineStr"/>
    </row>
    <row r="7" ht="22" customHeight="1">
      <c r="B7" s="14" t="n">
        <v>3</v>
      </c>
      <c r="C7" s="15" t="inlineStr"/>
      <c r="D7" s="15" t="inlineStr">
        <is>
          <t>Project Manager / Civil Engineer (In-house)</t>
        </is>
      </c>
      <c r="E7" s="14" t="inlineStr">
        <is>
          <t>Senior Civil Engineer</t>
        </is>
      </c>
      <c r="F7" s="16" t="inlineStr">
        <is>
          <t>Technical Supervision</t>
        </is>
      </c>
      <c r="G7" s="15" t="inlineStr"/>
      <c r="H7" s="16" t="inlineStr"/>
      <c r="I7" s="16" t="inlineStr"/>
    </row>
    <row r="8" ht="22" customHeight="1">
      <c r="B8" s="8" t="n">
        <v>4</v>
      </c>
      <c r="C8" s="9" t="inlineStr"/>
      <c r="D8" s="9" t="inlineStr">
        <is>
          <t>Structural Engineer (In-house / Consultant)</t>
        </is>
      </c>
      <c r="E8" s="8" t="inlineStr">
        <is>
          <t>Structural Engineer</t>
        </is>
      </c>
      <c r="F8" s="10" t="inlineStr">
        <is>
          <t>Structural Design &amp; Safety</t>
        </is>
      </c>
      <c r="G8" s="9" t="inlineStr"/>
      <c r="H8" s="10" t="inlineStr"/>
      <c r="I8" s="10" t="inlineStr"/>
    </row>
    <row r="9" ht="22" customHeight="1">
      <c r="B9" s="14" t="n">
        <v>5</v>
      </c>
      <c r="C9" s="15" t="inlineStr"/>
      <c r="D9" s="15" t="inlineStr">
        <is>
          <t>Architect (In-house / Consulting)</t>
        </is>
      </c>
      <c r="E9" s="14" t="inlineStr">
        <is>
          <t>Architect</t>
        </is>
      </c>
      <c r="F9" s="16" t="inlineStr">
        <is>
          <t>Design &amp; Layout</t>
        </is>
      </c>
      <c r="G9" s="15" t="inlineStr"/>
      <c r="H9" s="16" t="inlineStr"/>
      <c r="I9" s="16" t="inlineStr"/>
    </row>
    <row r="10" ht="22" customHeight="1">
      <c r="B10" s="8" t="n">
        <v>6</v>
      </c>
      <c r="C10" s="9" t="inlineStr"/>
      <c r="D10" s="9" t="inlineStr">
        <is>
          <t>Electrical Engineer / MEP Specialist</t>
        </is>
      </c>
      <c r="E10" s="8" t="inlineStr">
        <is>
          <t>Electrical Engineer</t>
        </is>
      </c>
      <c r="F10" s="10" t="inlineStr">
        <is>
          <t>Electrical &amp; Plumbing Works</t>
        </is>
      </c>
      <c r="G10" s="9" t="inlineStr"/>
      <c r="H10" s="10" t="inlineStr"/>
      <c r="I10" s="10" t="inlineStr"/>
    </row>
    <row r="11" ht="22" customHeight="1">
      <c r="B11" s="14" t="n">
        <v>7</v>
      </c>
      <c r="C11" s="15" t="inlineStr"/>
      <c r="D11" s="15" t="inlineStr">
        <is>
          <t>Quantity Surveyor / Cost Estimator</t>
        </is>
      </c>
      <c r="E11" s="14" t="inlineStr">
        <is>
          <t>Quantity Surveyor</t>
        </is>
      </c>
      <c r="F11" s="16" t="inlineStr">
        <is>
          <t>Measurement &amp; Cost Control</t>
        </is>
      </c>
      <c r="G11" s="15" t="inlineStr"/>
      <c r="H11" s="16" t="inlineStr"/>
      <c r="I11" s="16" t="inlineStr"/>
    </row>
    <row r="12" ht="22" customHeight="1">
      <c r="B12" s="8" t="n">
        <v>8</v>
      </c>
      <c r="C12" s="9" t="inlineStr"/>
      <c r="D12" s="9" t="inlineStr">
        <is>
          <t>Finance Officer / Accounts Officer</t>
        </is>
      </c>
      <c r="E12" s="8" t="inlineStr">
        <is>
          <t>Finance Officer</t>
        </is>
      </c>
      <c r="F12" s="10" t="inlineStr">
        <is>
          <t>Budget, Bills &amp; Payments</t>
        </is>
      </c>
      <c r="G12" s="9" t="inlineStr"/>
      <c r="H12" s="10" t="inlineStr"/>
      <c r="I12" s="10" t="inlineStr"/>
    </row>
    <row r="13" ht="22" customHeight="1">
      <c r="B13" s="14" t="n">
        <v>9</v>
      </c>
      <c r="C13" s="15" t="inlineStr"/>
      <c r="D13" s="15" t="inlineStr">
        <is>
          <t>Legal Advisor / Advocate</t>
        </is>
      </c>
      <c r="E13" s="14" t="inlineStr">
        <is>
          <t>Legal Advisor</t>
        </is>
      </c>
      <c r="F13" s="16" t="inlineStr">
        <is>
          <t>Contract &amp; Legal Compliance</t>
        </is>
      </c>
      <c r="G13" s="15" t="inlineStr"/>
      <c r="H13" s="16" t="inlineStr"/>
      <c r="I13" s="16" t="inlineStr"/>
    </row>
    <row r="14" ht="22" customHeight="1">
      <c r="B14" s="8" t="n">
        <v>10</v>
      </c>
      <c r="C14" s="9" t="inlineStr"/>
      <c r="D14" s="9" t="inlineStr">
        <is>
          <t>Senior Faculty Member (Elected)</t>
        </is>
      </c>
      <c r="E14" s="8" t="inlineStr">
        <is>
          <t>Faculty Rep – 1</t>
        </is>
      </c>
      <c r="F14" s="10" t="inlineStr">
        <is>
          <t>User Requirement Voice</t>
        </is>
      </c>
      <c r="G14" s="9" t="inlineStr"/>
      <c r="H14" s="10" t="inlineStr"/>
      <c r="I14" s="10" t="inlineStr"/>
    </row>
    <row r="15" ht="22" customHeight="1">
      <c r="B15" s="14" t="n">
        <v>11</v>
      </c>
      <c r="C15" s="15" t="inlineStr"/>
      <c r="D15" s="15" t="inlineStr">
        <is>
          <t>Senior Faculty Member (Elected)</t>
        </is>
      </c>
      <c r="E15" s="14" t="inlineStr">
        <is>
          <t>Faculty Rep – 2</t>
        </is>
      </c>
      <c r="F15" s="16" t="inlineStr">
        <is>
          <t>User Requirement Voice</t>
        </is>
      </c>
      <c r="G15" s="15" t="inlineStr"/>
      <c r="H15" s="16" t="inlineStr"/>
      <c r="I15" s="16" t="inlineStr"/>
    </row>
    <row r="16" ht="22" customHeight="1">
      <c r="B16" s="8" t="n">
        <v>12</v>
      </c>
      <c r="C16" s="9" t="inlineStr"/>
      <c r="D16" s="9" t="inlineStr">
        <is>
          <t>Retired PWD / CPWD Engineer / Expert</t>
        </is>
      </c>
      <c r="E16" s="8" t="inlineStr">
        <is>
          <t>External Expert – Civil</t>
        </is>
      </c>
      <c r="F16" s="10" t="inlineStr">
        <is>
          <t>External Technical Advisory</t>
        </is>
      </c>
      <c r="G16" s="9" t="inlineStr"/>
      <c r="H16" s="10" t="inlineStr"/>
      <c r="I16" s="10" t="inlineStr"/>
    </row>
    <row r="17" ht="22" customHeight="1">
      <c r="B17" s="14" t="n">
        <v>13</v>
      </c>
      <c r="C17" s="15" t="inlineStr"/>
      <c r="D17" s="15" t="inlineStr">
        <is>
          <t>Safety In-charge / HSE Officer</t>
        </is>
      </c>
      <c r="E17" s="14" t="inlineStr">
        <is>
          <t>Safety Officer</t>
        </is>
      </c>
      <c r="F17" s="16" t="inlineStr">
        <is>
          <t>Site Safety Compliance</t>
        </is>
      </c>
      <c r="G17" s="15" t="inlineStr"/>
      <c r="H17" s="16" t="inlineStr"/>
      <c r="I17" s="16" t="inlineStr"/>
    </row>
    <row r="18" ht="22" customHeight="1">
      <c r="B18" s="8" t="n">
        <v>14</v>
      </c>
      <c r="C18" s="9" t="inlineStr"/>
      <c r="D18" s="9" t="inlineStr">
        <is>
          <t>IQAC In-charge</t>
        </is>
      </c>
      <c r="E18" s="8" t="inlineStr">
        <is>
          <t>IQAC Coordinator (Ex-off.)</t>
        </is>
      </c>
      <c r="F18" s="10" t="inlineStr">
        <is>
          <t>NAAC / Accreditation Compliance</t>
        </is>
      </c>
      <c r="G18" s="9" t="inlineStr"/>
      <c r="H18" s="10" t="inlineStr"/>
      <c r="I18" s="10" t="inlineStr"/>
    </row>
    <row r="19" ht="22" customHeight="1">
      <c r="B19" s="14" t="n">
        <v>15</v>
      </c>
      <c r="C19" s="15" t="inlineStr"/>
      <c r="D19" s="15" t="inlineStr">
        <is>
          <t>Governing Body / Trust Member</t>
        </is>
      </c>
      <c r="E19" s="14" t="inlineStr">
        <is>
          <t>Governing Body Rep</t>
        </is>
      </c>
      <c r="F19" s="16" t="inlineStr">
        <is>
          <t>Governance &amp; Policy Oversight</t>
        </is>
      </c>
      <c r="G19" s="15" t="inlineStr"/>
      <c r="H19" s="16" t="inlineStr"/>
      <c r="I19" s="16" t="inlineStr"/>
    </row>
    <row r="20" ht="22" customHeight="1"/>
    <row r="21" ht="20" customHeight="1">
      <c r="B21" s="17" t="inlineStr">
        <is>
          <t>CC meets monthly or more frequently during active construction. Legal Advisor must attend all tender award meetings. External Expert provides independent technical review for projects &gt; ₹1 crore.</t>
        </is>
      </c>
    </row>
    <row r="22" ht="22" customHeight="1"/>
    <row r="23" ht="22" customHeight="1"/>
    <row r="24" ht="22" customHeight="1"/>
    <row r="25" ht="22" customHeight="1"/>
  </sheetData>
  <mergeCells count="3">
    <mergeCell ref="B3:I3"/>
    <mergeCell ref="B21:I2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9"/>
  <sheetViews>
    <sheetView showGridLines="0" workbookViewId="0">
      <selection activeCell="A1" sqref="A1"/>
    </sheetView>
  </sheetViews>
  <sheetFormatPr baseColWidth="8" defaultRowHeight="15"/>
  <cols>
    <col width="3" customWidth="1" min="1" max="1"/>
    <col width="8" customWidth="1" min="2" max="2"/>
    <col width="44" customWidth="1" min="3" max="3"/>
    <col width="22" customWidth="1" min="4" max="4"/>
    <col width="18" customWidth="1" min="5" max="5"/>
    <col width="3" customWidth="1" min="6" max="6"/>
  </cols>
  <sheetData>
    <row r="1" ht="10" customHeight="1"/>
    <row r="2" ht="48" customHeight="1">
      <c r="B2" s="12" t="inlineStr">
        <is>
          <t>CONSTRUCTION COMMITTEE: MEETING NOTICE &amp; AGENDA</t>
        </is>
      </c>
    </row>
    <row r="3" ht="22" customHeight="1">
      <c r="B3" s="18" t="inlineStr">
        <is>
          <t>Meeting No.:</t>
        </is>
      </c>
      <c r="C3" s="9" t="n"/>
    </row>
    <row r="4" ht="22" customHeight="1">
      <c r="B4" s="18" t="inlineStr">
        <is>
          <t>A.Y. / Quarter:</t>
        </is>
      </c>
      <c r="C4" s="9" t="n"/>
    </row>
    <row r="5" ht="22" customHeight="1">
      <c r="B5" s="18" t="inlineStr">
        <is>
          <t>Date:</t>
        </is>
      </c>
      <c r="C5" s="9" t="n"/>
    </row>
    <row r="6" ht="22" customHeight="1">
      <c r="B6" s="18" t="inlineStr">
        <is>
          <t>Time:</t>
        </is>
      </c>
      <c r="C6" s="9" t="n"/>
    </row>
    <row r="7" ht="22" customHeight="1">
      <c r="B7" s="18" t="inlineStr">
        <is>
          <t>Venue:</t>
        </is>
      </c>
      <c r="C7" s="9" t="n"/>
    </row>
    <row r="8" ht="22" customHeight="1">
      <c r="B8" s="18" t="inlineStr">
        <is>
          <t>Mode:</t>
        </is>
      </c>
      <c r="C8" s="9" t="n"/>
    </row>
    <row r="9" ht="22" customHeight="1">
      <c r="B9" s="18" t="inlineStr">
        <is>
          <t>Notice by:</t>
        </is>
      </c>
      <c r="C9" s="9" t="n"/>
    </row>
    <row r="10" ht="22" customHeight="1">
      <c r="B10" s="18" t="inlineStr">
        <is>
          <t>Notice Date:</t>
        </is>
      </c>
      <c r="C10" s="9" t="n"/>
    </row>
    <row r="11" ht="24" customHeight="1">
      <c r="B11" s="19" t="inlineStr">
        <is>
          <t>AGENDA ITEMS</t>
        </is>
      </c>
    </row>
    <row r="12" ht="24" customHeight="1">
      <c r="B12" s="13" t="inlineStr">
        <is>
          <t>Item
No.</t>
        </is>
      </c>
      <c r="C12" s="13" t="inlineStr">
        <is>
          <t>Agenda Item</t>
        </is>
      </c>
      <c r="D12" s="13" t="inlineStr">
        <is>
          <t>Lead</t>
        </is>
      </c>
      <c r="E12" s="13" t="inlineStr">
        <is>
          <t>Duration (Min)</t>
        </is>
      </c>
    </row>
    <row r="13" ht="24" customHeight="1">
      <c r="B13" s="14" t="n">
        <v>1</v>
      </c>
      <c r="C13" s="15" t="inlineStr">
        <is>
          <t>Confirmation of minutes of previous CC meeting</t>
        </is>
      </c>
      <c r="D13" s="16" t="inlineStr"/>
      <c r="E13" s="16" t="inlineStr"/>
    </row>
    <row r="14" ht="24" customHeight="1">
      <c r="B14" s="8" t="n">
        <v>2</v>
      </c>
      <c r="C14" s="9" t="inlineStr">
        <is>
          <t>Action Taken Report on previous CC resolutions</t>
        </is>
      </c>
      <c r="D14" s="10" t="inlineStr"/>
      <c r="E14" s="10" t="inlineStr"/>
    </row>
    <row r="15" ht="24" customHeight="1">
      <c r="B15" s="14" t="n">
        <v>3</v>
      </c>
      <c r="C15" s="15" t="inlineStr">
        <is>
          <t>Active projects — monthly progress review (project-wise)</t>
        </is>
      </c>
      <c r="D15" s="16" t="inlineStr"/>
      <c r="E15" s="16" t="inlineStr"/>
    </row>
    <row r="16" ht="24" customHeight="1">
      <c r="B16" s="8" t="n">
        <v>4</v>
      </c>
      <c r="C16" s="9" t="inlineStr">
        <is>
          <t>New project proposals — feasibility and approval</t>
        </is>
      </c>
      <c r="D16" s="10" t="inlineStr"/>
      <c r="E16" s="10" t="inlineStr"/>
    </row>
    <row r="17" ht="24" customHeight="1">
      <c r="B17" s="14" t="n">
        <v>5</v>
      </c>
      <c r="C17" s="15" t="inlineStr">
        <is>
          <t>Regulatory approvals — building permits, clearances status</t>
        </is>
      </c>
      <c r="D17" s="16" t="inlineStr"/>
      <c r="E17" s="16" t="inlineStr"/>
    </row>
    <row r="18" ht="24" customHeight="1">
      <c r="B18" s="8" t="n">
        <v>6</v>
      </c>
      <c r="C18" s="9" t="inlineStr">
        <is>
          <t>Design and drawing approvals — pending review</t>
        </is>
      </c>
      <c r="D18" s="10" t="inlineStr"/>
      <c r="E18" s="10" t="inlineStr"/>
    </row>
    <row r="19" ht="24" customHeight="1">
      <c r="B19" s="14" t="n">
        <v>7</v>
      </c>
      <c r="C19" s="15" t="inlineStr">
        <is>
          <t>Tender proposals — floatation, opening, evaluation</t>
        </is>
      </c>
      <c r="D19" s="16" t="inlineStr"/>
      <c r="E19" s="16" t="inlineStr"/>
    </row>
    <row r="20" ht="24" customHeight="1">
      <c r="B20" s="8" t="n">
        <v>8</v>
      </c>
      <c r="C20" s="9" t="inlineStr">
        <is>
          <t>Tender awards — recommendation and approval</t>
        </is>
      </c>
      <c r="D20" s="10" t="inlineStr"/>
      <c r="E20" s="10" t="inlineStr"/>
    </row>
    <row r="21" ht="24" customHeight="1">
      <c r="B21" s="14" t="n">
        <v>9</v>
      </c>
      <c r="C21" s="15" t="inlineStr">
        <is>
          <t>Contract amendments / variation orders — review</t>
        </is>
      </c>
      <c r="D21" s="16" t="inlineStr"/>
      <c r="E21" s="16" t="inlineStr"/>
    </row>
    <row r="22" ht="24" customHeight="1">
      <c r="B22" s="8" t="n">
        <v>10</v>
      </c>
      <c r="C22" s="9" t="inlineStr">
        <is>
          <t>Quality issues — NCRs, material test failures, deviations</t>
        </is>
      </c>
      <c r="D22" s="10" t="inlineStr"/>
      <c r="E22" s="10" t="inlineStr"/>
    </row>
    <row r="23" ht="24" customHeight="1">
      <c r="B23" s="14" t="n">
        <v>11</v>
      </c>
      <c r="C23" s="15" t="inlineStr">
        <is>
          <t>Safety incidents — site accident/near-miss review</t>
        </is>
      </c>
      <c r="D23" s="16" t="inlineStr"/>
      <c r="E23" s="16" t="inlineStr"/>
    </row>
    <row r="24" ht="24" customHeight="1">
      <c r="B24" s="8" t="n">
        <v>12</v>
      </c>
      <c r="C24" s="9" t="inlineStr">
        <is>
          <t>Site labour compliance — PF, ESI, wage register</t>
        </is>
      </c>
      <c r="D24" s="10" t="inlineStr"/>
      <c r="E24" s="10" t="inlineStr"/>
    </row>
    <row r="25" ht="24" customHeight="1">
      <c r="B25" s="14" t="n">
        <v>13</v>
      </c>
      <c r="C25" s="15" t="inlineStr">
        <is>
          <t>Measurement book verification — bill approvals</t>
        </is>
      </c>
      <c r="D25" s="16" t="inlineStr"/>
      <c r="E25" s="16" t="inlineStr"/>
    </row>
    <row r="26" ht="24" customHeight="1">
      <c r="B26" s="8" t="n">
        <v>14</v>
      </c>
      <c r="C26" s="9" t="inlineStr">
        <is>
          <t>RA bill payments — pending and approved</t>
        </is>
      </c>
      <c r="D26" s="10" t="inlineStr"/>
      <c r="E26" s="10" t="inlineStr"/>
    </row>
    <row r="27" ht="24" customHeight="1">
      <c r="B27" s="14" t="n">
        <v>15</v>
      </c>
      <c r="C27" s="15" t="inlineStr">
        <is>
          <t>Project budget vs. expenditure — variance analysis</t>
        </is>
      </c>
      <c r="D27" s="16" t="inlineStr"/>
      <c r="E27" s="16" t="inlineStr"/>
    </row>
    <row r="28" ht="24" customHeight="1">
      <c r="B28" s="8" t="n">
        <v>16</v>
      </c>
      <c r="C28" s="9" t="inlineStr">
        <is>
          <t>Milestones — achieved and delayed analysis</t>
        </is>
      </c>
      <c r="D28" s="10" t="inlineStr"/>
      <c r="E28" s="10" t="inlineStr"/>
    </row>
    <row r="29" ht="24" customHeight="1">
      <c r="B29" s="14" t="n">
        <v>17</v>
      </c>
      <c r="C29" s="15" t="inlineStr">
        <is>
          <t>Snag list / DLP issues — rectification status</t>
        </is>
      </c>
      <c r="D29" s="16" t="inlineStr"/>
      <c r="E29" s="16" t="inlineStr"/>
    </row>
    <row r="30" ht="24" customHeight="1">
      <c r="B30" s="8" t="n">
        <v>18</v>
      </c>
      <c r="C30" s="9" t="inlineStr">
        <is>
          <t>Contractor performance review</t>
        </is>
      </c>
      <c r="D30" s="10" t="inlineStr"/>
      <c r="E30" s="10" t="inlineStr"/>
    </row>
    <row r="31" ht="24" customHeight="1">
      <c r="B31" s="14" t="n">
        <v>19</v>
      </c>
      <c r="C31" s="15" t="inlineStr">
        <is>
          <t>NAAC infrastructure data — construction evidence</t>
        </is>
      </c>
      <c r="D31" s="16" t="inlineStr"/>
      <c r="E31" s="16" t="inlineStr"/>
    </row>
    <row r="32" ht="24" customHeight="1">
      <c r="B32" s="8" t="n">
        <v>20</v>
      </c>
      <c r="C32" s="9" t="inlineStr">
        <is>
          <t>Any Other Matter with Permission of Chairperson (AOMPC)</t>
        </is>
      </c>
      <c r="D32" s="10" t="inlineStr"/>
      <c r="E32" s="10" t="inlineStr"/>
    </row>
    <row r="33" ht="24" customHeight="1"/>
    <row r="34" ht="24" customHeight="1">
      <c r="B34" s="20" t="inlineStr">
        <is>
          <t>DISPATCH RECORD</t>
        </is>
      </c>
    </row>
    <row r="35" ht="24" customHeight="1">
      <c r="B35" s="21" t="inlineStr">
        <is>
          <t>Sl.</t>
        </is>
      </c>
      <c r="C35" s="21" t="inlineStr">
        <is>
          <t>Member Name &amp; Role</t>
        </is>
      </c>
      <c r="D35" s="21" t="inlineStr">
        <is>
          <t>Mode</t>
        </is>
      </c>
      <c r="E35" s="21" t="inlineStr">
        <is>
          <t>Date &amp; Acknowledgement</t>
        </is>
      </c>
    </row>
    <row r="36" ht="22" customHeight="1">
      <c r="B36" s="22" t="n"/>
      <c r="C36" s="22" t="n"/>
      <c r="D36" s="22" t="n"/>
      <c r="E36" s="22" t="n"/>
    </row>
    <row r="37" ht="22" customHeight="1">
      <c r="B37" s="10" t="n"/>
      <c r="C37" s="10" t="n"/>
      <c r="D37" s="10" t="n"/>
      <c r="E37" s="10" t="n"/>
    </row>
    <row r="38" ht="22" customHeight="1">
      <c r="B38" s="22" t="n"/>
      <c r="C38" s="22" t="n"/>
      <c r="D38" s="22" t="n"/>
      <c r="E38" s="22" t="n"/>
    </row>
    <row r="39" ht="22" customHeight="1">
      <c r="B39" s="10" t="n"/>
      <c r="C39" s="10" t="n"/>
      <c r="D39" s="10" t="n"/>
      <c r="E39" s="10" t="n"/>
    </row>
  </sheetData>
  <mergeCells count="11">
    <mergeCell ref="C5:E5"/>
    <mergeCell ref="C8:E8"/>
    <mergeCell ref="C9:E9"/>
    <mergeCell ref="C4:E4"/>
    <mergeCell ref="C3:E3"/>
    <mergeCell ref="B11:E11"/>
    <mergeCell ref="B2:E2"/>
    <mergeCell ref="B34:E34"/>
    <mergeCell ref="C7:E7"/>
    <mergeCell ref="C6:E6"/>
    <mergeCell ref="C10: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29"/>
  <sheetViews>
    <sheetView showGridLines="0" workbookViewId="0">
      <selection activeCell="A1" sqref="A1"/>
    </sheetView>
  </sheetViews>
  <sheetFormatPr baseColWidth="8" defaultRowHeight="15"/>
  <cols>
    <col width="3" customWidth="1" min="1" max="1"/>
    <col width="6" customWidth="1" min="2" max="2"/>
    <col width="26" customWidth="1" min="3" max="3"/>
    <col width="20" customWidth="1" min="4" max="4"/>
    <col width="14" customWidth="1" min="5" max="5"/>
    <col width="12" customWidth="1" min="6" max="6"/>
    <col width="12" customWidth="1" min="7" max="7"/>
    <col width="16" customWidth="1" min="8" max="8"/>
    <col width="14" customWidth="1" min="9" max="9"/>
    <col width="3" customWidth="1" min="10" max="10"/>
  </cols>
  <sheetData>
    <row r="1" ht="10" customHeight="1"/>
    <row r="2" ht="48" customHeight="1">
      <c r="B2" s="12" t="inlineStr">
        <is>
          <t>CC: ATTENDANCE &amp; QUORUM REGISTER</t>
        </is>
      </c>
    </row>
    <row r="3" ht="25" customHeight="1">
      <c r="B3" s="2" t="inlineStr">
        <is>
          <t>Meeting No.: _______  Date: _______  Total Strength: _______  Quorum Required (50%): _______</t>
        </is>
      </c>
    </row>
    <row r="4" ht="25" customHeight="1">
      <c r="B4" s="13" t="inlineStr">
        <is>
          <t>Sl.</t>
        </is>
      </c>
      <c r="C4" s="13" t="inlineStr">
        <is>
          <t>Name</t>
        </is>
      </c>
      <c r="D4" s="13" t="inlineStr">
        <is>
          <t>Role</t>
        </is>
      </c>
      <c r="E4" s="13" t="inlineStr">
        <is>
          <t>Mode
(Physical/VC)</t>
        </is>
      </c>
      <c r="F4" s="13" t="inlineStr">
        <is>
          <t>Present
(P/A)</t>
        </is>
      </c>
      <c r="G4" s="13" t="inlineStr">
        <is>
          <t>Proxy
(Y/N)</t>
        </is>
      </c>
      <c r="H4" s="13" t="inlineStr">
        <is>
          <t>Proxy Holder</t>
        </is>
      </c>
      <c r="I4" s="13" t="inlineStr">
        <is>
          <t>Signature</t>
        </is>
      </c>
    </row>
    <row r="5" ht="22" customHeight="1">
      <c r="B5" s="14" t="n">
        <v>1</v>
      </c>
      <c r="C5" s="15" t="inlineStr"/>
      <c r="D5" s="15" t="inlineStr"/>
      <c r="E5" s="16" t="inlineStr">
        <is>
          <t>Physical</t>
        </is>
      </c>
      <c r="F5" s="16" t="inlineStr"/>
      <c r="G5" s="16" t="inlineStr">
        <is>
          <t>N</t>
        </is>
      </c>
      <c r="H5" s="16" t="inlineStr"/>
      <c r="I5" s="16" t="inlineStr"/>
    </row>
    <row r="6" ht="22" customHeight="1">
      <c r="B6" s="8" t="n">
        <v>2</v>
      </c>
      <c r="C6" s="9" t="inlineStr"/>
      <c r="D6" s="9" t="inlineStr"/>
      <c r="E6" s="10" t="inlineStr">
        <is>
          <t>Physical</t>
        </is>
      </c>
      <c r="F6" s="10" t="inlineStr"/>
      <c r="G6" s="10" t="inlineStr">
        <is>
          <t>N</t>
        </is>
      </c>
      <c r="H6" s="10" t="inlineStr"/>
      <c r="I6" s="10" t="inlineStr"/>
    </row>
    <row r="7" ht="22" customHeight="1">
      <c r="B7" s="14" t="n">
        <v>3</v>
      </c>
      <c r="C7" s="15" t="inlineStr"/>
      <c r="D7" s="15" t="inlineStr"/>
      <c r="E7" s="16" t="inlineStr">
        <is>
          <t>Physical</t>
        </is>
      </c>
      <c r="F7" s="16" t="inlineStr"/>
      <c r="G7" s="16" t="inlineStr">
        <is>
          <t>N</t>
        </is>
      </c>
      <c r="H7" s="16" t="inlineStr"/>
      <c r="I7" s="16" t="inlineStr"/>
    </row>
    <row r="8" ht="22" customHeight="1">
      <c r="B8" s="8" t="n">
        <v>4</v>
      </c>
      <c r="C8" s="9" t="inlineStr"/>
      <c r="D8" s="9" t="inlineStr"/>
      <c r="E8" s="10" t="inlineStr">
        <is>
          <t>Physical</t>
        </is>
      </c>
      <c r="F8" s="10" t="inlineStr"/>
      <c r="G8" s="10" t="inlineStr">
        <is>
          <t>N</t>
        </is>
      </c>
      <c r="H8" s="10" t="inlineStr"/>
      <c r="I8" s="10" t="inlineStr"/>
    </row>
    <row r="9" ht="22" customHeight="1">
      <c r="B9" s="14" t="n">
        <v>5</v>
      </c>
      <c r="C9" s="15" t="inlineStr"/>
      <c r="D9" s="15" t="inlineStr"/>
      <c r="E9" s="16" t="inlineStr">
        <is>
          <t>Physical</t>
        </is>
      </c>
      <c r="F9" s="16" t="inlineStr"/>
      <c r="G9" s="16" t="inlineStr">
        <is>
          <t>N</t>
        </is>
      </c>
      <c r="H9" s="16" t="inlineStr"/>
      <c r="I9" s="16" t="inlineStr"/>
    </row>
    <row r="10" ht="22" customHeight="1">
      <c r="B10" s="8" t="n">
        <v>6</v>
      </c>
      <c r="C10" s="9" t="inlineStr"/>
      <c r="D10" s="9" t="inlineStr"/>
      <c r="E10" s="10" t="inlineStr">
        <is>
          <t>Physical</t>
        </is>
      </c>
      <c r="F10" s="10" t="inlineStr"/>
      <c r="G10" s="10" t="inlineStr">
        <is>
          <t>N</t>
        </is>
      </c>
      <c r="H10" s="10" t="inlineStr"/>
      <c r="I10" s="10" t="inlineStr"/>
    </row>
    <row r="11" ht="22" customHeight="1">
      <c r="B11" s="14" t="n">
        <v>7</v>
      </c>
      <c r="C11" s="15" t="inlineStr"/>
      <c r="D11" s="15" t="inlineStr"/>
      <c r="E11" s="16" t="inlineStr">
        <is>
          <t>Physical</t>
        </is>
      </c>
      <c r="F11" s="16" t="inlineStr"/>
      <c r="G11" s="16" t="inlineStr">
        <is>
          <t>N</t>
        </is>
      </c>
      <c r="H11" s="16" t="inlineStr"/>
      <c r="I11" s="16" t="inlineStr"/>
    </row>
    <row r="12" ht="22" customHeight="1">
      <c r="B12" s="8" t="n">
        <v>8</v>
      </c>
      <c r="C12" s="9" t="inlineStr"/>
      <c r="D12" s="9" t="inlineStr"/>
      <c r="E12" s="10" t="inlineStr">
        <is>
          <t>Physical</t>
        </is>
      </c>
      <c r="F12" s="10" t="inlineStr"/>
      <c r="G12" s="10" t="inlineStr">
        <is>
          <t>N</t>
        </is>
      </c>
      <c r="H12" s="10" t="inlineStr"/>
      <c r="I12" s="10" t="inlineStr"/>
    </row>
    <row r="13" ht="22" customHeight="1">
      <c r="B13" s="14" t="n">
        <v>9</v>
      </c>
      <c r="C13" s="15" t="inlineStr"/>
      <c r="D13" s="15" t="inlineStr"/>
      <c r="E13" s="16" t="inlineStr">
        <is>
          <t>Physical</t>
        </is>
      </c>
      <c r="F13" s="16" t="inlineStr"/>
      <c r="G13" s="16" t="inlineStr">
        <is>
          <t>N</t>
        </is>
      </c>
      <c r="H13" s="16" t="inlineStr"/>
      <c r="I13" s="16" t="inlineStr"/>
    </row>
    <row r="14" ht="22" customHeight="1">
      <c r="B14" s="8" t="n">
        <v>10</v>
      </c>
      <c r="C14" s="9" t="inlineStr"/>
      <c r="D14" s="9" t="inlineStr"/>
      <c r="E14" s="10" t="inlineStr">
        <is>
          <t>Physical</t>
        </is>
      </c>
      <c r="F14" s="10" t="inlineStr"/>
      <c r="G14" s="10" t="inlineStr">
        <is>
          <t>N</t>
        </is>
      </c>
      <c r="H14" s="10" t="inlineStr"/>
      <c r="I14" s="10" t="inlineStr"/>
    </row>
    <row r="15" ht="22" customHeight="1">
      <c r="B15" s="14" t="n">
        <v>11</v>
      </c>
      <c r="C15" s="15" t="inlineStr"/>
      <c r="D15" s="15" t="inlineStr"/>
      <c r="E15" s="16" t="inlineStr">
        <is>
          <t>Physical</t>
        </is>
      </c>
      <c r="F15" s="16" t="inlineStr"/>
      <c r="G15" s="16" t="inlineStr">
        <is>
          <t>N</t>
        </is>
      </c>
      <c r="H15" s="16" t="inlineStr"/>
      <c r="I15" s="16" t="inlineStr"/>
    </row>
    <row r="16" ht="22" customHeight="1">
      <c r="B16" s="8" t="n">
        <v>12</v>
      </c>
      <c r="C16" s="9" t="inlineStr"/>
      <c r="D16" s="9" t="inlineStr"/>
      <c r="E16" s="10" t="inlineStr">
        <is>
          <t>Physical</t>
        </is>
      </c>
      <c r="F16" s="10" t="inlineStr"/>
      <c r="G16" s="10" t="inlineStr">
        <is>
          <t>N</t>
        </is>
      </c>
      <c r="H16" s="10" t="inlineStr"/>
      <c r="I16" s="10" t="inlineStr"/>
    </row>
    <row r="17" ht="22" customHeight="1">
      <c r="B17" s="14" t="n">
        <v>13</v>
      </c>
      <c r="C17" s="15" t="inlineStr"/>
      <c r="D17" s="15" t="inlineStr"/>
      <c r="E17" s="16" t="inlineStr">
        <is>
          <t>Physical</t>
        </is>
      </c>
      <c r="F17" s="16" t="inlineStr"/>
      <c r="G17" s="16" t="inlineStr">
        <is>
          <t>N</t>
        </is>
      </c>
      <c r="H17" s="16" t="inlineStr"/>
      <c r="I17" s="16" t="inlineStr"/>
    </row>
    <row r="18" ht="22" customHeight="1">
      <c r="B18" s="8" t="n">
        <v>14</v>
      </c>
      <c r="C18" s="9" t="inlineStr"/>
      <c r="D18" s="9" t="inlineStr"/>
      <c r="E18" s="10" t="inlineStr">
        <is>
          <t>Physical</t>
        </is>
      </c>
      <c r="F18" s="10" t="inlineStr"/>
      <c r="G18" s="10" t="inlineStr">
        <is>
          <t>N</t>
        </is>
      </c>
      <c r="H18" s="10" t="inlineStr"/>
      <c r="I18" s="10" t="inlineStr"/>
    </row>
    <row r="19" ht="22" customHeight="1">
      <c r="B19" s="14" t="n">
        <v>15</v>
      </c>
      <c r="C19" s="15" t="inlineStr"/>
      <c r="D19" s="15" t="inlineStr"/>
      <c r="E19" s="16" t="inlineStr">
        <is>
          <t>Physical</t>
        </is>
      </c>
      <c r="F19" s="16" t="inlineStr"/>
      <c r="G19" s="16" t="inlineStr">
        <is>
          <t>N</t>
        </is>
      </c>
      <c r="H19" s="16" t="inlineStr"/>
      <c r="I19" s="16" t="inlineStr"/>
    </row>
    <row r="20" ht="22" customHeight="1">
      <c r="B20" s="8" t="n">
        <v>16</v>
      </c>
      <c r="C20" s="9" t="inlineStr"/>
      <c r="D20" s="9" t="inlineStr"/>
      <c r="E20" s="10" t="inlineStr">
        <is>
          <t>Physical</t>
        </is>
      </c>
      <c r="F20" s="10" t="inlineStr"/>
      <c r="G20" s="10" t="inlineStr">
        <is>
          <t>N</t>
        </is>
      </c>
      <c r="H20" s="10" t="inlineStr"/>
      <c r="I20" s="10" t="inlineStr"/>
    </row>
    <row r="21" ht="22" customHeight="1">
      <c r="B21" s="14" t="n">
        <v>17</v>
      </c>
      <c r="C21" s="15" t="inlineStr"/>
      <c r="D21" s="15" t="inlineStr"/>
      <c r="E21" s="16" t="inlineStr">
        <is>
          <t>Physical</t>
        </is>
      </c>
      <c r="F21" s="16" t="inlineStr"/>
      <c r="G21" s="16" t="inlineStr">
        <is>
          <t>N</t>
        </is>
      </c>
      <c r="H21" s="16" t="inlineStr"/>
      <c r="I21" s="16" t="inlineStr"/>
    </row>
    <row r="22" ht="22" customHeight="1"/>
    <row r="23" ht="24" customHeight="1">
      <c r="B23" s="20" t="inlineStr">
        <is>
          <t>QUORUM VERIFICATION</t>
        </is>
      </c>
    </row>
    <row r="24" ht="22" customHeight="1">
      <c r="B24" s="23" t="inlineStr">
        <is>
          <t>Total CC Members</t>
        </is>
      </c>
      <c r="G24" s="24" t="inlineStr"/>
    </row>
    <row r="25" ht="22" customHeight="1">
      <c r="B25" s="25" t="inlineStr">
        <is>
          <t>Present (Physical)</t>
        </is>
      </c>
      <c r="G25" s="24">
        <f>COUNTIF(F5:F21,"P")</f>
        <v/>
      </c>
    </row>
    <row r="26" ht="22" customHeight="1">
      <c r="B26" s="23" t="inlineStr">
        <is>
          <t>Present (VC)</t>
        </is>
      </c>
      <c r="G26" s="24" t="inlineStr"/>
    </row>
    <row r="27" ht="22" customHeight="1">
      <c r="B27" s="25" t="inlineStr">
        <is>
          <t>Total Effective</t>
        </is>
      </c>
      <c r="G27" s="24">
        <f>IFERROR(C25+C26,"")</f>
        <v/>
      </c>
    </row>
    <row r="28">
      <c r="B28" s="23" t="inlineStr">
        <is>
          <t>Quorum Required (50%)</t>
        </is>
      </c>
      <c r="G28" s="24" t="inlineStr"/>
    </row>
    <row r="29">
      <c r="B29" s="25" t="inlineStr">
        <is>
          <t>Quorum Achieved?</t>
        </is>
      </c>
      <c r="G29" s="26">
        <f>IFERROR(IF(C27&gt;=C28,"YES — Meeting Valid","NO — Adjourned"),"")</f>
        <v/>
      </c>
    </row>
  </sheetData>
  <mergeCells count="15">
    <mergeCell ref="G24:I24"/>
    <mergeCell ref="B29:F29"/>
    <mergeCell ref="G28:I28"/>
    <mergeCell ref="B24:F24"/>
    <mergeCell ref="G27:I27"/>
    <mergeCell ref="B2:I2"/>
    <mergeCell ref="B25:F25"/>
    <mergeCell ref="B28:F28"/>
    <mergeCell ref="B3:I3"/>
    <mergeCell ref="G26:I26"/>
    <mergeCell ref="B23:I23"/>
    <mergeCell ref="G29:I29"/>
    <mergeCell ref="B26:F26"/>
    <mergeCell ref="B27:F27"/>
    <mergeCell ref="G25:I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21"/>
  <sheetViews>
    <sheetView showGridLines="0" workbookViewId="0">
      <selection activeCell="A1" sqref="A1"/>
    </sheetView>
  </sheetViews>
  <sheetFormatPr baseColWidth="8" defaultRowHeight="15"/>
  <cols>
    <col width="3" customWidth="1" min="1" max="1"/>
    <col width="12" customWidth="1" min="2" max="2"/>
    <col width="38" customWidth="1" min="3" max="3"/>
    <col width="18" customWidth="1" min="4" max="4"/>
    <col width="12" customWidth="1" min="5" max="5"/>
    <col width="14" customWidth="1" min="6" max="6"/>
    <col width="14" customWidth="1" min="7" max="7"/>
    <col width="3" customWidth="1" min="8" max="8"/>
  </cols>
  <sheetData>
    <row r="1" ht="10" customHeight="1"/>
    <row r="2" ht="48" customHeight="1">
      <c r="B2" s="12" t="inlineStr">
        <is>
          <t>CC: MEETING MINUTES &amp; RESOLUTIONS</t>
        </is>
      </c>
    </row>
    <row r="3" ht="25" customHeight="1">
      <c r="B3" s="2" t="inlineStr">
        <is>
          <t>Meeting No.: _______  Date: _______  Venue: _______  Chairperson: ___________________</t>
        </is>
      </c>
    </row>
    <row r="4" ht="24" customHeight="1">
      <c r="B4" s="27" t="inlineStr">
        <is>
          <t>DISCUSSION &amp; RESOLUTIONS</t>
        </is>
      </c>
    </row>
    <row r="5" ht="30" customHeight="1">
      <c r="B5" s="28" t="inlineStr">
        <is>
          <t>Resolution
No.</t>
        </is>
      </c>
      <c r="C5" s="28" t="inlineStr">
        <is>
          <t>Discussion &amp; Resolution</t>
        </is>
      </c>
      <c r="D5" s="28" t="inlineStr">
        <is>
          <t>Responsible</t>
        </is>
      </c>
      <c r="E5" s="28" t="inlineStr">
        <is>
          <t>Voting</t>
        </is>
      </c>
      <c r="F5" s="28" t="inlineStr">
        <is>
          <t>Target
Date</t>
        </is>
      </c>
      <c r="G5" s="28" t="inlineStr">
        <is>
          <t>Status</t>
        </is>
      </c>
    </row>
    <row r="6" ht="30" customHeight="1">
      <c r="B6" s="14" t="inlineStr">
        <is>
          <t>CC/RES/001</t>
        </is>
      </c>
      <c r="C6" s="15" t="inlineStr"/>
      <c r="D6" s="16" t="inlineStr"/>
      <c r="E6" s="16" t="inlineStr"/>
      <c r="F6" s="16" t="inlineStr"/>
      <c r="G6" s="16" t="inlineStr">
        <is>
          <t>Pending</t>
        </is>
      </c>
    </row>
    <row r="7" ht="30" customHeight="1">
      <c r="B7" s="8" t="inlineStr">
        <is>
          <t>CC/RES/002</t>
        </is>
      </c>
      <c r="C7" s="9" t="inlineStr"/>
      <c r="D7" s="10" t="inlineStr"/>
      <c r="E7" s="10" t="inlineStr"/>
      <c r="F7" s="10" t="inlineStr"/>
      <c r="G7" s="10" t="inlineStr">
        <is>
          <t>Pending</t>
        </is>
      </c>
    </row>
    <row r="8" ht="30" customHeight="1">
      <c r="B8" s="14" t="inlineStr">
        <is>
          <t>CC/RES/003</t>
        </is>
      </c>
      <c r="C8" s="15" t="inlineStr"/>
      <c r="D8" s="16" t="inlineStr"/>
      <c r="E8" s="16" t="inlineStr"/>
      <c r="F8" s="16" t="inlineStr"/>
      <c r="G8" s="16" t="inlineStr">
        <is>
          <t>Pending</t>
        </is>
      </c>
    </row>
    <row r="9" ht="30" customHeight="1">
      <c r="B9" s="8" t="inlineStr">
        <is>
          <t>CC/RES/004</t>
        </is>
      </c>
      <c r="C9" s="9" t="inlineStr"/>
      <c r="D9" s="10" t="inlineStr"/>
      <c r="E9" s="10" t="inlineStr"/>
      <c r="F9" s="10" t="inlineStr"/>
      <c r="G9" s="10" t="inlineStr">
        <is>
          <t>Pending</t>
        </is>
      </c>
    </row>
    <row r="10" ht="30" customHeight="1">
      <c r="B10" s="14" t="inlineStr">
        <is>
          <t>CC/RES/005</t>
        </is>
      </c>
      <c r="C10" s="15" t="inlineStr"/>
      <c r="D10" s="16" t="inlineStr"/>
      <c r="E10" s="16" t="inlineStr"/>
      <c r="F10" s="16" t="inlineStr"/>
      <c r="G10" s="16" t="inlineStr">
        <is>
          <t>Pending</t>
        </is>
      </c>
    </row>
    <row r="11" ht="30" customHeight="1">
      <c r="B11" s="8" t="inlineStr">
        <is>
          <t>CC/RES/006</t>
        </is>
      </c>
      <c r="C11" s="9" t="inlineStr"/>
      <c r="D11" s="10" t="inlineStr"/>
      <c r="E11" s="10" t="inlineStr"/>
      <c r="F11" s="10" t="inlineStr"/>
      <c r="G11" s="10" t="inlineStr">
        <is>
          <t>Pending</t>
        </is>
      </c>
    </row>
    <row r="12" ht="30" customHeight="1">
      <c r="B12" s="14" t="inlineStr">
        <is>
          <t>CC/RES/007</t>
        </is>
      </c>
      <c r="C12" s="15" t="inlineStr"/>
      <c r="D12" s="16" t="inlineStr"/>
      <c r="E12" s="16" t="inlineStr"/>
      <c r="F12" s="16" t="inlineStr"/>
      <c r="G12" s="16" t="inlineStr">
        <is>
          <t>Pending</t>
        </is>
      </c>
    </row>
    <row r="13" ht="30" customHeight="1">
      <c r="B13" s="8" t="inlineStr">
        <is>
          <t>CC/RES/008</t>
        </is>
      </c>
      <c r="C13" s="9" t="inlineStr"/>
      <c r="D13" s="10" t="inlineStr"/>
      <c r="E13" s="10" t="inlineStr"/>
      <c r="F13" s="10" t="inlineStr"/>
      <c r="G13" s="10" t="inlineStr">
        <is>
          <t>Pending</t>
        </is>
      </c>
    </row>
    <row r="14" ht="30" customHeight="1">
      <c r="B14" s="14" t="inlineStr">
        <is>
          <t>CC/RES/009</t>
        </is>
      </c>
      <c r="C14" s="15" t="inlineStr"/>
      <c r="D14" s="16" t="inlineStr"/>
      <c r="E14" s="16" t="inlineStr"/>
      <c r="F14" s="16" t="inlineStr"/>
      <c r="G14" s="16" t="inlineStr">
        <is>
          <t>Pending</t>
        </is>
      </c>
    </row>
    <row r="15" ht="30" customHeight="1">
      <c r="B15" s="8" t="inlineStr">
        <is>
          <t>CC/RES/010</t>
        </is>
      </c>
      <c r="C15" s="9" t="inlineStr"/>
      <c r="D15" s="10" t="inlineStr"/>
      <c r="E15" s="10" t="inlineStr"/>
      <c r="F15" s="10" t="inlineStr"/>
      <c r="G15" s="10" t="inlineStr">
        <is>
          <t>Pending</t>
        </is>
      </c>
    </row>
    <row r="16" ht="30" customHeight="1">
      <c r="B16" s="14" t="inlineStr">
        <is>
          <t>CC/RES/011</t>
        </is>
      </c>
      <c r="C16" s="15" t="inlineStr"/>
      <c r="D16" s="16" t="inlineStr"/>
      <c r="E16" s="16" t="inlineStr"/>
      <c r="F16" s="16" t="inlineStr"/>
      <c r="G16" s="16" t="inlineStr">
        <is>
          <t>Pending</t>
        </is>
      </c>
    </row>
    <row r="17" ht="30" customHeight="1">
      <c r="B17" s="8" t="inlineStr">
        <is>
          <t>CC/RES/012</t>
        </is>
      </c>
      <c r="C17" s="9" t="inlineStr"/>
      <c r="D17" s="10" t="inlineStr"/>
      <c r="E17" s="10" t="inlineStr"/>
      <c r="F17" s="10" t="inlineStr"/>
      <c r="G17" s="10" t="inlineStr">
        <is>
          <t>Pending</t>
        </is>
      </c>
    </row>
    <row r="18" ht="30" customHeight="1">
      <c r="B18" s="14" t="inlineStr">
        <is>
          <t>CC/RES/013</t>
        </is>
      </c>
      <c r="C18" s="15" t="inlineStr"/>
      <c r="D18" s="16" t="inlineStr"/>
      <c r="E18" s="16" t="inlineStr"/>
      <c r="F18" s="16" t="inlineStr"/>
      <c r="G18" s="16" t="inlineStr">
        <is>
          <t>Pending</t>
        </is>
      </c>
    </row>
    <row r="19" ht="30" customHeight="1">
      <c r="B19" s="8" t="inlineStr">
        <is>
          <t>CC/RES/014</t>
        </is>
      </c>
      <c r="C19" s="9" t="inlineStr"/>
      <c r="D19" s="10" t="inlineStr"/>
      <c r="E19" s="10" t="inlineStr"/>
      <c r="F19" s="10" t="inlineStr"/>
      <c r="G19" s="10" t="inlineStr">
        <is>
          <t>Pending</t>
        </is>
      </c>
    </row>
    <row r="20" ht="30" customHeight="1"/>
    <row r="21" ht="30" customHeight="1">
      <c r="B21" s="29" t="inlineStr">
        <is>
          <t>Next Meeting: _______    Chairperson: ___________________    CC Coordinator: ___________________</t>
        </is>
      </c>
    </row>
  </sheetData>
  <mergeCells count="4">
    <mergeCell ref="B3:G3"/>
    <mergeCell ref="B2:G2"/>
    <mergeCell ref="B4:G4"/>
    <mergeCell ref="B21:G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cols>
    <col width="3" customWidth="1" min="1" max="1"/>
    <col width="14" customWidth="1" min="2" max="2"/>
    <col width="32" customWidth="1" min="3" max="3"/>
    <col width="20" customWidth="1" min="4" max="4"/>
    <col width="16" customWidth="1" min="5" max="5"/>
    <col width="13" customWidth="1" min="6" max="6"/>
    <col width="13" customWidth="1" min="7" max="7"/>
    <col width="16" customWidth="1" min="8" max="8"/>
    <col width="3" customWidth="1" min="9" max="9"/>
  </cols>
  <sheetData>
    <row r="1" ht="10" customHeight="1"/>
    <row r="2" ht="48" customHeight="1">
      <c r="B2" s="12" t="inlineStr">
        <is>
          <t>CC: ACTION TAKEN REPORT (ATR)</t>
        </is>
      </c>
    </row>
    <row r="3" ht="25" customHeight="1">
      <c r="B3" s="2" t="inlineStr">
        <is>
          <t>Current Meeting No.: _______  Date: _______  Previous Meeting Ref.: _______</t>
        </is>
      </c>
    </row>
    <row r="4" ht="25" customHeight="1">
      <c r="B4" s="30" t="inlineStr">
        <is>
          <t>Resolution
No.</t>
        </is>
      </c>
      <c r="C4" s="30" t="inlineStr">
        <is>
          <t>Resolution / Decision</t>
        </is>
      </c>
      <c r="D4" s="30" t="inlineStr">
        <is>
          <t>Action Required</t>
        </is>
      </c>
      <c r="E4" s="30" t="inlineStr">
        <is>
          <t>Responsible</t>
        </is>
      </c>
      <c r="F4" s="30" t="inlineStr">
        <is>
          <t>Target
Date</t>
        </is>
      </c>
      <c r="G4" s="30" t="inlineStr">
        <is>
          <t>Completion
Date</t>
        </is>
      </c>
      <c r="H4" s="30" t="inlineStr">
        <is>
          <t>Status</t>
        </is>
      </c>
    </row>
    <row r="5" ht="26" customHeight="1">
      <c r="B5" s="31" t="inlineStr">
        <is>
          <t>CC/RES/001</t>
        </is>
      </c>
      <c r="C5" s="32" t="inlineStr"/>
      <c r="D5" s="32" t="inlineStr"/>
      <c r="E5" s="33" t="inlineStr"/>
      <c r="F5" s="33" t="inlineStr"/>
      <c r="G5" s="33" t="inlineStr"/>
      <c r="H5" s="32" t="inlineStr">
        <is>
          <t>In Progress</t>
        </is>
      </c>
    </row>
    <row r="6" ht="26" customHeight="1">
      <c r="B6" s="8" t="inlineStr">
        <is>
          <t>CC/RES/002</t>
        </is>
      </c>
      <c r="C6" s="9" t="inlineStr"/>
      <c r="D6" s="9" t="inlineStr"/>
      <c r="E6" s="10" t="inlineStr"/>
      <c r="F6" s="10" t="inlineStr"/>
      <c r="G6" s="10" t="inlineStr"/>
      <c r="H6" s="9" t="inlineStr">
        <is>
          <t>In Progress</t>
        </is>
      </c>
    </row>
    <row r="7" ht="26" customHeight="1">
      <c r="B7" s="31" t="inlineStr">
        <is>
          <t>CC/RES/003</t>
        </is>
      </c>
      <c r="C7" s="32" t="inlineStr"/>
      <c r="D7" s="32" t="inlineStr"/>
      <c r="E7" s="33" t="inlineStr"/>
      <c r="F7" s="33" t="inlineStr"/>
      <c r="G7" s="33" t="inlineStr"/>
      <c r="H7" s="32" t="inlineStr">
        <is>
          <t>In Progress</t>
        </is>
      </c>
    </row>
    <row r="8" ht="26" customHeight="1">
      <c r="B8" s="8" t="inlineStr">
        <is>
          <t>CC/RES/004</t>
        </is>
      </c>
      <c r="C8" s="9" t="inlineStr"/>
      <c r="D8" s="9" t="inlineStr"/>
      <c r="E8" s="10" t="inlineStr"/>
      <c r="F8" s="10" t="inlineStr"/>
      <c r="G8" s="10" t="inlineStr"/>
      <c r="H8" s="9" t="inlineStr">
        <is>
          <t>In Progress</t>
        </is>
      </c>
    </row>
    <row r="9" ht="26" customHeight="1">
      <c r="B9" s="31" t="inlineStr">
        <is>
          <t>CC/RES/005</t>
        </is>
      </c>
      <c r="C9" s="32" t="inlineStr"/>
      <c r="D9" s="32" t="inlineStr"/>
      <c r="E9" s="33" t="inlineStr"/>
      <c r="F9" s="33" t="inlineStr"/>
      <c r="G9" s="33" t="inlineStr"/>
      <c r="H9" s="32" t="inlineStr">
        <is>
          <t>In Progress</t>
        </is>
      </c>
    </row>
    <row r="10" ht="26" customHeight="1">
      <c r="B10" s="8" t="inlineStr">
        <is>
          <t>CC/RES/006</t>
        </is>
      </c>
      <c r="C10" s="9" t="inlineStr"/>
      <c r="D10" s="9" t="inlineStr"/>
      <c r="E10" s="10" t="inlineStr"/>
      <c r="F10" s="10" t="inlineStr"/>
      <c r="G10" s="10" t="inlineStr"/>
      <c r="H10" s="9" t="inlineStr">
        <is>
          <t>In Progress</t>
        </is>
      </c>
    </row>
    <row r="11" ht="26" customHeight="1">
      <c r="B11" s="31" t="inlineStr">
        <is>
          <t>CC/RES/007</t>
        </is>
      </c>
      <c r="C11" s="32" t="inlineStr"/>
      <c r="D11" s="32" t="inlineStr"/>
      <c r="E11" s="33" t="inlineStr"/>
      <c r="F11" s="33" t="inlineStr"/>
      <c r="G11" s="33" t="inlineStr"/>
      <c r="H11" s="32" t="inlineStr">
        <is>
          <t>In Progress</t>
        </is>
      </c>
    </row>
    <row r="12" ht="26" customHeight="1">
      <c r="B12" s="8" t="inlineStr">
        <is>
          <t>CC/RES/008</t>
        </is>
      </c>
      <c r="C12" s="9" t="inlineStr"/>
      <c r="D12" s="9" t="inlineStr"/>
      <c r="E12" s="10" t="inlineStr"/>
      <c r="F12" s="10" t="inlineStr"/>
      <c r="G12" s="10" t="inlineStr"/>
      <c r="H12" s="9" t="inlineStr">
        <is>
          <t>In Progress</t>
        </is>
      </c>
    </row>
    <row r="13" ht="26" customHeight="1">
      <c r="B13" s="31" t="inlineStr">
        <is>
          <t>CC/RES/009</t>
        </is>
      </c>
      <c r="C13" s="32" t="inlineStr"/>
      <c r="D13" s="32" t="inlineStr"/>
      <c r="E13" s="33" t="inlineStr"/>
      <c r="F13" s="33" t="inlineStr"/>
      <c r="G13" s="33" t="inlineStr"/>
      <c r="H13" s="32" t="inlineStr">
        <is>
          <t>In Progress</t>
        </is>
      </c>
    </row>
    <row r="14" ht="26" customHeight="1">
      <c r="B14" s="8" t="inlineStr">
        <is>
          <t>CC/RES/010</t>
        </is>
      </c>
      <c r="C14" s="9" t="inlineStr"/>
      <c r="D14" s="9" t="inlineStr"/>
      <c r="E14" s="10" t="inlineStr"/>
      <c r="F14" s="10" t="inlineStr"/>
      <c r="G14" s="10" t="inlineStr"/>
      <c r="H14" s="9" t="inlineStr">
        <is>
          <t>In Progress</t>
        </is>
      </c>
    </row>
    <row r="15" ht="26" customHeight="1">
      <c r="B15" s="31" t="inlineStr">
        <is>
          <t>CC/RES/011</t>
        </is>
      </c>
      <c r="C15" s="32" t="inlineStr"/>
      <c r="D15" s="32" t="inlineStr"/>
      <c r="E15" s="33" t="inlineStr"/>
      <c r="F15" s="33" t="inlineStr"/>
      <c r="G15" s="33" t="inlineStr"/>
      <c r="H15" s="32" t="inlineStr">
        <is>
          <t>In Progress</t>
        </is>
      </c>
    </row>
    <row r="16" ht="26" customHeight="1">
      <c r="B16" s="8" t="inlineStr">
        <is>
          <t>CC/RES/012</t>
        </is>
      </c>
      <c r="C16" s="9" t="inlineStr"/>
      <c r="D16" s="9" t="inlineStr"/>
      <c r="E16" s="10" t="inlineStr"/>
      <c r="F16" s="10" t="inlineStr"/>
      <c r="G16" s="10" t="inlineStr"/>
      <c r="H16" s="9" t="inlineStr">
        <is>
          <t>In Progress</t>
        </is>
      </c>
    </row>
    <row r="17" ht="26" customHeight="1">
      <c r="B17" s="31" t="inlineStr">
        <is>
          <t>CC/RES/013</t>
        </is>
      </c>
      <c r="C17" s="32" t="inlineStr"/>
      <c r="D17" s="32" t="inlineStr"/>
      <c r="E17" s="33" t="inlineStr"/>
      <c r="F17" s="33" t="inlineStr"/>
      <c r="G17" s="33" t="inlineStr"/>
      <c r="H17" s="32" t="inlineStr">
        <is>
          <t>In Progress</t>
        </is>
      </c>
    </row>
    <row r="18" ht="26" customHeight="1">
      <c r="B18" s="8" t="inlineStr">
        <is>
          <t>CC/RES/014</t>
        </is>
      </c>
      <c r="C18" s="9" t="inlineStr"/>
      <c r="D18" s="9" t="inlineStr"/>
      <c r="E18" s="10" t="inlineStr"/>
      <c r="F18" s="10" t="inlineStr"/>
      <c r="G18" s="10" t="inlineStr"/>
      <c r="H18" s="9" t="inlineStr">
        <is>
          <t>In Progress</t>
        </is>
      </c>
    </row>
    <row r="19" ht="26" customHeight="1"/>
    <row r="20" ht="24" customHeight="1">
      <c r="B20" s="34" t="inlineStr">
        <is>
          <t>ATR SUMMARY</t>
        </is>
      </c>
    </row>
    <row r="21" ht="26" customHeight="1">
      <c r="B21" s="35" t="inlineStr">
        <is>
          <t>Total Resolutions Under Review</t>
        </is>
      </c>
      <c r="F21" s="36">
        <f>COUNTA(B5:B18)</f>
        <v/>
      </c>
    </row>
    <row r="22" ht="26" customHeight="1">
      <c r="B22" s="25" t="inlineStr">
        <is>
          <t>Implemented</t>
        </is>
      </c>
      <c r="F22" s="37">
        <f>COUNTIF(H5:H18,"Implemented")</f>
        <v/>
      </c>
    </row>
    <row r="23" ht="26" customHeight="1">
      <c r="B23" s="35" t="inlineStr">
        <is>
          <t>In Progress</t>
        </is>
      </c>
      <c r="F23" s="36">
        <f>COUNTIF(H5:H18,"In Progress")</f>
        <v/>
      </c>
    </row>
    <row r="24">
      <c r="B24" s="25" t="inlineStr">
        <is>
          <t>Pending</t>
        </is>
      </c>
      <c r="F24" s="37">
        <f>COUNTIF(H5:H18,"Pending")</f>
        <v/>
      </c>
    </row>
    <row r="25">
      <c r="B25" s="35" t="inlineStr">
        <is>
          <t>Deferred</t>
        </is>
      </c>
      <c r="F25" s="36">
        <f>COUNTIF(H5:H18,"Deferred")</f>
        <v/>
      </c>
    </row>
    <row r="26">
      <c r="B26" s="25" t="inlineStr">
        <is>
          <t>Implementation Rate (%)</t>
        </is>
      </c>
      <c r="F26" s="37">
        <f>IFERROR(ROUND(C22/C21*100,1),"")</f>
        <v/>
      </c>
    </row>
  </sheetData>
  <mergeCells count="15">
    <mergeCell ref="F23:H23"/>
    <mergeCell ref="B23:E23"/>
    <mergeCell ref="B26:E26"/>
    <mergeCell ref="F22:H22"/>
    <mergeCell ref="B21:E21"/>
    <mergeCell ref="F26:H26"/>
    <mergeCell ref="B2:H2"/>
    <mergeCell ref="B25:E25"/>
    <mergeCell ref="B24:E24"/>
    <mergeCell ref="B3:H3"/>
    <mergeCell ref="F21:H21"/>
    <mergeCell ref="B20:H20"/>
    <mergeCell ref="B22:E22"/>
    <mergeCell ref="F24:H24"/>
    <mergeCell ref="F25:H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L28"/>
  <sheetViews>
    <sheetView showGridLines="0" workbookViewId="0">
      <selection activeCell="A1" sqref="A1"/>
    </sheetView>
  </sheetViews>
  <sheetFormatPr baseColWidth="8" defaultRowHeight="15"/>
  <cols>
    <col width="3" customWidth="1" min="1" max="1"/>
    <col width="8" customWidth="1" min="2" max="2"/>
    <col width="2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3" customWidth="1" min="13" max="13"/>
  </cols>
  <sheetData>
    <row r="1" ht="10" customHeight="1"/>
    <row r="2" ht="48" customHeight="1">
      <c r="B2" s="12" t="inlineStr">
        <is>
          <t>CC-06: CONSTRUCTION PROJECT REGISTER — ALL ACTIVE &amp; RECENT PROJECTS</t>
        </is>
      </c>
    </row>
    <row r="3" ht="20" customHeight="1">
      <c r="B3" s="2" t="inlineStr">
        <is>
          <t>Institution: _________________________  CC Coordinator: ___________________  Last Updated: _______</t>
        </is>
      </c>
    </row>
    <row r="4" ht="25" customHeight="1">
      <c r="B4" s="13" t="inlineStr">
        <is>
          <t>Project
Ref.</t>
        </is>
      </c>
      <c r="C4" s="13" t="inlineStr">
        <is>
          <t>Project Name /
Description</t>
        </is>
      </c>
      <c r="D4" s="13" t="inlineStr">
        <is>
          <t>Category</t>
        </is>
      </c>
      <c r="E4" s="13" t="inlineStr">
        <is>
          <t>Estimated
Cost (₹L)</t>
        </is>
      </c>
      <c r="F4" s="13" t="inlineStr">
        <is>
          <t>Contract
Amount (₹L)</t>
        </is>
      </c>
      <c r="G4" s="13" t="inlineStr">
        <is>
          <t>Start
Date</t>
        </is>
      </c>
      <c r="H4" s="13" t="inlineStr">
        <is>
          <t>Planned
Completion</t>
        </is>
      </c>
      <c r="I4" s="13" t="inlineStr">
        <is>
          <t>Contractor</t>
        </is>
      </c>
      <c r="J4" s="13" t="inlineStr">
        <is>
          <t>Physical
Progress %</t>
        </is>
      </c>
      <c r="K4" s="13" t="inlineStr">
        <is>
          <t>Financial
Progress %</t>
        </is>
      </c>
      <c r="L4" s="13" t="inlineStr">
        <is>
          <t>Status</t>
        </is>
      </c>
    </row>
    <row r="5" ht="22" customHeight="1">
      <c r="B5" s="14" t="inlineStr">
        <is>
          <t>PRJ/2023/001</t>
        </is>
      </c>
      <c r="C5" s="15" t="inlineStr"/>
      <c r="D5" s="16" t="inlineStr">
        <is>
          <t>New Building — Academic</t>
        </is>
      </c>
      <c r="E5" s="16" t="inlineStr"/>
      <c r="F5" s="16" t="inlineStr"/>
      <c r="G5" s="16" t="inlineStr"/>
      <c r="H5" s="16" t="inlineStr"/>
      <c r="I5" s="15" t="inlineStr"/>
      <c r="J5" s="16" t="inlineStr"/>
      <c r="K5" s="16" t="inlineStr"/>
      <c r="L5" s="16" t="inlineStr">
        <is>
          <t>Planning</t>
        </is>
      </c>
    </row>
    <row r="6" ht="22" customHeight="1">
      <c r="B6" s="8" t="inlineStr">
        <is>
          <t>PRJ/2023/002</t>
        </is>
      </c>
      <c r="C6" s="9" t="inlineStr"/>
      <c r="D6" s="10" t="inlineStr">
        <is>
          <t>New Building — Hostel</t>
        </is>
      </c>
      <c r="E6" s="10" t="inlineStr"/>
      <c r="F6" s="10" t="inlineStr"/>
      <c r="G6" s="10" t="inlineStr"/>
      <c r="H6" s="10" t="inlineStr"/>
      <c r="I6" s="9" t="inlineStr"/>
      <c r="J6" s="10" t="inlineStr"/>
      <c r="K6" s="10" t="inlineStr"/>
      <c r="L6" s="10" t="inlineStr">
        <is>
          <t>Design Stage</t>
        </is>
      </c>
    </row>
    <row r="7" ht="22" customHeight="1">
      <c r="B7" s="14" t="inlineStr">
        <is>
          <t>PRJ/2023/003</t>
        </is>
      </c>
      <c r="C7" s="15" t="inlineStr"/>
      <c r="D7" s="16" t="inlineStr">
        <is>
          <t>New Building — Admin</t>
        </is>
      </c>
      <c r="E7" s="16" t="inlineStr"/>
      <c r="F7" s="16" t="inlineStr"/>
      <c r="G7" s="16" t="inlineStr"/>
      <c r="H7" s="16" t="inlineStr"/>
      <c r="I7" s="15" t="inlineStr"/>
      <c r="J7" s="16" t="inlineStr"/>
      <c r="K7" s="16" t="inlineStr"/>
      <c r="L7" s="16" t="inlineStr">
        <is>
          <t>Tender Stage</t>
        </is>
      </c>
    </row>
    <row r="8" ht="22" customHeight="1">
      <c r="B8" s="8" t="inlineStr">
        <is>
          <t>PRJ/2023/004</t>
        </is>
      </c>
      <c r="C8" s="9" t="inlineStr"/>
      <c r="D8" s="10" t="inlineStr">
        <is>
          <t>Renovation — Academic</t>
        </is>
      </c>
      <c r="E8" s="10" t="inlineStr"/>
      <c r="F8" s="10" t="inlineStr"/>
      <c r="G8" s="10" t="inlineStr"/>
      <c r="H8" s="10" t="inlineStr"/>
      <c r="I8" s="9" t="inlineStr"/>
      <c r="J8" s="10" t="inlineStr"/>
      <c r="K8" s="10" t="inlineStr"/>
      <c r="L8" s="10" t="inlineStr">
        <is>
          <t>Under Construction</t>
        </is>
      </c>
    </row>
    <row r="9" ht="22" customHeight="1">
      <c r="B9" s="14" t="inlineStr">
        <is>
          <t>PRJ/2024/005</t>
        </is>
      </c>
      <c r="C9" s="15" t="inlineStr"/>
      <c r="D9" s="16" t="inlineStr">
        <is>
          <t>Renovation — Lab</t>
        </is>
      </c>
      <c r="E9" s="16" t="inlineStr"/>
      <c r="F9" s="16" t="inlineStr"/>
      <c r="G9" s="16" t="inlineStr"/>
      <c r="H9" s="16" t="inlineStr"/>
      <c r="I9" s="15" t="inlineStr"/>
      <c r="J9" s="16" t="inlineStr"/>
      <c r="K9" s="16" t="inlineStr"/>
      <c r="L9" s="16" t="inlineStr">
        <is>
          <t>Structural Complete</t>
        </is>
      </c>
    </row>
    <row r="10" ht="22" customHeight="1">
      <c r="B10" s="8" t="inlineStr">
        <is>
          <t>PRJ/2024/006</t>
        </is>
      </c>
      <c r="C10" s="9" t="inlineStr"/>
      <c r="D10" s="10" t="inlineStr">
        <is>
          <t>Renovation — Hostel</t>
        </is>
      </c>
      <c r="E10" s="10" t="inlineStr"/>
      <c r="F10" s="10" t="inlineStr"/>
      <c r="G10" s="10" t="inlineStr"/>
      <c r="H10" s="10" t="inlineStr"/>
      <c r="I10" s="9" t="inlineStr"/>
      <c r="J10" s="10" t="inlineStr"/>
      <c r="K10" s="10" t="inlineStr"/>
      <c r="L10" s="10" t="inlineStr">
        <is>
          <t>Finishing Stage</t>
        </is>
      </c>
    </row>
    <row r="11" ht="22" customHeight="1">
      <c r="B11" s="14" t="inlineStr">
        <is>
          <t>PRJ/2024/007</t>
        </is>
      </c>
      <c r="C11" s="15" t="inlineStr"/>
      <c r="D11" s="16" t="inlineStr">
        <is>
          <t>Infrastructure — Road</t>
        </is>
      </c>
      <c r="E11" s="16" t="inlineStr"/>
      <c r="F11" s="16" t="inlineStr"/>
      <c r="G11" s="16" t="inlineStr"/>
      <c r="H11" s="16" t="inlineStr"/>
      <c r="I11" s="15" t="inlineStr"/>
      <c r="J11" s="16" t="inlineStr"/>
      <c r="K11" s="16" t="inlineStr"/>
      <c r="L11" s="16" t="inlineStr">
        <is>
          <t>Practical Completion</t>
        </is>
      </c>
    </row>
    <row r="12" ht="22" customHeight="1">
      <c r="B12" s="8" t="inlineStr">
        <is>
          <t>PRJ/2024/008</t>
        </is>
      </c>
      <c r="C12" s="9" t="inlineStr"/>
      <c r="D12" s="10" t="inlineStr">
        <is>
          <t>Infrastructure — Drainage</t>
        </is>
      </c>
      <c r="E12" s="10" t="inlineStr"/>
      <c r="F12" s="10" t="inlineStr"/>
      <c r="G12" s="10" t="inlineStr"/>
      <c r="H12" s="10" t="inlineStr"/>
      <c r="I12" s="9" t="inlineStr"/>
      <c r="J12" s="10" t="inlineStr"/>
      <c r="K12" s="10" t="inlineStr"/>
      <c r="L12" s="10" t="inlineStr">
        <is>
          <t>DLP Period</t>
        </is>
      </c>
    </row>
    <row r="13" ht="22" customHeight="1">
      <c r="B13" s="14" t="inlineStr">
        <is>
          <t>PRJ/2025/009</t>
        </is>
      </c>
      <c r="C13" s="15" t="inlineStr"/>
      <c r="D13" s="16" t="inlineStr">
        <is>
          <t>Infrastructure — Compound Wall</t>
        </is>
      </c>
      <c r="E13" s="16" t="inlineStr"/>
      <c r="F13" s="16" t="inlineStr"/>
      <c r="G13" s="16" t="inlineStr"/>
      <c r="H13" s="16" t="inlineStr"/>
      <c r="I13" s="15" t="inlineStr"/>
      <c r="J13" s="16" t="inlineStr"/>
      <c r="K13" s="16" t="inlineStr"/>
      <c r="L13" s="16" t="inlineStr">
        <is>
          <t>Completed &amp; Handed Over</t>
        </is>
      </c>
    </row>
    <row r="14" ht="22" customHeight="1">
      <c r="B14" s="8" t="inlineStr">
        <is>
          <t>PRJ/2025/010</t>
        </is>
      </c>
      <c r="C14" s="9" t="inlineStr"/>
      <c r="D14" s="10" t="inlineStr">
        <is>
          <t>Extension / Addition</t>
        </is>
      </c>
      <c r="E14" s="10" t="inlineStr"/>
      <c r="F14" s="10" t="inlineStr"/>
      <c r="G14" s="10" t="inlineStr"/>
      <c r="H14" s="10" t="inlineStr"/>
      <c r="I14" s="9" t="inlineStr"/>
      <c r="J14" s="10" t="inlineStr"/>
      <c r="K14" s="10" t="inlineStr"/>
      <c r="L14" s="10" t="inlineStr">
        <is>
          <t>On Hold</t>
        </is>
      </c>
    </row>
    <row r="15" ht="22" customHeight="1">
      <c r="B15" s="14" t="inlineStr">
        <is>
          <t>PRJ/2025/011</t>
        </is>
      </c>
      <c r="C15" s="15" t="inlineStr"/>
      <c r="D15" s="16" t="inlineStr">
        <is>
          <t>Interior Works</t>
        </is>
      </c>
      <c r="E15" s="16" t="inlineStr"/>
      <c r="F15" s="16" t="inlineStr"/>
      <c r="G15" s="16" t="inlineStr"/>
      <c r="H15" s="16" t="inlineStr"/>
      <c r="I15" s="15" t="inlineStr"/>
      <c r="J15" s="16" t="inlineStr"/>
      <c r="K15" s="16" t="inlineStr"/>
      <c r="L15" s="16" t="inlineStr">
        <is>
          <t>Cancelled</t>
        </is>
      </c>
    </row>
    <row r="16" ht="22" customHeight="1">
      <c r="B16" s="8" t="inlineStr">
        <is>
          <t>PRJ/2025/012</t>
        </is>
      </c>
      <c r="C16" s="9" t="inlineStr"/>
      <c r="D16" s="10" t="inlineStr">
        <is>
          <t>Electrical Works</t>
        </is>
      </c>
      <c r="E16" s="10" t="inlineStr"/>
      <c r="F16" s="10" t="inlineStr"/>
      <c r="G16" s="10" t="inlineStr"/>
      <c r="H16" s="10" t="inlineStr"/>
      <c r="I16" s="9" t="inlineStr"/>
      <c r="J16" s="10" t="inlineStr"/>
      <c r="K16" s="10" t="inlineStr"/>
      <c r="L16" s="10" t="inlineStr">
        <is>
          <t>Planning</t>
        </is>
      </c>
    </row>
    <row r="17" ht="22" customHeight="1">
      <c r="B17" s="14" t="inlineStr">
        <is>
          <t>PRJ/2026/013</t>
        </is>
      </c>
      <c r="C17" s="15" t="inlineStr"/>
      <c r="D17" s="16" t="inlineStr">
        <is>
          <t>Civil Repair</t>
        </is>
      </c>
      <c r="E17" s="16" t="inlineStr"/>
      <c r="F17" s="16" t="inlineStr"/>
      <c r="G17" s="16" t="inlineStr"/>
      <c r="H17" s="16" t="inlineStr"/>
      <c r="I17" s="15" t="inlineStr"/>
      <c r="J17" s="16" t="inlineStr"/>
      <c r="K17" s="16" t="inlineStr"/>
      <c r="L17" s="16" t="inlineStr">
        <is>
          <t>Design Stage</t>
        </is>
      </c>
    </row>
    <row r="18" ht="22" customHeight="1">
      <c r="B18" s="8" t="inlineStr">
        <is>
          <t>PRJ/2026/014</t>
        </is>
      </c>
      <c r="C18" s="9" t="inlineStr"/>
      <c r="D18" s="10" t="inlineStr">
        <is>
          <t>Sports Facility</t>
        </is>
      </c>
      <c r="E18" s="10" t="inlineStr"/>
      <c r="F18" s="10" t="inlineStr"/>
      <c r="G18" s="10" t="inlineStr"/>
      <c r="H18" s="10" t="inlineStr"/>
      <c r="I18" s="9" t="inlineStr"/>
      <c r="J18" s="10" t="inlineStr"/>
      <c r="K18" s="10" t="inlineStr"/>
      <c r="L18" s="10" t="inlineStr">
        <is>
          <t>Tender Stage</t>
        </is>
      </c>
    </row>
    <row r="19" ht="22" customHeight="1">
      <c r="B19" s="14" t="inlineStr">
        <is>
          <t>PRJ/2026/015</t>
        </is>
      </c>
      <c r="C19" s="15" t="inlineStr"/>
      <c r="D19" s="16" t="inlineStr">
        <is>
          <t>Green Campus</t>
        </is>
      </c>
      <c r="E19" s="16" t="inlineStr"/>
      <c r="F19" s="16" t="inlineStr"/>
      <c r="G19" s="16" t="inlineStr"/>
      <c r="H19" s="16" t="inlineStr"/>
      <c r="I19" s="15" t="inlineStr"/>
      <c r="J19" s="16" t="inlineStr"/>
      <c r="K19" s="16" t="inlineStr"/>
      <c r="L19" s="16" t="inlineStr">
        <is>
          <t>Under Construction</t>
        </is>
      </c>
    </row>
    <row r="20" ht="22" customHeight="1">
      <c r="B20" s="8" t="inlineStr">
        <is>
          <t>PRJ/2026/016</t>
        </is>
      </c>
      <c r="C20" s="9" t="inlineStr"/>
      <c r="D20" s="10" t="inlineStr">
        <is>
          <t>New Building — Academic</t>
        </is>
      </c>
      <c r="E20" s="10" t="inlineStr"/>
      <c r="F20" s="10" t="inlineStr"/>
      <c r="G20" s="10" t="inlineStr"/>
      <c r="H20" s="10" t="inlineStr"/>
      <c r="I20" s="9" t="inlineStr"/>
      <c r="J20" s="10" t="inlineStr"/>
      <c r="K20" s="10" t="inlineStr"/>
      <c r="L20" s="10" t="inlineStr">
        <is>
          <t>Structural Complete</t>
        </is>
      </c>
    </row>
    <row r="21" ht="22" customHeight="1"/>
    <row r="22" ht="24" customHeight="1">
      <c r="B22" s="34" t="inlineStr">
        <is>
          <t>PROJECT PORTFOLIO SUMMARY</t>
        </is>
      </c>
    </row>
    <row r="23" ht="22" customHeight="1">
      <c r="B23" s="38" t="inlineStr">
        <is>
          <t>Total Projects</t>
        </is>
      </c>
      <c r="F23" s="36">
        <f>COUNTA(B5:B20)</f>
        <v/>
      </c>
    </row>
    <row r="24" ht="22" customHeight="1">
      <c r="B24" s="25" t="inlineStr">
        <is>
          <t>Under Construction</t>
        </is>
      </c>
      <c r="F24" s="37">
        <f>COUNTIF(L5:L20,"Under Construction")</f>
        <v/>
      </c>
    </row>
    <row r="25" ht="22" customHeight="1">
      <c r="B25" s="38" t="inlineStr">
        <is>
          <t>Completed &amp; Handed Over</t>
        </is>
      </c>
      <c r="F25" s="36">
        <f>COUNTIF(L5:L20,"Completed &amp; Handed Over")</f>
        <v/>
      </c>
    </row>
    <row r="26" ht="22" customHeight="1">
      <c r="B26" s="25" t="inlineStr">
        <is>
          <t>On Hold / Cancelled</t>
        </is>
      </c>
      <c r="F26" s="37">
        <f>COUNTIF(L5:L20,"On Hold")+COUNTIF(L5:L20,"Cancelled")</f>
        <v/>
      </c>
    </row>
    <row r="27" ht="22" customHeight="1">
      <c r="B27" s="38" t="inlineStr">
        <is>
          <t>Total Contracted Value (₹L)</t>
        </is>
      </c>
      <c r="F27" s="36">
        <f>IFERROR(SUM(F5:F20),"")</f>
        <v/>
      </c>
    </row>
    <row r="28">
      <c r="B28" s="25" t="inlineStr">
        <is>
          <t>Projects Behind Schedule</t>
        </is>
      </c>
      <c r="F28" s="37" t="inlineStr"/>
    </row>
  </sheetData>
  <mergeCells count="15">
    <mergeCell ref="B23:E23"/>
    <mergeCell ref="B26:E26"/>
    <mergeCell ref="B27:E27"/>
    <mergeCell ref="F28:L28"/>
    <mergeCell ref="F26:L26"/>
    <mergeCell ref="F27:L27"/>
    <mergeCell ref="B3:L3"/>
    <mergeCell ref="B2:L2"/>
    <mergeCell ref="B25:E25"/>
    <mergeCell ref="F24:L24"/>
    <mergeCell ref="B24:E24"/>
    <mergeCell ref="B22:L22"/>
    <mergeCell ref="B28:E28"/>
    <mergeCell ref="F25:L25"/>
    <mergeCell ref="F23:L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E49"/>
  <sheetViews>
    <sheetView showGridLines="0" workbookViewId="0">
      <selection activeCell="A1" sqref="A1"/>
    </sheetView>
  </sheetViews>
  <sheetFormatPr baseColWidth="8" defaultRowHeight="15"/>
  <cols>
    <col width="3" customWidth="1" min="1" max="1"/>
    <col width="8" customWidth="1" min="2" max="2"/>
    <col width="32" customWidth="1" min="3" max="3"/>
    <col width="20" customWidth="1" min="4" max="4"/>
    <col width="20" customWidth="1" min="5" max="5"/>
    <col width="3" customWidth="1" min="6" max="6"/>
  </cols>
  <sheetData>
    <row r="1" ht="10" customHeight="1"/>
    <row r="2" ht="52" customHeight="1">
      <c r="B2" s="12" t="inlineStr">
        <is>
          <t>CC-05: CONSTRUCTION PROJECT PROPOSAL FORM</t>
        </is>
      </c>
    </row>
    <row r="3" ht="25" customHeight="1">
      <c r="B3" s="2" t="inlineStr">
        <is>
          <t>Proposal Ref.: CC/PROP/______/______   Submitted by: _______   Date: _______</t>
        </is>
      </c>
    </row>
    <row r="4" ht="24" customHeight="1">
      <c r="B4" s="19" t="inlineStr">
        <is>
          <t>SECTION A — PROJECT DETAILS</t>
        </is>
      </c>
    </row>
    <row r="5" ht="26" customHeight="1">
      <c r="B5" s="39" t="inlineStr">
        <is>
          <t>Project Title:</t>
        </is>
      </c>
      <c r="C5" s="9" t="n"/>
    </row>
    <row r="6" ht="26" customHeight="1">
      <c r="B6" s="39" t="inlineStr">
        <is>
          <t>Project Category:</t>
        </is>
      </c>
      <c r="C6" s="40" t="inlineStr">
        <is>
          <t>[ ] New Construction  [ ] Renovation  [ ] Extension  [ ] Infrastructure  [ ] Interior  [ ] Other</t>
        </is>
      </c>
    </row>
    <row r="7" ht="26" customHeight="1">
      <c r="B7" s="39" t="inlineStr">
        <is>
          <t>Location on Campus:</t>
        </is>
      </c>
      <c r="C7" s="9" t="n"/>
    </row>
    <row r="8" ht="26" customHeight="1">
      <c r="B8" s="39" t="inlineStr">
        <is>
          <t>Total Built-up Area (m²):</t>
        </is>
      </c>
      <c r="C8" s="9" t="n"/>
    </row>
    <row r="9" ht="26" customHeight="1">
      <c r="B9" s="39" t="inlineStr">
        <is>
          <t>Number of Floors:</t>
        </is>
      </c>
      <c r="C9" s="9" t="n"/>
    </row>
    <row r="10" ht="26" customHeight="1">
      <c r="B10" s="39" t="inlineStr">
        <is>
          <t>Justification / Need:</t>
        </is>
      </c>
      <c r="C10" s="9" t="n"/>
    </row>
    <row r="11" ht="26" customHeight="1">
      <c r="B11" s="39" t="inlineStr">
        <is>
          <t>User Department(s):</t>
        </is>
      </c>
      <c r="C11" s="9" t="n"/>
    </row>
    <row r="12" ht="26" customHeight="1">
      <c r="B12" s="39" t="inlineStr">
        <is>
          <t>Priority Level:</t>
        </is>
      </c>
      <c r="C12" s="40" t="inlineStr">
        <is>
          <t>[ ] Critical — Immediate  [ ] High — This A.Y.  [ ] Medium — Next A.Y.  [ ] Low — Future Plan</t>
        </is>
      </c>
    </row>
    <row r="13" ht="26" customHeight="1">
      <c r="B13" s="39" t="inlineStr">
        <is>
          <t>Academic / Operational Impact if delayed:</t>
        </is>
      </c>
      <c r="C13" s="9" t="n"/>
    </row>
    <row r="14" ht="26" customHeight="1">
      <c r="B14" s="39" t="inlineStr">
        <is>
          <t>Environmental considerations:</t>
        </is>
      </c>
      <c r="C14" s="9" t="n"/>
    </row>
    <row r="15" ht="28" customHeight="1"/>
    <row r="16" ht="24" customHeight="1">
      <c r="B16" s="20" t="inlineStr">
        <is>
          <t>SECTION B — COST ESTIMATE</t>
        </is>
      </c>
    </row>
    <row r="17" ht="26" customHeight="1">
      <c r="B17" s="41" t="inlineStr">
        <is>
          <t>Preliminary Cost Estimate (₹L):</t>
        </is>
      </c>
      <c r="C17" s="40" t="inlineStr">
        <is>
          <t>Based on: CPWD DSR / State PWD SOR / Market rates</t>
        </is>
      </c>
    </row>
    <row r="18" ht="26" customHeight="1">
      <c r="B18" s="41" t="inlineStr">
        <is>
          <t>Plinth Area Rate (₹/m²):</t>
        </is>
      </c>
      <c r="C18" s="9" t="n"/>
    </row>
    <row r="19" ht="26" customHeight="1">
      <c r="B19" s="41" t="inlineStr">
        <is>
          <t>Civil Works (₹L):</t>
        </is>
      </c>
      <c r="C19" s="9" t="n"/>
    </row>
    <row r="20" ht="26" customHeight="1">
      <c r="B20" s="41" t="inlineStr">
        <is>
          <t>MEP / Electrical (₹L):</t>
        </is>
      </c>
      <c r="C20" s="9" t="n"/>
    </row>
    <row r="21" ht="26" customHeight="1">
      <c r="B21" s="41" t="inlineStr">
        <is>
          <t>Finishing &amp; Interior (₹L):</t>
        </is>
      </c>
      <c r="C21" s="9" t="n"/>
    </row>
    <row r="22" ht="26" customHeight="1">
      <c r="B22" s="41" t="inlineStr">
        <is>
          <t>Contingency @ 5% (₹L):</t>
        </is>
      </c>
      <c r="C22" s="9" t="n"/>
    </row>
    <row r="23" ht="26" customHeight="1">
      <c r="B23" s="41" t="inlineStr">
        <is>
          <t>Total Project Cost (₹L):</t>
        </is>
      </c>
      <c r="C23" s="9" t="n"/>
    </row>
    <row r="24" ht="26" customHeight="1">
      <c r="B24" s="41" t="inlineStr">
        <is>
          <t>Funding Source:</t>
        </is>
      </c>
      <c r="C24" s="40" t="inlineStr">
        <is>
          <t>[ ] Institutional Own Funds  [ ] RUSA  [ ] AICTE  [ ] State Govt  [ ] Loan  [ ] CSR  [ ] Other</t>
        </is>
      </c>
    </row>
    <row r="25" ht="26" customHeight="1">
      <c r="B25" s="41" t="inlineStr">
        <is>
          <t>Budget Year Allocation (₹L):</t>
        </is>
      </c>
      <c r="C25" s="9" t="n"/>
    </row>
    <row r="26" ht="28" customHeight="1"/>
    <row r="27" ht="24" customHeight="1">
      <c r="B27" s="34" t="inlineStr">
        <is>
          <t>SECTION C — SCHEDULE</t>
        </is>
      </c>
    </row>
    <row r="28" ht="26" customHeight="1">
      <c r="B28" s="42" t="inlineStr">
        <is>
          <t>Proposed Project Start Date:</t>
        </is>
      </c>
      <c r="C28" s="9" t="n"/>
    </row>
    <row r="29" ht="26" customHeight="1">
      <c r="B29" s="42" t="inlineStr">
        <is>
          <t>Target Completion Date:</t>
        </is>
      </c>
      <c r="C29" s="9" t="n"/>
    </row>
    <row r="30" ht="26" customHeight="1">
      <c r="B30" s="42" t="inlineStr">
        <is>
          <t>Construction Duration (months):</t>
        </is>
      </c>
      <c r="C30" s="9" t="n"/>
    </row>
    <row r="31" ht="26" customHeight="1">
      <c r="B31" s="42" t="inlineStr">
        <is>
          <t>Key Milestone 1 — Foundation:</t>
        </is>
      </c>
      <c r="C31" s="9" t="n"/>
    </row>
    <row r="32" ht="26" customHeight="1">
      <c r="B32" s="42" t="inlineStr">
        <is>
          <t>Key Milestone 2 — Superstructure:</t>
        </is>
      </c>
      <c r="C32" s="9" t="n"/>
    </row>
    <row r="33" ht="26" customHeight="1">
      <c r="B33" s="42" t="inlineStr">
        <is>
          <t>Key Milestone 3 — Roof / Slab:</t>
        </is>
      </c>
      <c r="C33" s="9" t="n"/>
    </row>
    <row r="34" ht="26" customHeight="1">
      <c r="B34" s="42" t="inlineStr">
        <is>
          <t>Key Milestone 4 — Finishing:</t>
        </is>
      </c>
      <c r="C34" s="9" t="n"/>
    </row>
    <row r="35" ht="28" customHeight="1"/>
    <row r="36" ht="24" customHeight="1">
      <c r="B36" s="43" t="inlineStr">
        <is>
          <t>SECTION D — REGULATORY REQUIREMENTS</t>
        </is>
      </c>
    </row>
    <row r="37" ht="26" customHeight="1">
      <c r="B37" s="44" t="inlineStr">
        <is>
          <t>Building Plan Approval Required?</t>
        </is>
      </c>
      <c r="C37" s="40" t="inlineStr">
        <is>
          <t>[ ] Yes — Local Authority: _______   [ ] No (≤ threshold area)</t>
        </is>
      </c>
    </row>
    <row r="38" ht="26" customHeight="1">
      <c r="B38" s="44" t="inlineStr">
        <is>
          <t>Fire NOC Required?</t>
        </is>
      </c>
      <c r="C38" s="40" t="inlineStr">
        <is>
          <t>[ ] Yes   [ ] Not at this stage</t>
        </is>
      </c>
    </row>
    <row r="39" ht="26" customHeight="1">
      <c r="B39" s="44" t="inlineStr">
        <is>
          <t>Environmental Clearance Required?</t>
        </is>
      </c>
      <c r="C39" s="40" t="inlineStr">
        <is>
          <t>[ ] Yes — EIA required (&gt;20,000 m²)   [ ] No</t>
        </is>
      </c>
    </row>
    <row r="40" ht="26" customHeight="1">
      <c r="B40" s="44" t="inlineStr">
        <is>
          <t>RERA Registration Required?</t>
        </is>
      </c>
      <c r="C40" s="40" t="inlineStr">
        <is>
          <t>[ ] Yes — if for student/faculty housing   [ ] No</t>
        </is>
      </c>
    </row>
    <row r="41" ht="26" customHeight="1">
      <c r="B41" s="44" t="inlineStr">
        <is>
          <t>Structural Stability Certificate:</t>
        </is>
      </c>
      <c r="C41" s="40" t="inlineStr">
        <is>
          <t>[ ] Required (&gt;15m height)   [ ] Not required</t>
        </is>
      </c>
    </row>
    <row r="42" ht="28" customHeight="1"/>
    <row r="43" ht="24" customHeight="1">
      <c r="B43" s="19" t="inlineStr">
        <is>
          <t>SECTION E — CC APPROVAL</t>
        </is>
      </c>
    </row>
    <row r="44" ht="26" customHeight="1">
      <c r="B44" s="18" t="inlineStr">
        <is>
          <t>Technical Committee Recommendation:</t>
        </is>
      </c>
      <c r="C44" s="40" t="inlineStr">
        <is>
          <t>[ ] Approved as proposed  [ ] Approved with modifications  [ ] Deferred  [ ] Rejected</t>
        </is>
      </c>
    </row>
    <row r="45" ht="26" customHeight="1">
      <c r="B45" s="18" t="inlineStr">
        <is>
          <t>Finance Officer Confirmation (budget):</t>
        </is>
      </c>
      <c r="C45" s="40" t="inlineStr">
        <is>
          <t>[ ] Budget available  [ ] Pending allocation  [ ] External funding required</t>
        </is>
      </c>
    </row>
    <row r="46" ht="26" customHeight="1">
      <c r="B46" s="18" t="inlineStr">
        <is>
          <t>CC Chairperson Decision:</t>
        </is>
      </c>
      <c r="C46" s="40" t="inlineStr">
        <is>
          <t>[ ] Approved — Proceed to Design  [ ] Approved — Proceed to Tender  [ ] Deferred</t>
        </is>
      </c>
    </row>
    <row r="47" ht="26" customHeight="1">
      <c r="B47" s="18" t="inlineStr">
        <is>
          <t>Governing Body Approval (if &gt; ₹50L):</t>
        </is>
      </c>
      <c r="C47" s="40" t="inlineStr">
        <is>
          <t>[ ] Approved — Resolution No.: _______   [ ] Pending</t>
        </is>
      </c>
    </row>
    <row r="48" ht="28" customHeight="1"/>
    <row r="49" ht="28" customHeight="1">
      <c r="B49" s="29" t="inlineStr">
        <is>
          <t>Submitted by: ___________________    CC Coordinator: ___________________    Chairperson: ___________________    Date: ___________________</t>
        </is>
      </c>
    </row>
    <row r="50" ht="28" customHeight="1"/>
    <row r="51" ht="28" customHeight="1"/>
    <row r="52" ht="28" customHeight="1"/>
    <row r="53" ht="28" customHeight="1"/>
  </sheetData>
  <mergeCells count="43">
    <mergeCell ref="C44:E44"/>
    <mergeCell ref="C41:E41"/>
    <mergeCell ref="B49:E49"/>
    <mergeCell ref="C31:E31"/>
    <mergeCell ref="C47:E47"/>
    <mergeCell ref="C22:E22"/>
    <mergeCell ref="C40:E40"/>
    <mergeCell ref="C9:E9"/>
    <mergeCell ref="C21:E21"/>
    <mergeCell ref="C12:E12"/>
    <mergeCell ref="B36:E36"/>
    <mergeCell ref="C46:E46"/>
    <mergeCell ref="C11:E11"/>
    <mergeCell ref="B4:E4"/>
    <mergeCell ref="C23:E23"/>
    <mergeCell ref="C39:E39"/>
    <mergeCell ref="C8:E8"/>
    <mergeCell ref="B16:E16"/>
    <mergeCell ref="C17:E17"/>
    <mergeCell ref="B3:E3"/>
    <mergeCell ref="C7:E7"/>
    <mergeCell ref="C32:E32"/>
    <mergeCell ref="C38:E38"/>
    <mergeCell ref="B27:E27"/>
    <mergeCell ref="C28:E28"/>
    <mergeCell ref="C13:E13"/>
    <mergeCell ref="C19:E19"/>
    <mergeCell ref="C37:E37"/>
    <mergeCell ref="B43:E43"/>
    <mergeCell ref="C18:E18"/>
    <mergeCell ref="B2:E2"/>
    <mergeCell ref="C30:E30"/>
    <mergeCell ref="C34:E34"/>
    <mergeCell ref="C6:E6"/>
    <mergeCell ref="C24:E24"/>
    <mergeCell ref="C33:E33"/>
    <mergeCell ref="C14:E14"/>
    <mergeCell ref="C5:E5"/>
    <mergeCell ref="C45:E45"/>
    <mergeCell ref="C29:E29"/>
    <mergeCell ref="C20:E20"/>
    <mergeCell ref="C25:E25"/>
    <mergeCell ref="C10:E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L25"/>
  <sheetViews>
    <sheetView showGridLines="0" workbookViewId="0">
      <selection activeCell="A1" sqref="A1"/>
    </sheetView>
  </sheetViews>
  <sheetFormatPr baseColWidth="8" defaultRowHeight="15"/>
  <cols>
    <col width="3" customWidth="1" min="1" max="1"/>
    <col width="8" customWidth="1" min="2" max="2"/>
    <col width="2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3" customWidth="1" min="13" max="13"/>
  </cols>
  <sheetData>
    <row r="1" ht="10" customHeight="1"/>
    <row r="2" ht="48" customHeight="1">
      <c r="B2" s="12" t="inlineStr">
        <is>
          <t>CC-13 / CC-14: BID OPENING &amp; COMPARATIVE EVALUATION REGISTER</t>
        </is>
      </c>
    </row>
    <row r="3" ht="20" customHeight="1">
      <c r="B3" s="17" t="inlineStr">
        <is>
          <t>Bid opening is a public process — date and time must be published in advance. All bids to be opened in presence of CC members and bidders. Comparative statement (L1 identification) mandatory before award.</t>
        </is>
      </c>
    </row>
    <row r="4" ht="25" customHeight="1">
      <c r="B4" s="2" t="inlineStr">
        <is>
          <t>Tender Ref.: _______  Project: _______  Opening Date: _______  Opening Time: _______  Venue: _______</t>
        </is>
      </c>
    </row>
    <row r="5" ht="24" customHeight="1">
      <c r="B5" s="13" t="inlineStr">
        <is>
          <t>Sl.</t>
        </is>
      </c>
      <c r="C5" s="13" t="inlineStr">
        <is>
          <t>Contractor
Name</t>
        </is>
      </c>
      <c r="D5" s="13" t="inlineStr">
        <is>
          <t>Bid Security
Deposited</t>
        </is>
      </c>
      <c r="E5" s="13" t="inlineStr">
        <is>
          <t>Tech.
Eligibility</t>
        </is>
      </c>
      <c r="F5" s="13" t="inlineStr">
        <is>
          <t>Quoted
Amount (₹L)</t>
        </is>
      </c>
      <c r="G5" s="13" t="inlineStr">
        <is>
          <t>Discount
Offered (%)</t>
        </is>
      </c>
      <c r="H5" s="13" t="inlineStr">
        <is>
          <t>Final
Amount (₹L)</t>
        </is>
      </c>
      <c r="I5" s="13" t="inlineStr">
        <is>
          <t>Estimated
Cost (₹L)</t>
        </is>
      </c>
      <c r="J5" s="13" t="inlineStr">
        <is>
          <t>% Above /
Below Est.</t>
        </is>
      </c>
      <c r="K5" s="13" t="inlineStr">
        <is>
          <t>Technical
Score</t>
        </is>
      </c>
      <c r="L5" s="13" t="inlineStr">
        <is>
          <t>Ranking</t>
        </is>
      </c>
    </row>
    <row r="6" ht="24" customHeight="1">
      <c r="B6" s="45" t="n">
        <v>1</v>
      </c>
      <c r="C6" s="15" t="inlineStr"/>
      <c r="D6" s="16" t="inlineStr">
        <is>
          <t>Y</t>
        </is>
      </c>
      <c r="E6" s="16" t="inlineStr">
        <is>
          <t>Qualified</t>
        </is>
      </c>
      <c r="F6" s="16" t="inlineStr"/>
      <c r="G6" s="16" t="inlineStr"/>
      <c r="H6" s="45">
        <f>IFERROR(ROUND(F6*(1-G6/100),2),"")</f>
        <v/>
      </c>
      <c r="I6" s="16" t="inlineStr"/>
      <c r="J6" s="16">
        <f>IFERROR(ROUND((H6-I6)/I6*100,1),"")</f>
        <v/>
      </c>
      <c r="K6" s="16" t="inlineStr"/>
      <c r="L6" s="45">
        <f>IFERROR(RANK(H6,H6:H15,1),"")</f>
        <v/>
      </c>
    </row>
    <row r="7" ht="24" customHeight="1">
      <c r="B7" s="37" t="n">
        <v>2</v>
      </c>
      <c r="C7" s="9" t="inlineStr"/>
      <c r="D7" s="10" t="inlineStr">
        <is>
          <t>Y</t>
        </is>
      </c>
      <c r="E7" s="10" t="inlineStr">
        <is>
          <t>Qualified</t>
        </is>
      </c>
      <c r="F7" s="10" t="inlineStr"/>
      <c r="G7" s="10" t="inlineStr"/>
      <c r="H7" s="37">
        <f>IFERROR(ROUND(F7*(1-G7/100),2),"")</f>
        <v/>
      </c>
      <c r="I7" s="10" t="inlineStr"/>
      <c r="J7" s="10">
        <f>IFERROR(ROUND((H7-I7)/I7*100,1),"")</f>
        <v/>
      </c>
      <c r="K7" s="10" t="inlineStr"/>
      <c r="L7" s="37">
        <f>IFERROR(RANK(H7,H6:H15,1),"")</f>
        <v/>
      </c>
    </row>
    <row r="8" ht="24" customHeight="1">
      <c r="B8" s="45" t="n">
        <v>3</v>
      </c>
      <c r="C8" s="15" t="inlineStr"/>
      <c r="D8" s="16" t="inlineStr">
        <is>
          <t>Y</t>
        </is>
      </c>
      <c r="E8" s="16" t="inlineStr">
        <is>
          <t>Qualified</t>
        </is>
      </c>
      <c r="F8" s="16" t="inlineStr"/>
      <c r="G8" s="16" t="inlineStr"/>
      <c r="H8" s="45">
        <f>IFERROR(ROUND(F8*(1-G8/100),2),"")</f>
        <v/>
      </c>
      <c r="I8" s="16" t="inlineStr"/>
      <c r="J8" s="16">
        <f>IFERROR(ROUND((H8-I8)/I8*100,1),"")</f>
        <v/>
      </c>
      <c r="K8" s="16" t="inlineStr"/>
      <c r="L8" s="45">
        <f>IFERROR(RANK(H8,H6:H15,1),"")</f>
        <v/>
      </c>
    </row>
    <row r="9" ht="24" customHeight="1">
      <c r="B9" s="37" t="n">
        <v>4</v>
      </c>
      <c r="C9" s="9" t="inlineStr"/>
      <c r="D9" s="10" t="inlineStr">
        <is>
          <t>Y</t>
        </is>
      </c>
      <c r="E9" s="10" t="inlineStr">
        <is>
          <t>Qualified</t>
        </is>
      </c>
      <c r="F9" s="10" t="inlineStr"/>
      <c r="G9" s="10" t="inlineStr"/>
      <c r="H9" s="37">
        <f>IFERROR(ROUND(F9*(1-G9/100),2),"")</f>
        <v/>
      </c>
      <c r="I9" s="10" t="inlineStr"/>
      <c r="J9" s="10">
        <f>IFERROR(ROUND((H9-I9)/I9*100,1),"")</f>
        <v/>
      </c>
      <c r="K9" s="10" t="inlineStr"/>
      <c r="L9" s="37">
        <f>IFERROR(RANK(H9,H6:H15,1),"")</f>
        <v/>
      </c>
    </row>
    <row r="10" ht="24" customHeight="1">
      <c r="B10" s="45" t="n">
        <v>5</v>
      </c>
      <c r="C10" s="15" t="inlineStr"/>
      <c r="D10" s="16" t="inlineStr">
        <is>
          <t>Y</t>
        </is>
      </c>
      <c r="E10" s="16" t="inlineStr">
        <is>
          <t>Qualified</t>
        </is>
      </c>
      <c r="F10" s="16" t="inlineStr"/>
      <c r="G10" s="16" t="inlineStr"/>
      <c r="H10" s="45">
        <f>IFERROR(ROUND(F10*(1-G10/100),2),"")</f>
        <v/>
      </c>
      <c r="I10" s="16" t="inlineStr"/>
      <c r="J10" s="16">
        <f>IFERROR(ROUND((H10-I10)/I10*100,1),"")</f>
        <v/>
      </c>
      <c r="K10" s="16" t="inlineStr"/>
      <c r="L10" s="45">
        <f>IFERROR(RANK(H10,H6:H15,1),"")</f>
        <v/>
      </c>
    </row>
    <row r="11" ht="24" customHeight="1">
      <c r="B11" s="37" t="n">
        <v>6</v>
      </c>
      <c r="C11" s="9" t="inlineStr"/>
      <c r="D11" s="10" t="inlineStr">
        <is>
          <t>Y</t>
        </is>
      </c>
      <c r="E11" s="10" t="inlineStr">
        <is>
          <t>Qualified</t>
        </is>
      </c>
      <c r="F11" s="10" t="inlineStr"/>
      <c r="G11" s="10" t="inlineStr"/>
      <c r="H11" s="37">
        <f>IFERROR(ROUND(F11*(1-G11/100),2),"")</f>
        <v/>
      </c>
      <c r="I11" s="10" t="inlineStr"/>
      <c r="J11" s="10">
        <f>IFERROR(ROUND((H11-I11)/I11*100,1),"")</f>
        <v/>
      </c>
      <c r="K11" s="10" t="inlineStr"/>
      <c r="L11" s="37">
        <f>IFERROR(RANK(H11,H6:H15,1),"")</f>
        <v/>
      </c>
    </row>
    <row r="12" ht="24" customHeight="1">
      <c r="B12" s="45" t="n">
        <v>7</v>
      </c>
      <c r="C12" s="15" t="inlineStr"/>
      <c r="D12" s="16" t="inlineStr">
        <is>
          <t>Y</t>
        </is>
      </c>
      <c r="E12" s="16" t="inlineStr">
        <is>
          <t>Qualified</t>
        </is>
      </c>
      <c r="F12" s="16" t="inlineStr"/>
      <c r="G12" s="16" t="inlineStr"/>
      <c r="H12" s="45">
        <f>IFERROR(ROUND(F12*(1-G12/100),2),"")</f>
        <v/>
      </c>
      <c r="I12" s="16" t="inlineStr"/>
      <c r="J12" s="16">
        <f>IFERROR(ROUND((H12-I12)/I12*100,1),"")</f>
        <v/>
      </c>
      <c r="K12" s="16" t="inlineStr"/>
      <c r="L12" s="45">
        <f>IFERROR(RANK(H12,H6:H15,1),"")</f>
        <v/>
      </c>
    </row>
    <row r="13" ht="24" customHeight="1">
      <c r="B13" s="37" t="n">
        <v>8</v>
      </c>
      <c r="C13" s="9" t="inlineStr"/>
      <c r="D13" s="10" t="inlineStr">
        <is>
          <t>Y</t>
        </is>
      </c>
      <c r="E13" s="10" t="inlineStr">
        <is>
          <t>Qualified</t>
        </is>
      </c>
      <c r="F13" s="10" t="inlineStr"/>
      <c r="G13" s="10" t="inlineStr"/>
      <c r="H13" s="37">
        <f>IFERROR(ROUND(F13*(1-G13/100),2),"")</f>
        <v/>
      </c>
      <c r="I13" s="10" t="inlineStr"/>
      <c r="J13" s="10">
        <f>IFERROR(ROUND((H13-I13)/I13*100,1),"")</f>
        <v/>
      </c>
      <c r="K13" s="10" t="inlineStr"/>
      <c r="L13" s="37">
        <f>IFERROR(RANK(H13,H6:H15,1),"")</f>
        <v/>
      </c>
    </row>
    <row r="14" ht="24" customHeight="1">
      <c r="B14" s="45" t="n">
        <v>9</v>
      </c>
      <c r="C14" s="15" t="inlineStr"/>
      <c r="D14" s="16" t="inlineStr">
        <is>
          <t>Y</t>
        </is>
      </c>
      <c r="E14" s="16" t="inlineStr">
        <is>
          <t>Qualified</t>
        </is>
      </c>
      <c r="F14" s="16" t="inlineStr"/>
      <c r="G14" s="16" t="inlineStr"/>
      <c r="H14" s="45">
        <f>IFERROR(ROUND(F14*(1-G14/100),2),"")</f>
        <v/>
      </c>
      <c r="I14" s="16" t="inlineStr"/>
      <c r="J14" s="16">
        <f>IFERROR(ROUND((H14-I14)/I14*100,1),"")</f>
        <v/>
      </c>
      <c r="K14" s="16" t="inlineStr"/>
      <c r="L14" s="45">
        <f>IFERROR(RANK(H14,H6:H15,1),"")</f>
        <v/>
      </c>
    </row>
    <row r="15" ht="24" customHeight="1">
      <c r="B15" s="37" t="n">
        <v>10</v>
      </c>
      <c r="C15" s="9" t="inlineStr"/>
      <c r="D15" s="10" t="inlineStr">
        <is>
          <t>Y</t>
        </is>
      </c>
      <c r="E15" s="10" t="inlineStr">
        <is>
          <t>Qualified</t>
        </is>
      </c>
      <c r="F15" s="10" t="inlineStr"/>
      <c r="G15" s="10" t="inlineStr"/>
      <c r="H15" s="37">
        <f>IFERROR(ROUND(F15*(1-G15/100),2),"")</f>
        <v/>
      </c>
      <c r="I15" s="10" t="inlineStr"/>
      <c r="J15" s="10">
        <f>IFERROR(ROUND((H15-I15)/I15*100,1),"")</f>
        <v/>
      </c>
      <c r="K15" s="10" t="inlineStr"/>
      <c r="L15" s="37">
        <f>IFERROR(RANK(H15,H6:H15,1),"")</f>
        <v/>
      </c>
    </row>
    <row r="16" ht="24" customHeight="1"/>
    <row r="17" ht="24" customHeight="1">
      <c r="B17" s="34" t="inlineStr">
        <is>
          <t>BID SUMMARY &amp; AWARD RECOMMENDATION</t>
        </is>
      </c>
    </row>
    <row r="18" ht="28" customHeight="1">
      <c r="B18" s="35" t="inlineStr">
        <is>
          <t>L1 (Lowest Qualifying) Bidder</t>
        </is>
      </c>
      <c r="H18" s="32" t="inlineStr"/>
    </row>
    <row r="19" ht="28" customHeight="1">
      <c r="B19" s="25" t="inlineStr">
        <is>
          <t>L1 Quoted Amount (₹L)</t>
        </is>
      </c>
      <c r="H19" s="9">
        <f>IFERROR(MIN(H6:H15),"")</f>
        <v/>
      </c>
    </row>
    <row r="20" ht="28" customHeight="1">
      <c r="B20" s="35" t="inlineStr">
        <is>
          <t>L1 Amount vs. Estimated Cost (%)</t>
        </is>
      </c>
      <c r="H20" s="32" t="inlineStr"/>
    </row>
    <row r="21" ht="28" customHeight="1">
      <c r="B21" s="25" t="inlineStr">
        <is>
          <t>Estimated Cost (₹L)</t>
        </is>
      </c>
      <c r="H21" s="9" t="inlineStr"/>
    </row>
    <row r="22" ht="28" customHeight="1">
      <c r="B22" s="35" t="inlineStr">
        <is>
          <t>Recommended for Award</t>
        </is>
      </c>
      <c r="H22" s="32" t="inlineStr"/>
    </row>
    <row r="23" ht="28" customHeight="1">
      <c r="B23" s="25" t="inlineStr">
        <is>
          <t>CC Award Decision</t>
        </is>
      </c>
      <c r="H23" s="23" t="inlineStr">
        <is>
          <t>[ ] Accept L1  [ ] Negotiate  [ ] Re-tender  [ ] Reject All</t>
        </is>
      </c>
    </row>
    <row r="24" ht="24" customHeight="1"/>
    <row r="25" ht="24" customHeight="1">
      <c r="B25" s="29" t="inlineStr">
        <is>
          <t>Witness 1: ___________________    Witness 2: ___________________    CC Coordinator: ___________________    Chairperson: ___________________    Date: ___________________</t>
        </is>
      </c>
    </row>
    <row r="26" ht="24" customHeight="1"/>
    <row r="27" ht="24" customHeight="1"/>
    <row r="28" ht="24" customHeight="1"/>
    <row r="29" ht="24" customHeight="1"/>
  </sheetData>
  <mergeCells count="17">
    <mergeCell ref="B4:L4"/>
    <mergeCell ref="B19:G19"/>
    <mergeCell ref="B20:G20"/>
    <mergeCell ref="H21:L21"/>
    <mergeCell ref="B22:G22"/>
    <mergeCell ref="H20:L20"/>
    <mergeCell ref="B23:G23"/>
    <mergeCell ref="B25:L25"/>
    <mergeCell ref="B3:L3"/>
    <mergeCell ref="B2:L2"/>
    <mergeCell ref="H18:L18"/>
    <mergeCell ref="B18:G18"/>
    <mergeCell ref="H19:L19"/>
    <mergeCell ref="H23:L23"/>
    <mergeCell ref="B21:G21"/>
    <mergeCell ref="H22:L22"/>
    <mergeCell ref="B17:L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E46"/>
  <sheetViews>
    <sheetView showGridLines="0" workbookViewId="0">
      <selection activeCell="A1" sqref="A1"/>
    </sheetView>
  </sheetViews>
  <sheetFormatPr baseColWidth="8" defaultRowHeight="15"/>
  <cols>
    <col width="3" customWidth="1" min="1" max="1"/>
    <col width="8" customWidth="1" min="2" max="2"/>
    <col width="32" customWidth="1" min="3" max="3"/>
    <col width="20" customWidth="1" min="4" max="4"/>
    <col width="20" customWidth="1" min="5" max="5"/>
    <col width="3" customWidth="1" min="6" max="6"/>
  </cols>
  <sheetData>
    <row r="1" ht="10" customHeight="1"/>
    <row r="2" ht="52" customHeight="1">
      <c r="B2" s="12" t="inlineStr">
        <is>
          <t>CC-27: DAILY SITE PROGRESS REPORT (DPR)</t>
        </is>
      </c>
    </row>
    <row r="3" ht="25" customHeight="1">
      <c r="B3" s="2" t="inlineStr">
        <is>
          <t>Project: _______  Project Ref.: _______  Date: _______  Site Engineer: ___________________  Contractor: ___________________</t>
        </is>
      </c>
    </row>
    <row r="4" ht="24" customHeight="1">
      <c r="B4" s="19" t="inlineStr">
        <is>
          <t>SECTION A — SITE CONDITIONS</t>
        </is>
      </c>
    </row>
    <row r="5" ht="26" customHeight="1">
      <c r="B5" s="39" t="inlineStr">
        <is>
          <t>Weather Conditions:</t>
        </is>
      </c>
      <c r="C5" s="40" t="inlineStr">
        <is>
          <t>[ ] Clear  [ ] Cloudy  [ ] Rain — Work Stopped  [ ] Extreme Heat</t>
        </is>
      </c>
    </row>
    <row r="6" ht="26" customHeight="1">
      <c r="B6" s="39" t="inlineStr">
        <is>
          <t>Work Stoppages (if any):</t>
        </is>
      </c>
      <c r="C6" s="9" t="n"/>
    </row>
    <row r="7" ht="26" customHeight="1">
      <c r="B7" s="39" t="inlineStr">
        <is>
          <t>Visitors to Site:</t>
        </is>
      </c>
      <c r="C7" s="9" t="n"/>
    </row>
    <row r="8" ht="28" customHeight="1"/>
    <row r="9" ht="24" customHeight="1">
      <c r="B9" s="20" t="inlineStr">
        <is>
          <t>SECTION B — LABOUR ON SITE</t>
        </is>
      </c>
    </row>
    <row r="10" ht="28" customHeight="1">
      <c r="B10" s="21" t="inlineStr">
        <is>
          <t>Category</t>
        </is>
      </c>
      <c r="C10" s="21" t="inlineStr">
        <is>
          <t>Contractor's Labour</t>
        </is>
      </c>
      <c r="D10" s="21" t="inlineStr">
        <is>
          <t>Subcontractor
Labour</t>
        </is>
      </c>
      <c r="E10" s="21" t="inlineStr">
        <is>
          <t>Total</t>
        </is>
      </c>
    </row>
    <row r="11" ht="28" customHeight="1">
      <c r="B11" s="46" t="inlineStr">
        <is>
          <t>Skilled (Mason, Carpenter, Bar Bender)</t>
        </is>
      </c>
      <c r="C11" s="22" t="inlineStr"/>
      <c r="D11" s="22" t="inlineStr"/>
      <c r="E11" s="22">
        <f>IFERROR(C11+D11,"")</f>
        <v/>
      </c>
    </row>
    <row r="12" ht="28" customHeight="1">
      <c r="B12" s="9" t="inlineStr">
        <is>
          <t>Semi-skilled (Painter, Plumber)</t>
        </is>
      </c>
      <c r="C12" s="10" t="inlineStr"/>
      <c r="D12" s="10" t="inlineStr"/>
      <c r="E12" s="10">
        <f>IFERROR(C12+D12,"")</f>
        <v/>
      </c>
    </row>
    <row r="13" ht="28" customHeight="1">
      <c r="B13" s="46" t="inlineStr">
        <is>
          <t>Unskilled</t>
        </is>
      </c>
      <c r="C13" s="22" t="inlineStr"/>
      <c r="D13" s="22" t="inlineStr"/>
      <c r="E13" s="22">
        <f>IFERROR(C13+D13,"")</f>
        <v/>
      </c>
    </row>
    <row r="14" ht="28" customHeight="1">
      <c r="B14" s="9" t="inlineStr">
        <is>
          <t>Supervisory Staff</t>
        </is>
      </c>
      <c r="C14" s="10" t="inlineStr"/>
      <c r="D14" s="10" t="inlineStr"/>
      <c r="E14" s="10">
        <f>IFERROR(C14+D14,"")</f>
        <v/>
      </c>
    </row>
    <row r="15" ht="28" customHeight="1">
      <c r="B15" s="23" t="inlineStr">
        <is>
          <t>Total</t>
        </is>
      </c>
      <c r="C15" s="47" t="inlineStr"/>
      <c r="D15" s="47" t="inlineStr"/>
      <c r="E15" s="47">
        <f>IFERROR(C15+D15,"")</f>
        <v/>
      </c>
    </row>
    <row r="16" ht="28" customHeight="1"/>
    <row r="17" ht="24" customHeight="1">
      <c r="B17" s="34" t="inlineStr">
        <is>
          <t>SECTION C — WORK DONE TODAY</t>
        </is>
      </c>
    </row>
    <row r="18" ht="28" customHeight="1">
      <c r="B18" s="30" t="inlineStr">
        <is>
          <t>Activity</t>
        </is>
      </c>
      <c r="C18" s="30" t="inlineStr">
        <is>
          <t>Location / Grid</t>
        </is>
      </c>
      <c r="D18" s="30" t="inlineStr">
        <is>
          <t>Quantity Done Today</t>
        </is>
      </c>
      <c r="E18" s="30" t="inlineStr">
        <is>
          <t>Cumulative
Quantity Done</t>
        </is>
      </c>
    </row>
    <row r="19" ht="28" customHeight="1">
      <c r="B19" s="32" t="inlineStr"/>
      <c r="C19" s="32" t="inlineStr"/>
      <c r="D19" s="33" t="inlineStr"/>
      <c r="E19" s="33" t="inlineStr"/>
    </row>
    <row r="20" ht="28" customHeight="1">
      <c r="B20" s="9" t="inlineStr"/>
      <c r="C20" s="9" t="inlineStr"/>
      <c r="D20" s="10" t="inlineStr"/>
      <c r="E20" s="10" t="inlineStr"/>
    </row>
    <row r="21" ht="28" customHeight="1">
      <c r="B21" s="32" t="inlineStr"/>
      <c r="C21" s="32" t="inlineStr"/>
      <c r="D21" s="33" t="inlineStr"/>
      <c r="E21" s="33" t="inlineStr"/>
    </row>
    <row r="22" ht="28" customHeight="1">
      <c r="B22" s="9" t="inlineStr"/>
      <c r="C22" s="9" t="inlineStr"/>
      <c r="D22" s="10" t="inlineStr"/>
      <c r="E22" s="10" t="inlineStr"/>
    </row>
    <row r="23" ht="28" customHeight="1">
      <c r="B23" s="32" t="inlineStr"/>
      <c r="C23" s="32" t="inlineStr"/>
      <c r="D23" s="33" t="inlineStr"/>
      <c r="E23" s="33" t="inlineStr"/>
    </row>
    <row r="24" ht="28" customHeight="1">
      <c r="B24" s="9" t="inlineStr"/>
      <c r="C24" s="9" t="inlineStr"/>
      <c r="D24" s="10" t="inlineStr"/>
      <c r="E24" s="10" t="inlineStr"/>
    </row>
    <row r="25" ht="28" customHeight="1">
      <c r="B25" s="32" t="inlineStr"/>
      <c r="C25" s="32" t="inlineStr"/>
      <c r="D25" s="33" t="inlineStr"/>
      <c r="E25" s="33" t="inlineStr"/>
    </row>
    <row r="26" ht="28" customHeight="1">
      <c r="B26" s="9" t="inlineStr"/>
      <c r="C26" s="9" t="inlineStr"/>
      <c r="D26" s="10" t="inlineStr"/>
      <c r="E26" s="10" t="inlineStr"/>
    </row>
    <row r="27" ht="28" customHeight="1"/>
    <row r="28" ht="24" customHeight="1">
      <c r="B28" s="19" t="inlineStr">
        <is>
          <t>SECTION D — MATERIALS RECEIVED TODAY</t>
        </is>
      </c>
    </row>
    <row r="29" ht="28" customHeight="1">
      <c r="B29" s="13" t="inlineStr">
        <is>
          <t>Material</t>
        </is>
      </c>
      <c r="C29" s="13" t="inlineStr">
        <is>
          <t>Supplier</t>
        </is>
      </c>
      <c r="D29" s="13" t="inlineStr">
        <is>
          <t>Quantity Received</t>
        </is>
      </c>
      <c r="E29" s="13" t="inlineStr">
        <is>
          <t>GRN / DC No.</t>
        </is>
      </c>
    </row>
    <row r="30" ht="28" customHeight="1">
      <c r="B30" s="15" t="inlineStr"/>
      <c r="C30" s="15" t="inlineStr"/>
      <c r="D30" s="16" t="inlineStr"/>
      <c r="E30" s="16" t="inlineStr"/>
    </row>
    <row r="31" ht="28" customHeight="1">
      <c r="B31" s="9" t="inlineStr"/>
      <c r="C31" s="9" t="inlineStr"/>
      <c r="D31" s="10" t="inlineStr"/>
      <c r="E31" s="10" t="inlineStr"/>
    </row>
    <row r="32" ht="28" customHeight="1">
      <c r="B32" s="15" t="inlineStr"/>
      <c r="C32" s="15" t="inlineStr"/>
      <c r="D32" s="16" t="inlineStr"/>
      <c r="E32" s="16" t="inlineStr"/>
    </row>
    <row r="33" ht="28" customHeight="1">
      <c r="B33" s="9" t="inlineStr"/>
      <c r="C33" s="9" t="inlineStr"/>
      <c r="D33" s="10" t="inlineStr"/>
      <c r="E33" s="10" t="inlineStr"/>
    </row>
    <row r="34" ht="28" customHeight="1">
      <c r="B34" s="15" t="inlineStr"/>
      <c r="C34" s="15" t="inlineStr"/>
      <c r="D34" s="16" t="inlineStr"/>
      <c r="E34" s="16" t="inlineStr"/>
    </row>
    <row r="35" ht="28" customHeight="1"/>
    <row r="36" ht="24" customHeight="1">
      <c r="B36" s="43" t="inlineStr">
        <is>
          <t>SECTION E — ISSUES &amp; SITE INSTRUCTIONS</t>
        </is>
      </c>
    </row>
    <row r="37" ht="22" customHeight="1">
      <c r="B37" s="48" t="inlineStr">
        <is>
          <t>Issues / Problems Encountered:</t>
        </is>
      </c>
    </row>
    <row r="38" ht="40" customHeight="1">
      <c r="B38" s="49" t="inlineStr"/>
    </row>
    <row r="39" ht="40" customHeight="1"/>
    <row r="40" ht="22" customHeight="1">
      <c r="B40" s="48" t="inlineStr">
        <is>
          <t>Site Instructions Issued:</t>
        </is>
      </c>
    </row>
    <row r="41" ht="40" customHeight="1">
      <c r="B41" s="49" t="inlineStr"/>
    </row>
    <row r="42" ht="40" customHeight="1"/>
    <row r="43" ht="22" customHeight="1">
      <c r="B43" s="48" t="inlineStr">
        <is>
          <t>Safety Observations:</t>
        </is>
      </c>
    </row>
    <row r="44" ht="40" customHeight="1">
      <c r="B44" s="49" t="inlineStr"/>
    </row>
    <row r="45" ht="40" customHeight="1"/>
    <row r="46" ht="40" customHeight="1">
      <c r="B46" s="29" t="inlineStr">
        <is>
          <t>Site Engineer: ___________________    Contractor's Rep: ___________________    Date: ___________________</t>
        </is>
      </c>
    </row>
  </sheetData>
  <mergeCells count="17">
    <mergeCell ref="B17:E17"/>
    <mergeCell ref="B9:E9"/>
    <mergeCell ref="B40:E40"/>
    <mergeCell ref="B41:E42"/>
    <mergeCell ref="B44:E45"/>
    <mergeCell ref="C5:E5"/>
    <mergeCell ref="B4:E4"/>
    <mergeCell ref="B43:E43"/>
    <mergeCell ref="B3:E3"/>
    <mergeCell ref="B2:E2"/>
    <mergeCell ref="B37:E37"/>
    <mergeCell ref="C7:E7"/>
    <mergeCell ref="B28:E28"/>
    <mergeCell ref="B46:E46"/>
    <mergeCell ref="B36:E36"/>
    <mergeCell ref="C6:E6"/>
    <mergeCell ref="B38:E3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J28"/>
  <sheetViews>
    <sheetView showGridLines="0" workbookViewId="0">
      <selection activeCell="A1" sqref="A1"/>
    </sheetView>
  </sheetViews>
  <sheetFormatPr baseColWidth="8" defaultRowHeight="15"/>
  <cols>
    <col width="3" customWidth="1" min="1" max="1"/>
    <col width="10" customWidth="1" min="2" max="2"/>
    <col width="24" customWidth="1" min="3" max="3"/>
    <col width="12" customWidth="1" min="4" max="4"/>
    <col width="14" customWidth="1" min="5" max="5"/>
    <col width="12" customWidth="1" min="6" max="6"/>
    <col width="14" customWidth="1" min="7" max="7"/>
    <col width="14" customWidth="1" min="8" max="8"/>
    <col width="14" customWidth="1" min="9" max="9"/>
    <col width="14" customWidth="1" min="10" max="10"/>
    <col width="3" customWidth="1" min="11" max="11"/>
  </cols>
  <sheetData>
    <row r="1" ht="10" customHeight="1"/>
    <row r="2" ht="48" customHeight="1">
      <c r="B2" s="12" t="inlineStr">
        <is>
          <t>CC-30: NON-CONFORMANCE REPORT (NCR) REGISTER</t>
        </is>
      </c>
    </row>
    <row r="3" ht="20" customHeight="1">
      <c r="B3" s="17" t="inlineStr">
        <is>
          <t>NCR = formal notice to contractor of non-conforming work. All NCRs must be actioned within 7 days. Unresolved NCRs held against contractor's bill. Repeat NCRs may attract penalty as per contract.</t>
        </is>
      </c>
    </row>
    <row r="4" ht="25" customHeight="1">
      <c r="B4" s="13" t="inlineStr">
        <is>
          <t>NCR
Ref.</t>
        </is>
      </c>
      <c r="C4" s="13" t="inlineStr">
        <is>
          <t>Project Ref.</t>
        </is>
      </c>
      <c r="D4" s="13" t="inlineStr">
        <is>
          <t>Non-Conformance
Description</t>
        </is>
      </c>
      <c r="E4" s="13" t="inlineStr">
        <is>
          <t>Location</t>
        </is>
      </c>
      <c r="F4" s="13" t="inlineStr">
        <is>
          <t>Date
Issued</t>
        </is>
      </c>
      <c r="G4" s="13" t="inlineStr">
        <is>
          <t>Contractor
Response</t>
        </is>
      </c>
      <c r="H4" s="13" t="inlineStr">
        <is>
          <t>Corrective
Action</t>
        </is>
      </c>
      <c r="I4" s="13" t="inlineStr">
        <is>
          <t>Verification
Date</t>
        </is>
      </c>
      <c r="J4" s="13" t="inlineStr">
        <is>
          <t>Status</t>
        </is>
      </c>
    </row>
    <row r="5" ht="26" customHeight="1">
      <c r="B5" s="14" t="inlineStr">
        <is>
          <t>NCR/0001</t>
        </is>
      </c>
      <c r="C5" s="16" t="inlineStr">
        <is>
          <t>PRJ/2024/001</t>
        </is>
      </c>
      <c r="D5" s="15" t="inlineStr">
        <is>
          <t>Concrete quality below specified grade</t>
        </is>
      </c>
      <c r="E5" s="16" t="inlineStr"/>
      <c r="F5" s="16" t="inlineStr"/>
      <c r="G5" s="15" t="inlineStr"/>
      <c r="H5" s="15" t="inlineStr"/>
      <c r="I5" s="16" t="inlineStr"/>
      <c r="J5" s="16" t="inlineStr">
        <is>
          <t>Open</t>
        </is>
      </c>
    </row>
    <row r="6" ht="26" customHeight="1">
      <c r="B6" s="8" t="inlineStr">
        <is>
          <t>NCR/0002</t>
        </is>
      </c>
      <c r="C6" s="10" t="inlineStr">
        <is>
          <t>PRJ/2024/002</t>
        </is>
      </c>
      <c r="D6" s="9" t="inlineStr">
        <is>
          <t>Reinforcement spacing / cover non-conforming</t>
        </is>
      </c>
      <c r="E6" s="10" t="inlineStr"/>
      <c r="F6" s="10" t="inlineStr"/>
      <c r="G6" s="9" t="inlineStr"/>
      <c r="H6" s="9" t="inlineStr"/>
      <c r="I6" s="10" t="inlineStr"/>
      <c r="J6" s="10" t="inlineStr">
        <is>
          <t>Open</t>
        </is>
      </c>
    </row>
    <row r="7" ht="26" customHeight="1">
      <c r="B7" s="14" t="inlineStr">
        <is>
          <t>NCR/0003</t>
        </is>
      </c>
      <c r="C7" s="16" t="inlineStr">
        <is>
          <t>PRJ/2024/003</t>
        </is>
      </c>
      <c r="D7" s="15" t="inlineStr">
        <is>
          <t>Waterproofing membrane not as specified</t>
        </is>
      </c>
      <c r="E7" s="16" t="inlineStr"/>
      <c r="F7" s="16" t="inlineStr"/>
      <c r="G7" s="15" t="inlineStr"/>
      <c r="H7" s="15" t="inlineStr"/>
      <c r="I7" s="16" t="inlineStr"/>
      <c r="J7" s="16" t="inlineStr">
        <is>
          <t>Open</t>
        </is>
      </c>
    </row>
    <row r="8" ht="26" customHeight="1">
      <c r="B8" s="8" t="inlineStr">
        <is>
          <t>NCR/0004</t>
        </is>
      </c>
      <c r="C8" s="10" t="inlineStr">
        <is>
          <t>PRJ/2024/004</t>
        </is>
      </c>
      <c r="D8" s="9" t="inlineStr">
        <is>
          <t>Brickwork plumb / level deviation</t>
        </is>
      </c>
      <c r="E8" s="10" t="inlineStr"/>
      <c r="F8" s="10" t="inlineStr"/>
      <c r="G8" s="9" t="inlineStr"/>
      <c r="H8" s="9" t="inlineStr"/>
      <c r="I8" s="10" t="inlineStr"/>
      <c r="J8" s="10" t="inlineStr">
        <is>
          <t>Open</t>
        </is>
      </c>
    </row>
    <row r="9" ht="26" customHeight="1">
      <c r="B9" s="14" t="inlineStr">
        <is>
          <t>NCR/0005</t>
        </is>
      </c>
      <c r="C9" s="16" t="inlineStr">
        <is>
          <t>PRJ/2024/005</t>
        </is>
      </c>
      <c r="D9" s="15" t="inlineStr">
        <is>
          <t>Plaster thickness / finish defect</t>
        </is>
      </c>
      <c r="E9" s="16" t="inlineStr"/>
      <c r="F9" s="16" t="inlineStr"/>
      <c r="G9" s="15" t="inlineStr"/>
      <c r="H9" s="15" t="inlineStr"/>
      <c r="I9" s="16" t="inlineStr"/>
      <c r="J9" s="16" t="inlineStr">
        <is>
          <t>Open</t>
        </is>
      </c>
    </row>
    <row r="10" ht="26" customHeight="1">
      <c r="B10" s="8" t="inlineStr">
        <is>
          <t>NCR/0006</t>
        </is>
      </c>
      <c r="C10" s="10" t="inlineStr">
        <is>
          <t>PRJ/2024/006</t>
        </is>
      </c>
      <c r="D10" s="9" t="inlineStr">
        <is>
          <t>Flooring level / finish defect</t>
        </is>
      </c>
      <c r="E10" s="10" t="inlineStr"/>
      <c r="F10" s="10" t="inlineStr"/>
      <c r="G10" s="9" t="inlineStr"/>
      <c r="H10" s="9" t="inlineStr"/>
      <c r="I10" s="10" t="inlineStr"/>
      <c r="J10" s="10" t="inlineStr">
        <is>
          <t>Open</t>
        </is>
      </c>
    </row>
    <row r="11" ht="26" customHeight="1">
      <c r="B11" s="14" t="inlineStr">
        <is>
          <t>NCR/0007</t>
        </is>
      </c>
      <c r="C11" s="16" t="inlineStr">
        <is>
          <t>PRJ/2024/007</t>
        </is>
      </c>
      <c r="D11" s="15" t="inlineStr">
        <is>
          <t>Window / door frame fixing defect</t>
        </is>
      </c>
      <c r="E11" s="16" t="inlineStr"/>
      <c r="F11" s="16" t="inlineStr"/>
      <c r="G11" s="15" t="inlineStr"/>
      <c r="H11" s="15" t="inlineStr"/>
      <c r="I11" s="16" t="inlineStr"/>
      <c r="J11" s="16" t="inlineStr">
        <is>
          <t>Open</t>
        </is>
      </c>
    </row>
    <row r="12" ht="26" customHeight="1">
      <c r="B12" s="8" t="inlineStr">
        <is>
          <t>NCR/0008</t>
        </is>
      </c>
      <c r="C12" s="10" t="inlineStr">
        <is>
          <t>PRJ/2024/008</t>
        </is>
      </c>
      <c r="D12" s="9" t="inlineStr">
        <is>
          <t>Material substitution without approval</t>
        </is>
      </c>
      <c r="E12" s="10" t="inlineStr"/>
      <c r="F12" s="10" t="inlineStr"/>
      <c r="G12" s="9" t="inlineStr"/>
      <c r="H12" s="9" t="inlineStr"/>
      <c r="I12" s="10" t="inlineStr"/>
      <c r="J12" s="10" t="inlineStr">
        <is>
          <t>Open</t>
        </is>
      </c>
    </row>
    <row r="13" ht="26" customHeight="1">
      <c r="B13" s="14" t="inlineStr">
        <is>
          <t>NCR/0009</t>
        </is>
      </c>
      <c r="C13" s="16" t="inlineStr">
        <is>
          <t>PRJ/2025/009</t>
        </is>
      </c>
      <c r="D13" s="15" t="inlineStr">
        <is>
          <t>Unsafe scaffolding / formwork</t>
        </is>
      </c>
      <c r="E13" s="16" t="inlineStr"/>
      <c r="F13" s="16" t="inlineStr"/>
      <c r="G13" s="15" t="inlineStr"/>
      <c r="H13" s="15" t="inlineStr"/>
      <c r="I13" s="16" t="inlineStr"/>
      <c r="J13" s="16" t="inlineStr">
        <is>
          <t>Open</t>
        </is>
      </c>
    </row>
    <row r="14" ht="26" customHeight="1">
      <c r="B14" s="8" t="inlineStr">
        <is>
          <t>NCR/0010</t>
        </is>
      </c>
      <c r="C14" s="10" t="inlineStr">
        <is>
          <t>PRJ/2025/010</t>
        </is>
      </c>
      <c r="D14" s="9" t="inlineStr">
        <is>
          <t>Labour non-compliance (no PPE)</t>
        </is>
      </c>
      <c r="E14" s="10" t="inlineStr"/>
      <c r="F14" s="10" t="inlineStr"/>
      <c r="G14" s="9" t="inlineStr"/>
      <c r="H14" s="9" t="inlineStr"/>
      <c r="I14" s="10" t="inlineStr"/>
      <c r="J14" s="10" t="inlineStr">
        <is>
          <t>Open</t>
        </is>
      </c>
    </row>
    <row r="15" ht="26" customHeight="1">
      <c r="B15" s="14" t="inlineStr">
        <is>
          <t>NCR/0011</t>
        </is>
      </c>
      <c r="C15" s="16" t="inlineStr">
        <is>
          <t>PRJ/2025/011</t>
        </is>
      </c>
      <c r="D15" s="15" t="inlineStr">
        <is>
          <t>Drawing deviation without approval</t>
        </is>
      </c>
      <c r="E15" s="16" t="inlineStr"/>
      <c r="F15" s="16" t="inlineStr"/>
      <c r="G15" s="15" t="inlineStr"/>
      <c r="H15" s="15" t="inlineStr"/>
      <c r="I15" s="16" t="inlineStr"/>
      <c r="J15" s="16" t="inlineStr">
        <is>
          <t>Open</t>
        </is>
      </c>
    </row>
    <row r="16" ht="26" customHeight="1">
      <c r="B16" s="8" t="inlineStr">
        <is>
          <t>NCR/0012</t>
        </is>
      </c>
      <c r="C16" s="10" t="inlineStr">
        <is>
          <t>PRJ/2025/012</t>
        </is>
      </c>
      <c r="D16" s="9" t="inlineStr">
        <is>
          <t>Curing period not maintained</t>
        </is>
      </c>
      <c r="E16" s="10" t="inlineStr"/>
      <c r="F16" s="10" t="inlineStr"/>
      <c r="G16" s="9" t="inlineStr"/>
      <c r="H16" s="9" t="inlineStr"/>
      <c r="I16" s="10" t="inlineStr"/>
      <c r="J16" s="10" t="inlineStr">
        <is>
          <t>Open</t>
        </is>
      </c>
    </row>
    <row r="17" ht="26" customHeight="1">
      <c r="B17" s="14" t="inlineStr">
        <is>
          <t>NCR/0013</t>
        </is>
      </c>
      <c r="C17" s="16" t="inlineStr">
        <is>
          <t>PRJ/2025/013</t>
        </is>
      </c>
      <c r="D17" s="15" t="inlineStr">
        <is>
          <t>Concrete quality below specified grade</t>
        </is>
      </c>
      <c r="E17" s="16" t="inlineStr"/>
      <c r="F17" s="16" t="inlineStr"/>
      <c r="G17" s="15" t="inlineStr"/>
      <c r="H17" s="15" t="inlineStr"/>
      <c r="I17" s="16" t="inlineStr"/>
      <c r="J17" s="16" t="inlineStr">
        <is>
          <t>Open</t>
        </is>
      </c>
    </row>
    <row r="18" ht="26" customHeight="1">
      <c r="B18" s="8" t="inlineStr">
        <is>
          <t>NCR/0014</t>
        </is>
      </c>
      <c r="C18" s="10" t="inlineStr">
        <is>
          <t>PRJ/2025/014</t>
        </is>
      </c>
      <c r="D18" s="9" t="inlineStr">
        <is>
          <t>Reinforcement spacing / cover non-conforming</t>
        </is>
      </c>
      <c r="E18" s="10" t="inlineStr"/>
      <c r="F18" s="10" t="inlineStr"/>
      <c r="G18" s="9" t="inlineStr"/>
      <c r="H18" s="9" t="inlineStr"/>
      <c r="I18" s="10" t="inlineStr"/>
      <c r="J18" s="10" t="inlineStr">
        <is>
          <t>Open</t>
        </is>
      </c>
    </row>
    <row r="19" ht="26" customHeight="1">
      <c r="B19" s="14" t="inlineStr">
        <is>
          <t>NCR/0015</t>
        </is>
      </c>
      <c r="C19" s="16" t="inlineStr">
        <is>
          <t>PRJ/2025/015</t>
        </is>
      </c>
      <c r="D19" s="15" t="inlineStr">
        <is>
          <t>Waterproofing membrane not as specified</t>
        </is>
      </c>
      <c r="E19" s="16" t="inlineStr"/>
      <c r="F19" s="16" t="inlineStr"/>
      <c r="G19" s="15" t="inlineStr"/>
      <c r="H19" s="15" t="inlineStr"/>
      <c r="I19" s="16" t="inlineStr"/>
      <c r="J19" s="16" t="inlineStr">
        <is>
          <t>Open</t>
        </is>
      </c>
    </row>
    <row r="20" ht="26" customHeight="1">
      <c r="B20" s="8" t="inlineStr">
        <is>
          <t>NCR/0016</t>
        </is>
      </c>
      <c r="C20" s="10" t="inlineStr">
        <is>
          <t>PRJ/2025/016</t>
        </is>
      </c>
      <c r="D20" s="9" t="inlineStr">
        <is>
          <t>Brickwork plumb / level deviation</t>
        </is>
      </c>
      <c r="E20" s="10" t="inlineStr"/>
      <c r="F20" s="10" t="inlineStr"/>
      <c r="G20" s="9" t="inlineStr"/>
      <c r="H20" s="9" t="inlineStr"/>
      <c r="I20" s="10" t="inlineStr"/>
      <c r="J20" s="10" t="inlineStr">
        <is>
          <t>Open</t>
        </is>
      </c>
    </row>
    <row r="21" ht="26" customHeight="1"/>
    <row r="22" ht="24" customHeight="1">
      <c r="B22" s="34" t="inlineStr">
        <is>
          <t>NCR STATISTICS</t>
        </is>
      </c>
    </row>
    <row r="23" ht="26" customHeight="1">
      <c r="B23" s="38" t="inlineStr">
        <is>
          <t>Total NCRs Issued</t>
        </is>
      </c>
      <c r="F23" s="36">
        <f>COUNTA(B5:B20)</f>
        <v/>
      </c>
    </row>
    <row r="24">
      <c r="B24" s="25" t="inlineStr">
        <is>
          <t>Open NCRs</t>
        </is>
      </c>
      <c r="F24" s="37">
        <f>COUNTIF(J5:J20,"Open")</f>
        <v/>
      </c>
    </row>
    <row r="25">
      <c r="B25" s="38" t="inlineStr">
        <is>
          <t>Closed / Resolved NCRs</t>
        </is>
      </c>
      <c r="F25" s="36">
        <f>COUNTIF(J5:J20,"Closed")</f>
        <v/>
      </c>
    </row>
    <row r="26">
      <c r="B26" s="25" t="inlineStr">
        <is>
          <t>Repeat Non-conformances</t>
        </is>
      </c>
      <c r="F26" s="37" t="inlineStr"/>
    </row>
    <row r="27">
      <c r="B27" s="38" t="inlineStr">
        <is>
          <t>NCRs leading to Bill Deduction</t>
        </is>
      </c>
      <c r="F27" s="36" t="inlineStr"/>
    </row>
    <row r="28">
      <c r="B28" s="25" t="inlineStr">
        <is>
          <t>Average Resolution Time (days)</t>
        </is>
      </c>
      <c r="F28" s="37" t="inlineStr"/>
    </row>
  </sheetData>
  <mergeCells count="15">
    <mergeCell ref="B23:E23"/>
    <mergeCell ref="B26:E26"/>
    <mergeCell ref="B3:J3"/>
    <mergeCell ref="B27:E27"/>
    <mergeCell ref="F24:J24"/>
    <mergeCell ref="F23:J23"/>
    <mergeCell ref="B22:J22"/>
    <mergeCell ref="F25:J25"/>
    <mergeCell ref="F27:J27"/>
    <mergeCell ref="B25:E25"/>
    <mergeCell ref="F28:J28"/>
    <mergeCell ref="B24:E24"/>
    <mergeCell ref="B28:E28"/>
    <mergeCell ref="F26:J26"/>
    <mergeCell ref="B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K34"/>
  <sheetViews>
    <sheetView showGridLines="0" workbookViewId="0">
      <selection activeCell="A1" sqref="A1"/>
    </sheetView>
  </sheetViews>
  <sheetFormatPr baseColWidth="8" defaultRowHeight="15"/>
  <cols>
    <col width="3" customWidth="1" min="1" max="1"/>
    <col width="8" customWidth="1" min="2" max="2"/>
    <col width="2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3" customWidth="1" min="12" max="12"/>
  </cols>
  <sheetData>
    <row r="1" ht="10" customHeight="1"/>
    <row r="2" ht="48" customHeight="1">
      <c r="B2" s="12" t="inlineStr">
        <is>
          <t>CC-37: CONCRETE MIX DESIGN &amp; CUBE TEST REGISTER</t>
        </is>
      </c>
    </row>
    <row r="3" ht="20" customHeight="1">
      <c r="B3" s="17" t="inlineStr">
        <is>
          <t>IS 456:2000 requirement: Minimum 1 set of 3 cubes per 5 m³ of concrete or per day's pour (whichever more). 7-day target: 70% of 28-day strength. 28-day result ≥ characteristic strength = PASS. Retain certificates.</t>
        </is>
      </c>
    </row>
    <row r="4" ht="25" customHeight="1">
      <c r="B4" s="21" t="inlineStr">
        <is>
          <t>Test
Ref.</t>
        </is>
      </c>
      <c r="C4" s="21" t="inlineStr">
        <is>
          <t>Project / Location</t>
        </is>
      </c>
      <c r="D4" s="21" t="inlineStr">
        <is>
          <t>Date of
Pour</t>
        </is>
      </c>
      <c r="E4" s="21" t="inlineStr">
        <is>
          <t>Grade of
Concrete</t>
        </is>
      </c>
      <c r="F4" s="21" t="inlineStr">
        <is>
          <t>Volume
Poured (m³)</t>
        </is>
      </c>
      <c r="G4" s="21" t="inlineStr">
        <is>
          <t>Slump
(mm)</t>
        </is>
      </c>
      <c r="H4" s="21" t="inlineStr">
        <is>
          <t>Cube 7-Day
Strength
(N/mm²)</t>
        </is>
      </c>
      <c r="I4" s="21" t="inlineStr">
        <is>
          <t>Cube 28-Day
Strength
(N/mm²)</t>
        </is>
      </c>
      <c r="J4" s="21" t="inlineStr">
        <is>
          <t>Required
Strength
(N/mm²)</t>
        </is>
      </c>
      <c r="K4" s="21" t="inlineStr">
        <is>
          <t>Result</t>
        </is>
      </c>
    </row>
    <row r="5" ht="22" customHeight="1">
      <c r="B5" s="47" t="inlineStr">
        <is>
          <t>CT/0001</t>
        </is>
      </c>
      <c r="C5" s="46" t="inlineStr"/>
      <c r="D5" s="22" t="inlineStr"/>
      <c r="E5" s="50" t="inlineStr">
        <is>
          <t>M15</t>
        </is>
      </c>
      <c r="F5" s="22" t="inlineStr"/>
      <c r="G5" s="22" t="inlineStr"/>
      <c r="H5" s="22" t="inlineStr"/>
      <c r="I5" s="22" t="inlineStr"/>
      <c r="J5" s="22" t="n">
        <v>15</v>
      </c>
      <c r="K5" s="47">
        <f>IFERROR(IF(I5&gt;=15,"PASS","FAIL — NCR to be raised"),"")</f>
        <v/>
      </c>
    </row>
    <row r="6" ht="22" customHeight="1">
      <c r="B6" s="8" t="inlineStr">
        <is>
          <t>CT/0002</t>
        </is>
      </c>
      <c r="C6" s="9" t="inlineStr"/>
      <c r="D6" s="10" t="inlineStr"/>
      <c r="E6" s="51" t="inlineStr">
        <is>
          <t>M20</t>
        </is>
      </c>
      <c r="F6" s="10" t="inlineStr"/>
      <c r="G6" s="10" t="inlineStr"/>
      <c r="H6" s="10" t="inlineStr"/>
      <c r="I6" s="10" t="inlineStr"/>
      <c r="J6" s="10" t="n">
        <v>20</v>
      </c>
      <c r="K6" s="8">
        <f>IFERROR(IF(I6&gt;=20,"PASS","FAIL — NCR to be raised"),"")</f>
        <v/>
      </c>
    </row>
    <row r="7" ht="22" customHeight="1">
      <c r="B7" s="47" t="inlineStr">
        <is>
          <t>CT/0003</t>
        </is>
      </c>
      <c r="C7" s="46" t="inlineStr"/>
      <c r="D7" s="22" t="inlineStr"/>
      <c r="E7" s="50" t="inlineStr">
        <is>
          <t>M25</t>
        </is>
      </c>
      <c r="F7" s="22" t="inlineStr"/>
      <c r="G7" s="22" t="inlineStr"/>
      <c r="H7" s="22" t="inlineStr"/>
      <c r="I7" s="22" t="inlineStr"/>
      <c r="J7" s="22" t="n">
        <v>25</v>
      </c>
      <c r="K7" s="47">
        <f>IFERROR(IF(I7&gt;=25,"PASS","FAIL — NCR to be raised"),"")</f>
        <v/>
      </c>
    </row>
    <row r="8" ht="22" customHeight="1">
      <c r="B8" s="8" t="inlineStr">
        <is>
          <t>CT/0004</t>
        </is>
      </c>
      <c r="C8" s="9" t="inlineStr"/>
      <c r="D8" s="10" t="inlineStr"/>
      <c r="E8" s="51" t="inlineStr">
        <is>
          <t>M30</t>
        </is>
      </c>
      <c r="F8" s="10" t="inlineStr"/>
      <c r="G8" s="10" t="inlineStr"/>
      <c r="H8" s="10" t="inlineStr"/>
      <c r="I8" s="10" t="inlineStr"/>
      <c r="J8" s="10" t="n">
        <v>30</v>
      </c>
      <c r="K8" s="8">
        <f>IFERROR(IF(I8&gt;=30,"PASS","FAIL — NCR to be raised"),"")</f>
        <v/>
      </c>
    </row>
    <row r="9" ht="22" customHeight="1">
      <c r="B9" s="47" t="inlineStr">
        <is>
          <t>CT/0005</t>
        </is>
      </c>
      <c r="C9" s="46" t="inlineStr"/>
      <c r="D9" s="22" t="inlineStr"/>
      <c r="E9" s="50" t="inlineStr">
        <is>
          <t>M35</t>
        </is>
      </c>
      <c r="F9" s="22" t="inlineStr"/>
      <c r="G9" s="22" t="inlineStr"/>
      <c r="H9" s="22" t="inlineStr"/>
      <c r="I9" s="22" t="inlineStr"/>
      <c r="J9" s="22" t="n">
        <v>35</v>
      </c>
      <c r="K9" s="47">
        <f>IFERROR(IF(I9&gt;=35,"PASS","FAIL — NCR to be raised"),"")</f>
        <v/>
      </c>
    </row>
    <row r="10" ht="22" customHeight="1">
      <c r="B10" s="8" t="inlineStr">
        <is>
          <t>CT/0006</t>
        </is>
      </c>
      <c r="C10" s="9" t="inlineStr"/>
      <c r="D10" s="10" t="inlineStr"/>
      <c r="E10" s="51" t="inlineStr">
        <is>
          <t>M40</t>
        </is>
      </c>
      <c r="F10" s="10" t="inlineStr"/>
      <c r="G10" s="10" t="inlineStr"/>
      <c r="H10" s="10" t="inlineStr"/>
      <c r="I10" s="10" t="inlineStr"/>
      <c r="J10" s="10" t="n">
        <v>40</v>
      </c>
      <c r="K10" s="8">
        <f>IFERROR(IF(I10&gt;=40,"PASS","FAIL — NCR to be raised"),"")</f>
        <v/>
      </c>
    </row>
    <row r="11" ht="22" customHeight="1">
      <c r="B11" s="47" t="inlineStr">
        <is>
          <t>CT/0007</t>
        </is>
      </c>
      <c r="C11" s="46" t="inlineStr"/>
      <c r="D11" s="22" t="inlineStr"/>
      <c r="E11" s="50" t="inlineStr">
        <is>
          <t>M15</t>
        </is>
      </c>
      <c r="F11" s="22" t="inlineStr"/>
      <c r="G11" s="22" t="inlineStr"/>
      <c r="H11" s="22" t="inlineStr"/>
      <c r="I11" s="22" t="inlineStr"/>
      <c r="J11" s="22" t="n">
        <v>15</v>
      </c>
      <c r="K11" s="47">
        <f>IFERROR(IF(I11&gt;=15,"PASS","FAIL — NCR to be raised"),"")</f>
        <v/>
      </c>
    </row>
    <row r="12" ht="22" customHeight="1">
      <c r="B12" s="8" t="inlineStr">
        <is>
          <t>CT/0008</t>
        </is>
      </c>
      <c r="C12" s="9" t="inlineStr"/>
      <c r="D12" s="10" t="inlineStr"/>
      <c r="E12" s="51" t="inlineStr">
        <is>
          <t>M20</t>
        </is>
      </c>
      <c r="F12" s="10" t="inlineStr"/>
      <c r="G12" s="10" t="inlineStr"/>
      <c r="H12" s="10" t="inlineStr"/>
      <c r="I12" s="10" t="inlineStr"/>
      <c r="J12" s="10" t="n">
        <v>20</v>
      </c>
      <c r="K12" s="8">
        <f>IFERROR(IF(I12&gt;=20,"PASS","FAIL — NCR to be raised"),"")</f>
        <v/>
      </c>
    </row>
    <row r="13" ht="22" customHeight="1">
      <c r="B13" s="47" t="inlineStr">
        <is>
          <t>CT/0009</t>
        </is>
      </c>
      <c r="C13" s="46" t="inlineStr"/>
      <c r="D13" s="22" t="inlineStr"/>
      <c r="E13" s="50" t="inlineStr">
        <is>
          <t>M25</t>
        </is>
      </c>
      <c r="F13" s="22" t="inlineStr"/>
      <c r="G13" s="22" t="inlineStr"/>
      <c r="H13" s="22" t="inlineStr"/>
      <c r="I13" s="22" t="inlineStr"/>
      <c r="J13" s="22" t="n">
        <v>25</v>
      </c>
      <c r="K13" s="47">
        <f>IFERROR(IF(I13&gt;=25,"PASS","FAIL — NCR to be raised"),"")</f>
        <v/>
      </c>
    </row>
    <row r="14" ht="22" customHeight="1">
      <c r="B14" s="8" t="inlineStr">
        <is>
          <t>CT/0010</t>
        </is>
      </c>
      <c r="C14" s="9" t="inlineStr"/>
      <c r="D14" s="10" t="inlineStr"/>
      <c r="E14" s="51" t="inlineStr">
        <is>
          <t>M30</t>
        </is>
      </c>
      <c r="F14" s="10" t="inlineStr"/>
      <c r="G14" s="10" t="inlineStr"/>
      <c r="H14" s="10" t="inlineStr"/>
      <c r="I14" s="10" t="inlineStr"/>
      <c r="J14" s="10" t="n">
        <v>30</v>
      </c>
      <c r="K14" s="8">
        <f>IFERROR(IF(I14&gt;=30,"PASS","FAIL — NCR to be raised"),"")</f>
        <v/>
      </c>
    </row>
    <row r="15" ht="22" customHeight="1">
      <c r="B15" s="47" t="inlineStr">
        <is>
          <t>CT/0011</t>
        </is>
      </c>
      <c r="C15" s="46" t="inlineStr"/>
      <c r="D15" s="22" t="inlineStr"/>
      <c r="E15" s="50" t="inlineStr">
        <is>
          <t>M35</t>
        </is>
      </c>
      <c r="F15" s="22" t="inlineStr"/>
      <c r="G15" s="22" t="inlineStr"/>
      <c r="H15" s="22" t="inlineStr"/>
      <c r="I15" s="22" t="inlineStr"/>
      <c r="J15" s="22" t="n">
        <v>35</v>
      </c>
      <c r="K15" s="47">
        <f>IFERROR(IF(I15&gt;=35,"PASS","FAIL — NCR to be raised"),"")</f>
        <v/>
      </c>
    </row>
    <row r="16" ht="22" customHeight="1">
      <c r="B16" s="8" t="inlineStr">
        <is>
          <t>CT/0012</t>
        </is>
      </c>
      <c r="C16" s="9" t="inlineStr"/>
      <c r="D16" s="10" t="inlineStr"/>
      <c r="E16" s="51" t="inlineStr">
        <is>
          <t>M40</t>
        </is>
      </c>
      <c r="F16" s="10" t="inlineStr"/>
      <c r="G16" s="10" t="inlineStr"/>
      <c r="H16" s="10" t="inlineStr"/>
      <c r="I16" s="10" t="inlineStr"/>
      <c r="J16" s="10" t="n">
        <v>40</v>
      </c>
      <c r="K16" s="8">
        <f>IFERROR(IF(I16&gt;=40,"PASS","FAIL — NCR to be raised"),"")</f>
        <v/>
      </c>
    </row>
    <row r="17" ht="22" customHeight="1">
      <c r="B17" s="47" t="inlineStr">
        <is>
          <t>CT/0013</t>
        </is>
      </c>
      <c r="C17" s="46" t="inlineStr"/>
      <c r="D17" s="22" t="inlineStr"/>
      <c r="E17" s="50" t="inlineStr">
        <is>
          <t>M15</t>
        </is>
      </c>
      <c r="F17" s="22" t="inlineStr"/>
      <c r="G17" s="22" t="inlineStr"/>
      <c r="H17" s="22" t="inlineStr"/>
      <c r="I17" s="22" t="inlineStr"/>
      <c r="J17" s="22" t="n">
        <v>15</v>
      </c>
      <c r="K17" s="47">
        <f>IFERROR(IF(I17&gt;=15,"PASS","FAIL — NCR to be raised"),"")</f>
        <v/>
      </c>
    </row>
    <row r="18" ht="22" customHeight="1">
      <c r="B18" s="8" t="inlineStr">
        <is>
          <t>CT/0014</t>
        </is>
      </c>
      <c r="C18" s="9" t="inlineStr"/>
      <c r="D18" s="10" t="inlineStr"/>
      <c r="E18" s="51" t="inlineStr">
        <is>
          <t>M20</t>
        </is>
      </c>
      <c r="F18" s="10" t="inlineStr"/>
      <c r="G18" s="10" t="inlineStr"/>
      <c r="H18" s="10" t="inlineStr"/>
      <c r="I18" s="10" t="inlineStr"/>
      <c r="J18" s="10" t="n">
        <v>20</v>
      </c>
      <c r="K18" s="8">
        <f>IFERROR(IF(I18&gt;=20,"PASS","FAIL — NCR to be raised"),"")</f>
        <v/>
      </c>
    </row>
    <row r="19" ht="22" customHeight="1">
      <c r="B19" s="47" t="inlineStr">
        <is>
          <t>CT/0015</t>
        </is>
      </c>
      <c r="C19" s="46" t="inlineStr"/>
      <c r="D19" s="22" t="inlineStr"/>
      <c r="E19" s="50" t="inlineStr">
        <is>
          <t>M25</t>
        </is>
      </c>
      <c r="F19" s="22" t="inlineStr"/>
      <c r="G19" s="22" t="inlineStr"/>
      <c r="H19" s="22" t="inlineStr"/>
      <c r="I19" s="22" t="inlineStr"/>
      <c r="J19" s="22" t="n">
        <v>25</v>
      </c>
      <c r="K19" s="47">
        <f>IFERROR(IF(I19&gt;=25,"PASS","FAIL — NCR to be raised"),"")</f>
        <v/>
      </c>
    </row>
    <row r="20" ht="22" customHeight="1">
      <c r="B20" s="8" t="inlineStr">
        <is>
          <t>CT/0016</t>
        </is>
      </c>
      <c r="C20" s="9" t="inlineStr"/>
      <c r="D20" s="10" t="inlineStr"/>
      <c r="E20" s="51" t="inlineStr">
        <is>
          <t>M30</t>
        </is>
      </c>
      <c r="F20" s="10" t="inlineStr"/>
      <c r="G20" s="10" t="inlineStr"/>
      <c r="H20" s="10" t="inlineStr"/>
      <c r="I20" s="10" t="inlineStr"/>
      <c r="J20" s="10" t="n">
        <v>30</v>
      </c>
      <c r="K20" s="8">
        <f>IFERROR(IF(I20&gt;=30,"PASS","FAIL — NCR to be raised"),"")</f>
        <v/>
      </c>
    </row>
    <row r="21" ht="22" customHeight="1">
      <c r="B21" s="47" t="inlineStr">
        <is>
          <t>CT/0017</t>
        </is>
      </c>
      <c r="C21" s="46" t="inlineStr"/>
      <c r="D21" s="22" t="inlineStr"/>
      <c r="E21" s="50" t="inlineStr">
        <is>
          <t>M35</t>
        </is>
      </c>
      <c r="F21" s="22" t="inlineStr"/>
      <c r="G21" s="22" t="inlineStr"/>
      <c r="H21" s="22" t="inlineStr"/>
      <c r="I21" s="22" t="inlineStr"/>
      <c r="J21" s="22" t="n">
        <v>35</v>
      </c>
      <c r="K21" s="47">
        <f>IFERROR(IF(I21&gt;=35,"PASS","FAIL — NCR to be raised"),"")</f>
        <v/>
      </c>
    </row>
    <row r="22" ht="22" customHeight="1">
      <c r="B22" s="8" t="inlineStr">
        <is>
          <t>CT/0018</t>
        </is>
      </c>
      <c r="C22" s="9" t="inlineStr"/>
      <c r="D22" s="10" t="inlineStr"/>
      <c r="E22" s="51" t="inlineStr">
        <is>
          <t>M40</t>
        </is>
      </c>
      <c r="F22" s="10" t="inlineStr"/>
      <c r="G22" s="10" t="inlineStr"/>
      <c r="H22" s="10" t="inlineStr"/>
      <c r="I22" s="10" t="inlineStr"/>
      <c r="J22" s="10" t="n">
        <v>40</v>
      </c>
      <c r="K22" s="8">
        <f>IFERROR(IF(I22&gt;=40,"PASS","FAIL — NCR to be raised"),"")</f>
        <v/>
      </c>
    </row>
    <row r="23" ht="22" customHeight="1">
      <c r="B23" s="47" t="inlineStr">
        <is>
          <t>CT/0019</t>
        </is>
      </c>
      <c r="C23" s="46" t="inlineStr"/>
      <c r="D23" s="22" t="inlineStr"/>
      <c r="E23" s="50" t="inlineStr">
        <is>
          <t>M15</t>
        </is>
      </c>
      <c r="F23" s="22" t="inlineStr"/>
      <c r="G23" s="22" t="inlineStr"/>
      <c r="H23" s="22" t="inlineStr"/>
      <c r="I23" s="22" t="inlineStr"/>
      <c r="J23" s="22" t="n">
        <v>15</v>
      </c>
      <c r="K23" s="47">
        <f>IFERROR(IF(I23&gt;=15,"PASS","FAIL — NCR to be raised"),"")</f>
        <v/>
      </c>
    </row>
    <row r="24" ht="22" customHeight="1">
      <c r="B24" s="8" t="inlineStr">
        <is>
          <t>CT/0020</t>
        </is>
      </c>
      <c r="C24" s="9" t="inlineStr"/>
      <c r="D24" s="10" t="inlineStr"/>
      <c r="E24" s="51" t="inlineStr">
        <is>
          <t>M20</t>
        </is>
      </c>
      <c r="F24" s="10" t="inlineStr"/>
      <c r="G24" s="10" t="inlineStr"/>
      <c r="H24" s="10" t="inlineStr"/>
      <c r="I24" s="10" t="inlineStr"/>
      <c r="J24" s="10" t="n">
        <v>20</v>
      </c>
      <c r="K24" s="8">
        <f>IFERROR(IF(I24&gt;=20,"PASS","FAIL — NCR to be raised"),"")</f>
        <v/>
      </c>
    </row>
    <row r="25" ht="22" customHeight="1">
      <c r="B25" s="47" t="inlineStr">
        <is>
          <t>CT/0021</t>
        </is>
      </c>
      <c r="C25" s="46" t="inlineStr"/>
      <c r="D25" s="22" t="inlineStr"/>
      <c r="E25" s="50" t="inlineStr">
        <is>
          <t>M25</t>
        </is>
      </c>
      <c r="F25" s="22" t="inlineStr"/>
      <c r="G25" s="22" t="inlineStr"/>
      <c r="H25" s="22" t="inlineStr"/>
      <c r="I25" s="22" t="inlineStr"/>
      <c r="J25" s="22" t="n">
        <v>25</v>
      </c>
      <c r="K25" s="47">
        <f>IFERROR(IF(I25&gt;=25,"PASS","FAIL — NCR to be raised"),"")</f>
        <v/>
      </c>
    </row>
    <row r="26" ht="22" customHeight="1">
      <c r="B26" s="8" t="inlineStr">
        <is>
          <t>CT/0022</t>
        </is>
      </c>
      <c r="C26" s="9" t="inlineStr"/>
      <c r="D26" s="10" t="inlineStr"/>
      <c r="E26" s="51" t="inlineStr">
        <is>
          <t>M30</t>
        </is>
      </c>
      <c r="F26" s="10" t="inlineStr"/>
      <c r="G26" s="10" t="inlineStr"/>
      <c r="H26" s="10" t="inlineStr"/>
      <c r="I26" s="10" t="inlineStr"/>
      <c r="J26" s="10" t="n">
        <v>30</v>
      </c>
      <c r="K26" s="8">
        <f>IFERROR(IF(I26&gt;=30,"PASS","FAIL — NCR to be raised"),"")</f>
        <v/>
      </c>
    </row>
    <row r="27" ht="22" customHeight="1"/>
    <row r="28" ht="24" customHeight="1">
      <c r="B28" s="34" t="inlineStr">
        <is>
          <t>CONCRETE QUALITY SUMMARY</t>
        </is>
      </c>
    </row>
    <row r="29" ht="22" customHeight="1">
      <c r="B29" s="23" t="inlineStr">
        <is>
          <t>Total Cube Sets Tested</t>
        </is>
      </c>
      <c r="F29" s="36">
        <f>COUNTA(B5:B26)</f>
        <v/>
      </c>
    </row>
    <row r="30">
      <c r="B30" s="25" t="inlineStr">
        <is>
          <t>PASS Results</t>
        </is>
      </c>
      <c r="F30" s="37">
        <f>COUNTIF(K5:K26,"PASS")</f>
        <v/>
      </c>
    </row>
    <row r="31">
      <c r="B31" s="23" t="inlineStr">
        <is>
          <t>FAIL Results — NCR Required</t>
        </is>
      </c>
      <c r="F31" s="36">
        <f>COUNTIF(K5:K26,"FAIL — NCR to be raised")</f>
        <v/>
      </c>
    </row>
    <row r="32">
      <c r="B32" s="25" t="inlineStr">
        <is>
          <t>Pass Rate (%)</t>
        </is>
      </c>
      <c r="F32" s="37">
        <f>IFERROR(ROUND(C30/C29*100,1),"")</f>
        <v/>
      </c>
    </row>
    <row r="33">
      <c r="B33" s="23" t="inlineStr">
        <is>
          <t>Average 28-Day Strength (N/mm²)</t>
        </is>
      </c>
      <c r="F33" s="36">
        <f>IFERROR(ROUND(AVERAGE(I5:I26),1),"")</f>
        <v/>
      </c>
    </row>
    <row r="34">
      <c r="B34" s="25" t="inlineStr">
        <is>
          <t>Cubes with &lt; 70% at 7 days</t>
        </is>
      </c>
      <c r="F34" s="37" t="inlineStr"/>
    </row>
  </sheetData>
  <mergeCells count="15">
    <mergeCell ref="B31:E31"/>
    <mergeCell ref="F34:K34"/>
    <mergeCell ref="F33:K33"/>
    <mergeCell ref="F32:K32"/>
    <mergeCell ref="B34:E34"/>
    <mergeCell ref="B30:E30"/>
    <mergeCell ref="F31:K31"/>
    <mergeCell ref="B32:E32"/>
    <mergeCell ref="B29:E29"/>
    <mergeCell ref="B33:E33"/>
    <mergeCell ref="B2:K2"/>
    <mergeCell ref="B28:K28"/>
    <mergeCell ref="B3:K3"/>
    <mergeCell ref="F29:K29"/>
    <mergeCell ref="F30:K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H45"/>
  <sheetViews>
    <sheetView showGridLines="0" workbookViewId="0">
      <selection activeCell="A1" sqref="A1"/>
    </sheetView>
  </sheetViews>
  <sheetFormatPr baseColWidth="8" defaultRowHeight="15"/>
  <cols>
    <col width="3" customWidth="1" min="1" max="1"/>
    <col width="6" customWidth="1" min="2" max="2"/>
    <col width="32" customWidth="1" min="3" max="3"/>
    <col width="20" customWidth="1" min="4" max="4"/>
    <col width="12" customWidth="1" min="5" max="5"/>
    <col width="14" customWidth="1" min="6" max="6"/>
    <col width="14" customWidth="1" min="7" max="7"/>
    <col width="14" customWidth="1" min="8" max="8"/>
    <col width="3" customWidth="1" min="9" max="9"/>
  </cols>
  <sheetData>
    <row r="1" ht="10" customHeight="1"/>
    <row r="2" ht="48" customHeight="1">
      <c r="B2" s="52" t="inlineStr">
        <is>
          <t>CC-42: CONSTRUCTION SITE SAFETY INSPECTION CHECKLIST</t>
        </is>
      </c>
    </row>
    <row r="3" ht="20" customHeight="1">
      <c r="B3" s="17" t="inlineStr">
        <is>
          <t>Weekly safety inspection mandatory. Any safety violation = STOP WORK ORDER for that activity until rectified. Building &amp; Other Construction Workers Act 1996 / IS 7969 applies.</t>
        </is>
      </c>
    </row>
    <row r="4" ht="25" customHeight="1">
      <c r="B4" s="53" t="inlineStr">
        <is>
          <t>Project: _______  Date: _______  Inspector: ___________________  Contractor Rep Present: ___________________</t>
        </is>
      </c>
    </row>
    <row r="5" ht="26" customHeight="1">
      <c r="B5" s="54" t="inlineStr">
        <is>
          <t>Sl.</t>
        </is>
      </c>
      <c r="C5" s="54" t="inlineStr">
        <is>
          <t>Safety Parameter</t>
        </is>
      </c>
      <c r="D5" s="54" t="inlineStr">
        <is>
          <t>Standard / Requirement</t>
        </is>
      </c>
      <c r="E5" s="54" t="inlineStr">
        <is>
          <t>Rating
(1–5)</t>
        </is>
      </c>
      <c r="F5" s="54" t="inlineStr">
        <is>
          <t>Compliant
(Y/N)</t>
        </is>
      </c>
      <c r="G5" s="54" t="inlineStr">
        <is>
          <t>Observations</t>
        </is>
      </c>
      <c r="H5" s="54" t="inlineStr">
        <is>
          <t>Action Required</t>
        </is>
      </c>
    </row>
    <row r="6" ht="24" customHeight="1">
      <c r="B6" s="43" t="inlineStr">
        <is>
          <t>A. PERSONAL PROTECTIVE EQUIPMENT (PPE)</t>
        </is>
      </c>
    </row>
    <row r="7" ht="26" customHeight="1">
      <c r="B7" s="55" t="n">
        <v>1</v>
      </c>
      <c r="C7" s="56" t="inlineStr">
        <is>
          <t>All workers wearing safety helmet (hard hat)</t>
        </is>
      </c>
      <c r="D7" s="56" t="inlineStr">
        <is>
          <t>IS 2925 — mandatory on all construction sites</t>
        </is>
      </c>
      <c r="E7" s="57" t="inlineStr"/>
      <c r="F7" s="57" t="inlineStr">
        <is>
          <t>Y</t>
        </is>
      </c>
      <c r="G7" s="56" t="inlineStr"/>
      <c r="H7" s="56" t="inlineStr"/>
    </row>
    <row r="8" ht="26" customHeight="1">
      <c r="B8" s="58" t="n">
        <v>2</v>
      </c>
      <c r="C8" s="59" t="inlineStr">
        <is>
          <t>Safety shoes / gumboots worn</t>
        </is>
      </c>
      <c r="D8" s="59" t="inlineStr">
        <is>
          <t>No slippers or bare feet on site</t>
        </is>
      </c>
      <c r="E8" s="60" t="inlineStr"/>
      <c r="F8" s="60" t="inlineStr">
        <is>
          <t>Y</t>
        </is>
      </c>
      <c r="G8" s="59" t="inlineStr"/>
      <c r="H8" s="59" t="inlineStr"/>
    </row>
    <row r="9" ht="26" customHeight="1">
      <c r="B9" s="55" t="n">
        <v>3</v>
      </c>
      <c r="C9" s="56" t="inlineStr">
        <is>
          <t>Safety harness worn at height (&gt;2m)</t>
        </is>
      </c>
      <c r="D9" s="56" t="inlineStr">
        <is>
          <t>IS 3521 — mandatory at height</t>
        </is>
      </c>
      <c r="E9" s="57" t="inlineStr"/>
      <c r="F9" s="57" t="inlineStr">
        <is>
          <t>Y</t>
        </is>
      </c>
      <c r="G9" s="56" t="inlineStr"/>
      <c r="H9" s="56" t="inlineStr"/>
    </row>
    <row r="10" ht="26" customHeight="1">
      <c r="B10" s="58" t="n">
        <v>4</v>
      </c>
      <c r="C10" s="59" t="inlineStr">
        <is>
          <t>High-visibility vest worn by supervisors</t>
        </is>
      </c>
      <c r="D10" s="59" t="inlineStr">
        <is>
          <t>Fluorescent vest — all supervisors</t>
        </is>
      </c>
      <c r="E10" s="60" t="inlineStr"/>
      <c r="F10" s="60" t="inlineStr">
        <is>
          <t>Y</t>
        </is>
      </c>
      <c r="G10" s="59" t="inlineStr"/>
      <c r="H10" s="59" t="inlineStr"/>
    </row>
    <row r="11" ht="26" customHeight="1">
      <c r="B11" s="55" t="n">
        <v>5</v>
      </c>
      <c r="C11" s="56" t="inlineStr">
        <is>
          <t>Gloves worn for material handling</t>
        </is>
      </c>
      <c r="D11" s="56" t="inlineStr">
        <is>
          <t>Leather / rubber gloves as appropriate</t>
        </is>
      </c>
      <c r="E11" s="57" t="inlineStr"/>
      <c r="F11" s="57" t="inlineStr">
        <is>
          <t>Y</t>
        </is>
      </c>
      <c r="G11" s="56" t="inlineStr"/>
      <c r="H11" s="56" t="inlineStr"/>
    </row>
    <row r="12" ht="26" customHeight="1">
      <c r="B12" s="58" t="n">
        <v>6</v>
      </c>
      <c r="C12" s="59" t="inlineStr">
        <is>
          <t>Ear protection in noisy areas</t>
        </is>
      </c>
      <c r="D12" s="59" t="inlineStr">
        <is>
          <t>Earmuffs / earplugs near machinery</t>
        </is>
      </c>
      <c r="E12" s="60" t="inlineStr"/>
      <c r="F12" s="60" t="inlineStr">
        <is>
          <t>Y</t>
        </is>
      </c>
      <c r="G12" s="59" t="inlineStr"/>
      <c r="H12" s="59" t="inlineStr"/>
    </row>
    <row r="13" ht="26" customHeight="1">
      <c r="B13" s="55" t="n">
        <v>7</v>
      </c>
      <c r="C13" s="56" t="inlineStr">
        <is>
          <t>Dust mask in dusty areas</t>
        </is>
      </c>
      <c r="D13" s="56" t="inlineStr">
        <is>
          <t>N95 or equivalent for dusty operations</t>
        </is>
      </c>
      <c r="E13" s="57" t="inlineStr"/>
      <c r="F13" s="57" t="inlineStr">
        <is>
          <t>Y</t>
        </is>
      </c>
      <c r="G13" s="56" t="inlineStr"/>
      <c r="H13" s="56" t="inlineStr"/>
    </row>
    <row r="14" ht="26" customHeight="1"/>
    <row r="15" ht="24" customHeight="1">
      <c r="B15" s="61" t="inlineStr">
        <is>
          <t>B. SCAFFOLDING &amp; WORK AT HEIGHT</t>
        </is>
      </c>
    </row>
    <row r="16" ht="26" customHeight="1">
      <c r="B16" s="62" t="n">
        <v>1</v>
      </c>
      <c r="C16" s="63" t="inlineStr">
        <is>
          <t>Scaffold inspected and certified before use</t>
        </is>
      </c>
      <c r="D16" s="63" t="inlineStr">
        <is>
          <t>Inspection tag visible on scaffold</t>
        </is>
      </c>
      <c r="E16" s="64" t="inlineStr"/>
      <c r="F16" s="64" t="inlineStr">
        <is>
          <t>Y</t>
        </is>
      </c>
      <c r="G16" s="63" t="inlineStr"/>
      <c r="H16" s="63" t="inlineStr"/>
    </row>
    <row r="17" ht="26" customHeight="1">
      <c r="B17" s="58" t="n">
        <v>2</v>
      </c>
      <c r="C17" s="59" t="inlineStr">
        <is>
          <t>Scaffold base plates and sole boards in place</t>
        </is>
      </c>
      <c r="D17" s="59" t="inlineStr">
        <is>
          <t>No scaffolding erected on soft ground without base</t>
        </is>
      </c>
      <c r="E17" s="60" t="inlineStr"/>
      <c r="F17" s="60" t="inlineStr">
        <is>
          <t>Y</t>
        </is>
      </c>
      <c r="G17" s="59" t="inlineStr"/>
      <c r="H17" s="59" t="inlineStr"/>
    </row>
    <row r="18" ht="26" customHeight="1">
      <c r="B18" s="62" t="n">
        <v>3</v>
      </c>
      <c r="C18" s="63" t="inlineStr">
        <is>
          <t>Guard rails on all open edges (&gt;2m height)</t>
        </is>
      </c>
      <c r="D18" s="63" t="inlineStr">
        <is>
          <t>Top rail 900-1100mm, mid-rail 450-550mm</t>
        </is>
      </c>
      <c r="E18" s="64" t="inlineStr"/>
      <c r="F18" s="64" t="inlineStr">
        <is>
          <t>Y</t>
        </is>
      </c>
      <c r="G18" s="63" t="inlineStr"/>
      <c r="H18" s="63" t="inlineStr"/>
    </row>
    <row r="19" ht="26" customHeight="1">
      <c r="B19" s="58" t="n">
        <v>4</v>
      </c>
      <c r="C19" s="59" t="inlineStr">
        <is>
          <t>Toe boards fitted on scaffold platforms</t>
        </is>
      </c>
      <c r="D19" s="59" t="inlineStr">
        <is>
          <t>150mm toe board to prevent tools falling</t>
        </is>
      </c>
      <c r="E19" s="60" t="inlineStr"/>
      <c r="F19" s="60" t="inlineStr">
        <is>
          <t>Y</t>
        </is>
      </c>
      <c r="G19" s="59" t="inlineStr"/>
      <c r="H19" s="59" t="inlineStr"/>
    </row>
    <row r="20" ht="26" customHeight="1">
      <c r="B20" s="62" t="n">
        <v>5</v>
      </c>
      <c r="C20" s="63" t="inlineStr">
        <is>
          <t>Ladder properly secured and extends 1m above platform</t>
        </is>
      </c>
      <c r="D20" s="63" t="inlineStr">
        <is>
          <t>75° angle; tied at top</t>
        </is>
      </c>
      <c r="E20" s="64" t="inlineStr"/>
      <c r="F20" s="64" t="inlineStr">
        <is>
          <t>Y</t>
        </is>
      </c>
      <c r="G20" s="63" t="inlineStr"/>
      <c r="H20" s="63" t="inlineStr"/>
    </row>
    <row r="21" ht="26" customHeight="1">
      <c r="B21" s="58" t="n">
        <v>6</v>
      </c>
      <c r="C21" s="59" t="inlineStr">
        <is>
          <t>No overloading of scaffold platforms</t>
        </is>
      </c>
      <c r="D21" s="59" t="inlineStr">
        <is>
          <t>Do not exceed rated SWL (Safe Working Load)</t>
        </is>
      </c>
      <c r="E21" s="60" t="inlineStr"/>
      <c r="F21" s="60" t="inlineStr">
        <is>
          <t>Y</t>
        </is>
      </c>
      <c r="G21" s="59" t="inlineStr"/>
      <c r="H21" s="59" t="inlineStr"/>
    </row>
    <row r="22" ht="26" customHeight="1"/>
    <row r="23" ht="24" customHeight="1">
      <c r="B23" s="19" t="inlineStr">
        <is>
          <t>C. EXCAVATION &amp; TRENCHING</t>
        </is>
      </c>
    </row>
    <row r="24" ht="26" customHeight="1">
      <c r="B24" s="65" t="n">
        <v>1</v>
      </c>
      <c r="C24" s="66" t="inlineStr">
        <is>
          <t>Excavation edges shored or battered at safe angle</t>
        </is>
      </c>
      <c r="D24" s="66" t="inlineStr">
        <is>
          <t>Sides battered ≥45° or shored for depth &gt; 1.5m</t>
        </is>
      </c>
      <c r="E24" s="67" t="inlineStr"/>
      <c r="F24" s="67" t="inlineStr">
        <is>
          <t>Y</t>
        </is>
      </c>
      <c r="G24" s="66" t="inlineStr"/>
      <c r="H24" s="66" t="inlineStr"/>
    </row>
    <row r="25" ht="26" customHeight="1">
      <c r="B25" s="58" t="n">
        <v>2</v>
      </c>
      <c r="C25" s="59" t="inlineStr">
        <is>
          <t>Barricades and warning signs around excavation</t>
        </is>
      </c>
      <c r="D25" s="59" t="inlineStr">
        <is>
          <t>Full perimeter barricading with warning tape</t>
        </is>
      </c>
      <c r="E25" s="60" t="inlineStr"/>
      <c r="F25" s="60" t="inlineStr">
        <is>
          <t>Y</t>
        </is>
      </c>
      <c r="G25" s="59" t="inlineStr"/>
      <c r="H25" s="59" t="inlineStr"/>
    </row>
    <row r="26" ht="26" customHeight="1">
      <c r="B26" s="65" t="n">
        <v>3</v>
      </c>
      <c r="C26" s="66" t="inlineStr">
        <is>
          <t>No material stacked within 1m of excavation edge</t>
        </is>
      </c>
      <c r="D26" s="66" t="inlineStr">
        <is>
          <t>Materials stored away from trench edge</t>
        </is>
      </c>
      <c r="E26" s="67" t="inlineStr"/>
      <c r="F26" s="67" t="inlineStr">
        <is>
          <t>Y</t>
        </is>
      </c>
      <c r="G26" s="66" t="inlineStr"/>
      <c r="H26" s="66" t="inlineStr"/>
    </row>
    <row r="27" ht="26" customHeight="1">
      <c r="B27" s="58" t="n">
        <v>4</v>
      </c>
      <c r="C27" s="59" t="inlineStr">
        <is>
          <t>Means of egress every 8m in trenches</t>
        </is>
      </c>
      <c r="D27" s="59" t="inlineStr">
        <is>
          <t>Ladders / steps every 8 metres</t>
        </is>
      </c>
      <c r="E27" s="60" t="inlineStr"/>
      <c r="F27" s="60" t="inlineStr">
        <is>
          <t>Y</t>
        </is>
      </c>
      <c r="G27" s="59" t="inlineStr"/>
      <c r="H27" s="59" t="inlineStr"/>
    </row>
    <row r="28" ht="26" customHeight="1">
      <c r="B28" s="65" t="n">
        <v>5</v>
      </c>
      <c r="C28" s="66" t="inlineStr">
        <is>
          <t>Excavation inspected daily by supervisor</t>
        </is>
      </c>
      <c r="D28" s="66" t="inlineStr">
        <is>
          <t>Inspection record maintained</t>
        </is>
      </c>
      <c r="E28" s="67" t="inlineStr"/>
      <c r="F28" s="67" t="inlineStr">
        <is>
          <t>Y</t>
        </is>
      </c>
      <c r="G28" s="66" t="inlineStr"/>
      <c r="H28" s="66" t="inlineStr"/>
    </row>
    <row r="29" ht="26" customHeight="1"/>
    <row r="30" ht="24" customHeight="1">
      <c r="B30" s="34" t="inlineStr">
        <is>
          <t>D. ELECTRICAL SAFETY</t>
        </is>
      </c>
    </row>
    <row r="31" ht="26" customHeight="1">
      <c r="B31" s="68" t="n">
        <v>1</v>
      </c>
      <c r="C31" s="69" t="inlineStr">
        <is>
          <t>Temporary electrical panel properly erected</t>
        </is>
      </c>
      <c r="D31" s="69" t="inlineStr">
        <is>
          <t>Metal enclosure; ELCB/RCCB fitted</t>
        </is>
      </c>
      <c r="E31" s="70" t="inlineStr"/>
      <c r="F31" s="70" t="inlineStr">
        <is>
          <t>Y</t>
        </is>
      </c>
      <c r="G31" s="69" t="inlineStr"/>
      <c r="H31" s="69" t="inlineStr"/>
    </row>
    <row r="32" ht="26" customHeight="1">
      <c r="B32" s="58" t="n">
        <v>2</v>
      </c>
      <c r="C32" s="59" t="inlineStr">
        <is>
          <t>All cables insulated — no open/damaged cables</t>
        </is>
      </c>
      <c r="D32" s="59" t="inlineStr">
        <is>
          <t>No bare wires or taped joints on ground</t>
        </is>
      </c>
      <c r="E32" s="60" t="inlineStr"/>
      <c r="F32" s="60" t="inlineStr">
        <is>
          <t>Y</t>
        </is>
      </c>
      <c r="G32" s="59" t="inlineStr"/>
      <c r="H32" s="59" t="inlineStr"/>
    </row>
    <row r="33" ht="26" customHeight="1">
      <c r="B33" s="68" t="n">
        <v>3</v>
      </c>
      <c r="C33" s="69" t="inlineStr">
        <is>
          <t>Only licensed electricians working on electrical</t>
        </is>
      </c>
      <c r="D33" s="69" t="inlineStr">
        <is>
          <t>Licence visible on site</t>
        </is>
      </c>
      <c r="E33" s="70" t="inlineStr"/>
      <c r="F33" s="70" t="inlineStr">
        <is>
          <t>Y</t>
        </is>
      </c>
      <c r="G33" s="69" t="inlineStr"/>
      <c r="H33" s="69" t="inlineStr"/>
    </row>
    <row r="34" ht="26" customHeight="1">
      <c r="B34" s="58" t="n">
        <v>4</v>
      </c>
      <c r="C34" s="59" t="inlineStr">
        <is>
          <t>Extension cords not used as permanent wiring</t>
        </is>
      </c>
      <c r="D34" s="59" t="inlineStr">
        <is>
          <t>No daisy-chaining of extension cords</t>
        </is>
      </c>
      <c r="E34" s="60" t="inlineStr"/>
      <c r="F34" s="60" t="inlineStr">
        <is>
          <t>Y</t>
        </is>
      </c>
      <c r="G34" s="59" t="inlineStr"/>
      <c r="H34" s="59" t="inlineStr"/>
    </row>
    <row r="35" ht="26" customHeight="1">
      <c r="B35" s="68" t="n">
        <v>5</v>
      </c>
      <c r="C35" s="69" t="inlineStr">
        <is>
          <t>No work near overhead power lines</t>
        </is>
      </c>
      <c r="D35" s="69" t="inlineStr">
        <is>
          <t>Minimum 3m clearance maintained</t>
        </is>
      </c>
      <c r="E35" s="70" t="inlineStr"/>
      <c r="F35" s="70" t="inlineStr">
        <is>
          <t>Y</t>
        </is>
      </c>
      <c r="G35" s="69" t="inlineStr"/>
      <c r="H35" s="69" t="inlineStr"/>
    </row>
    <row r="36" ht="26" customHeight="1"/>
    <row r="37" ht="24" customHeight="1">
      <c r="B37" s="27" t="inlineStr">
        <is>
          <t>E. MATERIAL STORAGE &amp; HOUSEKEEPING</t>
        </is>
      </c>
    </row>
    <row r="38" ht="26" customHeight="1">
      <c r="B38" s="71" t="n">
        <v>1</v>
      </c>
      <c r="C38" s="72" t="inlineStr">
        <is>
          <t>Materials stacked safely and not excessively high</t>
        </is>
      </c>
      <c r="D38" s="72" t="inlineStr">
        <is>
          <t>Max stack height: 1.5m for bricks; 3m for steel</t>
        </is>
      </c>
      <c r="E38" s="73" t="inlineStr"/>
      <c r="F38" s="73" t="inlineStr">
        <is>
          <t>Y</t>
        </is>
      </c>
      <c r="G38" s="72" t="inlineStr"/>
      <c r="H38" s="72" t="inlineStr"/>
    </row>
    <row r="39" ht="26" customHeight="1">
      <c r="B39" s="58" t="n">
        <v>2</v>
      </c>
      <c r="C39" s="59" t="inlineStr">
        <is>
          <t>Walkways and access routes clear of obstruction</t>
        </is>
      </c>
      <c r="D39" s="59" t="inlineStr">
        <is>
          <t>All pathways kept clear at all times</t>
        </is>
      </c>
      <c r="E39" s="60" t="inlineStr"/>
      <c r="F39" s="60" t="inlineStr">
        <is>
          <t>Y</t>
        </is>
      </c>
      <c r="G39" s="59" t="inlineStr"/>
      <c r="H39" s="59" t="inlineStr"/>
    </row>
    <row r="40" ht="26" customHeight="1">
      <c r="B40" s="71" t="n">
        <v>3</v>
      </c>
      <c r="C40" s="72" t="inlineStr">
        <is>
          <t>Waste / debris removed regularly</t>
        </is>
      </c>
      <c r="D40" s="72" t="inlineStr">
        <is>
          <t>Daily clearing of construction debris</t>
        </is>
      </c>
      <c r="E40" s="73" t="inlineStr"/>
      <c r="F40" s="73" t="inlineStr">
        <is>
          <t>Y</t>
        </is>
      </c>
      <c r="G40" s="72" t="inlineStr"/>
      <c r="H40" s="72" t="inlineStr"/>
    </row>
    <row r="41" ht="26" customHeight="1">
      <c r="B41" s="58" t="n">
        <v>4</v>
      </c>
      <c r="C41" s="59" t="inlineStr">
        <is>
          <t>Cement bags stored on pallets, covered</t>
        </is>
      </c>
      <c r="D41" s="59" t="inlineStr">
        <is>
          <t>No cement directly on ground</t>
        </is>
      </c>
      <c r="E41" s="60" t="inlineStr"/>
      <c r="F41" s="60" t="inlineStr">
        <is>
          <t>Y</t>
        </is>
      </c>
      <c r="G41" s="59" t="inlineStr"/>
      <c r="H41" s="59" t="inlineStr"/>
    </row>
    <row r="42" ht="26" customHeight="1">
      <c r="B42" s="71" t="n">
        <v>5</v>
      </c>
      <c r="C42" s="72" t="inlineStr">
        <is>
          <t>First aid kit stocked and accessible</t>
        </is>
      </c>
      <c r="D42" s="72" t="inlineStr">
        <is>
          <t>Stocked kit at site office; notice board</t>
        </is>
      </c>
      <c r="E42" s="73" t="inlineStr"/>
      <c r="F42" s="73" t="inlineStr">
        <is>
          <t>Y</t>
        </is>
      </c>
      <c r="G42" s="72" t="inlineStr"/>
      <c r="H42" s="72" t="inlineStr"/>
    </row>
    <row r="43" ht="26" customHeight="1">
      <c r="B43" s="58" t="n">
        <v>6</v>
      </c>
      <c r="C43" s="59" t="inlineStr">
        <is>
          <t>Fire extinguisher present and charged</t>
        </is>
      </c>
      <c r="D43" s="59" t="inlineStr">
        <is>
          <t>At least 1 per 200 m² of work area</t>
        </is>
      </c>
      <c r="E43" s="60" t="inlineStr"/>
      <c r="F43" s="60" t="inlineStr">
        <is>
          <t>Y</t>
        </is>
      </c>
      <c r="G43" s="59" t="inlineStr"/>
      <c r="H43" s="59" t="inlineStr"/>
    </row>
    <row r="44" ht="26" customHeight="1"/>
    <row r="45" ht="28" customHeight="1">
      <c r="B45" s="29" t="inlineStr">
        <is>
          <t>Safety Inspector: ___________________    Contractor Safety Officer: ___________________    CC Coordinator: ___________________    Date: ___________________</t>
        </is>
      </c>
    </row>
    <row r="46" ht="26" customHeight="1"/>
    <row r="47" ht="26" customHeight="1"/>
    <row r="48" ht="26" customHeight="1"/>
    <row r="49" ht="26" customHeight="1"/>
  </sheetData>
  <mergeCells count="9">
    <mergeCell ref="B4:H4"/>
    <mergeCell ref="B6:H6"/>
    <mergeCell ref="B30:H30"/>
    <mergeCell ref="B2:H2"/>
    <mergeCell ref="B15:H15"/>
    <mergeCell ref="B3:H3"/>
    <mergeCell ref="B37:H37"/>
    <mergeCell ref="B45:H45"/>
    <mergeCell ref="B23:H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K26"/>
  <sheetViews>
    <sheetView showGridLines="0" workbookViewId="0">
      <selection activeCell="A1" sqref="A1"/>
    </sheetView>
  </sheetViews>
  <sheetFormatPr baseColWidth="8" defaultRowHeight="15"/>
  <cols>
    <col width="3" customWidth="1" min="1" max="1"/>
    <col width="10" customWidth="1" min="2" max="2"/>
    <col width="2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3" customWidth="1" min="12" max="12"/>
  </cols>
  <sheetData>
    <row r="1" ht="10" customHeight="1"/>
    <row r="2" ht="48" customHeight="1">
      <c r="B2" s="12" t="inlineStr">
        <is>
          <t>CC-32: RUNNING ACCOUNT (RA) BILL REGISTER</t>
        </is>
      </c>
    </row>
    <row r="3" ht="20" customHeight="1">
      <c r="B3" s="2" t="inlineStr">
        <is>
          <t>Project Ref.: _______  Contractor: ___________________  Contract Amount: ₹ _______ L  CC Coordinator: ___________________</t>
        </is>
      </c>
    </row>
    <row r="4" ht="25" customHeight="1">
      <c r="B4" s="13" t="inlineStr">
        <is>
          <t>Bill
No.</t>
        </is>
      </c>
      <c r="C4" s="13" t="inlineStr">
        <is>
          <t>Bill Description
/ Milestone</t>
        </is>
      </c>
      <c r="D4" s="13" t="inlineStr">
        <is>
          <t>MB Ref.</t>
        </is>
      </c>
      <c r="E4" s="13" t="inlineStr">
        <is>
          <t>Work Done
Value (₹L)</t>
        </is>
      </c>
      <c r="F4" s="13" t="inlineStr">
        <is>
          <t>Cumulative
Work Done
(₹L)</t>
        </is>
      </c>
      <c r="G4" s="13" t="inlineStr">
        <is>
          <t>Less
Retention
@5% (₹L)</t>
        </is>
      </c>
      <c r="H4" s="13" t="inlineStr">
        <is>
          <t>Less
Advance
Recovery (₹L)</t>
        </is>
      </c>
      <c r="I4" s="13" t="inlineStr">
        <is>
          <t>Less
Penalty (₹L)</t>
        </is>
      </c>
      <c r="J4" s="13" t="inlineStr">
        <is>
          <t>Net
Payable (₹L)</t>
        </is>
      </c>
      <c r="K4" s="13" t="inlineStr">
        <is>
          <t>Payment
Status</t>
        </is>
      </c>
    </row>
    <row r="5" ht="22" customHeight="1">
      <c r="B5" s="45" t="inlineStr">
        <is>
          <t>RA-01</t>
        </is>
      </c>
      <c r="C5" s="15" t="inlineStr"/>
      <c r="D5" s="16" t="inlineStr"/>
      <c r="E5" s="16" t="inlineStr"/>
      <c r="F5" s="45">
        <f>IFERROR(SUM(E$5:E5),"")</f>
        <v/>
      </c>
      <c r="G5" s="16">
        <f>IFERROR(ROUND(E5*0.05,2),"")</f>
        <v/>
      </c>
      <c r="H5" s="16" t="inlineStr"/>
      <c r="I5" s="16" t="inlineStr"/>
      <c r="J5" s="45">
        <f>IFERROR(E5-G5-H5-I5,"")</f>
        <v/>
      </c>
      <c r="K5" s="16" t="inlineStr">
        <is>
          <t>Pending</t>
        </is>
      </c>
    </row>
    <row r="6" ht="22" customHeight="1">
      <c r="B6" s="37" t="inlineStr">
        <is>
          <t>RA-02</t>
        </is>
      </c>
      <c r="C6" s="9" t="inlineStr"/>
      <c r="D6" s="10" t="inlineStr"/>
      <c r="E6" s="10" t="inlineStr"/>
      <c r="F6" s="37">
        <f>IFERROR(SUM(E$5:E6),"")</f>
        <v/>
      </c>
      <c r="G6" s="10">
        <f>IFERROR(ROUND(E6*0.05,2),"")</f>
        <v/>
      </c>
      <c r="H6" s="10" t="inlineStr"/>
      <c r="I6" s="10" t="inlineStr"/>
      <c r="J6" s="37">
        <f>IFERROR(E6-G6-H6-I6,"")</f>
        <v/>
      </c>
      <c r="K6" s="10" t="inlineStr">
        <is>
          <t>Pending</t>
        </is>
      </c>
    </row>
    <row r="7" ht="22" customHeight="1">
      <c r="B7" s="45" t="inlineStr">
        <is>
          <t>RA-03</t>
        </is>
      </c>
      <c r="C7" s="15" t="inlineStr"/>
      <c r="D7" s="16" t="inlineStr"/>
      <c r="E7" s="16" t="inlineStr"/>
      <c r="F7" s="45">
        <f>IFERROR(SUM(E$5:E7),"")</f>
        <v/>
      </c>
      <c r="G7" s="16">
        <f>IFERROR(ROUND(E7*0.05,2),"")</f>
        <v/>
      </c>
      <c r="H7" s="16" t="inlineStr"/>
      <c r="I7" s="16" t="inlineStr"/>
      <c r="J7" s="45">
        <f>IFERROR(E7-G7-H7-I7,"")</f>
        <v/>
      </c>
      <c r="K7" s="16" t="inlineStr">
        <is>
          <t>Pending</t>
        </is>
      </c>
    </row>
    <row r="8" ht="22" customHeight="1">
      <c r="B8" s="37" t="inlineStr">
        <is>
          <t>RA-04</t>
        </is>
      </c>
      <c r="C8" s="9" t="inlineStr"/>
      <c r="D8" s="10" t="inlineStr"/>
      <c r="E8" s="10" t="inlineStr"/>
      <c r="F8" s="37">
        <f>IFERROR(SUM(E$5:E8),"")</f>
        <v/>
      </c>
      <c r="G8" s="10">
        <f>IFERROR(ROUND(E8*0.05,2),"")</f>
        <v/>
      </c>
      <c r="H8" s="10" t="inlineStr"/>
      <c r="I8" s="10" t="inlineStr"/>
      <c r="J8" s="37">
        <f>IFERROR(E8-G8-H8-I8,"")</f>
        <v/>
      </c>
      <c r="K8" s="10" t="inlineStr">
        <is>
          <t>Pending</t>
        </is>
      </c>
    </row>
    <row r="9" ht="22" customHeight="1">
      <c r="B9" s="45" t="inlineStr">
        <is>
          <t>RA-05</t>
        </is>
      </c>
      <c r="C9" s="15" t="inlineStr"/>
      <c r="D9" s="16" t="inlineStr"/>
      <c r="E9" s="16" t="inlineStr"/>
      <c r="F9" s="45">
        <f>IFERROR(SUM(E$5:E9),"")</f>
        <v/>
      </c>
      <c r="G9" s="16">
        <f>IFERROR(ROUND(E9*0.05,2),"")</f>
        <v/>
      </c>
      <c r="H9" s="16" t="inlineStr"/>
      <c r="I9" s="16" t="inlineStr"/>
      <c r="J9" s="45">
        <f>IFERROR(E9-G9-H9-I9,"")</f>
        <v/>
      </c>
      <c r="K9" s="16" t="inlineStr">
        <is>
          <t>Pending</t>
        </is>
      </c>
    </row>
    <row r="10" ht="22" customHeight="1">
      <c r="B10" s="37" t="inlineStr">
        <is>
          <t>RA-06</t>
        </is>
      </c>
      <c r="C10" s="9" t="inlineStr"/>
      <c r="D10" s="10" t="inlineStr"/>
      <c r="E10" s="10" t="inlineStr"/>
      <c r="F10" s="37">
        <f>IFERROR(SUM(E$5:E10),"")</f>
        <v/>
      </c>
      <c r="G10" s="10">
        <f>IFERROR(ROUND(E10*0.05,2),"")</f>
        <v/>
      </c>
      <c r="H10" s="10" t="inlineStr"/>
      <c r="I10" s="10" t="inlineStr"/>
      <c r="J10" s="37">
        <f>IFERROR(E10-G10-H10-I10,"")</f>
        <v/>
      </c>
      <c r="K10" s="10" t="inlineStr">
        <is>
          <t>Pending</t>
        </is>
      </c>
    </row>
    <row r="11" ht="22" customHeight="1">
      <c r="B11" s="45" t="inlineStr">
        <is>
          <t>RA-07</t>
        </is>
      </c>
      <c r="C11" s="15" t="inlineStr"/>
      <c r="D11" s="16" t="inlineStr"/>
      <c r="E11" s="16" t="inlineStr"/>
      <c r="F11" s="45">
        <f>IFERROR(SUM(E$5:E11),"")</f>
        <v/>
      </c>
      <c r="G11" s="16">
        <f>IFERROR(ROUND(E11*0.05,2),"")</f>
        <v/>
      </c>
      <c r="H11" s="16" t="inlineStr"/>
      <c r="I11" s="16" t="inlineStr"/>
      <c r="J11" s="45">
        <f>IFERROR(E11-G11-H11-I11,"")</f>
        <v/>
      </c>
      <c r="K11" s="16" t="inlineStr">
        <is>
          <t>Pending</t>
        </is>
      </c>
    </row>
    <row r="12" ht="22" customHeight="1">
      <c r="B12" s="37" t="inlineStr">
        <is>
          <t>RA-08</t>
        </is>
      </c>
      <c r="C12" s="9" t="inlineStr"/>
      <c r="D12" s="10" t="inlineStr"/>
      <c r="E12" s="10" t="inlineStr"/>
      <c r="F12" s="37">
        <f>IFERROR(SUM(E$5:E12),"")</f>
        <v/>
      </c>
      <c r="G12" s="10">
        <f>IFERROR(ROUND(E12*0.05,2),"")</f>
        <v/>
      </c>
      <c r="H12" s="10" t="inlineStr"/>
      <c r="I12" s="10" t="inlineStr"/>
      <c r="J12" s="37">
        <f>IFERROR(E12-G12-H12-I12,"")</f>
        <v/>
      </c>
      <c r="K12" s="10" t="inlineStr">
        <is>
          <t>Pending</t>
        </is>
      </c>
    </row>
    <row r="13" ht="22" customHeight="1">
      <c r="B13" s="45" t="inlineStr">
        <is>
          <t>RA-09</t>
        </is>
      </c>
      <c r="C13" s="15" t="inlineStr"/>
      <c r="D13" s="16" t="inlineStr"/>
      <c r="E13" s="16" t="inlineStr"/>
      <c r="F13" s="45">
        <f>IFERROR(SUM(E$5:E13),"")</f>
        <v/>
      </c>
      <c r="G13" s="16">
        <f>IFERROR(ROUND(E13*0.05,2),"")</f>
        <v/>
      </c>
      <c r="H13" s="16" t="inlineStr"/>
      <c r="I13" s="16" t="inlineStr"/>
      <c r="J13" s="45">
        <f>IFERROR(E13-G13-H13-I13,"")</f>
        <v/>
      </c>
      <c r="K13" s="16" t="inlineStr">
        <is>
          <t>Pending</t>
        </is>
      </c>
    </row>
    <row r="14" ht="22" customHeight="1">
      <c r="B14" s="37" t="inlineStr">
        <is>
          <t>RA-10</t>
        </is>
      </c>
      <c r="C14" s="9" t="inlineStr"/>
      <c r="D14" s="10" t="inlineStr"/>
      <c r="E14" s="10" t="inlineStr"/>
      <c r="F14" s="37">
        <f>IFERROR(SUM(E$5:E14),"")</f>
        <v/>
      </c>
      <c r="G14" s="10">
        <f>IFERROR(ROUND(E14*0.05,2),"")</f>
        <v/>
      </c>
      <c r="H14" s="10" t="inlineStr"/>
      <c r="I14" s="10" t="inlineStr"/>
      <c r="J14" s="37">
        <f>IFERROR(E14-G14-H14-I14,"")</f>
        <v/>
      </c>
      <c r="K14" s="10" t="inlineStr">
        <is>
          <t>Pending</t>
        </is>
      </c>
    </row>
    <row r="15" ht="22" customHeight="1">
      <c r="B15" s="45" t="inlineStr">
        <is>
          <t>RA-11</t>
        </is>
      </c>
      <c r="C15" s="15" t="inlineStr"/>
      <c r="D15" s="16" t="inlineStr"/>
      <c r="E15" s="16" t="inlineStr"/>
      <c r="F15" s="45">
        <f>IFERROR(SUM(E$5:E15),"")</f>
        <v/>
      </c>
      <c r="G15" s="16">
        <f>IFERROR(ROUND(E15*0.05,2),"")</f>
        <v/>
      </c>
      <c r="H15" s="16" t="inlineStr"/>
      <c r="I15" s="16" t="inlineStr"/>
      <c r="J15" s="45">
        <f>IFERROR(E15-G15-H15-I15,"")</f>
        <v/>
      </c>
      <c r="K15" s="16" t="inlineStr">
        <is>
          <t>Pending</t>
        </is>
      </c>
    </row>
    <row r="16" ht="22" customHeight="1">
      <c r="B16" s="37" t="inlineStr">
        <is>
          <t>RA-12</t>
        </is>
      </c>
      <c r="C16" s="9" t="inlineStr"/>
      <c r="D16" s="10" t="inlineStr"/>
      <c r="E16" s="10" t="inlineStr"/>
      <c r="F16" s="37">
        <f>IFERROR(SUM(E$5:E16),"")</f>
        <v/>
      </c>
      <c r="G16" s="10">
        <f>IFERROR(ROUND(E16*0.05,2),"")</f>
        <v/>
      </c>
      <c r="H16" s="10" t="inlineStr"/>
      <c r="I16" s="10" t="inlineStr"/>
      <c r="J16" s="37">
        <f>IFERROR(E16-G16-H16-I16,"")</f>
        <v/>
      </c>
      <c r="K16" s="10" t="inlineStr">
        <is>
          <t>Pending</t>
        </is>
      </c>
    </row>
    <row r="17" ht="22" customHeight="1"/>
    <row r="18" ht="26" customHeight="1">
      <c r="B18" s="74" t="inlineStr">
        <is>
          <t>TOTAL (All Bills)</t>
        </is>
      </c>
      <c r="C18" s="75" t="n"/>
      <c r="D18" s="75" t="n"/>
      <c r="E18" s="76">
        <f>IFERROR(SUM(E5:E16),"")</f>
        <v/>
      </c>
      <c r="F18" s="75" t="n"/>
      <c r="G18" s="76">
        <f>IFERROR(SUM(G5:G16),"")</f>
        <v/>
      </c>
      <c r="H18" s="76">
        <f>IFERROR(SUM(H5:H16),"")</f>
        <v/>
      </c>
      <c r="I18" s="76">
        <f>IFERROR(SUM(I5:I16),"")</f>
        <v/>
      </c>
      <c r="J18" s="76">
        <f>IFERROR(SUM(J5:J16),"")</f>
        <v/>
      </c>
      <c r="K18" s="75" t="n"/>
    </row>
    <row r="19" ht="22" customHeight="1"/>
    <row r="20" ht="24" customHeight="1">
      <c r="B20" s="34" t="inlineStr">
        <is>
          <t>PAYMENT SUMMARY</t>
        </is>
      </c>
    </row>
    <row r="21" ht="22" customHeight="1">
      <c r="B21" s="38" t="inlineStr">
        <is>
          <t>Total Bills Submitted</t>
        </is>
      </c>
      <c r="F21" s="36">
        <f>COUNTA(B5:B16)</f>
        <v/>
      </c>
    </row>
    <row r="22" ht="22" customHeight="1">
      <c r="B22" s="25" t="inlineStr">
        <is>
          <t>Total Work Done Value (₹L)</t>
        </is>
      </c>
      <c r="F22" s="37">
        <f>IFERROR(E18,"")</f>
        <v/>
      </c>
    </row>
    <row r="23" ht="22" customHeight="1">
      <c r="B23" s="38" t="inlineStr">
        <is>
          <t>Total Retention Deducted (₹L)</t>
        </is>
      </c>
      <c r="F23" s="36">
        <f>IFERROR(G18,"")</f>
        <v/>
      </c>
    </row>
    <row r="24" ht="22" customHeight="1">
      <c r="B24" s="25" t="inlineStr">
        <is>
          <t>Total Net Paid (₹L)</t>
        </is>
      </c>
      <c r="F24" s="37">
        <f>IFERROR(J18,"")</f>
        <v/>
      </c>
    </row>
    <row r="25" ht="22" customHeight="1">
      <c r="B25" s="38" t="inlineStr">
        <is>
          <t>Balance to Complete (₹L)</t>
        </is>
      </c>
      <c r="F25" s="36" t="inlineStr"/>
    </row>
    <row r="26" ht="22" customHeight="1">
      <c r="B26" s="25" t="inlineStr">
        <is>
          <t>% of Contract Value Billed</t>
        </is>
      </c>
      <c r="F26" s="37" t="inlineStr"/>
    </row>
    <row r="27" ht="22" customHeight="1"/>
  </sheetData>
  <mergeCells count="15">
    <mergeCell ref="B23:E23"/>
    <mergeCell ref="B22:E22"/>
    <mergeCell ref="F23:K23"/>
    <mergeCell ref="F24:K24"/>
    <mergeCell ref="F25:K25"/>
    <mergeCell ref="B26:E26"/>
    <mergeCell ref="F22:K22"/>
    <mergeCell ref="B21:E21"/>
    <mergeCell ref="F26:K26"/>
    <mergeCell ref="B25:E25"/>
    <mergeCell ref="B24:E24"/>
    <mergeCell ref="B2:K2"/>
    <mergeCell ref="B20:K20"/>
    <mergeCell ref="B3:K3"/>
    <mergeCell ref="F21:K2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K27"/>
  <sheetViews>
    <sheetView showGridLines="0" workbookViewId="0">
      <selection activeCell="A1" sqref="A1"/>
    </sheetView>
  </sheetViews>
  <sheetFormatPr baseColWidth="8" defaultRowHeight="15"/>
  <cols>
    <col width="3" customWidth="1" min="1" max="1"/>
    <col width="10" customWidth="1" min="2" max="2"/>
    <col width="2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3" customWidth="1" min="12" max="12"/>
  </cols>
  <sheetData>
    <row r="1" ht="10" customHeight="1"/>
    <row r="2" ht="48" customHeight="1">
      <c r="B2" s="12" t="inlineStr">
        <is>
          <t>CC-46: PROJECT MILESTONE &amp; PHYSICAL PROGRESS REGISTER</t>
        </is>
      </c>
    </row>
    <row r="3" ht="20" customHeight="1">
      <c r="B3" s="2" t="inlineStr">
        <is>
          <t>Project Ref.: _______  Project Name: _______  Contract Duration: _______  CC Coordinator: ___________________</t>
        </is>
      </c>
    </row>
    <row r="4" ht="25" customHeight="1">
      <c r="B4" s="13" t="inlineStr">
        <is>
          <t>Milestone
No.</t>
        </is>
      </c>
      <c r="C4" s="13" t="inlineStr">
        <is>
          <t>Milestone Description</t>
        </is>
      </c>
      <c r="D4" s="13" t="inlineStr">
        <is>
          <t>Planned
Start</t>
        </is>
      </c>
      <c r="E4" s="13" t="inlineStr">
        <is>
          <t>Planned
Completion</t>
        </is>
      </c>
      <c r="F4" s="13" t="inlineStr">
        <is>
          <t>Actual
Start</t>
        </is>
      </c>
      <c r="G4" s="13" t="inlineStr">
        <is>
          <t>Actual
Completion</t>
        </is>
      </c>
      <c r="H4" s="13" t="inlineStr">
        <is>
          <t>Physical
Progress %</t>
        </is>
      </c>
      <c r="I4" s="13" t="inlineStr">
        <is>
          <t>% of
Contract
Value</t>
        </is>
      </c>
      <c r="J4" s="13" t="inlineStr">
        <is>
          <t>Delay
(Days)</t>
        </is>
      </c>
      <c r="K4" s="13" t="inlineStr">
        <is>
          <t>Status</t>
        </is>
      </c>
    </row>
    <row r="5" ht="24" customHeight="1">
      <c r="B5" s="14" t="n">
        <v>1</v>
      </c>
      <c r="C5" s="15" t="inlineStr">
        <is>
          <t>Site Establishment &amp; Mob.</t>
        </is>
      </c>
      <c r="D5" s="16" t="inlineStr"/>
      <c r="E5" s="16" t="inlineStr"/>
      <c r="F5" s="16" t="inlineStr"/>
      <c r="G5" s="16" t="inlineStr"/>
      <c r="H5" s="16" t="inlineStr"/>
      <c r="I5" s="16" t="inlineStr"/>
      <c r="J5" s="16">
        <f>IFERROR(MAX(0,G5-E5),"")</f>
        <v/>
      </c>
      <c r="K5" s="16">
        <f>IFERROR(IF(H5&gt;=100,"Completed",IF(G5="","Not Started","In Progress")),"")</f>
        <v/>
      </c>
    </row>
    <row r="6" ht="24" customHeight="1">
      <c r="B6" s="8" t="n">
        <v>2</v>
      </c>
      <c r="C6" s="9" t="inlineStr">
        <is>
          <t>Substructure — Excavation &amp; Foundation</t>
        </is>
      </c>
      <c r="D6" s="10" t="inlineStr"/>
      <c r="E6" s="10" t="inlineStr"/>
      <c r="F6" s="10" t="inlineStr"/>
      <c r="G6" s="10" t="inlineStr"/>
      <c r="H6" s="10" t="inlineStr"/>
      <c r="I6" s="10" t="inlineStr"/>
      <c r="J6" s="10">
        <f>IFERROR(MAX(0,G6-E6),"")</f>
        <v/>
      </c>
      <c r="K6" s="10">
        <f>IFERROR(IF(H6&gt;=100,"Completed",IF(G6="","Not Started","In Progress")),"")</f>
        <v/>
      </c>
    </row>
    <row r="7" ht="24" customHeight="1">
      <c r="B7" s="14" t="n">
        <v>3</v>
      </c>
      <c r="C7" s="15" t="inlineStr">
        <is>
          <t>Substructure — Plinth Beam</t>
        </is>
      </c>
      <c r="D7" s="16" t="inlineStr"/>
      <c r="E7" s="16" t="inlineStr"/>
      <c r="F7" s="16" t="inlineStr"/>
      <c r="G7" s="16" t="inlineStr"/>
      <c r="H7" s="16" t="inlineStr"/>
      <c r="I7" s="16" t="inlineStr"/>
      <c r="J7" s="16">
        <f>IFERROR(MAX(0,G7-E7),"")</f>
        <v/>
      </c>
      <c r="K7" s="16">
        <f>IFERROR(IF(H7&gt;=100,"Completed",IF(G7="","Not Started","In Progress")),"")</f>
        <v/>
      </c>
    </row>
    <row r="8" ht="24" customHeight="1">
      <c r="B8" s="8" t="n">
        <v>4</v>
      </c>
      <c r="C8" s="9" t="inlineStr">
        <is>
          <t>Superstructure — Columns (All Floors)</t>
        </is>
      </c>
      <c r="D8" s="10" t="inlineStr"/>
      <c r="E8" s="10" t="inlineStr"/>
      <c r="F8" s="10" t="inlineStr"/>
      <c r="G8" s="10" t="inlineStr"/>
      <c r="H8" s="10" t="inlineStr"/>
      <c r="I8" s="10" t="inlineStr"/>
      <c r="J8" s="10">
        <f>IFERROR(MAX(0,G8-E8),"")</f>
        <v/>
      </c>
      <c r="K8" s="10">
        <f>IFERROR(IF(H8&gt;=100,"Completed",IF(G8="","Not Started","In Progress")),"")</f>
        <v/>
      </c>
    </row>
    <row r="9" ht="24" customHeight="1">
      <c r="B9" s="14" t="n">
        <v>5</v>
      </c>
      <c r="C9" s="15" t="inlineStr">
        <is>
          <t>Superstructure — Beams &amp; Slabs</t>
        </is>
      </c>
      <c r="D9" s="16" t="inlineStr"/>
      <c r="E9" s="16" t="inlineStr"/>
      <c r="F9" s="16" t="inlineStr"/>
      <c r="G9" s="16" t="inlineStr"/>
      <c r="H9" s="16" t="inlineStr"/>
      <c r="I9" s="16" t="inlineStr"/>
      <c r="J9" s="16">
        <f>IFERROR(MAX(0,G9-E9),"")</f>
        <v/>
      </c>
      <c r="K9" s="16">
        <f>IFERROR(IF(H9&gt;=100,"Completed",IF(G9="","Not Started","In Progress")),"")</f>
        <v/>
      </c>
    </row>
    <row r="10" ht="24" customHeight="1">
      <c r="B10" s="8" t="n">
        <v>6</v>
      </c>
      <c r="C10" s="9" t="inlineStr">
        <is>
          <t>Staircase &amp; Terrace Slab</t>
        </is>
      </c>
      <c r="D10" s="10" t="inlineStr"/>
      <c r="E10" s="10" t="inlineStr"/>
      <c r="F10" s="10" t="inlineStr"/>
      <c r="G10" s="10" t="inlineStr"/>
      <c r="H10" s="10" t="inlineStr"/>
      <c r="I10" s="10" t="inlineStr"/>
      <c r="J10" s="10">
        <f>IFERROR(MAX(0,G10-E10),"")</f>
        <v/>
      </c>
      <c r="K10" s="10">
        <f>IFERROR(IF(H10&gt;=100,"Completed",IF(G10="","Not Started","In Progress")),"")</f>
        <v/>
      </c>
    </row>
    <row r="11" ht="24" customHeight="1">
      <c r="B11" s="14" t="n">
        <v>7</v>
      </c>
      <c r="C11" s="15" t="inlineStr">
        <is>
          <t>Brick / Block Work (All Floors)</t>
        </is>
      </c>
      <c r="D11" s="16" t="inlineStr"/>
      <c r="E11" s="16" t="inlineStr"/>
      <c r="F11" s="16" t="inlineStr"/>
      <c r="G11" s="16" t="inlineStr"/>
      <c r="H11" s="16" t="inlineStr"/>
      <c r="I11" s="16" t="inlineStr"/>
      <c r="J11" s="16">
        <f>IFERROR(MAX(0,G11-E11),"")</f>
        <v/>
      </c>
      <c r="K11" s="16">
        <f>IFERROR(IF(H11&gt;=100,"Completed",IF(G11="","Not Started","In Progress")),"")</f>
        <v/>
      </c>
    </row>
    <row r="12" ht="24" customHeight="1">
      <c r="B12" s="8" t="n">
        <v>8</v>
      </c>
      <c r="C12" s="9" t="inlineStr">
        <is>
          <t>Plastering — Internal &amp; External</t>
        </is>
      </c>
      <c r="D12" s="10" t="inlineStr"/>
      <c r="E12" s="10" t="inlineStr"/>
      <c r="F12" s="10" t="inlineStr"/>
      <c r="G12" s="10" t="inlineStr"/>
      <c r="H12" s="10" t="inlineStr"/>
      <c r="I12" s="10" t="inlineStr"/>
      <c r="J12" s="10">
        <f>IFERROR(MAX(0,G12-E12),"")</f>
        <v/>
      </c>
      <c r="K12" s="10">
        <f>IFERROR(IF(H12&gt;=100,"Completed",IF(G12="","Not Started","In Progress")),"")</f>
        <v/>
      </c>
    </row>
    <row r="13" ht="24" customHeight="1">
      <c r="B13" s="14" t="n">
        <v>9</v>
      </c>
      <c r="C13" s="15" t="inlineStr">
        <is>
          <t>MEP — Conduit &amp; Plumbing Rough-in</t>
        </is>
      </c>
      <c r="D13" s="16" t="inlineStr"/>
      <c r="E13" s="16" t="inlineStr"/>
      <c r="F13" s="16" t="inlineStr"/>
      <c r="G13" s="16" t="inlineStr"/>
      <c r="H13" s="16" t="inlineStr"/>
      <c r="I13" s="16" t="inlineStr"/>
      <c r="J13" s="16">
        <f>IFERROR(MAX(0,G13-E13),"")</f>
        <v/>
      </c>
      <c r="K13" s="16">
        <f>IFERROR(IF(H13&gt;=100,"Completed",IF(G13="","Not Started","In Progress")),"")</f>
        <v/>
      </c>
    </row>
    <row r="14" ht="24" customHeight="1">
      <c r="B14" s="8" t="n">
        <v>10</v>
      </c>
      <c r="C14" s="9" t="inlineStr">
        <is>
          <t>Flooring &amp; Tiling</t>
        </is>
      </c>
      <c r="D14" s="10" t="inlineStr"/>
      <c r="E14" s="10" t="inlineStr"/>
      <c r="F14" s="10" t="inlineStr"/>
      <c r="G14" s="10" t="inlineStr"/>
      <c r="H14" s="10" t="inlineStr"/>
      <c r="I14" s="10" t="inlineStr"/>
      <c r="J14" s="10">
        <f>IFERROR(MAX(0,G14-E14),"")</f>
        <v/>
      </c>
      <c r="K14" s="10">
        <f>IFERROR(IF(H14&gt;=100,"Completed",IF(G14="","Not Started","In Progress")),"")</f>
        <v/>
      </c>
    </row>
    <row r="15" ht="24" customHeight="1">
      <c r="B15" s="14" t="n">
        <v>11</v>
      </c>
      <c r="C15" s="15" t="inlineStr">
        <is>
          <t>Doors, Windows, Frames &amp; Glazing</t>
        </is>
      </c>
      <c r="D15" s="16" t="inlineStr"/>
      <c r="E15" s="16" t="inlineStr"/>
      <c r="F15" s="16" t="inlineStr"/>
      <c r="G15" s="16" t="inlineStr"/>
      <c r="H15" s="16" t="inlineStr"/>
      <c r="I15" s="16" t="inlineStr"/>
      <c r="J15" s="16">
        <f>IFERROR(MAX(0,G15-E15),"")</f>
        <v/>
      </c>
      <c r="K15" s="16">
        <f>IFERROR(IF(H15&gt;=100,"Completed",IF(G15="","Not Started","In Progress")),"")</f>
        <v/>
      </c>
    </row>
    <row r="16" ht="24" customHeight="1">
      <c r="B16" s="8" t="n">
        <v>12</v>
      </c>
      <c r="C16" s="9" t="inlineStr">
        <is>
          <t>MEP — Finishing &amp; Fixtures</t>
        </is>
      </c>
      <c r="D16" s="10" t="inlineStr"/>
      <c r="E16" s="10" t="inlineStr"/>
      <c r="F16" s="10" t="inlineStr"/>
      <c r="G16" s="10" t="inlineStr"/>
      <c r="H16" s="10" t="inlineStr"/>
      <c r="I16" s="10" t="inlineStr"/>
      <c r="J16" s="10">
        <f>IFERROR(MAX(0,G16-E16),"")</f>
        <v/>
      </c>
      <c r="K16" s="10">
        <f>IFERROR(IF(H16&gt;=100,"Completed",IF(G16="","Not Started","In Progress")),"")</f>
        <v/>
      </c>
    </row>
    <row r="17" ht="24" customHeight="1">
      <c r="B17" s="14" t="n">
        <v>13</v>
      </c>
      <c r="C17" s="15" t="inlineStr">
        <is>
          <t>Painting — Internal &amp; External</t>
        </is>
      </c>
      <c r="D17" s="16" t="inlineStr"/>
      <c r="E17" s="16" t="inlineStr"/>
      <c r="F17" s="16" t="inlineStr"/>
      <c r="G17" s="16" t="inlineStr"/>
      <c r="H17" s="16" t="inlineStr"/>
      <c r="I17" s="16" t="inlineStr"/>
      <c r="J17" s="16">
        <f>IFERROR(MAX(0,G17-E17),"")</f>
        <v/>
      </c>
      <c r="K17" s="16">
        <f>IFERROR(IF(H17&gt;=100,"Completed",IF(G17="","Not Started","In Progress")),"")</f>
        <v/>
      </c>
    </row>
    <row r="18" ht="24" customHeight="1">
      <c r="B18" s="8" t="n">
        <v>14</v>
      </c>
      <c r="C18" s="9" t="inlineStr">
        <is>
          <t>External Development &amp; Roads</t>
        </is>
      </c>
      <c r="D18" s="10" t="inlineStr"/>
      <c r="E18" s="10" t="inlineStr"/>
      <c r="F18" s="10" t="inlineStr"/>
      <c r="G18" s="10" t="inlineStr"/>
      <c r="H18" s="10" t="inlineStr"/>
      <c r="I18" s="10" t="inlineStr"/>
      <c r="J18" s="10">
        <f>IFERROR(MAX(0,G18-E18),"")</f>
        <v/>
      </c>
      <c r="K18" s="10">
        <f>IFERROR(IF(H18&gt;=100,"Completed",IF(G18="","Not Started","In Progress")),"")</f>
        <v/>
      </c>
    </row>
    <row r="19" ht="24" customHeight="1">
      <c r="B19" s="14" t="n">
        <v>15</v>
      </c>
      <c r="C19" s="15" t="inlineStr">
        <is>
          <t>Handing Over / Practical Completion</t>
        </is>
      </c>
      <c r="D19" s="16" t="inlineStr"/>
      <c r="E19" s="16" t="inlineStr"/>
      <c r="F19" s="16" t="inlineStr"/>
      <c r="G19" s="16" t="inlineStr"/>
      <c r="H19" s="16" t="inlineStr"/>
      <c r="I19" s="16" t="inlineStr"/>
      <c r="J19" s="16">
        <f>IFERROR(MAX(0,G19-E19),"")</f>
        <v/>
      </c>
      <c r="K19" s="16">
        <f>IFERROR(IF(H19&gt;=100,"Completed",IF(G19="","Not Started","In Progress")),"")</f>
        <v/>
      </c>
    </row>
    <row r="20" ht="24" customHeight="1"/>
    <row r="21" ht="24" customHeight="1">
      <c r="B21" s="34" t="inlineStr">
        <is>
          <t>PROJECT PROGRESS SUMMARY</t>
        </is>
      </c>
    </row>
    <row r="22" ht="24" customHeight="1">
      <c r="B22" s="38" t="inlineStr">
        <is>
          <t>Total Milestones</t>
        </is>
      </c>
      <c r="F22" s="36">
        <f>COUNTA(B5:B19)</f>
        <v/>
      </c>
    </row>
    <row r="23" ht="24" customHeight="1">
      <c r="B23" s="25" t="inlineStr">
        <is>
          <t>Completed</t>
        </is>
      </c>
      <c r="F23" s="37">
        <f>COUNTIF(K5:K19,"Completed")</f>
        <v/>
      </c>
    </row>
    <row r="24">
      <c r="B24" s="38" t="inlineStr">
        <is>
          <t>In Progress</t>
        </is>
      </c>
      <c r="F24" s="36">
        <f>COUNTIF(K5:K19,"In Progress")</f>
        <v/>
      </c>
    </row>
    <row r="25">
      <c r="B25" s="25" t="inlineStr">
        <is>
          <t>Not Started</t>
        </is>
      </c>
      <c r="F25" s="37">
        <f>COUNTIF(K5:K19,"Not Started")</f>
        <v/>
      </c>
    </row>
    <row r="26">
      <c r="B26" s="38" t="inlineStr">
        <is>
          <t>Milestones with Delay</t>
        </is>
      </c>
      <c r="F26" s="36">
        <f>COUNTIF(J5:J19,"&gt;"&amp;0)</f>
        <v/>
      </c>
    </row>
    <row r="27">
      <c r="B27" s="25" t="inlineStr">
        <is>
          <t>Overall Physical Progress (%)</t>
        </is>
      </c>
      <c r="F27" s="37">
        <f>IFERROR(ROUND(AVERAGE(H5:H19),1),"")</f>
        <v/>
      </c>
    </row>
  </sheetData>
  <mergeCells count="15">
    <mergeCell ref="B23:E23"/>
    <mergeCell ref="F24:K24"/>
    <mergeCell ref="F23:K23"/>
    <mergeCell ref="F25:K25"/>
    <mergeCell ref="B26:E26"/>
    <mergeCell ref="B27:E27"/>
    <mergeCell ref="F22:K22"/>
    <mergeCell ref="B21:K21"/>
    <mergeCell ref="B3:K3"/>
    <mergeCell ref="F26:K26"/>
    <mergeCell ref="F27:K27"/>
    <mergeCell ref="B25:E25"/>
    <mergeCell ref="B24:E24"/>
    <mergeCell ref="B2:K2"/>
    <mergeCell ref="B22:E2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2:J28"/>
  <sheetViews>
    <sheetView showGridLines="0" workbookViewId="0">
      <selection activeCell="A1" sqref="A1"/>
    </sheetView>
  </sheetViews>
  <sheetFormatPr baseColWidth="8" defaultRowHeight="15"/>
  <cols>
    <col width="3" customWidth="1" min="1" max="1"/>
    <col width="8" customWidth="1" min="2" max="2"/>
    <col width="24" customWidth="1" min="3" max="3"/>
    <col width="12" customWidth="1" min="4" max="4"/>
    <col width="12" customWidth="1" min="5" max="5"/>
    <col width="12" customWidth="1" min="6" max="6"/>
    <col width="12" customWidth="1" min="7" max="7"/>
    <col width="14" customWidth="1" min="8" max="8"/>
    <col width="12" customWidth="1" min="9" max="9"/>
    <col width="14" customWidth="1" min="10" max="10"/>
    <col width="3" customWidth="1" min="11" max="11"/>
  </cols>
  <sheetData>
    <row r="1" ht="10" customHeight="1"/>
    <row r="2" ht="48" customHeight="1">
      <c r="B2" s="12" t="inlineStr">
        <is>
          <t>CC-49: DEFECT LIABILITY PERIOD (DLP) REGISTER</t>
        </is>
      </c>
    </row>
    <row r="3" ht="20" customHeight="1">
      <c r="B3" s="17" t="inlineStr">
        <is>
          <t>DLP: Minimum 12 months from practical completion. All defects reported during DLP must be rectified by contractor at no cost. Retain Performance Bank Guarantee (PBG) until DLP expires and final clearance given.</t>
        </is>
      </c>
    </row>
    <row r="4" ht="25" customHeight="1">
      <c r="B4" s="21" t="inlineStr">
        <is>
          <t>Defect
Ref.</t>
        </is>
      </c>
      <c r="C4" s="21" t="inlineStr">
        <is>
          <t>Project Ref.</t>
        </is>
      </c>
      <c r="D4" s="21" t="inlineStr">
        <is>
          <t>Defect Description</t>
        </is>
      </c>
      <c r="E4" s="21" t="inlineStr">
        <is>
          <t>Location</t>
        </is>
      </c>
      <c r="F4" s="21" t="inlineStr">
        <is>
          <t>Date
Reported</t>
        </is>
      </c>
      <c r="G4" s="21" t="inlineStr">
        <is>
          <t>Date
Notified
to Contractor</t>
        </is>
      </c>
      <c r="H4" s="21" t="inlineStr">
        <is>
          <t>Rectification
Deadline</t>
        </is>
      </c>
      <c r="I4" s="21" t="inlineStr">
        <is>
          <t>Date
Rectified</t>
        </is>
      </c>
      <c r="J4" s="21" t="inlineStr">
        <is>
          <t>Status</t>
        </is>
      </c>
    </row>
    <row r="5" ht="22" customHeight="1">
      <c r="B5" s="47" t="inlineStr">
        <is>
          <t>DLP/0001</t>
        </is>
      </c>
      <c r="C5" s="22" t="inlineStr">
        <is>
          <t>PRJ/2024/001</t>
        </is>
      </c>
      <c r="D5" s="46" t="inlineStr">
        <is>
          <t>Roof leakage</t>
        </is>
      </c>
      <c r="E5" s="22" t="inlineStr"/>
      <c r="F5" s="22" t="inlineStr"/>
      <c r="G5" s="22" t="inlineStr"/>
      <c r="H5" s="22" t="inlineStr"/>
      <c r="I5" s="22" t="inlineStr"/>
      <c r="J5" s="22" t="inlineStr">
        <is>
          <t>Open</t>
        </is>
      </c>
    </row>
    <row r="6" ht="22" customHeight="1">
      <c r="B6" s="8" t="inlineStr">
        <is>
          <t>DLP/0002</t>
        </is>
      </c>
      <c r="C6" s="10" t="inlineStr">
        <is>
          <t>PRJ/2024/002</t>
        </is>
      </c>
      <c r="D6" s="9" t="inlineStr">
        <is>
          <t>Seepage / dampness in walls</t>
        </is>
      </c>
      <c r="E6" s="10" t="inlineStr"/>
      <c r="F6" s="10" t="inlineStr"/>
      <c r="G6" s="10" t="inlineStr"/>
      <c r="H6" s="10" t="inlineStr"/>
      <c r="I6" s="10" t="inlineStr"/>
      <c r="J6" s="10" t="inlineStr">
        <is>
          <t>Open</t>
        </is>
      </c>
    </row>
    <row r="7" ht="22" customHeight="1">
      <c r="B7" s="47" t="inlineStr">
        <is>
          <t>DLP/0003</t>
        </is>
      </c>
      <c r="C7" s="22" t="inlineStr">
        <is>
          <t>PRJ/2024/003</t>
        </is>
      </c>
      <c r="D7" s="46" t="inlineStr">
        <is>
          <t>Flooring crack / settlement</t>
        </is>
      </c>
      <c r="E7" s="22" t="inlineStr"/>
      <c r="F7" s="22" t="inlineStr"/>
      <c r="G7" s="22" t="inlineStr"/>
      <c r="H7" s="22" t="inlineStr"/>
      <c r="I7" s="22" t="inlineStr"/>
      <c r="J7" s="22" t="inlineStr">
        <is>
          <t>Open</t>
        </is>
      </c>
    </row>
    <row r="8" ht="22" customHeight="1">
      <c r="B8" s="8" t="inlineStr">
        <is>
          <t>DLP/0004</t>
        </is>
      </c>
      <c r="C8" s="10" t="inlineStr">
        <is>
          <t>PRJ/2024/004</t>
        </is>
      </c>
      <c r="D8" s="9" t="inlineStr">
        <is>
          <t>Plaster cracks</t>
        </is>
      </c>
      <c r="E8" s="10" t="inlineStr"/>
      <c r="F8" s="10" t="inlineStr"/>
      <c r="G8" s="10" t="inlineStr"/>
      <c r="H8" s="10" t="inlineStr"/>
      <c r="I8" s="10" t="inlineStr"/>
      <c r="J8" s="10" t="inlineStr">
        <is>
          <t>Open</t>
        </is>
      </c>
    </row>
    <row r="9" ht="22" customHeight="1">
      <c r="B9" s="47" t="inlineStr">
        <is>
          <t>DLP/0005</t>
        </is>
      </c>
      <c r="C9" s="22" t="inlineStr">
        <is>
          <t>PRJ/2024/005</t>
        </is>
      </c>
      <c r="D9" s="46" t="inlineStr">
        <is>
          <t>Window / door frame gap</t>
        </is>
      </c>
      <c r="E9" s="22" t="inlineStr"/>
      <c r="F9" s="22" t="inlineStr"/>
      <c r="G9" s="22" t="inlineStr"/>
      <c r="H9" s="22" t="inlineStr"/>
      <c r="I9" s="22" t="inlineStr"/>
      <c r="J9" s="22" t="inlineStr">
        <is>
          <t>Open</t>
        </is>
      </c>
    </row>
    <row r="10" ht="22" customHeight="1">
      <c r="B10" s="8" t="inlineStr">
        <is>
          <t>DLP/0006</t>
        </is>
      </c>
      <c r="C10" s="10" t="inlineStr">
        <is>
          <t>PRJ/2024/006</t>
        </is>
      </c>
      <c r="D10" s="9" t="inlineStr">
        <is>
          <t>Paint peeling / blistering</t>
        </is>
      </c>
      <c r="E10" s="10" t="inlineStr"/>
      <c r="F10" s="10" t="inlineStr"/>
      <c r="G10" s="10" t="inlineStr"/>
      <c r="H10" s="10" t="inlineStr"/>
      <c r="I10" s="10" t="inlineStr"/>
      <c r="J10" s="10" t="inlineStr">
        <is>
          <t>Open</t>
        </is>
      </c>
    </row>
    <row r="11" ht="22" customHeight="1">
      <c r="B11" s="47" t="inlineStr">
        <is>
          <t>DLP/0007</t>
        </is>
      </c>
      <c r="C11" s="22" t="inlineStr">
        <is>
          <t>PRJ/2024/007</t>
        </is>
      </c>
      <c r="D11" s="46" t="inlineStr">
        <is>
          <t>Plumbing leakage</t>
        </is>
      </c>
      <c r="E11" s="22" t="inlineStr"/>
      <c r="F11" s="22" t="inlineStr"/>
      <c r="G11" s="22" t="inlineStr"/>
      <c r="H11" s="22" t="inlineStr"/>
      <c r="I11" s="22" t="inlineStr"/>
      <c r="J11" s="22" t="inlineStr">
        <is>
          <t>Open</t>
        </is>
      </c>
    </row>
    <row r="12" ht="22" customHeight="1">
      <c r="B12" s="8" t="inlineStr">
        <is>
          <t>DLP/0008</t>
        </is>
      </c>
      <c r="C12" s="10" t="inlineStr">
        <is>
          <t>PRJ/2024/008</t>
        </is>
      </c>
      <c r="D12" s="9" t="inlineStr">
        <is>
          <t>Electrical fault</t>
        </is>
      </c>
      <c r="E12" s="10" t="inlineStr"/>
      <c r="F12" s="10" t="inlineStr"/>
      <c r="G12" s="10" t="inlineStr"/>
      <c r="H12" s="10" t="inlineStr"/>
      <c r="I12" s="10" t="inlineStr"/>
      <c r="J12" s="10" t="inlineStr">
        <is>
          <t>Open</t>
        </is>
      </c>
    </row>
    <row r="13" ht="22" customHeight="1">
      <c r="B13" s="47" t="inlineStr">
        <is>
          <t>DLP/0009</t>
        </is>
      </c>
      <c r="C13" s="22" t="inlineStr">
        <is>
          <t>PRJ/2025/009</t>
        </is>
      </c>
      <c r="D13" s="46" t="inlineStr">
        <is>
          <t>Tile debonding</t>
        </is>
      </c>
      <c r="E13" s="22" t="inlineStr"/>
      <c r="F13" s="22" t="inlineStr"/>
      <c r="G13" s="22" t="inlineStr"/>
      <c r="H13" s="22" t="inlineStr"/>
      <c r="I13" s="22" t="inlineStr"/>
      <c r="J13" s="22" t="inlineStr">
        <is>
          <t>Open</t>
        </is>
      </c>
    </row>
    <row r="14" ht="22" customHeight="1">
      <c r="B14" s="8" t="inlineStr">
        <is>
          <t>DLP/0010</t>
        </is>
      </c>
      <c r="C14" s="10" t="inlineStr">
        <is>
          <t>PRJ/2025/010</t>
        </is>
      </c>
      <c r="D14" s="9" t="inlineStr">
        <is>
          <t>Drainage blockage</t>
        </is>
      </c>
      <c r="E14" s="10" t="inlineStr"/>
      <c r="F14" s="10" t="inlineStr"/>
      <c r="G14" s="10" t="inlineStr"/>
      <c r="H14" s="10" t="inlineStr"/>
      <c r="I14" s="10" t="inlineStr"/>
      <c r="J14" s="10" t="inlineStr">
        <is>
          <t>Open</t>
        </is>
      </c>
    </row>
    <row r="15" ht="22" customHeight="1">
      <c r="B15" s="47" t="inlineStr">
        <is>
          <t>DLP/0011</t>
        </is>
      </c>
      <c r="C15" s="22" t="inlineStr">
        <is>
          <t>PRJ/2025/011</t>
        </is>
      </c>
      <c r="D15" s="46" t="inlineStr">
        <is>
          <t>Structural crack (alert — immediate action)</t>
        </is>
      </c>
      <c r="E15" s="22" t="inlineStr"/>
      <c r="F15" s="22" t="inlineStr"/>
      <c r="G15" s="22" t="inlineStr"/>
      <c r="H15" s="22" t="inlineStr"/>
      <c r="I15" s="22" t="inlineStr"/>
      <c r="J15" s="22" t="inlineStr">
        <is>
          <t>Open</t>
        </is>
      </c>
    </row>
    <row r="16" ht="22" customHeight="1">
      <c r="B16" s="8" t="inlineStr">
        <is>
          <t>DLP/0012</t>
        </is>
      </c>
      <c r="C16" s="10" t="inlineStr">
        <is>
          <t>PRJ/2025/012</t>
        </is>
      </c>
      <c r="D16" s="9" t="inlineStr">
        <is>
          <t>Finishing defect</t>
        </is>
      </c>
      <c r="E16" s="10" t="inlineStr"/>
      <c r="F16" s="10" t="inlineStr"/>
      <c r="G16" s="10" t="inlineStr"/>
      <c r="H16" s="10" t="inlineStr"/>
      <c r="I16" s="10" t="inlineStr"/>
      <c r="J16" s="10" t="inlineStr">
        <is>
          <t>Open</t>
        </is>
      </c>
    </row>
    <row r="17" ht="22" customHeight="1">
      <c r="B17" s="47" t="inlineStr">
        <is>
          <t>DLP/0013</t>
        </is>
      </c>
      <c r="C17" s="22" t="inlineStr">
        <is>
          <t>PRJ/2025/013</t>
        </is>
      </c>
      <c r="D17" s="46" t="inlineStr">
        <is>
          <t>Roof leakage</t>
        </is>
      </c>
      <c r="E17" s="22" t="inlineStr"/>
      <c r="F17" s="22" t="inlineStr"/>
      <c r="G17" s="22" t="inlineStr"/>
      <c r="H17" s="22" t="inlineStr"/>
      <c r="I17" s="22" t="inlineStr"/>
      <c r="J17" s="22" t="inlineStr">
        <is>
          <t>Open</t>
        </is>
      </c>
    </row>
    <row r="18" ht="22" customHeight="1">
      <c r="B18" s="8" t="inlineStr">
        <is>
          <t>DLP/0014</t>
        </is>
      </c>
      <c r="C18" s="10" t="inlineStr">
        <is>
          <t>PRJ/2025/014</t>
        </is>
      </c>
      <c r="D18" s="9" t="inlineStr">
        <is>
          <t>Seepage / dampness in walls</t>
        </is>
      </c>
      <c r="E18" s="10" t="inlineStr"/>
      <c r="F18" s="10" t="inlineStr"/>
      <c r="G18" s="10" t="inlineStr"/>
      <c r="H18" s="10" t="inlineStr"/>
      <c r="I18" s="10" t="inlineStr"/>
      <c r="J18" s="10" t="inlineStr">
        <is>
          <t>Open</t>
        </is>
      </c>
    </row>
    <row r="19" ht="22" customHeight="1">
      <c r="B19" s="47" t="inlineStr">
        <is>
          <t>DLP/0015</t>
        </is>
      </c>
      <c r="C19" s="22" t="inlineStr">
        <is>
          <t>PRJ/2025/015</t>
        </is>
      </c>
      <c r="D19" s="46" t="inlineStr">
        <is>
          <t>Flooring crack / settlement</t>
        </is>
      </c>
      <c r="E19" s="22" t="inlineStr"/>
      <c r="F19" s="22" t="inlineStr"/>
      <c r="G19" s="22" t="inlineStr"/>
      <c r="H19" s="22" t="inlineStr"/>
      <c r="I19" s="22" t="inlineStr"/>
      <c r="J19" s="22" t="inlineStr">
        <is>
          <t>Open</t>
        </is>
      </c>
    </row>
    <row r="20" ht="22" customHeight="1">
      <c r="B20" s="8" t="inlineStr">
        <is>
          <t>DLP/0016</t>
        </is>
      </c>
      <c r="C20" s="10" t="inlineStr">
        <is>
          <t>PRJ/2025/016</t>
        </is>
      </c>
      <c r="D20" s="9" t="inlineStr">
        <is>
          <t>Plaster cracks</t>
        </is>
      </c>
      <c r="E20" s="10" t="inlineStr"/>
      <c r="F20" s="10" t="inlineStr"/>
      <c r="G20" s="10" t="inlineStr"/>
      <c r="H20" s="10" t="inlineStr"/>
      <c r="I20" s="10" t="inlineStr"/>
      <c r="J20" s="10" t="inlineStr">
        <is>
          <t>Open</t>
        </is>
      </c>
    </row>
    <row r="21" ht="22" customHeight="1"/>
    <row r="22" ht="24" customHeight="1">
      <c r="B22" s="34" t="inlineStr">
        <is>
          <t>DLP STATISTICS</t>
        </is>
      </c>
    </row>
    <row r="23" ht="22" customHeight="1">
      <c r="B23" s="23" t="inlineStr">
        <is>
          <t>Total Defects Reported</t>
        </is>
      </c>
      <c r="F23" s="36">
        <f>COUNTA(B5:B20)</f>
        <v/>
      </c>
    </row>
    <row r="24" ht="22" customHeight="1">
      <c r="B24" s="25" t="inlineStr">
        <is>
          <t>Rectified by Contractor</t>
        </is>
      </c>
      <c r="F24" s="37">
        <f>COUNTIF(J5:J20,"Rectified")</f>
        <v/>
      </c>
    </row>
    <row r="25" ht="22" customHeight="1">
      <c r="B25" s="23" t="inlineStr">
        <is>
          <t>Open — Pending Rectification</t>
        </is>
      </c>
      <c r="F25" s="36">
        <f>COUNTIF(J5:J20,"Open")</f>
        <v/>
      </c>
    </row>
    <row r="26">
      <c r="B26" s="25" t="inlineStr">
        <is>
          <t>Overdue (Beyond Deadline)</t>
        </is>
      </c>
      <c r="F26" s="37">
        <f>COUNTIF(J5:J20,"Overdue")</f>
        <v/>
      </c>
    </row>
    <row r="27">
      <c r="B27" s="23" t="inlineStr">
        <is>
          <t>Structural Cracks (Critical)</t>
        </is>
      </c>
      <c r="F27" s="36">
        <f>COUNTIF(D5:D20,"Structural crack (alert — immediate action)")</f>
        <v/>
      </c>
    </row>
    <row r="28">
      <c r="B28" s="25" t="inlineStr">
        <is>
          <t>PBG Released</t>
        </is>
      </c>
      <c r="F28" s="37" t="inlineStr">
        <is>
          <t>[ ] Yes — Date: _______   [ ] No — Pending DLP Clearance</t>
        </is>
      </c>
    </row>
  </sheetData>
  <mergeCells count="15">
    <mergeCell ref="B23:E23"/>
    <mergeCell ref="B26:E26"/>
    <mergeCell ref="B3:J3"/>
    <mergeCell ref="B27:E27"/>
    <mergeCell ref="F24:J24"/>
    <mergeCell ref="F23:J23"/>
    <mergeCell ref="B22:J22"/>
    <mergeCell ref="F25:J25"/>
    <mergeCell ref="F27:J27"/>
    <mergeCell ref="B25:E25"/>
    <mergeCell ref="F28:J28"/>
    <mergeCell ref="B24:E24"/>
    <mergeCell ref="B28:E28"/>
    <mergeCell ref="F26:J26"/>
    <mergeCell ref="B2:J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J26"/>
  <sheetViews>
    <sheetView showGridLines="0" workbookViewId="0">
      <selection activeCell="A1" sqref="A1"/>
    </sheetView>
  </sheetViews>
  <sheetFormatPr baseColWidth="8" defaultRowHeight="15"/>
  <cols>
    <col width="3" customWidth="1" min="1" max="1"/>
    <col width="10" customWidth="1" min="2" max="2"/>
    <col width="24" customWidth="1" min="3" max="3"/>
    <col width="12" customWidth="1" min="4" max="4"/>
    <col width="14" customWidth="1" min="5" max="5"/>
    <col width="12" customWidth="1" min="6" max="6"/>
    <col width="14" customWidth="1" min="7" max="7"/>
    <col width="14" customWidth="1" min="8" max="8"/>
    <col width="14" customWidth="1" min="9" max="9"/>
    <col width="14" customWidth="1" min="10" max="10"/>
    <col width="3" customWidth="1" min="11" max="11"/>
  </cols>
  <sheetData>
    <row r="1" ht="10" customHeight="1"/>
    <row r="2" ht="48" customHeight="1">
      <c r="B2" s="52" t="inlineStr">
        <is>
          <t>CC-44: SITE ACCIDENT &amp; NEAR-MISS REGISTER</t>
        </is>
      </c>
    </row>
    <row r="3" ht="20" customHeight="1">
      <c r="B3" s="17" t="inlineStr">
        <is>
          <t>Fatal accidents: Report to police, Labour Department and BOCW (Building &amp; Other Construction Workers) authority within 24 hours. Serious injury: Report to Labour Inspector. Preserve site evidence. ESIC/WC Act applies.</t>
        </is>
      </c>
    </row>
    <row r="4" ht="25" customHeight="1">
      <c r="B4" s="54" t="inlineStr">
        <is>
          <t>Incident
Ref.</t>
        </is>
      </c>
      <c r="C4" s="54" t="inlineStr">
        <is>
          <t>Project Ref.</t>
        </is>
      </c>
      <c r="D4" s="54" t="inlineStr">
        <is>
          <t>Nature of
Incident</t>
        </is>
      </c>
      <c r="E4" s="54" t="inlineStr">
        <is>
          <t>Date &amp;
Time</t>
        </is>
      </c>
      <c r="F4" s="54" t="inlineStr">
        <is>
          <t>Location</t>
        </is>
      </c>
      <c r="G4" s="54" t="inlineStr">
        <is>
          <t>Person
Involved</t>
        </is>
      </c>
      <c r="H4" s="54" t="inlineStr">
        <is>
          <t>Injury
Type</t>
        </is>
      </c>
      <c r="I4" s="54" t="inlineStr">
        <is>
          <t>Authority
Informed</t>
        </is>
      </c>
      <c r="J4" s="54" t="inlineStr">
        <is>
          <t>Root Cause &amp;
Action Taken</t>
        </is>
      </c>
    </row>
    <row r="5" ht="24" customHeight="1">
      <c r="B5" s="77" t="inlineStr">
        <is>
          <t>ACC/0001</t>
        </is>
      </c>
      <c r="C5" s="78" t="inlineStr">
        <is>
          <t>PRJ/2024/001</t>
        </is>
      </c>
      <c r="D5" s="79" t="inlineStr">
        <is>
          <t>Fall from height — scaffolding</t>
        </is>
      </c>
      <c r="E5" s="78" t="inlineStr"/>
      <c r="F5" s="79" t="inlineStr"/>
      <c r="G5" s="79" t="inlineStr"/>
      <c r="H5" s="79" t="inlineStr"/>
      <c r="I5" s="79" t="inlineStr"/>
      <c r="J5" s="79" t="inlineStr"/>
    </row>
    <row r="6" ht="24" customHeight="1">
      <c r="B6" s="8" t="inlineStr">
        <is>
          <t>ACC/0002</t>
        </is>
      </c>
      <c r="C6" s="10" t="inlineStr">
        <is>
          <t>PRJ/2024/002</t>
        </is>
      </c>
      <c r="D6" s="9" t="inlineStr">
        <is>
          <t>Fall from height — ladder</t>
        </is>
      </c>
      <c r="E6" s="10" t="inlineStr"/>
      <c r="F6" s="9" t="inlineStr"/>
      <c r="G6" s="9" t="inlineStr"/>
      <c r="H6" s="9" t="inlineStr"/>
      <c r="I6" s="9" t="inlineStr"/>
      <c r="J6" s="9" t="inlineStr"/>
    </row>
    <row r="7" ht="24" customHeight="1">
      <c r="B7" s="77" t="inlineStr">
        <is>
          <t>ACC/0003</t>
        </is>
      </c>
      <c r="C7" s="78" t="inlineStr">
        <is>
          <t>PRJ/2024/003</t>
        </is>
      </c>
      <c r="D7" s="79" t="inlineStr">
        <is>
          <t>Hit by falling object</t>
        </is>
      </c>
      <c r="E7" s="78" t="inlineStr"/>
      <c r="F7" s="79" t="inlineStr"/>
      <c r="G7" s="79" t="inlineStr"/>
      <c r="H7" s="79" t="inlineStr"/>
      <c r="I7" s="79" t="inlineStr"/>
      <c r="J7" s="79" t="inlineStr"/>
    </row>
    <row r="8" ht="24" customHeight="1">
      <c r="B8" s="8" t="inlineStr">
        <is>
          <t>ACC/0004</t>
        </is>
      </c>
      <c r="C8" s="10" t="inlineStr">
        <is>
          <t>PRJ/2024/004</t>
        </is>
      </c>
      <c r="D8" s="9" t="inlineStr">
        <is>
          <t>Electrocution — minor</t>
        </is>
      </c>
      <c r="E8" s="10" t="inlineStr"/>
      <c r="F8" s="9" t="inlineStr"/>
      <c r="G8" s="9" t="inlineStr"/>
      <c r="H8" s="9" t="inlineStr"/>
      <c r="I8" s="9" t="inlineStr"/>
      <c r="J8" s="9" t="inlineStr"/>
    </row>
    <row r="9" ht="24" customHeight="1">
      <c r="B9" s="77" t="inlineStr">
        <is>
          <t>ACC/0005</t>
        </is>
      </c>
      <c r="C9" s="78" t="inlineStr">
        <is>
          <t>PRJ/2024/005</t>
        </is>
      </c>
      <c r="D9" s="79" t="inlineStr">
        <is>
          <t>Electrical shock — serious</t>
        </is>
      </c>
      <c r="E9" s="78" t="inlineStr"/>
      <c r="F9" s="79" t="inlineStr"/>
      <c r="G9" s="79" t="inlineStr"/>
      <c r="H9" s="79" t="inlineStr"/>
      <c r="I9" s="79" t="inlineStr"/>
      <c r="J9" s="79" t="inlineStr"/>
    </row>
    <row r="10" ht="24" customHeight="1">
      <c r="B10" s="8" t="inlineStr">
        <is>
          <t>ACC/0006</t>
        </is>
      </c>
      <c r="C10" s="10" t="inlineStr">
        <is>
          <t>PRJ/2024/006</t>
        </is>
      </c>
      <c r="D10" s="9" t="inlineStr">
        <is>
          <t>Cut / laceration — hand tool</t>
        </is>
      </c>
      <c r="E10" s="10" t="inlineStr"/>
      <c r="F10" s="9" t="inlineStr"/>
      <c r="G10" s="9" t="inlineStr"/>
      <c r="H10" s="9" t="inlineStr"/>
      <c r="I10" s="9" t="inlineStr"/>
      <c r="J10" s="9" t="inlineStr"/>
    </row>
    <row r="11" ht="24" customHeight="1">
      <c r="B11" s="77" t="inlineStr">
        <is>
          <t>ACC/0007</t>
        </is>
      </c>
      <c r="C11" s="78" t="inlineStr">
        <is>
          <t>PRJ/2024/007</t>
        </is>
      </c>
      <c r="D11" s="79" t="inlineStr">
        <is>
          <t>Crush injury — machinery</t>
        </is>
      </c>
      <c r="E11" s="78" t="inlineStr"/>
      <c r="F11" s="79" t="inlineStr"/>
      <c r="G11" s="79" t="inlineStr"/>
      <c r="H11" s="79" t="inlineStr"/>
      <c r="I11" s="79" t="inlineStr"/>
      <c r="J11" s="79" t="inlineStr"/>
    </row>
    <row r="12" ht="24" customHeight="1">
      <c r="B12" s="8" t="inlineStr">
        <is>
          <t>ACC/0008</t>
        </is>
      </c>
      <c r="C12" s="10" t="inlineStr">
        <is>
          <t>PRJ/2025/008</t>
        </is>
      </c>
      <c r="D12" s="9" t="inlineStr">
        <is>
          <t>Overexertion / back injury</t>
        </is>
      </c>
      <c r="E12" s="10" t="inlineStr"/>
      <c r="F12" s="9" t="inlineStr"/>
      <c r="G12" s="9" t="inlineStr"/>
      <c r="H12" s="9" t="inlineStr"/>
      <c r="I12" s="9" t="inlineStr"/>
      <c r="J12" s="9" t="inlineStr"/>
    </row>
    <row r="13" ht="24" customHeight="1">
      <c r="B13" s="77" t="inlineStr">
        <is>
          <t>ACC/0009</t>
        </is>
      </c>
      <c r="C13" s="78" t="inlineStr">
        <is>
          <t>PRJ/2025/009</t>
        </is>
      </c>
      <c r="D13" s="79" t="inlineStr">
        <is>
          <t>Eye injury — dust/debris</t>
        </is>
      </c>
      <c r="E13" s="78" t="inlineStr"/>
      <c r="F13" s="79" t="inlineStr"/>
      <c r="G13" s="79" t="inlineStr"/>
      <c r="H13" s="79" t="inlineStr"/>
      <c r="I13" s="79" t="inlineStr"/>
      <c r="J13" s="79" t="inlineStr"/>
    </row>
    <row r="14" ht="24" customHeight="1">
      <c r="B14" s="8" t="inlineStr">
        <is>
          <t>ACC/0010</t>
        </is>
      </c>
      <c r="C14" s="10" t="inlineStr">
        <is>
          <t>PRJ/2025/010</t>
        </is>
      </c>
      <c r="D14" s="9" t="inlineStr">
        <is>
          <t>Near-miss — no injury</t>
        </is>
      </c>
      <c r="E14" s="10" t="inlineStr"/>
      <c r="F14" s="9" t="inlineStr"/>
      <c r="G14" s="9" t="inlineStr"/>
      <c r="H14" s="9" t="inlineStr"/>
      <c r="I14" s="9" t="inlineStr"/>
      <c r="J14" s="9" t="inlineStr"/>
    </row>
    <row r="15" ht="24" customHeight="1">
      <c r="B15" s="77" t="inlineStr">
        <is>
          <t>ACC/0011</t>
        </is>
      </c>
      <c r="C15" s="78" t="inlineStr">
        <is>
          <t>PRJ/2025/011</t>
        </is>
      </c>
      <c r="D15" s="79" t="inlineStr">
        <is>
          <t>Chemical / dust exposure</t>
        </is>
      </c>
      <c r="E15" s="78" t="inlineStr"/>
      <c r="F15" s="79" t="inlineStr"/>
      <c r="G15" s="79" t="inlineStr"/>
      <c r="H15" s="79" t="inlineStr"/>
      <c r="I15" s="79" t="inlineStr"/>
      <c r="J15" s="79" t="inlineStr"/>
    </row>
    <row r="16" ht="24" customHeight="1">
      <c r="B16" s="8" t="inlineStr">
        <is>
          <t>ACC/0012</t>
        </is>
      </c>
      <c r="C16" s="10" t="inlineStr">
        <is>
          <t>PRJ/2025/012</t>
        </is>
      </c>
      <c r="D16" s="9" t="inlineStr">
        <is>
          <t>Structural collapse — partial</t>
        </is>
      </c>
      <c r="E16" s="10" t="inlineStr"/>
      <c r="F16" s="9" t="inlineStr"/>
      <c r="G16" s="9" t="inlineStr"/>
      <c r="H16" s="9" t="inlineStr"/>
      <c r="I16" s="9" t="inlineStr"/>
      <c r="J16" s="9" t="inlineStr"/>
    </row>
    <row r="17" ht="24" customHeight="1">
      <c r="B17" s="77" t="inlineStr">
        <is>
          <t>ACC/0013</t>
        </is>
      </c>
      <c r="C17" s="78" t="inlineStr">
        <is>
          <t>PRJ/2025/013</t>
        </is>
      </c>
      <c r="D17" s="79" t="inlineStr">
        <is>
          <t>Fall from height — scaffolding</t>
        </is>
      </c>
      <c r="E17" s="78" t="inlineStr"/>
      <c r="F17" s="79" t="inlineStr"/>
      <c r="G17" s="79" t="inlineStr"/>
      <c r="H17" s="79" t="inlineStr"/>
      <c r="I17" s="79" t="inlineStr"/>
      <c r="J17" s="79" t="inlineStr"/>
    </row>
    <row r="18" ht="24" customHeight="1">
      <c r="B18" s="8" t="inlineStr">
        <is>
          <t>ACC/0014</t>
        </is>
      </c>
      <c r="C18" s="10" t="inlineStr">
        <is>
          <t>PRJ/2025/014</t>
        </is>
      </c>
      <c r="D18" s="9" t="inlineStr">
        <is>
          <t>Fall from height — ladder</t>
        </is>
      </c>
      <c r="E18" s="10" t="inlineStr"/>
      <c r="F18" s="9" t="inlineStr"/>
      <c r="G18" s="9" t="inlineStr"/>
      <c r="H18" s="9" t="inlineStr"/>
      <c r="I18" s="9" t="inlineStr"/>
      <c r="J18" s="9" t="inlineStr"/>
    </row>
    <row r="19" ht="24" customHeight="1"/>
    <row r="20" ht="24" customHeight="1">
      <c r="B20" s="34" t="inlineStr">
        <is>
          <t>ACCIDENT STATISTICS</t>
        </is>
      </c>
    </row>
    <row r="21" ht="24" customHeight="1">
      <c r="B21" s="80" t="inlineStr">
        <is>
          <t>Total Incidents</t>
        </is>
      </c>
      <c r="F21" s="36">
        <f>COUNTA(B5:B18)</f>
        <v/>
      </c>
    </row>
    <row r="22">
      <c r="B22" s="25" t="inlineStr">
        <is>
          <t>Near-Misses</t>
        </is>
      </c>
      <c r="F22" s="37">
        <f>COUNTIF(D5:D18,"Near-miss — no injury")</f>
        <v/>
      </c>
    </row>
    <row r="23">
      <c r="B23" s="80" t="inlineStr">
        <is>
          <t>Minor Injuries</t>
        </is>
      </c>
      <c r="F23" s="36" t="inlineStr"/>
    </row>
    <row r="24">
      <c r="B24" s="25" t="inlineStr">
        <is>
          <t>Serious Injuries</t>
        </is>
      </c>
      <c r="F24" s="37" t="inlineStr"/>
    </row>
    <row r="25">
      <c r="B25" s="80" t="inlineStr">
        <is>
          <t>Fatal Accidents</t>
        </is>
      </c>
      <c r="F25" s="36" t="inlineStr"/>
    </row>
    <row r="26">
      <c r="B26" s="25" t="inlineStr">
        <is>
          <t>Incident Rate (per 100 workers)</t>
        </is>
      </c>
      <c r="F26" s="37" t="inlineStr"/>
    </row>
  </sheetData>
  <mergeCells count="15">
    <mergeCell ref="B23:E23"/>
    <mergeCell ref="B26:E26"/>
    <mergeCell ref="B3:J3"/>
    <mergeCell ref="F21:J21"/>
    <mergeCell ref="B20:J20"/>
    <mergeCell ref="F24:J24"/>
    <mergeCell ref="F23:J23"/>
    <mergeCell ref="F26:J26"/>
    <mergeCell ref="B21:E21"/>
    <mergeCell ref="F25:J25"/>
    <mergeCell ref="B25:E25"/>
    <mergeCell ref="B24:E24"/>
    <mergeCell ref="F22:J22"/>
    <mergeCell ref="B22:E22"/>
    <mergeCell ref="B2:J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I43"/>
  <sheetViews>
    <sheetView showGridLines="0" workbookViewId="0">
      <selection activeCell="A1" sqref="A1"/>
    </sheetView>
  </sheetViews>
  <sheetFormatPr baseColWidth="8" defaultRowHeight="15"/>
  <cols>
    <col width="3" customWidth="1" min="1" max="1"/>
    <col width="8" customWidth="1" min="2" max="2"/>
    <col width="32" customWidth="1" min="3" max="3"/>
    <col width="12" customWidth="1" min="4" max="4"/>
    <col width="14" customWidth="1" min="5" max="5"/>
    <col width="14" customWidth="1" min="6" max="6"/>
    <col width="14" customWidth="1" min="7" max="7"/>
    <col width="14" customWidth="1" min="8" max="8"/>
    <col width="14" customWidth="1" min="9" max="9"/>
    <col width="3" customWidth="1" min="10" max="10"/>
  </cols>
  <sheetData>
    <row r="1" ht="10" customHeight="1"/>
    <row r="2" ht="48" customHeight="1">
      <c r="B2" s="12" t="inlineStr">
        <is>
          <t>CC-51: CONSTRUCTION COMMITTEE KPI DASHBOARD</t>
        </is>
      </c>
    </row>
    <row r="3" ht="25" customHeight="1">
      <c r="B3" s="2" t="inlineStr">
        <is>
          <t>Quarter: _______  A.Y.: _______  CC Coordinator: ___________________  Date: _______</t>
        </is>
      </c>
    </row>
    <row r="4" ht="24" customHeight="1">
      <c r="B4" s="19" t="inlineStr">
        <is>
          <t>PROJECT SCHEDULE KPIs</t>
        </is>
      </c>
    </row>
    <row r="5" ht="22" customHeight="1">
      <c r="B5" s="13" t="inlineStr">
        <is>
          <t>Sl.</t>
        </is>
      </c>
      <c r="C5" s="13" t="inlineStr">
        <is>
          <t>Key Performance Indicator</t>
        </is>
      </c>
      <c r="D5" s="13" t="inlineStr">
        <is>
          <t>Unit</t>
        </is>
      </c>
      <c r="E5" s="13" t="inlineStr">
        <is>
          <t>Target</t>
        </is>
      </c>
      <c r="F5" s="13" t="inlineStr">
        <is>
          <t>Prev. Quarter
Actual</t>
        </is>
      </c>
      <c r="G5" s="13" t="inlineStr">
        <is>
          <t>Current Quarter
Actual</t>
        </is>
      </c>
      <c r="H5" s="13" t="inlineStr">
        <is>
          <t>Status</t>
        </is>
      </c>
      <c r="I5" s="13" t="inlineStr">
        <is>
          <t>Action Required</t>
        </is>
      </c>
    </row>
    <row r="6" ht="22" customHeight="1">
      <c r="B6" s="14" t="n">
        <v>1</v>
      </c>
      <c r="C6" s="15" t="inlineStr">
        <is>
          <t>Projects completed on schedule (% of active)</t>
        </is>
      </c>
      <c r="D6" s="16" t="inlineStr">
        <is>
          <t>% on time</t>
        </is>
      </c>
      <c r="E6" s="16" t="inlineStr">
        <is>
          <t>≥80%</t>
        </is>
      </c>
      <c r="F6" s="16" t="inlineStr"/>
      <c r="G6" s="16" t="inlineStr"/>
      <c r="H6" s="16" t="inlineStr">
        <is>
          <t>On Track</t>
        </is>
      </c>
      <c r="I6" s="15" t="inlineStr"/>
    </row>
    <row r="7" ht="22" customHeight="1">
      <c r="B7" s="8" t="n">
        <v>2</v>
      </c>
      <c r="C7" s="9" t="inlineStr">
        <is>
          <t>Average schedule delay (days)</t>
        </is>
      </c>
      <c r="D7" s="10" t="inlineStr">
        <is>
          <t>Days</t>
        </is>
      </c>
      <c r="E7" s="10" t="inlineStr">
        <is>
          <t>&lt; 30 days avg.</t>
        </is>
      </c>
      <c r="F7" s="10" t="inlineStr"/>
      <c r="G7" s="10" t="inlineStr"/>
      <c r="H7" s="10" t="inlineStr">
        <is>
          <t>On Track</t>
        </is>
      </c>
      <c r="I7" s="9" t="inlineStr"/>
    </row>
    <row r="8" ht="22" customHeight="1">
      <c r="B8" s="14" t="n">
        <v>3</v>
      </c>
      <c r="C8" s="15" t="inlineStr">
        <is>
          <t>Milestones achieved on time (%)</t>
        </is>
      </c>
      <c r="D8" s="16" t="inlineStr">
        <is>
          <t>% on time</t>
        </is>
      </c>
      <c r="E8" s="16" t="inlineStr">
        <is>
          <t>≥75%</t>
        </is>
      </c>
      <c r="F8" s="16" t="inlineStr"/>
      <c r="G8" s="16" t="inlineStr"/>
      <c r="H8" s="16" t="inlineStr">
        <is>
          <t>On Track</t>
        </is>
      </c>
      <c r="I8" s="15" t="inlineStr"/>
    </row>
    <row r="9" ht="22" customHeight="1">
      <c r="B9" s="8" t="n">
        <v>4</v>
      </c>
      <c r="C9" s="9" t="inlineStr">
        <is>
          <t>Projects with approved time extension</t>
        </is>
      </c>
      <c r="D9" s="10" t="inlineStr">
        <is>
          <t>No.</t>
        </is>
      </c>
      <c r="E9" s="10" t="inlineStr">
        <is>
          <t>Tracked</t>
        </is>
      </c>
      <c r="F9" s="10" t="inlineStr"/>
      <c r="G9" s="10" t="inlineStr"/>
      <c r="H9" s="10" t="inlineStr">
        <is>
          <t>On Track</t>
        </is>
      </c>
      <c r="I9" s="9" t="inlineStr"/>
    </row>
    <row r="10" ht="22" customHeight="1">
      <c r="B10" s="14" t="n">
        <v>5</v>
      </c>
      <c r="C10" s="15" t="inlineStr">
        <is>
          <t>Projects with force majeure delays</t>
        </is>
      </c>
      <c r="D10" s="16" t="inlineStr">
        <is>
          <t>No.</t>
        </is>
      </c>
      <c r="E10" s="16" t="inlineStr">
        <is>
          <t>Tracked</t>
        </is>
      </c>
      <c r="F10" s="16" t="inlineStr"/>
      <c r="G10" s="16" t="inlineStr"/>
      <c r="H10" s="16" t="inlineStr">
        <is>
          <t>On Track</t>
        </is>
      </c>
      <c r="I10" s="15" t="inlineStr"/>
    </row>
    <row r="11" ht="22" customHeight="1"/>
    <row r="12" ht="24" customHeight="1">
      <c r="B12" s="20" t="inlineStr">
        <is>
          <t>COST &amp; BUDGET KPIs</t>
        </is>
      </c>
    </row>
    <row r="13" ht="22" customHeight="1">
      <c r="B13" s="21" t="inlineStr">
        <is>
          <t>Sl.</t>
        </is>
      </c>
      <c r="C13" s="21" t="inlineStr">
        <is>
          <t>Key Performance Indicator</t>
        </is>
      </c>
      <c r="D13" s="21" t="inlineStr">
        <is>
          <t>Unit</t>
        </is>
      </c>
      <c r="E13" s="21" t="inlineStr">
        <is>
          <t>Target</t>
        </is>
      </c>
      <c r="F13" s="21" t="inlineStr">
        <is>
          <t>Prev. Quarter
Actual</t>
        </is>
      </c>
      <c r="G13" s="21" t="inlineStr">
        <is>
          <t>Current Quarter
Actual</t>
        </is>
      </c>
      <c r="H13" s="21" t="inlineStr">
        <is>
          <t>Status</t>
        </is>
      </c>
      <c r="I13" s="21" t="inlineStr">
        <is>
          <t>Action Required</t>
        </is>
      </c>
    </row>
    <row r="14" ht="22" customHeight="1">
      <c r="B14" s="47" t="n">
        <v>1</v>
      </c>
      <c r="C14" s="46" t="inlineStr">
        <is>
          <t>Projects within approved budget (%)</t>
        </is>
      </c>
      <c r="D14" s="22" t="inlineStr">
        <is>
          <t>% within budget</t>
        </is>
      </c>
      <c r="E14" s="22" t="inlineStr">
        <is>
          <t>≥85%</t>
        </is>
      </c>
      <c r="F14" s="22" t="inlineStr"/>
      <c r="G14" s="22" t="inlineStr"/>
      <c r="H14" s="22" t="inlineStr">
        <is>
          <t>On Track</t>
        </is>
      </c>
      <c r="I14" s="46" t="inlineStr"/>
    </row>
    <row r="15" ht="22" customHeight="1">
      <c r="B15" s="8" t="n">
        <v>2</v>
      </c>
      <c r="C15" s="9" t="inlineStr">
        <is>
          <t>Average cost overrun (% above contract)</t>
        </is>
      </c>
      <c r="D15" s="10" t="inlineStr">
        <is>
          <t>% overrun</t>
        </is>
      </c>
      <c r="E15" s="10" t="inlineStr">
        <is>
          <t>&lt; 10%</t>
        </is>
      </c>
      <c r="F15" s="10" t="inlineStr"/>
      <c r="G15" s="10" t="inlineStr"/>
      <c r="H15" s="10" t="inlineStr">
        <is>
          <t>On Track</t>
        </is>
      </c>
      <c r="I15" s="9" t="inlineStr"/>
    </row>
    <row r="16" ht="22" customHeight="1">
      <c r="B16" s="47" t="n">
        <v>3</v>
      </c>
      <c r="C16" s="46" t="inlineStr">
        <is>
          <t>RA bill payment within 28 days (%)</t>
        </is>
      </c>
      <c r="D16" s="22" t="inlineStr">
        <is>
          <t>% on time</t>
        </is>
      </c>
      <c r="E16" s="22" t="inlineStr">
        <is>
          <t>≥90%</t>
        </is>
      </c>
      <c r="F16" s="22" t="inlineStr"/>
      <c r="G16" s="22" t="inlineStr"/>
      <c r="H16" s="22" t="inlineStr">
        <is>
          <t>On Track</t>
        </is>
      </c>
      <c r="I16" s="46" t="inlineStr"/>
    </row>
    <row r="17" ht="22" customHeight="1">
      <c r="B17" s="8" t="n">
        <v>4</v>
      </c>
      <c r="C17" s="9" t="inlineStr">
        <is>
          <t>Retention money as % of total bills</t>
        </is>
      </c>
      <c r="D17" s="10" t="inlineStr">
        <is>
          <t>% retention</t>
        </is>
      </c>
      <c r="E17" s="10" t="inlineStr">
        <is>
          <t>≤5%</t>
        </is>
      </c>
      <c r="F17" s="10" t="inlineStr"/>
      <c r="G17" s="10" t="inlineStr"/>
      <c r="H17" s="10" t="inlineStr">
        <is>
          <t>On Track</t>
        </is>
      </c>
      <c r="I17" s="9" t="inlineStr"/>
    </row>
    <row r="18" ht="22" customHeight="1">
      <c r="B18" s="47" t="n">
        <v>5</v>
      </c>
      <c r="C18" s="46" t="inlineStr">
        <is>
          <t>Capital expenditure vs. annual plan (%)</t>
        </is>
      </c>
      <c r="D18" s="22" t="inlineStr">
        <is>
          <t>% utilised</t>
        </is>
      </c>
      <c r="E18" s="22" t="inlineStr">
        <is>
          <t>85–100%</t>
        </is>
      </c>
      <c r="F18" s="22" t="inlineStr"/>
      <c r="G18" s="22" t="inlineStr"/>
      <c r="H18" s="22" t="inlineStr">
        <is>
          <t>On Track</t>
        </is>
      </c>
      <c r="I18" s="46" t="inlineStr"/>
    </row>
    <row r="19" ht="22" customHeight="1">
      <c r="B19" s="8" t="n">
        <v>6</v>
      </c>
      <c r="C19" s="9" t="inlineStr">
        <is>
          <t>Total variation orders (% of contract value)</t>
        </is>
      </c>
      <c r="D19" s="10" t="inlineStr">
        <is>
          <t>% variation</t>
        </is>
      </c>
      <c r="E19" s="10" t="inlineStr">
        <is>
          <t>&lt; 15%</t>
        </is>
      </c>
      <c r="F19" s="10" t="inlineStr"/>
      <c r="G19" s="10" t="inlineStr"/>
      <c r="H19" s="10" t="inlineStr">
        <is>
          <t>On Track</t>
        </is>
      </c>
      <c r="I19" s="9" t="inlineStr"/>
    </row>
    <row r="20" ht="22" customHeight="1"/>
    <row r="21" ht="24" customHeight="1">
      <c r="B21" s="34" t="inlineStr">
        <is>
          <t>QUALITY KPIs</t>
        </is>
      </c>
    </row>
    <row r="22" ht="22" customHeight="1">
      <c r="B22" s="30" t="inlineStr">
        <is>
          <t>Sl.</t>
        </is>
      </c>
      <c r="C22" s="30" t="inlineStr">
        <is>
          <t>Key Performance Indicator</t>
        </is>
      </c>
      <c r="D22" s="30" t="inlineStr">
        <is>
          <t>Unit</t>
        </is>
      </c>
      <c r="E22" s="30" t="inlineStr">
        <is>
          <t>Target</t>
        </is>
      </c>
      <c r="F22" s="30" t="inlineStr">
        <is>
          <t>Prev. Quarter
Actual</t>
        </is>
      </c>
      <c r="G22" s="30" t="inlineStr">
        <is>
          <t>Current Quarter
Actual</t>
        </is>
      </c>
      <c r="H22" s="30" t="inlineStr">
        <is>
          <t>Status</t>
        </is>
      </c>
      <c r="I22" s="30" t="inlineStr">
        <is>
          <t>Action Required</t>
        </is>
      </c>
    </row>
    <row r="23" ht="22" customHeight="1">
      <c r="B23" s="31" t="n">
        <v>1</v>
      </c>
      <c r="C23" s="32" t="inlineStr">
        <is>
          <t>Concrete cube test pass rate (%)</t>
        </is>
      </c>
      <c r="D23" s="33" t="inlineStr">
        <is>
          <t>% pass</t>
        </is>
      </c>
      <c r="E23" s="33" t="inlineStr">
        <is>
          <t>≥95%</t>
        </is>
      </c>
      <c r="F23" s="33" t="inlineStr"/>
      <c r="G23" s="33" t="inlineStr"/>
      <c r="H23" s="33" t="inlineStr">
        <is>
          <t>On Track</t>
        </is>
      </c>
      <c r="I23" s="32" t="inlineStr"/>
    </row>
    <row r="24" ht="22" customHeight="1">
      <c r="B24" s="8" t="n">
        <v>2</v>
      </c>
      <c r="C24" s="9" t="inlineStr">
        <is>
          <t>NCRs raised per month</t>
        </is>
      </c>
      <c r="D24" s="10" t="inlineStr">
        <is>
          <t>No.</t>
        </is>
      </c>
      <c r="E24" s="10" t="inlineStr">
        <is>
          <t>Tracked — decreasing</t>
        </is>
      </c>
      <c r="F24" s="10" t="inlineStr"/>
      <c r="G24" s="10" t="inlineStr"/>
      <c r="H24" s="10" t="inlineStr">
        <is>
          <t>On Track</t>
        </is>
      </c>
      <c r="I24" s="9" t="inlineStr"/>
    </row>
    <row r="25" ht="22" customHeight="1">
      <c r="B25" s="31" t="n">
        <v>3</v>
      </c>
      <c r="C25" s="32" t="inlineStr">
        <is>
          <t>NCRs closed within 7 days (%)</t>
        </is>
      </c>
      <c r="D25" s="33" t="inlineStr">
        <is>
          <t>% on time</t>
        </is>
      </c>
      <c r="E25" s="33" t="inlineStr">
        <is>
          <t>≥90%</t>
        </is>
      </c>
      <c r="F25" s="33" t="inlineStr"/>
      <c r="G25" s="33" t="inlineStr"/>
      <c r="H25" s="33" t="inlineStr">
        <is>
          <t>On Track</t>
        </is>
      </c>
      <c r="I25" s="32" t="inlineStr"/>
    </row>
    <row r="26" ht="22" customHeight="1">
      <c r="B26" s="8" t="n">
        <v>4</v>
      </c>
      <c r="C26" s="9" t="inlineStr">
        <is>
          <t>Third party quality audit score</t>
        </is>
      </c>
      <c r="D26" s="10" t="inlineStr">
        <is>
          <t>Score /100</t>
        </is>
      </c>
      <c r="E26" s="10" t="inlineStr">
        <is>
          <t>≥75</t>
        </is>
      </c>
      <c r="F26" s="10" t="inlineStr"/>
      <c r="G26" s="10" t="inlineStr"/>
      <c r="H26" s="10" t="inlineStr">
        <is>
          <t>On Track</t>
        </is>
      </c>
      <c r="I26" s="9" t="inlineStr"/>
    </row>
    <row r="27" ht="22" customHeight="1">
      <c r="B27" s="31" t="n">
        <v>5</v>
      </c>
      <c r="C27" s="32" t="inlineStr">
        <is>
          <t>DLP defects per project (avg)</t>
        </is>
      </c>
      <c r="D27" s="33" t="inlineStr">
        <is>
          <t>No.</t>
        </is>
      </c>
      <c r="E27" s="33" t="inlineStr">
        <is>
          <t>&lt; 5 per project</t>
        </is>
      </c>
      <c r="F27" s="33" t="inlineStr"/>
      <c r="G27" s="33" t="inlineStr"/>
      <c r="H27" s="33" t="inlineStr">
        <is>
          <t>On Track</t>
        </is>
      </c>
      <c r="I27" s="32" t="inlineStr"/>
    </row>
    <row r="28" ht="22" customHeight="1"/>
    <row r="29" ht="24" customHeight="1">
      <c r="B29" s="43" t="inlineStr">
        <is>
          <t>SAFETY KPIs</t>
        </is>
      </c>
    </row>
    <row r="30" ht="22" customHeight="1">
      <c r="B30" s="54" t="inlineStr">
        <is>
          <t>Sl.</t>
        </is>
      </c>
      <c r="C30" s="54" t="inlineStr">
        <is>
          <t>Key Performance Indicator</t>
        </is>
      </c>
      <c r="D30" s="54" t="inlineStr">
        <is>
          <t>Unit</t>
        </is>
      </c>
      <c r="E30" s="54" t="inlineStr">
        <is>
          <t>Target</t>
        </is>
      </c>
      <c r="F30" s="54" t="inlineStr">
        <is>
          <t>Prev. Quarter
Actual</t>
        </is>
      </c>
      <c r="G30" s="54" t="inlineStr">
        <is>
          <t>Current Quarter
Actual</t>
        </is>
      </c>
      <c r="H30" s="54" t="inlineStr">
        <is>
          <t>Status</t>
        </is>
      </c>
      <c r="I30" s="54" t="inlineStr">
        <is>
          <t>Action Required</t>
        </is>
      </c>
    </row>
    <row r="31" ht="22" customHeight="1">
      <c r="B31" s="77" t="n">
        <v>1</v>
      </c>
      <c r="C31" s="79" t="inlineStr">
        <is>
          <t>Lost Time Injury (LTI) incidents per month</t>
        </is>
      </c>
      <c r="D31" s="78" t="inlineStr">
        <is>
          <t>No.</t>
        </is>
      </c>
      <c r="E31" s="78" t="inlineStr">
        <is>
          <t>0 target</t>
        </is>
      </c>
      <c r="F31" s="78" t="inlineStr"/>
      <c r="G31" s="78" t="inlineStr"/>
      <c r="H31" s="78" t="inlineStr">
        <is>
          <t>On Track</t>
        </is>
      </c>
      <c r="I31" s="79" t="inlineStr"/>
    </row>
    <row r="32" ht="22" customHeight="1">
      <c r="B32" s="8" t="n">
        <v>2</v>
      </c>
      <c r="C32" s="9" t="inlineStr">
        <is>
          <t>Near-miss incidents reported per month</t>
        </is>
      </c>
      <c r="D32" s="10" t="inlineStr">
        <is>
          <t>No.</t>
        </is>
      </c>
      <c r="E32" s="10" t="inlineStr">
        <is>
          <t>Tracked (reporting culture)</t>
        </is>
      </c>
      <c r="F32" s="10" t="inlineStr"/>
      <c r="G32" s="10" t="inlineStr"/>
      <c r="H32" s="10" t="inlineStr">
        <is>
          <t>On Track</t>
        </is>
      </c>
      <c r="I32" s="9" t="inlineStr"/>
    </row>
    <row r="33" ht="22" customHeight="1">
      <c r="B33" s="77" t="n">
        <v>3</v>
      </c>
      <c r="C33" s="79" t="inlineStr">
        <is>
          <t>Weekly safety inspection compliance (%)</t>
        </is>
      </c>
      <c r="D33" s="78" t="inlineStr">
        <is>
          <t>% completed</t>
        </is>
      </c>
      <c r="E33" s="78" t="inlineStr">
        <is>
          <t>100%</t>
        </is>
      </c>
      <c r="F33" s="78" t="inlineStr"/>
      <c r="G33" s="78" t="inlineStr"/>
      <c r="H33" s="78" t="inlineStr">
        <is>
          <t>On Track</t>
        </is>
      </c>
      <c r="I33" s="79" t="inlineStr"/>
    </row>
    <row r="34" ht="22" customHeight="1">
      <c r="B34" s="8" t="n">
        <v>4</v>
      </c>
      <c r="C34" s="9" t="inlineStr">
        <is>
          <t>PPE compliance on site (% of workers)</t>
        </is>
      </c>
      <c r="D34" s="10" t="inlineStr">
        <is>
          <t>% compliant</t>
        </is>
      </c>
      <c r="E34" s="10" t="inlineStr">
        <is>
          <t>≥95%</t>
        </is>
      </c>
      <c r="F34" s="10" t="inlineStr"/>
      <c r="G34" s="10" t="inlineStr"/>
      <c r="H34" s="10" t="inlineStr">
        <is>
          <t>On Track</t>
        </is>
      </c>
      <c r="I34" s="9" t="inlineStr"/>
    </row>
    <row r="35" ht="22" customHeight="1">
      <c r="B35" s="77" t="n">
        <v>5</v>
      </c>
      <c r="C35" s="79" t="inlineStr">
        <is>
          <t>Safety training for site workers (%)</t>
        </is>
      </c>
      <c r="D35" s="78" t="inlineStr">
        <is>
          <t>% trained</t>
        </is>
      </c>
      <c r="E35" s="78" t="inlineStr">
        <is>
          <t>100%</t>
        </is>
      </c>
      <c r="F35" s="78" t="inlineStr"/>
      <c r="G35" s="78" t="inlineStr"/>
      <c r="H35" s="78" t="inlineStr">
        <is>
          <t>On Track</t>
        </is>
      </c>
      <c r="I35" s="79" t="inlineStr"/>
    </row>
    <row r="36" ht="22" customHeight="1"/>
    <row r="37" ht="24" customHeight="1">
      <c r="B37" s="81" t="inlineStr">
        <is>
          <t>COMPLIANCE &amp; GOVERNANCE KPIs</t>
        </is>
      </c>
    </row>
    <row r="38" ht="22" customHeight="1">
      <c r="B38" s="82" t="inlineStr">
        <is>
          <t>Sl.</t>
        </is>
      </c>
      <c r="C38" s="82" t="inlineStr">
        <is>
          <t>Key Performance Indicator</t>
        </is>
      </c>
      <c r="D38" s="82" t="inlineStr">
        <is>
          <t>Unit</t>
        </is>
      </c>
      <c r="E38" s="82" t="inlineStr">
        <is>
          <t>Target</t>
        </is>
      </c>
      <c r="F38" s="82" t="inlineStr">
        <is>
          <t>Prev. Quarter
Actual</t>
        </is>
      </c>
      <c r="G38" s="82" t="inlineStr">
        <is>
          <t>Current Quarter
Actual</t>
        </is>
      </c>
      <c r="H38" s="82" t="inlineStr">
        <is>
          <t>Status</t>
        </is>
      </c>
      <c r="I38" s="82" t="inlineStr">
        <is>
          <t>Action Required</t>
        </is>
      </c>
    </row>
    <row r="39" ht="22" customHeight="1">
      <c r="B39" s="83" t="n">
        <v>1</v>
      </c>
      <c r="C39" s="84" t="inlineStr">
        <is>
          <t>Regulatory approvals obtained before start</t>
        </is>
      </c>
      <c r="D39" s="85" t="inlineStr">
        <is>
          <t>% projects</t>
        </is>
      </c>
      <c r="E39" s="85" t="inlineStr">
        <is>
          <t>100%</t>
        </is>
      </c>
      <c r="F39" s="85" t="inlineStr"/>
      <c r="G39" s="85" t="inlineStr"/>
      <c r="H39" s="85" t="inlineStr">
        <is>
          <t>On Track</t>
        </is>
      </c>
      <c r="I39" s="84" t="inlineStr"/>
    </row>
    <row r="40" ht="22" customHeight="1">
      <c r="B40" s="8" t="n">
        <v>2</v>
      </c>
      <c r="C40" s="9" t="inlineStr">
        <is>
          <t>Tender process as per prescribed procedure</t>
        </is>
      </c>
      <c r="D40" s="10" t="inlineStr">
        <is>
          <t>% compliant</t>
        </is>
      </c>
      <c r="E40" s="10" t="inlineStr">
        <is>
          <t>100%</t>
        </is>
      </c>
      <c r="F40" s="10" t="inlineStr"/>
      <c r="G40" s="10" t="inlineStr"/>
      <c r="H40" s="10" t="inlineStr">
        <is>
          <t>On Track</t>
        </is>
      </c>
      <c r="I40" s="9" t="inlineStr"/>
    </row>
    <row r="41" ht="22" customHeight="1">
      <c r="B41" s="83" t="n">
        <v>3</v>
      </c>
      <c r="C41" s="84" t="inlineStr">
        <is>
          <t>Contractor labour compliance (PF/ESI/wage)</t>
        </is>
      </c>
      <c r="D41" s="85" t="inlineStr">
        <is>
          <t>Y/N</t>
        </is>
      </c>
      <c r="E41" s="85" t="inlineStr">
        <is>
          <t>Yes — all sites</t>
        </is>
      </c>
      <c r="F41" s="85" t="inlineStr"/>
      <c r="G41" s="85" t="inlineStr"/>
      <c r="H41" s="85" t="inlineStr">
        <is>
          <t>On Track</t>
        </is>
      </c>
      <c r="I41" s="84" t="inlineStr"/>
    </row>
    <row r="42" ht="22" customHeight="1">
      <c r="B42" s="8" t="n">
        <v>4</v>
      </c>
      <c r="C42" s="9" t="inlineStr">
        <is>
          <t>NAAC infrastructure data compiled</t>
        </is>
      </c>
      <c r="D42" s="10" t="inlineStr">
        <is>
          <t>Y/N</t>
        </is>
      </c>
      <c r="E42" s="10" t="inlineStr">
        <is>
          <t>Yes annually</t>
        </is>
      </c>
      <c r="F42" s="10" t="inlineStr"/>
      <c r="G42" s="10" t="inlineStr"/>
      <c r="H42" s="10" t="inlineStr">
        <is>
          <t>On Track</t>
        </is>
      </c>
      <c r="I42" s="9" t="inlineStr"/>
    </row>
    <row r="43" ht="22" customHeight="1">
      <c r="B43" s="83" t="n">
        <v>5</v>
      </c>
      <c r="C43" s="84" t="inlineStr">
        <is>
          <t>CC meetings held (monthly)</t>
        </is>
      </c>
      <c r="D43" s="85" t="inlineStr">
        <is>
          <t>No. per quarter</t>
        </is>
      </c>
      <c r="E43" s="85" t="inlineStr">
        <is>
          <t>≥3</t>
        </is>
      </c>
      <c r="F43" s="85" t="inlineStr"/>
      <c r="G43" s="85" t="inlineStr"/>
      <c r="H43" s="85" t="inlineStr">
        <is>
          <t>On Track</t>
        </is>
      </c>
      <c r="I43" s="84" t="inlineStr"/>
    </row>
    <row r="44" ht="22" customHeight="1"/>
    <row r="45" ht="22" customHeight="1"/>
    <row r="46" ht="22" customHeight="1"/>
    <row r="47" ht="22" customHeight="1"/>
    <row r="48" ht="22" customHeight="1"/>
    <row r="49" ht="22" customHeight="1"/>
    <row r="50" ht="22" customHeight="1"/>
    <row r="51" ht="22" customHeight="1"/>
    <row r="52" ht="22" customHeight="1"/>
    <row r="53" ht="22" customHeight="1"/>
    <row r="54" ht="22" customHeight="1"/>
    <row r="55" ht="22" customHeight="1"/>
    <row r="56" ht="22" customHeight="1"/>
    <row r="57" ht="22" customHeight="1"/>
    <row r="58" ht="22" customHeight="1"/>
    <row r="59" ht="22" customHeight="1"/>
    <row r="60" ht="22" customHeight="1"/>
    <row r="61" ht="22" customHeight="1"/>
    <row r="62" ht="22" customHeight="1"/>
    <row r="63" ht="22" customHeight="1"/>
    <row r="64" ht="22" customHeight="1"/>
  </sheetData>
  <mergeCells count="7">
    <mergeCell ref="B12:I12"/>
    <mergeCell ref="B21:I21"/>
    <mergeCell ref="B29:I29"/>
    <mergeCell ref="B2:I2"/>
    <mergeCell ref="B3:I3"/>
    <mergeCell ref="B37:I37"/>
    <mergeCell ref="B4:I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H41"/>
  <sheetViews>
    <sheetView showGridLines="0" workbookViewId="0">
      <selection activeCell="A1" sqref="A1"/>
    </sheetView>
  </sheetViews>
  <sheetFormatPr baseColWidth="8" defaultRowHeight="15"/>
  <cols>
    <col width="3" customWidth="1" min="1" max="1"/>
    <col width="8" customWidth="1" min="2" max="2"/>
    <col width="30" customWidth="1" min="3" max="3"/>
    <col width="16" customWidth="1" min="4" max="4"/>
    <col width="14" customWidth="1" min="5" max="5"/>
    <col width="14" customWidth="1" min="6" max="6"/>
    <col width="14" customWidth="1" min="7" max="7"/>
    <col width="14" customWidth="1" min="8" max="8"/>
    <col width="3" customWidth="1" min="9" max="9"/>
  </cols>
  <sheetData>
    <row r="1" ht="10" customHeight="1"/>
    <row r="2" ht="48" customHeight="1">
      <c r="B2" s="12" t="inlineStr">
        <is>
          <t>CC-52: CONSTRUCTION COMMITTEE ANNUAL REPORT COMPILATION FORM</t>
        </is>
      </c>
    </row>
    <row r="3" ht="25" customHeight="1">
      <c r="B3" s="2" t="inlineStr">
        <is>
          <t>A.Y.: _______  CC Coordinator: ___________________  Submitted to: Governing Body / Finance / IQAC  Date: _______</t>
        </is>
      </c>
    </row>
    <row r="4" ht="24" customHeight="1">
      <c r="B4" s="19" t="inlineStr">
        <is>
          <t>SECTION 1 — PROJECT PORTFOLIO</t>
        </is>
      </c>
    </row>
    <row r="5" ht="22" customHeight="1">
      <c r="B5" s="13" t="inlineStr">
        <is>
          <t>Sl.</t>
        </is>
      </c>
      <c r="C5" s="13" t="inlineStr">
        <is>
          <t>Performance Metric</t>
        </is>
      </c>
      <c r="D5" s="13" t="inlineStr">
        <is>
          <t>Unit</t>
        </is>
      </c>
      <c r="E5" s="13" t="inlineStr">
        <is>
          <t>Current A.Y.</t>
        </is>
      </c>
      <c r="F5" s="13" t="inlineStr">
        <is>
          <t>Previous A.Y.</t>
        </is>
      </c>
      <c r="G5" s="13" t="inlineStr">
        <is>
          <t>Growth %</t>
        </is>
      </c>
      <c r="H5" s="13" t="inlineStr">
        <is>
          <t>Target Next Year</t>
        </is>
      </c>
    </row>
    <row r="6" ht="22" customHeight="1">
      <c r="B6" s="14" t="n">
        <v>1</v>
      </c>
      <c r="C6" s="15" t="inlineStr">
        <is>
          <t>Total active construction projects</t>
        </is>
      </c>
      <c r="D6" s="16" t="inlineStr">
        <is>
          <t>No.</t>
        </is>
      </c>
      <c r="E6" s="16" t="inlineStr"/>
      <c r="F6" s="16" t="inlineStr"/>
      <c r="G6" s="16">
        <f>IFERROR(ROUND((E6-F6)/IF(F6=0,1,F6)*100,1),"")</f>
        <v/>
      </c>
      <c r="H6" s="16" t="inlineStr"/>
    </row>
    <row r="7" ht="22" customHeight="1">
      <c r="B7" s="8" t="n">
        <v>2</v>
      </c>
      <c r="C7" s="9" t="inlineStr">
        <is>
          <t>New projects initiated this A.Y.</t>
        </is>
      </c>
      <c r="D7" s="10" t="inlineStr">
        <is>
          <t>No.</t>
        </is>
      </c>
      <c r="E7" s="10" t="inlineStr"/>
      <c r="F7" s="10" t="inlineStr"/>
      <c r="G7" s="10">
        <f>IFERROR(ROUND((E7-F7)/IF(F7=0,1,F7)*100,1),"")</f>
        <v/>
      </c>
      <c r="H7" s="10" t="inlineStr"/>
    </row>
    <row r="8" ht="22" customHeight="1">
      <c r="B8" s="14" t="n">
        <v>3</v>
      </c>
      <c r="C8" s="15" t="inlineStr">
        <is>
          <t>Projects completed this A.Y.</t>
        </is>
      </c>
      <c r="D8" s="16" t="inlineStr">
        <is>
          <t>No.</t>
        </is>
      </c>
      <c r="E8" s="16" t="inlineStr"/>
      <c r="F8" s="16" t="inlineStr"/>
      <c r="G8" s="16">
        <f>IFERROR(ROUND((E8-F8)/IF(F8=0,1,F8)*100,1),"")</f>
        <v/>
      </c>
      <c r="H8" s="16" t="inlineStr"/>
    </row>
    <row r="9" ht="22" customHeight="1">
      <c r="B9" s="8" t="n">
        <v>4</v>
      </c>
      <c r="C9" s="9" t="inlineStr">
        <is>
          <t>Total contracted value — active projects (₹L)</t>
        </is>
      </c>
      <c r="D9" s="10" t="inlineStr">
        <is>
          <t>₹L</t>
        </is>
      </c>
      <c r="E9" s="10" t="inlineStr"/>
      <c r="F9" s="10" t="inlineStr"/>
      <c r="G9" s="10">
        <f>IFERROR(ROUND((E9-F9)/IF(F9=0,1,F9)*100,1),"")</f>
        <v/>
      </c>
      <c r="H9" s="10" t="inlineStr"/>
    </row>
    <row r="10" ht="22" customHeight="1">
      <c r="B10" s="14" t="n">
        <v>5</v>
      </c>
      <c r="C10" s="15" t="inlineStr">
        <is>
          <t>Total expenditure — construction (₹L)</t>
        </is>
      </c>
      <c r="D10" s="16" t="inlineStr">
        <is>
          <t>₹L</t>
        </is>
      </c>
      <c r="E10" s="16" t="inlineStr"/>
      <c r="F10" s="16" t="inlineStr"/>
      <c r="G10" s="16">
        <f>IFERROR(ROUND((E10-F10)/IF(F10=0,1,F10)*100,1),"")</f>
        <v/>
      </c>
      <c r="H10" s="16" t="inlineStr"/>
    </row>
    <row r="11" ht="22" customHeight="1">
      <c r="B11" s="8" t="n">
        <v>6</v>
      </c>
      <c r="C11" s="9" t="inlineStr">
        <is>
          <t>Area constructed / renovated (m²)</t>
        </is>
      </c>
      <c r="D11" s="10" t="inlineStr">
        <is>
          <t>m²</t>
        </is>
      </c>
      <c r="E11" s="10" t="inlineStr"/>
      <c r="F11" s="10" t="inlineStr"/>
      <c r="G11" s="10">
        <f>IFERROR(ROUND((E11-F11)/IF(F11=0,1,F11)*100,1),"")</f>
        <v/>
      </c>
      <c r="H11" s="10" t="inlineStr"/>
    </row>
    <row r="12" ht="22" customHeight="1"/>
    <row r="13" ht="24" customHeight="1">
      <c r="B13" s="20" t="inlineStr">
        <is>
          <t>SECTION 2 — SCHEDULE &amp; COST</t>
        </is>
      </c>
    </row>
    <row r="14" ht="22" customHeight="1">
      <c r="B14" s="21" t="inlineStr">
        <is>
          <t>Sl.</t>
        </is>
      </c>
      <c r="C14" s="21" t="inlineStr">
        <is>
          <t>Performance Metric</t>
        </is>
      </c>
      <c r="D14" s="21" t="inlineStr">
        <is>
          <t>Unit</t>
        </is>
      </c>
      <c r="E14" s="21" t="inlineStr">
        <is>
          <t>Current A.Y.</t>
        </is>
      </c>
      <c r="F14" s="21" t="inlineStr">
        <is>
          <t>Previous A.Y.</t>
        </is>
      </c>
      <c r="G14" s="21" t="inlineStr">
        <is>
          <t>Growth %</t>
        </is>
      </c>
      <c r="H14" s="21" t="inlineStr">
        <is>
          <t>Target Next Year</t>
        </is>
      </c>
    </row>
    <row r="15" ht="22" customHeight="1">
      <c r="B15" s="47" t="n">
        <v>1</v>
      </c>
      <c r="C15" s="46" t="inlineStr">
        <is>
          <t>Projects completed on schedule (%)</t>
        </is>
      </c>
      <c r="D15" s="22" t="inlineStr">
        <is>
          <t>% on time</t>
        </is>
      </c>
      <c r="E15" s="22" t="inlineStr"/>
      <c r="F15" s="22" t="inlineStr"/>
      <c r="G15" s="22">
        <f>IFERROR(ROUND((E15-F15)/IF(F15=0,1,F15)*100,1),"")</f>
        <v/>
      </c>
      <c r="H15" s="22" t="inlineStr"/>
    </row>
    <row r="16" ht="22" customHeight="1">
      <c r="B16" s="8" t="n">
        <v>2</v>
      </c>
      <c r="C16" s="9" t="inlineStr">
        <is>
          <t>Average schedule delay (days)</t>
        </is>
      </c>
      <c r="D16" s="10" t="inlineStr">
        <is>
          <t>Days</t>
        </is>
      </c>
      <c r="E16" s="10" t="inlineStr"/>
      <c r="F16" s="10" t="inlineStr"/>
      <c r="G16" s="10">
        <f>IFERROR(ROUND((E16-F16)/IF(F16=0,1,F16)*100,1),"")</f>
        <v/>
      </c>
      <c r="H16" s="10" t="inlineStr"/>
    </row>
    <row r="17" ht="22" customHeight="1">
      <c r="B17" s="47" t="n">
        <v>3</v>
      </c>
      <c r="C17" s="46" t="inlineStr">
        <is>
          <t>Projects within budget (%)</t>
        </is>
      </c>
      <c r="D17" s="22" t="inlineStr">
        <is>
          <t>% within budget</t>
        </is>
      </c>
      <c r="E17" s="22" t="inlineStr"/>
      <c r="F17" s="22" t="inlineStr"/>
      <c r="G17" s="22">
        <f>IFERROR(ROUND((E17-F17)/IF(F17=0,1,F17)*100,1),"")</f>
        <v/>
      </c>
      <c r="H17" s="22" t="inlineStr"/>
    </row>
    <row r="18" ht="22" customHeight="1">
      <c r="B18" s="8" t="n">
        <v>4</v>
      </c>
      <c r="C18" s="9" t="inlineStr">
        <is>
          <t>Average cost overrun (%)</t>
        </is>
      </c>
      <c r="D18" s="10" t="inlineStr">
        <is>
          <t>% overrun</t>
        </is>
      </c>
      <c r="E18" s="10" t="inlineStr"/>
      <c r="F18" s="10" t="inlineStr"/>
      <c r="G18" s="10">
        <f>IFERROR(ROUND((E18-F18)/IF(F18=0,1,F18)*100,1),"")</f>
        <v/>
      </c>
      <c r="H18" s="10" t="inlineStr"/>
    </row>
    <row r="19" ht="22" customHeight="1">
      <c r="B19" s="47" t="n">
        <v>5</v>
      </c>
      <c r="C19" s="46" t="inlineStr">
        <is>
          <t>Total variation orders value (₹L)</t>
        </is>
      </c>
      <c r="D19" s="22" t="inlineStr">
        <is>
          <t>₹L</t>
        </is>
      </c>
      <c r="E19" s="22" t="inlineStr"/>
      <c r="F19" s="22" t="inlineStr"/>
      <c r="G19" s="22">
        <f>IFERROR(ROUND((E19-F19)/IF(F19=0,1,F19)*100,1),"")</f>
        <v/>
      </c>
      <c r="H19" s="22" t="inlineStr"/>
    </row>
    <row r="20" ht="22" customHeight="1">
      <c r="B20" s="8" t="n">
        <v>6</v>
      </c>
      <c r="C20" s="9" t="inlineStr">
        <is>
          <t>RA bills paid within 28 days (%)</t>
        </is>
      </c>
      <c r="D20" s="10" t="inlineStr">
        <is>
          <t>% on time</t>
        </is>
      </c>
      <c r="E20" s="10" t="inlineStr"/>
      <c r="F20" s="10" t="inlineStr"/>
      <c r="G20" s="10">
        <f>IFERROR(ROUND((E20-F20)/IF(F20=0,1,F20)*100,1),"")</f>
        <v/>
      </c>
      <c r="H20" s="10" t="inlineStr"/>
    </row>
    <row r="21" ht="22" customHeight="1"/>
    <row r="22" ht="24" customHeight="1">
      <c r="B22" s="34" t="inlineStr">
        <is>
          <t>SECTION 3 — QUALITY &amp; SAFETY</t>
        </is>
      </c>
    </row>
    <row r="23" ht="22" customHeight="1">
      <c r="B23" s="30" t="inlineStr">
        <is>
          <t>Sl.</t>
        </is>
      </c>
      <c r="C23" s="30" t="inlineStr">
        <is>
          <t>Performance Metric</t>
        </is>
      </c>
      <c r="D23" s="30" t="inlineStr">
        <is>
          <t>Unit</t>
        </is>
      </c>
      <c r="E23" s="30" t="inlineStr">
        <is>
          <t>Current A.Y.</t>
        </is>
      </c>
      <c r="F23" s="30" t="inlineStr">
        <is>
          <t>Previous A.Y.</t>
        </is>
      </c>
      <c r="G23" s="30" t="inlineStr">
        <is>
          <t>Growth %</t>
        </is>
      </c>
      <c r="H23" s="30" t="inlineStr">
        <is>
          <t>Target Next Year</t>
        </is>
      </c>
    </row>
    <row r="24" ht="22" customHeight="1">
      <c r="B24" s="31" t="n">
        <v>1</v>
      </c>
      <c r="C24" s="32" t="inlineStr">
        <is>
          <t>Concrete cube tests conducted</t>
        </is>
      </c>
      <c r="D24" s="33" t="inlineStr">
        <is>
          <t>No.</t>
        </is>
      </c>
      <c r="E24" s="33" t="inlineStr"/>
      <c r="F24" s="33" t="inlineStr"/>
      <c r="G24" s="33">
        <f>IFERROR(ROUND((E24-F24)/IF(F24=0,1,F24)*100,1),"")</f>
        <v/>
      </c>
      <c r="H24" s="33" t="inlineStr"/>
    </row>
    <row r="25" ht="22" customHeight="1">
      <c r="B25" s="8" t="n">
        <v>2</v>
      </c>
      <c r="C25" s="9" t="inlineStr">
        <is>
          <t>Cube test pass rate (%)</t>
        </is>
      </c>
      <c r="D25" s="10" t="inlineStr">
        <is>
          <t>% pass</t>
        </is>
      </c>
      <c r="E25" s="10" t="inlineStr"/>
      <c r="F25" s="10" t="inlineStr"/>
      <c r="G25" s="10">
        <f>IFERROR(ROUND((E25-F25)/IF(F25=0,1,F25)*100,1),"")</f>
        <v/>
      </c>
      <c r="H25" s="10" t="inlineStr"/>
    </row>
    <row r="26" ht="22" customHeight="1">
      <c r="B26" s="31" t="n">
        <v>3</v>
      </c>
      <c r="C26" s="32" t="inlineStr">
        <is>
          <t>Total NCRs raised</t>
        </is>
      </c>
      <c r="D26" s="33" t="inlineStr">
        <is>
          <t>No.</t>
        </is>
      </c>
      <c r="E26" s="33" t="inlineStr"/>
      <c r="F26" s="33" t="inlineStr"/>
      <c r="G26" s="33">
        <f>IFERROR(ROUND((E26-F26)/IF(F26=0,1,F26)*100,1),"")</f>
        <v/>
      </c>
      <c r="H26" s="33" t="inlineStr"/>
    </row>
    <row r="27" ht="22" customHeight="1">
      <c r="B27" s="8" t="n">
        <v>4</v>
      </c>
      <c r="C27" s="9" t="inlineStr">
        <is>
          <t>NCRs closed within 7 days (%)</t>
        </is>
      </c>
      <c r="D27" s="10" t="inlineStr">
        <is>
          <t>% on time</t>
        </is>
      </c>
      <c r="E27" s="10" t="inlineStr"/>
      <c r="F27" s="10" t="inlineStr"/>
      <c r="G27" s="10">
        <f>IFERROR(ROUND((E27-F27)/IF(F27=0,1,F27)*100,1),"")</f>
        <v/>
      </c>
      <c r="H27" s="10" t="inlineStr"/>
    </row>
    <row r="28" ht="22" customHeight="1">
      <c r="B28" s="31" t="n">
        <v>5</v>
      </c>
      <c r="C28" s="32" t="inlineStr">
        <is>
          <t>LTI (Lost Time Injury) incidents</t>
        </is>
      </c>
      <c r="D28" s="33" t="inlineStr">
        <is>
          <t>No.</t>
        </is>
      </c>
      <c r="E28" s="33" t="inlineStr"/>
      <c r="F28" s="33" t="inlineStr"/>
      <c r="G28" s="33">
        <f>IFERROR(ROUND((E28-F28)/IF(F28=0,1,F28)*100,1),"")</f>
        <v/>
      </c>
      <c r="H28" s="33" t="inlineStr"/>
    </row>
    <row r="29" ht="22" customHeight="1">
      <c r="B29" s="8" t="n">
        <v>6</v>
      </c>
      <c r="C29" s="9" t="inlineStr">
        <is>
          <t>Safety training sessions conducted</t>
        </is>
      </c>
      <c r="D29" s="10" t="inlineStr">
        <is>
          <t>No.</t>
        </is>
      </c>
      <c r="E29" s="10" t="inlineStr"/>
      <c r="F29" s="10" t="inlineStr"/>
      <c r="G29" s="10">
        <f>IFERROR(ROUND((E29-F29)/IF(F29=0,1,F29)*100,1),"")</f>
        <v/>
      </c>
      <c r="H29" s="10" t="inlineStr"/>
    </row>
    <row r="30" ht="22" customHeight="1"/>
    <row r="31" ht="24" customHeight="1">
      <c r="B31" s="81" t="inlineStr">
        <is>
          <t>SECTION 4 — COMPLIANCE</t>
        </is>
      </c>
    </row>
    <row r="32" ht="22" customHeight="1">
      <c r="B32" s="82" t="inlineStr">
        <is>
          <t>Sl.</t>
        </is>
      </c>
      <c r="C32" s="82" t="inlineStr">
        <is>
          <t>Performance Metric</t>
        </is>
      </c>
      <c r="D32" s="82" t="inlineStr">
        <is>
          <t>Unit</t>
        </is>
      </c>
      <c r="E32" s="82" t="inlineStr">
        <is>
          <t>Current A.Y.</t>
        </is>
      </c>
      <c r="F32" s="82" t="inlineStr">
        <is>
          <t>Previous A.Y.</t>
        </is>
      </c>
      <c r="G32" s="82" t="inlineStr">
        <is>
          <t>Growth %</t>
        </is>
      </c>
      <c r="H32" s="82" t="inlineStr">
        <is>
          <t>Target Next Year</t>
        </is>
      </c>
    </row>
    <row r="33" ht="22" customHeight="1">
      <c r="B33" s="83" t="n">
        <v>1</v>
      </c>
      <c r="C33" s="84" t="inlineStr">
        <is>
          <t>Projects with all regulatory approvals</t>
        </is>
      </c>
      <c r="D33" s="85" t="inlineStr">
        <is>
          <t>% compliant</t>
        </is>
      </c>
      <c r="E33" s="85" t="inlineStr"/>
      <c r="F33" s="85" t="inlineStr"/>
      <c r="G33" s="85">
        <f>IFERROR(ROUND((E33-F33)/IF(F33=0,1,F33)*100,1),"")</f>
        <v/>
      </c>
      <c r="H33" s="85" t="inlineStr"/>
    </row>
    <row r="34" ht="22" customHeight="1">
      <c r="B34" s="8" t="n">
        <v>2</v>
      </c>
      <c r="C34" s="9" t="inlineStr">
        <is>
          <t>Tender process compliance (%)</t>
        </is>
      </c>
      <c r="D34" s="10" t="inlineStr">
        <is>
          <t>% compliant</t>
        </is>
      </c>
      <c r="E34" s="10" t="inlineStr"/>
      <c r="F34" s="10" t="inlineStr"/>
      <c r="G34" s="10">
        <f>IFERROR(ROUND((E34-F34)/IF(F34=0,1,F34)*100,1),"")</f>
        <v/>
      </c>
      <c r="H34" s="10" t="inlineStr"/>
    </row>
    <row r="35" ht="22" customHeight="1">
      <c r="B35" s="83" t="n">
        <v>3</v>
      </c>
      <c r="C35" s="84" t="inlineStr">
        <is>
          <t>DLP defects reported (all projects)</t>
        </is>
      </c>
      <c r="D35" s="85" t="inlineStr">
        <is>
          <t>No.</t>
        </is>
      </c>
      <c r="E35" s="85" t="inlineStr"/>
      <c r="F35" s="85" t="inlineStr"/>
      <c r="G35" s="85">
        <f>IFERROR(ROUND((E35-F35)/IF(F35=0,1,F35)*100,1),"")</f>
        <v/>
      </c>
      <c r="H35" s="85" t="inlineStr"/>
    </row>
    <row r="36" ht="22" customHeight="1">
      <c r="B36" s="8" t="n">
        <v>4</v>
      </c>
      <c r="C36" s="9" t="inlineStr">
        <is>
          <t>DLP defects rectified (%)</t>
        </is>
      </c>
      <c r="D36" s="10" t="inlineStr">
        <is>
          <t>% rectified</t>
        </is>
      </c>
      <c r="E36" s="10" t="inlineStr"/>
      <c r="F36" s="10" t="inlineStr"/>
      <c r="G36" s="10">
        <f>IFERROR(ROUND((E36-F36)/IF(F36=0,1,F36)*100,1),"")</f>
        <v/>
      </c>
      <c r="H36" s="10" t="inlineStr"/>
    </row>
    <row r="37" ht="22" customHeight="1">
      <c r="B37" s="83" t="n">
        <v>5</v>
      </c>
      <c r="C37" s="84" t="inlineStr">
        <is>
          <t>Third-party quality audits conducted</t>
        </is>
      </c>
      <c r="D37" s="85" t="inlineStr">
        <is>
          <t>No.</t>
        </is>
      </c>
      <c r="E37" s="85" t="inlineStr"/>
      <c r="F37" s="85" t="inlineStr"/>
      <c r="G37" s="85">
        <f>IFERROR(ROUND((E37-F37)/IF(F37=0,1,F37)*100,1),"")</f>
        <v/>
      </c>
      <c r="H37" s="85" t="inlineStr"/>
    </row>
    <row r="38" ht="22" customHeight="1">
      <c r="B38" s="8" t="n">
        <v>6</v>
      </c>
      <c r="C38" s="9" t="inlineStr">
        <is>
          <t>NAAC data submitted</t>
        </is>
      </c>
      <c r="D38" s="10" t="inlineStr">
        <is>
          <t>Y/N</t>
        </is>
      </c>
      <c r="E38" s="10" t="inlineStr"/>
      <c r="F38" s="10" t="inlineStr"/>
      <c r="G38" s="10">
        <f>IFERROR(ROUND((E38-F38)/IF(F38=0,1,F38)*100,1),"")</f>
        <v/>
      </c>
      <c r="H38" s="10" t="inlineStr"/>
    </row>
    <row r="39" ht="22" customHeight="1"/>
    <row r="40" ht="20" customHeight="1">
      <c r="B40" s="17" t="inlineStr">
        <is>
          <t>Annual Report submitted to: Governing Body (capital expenditure approval), Finance Committee, IQAC (NAAC AQAR Criterion IV — Infrastructure), External Auditors. Measurement Books and Bills to be retained permanently as legal documents.</t>
        </is>
      </c>
    </row>
    <row r="41" ht="22" customHeight="1">
      <c r="B41" s="29" t="inlineStr">
        <is>
          <t>CC Coordinator: ___________________    Senior Civil Engineer: ___________________    Chairperson (Principal): ___________________    Date: ___________________</t>
        </is>
      </c>
    </row>
    <row r="42" ht="22" customHeight="1"/>
    <row r="43" ht="22" customHeight="1"/>
    <row r="44" ht="22" customHeight="1"/>
    <row r="45" ht="22" customHeight="1"/>
    <row r="46" ht="22" customHeight="1"/>
    <row r="47" ht="22" customHeight="1"/>
    <row r="48" ht="22" customHeight="1"/>
    <row r="49" ht="22" customHeight="1"/>
    <row r="50" ht="22" customHeight="1"/>
    <row r="51" ht="22" customHeight="1"/>
    <row r="52" ht="22" customHeight="1"/>
    <row r="53" ht="22" customHeight="1"/>
    <row r="54" ht="22" customHeight="1"/>
    <row r="55" ht="22" customHeight="1"/>
    <row r="56" ht="22" customHeight="1"/>
    <row r="57" ht="22" customHeight="1"/>
    <row r="58" ht="22" customHeight="1"/>
    <row r="59" ht="22" customHeight="1"/>
  </sheetData>
  <mergeCells count="8">
    <mergeCell ref="B22:H22"/>
    <mergeCell ref="B40:H40"/>
    <mergeCell ref="B41:H41"/>
    <mergeCell ref="B13:H13"/>
    <mergeCell ref="B4:H4"/>
    <mergeCell ref="B2:H2"/>
    <mergeCell ref="B3:H3"/>
    <mergeCell ref="B31:H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2026-04-28T05:59:21Z</dcterms:created>
  <dcterms:modified xmlns:dcterms="http://purl.org/dc/terms/" xmlns:xsi="http://www.w3.org/2001/XMLSchema-instance" xsi:type="dcterms:W3CDTF">2026-04-28T05:59:21Z</dcterms:modified>
</cp:coreProperties>
</file>