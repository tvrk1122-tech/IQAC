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C-00 Composition" sheetId="2" state="visible" r:id="rId2"/>
    <sheet xmlns:r="http://schemas.openxmlformats.org/officeDocument/2006/relationships" name="DAC-NA Notice &amp; Agenda" sheetId="3" state="visible" r:id="rId3"/>
    <sheet xmlns:r="http://schemas.openxmlformats.org/officeDocument/2006/relationships" name="DAC-AT Attendance" sheetId="4" state="visible" r:id="rId4"/>
    <sheet xmlns:r="http://schemas.openxmlformats.org/officeDocument/2006/relationships" name="DAC-MM Minutes" sheetId="5" state="visible" r:id="rId5"/>
    <sheet xmlns:r="http://schemas.openxmlformats.org/officeDocument/2006/relationships" name="DAC-ATR Action Report" sheetId="6" state="visible" r:id="rId6"/>
    <sheet xmlns:r="http://schemas.openxmlformats.org/officeDocument/2006/relationships" name="DAC-02 Course Allocation" sheetId="7" state="visible" r:id="rId7"/>
    <sheet xmlns:r="http://schemas.openxmlformats.org/officeDocument/2006/relationships" name="DAC-06 Syllabus Coverage" sheetId="8" state="visible" r:id="rId8"/>
    <sheet xmlns:r="http://schemas.openxmlformats.org/officeDocument/2006/relationships" name="DAC-12-13 Attendance Register" sheetId="9" state="visible" r:id="rId9"/>
    <sheet xmlns:r="http://schemas.openxmlformats.org/officeDocument/2006/relationships" name="DAC-15-16 Learner Support" sheetId="10" state="visible" r:id="rId10"/>
    <sheet xmlns:r="http://schemas.openxmlformats.org/officeDocument/2006/relationships" name="DAC-20-22 CIE Marks Register" sheetId="11" state="visible" r:id="rId11"/>
    <sheet xmlns:r="http://schemas.openxmlformats.org/officeDocument/2006/relationships" name="DAC-27 SEE Result Analysis" sheetId="12" state="visible" r:id="rId12"/>
    <sheet xmlns:r="http://schemas.openxmlformats.org/officeDocument/2006/relationships" name="DAC-32-34 CO Attainment" sheetId="13" state="visible" r:id="rId13"/>
    <sheet xmlns:r="http://schemas.openxmlformats.org/officeDocument/2006/relationships" name="DAC-17 Mentor-Mentee" sheetId="14" state="visible" r:id="rId14"/>
    <sheet xmlns:r="http://schemas.openxmlformats.org/officeDocument/2006/relationships" name="DAC-36-37 Student Feedback" sheetId="15" state="visible" r:id="rId15"/>
    <sheet xmlns:r="http://schemas.openxmlformats.org/officeDocument/2006/relationships" name="DAC-39 Course Improvement Plan" sheetId="16" state="visible" r:id="rId16"/>
    <sheet xmlns:r="http://schemas.openxmlformats.org/officeDocument/2006/relationships" name="DAC-40-41 Guest &amp; Visit Reg" sheetId="17" state="visible" r:id="rId17"/>
    <sheet xmlns:r="http://schemas.openxmlformats.org/officeDocument/2006/relationships" name="DAC-44 KPI Dashboard" sheetId="18" state="visible" r:id="rId18"/>
    <sheet xmlns:r="http://schemas.openxmlformats.org/officeDocument/2006/relationships" name="DAC-45 Semester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E40A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E40A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3F2000"/>
      <sz val="10"/>
    </font>
    <font>
      <name val="Arial"/>
      <b val="1"/>
      <color rgb="000F172A"/>
      <sz val="9"/>
    </font>
  </fonts>
  <fills count="19">
    <fill>
      <patternFill/>
    </fill>
    <fill>
      <patternFill patternType="gray125"/>
    </fill>
    <fill>
      <patternFill patternType="solid">
        <fgColor rgb="000C1B33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40A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B91C1C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4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7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DEPARTMENT ACADEMIC COMMITTEE (DAC)
Data Collection Formats — Master Workbook</t>
        </is>
      </c>
    </row>
    <row r="3" ht="28" customHeight="1">
      <c r="B3" s="2" t="inlineStr">
        <is>
          <t>Institution: _____________________  Department: _____________  A.Y.: _______  Semester: _______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DAC-00</t>
        </is>
      </c>
      <c r="C6" s="6" t="inlineStr">
        <is>
          <t>Committee Composition &amp; Members Register</t>
        </is>
      </c>
      <c r="D6" s="6" t="inlineStr">
        <is>
          <t>Record DAC members, course coordinators &amp; student reps</t>
        </is>
      </c>
      <c r="E6" s="7" t="inlineStr">
        <is>
          <t>Annual</t>
        </is>
      </c>
    </row>
    <row r="7" ht="20" customHeight="1">
      <c r="B7" s="8" t="inlineStr">
        <is>
          <t>DAC-NA</t>
        </is>
      </c>
      <c r="C7" s="9" t="inlineStr">
        <is>
          <t>Meeting Notice, Agenda &amp; Dispatch Record</t>
        </is>
      </c>
      <c r="D7" s="9" t="inlineStr">
        <is>
          <t>Formal notice and agenda for DAC meetings</t>
        </is>
      </c>
      <c r="E7" s="10" t="inlineStr">
        <is>
          <t>Each Meeting</t>
        </is>
      </c>
    </row>
    <row r="8" ht="20" customHeight="1">
      <c r="B8" s="5" t="inlineStr">
        <is>
          <t>DAC-AT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DAC-MM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DAC-ATR</t>
        </is>
      </c>
      <c r="C10" s="6" t="inlineStr">
        <is>
          <t>Action Taken Report</t>
        </is>
      </c>
      <c r="D10" s="6" t="inlineStr">
        <is>
          <t>Track implementation of DAC resolutions</t>
        </is>
      </c>
      <c r="E10" s="7" t="inlineStr">
        <is>
          <t>Each Meeting</t>
        </is>
      </c>
    </row>
    <row r="11" ht="20" customHeight="1">
      <c r="B11" s="4" t="inlineStr">
        <is>
          <t>── ACADEMIC PLANNING ──</t>
        </is>
      </c>
    </row>
    <row r="12" ht="20" customHeight="1">
      <c r="B12" s="5" t="inlineStr">
        <is>
          <t>DAC-01</t>
        </is>
      </c>
      <c r="C12" s="6" t="inlineStr">
        <is>
          <t>Department Academic Calendar — Semester Plan</t>
        </is>
      </c>
      <c r="D12" s="6" t="inlineStr">
        <is>
          <t>Plan all academic activities for the semester</t>
        </is>
      </c>
      <c r="E12" s="7" t="inlineStr">
        <is>
          <t>Each Semester</t>
        </is>
      </c>
    </row>
    <row r="13" ht="20" customHeight="1">
      <c r="B13" s="8" t="inlineStr">
        <is>
          <t>DAC-02</t>
        </is>
      </c>
      <c r="C13" s="9" t="inlineStr">
        <is>
          <t>Course Allocation &amp; Teaching Assignment Register</t>
        </is>
      </c>
      <c r="D13" s="9" t="inlineStr">
        <is>
          <t>Assign courses to faculty for the semester</t>
        </is>
      </c>
      <c r="E13" s="10" t="inlineStr">
        <is>
          <t>Each Semester</t>
        </is>
      </c>
    </row>
    <row r="14" ht="20" customHeight="1">
      <c r="B14" s="5" t="inlineStr">
        <is>
          <t>DAC-03</t>
        </is>
      </c>
      <c r="C14" s="6" t="inlineStr">
        <is>
          <t>Teaching Plan Submission &amp; Review Register</t>
        </is>
      </c>
      <c r="D14" s="6" t="inlineStr">
        <is>
          <t>Collect, review and archive all faculty teaching plans</t>
        </is>
      </c>
      <c r="E14" s="7" t="inlineStr">
        <is>
          <t>Each Semester</t>
        </is>
      </c>
    </row>
    <row r="15" ht="20" customHeight="1">
      <c r="B15" s="8" t="inlineStr">
        <is>
          <t>DAC-04</t>
        </is>
      </c>
      <c r="C15" s="9" t="inlineStr">
        <is>
          <t>Academic Timetable Review Register</t>
        </is>
      </c>
      <c r="D15" s="9" t="inlineStr">
        <is>
          <t>Review and approve department timetable</t>
        </is>
      </c>
      <c r="E15" s="10" t="inlineStr">
        <is>
          <t>Each Semester</t>
        </is>
      </c>
    </row>
    <row r="16" ht="20" customHeight="1">
      <c r="B16" s="5" t="inlineStr">
        <is>
          <t>DAC-05</t>
        </is>
      </c>
      <c r="C16" s="6" t="inlineStr">
        <is>
          <t>Academic Calendar Compliance Register</t>
        </is>
      </c>
      <c r="D16" s="6" t="inlineStr">
        <is>
          <t>Track adherence to academic calendar — weekly</t>
        </is>
      </c>
      <c r="E16" s="7" t="inlineStr">
        <is>
          <t>Weekly / Monthly</t>
        </is>
      </c>
    </row>
    <row r="17" ht="20" customHeight="1">
      <c r="B17" s="4" t="inlineStr">
        <is>
          <t>── CURRICULUM &amp; COURSE DELIVERY ──</t>
        </is>
      </c>
    </row>
    <row r="18" ht="20" customHeight="1">
      <c r="B18" s="5" t="inlineStr">
        <is>
          <t>DAC-06</t>
        </is>
      </c>
      <c r="C18" s="6" t="inlineStr">
        <is>
          <t>Syllabus Coverage &amp; Completion Tracker</t>
        </is>
      </c>
      <c r="D18" s="6" t="inlineStr">
        <is>
          <t>Track % syllabus covered per course per faculty</t>
        </is>
      </c>
      <c r="E18" s="7" t="inlineStr">
        <is>
          <t>Monthly / End of Sem</t>
        </is>
      </c>
    </row>
    <row r="19" ht="20" customHeight="1">
      <c r="B19" s="8" t="inlineStr">
        <is>
          <t>DAC-07</t>
        </is>
      </c>
      <c r="C19" s="9" t="inlineStr">
        <is>
          <t>CO Mapping &amp; Course Delivery Review Register</t>
        </is>
      </c>
      <c r="D19" s="9" t="inlineStr">
        <is>
          <t>Monitor CO-aligned course delivery and assessment</t>
        </is>
      </c>
      <c r="E19" s="10" t="inlineStr">
        <is>
          <t>Each Semester</t>
        </is>
      </c>
    </row>
    <row r="20" ht="20" customHeight="1">
      <c r="B20" s="5" t="inlineStr">
        <is>
          <t>DAC-08</t>
        </is>
      </c>
      <c r="C20" s="6" t="inlineStr">
        <is>
          <t>Lesson Plan Repository — Semester-wise</t>
        </is>
      </c>
      <c r="D20" s="6" t="inlineStr">
        <is>
          <t>Store and review lesson plans per course per semester</t>
        </is>
      </c>
      <c r="E20" s="7" t="inlineStr">
        <is>
          <t>Each Semester</t>
        </is>
      </c>
    </row>
    <row r="21" ht="20" customHeight="1">
      <c r="B21" s="8" t="inlineStr">
        <is>
          <t>DAC-09</t>
        </is>
      </c>
      <c r="C21" s="9" t="inlineStr">
        <is>
          <t>Innovative Teaching Method Register</t>
        </is>
      </c>
      <c r="D21" s="9" t="inlineStr">
        <is>
          <t>Track variety of teaching methods used in dept.</t>
        </is>
      </c>
      <c r="E21" s="10" t="inlineStr">
        <is>
          <t>Each Semester</t>
        </is>
      </c>
    </row>
    <row r="22" ht="20" customHeight="1">
      <c r="B22" s="5" t="inlineStr">
        <is>
          <t>DAC-10</t>
        </is>
      </c>
      <c r="C22" s="6" t="inlineStr">
        <is>
          <t>ICT &amp; Digital Tools Usage Register</t>
        </is>
      </c>
      <c r="D22" s="6" t="inlineStr">
        <is>
          <t>Track LMS, simulation, e-content in teaching</t>
        </is>
      </c>
      <c r="E22" s="7" t="inlineStr">
        <is>
          <t>Each Semester</t>
        </is>
      </c>
    </row>
    <row r="23" ht="20" customHeight="1">
      <c r="B23" s="8" t="inlineStr">
        <is>
          <t>DAC-11</t>
        </is>
      </c>
      <c r="C23" s="9" t="inlineStr">
        <is>
          <t>Make-up / Compensatory Class Register</t>
        </is>
      </c>
      <c r="D23" s="9" t="inlineStr">
        <is>
          <t>Schedule and track compensatory classes for missed sessions</t>
        </is>
      </c>
      <c r="E23" s="10" t="inlineStr">
        <is>
          <t>Per Event</t>
        </is>
      </c>
    </row>
    <row r="24" ht="20" customHeight="1">
      <c r="B24" s="4" t="inlineStr">
        <is>
          <t>── STUDENT MONITORING ──</t>
        </is>
      </c>
    </row>
    <row r="25" ht="20" customHeight="1">
      <c r="B25" s="8" t="inlineStr">
        <is>
          <t>DAC-12</t>
        </is>
      </c>
      <c r="C25" s="9" t="inlineStr">
        <is>
          <t>Student Attendance Register — Course-wise</t>
        </is>
      </c>
      <c r="D25" s="9" t="inlineStr">
        <is>
          <t>Track attendance per course — monthly summary</t>
        </is>
      </c>
      <c r="E25" s="10" t="inlineStr">
        <is>
          <t>Monthly</t>
        </is>
      </c>
    </row>
    <row r="26" ht="20" customHeight="1">
      <c r="B26" s="5" t="inlineStr">
        <is>
          <t>DAC-13</t>
        </is>
      </c>
      <c r="C26" s="6" t="inlineStr">
        <is>
          <t>Student Attendance Defaulter Register</t>
        </is>
      </c>
      <c r="D26" s="6" t="inlineStr">
        <is>
          <t>Identify and follow up with attendance-deficient students</t>
        </is>
      </c>
      <c r="E26" s="7" t="inlineStr">
        <is>
          <t>Monthly</t>
        </is>
      </c>
    </row>
    <row r="27" ht="20" customHeight="1">
      <c r="B27" s="8" t="inlineStr">
        <is>
          <t>DAC-14</t>
        </is>
      </c>
      <c r="C27" s="9" t="inlineStr">
        <is>
          <t>Attendance Condonation Request Register</t>
        </is>
      </c>
      <c r="D27" s="9" t="inlineStr">
        <is>
          <t>Process condonation applications from students</t>
        </is>
      </c>
      <c r="E27" s="10" t="inlineStr">
        <is>
          <t>Per Semester</t>
        </is>
      </c>
    </row>
    <row r="28" ht="20" customHeight="1">
      <c r="B28" s="5" t="inlineStr">
        <is>
          <t>DAC-15</t>
        </is>
      </c>
      <c r="C28" s="6" t="inlineStr">
        <is>
          <t>Slow Learner Identification &amp; Support Register</t>
        </is>
      </c>
      <c r="D28" s="6" t="inlineStr">
        <is>
          <t>Identify and provide remedial support to slow learners</t>
        </is>
      </c>
      <c r="E28" s="7" t="inlineStr">
        <is>
          <t>Each Semester</t>
        </is>
      </c>
    </row>
    <row r="29" ht="20" customHeight="1">
      <c r="B29" s="8" t="inlineStr">
        <is>
          <t>DAC-16</t>
        </is>
      </c>
      <c r="C29" s="9" t="inlineStr">
        <is>
          <t>Advanced / Merit Learner Enrichment Register</t>
        </is>
      </c>
      <c r="D29" s="9" t="inlineStr">
        <is>
          <t>Track enrichment activities for high-performing students</t>
        </is>
      </c>
      <c r="E29" s="10" t="inlineStr">
        <is>
          <t>Each Semester</t>
        </is>
      </c>
    </row>
    <row r="30" ht="20" customHeight="1">
      <c r="B30" s="5" t="inlineStr">
        <is>
          <t>DAC-17</t>
        </is>
      </c>
      <c r="C30" s="6" t="inlineStr">
        <is>
          <t>Mentor-Mentee Session Register</t>
        </is>
      </c>
      <c r="D30" s="6" t="inlineStr">
        <is>
          <t>Document mentoring sessions and student issues addressed</t>
        </is>
      </c>
      <c r="E30" s="7" t="inlineStr">
        <is>
          <t>Each Semester</t>
        </is>
      </c>
    </row>
    <row r="31" ht="20" customHeight="1">
      <c r="B31" s="8" t="inlineStr">
        <is>
          <t>DAC-18</t>
        </is>
      </c>
      <c r="C31" s="9" t="inlineStr">
        <is>
          <t>Student Grievance — Academic Register</t>
        </is>
      </c>
      <c r="D31" s="9" t="inlineStr">
        <is>
          <t>Handle academic grievances from students</t>
        </is>
      </c>
      <c r="E31" s="10" t="inlineStr">
        <is>
          <t>Per Complaint</t>
        </is>
      </c>
    </row>
    <row r="32" ht="20" customHeight="1">
      <c r="B32" s="4" t="inlineStr">
        <is>
          <t>── INTERNAL ASSESSMENT ──</t>
        </is>
      </c>
    </row>
    <row r="33" ht="20" customHeight="1">
      <c r="B33" s="8" t="inlineStr">
        <is>
          <t>DAC-19</t>
        </is>
      </c>
      <c r="C33" s="9" t="inlineStr">
        <is>
          <t>Internal Assessment (CIE) Schedule Register</t>
        </is>
      </c>
      <c r="D33" s="9" t="inlineStr">
        <is>
          <t>Plan and publish internal assessment schedule</t>
        </is>
      </c>
      <c r="E33" s="10" t="inlineStr">
        <is>
          <t>Each Semester</t>
        </is>
      </c>
    </row>
    <row r="34" ht="20" customHeight="1">
      <c r="B34" s="5" t="inlineStr">
        <is>
          <t>DAC-20</t>
        </is>
      </c>
      <c r="C34" s="6" t="inlineStr">
        <is>
          <t>CIE-1 Marks Entry &amp; Verification Register</t>
        </is>
      </c>
      <c r="D34" s="6" t="inlineStr">
        <is>
          <t>Record, verify and display CIE-1 marks</t>
        </is>
      </c>
      <c r="E34" s="7" t="inlineStr">
        <is>
          <t>Post CIE-1</t>
        </is>
      </c>
    </row>
    <row r="35" ht="20" customHeight="1">
      <c r="B35" s="8" t="inlineStr">
        <is>
          <t>DAC-21</t>
        </is>
      </c>
      <c r="C35" s="9" t="inlineStr">
        <is>
          <t>CIE-2 Marks Entry &amp; Verification Register</t>
        </is>
      </c>
      <c r="D35" s="9" t="inlineStr">
        <is>
          <t>Record, verify and display CIE-2 marks</t>
        </is>
      </c>
      <c r="E35" s="10" t="inlineStr">
        <is>
          <t>Post CIE-2</t>
        </is>
      </c>
    </row>
    <row r="36" ht="20" customHeight="1">
      <c r="B36" s="5" t="inlineStr">
        <is>
          <t>DAC-22</t>
        </is>
      </c>
      <c r="C36" s="6" t="inlineStr">
        <is>
          <t>CIE-3 Marks Entry &amp; Verification Register</t>
        </is>
      </c>
      <c r="D36" s="6" t="inlineStr">
        <is>
          <t>Record, verify and display CIE-3 marks</t>
        </is>
      </c>
      <c r="E36" s="7" t="inlineStr">
        <is>
          <t>Post CIE-3</t>
        </is>
      </c>
    </row>
    <row r="37" ht="20" customHeight="1">
      <c r="B37" s="8" t="inlineStr">
        <is>
          <t>DAC-23</t>
        </is>
      </c>
      <c r="C37" s="9" t="inlineStr">
        <is>
          <t>Assignment &amp; Quiz Marks Register</t>
        </is>
      </c>
      <c r="D37" s="9" t="inlineStr">
        <is>
          <t>Track marks for assignments, quizzes and unit tests</t>
        </is>
      </c>
      <c r="E37" s="10" t="inlineStr">
        <is>
          <t>Continuous</t>
        </is>
      </c>
    </row>
    <row r="38" ht="20" customHeight="1">
      <c r="B38" s="5" t="inlineStr">
        <is>
          <t>DAC-24</t>
        </is>
      </c>
      <c r="C38" s="6" t="inlineStr">
        <is>
          <t>Lab / Practical Assessment Register</t>
        </is>
      </c>
      <c r="D38" s="6" t="inlineStr">
        <is>
          <t>Track lab performance and continuous assessment marks</t>
        </is>
      </c>
      <c r="E38" s="7" t="inlineStr">
        <is>
          <t>Each Practical</t>
        </is>
      </c>
    </row>
    <row r="39" ht="20" customHeight="1">
      <c r="B39" s="8" t="inlineStr">
        <is>
          <t>DAC-25</t>
        </is>
      </c>
      <c r="C39" s="9" t="inlineStr">
        <is>
          <t>Model / Pre-university Examination Register</t>
        </is>
      </c>
      <c r="D39" s="9" t="inlineStr">
        <is>
          <t>Conduct and analyse pre-SEE model examination</t>
        </is>
      </c>
      <c r="E39" s="10" t="inlineStr">
        <is>
          <t>Pre-SEE</t>
        </is>
      </c>
    </row>
    <row r="40" ht="20" customHeight="1">
      <c r="B40" s="5" t="inlineStr">
        <is>
          <t>DAC-26</t>
        </is>
      </c>
      <c r="C40" s="6" t="inlineStr">
        <is>
          <t>CIE Marks Consolidation Register</t>
        </is>
      </c>
      <c r="D40" s="6" t="inlineStr">
        <is>
          <t>Consolidate all CIE components and compute final marks</t>
        </is>
      </c>
      <c r="E40" s="7" t="inlineStr">
        <is>
          <t>End of Semester</t>
        </is>
      </c>
    </row>
    <row r="41" ht="20" customHeight="1">
      <c r="B41" s="8" t="inlineStr">
        <is>
          <t>DAC-27</t>
        </is>
      </c>
      <c r="C41" s="9" t="inlineStr">
        <is>
          <t>SEE Result Analysis Register</t>
        </is>
      </c>
      <c r="D41" s="9" t="inlineStr">
        <is>
          <t>Analyse SEE results — pass%, toppers, backlogs</t>
        </is>
      </c>
      <c r="E41" s="10" t="inlineStr">
        <is>
          <t>Post SEE</t>
        </is>
      </c>
    </row>
    <row r="42" ht="20" customHeight="1">
      <c r="B42" s="5" t="inlineStr">
        <is>
          <t>DAC-28</t>
        </is>
      </c>
      <c r="C42" s="6" t="inlineStr">
        <is>
          <t>Academic Integrity / Malpractice Register</t>
        </is>
      </c>
      <c r="D42" s="6" t="inlineStr">
        <is>
          <t>Track academic dishonesty — copying, plagiarism</t>
        </is>
      </c>
      <c r="E42" s="7" t="inlineStr">
        <is>
          <t>Per Incident</t>
        </is>
      </c>
    </row>
    <row r="43" ht="20" customHeight="1">
      <c r="B43" s="4" t="inlineStr">
        <is>
          <t>── FACULTY COORDINATION ──</t>
        </is>
      </c>
    </row>
    <row r="44" ht="20" customHeight="1">
      <c r="B44" s="5" t="inlineStr">
        <is>
          <t>DAC-29</t>
        </is>
      </c>
      <c r="C44" s="6" t="inlineStr">
        <is>
          <t>Faculty Availability &amp; Substitute Class Register</t>
        </is>
      </c>
      <c r="D44" s="6" t="inlineStr">
        <is>
          <t>Track faculty availability and arrange substitutes</t>
        </is>
      </c>
      <c r="E44" s="7" t="inlineStr">
        <is>
          <t>Daily / As Needed</t>
        </is>
      </c>
    </row>
    <row r="45" ht="20" customHeight="1">
      <c r="B45" s="8" t="inlineStr">
        <is>
          <t>DAC-30</t>
        </is>
      </c>
      <c r="C45" s="9" t="inlineStr">
        <is>
          <t>Faculty Workload Review Register</t>
        </is>
      </c>
      <c r="D45" s="9" t="inlineStr">
        <is>
          <t>Monitor equitable workload across faculty in dept.</t>
        </is>
      </c>
      <c r="E45" s="10" t="inlineStr">
        <is>
          <t>Each Semester</t>
        </is>
      </c>
    </row>
    <row r="46" ht="20" customHeight="1">
      <c r="B46" s="5" t="inlineStr">
        <is>
          <t>DAC-31</t>
        </is>
      </c>
      <c r="C46" s="6" t="inlineStr">
        <is>
          <t>Faculty Peer Observation Register</t>
        </is>
      </c>
      <c r="D46" s="6" t="inlineStr">
        <is>
          <t>Document peer teaching observations and feedback</t>
        </is>
      </c>
      <c r="E46" s="7" t="inlineStr">
        <is>
          <t>Annual</t>
        </is>
      </c>
    </row>
    <row r="47" ht="20" customHeight="1">
      <c r="B47" s="4" t="inlineStr">
        <is>
          <t>── CO/PO ATTAINMENT ──</t>
        </is>
      </c>
    </row>
    <row r="48" ht="20" customHeight="1">
      <c r="B48" s="5" t="inlineStr">
        <is>
          <t>DAC-32</t>
        </is>
      </c>
      <c r="C48" s="6" t="inlineStr">
        <is>
          <t>Direct CO Attainment Calculation Register</t>
        </is>
      </c>
      <c r="D48" s="6" t="inlineStr">
        <is>
          <t>Compute CO attainment from CIE + SEE scores</t>
        </is>
      </c>
      <c r="E48" s="7" t="inlineStr">
        <is>
          <t>Each Semester</t>
        </is>
      </c>
    </row>
    <row r="49" ht="20" customHeight="1">
      <c r="B49" s="8" t="inlineStr">
        <is>
          <t>DAC-33</t>
        </is>
      </c>
      <c r="C49" s="9" t="inlineStr">
        <is>
          <t>Indirect CO Attainment — Feedback Register</t>
        </is>
      </c>
      <c r="D49" s="9" t="inlineStr">
        <is>
          <t>Compute CO attainment from student exit survey</t>
        </is>
      </c>
      <c r="E49" s="10" t="inlineStr">
        <is>
          <t>Each Semester</t>
        </is>
      </c>
    </row>
    <row r="50" ht="20" customHeight="1">
      <c r="B50" s="5" t="inlineStr">
        <is>
          <t>DAC-34</t>
        </is>
      </c>
      <c r="C50" s="6" t="inlineStr">
        <is>
          <t>Final CO Attainment Summary Register</t>
        </is>
      </c>
      <c r="D50" s="6" t="inlineStr">
        <is>
          <t>Combine direct + indirect and compare with targets</t>
        </is>
      </c>
      <c r="E50" s="7" t="inlineStr">
        <is>
          <t>Each Semester</t>
        </is>
      </c>
    </row>
    <row r="51" ht="20" customHeight="1">
      <c r="B51" s="8" t="inlineStr">
        <is>
          <t>DAC-35</t>
        </is>
      </c>
      <c r="C51" s="9" t="inlineStr">
        <is>
          <t>PO Attainment Register</t>
        </is>
      </c>
      <c r="D51" s="9" t="inlineStr">
        <is>
          <t>Calculate PO attainment from CO-PO mapping</t>
        </is>
      </c>
      <c r="E51" s="10" t="inlineStr">
        <is>
          <t>Annual</t>
        </is>
      </c>
    </row>
    <row r="52" ht="20" customHeight="1">
      <c r="B52" s="4" t="inlineStr">
        <is>
          <t>── FEEDBACK &amp; IMPROVEMENT ──</t>
        </is>
      </c>
    </row>
    <row r="53" ht="20" customHeight="1">
      <c r="B53" s="8" t="inlineStr">
        <is>
          <t>DAC-36</t>
        </is>
      </c>
      <c r="C53" s="9" t="inlineStr">
        <is>
          <t>Student Feedback on Teaching — Mid-Semester</t>
        </is>
      </c>
      <c r="D53" s="9" t="inlineStr">
        <is>
          <t>Mid-semester feedback to enable in-course correction</t>
        </is>
      </c>
      <c r="E53" s="10" t="inlineStr">
        <is>
          <t>Mid-Semester</t>
        </is>
      </c>
    </row>
    <row r="54" ht="20" customHeight="1">
      <c r="B54" s="5" t="inlineStr">
        <is>
          <t>DAC-37</t>
        </is>
      </c>
      <c r="C54" s="6" t="inlineStr">
        <is>
          <t>Student Feedback on Teaching — End of Semester</t>
        </is>
      </c>
      <c r="D54" s="6" t="inlineStr">
        <is>
          <t>End-of-semester course-wise feedback analysis</t>
        </is>
      </c>
      <c r="E54" s="7" t="inlineStr">
        <is>
          <t>End of Semester</t>
        </is>
      </c>
    </row>
    <row r="55" ht="20" customHeight="1">
      <c r="B55" s="8" t="inlineStr">
        <is>
          <t>DAC-38</t>
        </is>
      </c>
      <c r="C55" s="9" t="inlineStr">
        <is>
          <t>Faculty Self-Assessment &amp; Reflection Register</t>
        </is>
      </c>
      <c r="D55" s="9" t="inlineStr">
        <is>
          <t>Faculty self-review of teaching effectiveness</t>
        </is>
      </c>
      <c r="E55" s="10" t="inlineStr">
        <is>
          <t>Each Semester</t>
        </is>
      </c>
    </row>
    <row r="56" ht="20" customHeight="1">
      <c r="B56" s="5" t="inlineStr">
        <is>
          <t>DAC-39</t>
        </is>
      </c>
      <c r="C56" s="6" t="inlineStr">
        <is>
          <t>Course Improvement Action Plan Register</t>
        </is>
      </c>
      <c r="D56" s="6" t="inlineStr">
        <is>
          <t>Document improvement plans based on feedback &amp; attainment</t>
        </is>
      </c>
      <c r="E56" s="7" t="inlineStr">
        <is>
          <t>Each Semester</t>
        </is>
      </c>
    </row>
    <row r="57" ht="20" customHeight="1">
      <c r="B57" s="4" t="inlineStr">
        <is>
          <t>── SPECIAL PROGRAMMES ──</t>
        </is>
      </c>
    </row>
    <row r="58" ht="20" customHeight="1">
      <c r="B58" s="5" t="inlineStr">
        <is>
          <t>DAC-40</t>
        </is>
      </c>
      <c r="C58" s="6" t="inlineStr">
        <is>
          <t>Guest Lecture &amp; Expert Talk Register</t>
        </is>
      </c>
      <c r="D58" s="6" t="inlineStr">
        <is>
          <t>Log all guest lectures organised by the department</t>
        </is>
      </c>
      <c r="E58" s="7" t="inlineStr">
        <is>
          <t>Per Event</t>
        </is>
      </c>
    </row>
    <row r="59" ht="20" customHeight="1">
      <c r="B59" s="8" t="inlineStr">
        <is>
          <t>DAC-41</t>
        </is>
      </c>
      <c r="C59" s="9" t="inlineStr">
        <is>
          <t>Industrial Visit &amp; Field Study Register</t>
        </is>
      </c>
      <c r="D59" s="9" t="inlineStr">
        <is>
          <t>Document industrial visits organised by dept.</t>
        </is>
      </c>
      <c r="E59" s="10" t="inlineStr">
        <is>
          <t>Per Visit</t>
        </is>
      </c>
    </row>
    <row r="60" ht="20" customHeight="1">
      <c r="B60" s="5" t="inlineStr">
        <is>
          <t>DAC-42</t>
        </is>
      </c>
      <c r="C60" s="6" t="inlineStr">
        <is>
          <t>Seminar &amp; Workshop Register</t>
        </is>
      </c>
      <c r="D60" s="6" t="inlineStr">
        <is>
          <t>Log seminars and workshops for students</t>
        </is>
      </c>
      <c r="E60" s="7" t="inlineStr">
        <is>
          <t>Per Event</t>
        </is>
      </c>
    </row>
    <row r="61" ht="20" customHeight="1">
      <c r="B61" s="8" t="inlineStr">
        <is>
          <t>DAC-43</t>
        </is>
      </c>
      <c r="C61" s="9" t="inlineStr">
        <is>
          <t>Student Project Progress Register</t>
        </is>
      </c>
      <c r="D61" s="9" t="inlineStr">
        <is>
          <t>Track mini, major and final year project progress</t>
        </is>
      </c>
      <c r="E61" s="10" t="inlineStr">
        <is>
          <t>Monthly</t>
        </is>
      </c>
    </row>
    <row r="62" ht="20" customHeight="1">
      <c r="B62" s="4" t="inlineStr">
        <is>
          <t>── MONITORING &amp; REPORTING ──</t>
        </is>
      </c>
    </row>
    <row r="63" ht="20" customHeight="1">
      <c r="B63" s="8" t="inlineStr">
        <is>
          <t>DAC-44</t>
        </is>
      </c>
      <c r="C63" s="9" t="inlineStr">
        <is>
          <t>DAC KPI Dashboard</t>
        </is>
      </c>
      <c r="D63" s="9" t="inlineStr">
        <is>
          <t>Track all academic KPIs — delivery, assessment, outcomes</t>
        </is>
      </c>
      <c r="E63" s="10" t="inlineStr">
        <is>
          <t>Monthly / Semester</t>
        </is>
      </c>
    </row>
    <row r="64" ht="20" customHeight="1">
      <c r="B64" s="5" t="inlineStr">
        <is>
          <t>DAC-45</t>
        </is>
      </c>
      <c r="C64" s="6" t="inlineStr">
        <is>
          <t>DAC Semester Academic Report</t>
        </is>
      </c>
      <c r="D64" s="6" t="inlineStr">
        <is>
          <t>End-of-semester report for DDC, CAC and IQAC</t>
        </is>
      </c>
      <c r="E64" s="7" t="inlineStr">
        <is>
          <t>Each Semester</t>
        </is>
      </c>
    </row>
    <row r="132">
      <c r="B132" s="11" t="inlineStr">
        <is>
          <t>• DAC = Department Academic Committee — the semester-level body managing course delivery, assessment and student monitoring.</t>
        </is>
      </c>
    </row>
    <row r="133">
      <c r="B133" s="11" t="inlineStr">
        <is>
          <t>• DAC is below DDC in hierarchy: DAC → DDC → CAC → Academic Council. DAC meets fortnightly or monthly.</t>
        </is>
      </c>
    </row>
    <row r="134">
      <c r="B134" s="11" t="inlineStr">
        <is>
          <t>• Teaching plans must be submitted by faculty within first week of semester — HoD and DAC coordinator review.</t>
        </is>
      </c>
    </row>
    <row r="135">
      <c r="B135" s="11" t="inlineStr">
        <is>
          <t>• CO attainment below target triggers mandatory course improvement action plan — document and submit to DDC.</t>
        </is>
      </c>
    </row>
    <row r="136">
      <c r="B136" s="11" t="inlineStr">
        <is>
          <t>• Student feedback mid-semester allows faculty to course-correct before end of semester — not just end-feedback.</t>
        </is>
      </c>
    </row>
    <row r="137">
      <c r="B137" s="11" t="inlineStr">
        <is>
          <t>• DAC data feeds into: DDC reports, NAAC AQAR Criterion II, NBA SAR Criterion 4 (Teaching-Learning).</t>
        </is>
      </c>
    </row>
    <row r="138">
      <c r="B138" s="11" t="inlineStr">
        <is>
          <t>• Attendance defaulter list must be circulated monthly — parents to be informed via SMS/portal for students &lt; 65%.</t>
        </is>
      </c>
    </row>
    <row r="139">
      <c r="B139" s="11" t="inlineStr">
        <is>
          <t>• Three CIE tests mandatory — marks to be displayed within 7 days of test. Students must sign marks sheet.</t>
        </is>
      </c>
    </row>
    <row r="140">
      <c r="B140" s="11" t="inlineStr">
        <is>
          <t>• Slow learners: identify by Week 3 of semester. Provide extra sessions, notes, and mentor support.</t>
        </is>
      </c>
    </row>
    <row r="141">
      <c r="B141" s="11" t="inlineStr">
        <is>
          <t>• Advanced learners: provide MOOCs, research papers, competition opportunities, industry projects.</t>
        </is>
      </c>
    </row>
  </sheetData>
  <mergeCells count="22">
    <mergeCell ref="B139:E139"/>
    <mergeCell ref="B24:E24"/>
    <mergeCell ref="B5:E5"/>
    <mergeCell ref="B133:E133"/>
    <mergeCell ref="B32:E32"/>
    <mergeCell ref="B135:E135"/>
    <mergeCell ref="B62:E62"/>
    <mergeCell ref="B138:E138"/>
    <mergeCell ref="B3:E3"/>
    <mergeCell ref="B47:E47"/>
    <mergeCell ref="B134:E134"/>
    <mergeCell ref="B141:E141"/>
    <mergeCell ref="B140:E140"/>
    <mergeCell ref="B43:E43"/>
    <mergeCell ref="B52:E52"/>
    <mergeCell ref="B11:E11"/>
    <mergeCell ref="B2:E2"/>
    <mergeCell ref="B136:E136"/>
    <mergeCell ref="B17:E17"/>
    <mergeCell ref="B57:E57"/>
    <mergeCell ref="B132:E132"/>
    <mergeCell ref="B137:E1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DAC-00: DEPARTMENT ACADEMIC COMMITTEE — COMPOSITION REGISTER</t>
        </is>
      </c>
    </row>
    <row r="3" ht="25" customHeight="1">
      <c r="B3" s="2" t="inlineStr">
        <is>
          <t>Department: _______  Semester: _______  A.Y.: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DAC</t>
        </is>
      </c>
      <c r="F4" s="13" t="inlineStr">
        <is>
          <t>Courses
Handling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Head of Department</t>
        </is>
      </c>
      <c r="E5" s="14" t="inlineStr">
        <is>
          <t>Chairperson</t>
        </is>
      </c>
      <c r="F5" s="16" t="inlineStr">
        <is>
          <t>DAC Leadership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Senior Faculty (Dept.)</t>
        </is>
      </c>
      <c r="E6" s="8" t="inlineStr">
        <is>
          <t>DAC Coordinator</t>
        </is>
      </c>
      <c r="F6" s="10" t="inlineStr">
        <is>
          <t>Academic Coordination &amp; Records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Faculty — Theory Courses</t>
        </is>
      </c>
      <c r="E7" s="14" t="inlineStr">
        <is>
          <t>Course Coordinator – 1</t>
        </is>
      </c>
      <c r="F7" s="16" t="inlineStr">
        <is>
          <t>Theory Course Oversight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— Theory Courses</t>
        </is>
      </c>
      <c r="E8" s="8" t="inlineStr">
        <is>
          <t>Course Coordinator – 2</t>
        </is>
      </c>
      <c r="F8" s="10" t="inlineStr">
        <is>
          <t>Theory Course Oversight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Faculty — Laboratory Courses</t>
        </is>
      </c>
      <c r="E9" s="14" t="inlineStr">
        <is>
          <t>Lab Coordinator</t>
        </is>
      </c>
      <c r="F9" s="16" t="inlineStr">
        <is>
          <t>Lab Assessment &amp; Safety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In-charge — Internal Assessment</t>
        </is>
      </c>
      <c r="E10" s="8" t="inlineStr">
        <is>
          <t>CIE Coordinator</t>
        </is>
      </c>
      <c r="F10" s="10" t="inlineStr">
        <is>
          <t>CIE Schedule &amp; Moderation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Faculty — OBE &amp; Accreditation</t>
        </is>
      </c>
      <c r="E11" s="14" t="inlineStr">
        <is>
          <t>CO/PO Coordinator</t>
        </is>
      </c>
      <c r="F11" s="16" t="inlineStr">
        <is>
          <t>CO/PO Attainment Computation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Faculty — Student Support</t>
        </is>
      </c>
      <c r="E12" s="8" t="inlineStr">
        <is>
          <t>Slow Learner Coordinator</t>
        </is>
      </c>
      <c r="F12" s="10" t="inlineStr">
        <is>
          <t>Slow / Advanced Learner Support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Faculty In-charge — Placement</t>
        </is>
      </c>
      <c r="E13" s="14" t="inlineStr">
        <is>
          <t>T&amp;P Coordinator (Dept.)</t>
        </is>
      </c>
      <c r="F13" s="16" t="inlineStr">
        <is>
          <t>Student Placement &amp; Career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Assistant Professor (Elected)</t>
        </is>
      </c>
      <c r="E14" s="8" t="inlineStr">
        <is>
          <t>Faculty Rep – 1</t>
        </is>
      </c>
      <c r="F14" s="10" t="inlineStr">
        <is>
          <t>General Faculty Voice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Assistant Professor (Elected)</t>
        </is>
      </c>
      <c r="E15" s="14" t="inlineStr">
        <is>
          <t>Faculty Rep – 2</t>
        </is>
      </c>
      <c r="F15" s="16" t="inlineStr">
        <is>
          <t>Junior Faculty Perspective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Final Year — Class Representative</t>
        </is>
      </c>
      <c r="E16" s="8" t="inlineStr">
        <is>
          <t>Student Rep – 1</t>
        </is>
      </c>
      <c r="F16" s="10" t="inlineStr">
        <is>
          <t>Senior Student Academic Voice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Third Year — Class Representative</t>
        </is>
      </c>
      <c r="E17" s="14" t="inlineStr">
        <is>
          <t>Student Rep – 2</t>
        </is>
      </c>
      <c r="F17" s="16" t="inlineStr">
        <is>
          <t>Third Year Academic Voice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Second Year — Class Representative</t>
        </is>
      </c>
      <c r="E18" s="8" t="inlineStr">
        <is>
          <t>Student Rep – 3</t>
        </is>
      </c>
      <c r="F18" s="10" t="inlineStr">
        <is>
          <t>Second Year Academic Voice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Faculty — IQAC Link</t>
        </is>
      </c>
      <c r="E19" s="14" t="inlineStr">
        <is>
          <t>IQAC Dept. Coordinator</t>
        </is>
      </c>
      <c r="F19" s="16" t="inlineStr">
        <is>
          <t>Quality &amp; Compliance</t>
        </is>
      </c>
      <c r="G19" s="15" t="inlineStr"/>
      <c r="H19" s="16" t="inlineStr"/>
      <c r="I19" s="16" t="inlineStr"/>
    </row>
    <row r="20" ht="22" customHeight="1"/>
    <row r="21" ht="20" customHeight="1">
      <c r="B21" s="17" t="inlineStr">
        <is>
          <t>DAC meets fortnightly during semester. All course-handling faculty are invited as special invitees. Student reps rotate each semester. DAC reports to DDC — resolutions forwarded to HoD/DDC Coordinator.</t>
        </is>
      </c>
    </row>
    <row r="22" ht="22" customHeight="1"/>
    <row r="23" ht="22" customHeight="1"/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DEPARTMENT ACADEMIC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Dept. / Semester:</t>
        </is>
      </c>
      <c r="C4" s="9" t="n"/>
    </row>
    <row r="5" ht="22" customHeight="1">
      <c r="B5" s="18" t="inlineStr">
        <is>
          <t>Academic Year:</t>
        </is>
      </c>
      <c r="C5" s="9" t="n"/>
    </row>
    <row r="6" ht="22" customHeight="1">
      <c r="B6" s="18" t="inlineStr">
        <is>
          <t>Date:</t>
        </is>
      </c>
      <c r="C6" s="9" t="n"/>
    </row>
    <row r="7" ht="22" customHeight="1">
      <c r="B7" s="18" t="inlineStr">
        <is>
          <t>Time:</t>
        </is>
      </c>
      <c r="C7" s="9" t="n"/>
    </row>
    <row r="8" ht="22" customHeight="1">
      <c r="B8" s="18" t="inlineStr">
        <is>
          <t>Venue:</t>
        </is>
      </c>
      <c r="C8" s="9" t="n"/>
    </row>
    <row r="9" ht="22" customHeight="1">
      <c r="B9" s="18" t="inlineStr">
        <is>
          <t>Mode:</t>
        </is>
      </c>
      <c r="C9" s="9" t="n"/>
    </row>
    <row r="10" ht="22" customHeight="1">
      <c r="B10" s="18" t="inlineStr">
        <is>
          <t>Notice by:</t>
        </is>
      </c>
      <c r="C10" s="9" t="n"/>
    </row>
    <row r="11" ht="22" customHeight="1">
      <c r="B11" s="18" t="inlineStr">
        <is>
          <t>Notice Date:</t>
        </is>
      </c>
      <c r="C11" s="9" t="n"/>
    </row>
    <row r="12" ht="24" customHeight="1">
      <c r="B12" s="19" t="inlineStr">
        <is>
          <t>AGENDA ITEMS</t>
        </is>
      </c>
    </row>
    <row r="13" ht="24" customHeight="1">
      <c r="B13" s="13" t="inlineStr">
        <is>
          <t>Item
No.</t>
        </is>
      </c>
      <c r="C13" s="13" t="inlineStr">
        <is>
          <t>Agenda Item</t>
        </is>
      </c>
      <c r="D13" s="13" t="inlineStr">
        <is>
          <t>Lead</t>
        </is>
      </c>
      <c r="E13" s="13" t="inlineStr">
        <is>
          <t>Duration (Min)</t>
        </is>
      </c>
    </row>
    <row r="14" ht="24" customHeight="1">
      <c r="B14" s="14" t="n">
        <v>1</v>
      </c>
      <c r="C14" s="15" t="inlineStr">
        <is>
          <t>Confirmation of minutes of previous DAC meeting</t>
        </is>
      </c>
      <c r="D14" s="16" t="inlineStr"/>
      <c r="E14" s="16" t="inlineStr"/>
    </row>
    <row r="15" ht="24" customHeight="1">
      <c r="B15" s="8" t="n">
        <v>2</v>
      </c>
      <c r="C15" s="9" t="inlineStr">
        <is>
          <t>Action Taken Report on previous DAC resolutions</t>
        </is>
      </c>
      <c r="D15" s="10" t="inlineStr"/>
      <c r="E15" s="10" t="inlineStr"/>
    </row>
    <row r="16" ht="24" customHeight="1">
      <c r="B16" s="14" t="n">
        <v>3</v>
      </c>
      <c r="C16" s="15" t="inlineStr">
        <is>
          <t>Teaching plan submissions — status and quality review</t>
        </is>
      </c>
      <c r="D16" s="16" t="inlineStr"/>
      <c r="E16" s="16" t="inlineStr"/>
    </row>
    <row r="17" ht="24" customHeight="1">
      <c r="B17" s="8" t="n">
        <v>4</v>
      </c>
      <c r="C17" s="9" t="inlineStr">
        <is>
          <t>Syllabus coverage — course-wise progress update</t>
        </is>
      </c>
      <c r="D17" s="10" t="inlineStr"/>
      <c r="E17" s="10" t="inlineStr"/>
    </row>
    <row r="18" ht="24" customHeight="1">
      <c r="B18" s="14" t="n">
        <v>5</v>
      </c>
      <c r="C18" s="15" t="inlineStr">
        <is>
          <t>Academic calendar compliance — pending events</t>
        </is>
      </c>
      <c r="D18" s="16" t="inlineStr"/>
      <c r="E18" s="16" t="inlineStr"/>
    </row>
    <row r="19" ht="24" customHeight="1">
      <c r="B19" s="8" t="n">
        <v>6</v>
      </c>
      <c r="C19" s="9" t="inlineStr">
        <is>
          <t>Attendance review — department-wise defaulter analysis</t>
        </is>
      </c>
      <c r="D19" s="10" t="inlineStr"/>
      <c r="E19" s="10" t="inlineStr"/>
    </row>
    <row r="20" ht="24" customHeight="1">
      <c r="B20" s="14" t="n">
        <v>7</v>
      </c>
      <c r="C20" s="15" t="inlineStr">
        <is>
          <t>Attendance condonation — pending applications</t>
        </is>
      </c>
      <c r="D20" s="16" t="inlineStr"/>
      <c r="E20" s="16" t="inlineStr"/>
    </row>
    <row r="21" ht="24" customHeight="1">
      <c r="B21" s="8" t="n">
        <v>8</v>
      </c>
      <c r="C21" s="9" t="inlineStr">
        <is>
          <t>CIE marks — display, verification and complaints</t>
        </is>
      </c>
      <c r="D21" s="10" t="inlineStr"/>
      <c r="E21" s="10" t="inlineStr"/>
    </row>
    <row r="22" ht="24" customHeight="1">
      <c r="B22" s="14" t="n">
        <v>9</v>
      </c>
      <c r="C22" s="15" t="inlineStr">
        <is>
          <t>Student result analysis — course-wise pass %</t>
        </is>
      </c>
      <c r="D22" s="16" t="inlineStr"/>
      <c r="E22" s="16" t="inlineStr"/>
    </row>
    <row r="23" ht="24" customHeight="1">
      <c r="B23" s="8" t="n">
        <v>10</v>
      </c>
      <c r="C23" s="9" t="inlineStr">
        <is>
          <t>Slow learner support — identification and progress</t>
        </is>
      </c>
      <c r="D23" s="10" t="inlineStr"/>
      <c r="E23" s="10" t="inlineStr"/>
    </row>
    <row r="24" ht="24" customHeight="1">
      <c r="B24" s="14" t="n">
        <v>11</v>
      </c>
      <c r="C24" s="15" t="inlineStr">
        <is>
          <t>Advanced learner enrichment — activities update</t>
        </is>
      </c>
      <c r="D24" s="16" t="inlineStr"/>
      <c r="E24" s="16" t="inlineStr"/>
    </row>
    <row r="25" ht="24" customHeight="1">
      <c r="B25" s="8" t="n">
        <v>12</v>
      </c>
      <c r="C25" s="9" t="inlineStr">
        <is>
          <t>Mentor-mentee sessions — completion status</t>
        </is>
      </c>
      <c r="D25" s="10" t="inlineStr"/>
      <c r="E25" s="10" t="inlineStr"/>
    </row>
    <row r="26" ht="24" customHeight="1">
      <c r="B26" s="14" t="n">
        <v>13</v>
      </c>
      <c r="C26" s="15" t="inlineStr">
        <is>
          <t>Make-up / compensatory classes — pending and done</t>
        </is>
      </c>
      <c r="D26" s="16" t="inlineStr"/>
      <c r="E26" s="16" t="inlineStr"/>
    </row>
    <row r="27" ht="24" customHeight="1">
      <c r="B27" s="8" t="n">
        <v>14</v>
      </c>
      <c r="C27" s="9" t="inlineStr">
        <is>
          <t>Student academic grievances — pending cases</t>
        </is>
      </c>
      <c r="D27" s="10" t="inlineStr"/>
      <c r="E27" s="10" t="inlineStr"/>
    </row>
    <row r="28" ht="24" customHeight="1">
      <c r="B28" s="14" t="n">
        <v>15</v>
      </c>
      <c r="C28" s="15" t="inlineStr">
        <is>
          <t>CO attainment — course-wise preliminary review</t>
        </is>
      </c>
      <c r="D28" s="16" t="inlineStr"/>
      <c r="E28" s="16" t="inlineStr"/>
    </row>
    <row r="29" ht="24" customHeight="1">
      <c r="B29" s="8" t="n">
        <v>16</v>
      </c>
      <c r="C29" s="9" t="inlineStr">
        <is>
          <t>Guest lectures and industrial visits — upcoming</t>
        </is>
      </c>
      <c r="D29" s="10" t="inlineStr"/>
      <c r="E29" s="10" t="inlineStr"/>
    </row>
    <row r="30" ht="24" customHeight="1">
      <c r="B30" s="14" t="n">
        <v>17</v>
      </c>
      <c r="C30" s="15" t="inlineStr">
        <is>
          <t>Student projects — progress review</t>
        </is>
      </c>
      <c r="D30" s="16" t="inlineStr"/>
      <c r="E30" s="16" t="inlineStr"/>
    </row>
    <row r="31" ht="24" customHeight="1">
      <c r="B31" s="8" t="n">
        <v>18</v>
      </c>
      <c r="C31" s="9" t="inlineStr">
        <is>
          <t>Faculty substitute arrangements — pending</t>
        </is>
      </c>
      <c r="D31" s="10" t="inlineStr"/>
      <c r="E31" s="10" t="inlineStr"/>
    </row>
    <row r="32" ht="24" customHeight="1">
      <c r="B32" s="14" t="n">
        <v>19</v>
      </c>
      <c r="C32" s="15" t="inlineStr">
        <is>
          <t>Student feedback — mid-semester analysis</t>
        </is>
      </c>
      <c r="D32" s="16" t="inlineStr"/>
      <c r="E32" s="16" t="inlineStr"/>
    </row>
    <row r="33" ht="24" customHeight="1">
      <c r="B33" s="8" t="n">
        <v>20</v>
      </c>
      <c r="C33" s="9" t="inlineStr">
        <is>
          <t>Any Other Matter with Permission of Chairperson (AOMPC)</t>
        </is>
      </c>
      <c r="D33" s="10" t="inlineStr"/>
      <c r="E33" s="10" t="inlineStr"/>
    </row>
    <row r="34" ht="24" customHeight="1"/>
    <row r="35" ht="24" customHeight="1">
      <c r="B35" s="20" t="inlineStr">
        <is>
          <t>DISPATCH RECORD</t>
        </is>
      </c>
    </row>
    <row r="36">
      <c r="B36" s="21" t="inlineStr">
        <is>
          <t>Sl.</t>
        </is>
      </c>
      <c r="C36" s="21" t="inlineStr">
        <is>
          <t>Member Name &amp; Role</t>
        </is>
      </c>
      <c r="D36" s="21" t="inlineStr">
        <is>
          <t>Mode</t>
        </is>
      </c>
      <c r="E36" s="21" t="inlineStr">
        <is>
          <t>Date &amp; Acknowledgement</t>
        </is>
      </c>
    </row>
    <row r="37" ht="22" customHeight="1">
      <c r="B37" s="22" t="n"/>
      <c r="C37" s="22" t="n"/>
      <c r="D37" s="22" t="n"/>
      <c r="E37" s="22" t="n"/>
    </row>
    <row r="38" ht="22" customHeight="1">
      <c r="B38" s="10" t="n"/>
      <c r="C38" s="10" t="n"/>
      <c r="D38" s="10" t="n"/>
      <c r="E38" s="10" t="n"/>
    </row>
    <row r="39" ht="22" customHeight="1">
      <c r="B39" s="22" t="n"/>
      <c r="C39" s="22" t="n"/>
      <c r="D39" s="22" t="n"/>
      <c r="E39" s="22" t="n"/>
    </row>
    <row r="40" ht="22" customHeight="1">
      <c r="B40" s="10" t="n"/>
      <c r="C40" s="10" t="n"/>
      <c r="D40" s="10" t="n"/>
      <c r="E40" s="10" t="n"/>
    </row>
  </sheetData>
  <mergeCells count="12">
    <mergeCell ref="C11:E11"/>
    <mergeCell ref="B35:E35"/>
    <mergeCell ref="C5:E5"/>
    <mergeCell ref="B12:E12"/>
    <mergeCell ref="C8:E8"/>
    <mergeCell ref="C9:E9"/>
    <mergeCell ref="C4:E4"/>
    <mergeCell ref="C3:E3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DAC: ATTENDANCE &amp; QUORUM REGISTER</t>
        </is>
      </c>
    </row>
    <row r="3" ht="25" customHeight="1">
      <c r="B3" s="2" t="inlineStr">
        <is>
          <t>Dept.: _______  Sem.: _______  Meeting No.: _______  Date: _______  Total Strength: _______  Quorum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/>
    <row r="23" ht="24" customHeight="1">
      <c r="B23" s="20" t="inlineStr">
        <is>
          <t>QUORUM VERIFICATION</t>
        </is>
      </c>
    </row>
    <row r="24" ht="22" customHeight="1">
      <c r="B24" s="23" t="inlineStr">
        <is>
          <t>Total DAC Members</t>
        </is>
      </c>
      <c r="G24" s="24" t="inlineStr"/>
    </row>
    <row r="25" ht="22" customHeight="1">
      <c r="B25" s="25" t="inlineStr">
        <is>
          <t>Present (Physical)</t>
        </is>
      </c>
      <c r="G25" s="24">
        <f>COUNTIF(F5:F21,"P")</f>
        <v/>
      </c>
    </row>
    <row r="26">
      <c r="B26" s="23" t="inlineStr">
        <is>
          <t>Present (VC)</t>
        </is>
      </c>
      <c r="G26" s="24" t="inlineStr"/>
    </row>
    <row r="27">
      <c r="B27" s="25" t="inlineStr">
        <is>
          <t>Total Effective</t>
        </is>
      </c>
      <c r="G27" s="24">
        <f>IFERROR(C25+C26,"")</f>
        <v/>
      </c>
    </row>
    <row r="28">
      <c r="B28" s="23" t="inlineStr">
        <is>
          <t>Quorum (50%)</t>
        </is>
      </c>
      <c r="G28" s="24" t="inlineStr"/>
    </row>
    <row r="29">
      <c r="B29" s="25" t="inlineStr">
        <is>
          <t>Quorum Achieved?</t>
        </is>
      </c>
      <c r="G29" s="26">
        <f>IFERROR(IF(C27&gt;=C28,"YES — Valid","NO — Adjourned"),"")</f>
        <v/>
      </c>
    </row>
  </sheetData>
  <mergeCells count="15">
    <mergeCell ref="G24:I24"/>
    <mergeCell ref="B29:F29"/>
    <mergeCell ref="G28:I28"/>
    <mergeCell ref="B24:F24"/>
    <mergeCell ref="G27:I27"/>
    <mergeCell ref="B2:I2"/>
    <mergeCell ref="B25:F25"/>
    <mergeCell ref="B28:F28"/>
    <mergeCell ref="B3:I3"/>
    <mergeCell ref="G26:I26"/>
    <mergeCell ref="B23:I23"/>
    <mergeCell ref="G29:I29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DAC: MEETING MINUTES &amp; RESOLUTIONS</t>
        </is>
      </c>
    </row>
    <row r="3" ht="25" customHeight="1">
      <c r="B3" s="2" t="inlineStr">
        <is>
          <t>Dept.: _______  Sem.: _______  Meeting No.: _______  Date: _______  HoD: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DAC/RES/001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DAC/RES/002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DAC/RES/003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DAC/RES/004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DAC/RES/005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DAC/RES/006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DAC/RES/007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DAC/RES/008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DAC/RES/009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DAC/RES/010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DAC/RES/011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DAC/RES/012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/>
    <row r="19" ht="30" customHeight="1">
      <c r="B19" s="29" t="inlineStr">
        <is>
          <t>Next Meeting: _______    HoD: ___________________    DAC Coordinator: ___________________</t>
        </is>
      </c>
    </row>
  </sheetData>
  <mergeCells count="4">
    <mergeCell ref="B3:G3"/>
    <mergeCell ref="B2:G2"/>
    <mergeCell ref="B4:G4"/>
    <mergeCell ref="B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DAC: ACTION TAKEN REPORT (ATR)</t>
        </is>
      </c>
    </row>
    <row r="3" ht="25" customHeight="1">
      <c r="B3" s="2" t="inlineStr">
        <is>
          <t>Dept.: _______  Sem.: _______  Meeting No.: _______  Prev.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DAC/RES/001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DAC/RES/002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DAC/RES/003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DAC/RES/004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DAC/RES/005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DAC/RES/006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DAC/RES/007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DAC/RES/008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DAC/RES/009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DAC/RES/010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DAC/RES/011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DAC/RES/012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/>
    <row r="18" ht="24" customHeight="1">
      <c r="B18" s="34" t="inlineStr">
        <is>
          <t>ATR SUMMARY</t>
        </is>
      </c>
    </row>
    <row r="19" ht="26" customHeight="1">
      <c r="B19" s="35" t="inlineStr">
        <is>
          <t>Total Resolutions</t>
        </is>
      </c>
      <c r="F19" s="36">
        <f>COUNTA(B5:B16)</f>
        <v/>
      </c>
    </row>
    <row r="20" ht="26" customHeight="1">
      <c r="B20" s="25" t="inlineStr">
        <is>
          <t>Implemented</t>
        </is>
      </c>
      <c r="F20" s="37">
        <f>COUNTIF(H5:H16,"Implemented")</f>
        <v/>
      </c>
    </row>
    <row r="21" ht="26" customHeight="1">
      <c r="B21" s="35" t="inlineStr">
        <is>
          <t>In Progress</t>
        </is>
      </c>
      <c r="F21" s="36">
        <f>COUNTIF(H5:H16,"In Progress")</f>
        <v/>
      </c>
    </row>
    <row r="22">
      <c r="B22" s="25" t="inlineStr">
        <is>
          <t>Pending</t>
        </is>
      </c>
      <c r="F22" s="37">
        <f>COUNTIF(H5:H16,"Pending")</f>
        <v/>
      </c>
    </row>
    <row r="23">
      <c r="B23" s="35" t="inlineStr">
        <is>
          <t>Deferred</t>
        </is>
      </c>
      <c r="F23" s="36">
        <f>COUNTIF(H5:H16,"Deferred")</f>
        <v/>
      </c>
    </row>
    <row r="24">
      <c r="B24" s="25" t="inlineStr">
        <is>
          <t>Implementation Rate (%)</t>
        </is>
      </c>
      <c r="F24" s="37">
        <f>IFERROR(ROUND(C20/C19*100,1),"")</f>
        <v/>
      </c>
    </row>
  </sheetData>
  <mergeCells count="15">
    <mergeCell ref="F20:H20"/>
    <mergeCell ref="F23:H23"/>
    <mergeCell ref="B23:E23"/>
    <mergeCell ref="F19:H19"/>
    <mergeCell ref="B18:H18"/>
    <mergeCell ref="F22:H22"/>
    <mergeCell ref="B21:E21"/>
    <mergeCell ref="B2:H2"/>
    <mergeCell ref="B24:E24"/>
    <mergeCell ref="B19:E19"/>
    <mergeCell ref="B20:E20"/>
    <mergeCell ref="B3:H3"/>
    <mergeCell ref="F21:H21"/>
    <mergeCell ref="B22:E22"/>
    <mergeCell ref="F24:H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DAC-02: COURSE ALLOCATION &amp; TEACHING ASSIGNMENT REGISTER</t>
        </is>
      </c>
    </row>
    <row r="3" ht="20" customHeight="1">
      <c r="B3" s="2" t="inlineStr">
        <is>
          <t>Department: _______  Semester: _______  A.Y.: _______  HoD: ___________________</t>
        </is>
      </c>
    </row>
    <row r="4" ht="25" customHeight="1">
      <c r="B4" s="13" t="inlineStr">
        <is>
          <t>Sl.</t>
        </is>
      </c>
      <c r="C4" s="13" t="inlineStr">
        <is>
          <t>Course Name</t>
        </is>
      </c>
      <c r="D4" s="13" t="inlineStr">
        <is>
          <t>Course
Code</t>
        </is>
      </c>
      <c r="E4" s="13" t="inlineStr">
        <is>
          <t>Type
(T/P/T+P)</t>
        </is>
      </c>
      <c r="F4" s="13" t="inlineStr">
        <is>
          <t>Credits
(L-T-P)</t>
        </is>
      </c>
      <c r="G4" s="13" t="inlineStr">
        <is>
          <t>Assigned
Faculty</t>
        </is>
      </c>
      <c r="H4" s="13" t="inlineStr">
        <is>
          <t>Hrs /
Week</t>
        </is>
      </c>
      <c r="I4" s="13" t="inlineStr">
        <is>
          <t>Students
Enrolled</t>
        </is>
      </c>
      <c r="J4" s="13" t="inlineStr">
        <is>
          <t>Room /
Lab</t>
        </is>
      </c>
      <c r="K4" s="13" t="inlineStr">
        <is>
          <t>Allocation
Status</t>
        </is>
      </c>
    </row>
    <row r="5" ht="22" customHeight="1">
      <c r="B5" s="14" t="n">
        <v>1</v>
      </c>
      <c r="C5" s="15" t="inlineStr"/>
      <c r="D5" s="16" t="inlineStr"/>
      <c r="E5" s="16" t="inlineStr">
        <is>
          <t>Theory (T)</t>
        </is>
      </c>
      <c r="F5" s="16" t="inlineStr"/>
      <c r="G5" s="15" t="inlineStr"/>
      <c r="H5" s="16" t="inlineStr"/>
      <c r="I5" s="16" t="inlineStr"/>
      <c r="J5" s="16" t="inlineStr"/>
      <c r="K5" s="16" t="inlineStr">
        <is>
          <t>Allocated</t>
        </is>
      </c>
    </row>
    <row r="6" ht="22" customHeight="1">
      <c r="B6" s="8" t="n">
        <v>2</v>
      </c>
      <c r="C6" s="9" t="inlineStr"/>
      <c r="D6" s="10" t="inlineStr"/>
      <c r="E6" s="10" t="inlineStr">
        <is>
          <t>Practical (P)</t>
        </is>
      </c>
      <c r="F6" s="10" t="inlineStr"/>
      <c r="G6" s="9" t="inlineStr"/>
      <c r="H6" s="10" t="inlineStr"/>
      <c r="I6" s="10" t="inlineStr"/>
      <c r="J6" s="10" t="inlineStr"/>
      <c r="K6" s="10" t="inlineStr">
        <is>
          <t>Allocated</t>
        </is>
      </c>
    </row>
    <row r="7" ht="22" customHeight="1">
      <c r="B7" s="14" t="n">
        <v>3</v>
      </c>
      <c r="C7" s="15" t="inlineStr"/>
      <c r="D7" s="16" t="inlineStr"/>
      <c r="E7" s="16" t="inlineStr">
        <is>
          <t>Theory + Practical</t>
        </is>
      </c>
      <c r="F7" s="16" t="inlineStr"/>
      <c r="G7" s="15" t="inlineStr"/>
      <c r="H7" s="16" t="inlineStr"/>
      <c r="I7" s="16" t="inlineStr"/>
      <c r="J7" s="16" t="inlineStr"/>
      <c r="K7" s="16" t="inlineStr">
        <is>
          <t>Allocated</t>
        </is>
      </c>
    </row>
    <row r="8" ht="22" customHeight="1">
      <c r="B8" s="8" t="n">
        <v>4</v>
      </c>
      <c r="C8" s="9" t="inlineStr"/>
      <c r="D8" s="10" t="inlineStr"/>
      <c r="E8" s="10" t="inlineStr">
        <is>
          <t>Tutorial</t>
        </is>
      </c>
      <c r="F8" s="10" t="inlineStr"/>
      <c r="G8" s="9" t="inlineStr"/>
      <c r="H8" s="10" t="inlineStr"/>
      <c r="I8" s="10" t="inlineStr"/>
      <c r="J8" s="10" t="inlineStr"/>
      <c r="K8" s="10" t="inlineStr">
        <is>
          <t>Allocated</t>
        </is>
      </c>
    </row>
    <row r="9" ht="22" customHeight="1">
      <c r="B9" s="14" t="n">
        <v>5</v>
      </c>
      <c r="C9" s="15" t="inlineStr"/>
      <c r="D9" s="16" t="inlineStr"/>
      <c r="E9" s="16" t="inlineStr">
        <is>
          <t>Elective (T)</t>
        </is>
      </c>
      <c r="F9" s="16" t="inlineStr"/>
      <c r="G9" s="15" t="inlineStr"/>
      <c r="H9" s="16" t="inlineStr"/>
      <c r="I9" s="16" t="inlineStr"/>
      <c r="J9" s="16" t="inlineStr"/>
      <c r="K9" s="16" t="inlineStr">
        <is>
          <t>Allocated</t>
        </is>
      </c>
    </row>
    <row r="10" ht="22" customHeight="1">
      <c r="B10" s="8" t="n">
        <v>6</v>
      </c>
      <c r="C10" s="9" t="inlineStr"/>
      <c r="D10" s="10" t="inlineStr"/>
      <c r="E10" s="10" t="inlineStr">
        <is>
          <t>Elective (P)</t>
        </is>
      </c>
      <c r="F10" s="10" t="inlineStr"/>
      <c r="G10" s="9" t="inlineStr"/>
      <c r="H10" s="10" t="inlineStr"/>
      <c r="I10" s="10" t="inlineStr"/>
      <c r="J10" s="10" t="inlineStr"/>
      <c r="K10" s="10" t="inlineStr">
        <is>
          <t>Allocated</t>
        </is>
      </c>
    </row>
    <row r="11" ht="22" customHeight="1">
      <c r="B11" s="14" t="n">
        <v>7</v>
      </c>
      <c r="C11" s="15" t="inlineStr"/>
      <c r="D11" s="16" t="inlineStr"/>
      <c r="E11" s="16" t="inlineStr">
        <is>
          <t>Open Elective</t>
        </is>
      </c>
      <c r="F11" s="16" t="inlineStr"/>
      <c r="G11" s="15" t="inlineStr"/>
      <c r="H11" s="16" t="inlineStr"/>
      <c r="I11" s="16" t="inlineStr"/>
      <c r="J11" s="16" t="inlineStr"/>
      <c r="K11" s="16" t="inlineStr">
        <is>
          <t>Allocated</t>
        </is>
      </c>
    </row>
    <row r="12" ht="22" customHeight="1">
      <c r="B12" s="8" t="n">
        <v>8</v>
      </c>
      <c r="C12" s="9" t="inlineStr"/>
      <c r="D12" s="10" t="inlineStr"/>
      <c r="E12" s="10" t="inlineStr">
        <is>
          <t>Project</t>
        </is>
      </c>
      <c r="F12" s="10" t="inlineStr"/>
      <c r="G12" s="9" t="inlineStr"/>
      <c r="H12" s="10" t="inlineStr"/>
      <c r="I12" s="10" t="inlineStr"/>
      <c r="J12" s="10" t="inlineStr"/>
      <c r="K12" s="10" t="inlineStr">
        <is>
          <t>Allocated</t>
        </is>
      </c>
    </row>
    <row r="13" ht="22" customHeight="1">
      <c r="B13" s="14" t="n">
        <v>9</v>
      </c>
      <c r="C13" s="15" t="inlineStr"/>
      <c r="D13" s="16" t="inlineStr"/>
      <c r="E13" s="16" t="inlineStr">
        <is>
          <t>Seminar</t>
        </is>
      </c>
      <c r="F13" s="16" t="inlineStr"/>
      <c r="G13" s="15" t="inlineStr"/>
      <c r="H13" s="16" t="inlineStr"/>
      <c r="I13" s="16" t="inlineStr"/>
      <c r="J13" s="16" t="inlineStr"/>
      <c r="K13" s="16" t="inlineStr">
        <is>
          <t>Allocated</t>
        </is>
      </c>
    </row>
    <row r="14" ht="22" customHeight="1">
      <c r="B14" s="8" t="n">
        <v>10</v>
      </c>
      <c r="C14" s="9" t="inlineStr"/>
      <c r="D14" s="10" t="inlineStr"/>
      <c r="E14" s="10" t="inlineStr">
        <is>
          <t>MOOC / Online</t>
        </is>
      </c>
      <c r="F14" s="10" t="inlineStr"/>
      <c r="G14" s="9" t="inlineStr"/>
      <c r="H14" s="10" t="inlineStr"/>
      <c r="I14" s="10" t="inlineStr"/>
      <c r="J14" s="10" t="inlineStr"/>
      <c r="K14" s="10" t="inlineStr">
        <is>
          <t>Allocated</t>
        </is>
      </c>
    </row>
    <row r="15" ht="22" customHeight="1">
      <c r="B15" s="14" t="n">
        <v>11</v>
      </c>
      <c r="C15" s="15" t="inlineStr"/>
      <c r="D15" s="16" t="inlineStr"/>
      <c r="E15" s="16" t="inlineStr">
        <is>
          <t>Theory (T)</t>
        </is>
      </c>
      <c r="F15" s="16" t="inlineStr"/>
      <c r="G15" s="15" t="inlineStr"/>
      <c r="H15" s="16" t="inlineStr"/>
      <c r="I15" s="16" t="inlineStr"/>
      <c r="J15" s="16" t="inlineStr"/>
      <c r="K15" s="16" t="inlineStr">
        <is>
          <t>Allocated</t>
        </is>
      </c>
    </row>
    <row r="16" ht="22" customHeight="1">
      <c r="B16" s="8" t="n">
        <v>12</v>
      </c>
      <c r="C16" s="9" t="inlineStr"/>
      <c r="D16" s="10" t="inlineStr"/>
      <c r="E16" s="10" t="inlineStr">
        <is>
          <t>Practical (P)</t>
        </is>
      </c>
      <c r="F16" s="10" t="inlineStr"/>
      <c r="G16" s="9" t="inlineStr"/>
      <c r="H16" s="10" t="inlineStr"/>
      <c r="I16" s="10" t="inlineStr"/>
      <c r="J16" s="10" t="inlineStr"/>
      <c r="K16" s="10" t="inlineStr">
        <is>
          <t>Allocated</t>
        </is>
      </c>
    </row>
    <row r="17" ht="22" customHeight="1">
      <c r="B17" s="14" t="n">
        <v>13</v>
      </c>
      <c r="C17" s="15" t="inlineStr"/>
      <c r="D17" s="16" t="inlineStr"/>
      <c r="E17" s="16" t="inlineStr">
        <is>
          <t>Theory + Practical</t>
        </is>
      </c>
      <c r="F17" s="16" t="inlineStr"/>
      <c r="G17" s="15" t="inlineStr"/>
      <c r="H17" s="16" t="inlineStr"/>
      <c r="I17" s="16" t="inlineStr"/>
      <c r="J17" s="16" t="inlineStr"/>
      <c r="K17" s="16" t="inlineStr">
        <is>
          <t>Allocated</t>
        </is>
      </c>
    </row>
    <row r="18" ht="22" customHeight="1">
      <c r="B18" s="8" t="n">
        <v>14</v>
      </c>
      <c r="C18" s="9" t="inlineStr"/>
      <c r="D18" s="10" t="inlineStr"/>
      <c r="E18" s="10" t="inlineStr">
        <is>
          <t>Tutorial</t>
        </is>
      </c>
      <c r="F18" s="10" t="inlineStr"/>
      <c r="G18" s="9" t="inlineStr"/>
      <c r="H18" s="10" t="inlineStr"/>
      <c r="I18" s="10" t="inlineStr"/>
      <c r="J18" s="10" t="inlineStr"/>
      <c r="K18" s="10" t="inlineStr">
        <is>
          <t>Allocated</t>
        </is>
      </c>
    </row>
    <row r="19" ht="22" customHeight="1">
      <c r="B19" s="14" t="n">
        <v>15</v>
      </c>
      <c r="C19" s="15" t="inlineStr"/>
      <c r="D19" s="16" t="inlineStr"/>
      <c r="E19" s="16" t="inlineStr">
        <is>
          <t>Elective (T)</t>
        </is>
      </c>
      <c r="F19" s="16" t="inlineStr"/>
      <c r="G19" s="15" t="inlineStr"/>
      <c r="H19" s="16" t="inlineStr"/>
      <c r="I19" s="16" t="inlineStr"/>
      <c r="J19" s="16" t="inlineStr"/>
      <c r="K19" s="16" t="inlineStr">
        <is>
          <t>Allocated</t>
        </is>
      </c>
    </row>
    <row r="20" ht="22" customHeight="1">
      <c r="B20" s="8" t="n">
        <v>16</v>
      </c>
      <c r="C20" s="9" t="inlineStr"/>
      <c r="D20" s="10" t="inlineStr"/>
      <c r="E20" s="10" t="inlineStr">
        <is>
          <t>Elective (P)</t>
        </is>
      </c>
      <c r="F20" s="10" t="inlineStr"/>
      <c r="G20" s="9" t="inlineStr"/>
      <c r="H20" s="10" t="inlineStr"/>
      <c r="I20" s="10" t="inlineStr"/>
      <c r="J20" s="10" t="inlineStr"/>
      <c r="K20" s="10" t="inlineStr">
        <is>
          <t>Allocated</t>
        </is>
      </c>
    </row>
    <row r="21" ht="22" customHeight="1">
      <c r="B21" s="14" t="n">
        <v>17</v>
      </c>
      <c r="C21" s="15" t="inlineStr"/>
      <c r="D21" s="16" t="inlineStr"/>
      <c r="E21" s="16" t="inlineStr">
        <is>
          <t>Open Elective</t>
        </is>
      </c>
      <c r="F21" s="16" t="inlineStr"/>
      <c r="G21" s="15" t="inlineStr"/>
      <c r="H21" s="16" t="inlineStr"/>
      <c r="I21" s="16" t="inlineStr"/>
      <c r="J21" s="16" t="inlineStr"/>
      <c r="K21" s="16" t="inlineStr">
        <is>
          <t>Allocated</t>
        </is>
      </c>
    </row>
    <row r="22" ht="22" customHeight="1">
      <c r="B22" s="8" t="n">
        <v>18</v>
      </c>
      <c r="C22" s="9" t="inlineStr"/>
      <c r="D22" s="10" t="inlineStr"/>
      <c r="E22" s="10" t="inlineStr">
        <is>
          <t>Project</t>
        </is>
      </c>
      <c r="F22" s="10" t="inlineStr"/>
      <c r="G22" s="9" t="inlineStr"/>
      <c r="H22" s="10" t="inlineStr"/>
      <c r="I22" s="10" t="inlineStr"/>
      <c r="J22" s="10" t="inlineStr"/>
      <c r="K22" s="10" t="inlineStr">
        <is>
          <t>Allocated</t>
        </is>
      </c>
    </row>
    <row r="23" ht="22" customHeight="1">
      <c r="B23" s="14" t="n">
        <v>19</v>
      </c>
      <c r="C23" s="15" t="inlineStr"/>
      <c r="D23" s="16" t="inlineStr"/>
      <c r="E23" s="16" t="inlineStr">
        <is>
          <t>Seminar</t>
        </is>
      </c>
      <c r="F23" s="16" t="inlineStr"/>
      <c r="G23" s="15" t="inlineStr"/>
      <c r="H23" s="16" t="inlineStr"/>
      <c r="I23" s="16" t="inlineStr"/>
      <c r="J23" s="16" t="inlineStr"/>
      <c r="K23" s="16" t="inlineStr">
        <is>
          <t>Allocated</t>
        </is>
      </c>
    </row>
    <row r="24" ht="22" customHeight="1">
      <c r="B24" s="8" t="n">
        <v>20</v>
      </c>
      <c r="C24" s="9" t="inlineStr"/>
      <c r="D24" s="10" t="inlineStr"/>
      <c r="E24" s="10" t="inlineStr">
        <is>
          <t>MOOC / Online</t>
        </is>
      </c>
      <c r="F24" s="10" t="inlineStr"/>
      <c r="G24" s="9" t="inlineStr"/>
      <c r="H24" s="10" t="inlineStr"/>
      <c r="I24" s="10" t="inlineStr"/>
      <c r="J24" s="10" t="inlineStr"/>
      <c r="K24" s="10" t="inlineStr">
        <is>
          <t>Allocated</t>
        </is>
      </c>
    </row>
    <row r="25" ht="22" customHeight="1">
      <c r="B25" s="14" t="n">
        <v>21</v>
      </c>
      <c r="C25" s="15" t="inlineStr"/>
      <c r="D25" s="16" t="inlineStr"/>
      <c r="E25" s="16" t="inlineStr">
        <is>
          <t>Theory (T)</t>
        </is>
      </c>
      <c r="F25" s="16" t="inlineStr"/>
      <c r="G25" s="15" t="inlineStr"/>
      <c r="H25" s="16" t="inlineStr"/>
      <c r="I25" s="16" t="inlineStr"/>
      <c r="J25" s="16" t="inlineStr"/>
      <c r="K25" s="16" t="inlineStr">
        <is>
          <t>Allocated</t>
        </is>
      </c>
    </row>
    <row r="26" ht="22" customHeight="1">
      <c r="B26" s="8" t="n">
        <v>22</v>
      </c>
      <c r="C26" s="9" t="inlineStr"/>
      <c r="D26" s="10" t="inlineStr"/>
      <c r="E26" s="10" t="inlineStr">
        <is>
          <t>Practical (P)</t>
        </is>
      </c>
      <c r="F26" s="10" t="inlineStr"/>
      <c r="G26" s="9" t="inlineStr"/>
      <c r="H26" s="10" t="inlineStr"/>
      <c r="I26" s="10" t="inlineStr"/>
      <c r="J26" s="10" t="inlineStr"/>
      <c r="K26" s="10" t="inlineStr">
        <is>
          <t>Allocated</t>
        </is>
      </c>
    </row>
    <row r="27" ht="22" customHeight="1">
      <c r="B27" s="14" t="n">
        <v>23</v>
      </c>
      <c r="C27" s="15" t="inlineStr"/>
      <c r="D27" s="16" t="inlineStr"/>
      <c r="E27" s="16" t="inlineStr">
        <is>
          <t>Theory + Practical</t>
        </is>
      </c>
      <c r="F27" s="16" t="inlineStr"/>
      <c r="G27" s="15" t="inlineStr"/>
      <c r="H27" s="16" t="inlineStr"/>
      <c r="I27" s="16" t="inlineStr"/>
      <c r="J27" s="16" t="inlineStr"/>
      <c r="K27" s="16" t="inlineStr">
        <is>
          <t>Allocated</t>
        </is>
      </c>
    </row>
    <row r="28" ht="22" customHeight="1">
      <c r="B28" s="8" t="n">
        <v>24</v>
      </c>
      <c r="C28" s="9" t="inlineStr"/>
      <c r="D28" s="10" t="inlineStr"/>
      <c r="E28" s="10" t="inlineStr">
        <is>
          <t>Tutorial</t>
        </is>
      </c>
      <c r="F28" s="10" t="inlineStr"/>
      <c r="G28" s="9" t="inlineStr"/>
      <c r="H28" s="10" t="inlineStr"/>
      <c r="I28" s="10" t="inlineStr"/>
      <c r="J28" s="10" t="inlineStr"/>
      <c r="K28" s="10" t="inlineStr">
        <is>
          <t>Allocated</t>
        </is>
      </c>
    </row>
    <row r="29" ht="22" customHeight="1">
      <c r="B29" s="14" t="n">
        <v>25</v>
      </c>
      <c r="C29" s="15" t="inlineStr"/>
      <c r="D29" s="16" t="inlineStr"/>
      <c r="E29" s="16" t="inlineStr">
        <is>
          <t>Elective (T)</t>
        </is>
      </c>
      <c r="F29" s="16" t="inlineStr"/>
      <c r="G29" s="15" t="inlineStr"/>
      <c r="H29" s="16" t="inlineStr"/>
      <c r="I29" s="16" t="inlineStr"/>
      <c r="J29" s="16" t="inlineStr"/>
      <c r="K29" s="16" t="inlineStr">
        <is>
          <t>Allocated</t>
        </is>
      </c>
    </row>
    <row r="30" ht="22" customHeight="1">
      <c r="B30" s="8" t="n">
        <v>26</v>
      </c>
      <c r="C30" s="9" t="inlineStr"/>
      <c r="D30" s="10" t="inlineStr"/>
      <c r="E30" s="10" t="inlineStr">
        <is>
          <t>Elective (P)</t>
        </is>
      </c>
      <c r="F30" s="10" t="inlineStr"/>
      <c r="G30" s="9" t="inlineStr"/>
      <c r="H30" s="10" t="inlineStr"/>
      <c r="I30" s="10" t="inlineStr"/>
      <c r="J30" s="10" t="inlineStr"/>
      <c r="K30" s="10" t="inlineStr">
        <is>
          <t>Allocated</t>
        </is>
      </c>
    </row>
    <row r="31" ht="22" customHeight="1"/>
    <row r="32" ht="24" customHeight="1">
      <c r="B32" s="34" t="inlineStr">
        <is>
          <t>COURSE ALLOCATION SUMMARY</t>
        </is>
      </c>
    </row>
    <row r="33" ht="22" customHeight="1">
      <c r="B33" s="38" t="inlineStr">
        <is>
          <t>Total Courses This Semester</t>
        </is>
      </c>
      <c r="F33" s="36">
        <f>COUNTA(B5:B30)</f>
        <v/>
      </c>
    </row>
    <row r="34">
      <c r="B34" s="25" t="inlineStr">
        <is>
          <t>Theory Courses</t>
        </is>
      </c>
      <c r="F34" s="37">
        <f>COUNTIF(E5:E30,"Theory (T)")</f>
        <v/>
      </c>
    </row>
    <row r="35">
      <c r="B35" s="38" t="inlineStr">
        <is>
          <t>Practical / Lab Courses</t>
        </is>
      </c>
      <c r="F35" s="36">
        <f>COUNTIF(E5:E30,"Practical (P)")</f>
        <v/>
      </c>
    </row>
    <row r="36">
      <c r="B36" s="25" t="inlineStr">
        <is>
          <t>Elective Courses</t>
        </is>
      </c>
      <c r="F36" s="37">
        <f>COUNTIF(E5:E30,"Elective (T)")+COUNTIF(E5:E30,"Elective (P)")</f>
        <v/>
      </c>
    </row>
    <row r="37">
      <c r="B37" s="38" t="inlineStr">
        <is>
          <t>Courses Allocated</t>
        </is>
      </c>
      <c r="F37" s="36">
        <f>COUNTIF(K5:K30,"Allocated")</f>
        <v/>
      </c>
    </row>
    <row r="38">
      <c r="B38" s="25" t="inlineStr">
        <is>
          <t>Courses Pending Allocation</t>
        </is>
      </c>
      <c r="F38" s="37">
        <f>COUNTIF(K5:K30,"Pending")</f>
        <v/>
      </c>
    </row>
  </sheetData>
  <mergeCells count="15">
    <mergeCell ref="F37:K37"/>
    <mergeCell ref="B36:E36"/>
    <mergeCell ref="F34:K34"/>
    <mergeCell ref="F38:K38"/>
    <mergeCell ref="F33:K33"/>
    <mergeCell ref="B32:K32"/>
    <mergeCell ref="B35:E35"/>
    <mergeCell ref="F36:K36"/>
    <mergeCell ref="B37:E37"/>
    <mergeCell ref="B38:E38"/>
    <mergeCell ref="B33:E33"/>
    <mergeCell ref="F35:K35"/>
    <mergeCell ref="B2:K2"/>
    <mergeCell ref="B3:K3"/>
    <mergeCell ref="B34:E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DAC-06: SYLLABUS COVERAGE &amp; COMPLETION TRACKER</t>
        </is>
      </c>
    </row>
    <row r="3" ht="20" customHeight="1">
      <c r="B3" s="17" t="inlineStr">
        <is>
          <t>NAAC Criterion II.3 requires syllabus completion evidence. Faculty must submit completion tracker by Week 12. Shortfall (&lt; 75% by mid-sem or &lt; 90% by end-sem) triggers mandatory compensatory classes.</t>
        </is>
      </c>
    </row>
    <row r="4" ht="25" customHeight="1">
      <c r="B4" s="13" t="inlineStr">
        <is>
          <t>Course
Code</t>
        </is>
      </c>
      <c r="C4" s="13" t="inlineStr">
        <is>
          <t>Course Name</t>
        </is>
      </c>
      <c r="D4" s="13" t="inlineStr">
        <is>
          <t>Faculty</t>
        </is>
      </c>
      <c r="E4" s="13" t="inlineStr">
        <is>
          <t>Total
Topics
Planned</t>
        </is>
      </c>
      <c r="F4" s="13" t="inlineStr">
        <is>
          <t>Covered
Wk 6</t>
        </is>
      </c>
      <c r="G4" s="13" t="inlineStr">
        <is>
          <t>% Wk 6</t>
        </is>
      </c>
      <c r="H4" s="13" t="inlineStr">
        <is>
          <t>Covered
Wk 12</t>
        </is>
      </c>
      <c r="I4" s="13" t="inlineStr">
        <is>
          <t>% Wk 12</t>
        </is>
      </c>
      <c r="J4" s="13" t="inlineStr">
        <is>
          <t>Topics
Pending</t>
        </is>
      </c>
      <c r="K4" s="13" t="inlineStr">
        <is>
          <t>Status</t>
        </is>
      </c>
    </row>
    <row r="5" ht="22" customHeight="1">
      <c r="B5" s="16" t="inlineStr"/>
      <c r="C5" s="15" t="inlineStr"/>
      <c r="D5" s="15" t="inlineStr"/>
      <c r="E5" s="16" t="inlineStr"/>
      <c r="F5" s="16" t="inlineStr"/>
      <c r="G5" s="16">
        <f>IFERROR(ROUND(F5/E5*100,1),"")</f>
        <v/>
      </c>
      <c r="H5" s="16" t="inlineStr"/>
      <c r="I5" s="39">
        <f>IFERROR(ROUND(H5/E5*100,1),"")</f>
        <v/>
      </c>
      <c r="J5" s="16">
        <f>IFERROR(E5-H5,"")</f>
        <v/>
      </c>
      <c r="K5" s="16">
        <f>IFERROR(IF(I5&gt;=90,"Completed",IF(I5&gt;=75,"On Track","Behind — Compensatory Needed")),"")</f>
        <v/>
      </c>
    </row>
    <row r="6" ht="22" customHeight="1">
      <c r="B6" s="10" t="inlineStr"/>
      <c r="C6" s="9" t="inlineStr"/>
      <c r="D6" s="9" t="inlineStr"/>
      <c r="E6" s="10" t="inlineStr"/>
      <c r="F6" s="10" t="inlineStr"/>
      <c r="G6" s="10">
        <f>IFERROR(ROUND(F6/E6*100,1),"")</f>
        <v/>
      </c>
      <c r="H6" s="10" t="inlineStr"/>
      <c r="I6" s="37">
        <f>IFERROR(ROUND(H6/E6*100,1),"")</f>
        <v/>
      </c>
      <c r="J6" s="10">
        <f>IFERROR(E6-H6,"")</f>
        <v/>
      </c>
      <c r="K6" s="10">
        <f>IFERROR(IF(I6&gt;=90,"Completed",IF(I6&gt;=75,"On Track","Behind — Compensatory Needed")),"")</f>
        <v/>
      </c>
    </row>
    <row r="7" ht="22" customHeight="1">
      <c r="B7" s="16" t="inlineStr"/>
      <c r="C7" s="15" t="inlineStr"/>
      <c r="D7" s="15" t="inlineStr"/>
      <c r="E7" s="16" t="inlineStr"/>
      <c r="F7" s="16" t="inlineStr"/>
      <c r="G7" s="16">
        <f>IFERROR(ROUND(F7/E7*100,1),"")</f>
        <v/>
      </c>
      <c r="H7" s="16" t="inlineStr"/>
      <c r="I7" s="39">
        <f>IFERROR(ROUND(H7/E7*100,1),"")</f>
        <v/>
      </c>
      <c r="J7" s="16">
        <f>IFERROR(E7-H7,"")</f>
        <v/>
      </c>
      <c r="K7" s="16">
        <f>IFERROR(IF(I7&gt;=90,"Completed",IF(I7&gt;=75,"On Track","Behind — Compensatory Needed")),"")</f>
        <v/>
      </c>
    </row>
    <row r="8" ht="22" customHeight="1">
      <c r="B8" s="10" t="inlineStr"/>
      <c r="C8" s="9" t="inlineStr"/>
      <c r="D8" s="9" t="inlineStr"/>
      <c r="E8" s="10" t="inlineStr"/>
      <c r="F8" s="10" t="inlineStr"/>
      <c r="G8" s="10">
        <f>IFERROR(ROUND(F8/E8*100,1),"")</f>
        <v/>
      </c>
      <c r="H8" s="10" t="inlineStr"/>
      <c r="I8" s="37">
        <f>IFERROR(ROUND(H8/E8*100,1),"")</f>
        <v/>
      </c>
      <c r="J8" s="10">
        <f>IFERROR(E8-H8,"")</f>
        <v/>
      </c>
      <c r="K8" s="10">
        <f>IFERROR(IF(I8&gt;=90,"Completed",IF(I8&gt;=75,"On Track","Behind — Compensatory Needed")),"")</f>
        <v/>
      </c>
    </row>
    <row r="9" ht="22" customHeight="1">
      <c r="B9" s="16" t="inlineStr"/>
      <c r="C9" s="15" t="inlineStr"/>
      <c r="D9" s="15" t="inlineStr"/>
      <c r="E9" s="16" t="inlineStr"/>
      <c r="F9" s="16" t="inlineStr"/>
      <c r="G9" s="16">
        <f>IFERROR(ROUND(F9/E9*100,1),"")</f>
        <v/>
      </c>
      <c r="H9" s="16" t="inlineStr"/>
      <c r="I9" s="39">
        <f>IFERROR(ROUND(H9/E9*100,1),"")</f>
        <v/>
      </c>
      <c r="J9" s="16">
        <f>IFERROR(E9-H9,"")</f>
        <v/>
      </c>
      <c r="K9" s="16">
        <f>IFERROR(IF(I9&gt;=90,"Completed",IF(I9&gt;=75,"On Track","Behind — Compensatory Needed")),"")</f>
        <v/>
      </c>
    </row>
    <row r="10" ht="22" customHeight="1">
      <c r="B10" s="10" t="inlineStr"/>
      <c r="C10" s="9" t="inlineStr"/>
      <c r="D10" s="9" t="inlineStr"/>
      <c r="E10" s="10" t="inlineStr"/>
      <c r="F10" s="10" t="inlineStr"/>
      <c r="G10" s="10">
        <f>IFERROR(ROUND(F10/E10*100,1),"")</f>
        <v/>
      </c>
      <c r="H10" s="10" t="inlineStr"/>
      <c r="I10" s="37">
        <f>IFERROR(ROUND(H10/E10*100,1),"")</f>
        <v/>
      </c>
      <c r="J10" s="10">
        <f>IFERROR(E10-H10,"")</f>
        <v/>
      </c>
      <c r="K10" s="10">
        <f>IFERROR(IF(I10&gt;=90,"Completed",IF(I10&gt;=75,"On Track","Behind — Compensatory Needed")),"")</f>
        <v/>
      </c>
    </row>
    <row r="11" ht="22" customHeight="1">
      <c r="B11" s="16" t="inlineStr"/>
      <c r="C11" s="15" t="inlineStr"/>
      <c r="D11" s="15" t="inlineStr"/>
      <c r="E11" s="16" t="inlineStr"/>
      <c r="F11" s="16" t="inlineStr"/>
      <c r="G11" s="16">
        <f>IFERROR(ROUND(F11/E11*100,1),"")</f>
        <v/>
      </c>
      <c r="H11" s="16" t="inlineStr"/>
      <c r="I11" s="39">
        <f>IFERROR(ROUND(H11/E11*100,1),"")</f>
        <v/>
      </c>
      <c r="J11" s="16">
        <f>IFERROR(E11-H11,"")</f>
        <v/>
      </c>
      <c r="K11" s="16">
        <f>IFERROR(IF(I11&gt;=90,"Completed",IF(I11&gt;=75,"On Track","Behind — Compensatory Needed")),"")</f>
        <v/>
      </c>
    </row>
    <row r="12" ht="22" customHeight="1">
      <c r="B12" s="10" t="inlineStr"/>
      <c r="C12" s="9" t="inlineStr"/>
      <c r="D12" s="9" t="inlineStr"/>
      <c r="E12" s="10" t="inlineStr"/>
      <c r="F12" s="10" t="inlineStr"/>
      <c r="G12" s="10">
        <f>IFERROR(ROUND(F12/E12*100,1),"")</f>
        <v/>
      </c>
      <c r="H12" s="10" t="inlineStr"/>
      <c r="I12" s="37">
        <f>IFERROR(ROUND(H12/E12*100,1),"")</f>
        <v/>
      </c>
      <c r="J12" s="10">
        <f>IFERROR(E12-H12,"")</f>
        <v/>
      </c>
      <c r="K12" s="10">
        <f>IFERROR(IF(I12&gt;=90,"Completed",IF(I12&gt;=75,"On Track","Behind — Compensatory Needed")),"")</f>
        <v/>
      </c>
    </row>
    <row r="13" ht="22" customHeight="1">
      <c r="B13" s="16" t="inlineStr"/>
      <c r="C13" s="15" t="inlineStr"/>
      <c r="D13" s="15" t="inlineStr"/>
      <c r="E13" s="16" t="inlineStr"/>
      <c r="F13" s="16" t="inlineStr"/>
      <c r="G13" s="16">
        <f>IFERROR(ROUND(F13/E13*100,1),"")</f>
        <v/>
      </c>
      <c r="H13" s="16" t="inlineStr"/>
      <c r="I13" s="39">
        <f>IFERROR(ROUND(H13/E13*100,1),"")</f>
        <v/>
      </c>
      <c r="J13" s="16">
        <f>IFERROR(E13-H13,"")</f>
        <v/>
      </c>
      <c r="K13" s="16">
        <f>IFERROR(IF(I13&gt;=90,"Completed",IF(I13&gt;=75,"On Track","Behind — Compensatory Needed")),"")</f>
        <v/>
      </c>
    </row>
    <row r="14" ht="22" customHeight="1">
      <c r="B14" s="10" t="inlineStr"/>
      <c r="C14" s="9" t="inlineStr"/>
      <c r="D14" s="9" t="inlineStr"/>
      <c r="E14" s="10" t="inlineStr"/>
      <c r="F14" s="10" t="inlineStr"/>
      <c r="G14" s="10">
        <f>IFERROR(ROUND(F14/E14*100,1),"")</f>
        <v/>
      </c>
      <c r="H14" s="10" t="inlineStr"/>
      <c r="I14" s="37">
        <f>IFERROR(ROUND(H14/E14*100,1),"")</f>
        <v/>
      </c>
      <c r="J14" s="10">
        <f>IFERROR(E14-H14,"")</f>
        <v/>
      </c>
      <c r="K14" s="10">
        <f>IFERROR(IF(I14&gt;=90,"Completed",IF(I14&gt;=75,"On Track","Behind — Compensatory Needed")),"")</f>
        <v/>
      </c>
    </row>
    <row r="15" ht="22" customHeight="1">
      <c r="B15" s="16" t="inlineStr"/>
      <c r="C15" s="15" t="inlineStr"/>
      <c r="D15" s="15" t="inlineStr"/>
      <c r="E15" s="16" t="inlineStr"/>
      <c r="F15" s="16" t="inlineStr"/>
      <c r="G15" s="16">
        <f>IFERROR(ROUND(F15/E15*100,1),"")</f>
        <v/>
      </c>
      <c r="H15" s="16" t="inlineStr"/>
      <c r="I15" s="39">
        <f>IFERROR(ROUND(H15/E15*100,1),"")</f>
        <v/>
      </c>
      <c r="J15" s="16">
        <f>IFERROR(E15-H15,"")</f>
        <v/>
      </c>
      <c r="K15" s="16">
        <f>IFERROR(IF(I15&gt;=90,"Completed",IF(I15&gt;=75,"On Track","Behind — Compensatory Needed")),"")</f>
        <v/>
      </c>
    </row>
    <row r="16" ht="22" customHeight="1">
      <c r="B16" s="10" t="inlineStr"/>
      <c r="C16" s="9" t="inlineStr"/>
      <c r="D16" s="9" t="inlineStr"/>
      <c r="E16" s="10" t="inlineStr"/>
      <c r="F16" s="10" t="inlineStr"/>
      <c r="G16" s="10">
        <f>IFERROR(ROUND(F16/E16*100,1),"")</f>
        <v/>
      </c>
      <c r="H16" s="10" t="inlineStr"/>
      <c r="I16" s="37">
        <f>IFERROR(ROUND(H16/E16*100,1),"")</f>
        <v/>
      </c>
      <c r="J16" s="10">
        <f>IFERROR(E16-H16,"")</f>
        <v/>
      </c>
      <c r="K16" s="10">
        <f>IFERROR(IF(I16&gt;=90,"Completed",IF(I16&gt;=75,"On Track","Behind — Compensatory Needed")),"")</f>
        <v/>
      </c>
    </row>
    <row r="17" ht="22" customHeight="1">
      <c r="B17" s="16" t="inlineStr"/>
      <c r="C17" s="15" t="inlineStr"/>
      <c r="D17" s="15" t="inlineStr"/>
      <c r="E17" s="16" t="inlineStr"/>
      <c r="F17" s="16" t="inlineStr"/>
      <c r="G17" s="16">
        <f>IFERROR(ROUND(F17/E17*100,1),"")</f>
        <v/>
      </c>
      <c r="H17" s="16" t="inlineStr"/>
      <c r="I17" s="39">
        <f>IFERROR(ROUND(H17/E17*100,1),"")</f>
        <v/>
      </c>
      <c r="J17" s="16">
        <f>IFERROR(E17-H17,"")</f>
        <v/>
      </c>
      <c r="K17" s="16">
        <f>IFERROR(IF(I17&gt;=90,"Completed",IF(I17&gt;=75,"On Track","Behind — Compensatory Needed")),"")</f>
        <v/>
      </c>
    </row>
    <row r="18" ht="22" customHeight="1">
      <c r="B18" s="10" t="inlineStr"/>
      <c r="C18" s="9" t="inlineStr"/>
      <c r="D18" s="9" t="inlineStr"/>
      <c r="E18" s="10" t="inlineStr"/>
      <c r="F18" s="10" t="inlineStr"/>
      <c r="G18" s="10">
        <f>IFERROR(ROUND(F18/E18*100,1),"")</f>
        <v/>
      </c>
      <c r="H18" s="10" t="inlineStr"/>
      <c r="I18" s="37">
        <f>IFERROR(ROUND(H18/E18*100,1),"")</f>
        <v/>
      </c>
      <c r="J18" s="10">
        <f>IFERROR(E18-H18,"")</f>
        <v/>
      </c>
      <c r="K18" s="10">
        <f>IFERROR(IF(I18&gt;=90,"Completed",IF(I18&gt;=75,"On Track","Behind — Compensatory Needed")),"")</f>
        <v/>
      </c>
    </row>
    <row r="19" ht="22" customHeight="1">
      <c r="B19" s="16" t="inlineStr"/>
      <c r="C19" s="15" t="inlineStr"/>
      <c r="D19" s="15" t="inlineStr"/>
      <c r="E19" s="16" t="inlineStr"/>
      <c r="F19" s="16" t="inlineStr"/>
      <c r="G19" s="16">
        <f>IFERROR(ROUND(F19/E19*100,1),"")</f>
        <v/>
      </c>
      <c r="H19" s="16" t="inlineStr"/>
      <c r="I19" s="39">
        <f>IFERROR(ROUND(H19/E19*100,1),"")</f>
        <v/>
      </c>
      <c r="J19" s="16">
        <f>IFERROR(E19-H19,"")</f>
        <v/>
      </c>
      <c r="K19" s="16">
        <f>IFERROR(IF(I19&gt;=90,"Completed",IF(I19&gt;=75,"On Track","Behind — Compensatory Needed")),"")</f>
        <v/>
      </c>
    </row>
    <row r="20" ht="22" customHeight="1">
      <c r="B20" s="10" t="inlineStr"/>
      <c r="C20" s="9" t="inlineStr"/>
      <c r="D20" s="9" t="inlineStr"/>
      <c r="E20" s="10" t="inlineStr"/>
      <c r="F20" s="10" t="inlineStr"/>
      <c r="G20" s="10">
        <f>IFERROR(ROUND(F20/E20*100,1),"")</f>
        <v/>
      </c>
      <c r="H20" s="10" t="inlineStr"/>
      <c r="I20" s="37">
        <f>IFERROR(ROUND(H20/E20*100,1),"")</f>
        <v/>
      </c>
      <c r="J20" s="10">
        <f>IFERROR(E20-H20,"")</f>
        <v/>
      </c>
      <c r="K20" s="10">
        <f>IFERROR(IF(I20&gt;=90,"Completed",IF(I20&gt;=75,"On Track","Behind — Compensatory Needed")),"")</f>
        <v/>
      </c>
    </row>
    <row r="21" ht="22" customHeight="1">
      <c r="B21" s="16" t="inlineStr"/>
      <c r="C21" s="15" t="inlineStr"/>
      <c r="D21" s="15" t="inlineStr"/>
      <c r="E21" s="16" t="inlineStr"/>
      <c r="F21" s="16" t="inlineStr"/>
      <c r="G21" s="16">
        <f>IFERROR(ROUND(F21/E21*100,1),"")</f>
        <v/>
      </c>
      <c r="H21" s="16" t="inlineStr"/>
      <c r="I21" s="39">
        <f>IFERROR(ROUND(H21/E21*100,1),"")</f>
        <v/>
      </c>
      <c r="J21" s="16">
        <f>IFERROR(E21-H21,"")</f>
        <v/>
      </c>
      <c r="K21" s="16">
        <f>IFERROR(IF(I21&gt;=90,"Completed",IF(I21&gt;=75,"On Track","Behind — Compensatory Needed")),"")</f>
        <v/>
      </c>
    </row>
    <row r="22" ht="22" customHeight="1">
      <c r="B22" s="10" t="inlineStr"/>
      <c r="C22" s="9" t="inlineStr"/>
      <c r="D22" s="9" t="inlineStr"/>
      <c r="E22" s="10" t="inlineStr"/>
      <c r="F22" s="10" t="inlineStr"/>
      <c r="G22" s="10">
        <f>IFERROR(ROUND(F22/E22*100,1),"")</f>
        <v/>
      </c>
      <c r="H22" s="10" t="inlineStr"/>
      <c r="I22" s="37">
        <f>IFERROR(ROUND(H22/E22*100,1),"")</f>
        <v/>
      </c>
      <c r="J22" s="10">
        <f>IFERROR(E22-H22,"")</f>
        <v/>
      </c>
      <c r="K22" s="10">
        <f>IFERROR(IF(I22&gt;=90,"Completed",IF(I22&gt;=75,"On Track","Behind — Compensatory Needed")),"")</f>
        <v/>
      </c>
    </row>
    <row r="23" ht="22" customHeight="1">
      <c r="B23" s="16" t="inlineStr"/>
      <c r="C23" s="15" t="inlineStr"/>
      <c r="D23" s="15" t="inlineStr"/>
      <c r="E23" s="16" t="inlineStr"/>
      <c r="F23" s="16" t="inlineStr"/>
      <c r="G23" s="16">
        <f>IFERROR(ROUND(F23/E23*100,1),"")</f>
        <v/>
      </c>
      <c r="H23" s="16" t="inlineStr"/>
      <c r="I23" s="39">
        <f>IFERROR(ROUND(H23/E23*100,1),"")</f>
        <v/>
      </c>
      <c r="J23" s="16">
        <f>IFERROR(E23-H23,"")</f>
        <v/>
      </c>
      <c r="K23" s="16">
        <f>IFERROR(IF(I23&gt;=90,"Completed",IF(I23&gt;=75,"On Track","Behind — Compensatory Needed")),"")</f>
        <v/>
      </c>
    </row>
    <row r="24" ht="22" customHeight="1">
      <c r="B24" s="10" t="inlineStr"/>
      <c r="C24" s="9" t="inlineStr"/>
      <c r="D24" s="9" t="inlineStr"/>
      <c r="E24" s="10" t="inlineStr"/>
      <c r="F24" s="10" t="inlineStr"/>
      <c r="G24" s="10">
        <f>IFERROR(ROUND(F24/E24*100,1),"")</f>
        <v/>
      </c>
      <c r="H24" s="10" t="inlineStr"/>
      <c r="I24" s="37">
        <f>IFERROR(ROUND(H24/E24*100,1),"")</f>
        <v/>
      </c>
      <c r="J24" s="10">
        <f>IFERROR(E24-H24,"")</f>
        <v/>
      </c>
      <c r="K24" s="10">
        <f>IFERROR(IF(I24&gt;=90,"Completed",IF(I24&gt;=75,"On Track","Behind — Compensatory Needed")),"")</f>
        <v/>
      </c>
    </row>
    <row r="25" ht="22" customHeight="1">
      <c r="B25" s="16" t="inlineStr"/>
      <c r="C25" s="15" t="inlineStr"/>
      <c r="D25" s="15" t="inlineStr"/>
      <c r="E25" s="16" t="inlineStr"/>
      <c r="F25" s="16" t="inlineStr"/>
      <c r="G25" s="16">
        <f>IFERROR(ROUND(F25/E25*100,1),"")</f>
        <v/>
      </c>
      <c r="H25" s="16" t="inlineStr"/>
      <c r="I25" s="39">
        <f>IFERROR(ROUND(H25/E25*100,1),"")</f>
        <v/>
      </c>
      <c r="J25" s="16">
        <f>IFERROR(E25-H25,"")</f>
        <v/>
      </c>
      <c r="K25" s="16">
        <f>IFERROR(IF(I25&gt;=90,"Completed",IF(I25&gt;=75,"On Track","Behind — Compensatory Needed")),"")</f>
        <v/>
      </c>
    </row>
    <row r="26" ht="22" customHeight="1">
      <c r="B26" s="10" t="inlineStr"/>
      <c r="C26" s="9" t="inlineStr"/>
      <c r="D26" s="9" t="inlineStr"/>
      <c r="E26" s="10" t="inlineStr"/>
      <c r="F26" s="10" t="inlineStr"/>
      <c r="G26" s="10">
        <f>IFERROR(ROUND(F26/E26*100,1),"")</f>
        <v/>
      </c>
      <c r="H26" s="10" t="inlineStr"/>
      <c r="I26" s="37">
        <f>IFERROR(ROUND(H26/E26*100,1),"")</f>
        <v/>
      </c>
      <c r="J26" s="10">
        <f>IFERROR(E26-H26,"")</f>
        <v/>
      </c>
      <c r="K26" s="10">
        <f>IFERROR(IF(I26&gt;=90,"Completed",IF(I26&gt;=75,"On Track","Behind — Compensatory Needed")),"")</f>
        <v/>
      </c>
    </row>
    <row r="27" ht="22" customHeight="1">
      <c r="B27" s="16" t="inlineStr"/>
      <c r="C27" s="15" t="inlineStr"/>
      <c r="D27" s="15" t="inlineStr"/>
      <c r="E27" s="16" t="inlineStr"/>
      <c r="F27" s="16" t="inlineStr"/>
      <c r="G27" s="16">
        <f>IFERROR(ROUND(F27/E27*100,1),"")</f>
        <v/>
      </c>
      <c r="H27" s="16" t="inlineStr"/>
      <c r="I27" s="39">
        <f>IFERROR(ROUND(H27/E27*100,1),"")</f>
        <v/>
      </c>
      <c r="J27" s="16">
        <f>IFERROR(E27-H27,"")</f>
        <v/>
      </c>
      <c r="K27" s="16">
        <f>IFERROR(IF(I27&gt;=90,"Completed",IF(I27&gt;=75,"On Track","Behind — Compensatory Needed")),"")</f>
        <v/>
      </c>
    </row>
    <row r="28" ht="22" customHeight="1">
      <c r="B28" s="10" t="inlineStr"/>
      <c r="C28" s="9" t="inlineStr"/>
      <c r="D28" s="9" t="inlineStr"/>
      <c r="E28" s="10" t="inlineStr"/>
      <c r="F28" s="10" t="inlineStr"/>
      <c r="G28" s="10">
        <f>IFERROR(ROUND(F28/E28*100,1),"")</f>
        <v/>
      </c>
      <c r="H28" s="10" t="inlineStr"/>
      <c r="I28" s="37">
        <f>IFERROR(ROUND(H28/E28*100,1),"")</f>
        <v/>
      </c>
      <c r="J28" s="10">
        <f>IFERROR(E28-H28,"")</f>
        <v/>
      </c>
      <c r="K28" s="10">
        <f>IFERROR(IF(I28&gt;=90,"Completed",IF(I28&gt;=75,"On Track","Behind — Compensatory Needed")),"")</f>
        <v/>
      </c>
    </row>
    <row r="29" ht="22" customHeight="1">
      <c r="B29" s="16" t="inlineStr"/>
      <c r="C29" s="15" t="inlineStr"/>
      <c r="D29" s="15" t="inlineStr"/>
      <c r="E29" s="16" t="inlineStr"/>
      <c r="F29" s="16" t="inlineStr"/>
      <c r="G29" s="16">
        <f>IFERROR(ROUND(F29/E29*100,1),"")</f>
        <v/>
      </c>
      <c r="H29" s="16" t="inlineStr"/>
      <c r="I29" s="39">
        <f>IFERROR(ROUND(H29/E29*100,1),"")</f>
        <v/>
      </c>
      <c r="J29" s="16">
        <f>IFERROR(E29-H29,"")</f>
        <v/>
      </c>
      <c r="K29" s="16">
        <f>IFERROR(IF(I29&gt;=90,"Completed",IF(I29&gt;=75,"On Track","Behind — Compensatory Needed")),"")</f>
        <v/>
      </c>
    </row>
    <row r="30" ht="22" customHeight="1">
      <c r="B30" s="10" t="inlineStr"/>
      <c r="C30" s="9" t="inlineStr"/>
      <c r="D30" s="9" t="inlineStr"/>
      <c r="E30" s="10" t="inlineStr"/>
      <c r="F30" s="10" t="inlineStr"/>
      <c r="G30" s="10">
        <f>IFERROR(ROUND(F30/E30*100,1),"")</f>
        <v/>
      </c>
      <c r="H30" s="10" t="inlineStr"/>
      <c r="I30" s="37">
        <f>IFERROR(ROUND(H30/E30*100,1),"")</f>
        <v/>
      </c>
      <c r="J30" s="10">
        <f>IFERROR(E30-H30,"")</f>
        <v/>
      </c>
      <c r="K30" s="10">
        <f>IFERROR(IF(I30&gt;=90,"Completed",IF(I30&gt;=75,"On Track","Behind — Compensatory Needed")),"")</f>
        <v/>
      </c>
    </row>
    <row r="31" ht="22" customHeight="1">
      <c r="B31" s="16" t="inlineStr"/>
      <c r="C31" s="15" t="inlineStr"/>
      <c r="D31" s="15" t="inlineStr"/>
      <c r="E31" s="16" t="inlineStr"/>
      <c r="F31" s="16" t="inlineStr"/>
      <c r="G31" s="16">
        <f>IFERROR(ROUND(F31/E31*100,1),"")</f>
        <v/>
      </c>
      <c r="H31" s="16" t="inlineStr"/>
      <c r="I31" s="39">
        <f>IFERROR(ROUND(H31/E31*100,1),"")</f>
        <v/>
      </c>
      <c r="J31" s="16">
        <f>IFERROR(E31-H31,"")</f>
        <v/>
      </c>
      <c r="K31" s="16">
        <f>IFERROR(IF(I31&gt;=90,"Completed",IF(I31&gt;=75,"On Track","Behind — Compensatory Needed")),"")</f>
        <v/>
      </c>
    </row>
    <row r="32" ht="22" customHeight="1">
      <c r="B32" s="10" t="inlineStr"/>
      <c r="C32" s="9" t="inlineStr"/>
      <c r="D32" s="9" t="inlineStr"/>
      <c r="E32" s="10" t="inlineStr"/>
      <c r="F32" s="10" t="inlineStr"/>
      <c r="G32" s="10">
        <f>IFERROR(ROUND(F32/E32*100,1),"")</f>
        <v/>
      </c>
      <c r="H32" s="10" t="inlineStr"/>
      <c r="I32" s="37">
        <f>IFERROR(ROUND(H32/E32*100,1),"")</f>
        <v/>
      </c>
      <c r="J32" s="10">
        <f>IFERROR(E32-H32,"")</f>
        <v/>
      </c>
      <c r="K32" s="10">
        <f>IFERROR(IF(I32&gt;=90,"Completed",IF(I32&gt;=75,"On Track","Behind — Compensatory Needed")),"")</f>
        <v/>
      </c>
    </row>
    <row r="33" ht="22" customHeight="1"/>
    <row r="34" ht="24" customHeight="1">
      <c r="B34" s="34" t="inlineStr">
        <is>
          <t>COVERAGE SUMMARY</t>
        </is>
      </c>
    </row>
    <row r="35" ht="22" customHeight="1">
      <c r="B35" s="38" t="inlineStr">
        <is>
          <t>Total Courses Tracked</t>
        </is>
      </c>
      <c r="F35" s="36">
        <f>COUNTA(B5:B32)</f>
        <v/>
      </c>
    </row>
    <row r="36">
      <c r="B36" s="25" t="inlineStr">
        <is>
          <t>Completed (≥90%)</t>
        </is>
      </c>
      <c r="F36" s="37">
        <f>COUNTIF(K5:K32,"Completed")</f>
        <v/>
      </c>
    </row>
    <row r="37">
      <c r="B37" s="38" t="inlineStr">
        <is>
          <t>On Track (75–89%)</t>
        </is>
      </c>
      <c r="F37" s="36">
        <f>COUNTIF(K5:K32,"On Track")</f>
        <v/>
      </c>
    </row>
    <row r="38">
      <c r="B38" s="25" t="inlineStr">
        <is>
          <t>Behind — Action Needed</t>
        </is>
      </c>
      <c r="F38" s="37">
        <f>COUNTIF(K5:K32,"Behind — Compensatory Needed")</f>
        <v/>
      </c>
    </row>
    <row r="39">
      <c r="B39" s="38" t="inlineStr">
        <is>
          <t>Dept. Average Coverage (%)</t>
        </is>
      </c>
      <c r="F39" s="36">
        <f>IFERROR(ROUND(AVERAGE(I5:I32),1),"")</f>
        <v/>
      </c>
    </row>
    <row r="40">
      <c r="B40" s="25" t="inlineStr">
        <is>
          <t>Courses Needing Compensatory Classes</t>
        </is>
      </c>
      <c r="F40" s="37">
        <f>COUNTIF(J5:J32,"&gt;"&amp;0)</f>
        <v/>
      </c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P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0" customWidth="1" min="14" max="14"/>
    <col width="10" customWidth="1" min="15" max="15"/>
    <col width="10" customWidth="1" min="16" max="16"/>
    <col width="3" customWidth="1" min="17" max="17"/>
  </cols>
  <sheetData>
    <row r="1" ht="10" customHeight="1"/>
    <row r="2" ht="48" customHeight="1">
      <c r="B2" s="12" t="inlineStr">
        <is>
          <t>DAC-12 / DAC-13: STUDENT ATTENDANCE REGISTER — COURSE-WISE</t>
        </is>
      </c>
    </row>
    <row r="3" ht="20" customHeight="1">
      <c r="B3" s="2" t="inlineStr">
        <is>
          <t>Course: _______  Faculty: _______  Dept.: _______  Sem.: _______  A.Y.: _______  Total Classes Planned: _______</t>
        </is>
      </c>
    </row>
    <row r="4" ht="25" customHeight="1">
      <c r="B4" s="13" t="inlineStr">
        <is>
          <t>Roll No.</t>
        </is>
      </c>
      <c r="C4" s="13" t="inlineStr">
        <is>
          <t>Student Name</t>
        </is>
      </c>
      <c r="D4" s="13" t="inlineStr">
        <is>
          <t>C1</t>
        </is>
      </c>
      <c r="E4" s="13" t="inlineStr">
        <is>
          <t>C2</t>
        </is>
      </c>
      <c r="F4" s="13" t="inlineStr">
        <is>
          <t>C3</t>
        </is>
      </c>
      <c r="G4" s="13" t="inlineStr">
        <is>
          <t>C4</t>
        </is>
      </c>
      <c r="H4" s="13" t="inlineStr">
        <is>
          <t>C5</t>
        </is>
      </c>
      <c r="I4" s="13" t="inlineStr">
        <is>
          <t>C6</t>
        </is>
      </c>
      <c r="J4" s="13" t="inlineStr">
        <is>
          <t>C7</t>
        </is>
      </c>
      <c r="K4" s="13" t="inlineStr">
        <is>
          <t>C8</t>
        </is>
      </c>
      <c r="L4" s="13" t="inlineStr">
        <is>
          <t>C9</t>
        </is>
      </c>
      <c r="M4" s="13" t="inlineStr">
        <is>
          <t>C10</t>
        </is>
      </c>
      <c r="N4" s="13" t="inlineStr">
        <is>
          <t>Present</t>
        </is>
      </c>
      <c r="O4" s="13" t="inlineStr">
        <is>
          <t>Total
Classes</t>
        </is>
      </c>
      <c r="P4" s="13" t="inlineStr">
        <is>
          <t>Att %</t>
        </is>
      </c>
    </row>
    <row r="5" ht="22" customHeight="1">
      <c r="B5" s="14" t="n"/>
      <c r="C5" s="15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39">
        <f>IFERROR(COUNTIF(D5:M5,"P"),"")</f>
        <v/>
      </c>
      <c r="O5" s="16" t="n"/>
      <c r="P5" s="39">
        <f>IFERROR(ROUND(N5/O5*100,1),"")</f>
        <v/>
      </c>
    </row>
    <row r="6" ht="22" customHeight="1">
      <c r="B6" s="8" t="n"/>
      <c r="C6" s="9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37">
        <f>IFERROR(COUNTIF(D6:M6,"P"),"")</f>
        <v/>
      </c>
      <c r="O6" s="10" t="n"/>
      <c r="P6" s="37">
        <f>IFERROR(ROUND(N6/O6*100,1),"")</f>
        <v/>
      </c>
    </row>
    <row r="7" ht="22" customHeight="1">
      <c r="B7" s="14" t="n"/>
      <c r="C7" s="15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39">
        <f>IFERROR(COUNTIF(D7:M7,"P"),"")</f>
        <v/>
      </c>
      <c r="O7" s="16" t="n"/>
      <c r="P7" s="39">
        <f>IFERROR(ROUND(N7/O7*100,1),"")</f>
        <v/>
      </c>
    </row>
    <row r="8" ht="22" customHeight="1">
      <c r="B8" s="8" t="n"/>
      <c r="C8" s="9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37">
        <f>IFERROR(COUNTIF(D8:M8,"P"),"")</f>
        <v/>
      </c>
      <c r="O8" s="10" t="n"/>
      <c r="P8" s="37">
        <f>IFERROR(ROUND(N8/O8*100,1),"")</f>
        <v/>
      </c>
    </row>
    <row r="9" ht="22" customHeight="1">
      <c r="B9" s="14" t="n"/>
      <c r="C9" s="15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39">
        <f>IFERROR(COUNTIF(D9:M9,"P"),"")</f>
        <v/>
      </c>
      <c r="O9" s="16" t="n"/>
      <c r="P9" s="39">
        <f>IFERROR(ROUND(N9/O9*100,1),"")</f>
        <v/>
      </c>
    </row>
    <row r="10" ht="22" customHeight="1">
      <c r="B10" s="8" t="n"/>
      <c r="C10" s="9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37">
        <f>IFERROR(COUNTIF(D10:M10,"P"),"")</f>
        <v/>
      </c>
      <c r="O10" s="10" t="n"/>
      <c r="P10" s="37">
        <f>IFERROR(ROUND(N10/O10*100,1),"")</f>
        <v/>
      </c>
    </row>
    <row r="11" ht="22" customHeight="1">
      <c r="B11" s="14" t="n"/>
      <c r="C11" s="15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39">
        <f>IFERROR(COUNTIF(D11:M11,"P"),"")</f>
        <v/>
      </c>
      <c r="O11" s="16" t="n"/>
      <c r="P11" s="39">
        <f>IFERROR(ROUND(N11/O11*100,1),"")</f>
        <v/>
      </c>
    </row>
    <row r="12" ht="22" customHeight="1">
      <c r="B12" s="8" t="n"/>
      <c r="C12" s="9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37">
        <f>IFERROR(COUNTIF(D12:M12,"P"),"")</f>
        <v/>
      </c>
      <c r="O12" s="10" t="n"/>
      <c r="P12" s="37">
        <f>IFERROR(ROUND(N12/O12*100,1),"")</f>
        <v/>
      </c>
    </row>
    <row r="13" ht="22" customHeight="1">
      <c r="B13" s="14" t="n"/>
      <c r="C13" s="15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39">
        <f>IFERROR(COUNTIF(D13:M13,"P"),"")</f>
        <v/>
      </c>
      <c r="O13" s="16" t="n"/>
      <c r="P13" s="39">
        <f>IFERROR(ROUND(N13/O13*100,1),"")</f>
        <v/>
      </c>
    </row>
    <row r="14" ht="22" customHeight="1">
      <c r="B14" s="8" t="n"/>
      <c r="C14" s="9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37">
        <f>IFERROR(COUNTIF(D14:M14,"P"),"")</f>
        <v/>
      </c>
      <c r="O14" s="10" t="n"/>
      <c r="P14" s="37">
        <f>IFERROR(ROUND(N14/O14*100,1),"")</f>
        <v/>
      </c>
    </row>
    <row r="15" ht="22" customHeight="1">
      <c r="B15" s="14" t="n"/>
      <c r="C15" s="15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39">
        <f>IFERROR(COUNTIF(D15:M15,"P"),"")</f>
        <v/>
      </c>
      <c r="O15" s="16" t="n"/>
      <c r="P15" s="39">
        <f>IFERROR(ROUND(N15/O15*100,1),"")</f>
        <v/>
      </c>
    </row>
    <row r="16" ht="22" customHeight="1">
      <c r="B16" s="8" t="n"/>
      <c r="C16" s="9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37">
        <f>IFERROR(COUNTIF(D16:M16,"P"),"")</f>
        <v/>
      </c>
      <c r="O16" s="10" t="n"/>
      <c r="P16" s="37">
        <f>IFERROR(ROUND(N16/O16*100,1),"")</f>
        <v/>
      </c>
    </row>
    <row r="17" ht="22" customHeight="1">
      <c r="B17" s="14" t="n"/>
      <c r="C17" s="15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39">
        <f>IFERROR(COUNTIF(D17:M17,"P"),"")</f>
        <v/>
      </c>
      <c r="O17" s="16" t="n"/>
      <c r="P17" s="39">
        <f>IFERROR(ROUND(N17/O17*100,1),"")</f>
        <v/>
      </c>
    </row>
    <row r="18" ht="22" customHeight="1">
      <c r="B18" s="8" t="n"/>
      <c r="C18" s="9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37">
        <f>IFERROR(COUNTIF(D18:M18,"P"),"")</f>
        <v/>
      </c>
      <c r="O18" s="10" t="n"/>
      <c r="P18" s="37">
        <f>IFERROR(ROUND(N18/O18*100,1),"")</f>
        <v/>
      </c>
    </row>
    <row r="19" ht="22" customHeight="1">
      <c r="B19" s="14" t="n"/>
      <c r="C19" s="15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39">
        <f>IFERROR(COUNTIF(D19:M19,"P"),"")</f>
        <v/>
      </c>
      <c r="O19" s="16" t="n"/>
      <c r="P19" s="39">
        <f>IFERROR(ROUND(N19/O19*100,1),"")</f>
        <v/>
      </c>
    </row>
    <row r="20" ht="22" customHeight="1">
      <c r="B20" s="8" t="n"/>
      <c r="C20" s="9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37">
        <f>IFERROR(COUNTIF(D20:M20,"P"),"")</f>
        <v/>
      </c>
      <c r="O20" s="10" t="n"/>
      <c r="P20" s="37">
        <f>IFERROR(ROUND(N20/O20*100,1),"")</f>
        <v/>
      </c>
    </row>
    <row r="21" ht="22" customHeight="1">
      <c r="B21" s="14" t="n"/>
      <c r="C21" s="15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39">
        <f>IFERROR(COUNTIF(D21:M21,"P"),"")</f>
        <v/>
      </c>
      <c r="O21" s="16" t="n"/>
      <c r="P21" s="39">
        <f>IFERROR(ROUND(N21/O21*100,1),"")</f>
        <v/>
      </c>
    </row>
    <row r="22" ht="22" customHeight="1">
      <c r="B22" s="8" t="n"/>
      <c r="C22" s="9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37">
        <f>IFERROR(COUNTIF(D22:M22,"P"),"")</f>
        <v/>
      </c>
      <c r="O22" s="10" t="n"/>
      <c r="P22" s="37">
        <f>IFERROR(ROUND(N22/O22*100,1),"")</f>
        <v/>
      </c>
    </row>
    <row r="23" ht="22" customHeight="1">
      <c r="B23" s="14" t="n"/>
      <c r="C23" s="15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39">
        <f>IFERROR(COUNTIF(D23:M23,"P"),"")</f>
        <v/>
      </c>
      <c r="O23" s="16" t="n"/>
      <c r="P23" s="39">
        <f>IFERROR(ROUND(N23/O23*100,1),"")</f>
        <v/>
      </c>
    </row>
    <row r="24" ht="22" customHeight="1">
      <c r="B24" s="8" t="n"/>
      <c r="C24" s="9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37">
        <f>IFERROR(COUNTIF(D24:M24,"P"),"")</f>
        <v/>
      </c>
      <c r="O24" s="10" t="n"/>
      <c r="P24" s="37">
        <f>IFERROR(ROUND(N24/O24*100,1),"")</f>
        <v/>
      </c>
    </row>
    <row r="25" ht="22" customHeight="1">
      <c r="B25" s="14" t="n"/>
      <c r="C25" s="15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39">
        <f>IFERROR(COUNTIF(D25:M25,"P"),"")</f>
        <v/>
      </c>
      <c r="O25" s="16" t="n"/>
      <c r="P25" s="39">
        <f>IFERROR(ROUND(N25/O25*100,1),"")</f>
        <v/>
      </c>
    </row>
    <row r="26" ht="22" customHeight="1">
      <c r="B26" s="8" t="n"/>
      <c r="C26" s="9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37">
        <f>IFERROR(COUNTIF(D26:M26,"P"),"")</f>
        <v/>
      </c>
      <c r="O26" s="10" t="n"/>
      <c r="P26" s="37">
        <f>IFERROR(ROUND(N26/O26*100,1),"")</f>
        <v/>
      </c>
    </row>
    <row r="27" ht="22" customHeight="1">
      <c r="B27" s="14" t="n"/>
      <c r="C27" s="15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39">
        <f>IFERROR(COUNTIF(D27:M27,"P"),"")</f>
        <v/>
      </c>
      <c r="O27" s="16" t="n"/>
      <c r="P27" s="39">
        <f>IFERROR(ROUND(N27/O27*100,1),"")</f>
        <v/>
      </c>
    </row>
    <row r="28" ht="22" customHeight="1">
      <c r="B28" s="8" t="n"/>
      <c r="C28" s="9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37">
        <f>IFERROR(COUNTIF(D28:M28,"P"),"")</f>
        <v/>
      </c>
      <c r="O28" s="10" t="n"/>
      <c r="P28" s="37">
        <f>IFERROR(ROUND(N28/O28*100,1),"")</f>
        <v/>
      </c>
    </row>
    <row r="29" ht="22" customHeight="1">
      <c r="B29" s="14" t="n"/>
      <c r="C29" s="15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39">
        <f>IFERROR(COUNTIF(D29:M29,"P"),"")</f>
        <v/>
      </c>
      <c r="O29" s="16" t="n"/>
      <c r="P29" s="39">
        <f>IFERROR(ROUND(N29/O29*100,1),"")</f>
        <v/>
      </c>
    </row>
    <row r="30" ht="22" customHeight="1">
      <c r="B30" s="8" t="n"/>
      <c r="C30" s="9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37">
        <f>IFERROR(COUNTIF(D30:M30,"P"),"")</f>
        <v/>
      </c>
      <c r="O30" s="10" t="n"/>
      <c r="P30" s="37">
        <f>IFERROR(ROUND(N30/O30*100,1),"")</f>
        <v/>
      </c>
    </row>
    <row r="31" ht="22" customHeight="1">
      <c r="B31" s="14" t="n"/>
      <c r="C31" s="15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39">
        <f>IFERROR(COUNTIF(D31:M31,"P"),"")</f>
        <v/>
      </c>
      <c r="O31" s="16" t="n"/>
      <c r="P31" s="39">
        <f>IFERROR(ROUND(N31/O31*100,1),"")</f>
        <v/>
      </c>
    </row>
    <row r="32" ht="22" customHeight="1">
      <c r="B32" s="8" t="n"/>
      <c r="C32" s="9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37">
        <f>IFERROR(COUNTIF(D32:M32,"P"),"")</f>
        <v/>
      </c>
      <c r="O32" s="10" t="n"/>
      <c r="P32" s="37">
        <f>IFERROR(ROUND(N32/O32*100,1),"")</f>
        <v/>
      </c>
    </row>
    <row r="33" ht="22" customHeight="1">
      <c r="B33" s="14" t="n"/>
      <c r="C33" s="15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39">
        <f>IFERROR(COUNTIF(D33:M33,"P"),"")</f>
        <v/>
      </c>
      <c r="O33" s="16" t="n"/>
      <c r="P33" s="39">
        <f>IFERROR(ROUND(N33/O33*100,1),"")</f>
        <v/>
      </c>
    </row>
    <row r="34" ht="22" customHeight="1">
      <c r="B34" s="8" t="n"/>
      <c r="C34" s="9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37">
        <f>IFERROR(COUNTIF(D34:M34,"P"),"")</f>
        <v/>
      </c>
      <c r="O34" s="10" t="n"/>
      <c r="P34" s="37">
        <f>IFERROR(ROUND(N34/O34*100,1),"")</f>
        <v/>
      </c>
    </row>
    <row r="35" ht="22" customHeight="1"/>
    <row r="36" ht="24" customHeight="1">
      <c r="B36" s="34" t="inlineStr">
        <is>
          <t>ATTENDANCE SUMMARY</t>
        </is>
      </c>
    </row>
    <row r="37" ht="22" customHeight="1">
      <c r="B37" s="38" t="inlineStr">
        <is>
          <t>Total Students</t>
        </is>
      </c>
      <c r="I37" s="36">
        <f>COUNTA(B5:B34)</f>
        <v/>
      </c>
    </row>
    <row r="38">
      <c r="B38" s="25" t="inlineStr">
        <is>
          <t>Students ≥ 75%</t>
        </is>
      </c>
      <c r="I38" s="37">
        <f>COUNTIF(P5:P34,"&gt;="&amp;75)</f>
        <v/>
      </c>
    </row>
    <row r="39">
      <c r="B39" s="38" t="inlineStr">
        <is>
          <t>Students 65–74% (Warning)</t>
        </is>
      </c>
      <c r="I39" s="36">
        <f>COUNTIF(P5:P34,"&gt;="&amp;65)-COUNTIF(P5:P34,"&gt;="&amp;75)</f>
        <v/>
      </c>
    </row>
    <row r="40">
      <c r="B40" s="25" t="inlineStr">
        <is>
          <t>Students &lt; 65% (Defaulters)</t>
        </is>
      </c>
      <c r="I40" s="37">
        <f>COUNTIF(P5:P34,"&lt;"&amp;65)</f>
        <v/>
      </c>
    </row>
    <row r="41">
      <c r="B41" s="38" t="inlineStr">
        <is>
          <t>Class Average Attendance (%)</t>
        </is>
      </c>
      <c r="I41" s="36">
        <f>IFERROR(ROUND(AVERAGE(P5:P34),1),"")</f>
        <v/>
      </c>
    </row>
    <row r="42">
      <c r="B42" s="25" t="inlineStr">
        <is>
          <t>Defaulter List to be Circulated</t>
        </is>
      </c>
      <c r="I42" s="37">
        <f>IF(C41&gt;0,"YES — URGENT","No Action")</f>
        <v/>
      </c>
    </row>
  </sheetData>
  <mergeCells count="15">
    <mergeCell ref="B40:H40"/>
    <mergeCell ref="B41:H41"/>
    <mergeCell ref="I38:P38"/>
    <mergeCell ref="B36:P36"/>
    <mergeCell ref="B39:H39"/>
    <mergeCell ref="I40:P40"/>
    <mergeCell ref="I41:P41"/>
    <mergeCell ref="B38:H38"/>
    <mergeCell ref="I42:P42"/>
    <mergeCell ref="B42:H42"/>
    <mergeCell ref="B3:N3"/>
    <mergeCell ref="B2:N2"/>
    <mergeCell ref="B37:H37"/>
    <mergeCell ref="I39:P39"/>
    <mergeCell ref="I37:P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DAC-15 / DAC-16: SLOW LEARNER &amp; ADVANCED LEARNER SUPPORT REGISTER</t>
        </is>
      </c>
    </row>
    <row r="3" ht="20" customHeight="1">
      <c r="B3" s="17" t="inlineStr">
        <is>
          <t>Slow Learners: Identify by Week 3 using CIE-1 marks + attendance. Provide extra sessions, simplified notes, doubt clearing. Advanced Learners: Assign MOOCs, research papers, competitive problems, industry projects.</t>
        </is>
      </c>
    </row>
    <row r="4" ht="24" customHeight="1">
      <c r="B4" s="40" t="inlineStr">
        <is>
          <t>SECTION A — SLOW LEARNERS (Identified for Remedial Support)</t>
        </is>
      </c>
    </row>
    <row r="5" ht="22" customHeight="1">
      <c r="B5" s="41" t="inlineStr">
        <is>
          <t>Sl.</t>
        </is>
      </c>
      <c r="C5" s="41" t="inlineStr">
        <is>
          <t>Student Name</t>
        </is>
      </c>
      <c r="D5" s="41" t="inlineStr">
        <is>
          <t>Roll No.</t>
        </is>
      </c>
      <c r="E5" s="41" t="inlineStr">
        <is>
          <t>CIE-1
Marks</t>
        </is>
      </c>
      <c r="F5" s="41" t="inlineStr">
        <is>
          <t>Attendance
%</t>
        </is>
      </c>
      <c r="G5" s="41" t="inlineStr">
        <is>
          <t>Weak
Subjects</t>
        </is>
      </c>
      <c r="H5" s="41" t="inlineStr">
        <is>
          <t>Support
Given</t>
        </is>
      </c>
      <c r="I5" s="41" t="inlineStr">
        <is>
          <t>Progress
After Support</t>
        </is>
      </c>
      <c r="J5" s="41" t="inlineStr">
        <is>
          <t>Current
Status</t>
        </is>
      </c>
    </row>
    <row r="6" ht="22" customHeight="1">
      <c r="B6" s="42" t="n">
        <v>1</v>
      </c>
      <c r="C6" s="43" t="inlineStr"/>
      <c r="D6" s="44" t="inlineStr"/>
      <c r="E6" s="44" t="inlineStr"/>
      <c r="F6" s="44" t="inlineStr"/>
      <c r="G6" s="43" t="inlineStr"/>
      <c r="H6" s="43" t="inlineStr">
        <is>
          <t>Extra class (after hours)</t>
        </is>
      </c>
      <c r="I6" s="44" t="inlineStr">
        <is>
          <t>Improving — Satisfactory</t>
        </is>
      </c>
      <c r="J6" s="44" t="inlineStr">
        <is>
          <t>Active</t>
        </is>
      </c>
    </row>
    <row r="7" ht="22" customHeight="1">
      <c r="B7" s="8" t="n">
        <v>2</v>
      </c>
      <c r="C7" s="9" t="inlineStr"/>
      <c r="D7" s="10" t="inlineStr"/>
      <c r="E7" s="10" t="inlineStr"/>
      <c r="F7" s="10" t="inlineStr"/>
      <c r="G7" s="9" t="inlineStr"/>
      <c r="H7" s="9" t="inlineStr">
        <is>
          <t>One-on-one tutoring</t>
        </is>
      </c>
      <c r="I7" s="10" t="inlineStr">
        <is>
          <t>Stable — Needs Continued Support</t>
        </is>
      </c>
      <c r="J7" s="10" t="inlineStr">
        <is>
          <t>Active</t>
        </is>
      </c>
    </row>
    <row r="8" ht="22" customHeight="1">
      <c r="B8" s="42" t="n">
        <v>3</v>
      </c>
      <c r="C8" s="43" t="inlineStr"/>
      <c r="D8" s="44" t="inlineStr"/>
      <c r="E8" s="44" t="inlineStr"/>
      <c r="F8" s="44" t="inlineStr"/>
      <c r="G8" s="43" t="inlineStr"/>
      <c r="H8" s="43" t="inlineStr">
        <is>
          <t>Simplified notes provided</t>
        </is>
      </c>
      <c r="I8" s="44" t="inlineStr">
        <is>
          <t>No Improvement — Escalate</t>
        </is>
      </c>
      <c r="J8" s="44" t="inlineStr">
        <is>
          <t>Active</t>
        </is>
      </c>
    </row>
    <row r="9" ht="22" customHeight="1">
      <c r="B9" s="8" t="n">
        <v>4</v>
      </c>
      <c r="C9" s="9" t="inlineStr"/>
      <c r="D9" s="10" t="inlineStr"/>
      <c r="E9" s="10" t="inlineStr"/>
      <c r="F9" s="10" t="inlineStr"/>
      <c r="G9" s="9" t="inlineStr"/>
      <c r="H9" s="9" t="inlineStr">
        <is>
          <t>Peer tutoring assigned</t>
        </is>
      </c>
      <c r="I9" s="10" t="inlineStr">
        <is>
          <t>Dropped Subject</t>
        </is>
      </c>
      <c r="J9" s="10" t="inlineStr">
        <is>
          <t>Active</t>
        </is>
      </c>
    </row>
    <row r="10" ht="22" customHeight="1">
      <c r="B10" s="42" t="n">
        <v>5</v>
      </c>
      <c r="C10" s="43" t="inlineStr"/>
      <c r="D10" s="44" t="inlineStr"/>
      <c r="E10" s="44" t="inlineStr"/>
      <c r="F10" s="44" t="inlineStr"/>
      <c r="G10" s="43" t="inlineStr"/>
      <c r="H10" s="43" t="inlineStr">
        <is>
          <t>Online resource links</t>
        </is>
      </c>
      <c r="I10" s="44" t="inlineStr">
        <is>
          <t>Improved Significantly</t>
        </is>
      </c>
      <c r="J10" s="44" t="inlineStr">
        <is>
          <t>Active</t>
        </is>
      </c>
    </row>
    <row r="11" ht="22" customHeight="1">
      <c r="B11" s="8" t="n">
        <v>6</v>
      </c>
      <c r="C11" s="9" t="inlineStr"/>
      <c r="D11" s="10" t="inlineStr"/>
      <c r="E11" s="10" t="inlineStr"/>
      <c r="F11" s="10" t="inlineStr"/>
      <c r="G11" s="9" t="inlineStr"/>
      <c r="H11" s="9" t="inlineStr">
        <is>
          <t>Recorded video sessions</t>
        </is>
      </c>
      <c r="I11" s="10" t="inlineStr">
        <is>
          <t>Improving — Satisfactory</t>
        </is>
      </c>
      <c r="J11" s="10" t="inlineStr">
        <is>
          <t>Active</t>
        </is>
      </c>
    </row>
    <row r="12" ht="22" customHeight="1">
      <c r="B12" s="42" t="n">
        <v>7</v>
      </c>
      <c r="C12" s="43" t="inlineStr"/>
      <c r="D12" s="44" t="inlineStr"/>
      <c r="E12" s="44" t="inlineStr"/>
      <c r="F12" s="44" t="inlineStr"/>
      <c r="G12" s="43" t="inlineStr"/>
      <c r="H12" s="43" t="inlineStr">
        <is>
          <t>Additional assignments</t>
        </is>
      </c>
      <c r="I12" s="44" t="inlineStr">
        <is>
          <t>Stable — Needs Continued Support</t>
        </is>
      </c>
      <c r="J12" s="44" t="inlineStr">
        <is>
          <t>Active</t>
        </is>
      </c>
    </row>
    <row r="13" ht="22" customHeight="1">
      <c r="B13" s="8" t="n">
        <v>8</v>
      </c>
      <c r="C13" s="9" t="inlineStr"/>
      <c r="D13" s="10" t="inlineStr"/>
      <c r="E13" s="10" t="inlineStr"/>
      <c r="F13" s="10" t="inlineStr"/>
      <c r="G13" s="9" t="inlineStr"/>
      <c r="H13" s="9" t="inlineStr">
        <is>
          <t>Counselling + Mentoring</t>
        </is>
      </c>
      <c r="I13" s="10" t="inlineStr">
        <is>
          <t>No Improvement — Escalate</t>
        </is>
      </c>
      <c r="J13" s="10" t="inlineStr">
        <is>
          <t>Active</t>
        </is>
      </c>
    </row>
    <row r="14" ht="22" customHeight="1">
      <c r="B14" s="42" t="n">
        <v>9</v>
      </c>
      <c r="C14" s="43" t="inlineStr"/>
      <c r="D14" s="44" t="inlineStr"/>
      <c r="E14" s="44" t="inlineStr"/>
      <c r="F14" s="44" t="inlineStr"/>
      <c r="G14" s="43" t="inlineStr"/>
      <c r="H14" s="43" t="inlineStr">
        <is>
          <t>Extra class (after hours)</t>
        </is>
      </c>
      <c r="I14" s="44" t="inlineStr">
        <is>
          <t>Dropped Subject</t>
        </is>
      </c>
      <c r="J14" s="44" t="inlineStr">
        <is>
          <t>Active</t>
        </is>
      </c>
    </row>
    <row r="15" ht="22" customHeight="1">
      <c r="B15" s="8" t="n">
        <v>10</v>
      </c>
      <c r="C15" s="9" t="inlineStr"/>
      <c r="D15" s="10" t="inlineStr"/>
      <c r="E15" s="10" t="inlineStr"/>
      <c r="F15" s="10" t="inlineStr"/>
      <c r="G15" s="9" t="inlineStr"/>
      <c r="H15" s="9" t="inlineStr">
        <is>
          <t>One-on-one tutoring</t>
        </is>
      </c>
      <c r="I15" s="10" t="inlineStr">
        <is>
          <t>Improved Significantly</t>
        </is>
      </c>
      <c r="J15" s="10" t="inlineStr">
        <is>
          <t>Active</t>
        </is>
      </c>
    </row>
    <row r="16" ht="22" customHeight="1">
      <c r="B16" s="42" t="n">
        <v>11</v>
      </c>
      <c r="C16" s="43" t="inlineStr"/>
      <c r="D16" s="44" t="inlineStr"/>
      <c r="E16" s="44" t="inlineStr"/>
      <c r="F16" s="44" t="inlineStr"/>
      <c r="G16" s="43" t="inlineStr"/>
      <c r="H16" s="43" t="inlineStr">
        <is>
          <t>Simplified notes provided</t>
        </is>
      </c>
      <c r="I16" s="44" t="inlineStr">
        <is>
          <t>Improving — Satisfactory</t>
        </is>
      </c>
      <c r="J16" s="44" t="inlineStr">
        <is>
          <t>Active</t>
        </is>
      </c>
    </row>
    <row r="17" ht="22" customHeight="1">
      <c r="B17" s="8" t="n">
        <v>12</v>
      </c>
      <c r="C17" s="9" t="inlineStr"/>
      <c r="D17" s="10" t="inlineStr"/>
      <c r="E17" s="10" t="inlineStr"/>
      <c r="F17" s="10" t="inlineStr"/>
      <c r="G17" s="9" t="inlineStr"/>
      <c r="H17" s="9" t="inlineStr">
        <is>
          <t>Peer tutoring assigned</t>
        </is>
      </c>
      <c r="I17" s="10" t="inlineStr">
        <is>
          <t>Stable — Needs Continued Support</t>
        </is>
      </c>
      <c r="J17" s="10" t="inlineStr">
        <is>
          <t>Active</t>
        </is>
      </c>
    </row>
    <row r="18" ht="22" customHeight="1">
      <c r="B18" s="42" t="n">
        <v>13</v>
      </c>
      <c r="C18" s="43" t="inlineStr"/>
      <c r="D18" s="44" t="inlineStr"/>
      <c r="E18" s="44" t="inlineStr"/>
      <c r="F18" s="44" t="inlineStr"/>
      <c r="G18" s="43" t="inlineStr"/>
      <c r="H18" s="43" t="inlineStr">
        <is>
          <t>Online resource links</t>
        </is>
      </c>
      <c r="I18" s="44" t="inlineStr">
        <is>
          <t>No Improvement — Escalate</t>
        </is>
      </c>
      <c r="J18" s="44" t="inlineStr">
        <is>
          <t>Active</t>
        </is>
      </c>
    </row>
    <row r="19" ht="22" customHeight="1">
      <c r="B19" s="8" t="n">
        <v>14</v>
      </c>
      <c r="C19" s="9" t="inlineStr"/>
      <c r="D19" s="10" t="inlineStr"/>
      <c r="E19" s="10" t="inlineStr"/>
      <c r="F19" s="10" t="inlineStr"/>
      <c r="G19" s="9" t="inlineStr"/>
      <c r="H19" s="9" t="inlineStr">
        <is>
          <t>Recorded video sessions</t>
        </is>
      </c>
      <c r="I19" s="10" t="inlineStr">
        <is>
          <t>Dropped Subject</t>
        </is>
      </c>
      <c r="J19" s="10" t="inlineStr">
        <is>
          <t>Active</t>
        </is>
      </c>
    </row>
    <row r="20" ht="22" customHeight="1"/>
    <row r="21" ht="24" customHeight="1">
      <c r="B21" s="19" t="inlineStr">
        <is>
          <t>SECTION B — ADVANCED / MERIT LEARNERS</t>
        </is>
      </c>
    </row>
    <row r="22" ht="22" customHeight="1">
      <c r="B22" s="13" t="inlineStr">
        <is>
          <t>Sl.</t>
        </is>
      </c>
      <c r="C22" s="13" t="inlineStr">
        <is>
          <t>Student Name</t>
        </is>
      </c>
      <c r="D22" s="13" t="inlineStr">
        <is>
          <t>Roll No.</t>
        </is>
      </c>
      <c r="E22" s="13" t="inlineStr">
        <is>
          <t>CIE-1
Marks</t>
        </is>
      </c>
      <c r="F22" s="13" t="inlineStr">
        <is>
          <t>Rank in
Class</t>
        </is>
      </c>
      <c r="G22" s="13" t="inlineStr">
        <is>
          <t>Enrichment
Activity</t>
        </is>
      </c>
      <c r="H22" s="13" t="inlineStr">
        <is>
          <t>MOOC /
Certification</t>
        </is>
      </c>
      <c r="I22" s="13" t="inlineStr">
        <is>
          <t>Competition /
Research</t>
        </is>
      </c>
      <c r="J22" s="13" t="inlineStr">
        <is>
          <t>Status</t>
        </is>
      </c>
    </row>
    <row r="23" ht="22" customHeight="1">
      <c r="B23" s="14" t="n">
        <v>1</v>
      </c>
      <c r="C23" s="15" t="inlineStr"/>
      <c r="D23" s="16" t="inlineStr"/>
      <c r="E23" s="16" t="inlineStr"/>
      <c r="F23" s="16" t="inlineStr"/>
      <c r="G23" s="15" t="inlineStr">
        <is>
          <t>NPTEL / Coursera MOOC</t>
        </is>
      </c>
      <c r="H23" s="15" t="inlineStr"/>
      <c r="I23" s="15" t="inlineStr"/>
      <c r="J23" s="16" t="inlineStr">
        <is>
          <t>Active</t>
        </is>
      </c>
    </row>
    <row r="24" ht="22" customHeight="1">
      <c r="B24" s="8" t="n">
        <v>2</v>
      </c>
      <c r="C24" s="9" t="inlineStr"/>
      <c r="D24" s="10" t="inlineStr"/>
      <c r="E24" s="10" t="inlineStr"/>
      <c r="F24" s="10" t="inlineStr"/>
      <c r="G24" s="9" t="inlineStr">
        <is>
          <t>Research paper review assigned</t>
        </is>
      </c>
      <c r="H24" s="9" t="inlineStr"/>
      <c r="I24" s="9" t="inlineStr"/>
      <c r="J24" s="10" t="inlineStr">
        <is>
          <t>Active</t>
        </is>
      </c>
    </row>
    <row r="25" ht="22" customHeight="1">
      <c r="B25" s="14" t="n">
        <v>3</v>
      </c>
      <c r="C25" s="15" t="inlineStr"/>
      <c r="D25" s="16" t="inlineStr"/>
      <c r="E25" s="16" t="inlineStr"/>
      <c r="F25" s="16" t="inlineStr"/>
      <c r="G25" s="15" t="inlineStr">
        <is>
          <t>Competitive programming (LeetCode)</t>
        </is>
      </c>
      <c r="H25" s="15" t="inlineStr"/>
      <c r="I25" s="15" t="inlineStr"/>
      <c r="J25" s="16" t="inlineStr">
        <is>
          <t>Active</t>
        </is>
      </c>
    </row>
    <row r="26" ht="22" customHeight="1">
      <c r="B26" s="8" t="n">
        <v>4</v>
      </c>
      <c r="C26" s="9" t="inlineStr"/>
      <c r="D26" s="10" t="inlineStr"/>
      <c r="E26" s="10" t="inlineStr"/>
      <c r="F26" s="10" t="inlineStr"/>
      <c r="G26" s="9" t="inlineStr">
        <is>
          <t>Hackathon participation</t>
        </is>
      </c>
      <c r="H26" s="9" t="inlineStr"/>
      <c r="I26" s="9" t="inlineStr"/>
      <c r="J26" s="10" t="inlineStr">
        <is>
          <t>Active</t>
        </is>
      </c>
    </row>
    <row r="27" ht="22" customHeight="1">
      <c r="B27" s="14" t="n">
        <v>5</v>
      </c>
      <c r="C27" s="15" t="inlineStr"/>
      <c r="D27" s="16" t="inlineStr"/>
      <c r="E27" s="16" t="inlineStr"/>
      <c r="F27" s="16" t="inlineStr"/>
      <c r="G27" s="15" t="inlineStr">
        <is>
          <t>Industry project / internship</t>
        </is>
      </c>
      <c r="H27" s="15" t="inlineStr"/>
      <c r="I27" s="15" t="inlineStr"/>
      <c r="J27" s="16" t="inlineStr">
        <is>
          <t>Active</t>
        </is>
      </c>
    </row>
    <row r="28" ht="22" customHeight="1">
      <c r="B28" s="8" t="n">
        <v>6</v>
      </c>
      <c r="C28" s="9" t="inlineStr"/>
      <c r="D28" s="10" t="inlineStr"/>
      <c r="E28" s="10" t="inlineStr"/>
      <c r="F28" s="10" t="inlineStr"/>
      <c r="G28" s="9" t="inlineStr">
        <is>
          <t>Patent ideation workshop</t>
        </is>
      </c>
      <c r="H28" s="9" t="inlineStr"/>
      <c r="I28" s="9" t="inlineStr"/>
      <c r="J28" s="10" t="inlineStr">
        <is>
          <t>Active</t>
        </is>
      </c>
    </row>
    <row r="29" ht="22" customHeight="1">
      <c r="B29" s="14" t="n">
        <v>7</v>
      </c>
      <c r="C29" s="15" t="inlineStr"/>
      <c r="D29" s="16" t="inlineStr"/>
      <c r="E29" s="16" t="inlineStr"/>
      <c r="F29" s="16" t="inlineStr"/>
      <c r="G29" s="15" t="inlineStr">
        <is>
          <t>Advanced textbook chapter</t>
        </is>
      </c>
      <c r="H29" s="15" t="inlineStr"/>
      <c r="I29" s="15" t="inlineStr"/>
      <c r="J29" s="16" t="inlineStr">
        <is>
          <t>Active</t>
        </is>
      </c>
    </row>
    <row r="30" ht="22" customHeight="1">
      <c r="B30" s="8" t="n">
        <v>8</v>
      </c>
      <c r="C30" s="9" t="inlineStr"/>
      <c r="D30" s="10" t="inlineStr"/>
      <c r="E30" s="10" t="inlineStr"/>
      <c r="F30" s="10" t="inlineStr"/>
      <c r="G30" s="9" t="inlineStr">
        <is>
          <t>Guest lecture facilitation</t>
        </is>
      </c>
      <c r="H30" s="9" t="inlineStr"/>
      <c r="I30" s="9" t="inlineStr"/>
      <c r="J30" s="10" t="inlineStr">
        <is>
          <t>Active</t>
        </is>
      </c>
    </row>
    <row r="31" ht="22" customHeight="1">
      <c r="B31" s="14" t="n">
        <v>9</v>
      </c>
      <c r="C31" s="15" t="inlineStr"/>
      <c r="D31" s="16" t="inlineStr"/>
      <c r="E31" s="16" t="inlineStr"/>
      <c r="F31" s="16" t="inlineStr"/>
      <c r="G31" s="15" t="inlineStr">
        <is>
          <t>Teaching assistant role</t>
        </is>
      </c>
      <c r="H31" s="15" t="inlineStr"/>
      <c r="I31" s="15" t="inlineStr"/>
      <c r="J31" s="16" t="inlineStr">
        <is>
          <t>Active</t>
        </is>
      </c>
    </row>
    <row r="32" ht="22" customHeight="1">
      <c r="B32" s="8" t="n">
        <v>10</v>
      </c>
      <c r="C32" s="9" t="inlineStr"/>
      <c r="D32" s="10" t="inlineStr"/>
      <c r="E32" s="10" t="inlineStr"/>
      <c r="F32" s="10" t="inlineStr"/>
      <c r="G32" s="9" t="inlineStr">
        <is>
          <t>National / International Competition</t>
        </is>
      </c>
      <c r="H32" s="9" t="inlineStr"/>
      <c r="I32" s="9" t="inlineStr"/>
      <c r="J32" s="10" t="inlineStr">
        <is>
          <t>Active</t>
        </is>
      </c>
    </row>
    <row r="33" ht="22" customHeight="1">
      <c r="B33" s="14" t="n">
        <v>11</v>
      </c>
      <c r="C33" s="15" t="inlineStr"/>
      <c r="D33" s="16" t="inlineStr"/>
      <c r="E33" s="16" t="inlineStr"/>
      <c r="F33" s="16" t="inlineStr"/>
      <c r="G33" s="15" t="inlineStr">
        <is>
          <t>NPTEL / Coursera MOOC</t>
        </is>
      </c>
      <c r="H33" s="15" t="inlineStr"/>
      <c r="I33" s="15" t="inlineStr"/>
      <c r="J33" s="16" t="inlineStr">
        <is>
          <t>Active</t>
        </is>
      </c>
    </row>
    <row r="34" ht="22" customHeight="1">
      <c r="B34" s="8" t="n">
        <v>12</v>
      </c>
      <c r="C34" s="9" t="inlineStr"/>
      <c r="D34" s="10" t="inlineStr"/>
      <c r="E34" s="10" t="inlineStr"/>
      <c r="F34" s="10" t="inlineStr"/>
      <c r="G34" s="9" t="inlineStr">
        <is>
          <t>Research paper review assigned</t>
        </is>
      </c>
      <c r="H34" s="9" t="inlineStr"/>
      <c r="I34" s="9" t="inlineStr"/>
      <c r="J34" s="10" t="inlineStr">
        <is>
          <t>Active</t>
        </is>
      </c>
    </row>
    <row r="35" ht="22" customHeight="1"/>
    <row r="36" ht="24" customHeight="1">
      <c r="B36" s="34" t="inlineStr">
        <is>
          <t>SUPPORT PROGRAMME SUMMARY</t>
        </is>
      </c>
    </row>
    <row r="37">
      <c r="B37" s="38" t="inlineStr">
        <is>
          <t>Slow Learners Identified</t>
        </is>
      </c>
      <c r="F37" s="36">
        <f>COUNTA(B6:B19)</f>
        <v/>
      </c>
    </row>
    <row r="38">
      <c r="B38" s="25" t="inlineStr">
        <is>
          <t>Showing Improvement</t>
        </is>
      </c>
      <c r="F38" s="37">
        <f>COUNTIF(I6:I19,"Improving — Satisfactory")+COUNTIF(I6:I19,"Improved Significantly")</f>
        <v/>
      </c>
    </row>
    <row r="39">
      <c r="B39" s="38" t="inlineStr">
        <is>
          <t>Needing Escalation</t>
        </is>
      </c>
      <c r="F39" s="36">
        <f>COUNTIF(I6:I19,"No Improvement — Escalate")</f>
        <v/>
      </c>
    </row>
    <row r="40">
      <c r="B40" s="25" t="inlineStr">
        <is>
          <t>Advanced Learners Identified</t>
        </is>
      </c>
      <c r="F40" s="37">
        <f>COUNTA(B23:B34)</f>
        <v/>
      </c>
    </row>
    <row r="41">
      <c r="B41" s="38" t="inlineStr">
        <is>
          <t>MOOCs / Certifications Enrolled</t>
        </is>
      </c>
      <c r="F41" s="36">
        <f>COUNTIF(H23:H34,"&lt;&gt;"&amp;"")</f>
        <v/>
      </c>
    </row>
    <row r="42">
      <c r="B42" s="25" t="inlineStr">
        <is>
          <t>Competition / Research Participation</t>
        </is>
      </c>
      <c r="F42" s="37">
        <f>COUNTIF(I23:I34,"&lt;&gt;"&amp;"")</f>
        <v/>
      </c>
    </row>
  </sheetData>
  <mergeCells count="17">
    <mergeCell ref="B40:E40"/>
    <mergeCell ref="B41:E41"/>
    <mergeCell ref="B3:J3"/>
    <mergeCell ref="F37:J37"/>
    <mergeCell ref="F39:J39"/>
    <mergeCell ref="F40:J40"/>
    <mergeCell ref="B36:J36"/>
    <mergeCell ref="F38:J38"/>
    <mergeCell ref="B38:E38"/>
    <mergeCell ref="F42:J42"/>
    <mergeCell ref="B39:E39"/>
    <mergeCell ref="B4:J4"/>
    <mergeCell ref="B37:E37"/>
    <mergeCell ref="F41:J41"/>
    <mergeCell ref="B42:E42"/>
    <mergeCell ref="B21:J21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N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3" customWidth="1" min="15" max="15"/>
  </cols>
  <sheetData>
    <row r="1" ht="10" customHeight="1"/>
    <row r="2" ht="48" customHeight="1">
      <c r="B2" s="12" t="inlineStr">
        <is>
          <t>DAC-20 / 21 / 22: CIE MARKS ENTRY &amp; VERIFICATION REGISTER</t>
        </is>
      </c>
    </row>
    <row r="3" ht="20" customHeight="1">
      <c r="B3" s="17" t="inlineStr">
        <is>
          <t>CIE marks must be entered within 7 days of test. Students must sign verified marks sheet. Best 2 of 3 CIE tests counted for final CIE marks (or as per university norms). Display on notice board and ERP portal.</t>
        </is>
      </c>
    </row>
    <row r="4" ht="25" customHeight="1">
      <c r="B4" s="2" t="inlineStr">
        <is>
          <t>Course: _______  Faculty: _______  Max Marks per CIE: _______  Final CIE Max Marks: _______  Sem.: _______</t>
        </is>
      </c>
    </row>
    <row r="5" ht="22" customHeight="1">
      <c r="B5" s="13" t="inlineStr">
        <is>
          <t>Roll
No.</t>
        </is>
      </c>
      <c r="C5" s="13" t="inlineStr">
        <is>
          <t>Student Name</t>
        </is>
      </c>
      <c r="D5" s="13" t="inlineStr">
        <is>
          <t>CIE-1
(/20)</t>
        </is>
      </c>
      <c r="E5" s="13" t="inlineStr">
        <is>
          <t>CIE-2
(/20)</t>
        </is>
      </c>
      <c r="F5" s="13" t="inlineStr">
        <is>
          <t>CIE-3
(/20)</t>
        </is>
      </c>
      <c r="G5" s="13" t="inlineStr">
        <is>
          <t>Best 2
Avg (/20)</t>
        </is>
      </c>
      <c r="H5" s="13" t="inlineStr">
        <is>
          <t>Assignment
(/10)</t>
        </is>
      </c>
      <c r="I5" s="13" t="inlineStr">
        <is>
          <t>Lab /
Practical
(/10)</t>
        </is>
      </c>
      <c r="J5" s="13" t="inlineStr">
        <is>
          <t>Quiz
(/10)</t>
        </is>
      </c>
      <c r="K5" s="13" t="inlineStr">
        <is>
          <t>Other
(/10)</t>
        </is>
      </c>
      <c r="L5" s="13" t="inlineStr">
        <is>
          <t>Total
Internal
(/50)</t>
        </is>
      </c>
      <c r="M5" s="13" t="inlineStr">
        <is>
          <t>Student
Signature</t>
        </is>
      </c>
      <c r="N5" s="13" t="inlineStr">
        <is>
          <t>Verified
By</t>
        </is>
      </c>
    </row>
    <row r="6" ht="22" customHeight="1">
      <c r="B6" s="16" t="inlineStr"/>
      <c r="C6" s="15" t="inlineStr"/>
      <c r="D6" s="16" t="inlineStr"/>
      <c r="E6" s="16" t="inlineStr"/>
      <c r="F6" s="16" t="inlineStr"/>
      <c r="G6" s="39">
        <f>IFERROR(ROUND((D6+E6+F6-MIN(D6,E6,F6))/2,1),"")</f>
        <v/>
      </c>
      <c r="H6" s="16" t="inlineStr"/>
      <c r="I6" s="16" t="inlineStr"/>
      <c r="J6" s="16" t="inlineStr"/>
      <c r="K6" s="16" t="inlineStr"/>
      <c r="L6" s="39">
        <f>IFERROR(ROUND(G6+H6+I6+J6+K6,1),"")</f>
        <v/>
      </c>
      <c r="M6" s="16" t="inlineStr"/>
      <c r="N6" s="16" t="inlineStr"/>
    </row>
    <row r="7" ht="22" customHeight="1">
      <c r="B7" s="10" t="inlineStr"/>
      <c r="C7" s="9" t="inlineStr"/>
      <c r="D7" s="10" t="inlineStr"/>
      <c r="E7" s="10" t="inlineStr"/>
      <c r="F7" s="10" t="inlineStr"/>
      <c r="G7" s="37">
        <f>IFERROR(ROUND((D7+E7+F7-MIN(D7,E7,F7))/2,1),"")</f>
        <v/>
      </c>
      <c r="H7" s="10" t="inlineStr"/>
      <c r="I7" s="10" t="inlineStr"/>
      <c r="J7" s="10" t="inlineStr"/>
      <c r="K7" s="10" t="inlineStr"/>
      <c r="L7" s="37">
        <f>IFERROR(ROUND(G7+H7+I7+J7+K7,1),"")</f>
        <v/>
      </c>
      <c r="M7" s="10" t="inlineStr"/>
      <c r="N7" s="10" t="inlineStr"/>
    </row>
    <row r="8" ht="22" customHeight="1">
      <c r="B8" s="16" t="inlineStr"/>
      <c r="C8" s="15" t="inlineStr"/>
      <c r="D8" s="16" t="inlineStr"/>
      <c r="E8" s="16" t="inlineStr"/>
      <c r="F8" s="16" t="inlineStr"/>
      <c r="G8" s="39">
        <f>IFERROR(ROUND((D8+E8+F8-MIN(D8,E8,F8))/2,1),"")</f>
        <v/>
      </c>
      <c r="H8" s="16" t="inlineStr"/>
      <c r="I8" s="16" t="inlineStr"/>
      <c r="J8" s="16" t="inlineStr"/>
      <c r="K8" s="16" t="inlineStr"/>
      <c r="L8" s="39">
        <f>IFERROR(ROUND(G8+H8+I8+J8+K8,1),"")</f>
        <v/>
      </c>
      <c r="M8" s="16" t="inlineStr"/>
      <c r="N8" s="16" t="inlineStr"/>
    </row>
    <row r="9" ht="22" customHeight="1">
      <c r="B9" s="10" t="inlineStr"/>
      <c r="C9" s="9" t="inlineStr"/>
      <c r="D9" s="10" t="inlineStr"/>
      <c r="E9" s="10" t="inlineStr"/>
      <c r="F9" s="10" t="inlineStr"/>
      <c r="G9" s="37">
        <f>IFERROR(ROUND((D9+E9+F9-MIN(D9,E9,F9))/2,1),"")</f>
        <v/>
      </c>
      <c r="H9" s="10" t="inlineStr"/>
      <c r="I9" s="10" t="inlineStr"/>
      <c r="J9" s="10" t="inlineStr"/>
      <c r="K9" s="10" t="inlineStr"/>
      <c r="L9" s="37">
        <f>IFERROR(ROUND(G9+H9+I9+J9+K9,1),"")</f>
        <v/>
      </c>
      <c r="M9" s="10" t="inlineStr"/>
      <c r="N9" s="10" t="inlineStr"/>
    </row>
    <row r="10" ht="22" customHeight="1">
      <c r="B10" s="16" t="inlineStr"/>
      <c r="C10" s="15" t="inlineStr"/>
      <c r="D10" s="16" t="inlineStr"/>
      <c r="E10" s="16" t="inlineStr"/>
      <c r="F10" s="16" t="inlineStr"/>
      <c r="G10" s="39">
        <f>IFERROR(ROUND((D10+E10+F10-MIN(D10,E10,F10))/2,1),"")</f>
        <v/>
      </c>
      <c r="H10" s="16" t="inlineStr"/>
      <c r="I10" s="16" t="inlineStr"/>
      <c r="J10" s="16" t="inlineStr"/>
      <c r="K10" s="16" t="inlineStr"/>
      <c r="L10" s="39">
        <f>IFERROR(ROUND(G10+H10+I10+J10+K10,1),"")</f>
        <v/>
      </c>
      <c r="M10" s="16" t="inlineStr"/>
      <c r="N10" s="16" t="inlineStr"/>
    </row>
    <row r="11" ht="22" customHeight="1">
      <c r="B11" s="10" t="inlineStr"/>
      <c r="C11" s="9" t="inlineStr"/>
      <c r="D11" s="10" t="inlineStr"/>
      <c r="E11" s="10" t="inlineStr"/>
      <c r="F11" s="10" t="inlineStr"/>
      <c r="G11" s="37">
        <f>IFERROR(ROUND((D11+E11+F11-MIN(D11,E11,F11))/2,1),"")</f>
        <v/>
      </c>
      <c r="H11" s="10" t="inlineStr"/>
      <c r="I11" s="10" t="inlineStr"/>
      <c r="J11" s="10" t="inlineStr"/>
      <c r="K11" s="10" t="inlineStr"/>
      <c r="L11" s="37">
        <f>IFERROR(ROUND(G11+H11+I11+J11+K11,1),"")</f>
        <v/>
      </c>
      <c r="M11" s="10" t="inlineStr"/>
      <c r="N11" s="10" t="inlineStr"/>
    </row>
    <row r="12" ht="22" customHeight="1">
      <c r="B12" s="16" t="inlineStr"/>
      <c r="C12" s="15" t="inlineStr"/>
      <c r="D12" s="16" t="inlineStr"/>
      <c r="E12" s="16" t="inlineStr"/>
      <c r="F12" s="16" t="inlineStr"/>
      <c r="G12" s="39">
        <f>IFERROR(ROUND((D12+E12+F12-MIN(D12,E12,F12))/2,1),"")</f>
        <v/>
      </c>
      <c r="H12" s="16" t="inlineStr"/>
      <c r="I12" s="16" t="inlineStr"/>
      <c r="J12" s="16" t="inlineStr"/>
      <c r="K12" s="16" t="inlineStr"/>
      <c r="L12" s="39">
        <f>IFERROR(ROUND(G12+H12+I12+J12+K12,1),"")</f>
        <v/>
      </c>
      <c r="M12" s="16" t="inlineStr"/>
      <c r="N12" s="16" t="inlineStr"/>
    </row>
    <row r="13" ht="22" customHeight="1">
      <c r="B13" s="10" t="inlineStr"/>
      <c r="C13" s="9" t="inlineStr"/>
      <c r="D13" s="10" t="inlineStr"/>
      <c r="E13" s="10" t="inlineStr"/>
      <c r="F13" s="10" t="inlineStr"/>
      <c r="G13" s="37">
        <f>IFERROR(ROUND((D13+E13+F13-MIN(D13,E13,F13))/2,1),"")</f>
        <v/>
      </c>
      <c r="H13" s="10" t="inlineStr"/>
      <c r="I13" s="10" t="inlineStr"/>
      <c r="J13" s="10" t="inlineStr"/>
      <c r="K13" s="10" t="inlineStr"/>
      <c r="L13" s="37">
        <f>IFERROR(ROUND(G13+H13+I13+J13+K13,1),"")</f>
        <v/>
      </c>
      <c r="M13" s="10" t="inlineStr"/>
      <c r="N13" s="10" t="inlineStr"/>
    </row>
    <row r="14" ht="22" customHeight="1">
      <c r="B14" s="16" t="inlineStr"/>
      <c r="C14" s="15" t="inlineStr"/>
      <c r="D14" s="16" t="inlineStr"/>
      <c r="E14" s="16" t="inlineStr"/>
      <c r="F14" s="16" t="inlineStr"/>
      <c r="G14" s="39">
        <f>IFERROR(ROUND((D14+E14+F14-MIN(D14,E14,F14))/2,1),"")</f>
        <v/>
      </c>
      <c r="H14" s="16" t="inlineStr"/>
      <c r="I14" s="16" t="inlineStr"/>
      <c r="J14" s="16" t="inlineStr"/>
      <c r="K14" s="16" t="inlineStr"/>
      <c r="L14" s="39">
        <f>IFERROR(ROUND(G14+H14+I14+J14+K14,1),"")</f>
        <v/>
      </c>
      <c r="M14" s="16" t="inlineStr"/>
      <c r="N14" s="16" t="inlineStr"/>
    </row>
    <row r="15" ht="22" customHeight="1">
      <c r="B15" s="10" t="inlineStr"/>
      <c r="C15" s="9" t="inlineStr"/>
      <c r="D15" s="10" t="inlineStr"/>
      <c r="E15" s="10" t="inlineStr"/>
      <c r="F15" s="10" t="inlineStr"/>
      <c r="G15" s="37">
        <f>IFERROR(ROUND((D15+E15+F15-MIN(D15,E15,F15))/2,1),"")</f>
        <v/>
      </c>
      <c r="H15" s="10" t="inlineStr"/>
      <c r="I15" s="10" t="inlineStr"/>
      <c r="J15" s="10" t="inlineStr"/>
      <c r="K15" s="10" t="inlineStr"/>
      <c r="L15" s="37">
        <f>IFERROR(ROUND(G15+H15+I15+J15+K15,1),"")</f>
        <v/>
      </c>
      <c r="M15" s="10" t="inlineStr"/>
      <c r="N15" s="10" t="inlineStr"/>
    </row>
    <row r="16" ht="22" customHeight="1">
      <c r="B16" s="16" t="inlineStr"/>
      <c r="C16" s="15" t="inlineStr"/>
      <c r="D16" s="16" t="inlineStr"/>
      <c r="E16" s="16" t="inlineStr"/>
      <c r="F16" s="16" t="inlineStr"/>
      <c r="G16" s="39">
        <f>IFERROR(ROUND((D16+E16+F16-MIN(D16,E16,F16))/2,1),"")</f>
        <v/>
      </c>
      <c r="H16" s="16" t="inlineStr"/>
      <c r="I16" s="16" t="inlineStr"/>
      <c r="J16" s="16" t="inlineStr"/>
      <c r="K16" s="16" t="inlineStr"/>
      <c r="L16" s="39">
        <f>IFERROR(ROUND(G16+H16+I16+J16+K16,1),"")</f>
        <v/>
      </c>
      <c r="M16" s="16" t="inlineStr"/>
      <c r="N16" s="16" t="inlineStr"/>
    </row>
    <row r="17" ht="22" customHeight="1">
      <c r="B17" s="10" t="inlineStr"/>
      <c r="C17" s="9" t="inlineStr"/>
      <c r="D17" s="10" t="inlineStr"/>
      <c r="E17" s="10" t="inlineStr"/>
      <c r="F17" s="10" t="inlineStr"/>
      <c r="G17" s="37">
        <f>IFERROR(ROUND((D17+E17+F17-MIN(D17,E17,F17))/2,1),"")</f>
        <v/>
      </c>
      <c r="H17" s="10" t="inlineStr"/>
      <c r="I17" s="10" t="inlineStr"/>
      <c r="J17" s="10" t="inlineStr"/>
      <c r="K17" s="10" t="inlineStr"/>
      <c r="L17" s="37">
        <f>IFERROR(ROUND(G17+H17+I17+J17+K17,1),"")</f>
        <v/>
      </c>
      <c r="M17" s="10" t="inlineStr"/>
      <c r="N17" s="10" t="inlineStr"/>
    </row>
    <row r="18" ht="22" customHeight="1">
      <c r="B18" s="16" t="inlineStr"/>
      <c r="C18" s="15" t="inlineStr"/>
      <c r="D18" s="16" t="inlineStr"/>
      <c r="E18" s="16" t="inlineStr"/>
      <c r="F18" s="16" t="inlineStr"/>
      <c r="G18" s="39">
        <f>IFERROR(ROUND((D18+E18+F18-MIN(D18,E18,F18))/2,1),"")</f>
        <v/>
      </c>
      <c r="H18" s="16" t="inlineStr"/>
      <c r="I18" s="16" t="inlineStr"/>
      <c r="J18" s="16" t="inlineStr"/>
      <c r="K18" s="16" t="inlineStr"/>
      <c r="L18" s="39">
        <f>IFERROR(ROUND(G18+H18+I18+J18+K18,1),"")</f>
        <v/>
      </c>
      <c r="M18" s="16" t="inlineStr"/>
      <c r="N18" s="16" t="inlineStr"/>
    </row>
    <row r="19" ht="22" customHeight="1">
      <c r="B19" s="10" t="inlineStr"/>
      <c r="C19" s="9" t="inlineStr"/>
      <c r="D19" s="10" t="inlineStr"/>
      <c r="E19" s="10" t="inlineStr"/>
      <c r="F19" s="10" t="inlineStr"/>
      <c r="G19" s="37">
        <f>IFERROR(ROUND((D19+E19+F19-MIN(D19,E19,F19))/2,1),"")</f>
        <v/>
      </c>
      <c r="H19" s="10" t="inlineStr"/>
      <c r="I19" s="10" t="inlineStr"/>
      <c r="J19" s="10" t="inlineStr"/>
      <c r="K19" s="10" t="inlineStr"/>
      <c r="L19" s="37">
        <f>IFERROR(ROUND(G19+H19+I19+J19+K19,1),"")</f>
        <v/>
      </c>
      <c r="M19" s="10" t="inlineStr"/>
      <c r="N19" s="10" t="inlineStr"/>
    </row>
    <row r="20" ht="22" customHeight="1">
      <c r="B20" s="16" t="inlineStr"/>
      <c r="C20" s="15" t="inlineStr"/>
      <c r="D20" s="16" t="inlineStr"/>
      <c r="E20" s="16" t="inlineStr"/>
      <c r="F20" s="16" t="inlineStr"/>
      <c r="G20" s="39">
        <f>IFERROR(ROUND((D20+E20+F20-MIN(D20,E20,F20))/2,1),"")</f>
        <v/>
      </c>
      <c r="H20" s="16" t="inlineStr"/>
      <c r="I20" s="16" t="inlineStr"/>
      <c r="J20" s="16" t="inlineStr"/>
      <c r="K20" s="16" t="inlineStr"/>
      <c r="L20" s="39">
        <f>IFERROR(ROUND(G20+H20+I20+J20+K20,1),"")</f>
        <v/>
      </c>
      <c r="M20" s="16" t="inlineStr"/>
      <c r="N20" s="16" t="inlineStr"/>
    </row>
    <row r="21" ht="22" customHeight="1">
      <c r="B21" s="10" t="inlineStr"/>
      <c r="C21" s="9" t="inlineStr"/>
      <c r="D21" s="10" t="inlineStr"/>
      <c r="E21" s="10" t="inlineStr"/>
      <c r="F21" s="10" t="inlineStr"/>
      <c r="G21" s="37">
        <f>IFERROR(ROUND((D21+E21+F21-MIN(D21,E21,F21))/2,1),"")</f>
        <v/>
      </c>
      <c r="H21" s="10" t="inlineStr"/>
      <c r="I21" s="10" t="inlineStr"/>
      <c r="J21" s="10" t="inlineStr"/>
      <c r="K21" s="10" t="inlineStr"/>
      <c r="L21" s="37">
        <f>IFERROR(ROUND(G21+H21+I21+J21+K21,1),"")</f>
        <v/>
      </c>
      <c r="M21" s="10" t="inlineStr"/>
      <c r="N21" s="10" t="inlineStr"/>
    </row>
    <row r="22" ht="22" customHeight="1">
      <c r="B22" s="16" t="inlineStr"/>
      <c r="C22" s="15" t="inlineStr"/>
      <c r="D22" s="16" t="inlineStr"/>
      <c r="E22" s="16" t="inlineStr"/>
      <c r="F22" s="16" t="inlineStr"/>
      <c r="G22" s="39">
        <f>IFERROR(ROUND((D22+E22+F22-MIN(D22,E22,F22))/2,1),"")</f>
        <v/>
      </c>
      <c r="H22" s="16" t="inlineStr"/>
      <c r="I22" s="16" t="inlineStr"/>
      <c r="J22" s="16" t="inlineStr"/>
      <c r="K22" s="16" t="inlineStr"/>
      <c r="L22" s="39">
        <f>IFERROR(ROUND(G22+H22+I22+J22+K22,1),"")</f>
        <v/>
      </c>
      <c r="M22" s="16" t="inlineStr"/>
      <c r="N22" s="16" t="inlineStr"/>
    </row>
    <row r="23" ht="22" customHeight="1">
      <c r="B23" s="10" t="inlineStr"/>
      <c r="C23" s="9" t="inlineStr"/>
      <c r="D23" s="10" t="inlineStr"/>
      <c r="E23" s="10" t="inlineStr"/>
      <c r="F23" s="10" t="inlineStr"/>
      <c r="G23" s="37">
        <f>IFERROR(ROUND((D23+E23+F23-MIN(D23,E23,F23))/2,1),"")</f>
        <v/>
      </c>
      <c r="H23" s="10" t="inlineStr"/>
      <c r="I23" s="10" t="inlineStr"/>
      <c r="J23" s="10" t="inlineStr"/>
      <c r="K23" s="10" t="inlineStr"/>
      <c r="L23" s="37">
        <f>IFERROR(ROUND(G23+H23+I23+J23+K23,1),"")</f>
        <v/>
      </c>
      <c r="M23" s="10" t="inlineStr"/>
      <c r="N23" s="10" t="inlineStr"/>
    </row>
    <row r="24" ht="22" customHeight="1">
      <c r="B24" s="16" t="inlineStr"/>
      <c r="C24" s="15" t="inlineStr"/>
      <c r="D24" s="16" t="inlineStr"/>
      <c r="E24" s="16" t="inlineStr"/>
      <c r="F24" s="16" t="inlineStr"/>
      <c r="G24" s="39">
        <f>IFERROR(ROUND((D24+E24+F24-MIN(D24,E24,F24))/2,1),"")</f>
        <v/>
      </c>
      <c r="H24" s="16" t="inlineStr"/>
      <c r="I24" s="16" t="inlineStr"/>
      <c r="J24" s="16" t="inlineStr"/>
      <c r="K24" s="16" t="inlineStr"/>
      <c r="L24" s="39">
        <f>IFERROR(ROUND(G24+H24+I24+J24+K24,1),"")</f>
        <v/>
      </c>
      <c r="M24" s="16" t="inlineStr"/>
      <c r="N24" s="16" t="inlineStr"/>
    </row>
    <row r="25" ht="22" customHeight="1">
      <c r="B25" s="10" t="inlineStr"/>
      <c r="C25" s="9" t="inlineStr"/>
      <c r="D25" s="10" t="inlineStr"/>
      <c r="E25" s="10" t="inlineStr"/>
      <c r="F25" s="10" t="inlineStr"/>
      <c r="G25" s="37">
        <f>IFERROR(ROUND((D25+E25+F25-MIN(D25,E25,F25))/2,1),"")</f>
        <v/>
      </c>
      <c r="H25" s="10" t="inlineStr"/>
      <c r="I25" s="10" t="inlineStr"/>
      <c r="J25" s="10" t="inlineStr"/>
      <c r="K25" s="10" t="inlineStr"/>
      <c r="L25" s="37">
        <f>IFERROR(ROUND(G25+H25+I25+J25+K25,1),"")</f>
        <v/>
      </c>
      <c r="M25" s="10" t="inlineStr"/>
      <c r="N25" s="10" t="inlineStr"/>
    </row>
    <row r="26" ht="22" customHeight="1">
      <c r="B26" s="16" t="inlineStr"/>
      <c r="C26" s="15" t="inlineStr"/>
      <c r="D26" s="16" t="inlineStr"/>
      <c r="E26" s="16" t="inlineStr"/>
      <c r="F26" s="16" t="inlineStr"/>
      <c r="G26" s="39">
        <f>IFERROR(ROUND((D26+E26+F26-MIN(D26,E26,F26))/2,1),"")</f>
        <v/>
      </c>
      <c r="H26" s="16" t="inlineStr"/>
      <c r="I26" s="16" t="inlineStr"/>
      <c r="J26" s="16" t="inlineStr"/>
      <c r="K26" s="16" t="inlineStr"/>
      <c r="L26" s="39">
        <f>IFERROR(ROUND(G26+H26+I26+J26+K26,1),"")</f>
        <v/>
      </c>
      <c r="M26" s="16" t="inlineStr"/>
      <c r="N26" s="16" t="inlineStr"/>
    </row>
    <row r="27" ht="22" customHeight="1">
      <c r="B27" s="10" t="inlineStr"/>
      <c r="C27" s="9" t="inlineStr"/>
      <c r="D27" s="10" t="inlineStr"/>
      <c r="E27" s="10" t="inlineStr"/>
      <c r="F27" s="10" t="inlineStr"/>
      <c r="G27" s="37">
        <f>IFERROR(ROUND((D27+E27+F27-MIN(D27,E27,F27))/2,1),"")</f>
        <v/>
      </c>
      <c r="H27" s="10" t="inlineStr"/>
      <c r="I27" s="10" t="inlineStr"/>
      <c r="J27" s="10" t="inlineStr"/>
      <c r="K27" s="10" t="inlineStr"/>
      <c r="L27" s="37">
        <f>IFERROR(ROUND(G27+H27+I27+J27+K27,1),"")</f>
        <v/>
      </c>
      <c r="M27" s="10" t="inlineStr"/>
      <c r="N27" s="10" t="inlineStr"/>
    </row>
    <row r="28" ht="22" customHeight="1">
      <c r="B28" s="16" t="inlineStr"/>
      <c r="C28" s="15" t="inlineStr"/>
      <c r="D28" s="16" t="inlineStr"/>
      <c r="E28" s="16" t="inlineStr"/>
      <c r="F28" s="16" t="inlineStr"/>
      <c r="G28" s="39">
        <f>IFERROR(ROUND((D28+E28+F28-MIN(D28,E28,F28))/2,1),"")</f>
        <v/>
      </c>
      <c r="H28" s="16" t="inlineStr"/>
      <c r="I28" s="16" t="inlineStr"/>
      <c r="J28" s="16" t="inlineStr"/>
      <c r="K28" s="16" t="inlineStr"/>
      <c r="L28" s="39">
        <f>IFERROR(ROUND(G28+H28+I28+J28+K28,1),"")</f>
        <v/>
      </c>
      <c r="M28" s="16" t="inlineStr"/>
      <c r="N28" s="16" t="inlineStr"/>
    </row>
    <row r="29" ht="22" customHeight="1">
      <c r="B29" s="10" t="inlineStr"/>
      <c r="C29" s="9" t="inlineStr"/>
      <c r="D29" s="10" t="inlineStr"/>
      <c r="E29" s="10" t="inlineStr"/>
      <c r="F29" s="10" t="inlineStr"/>
      <c r="G29" s="37">
        <f>IFERROR(ROUND((D29+E29+F29-MIN(D29,E29,F29))/2,1),"")</f>
        <v/>
      </c>
      <c r="H29" s="10" t="inlineStr"/>
      <c r="I29" s="10" t="inlineStr"/>
      <c r="J29" s="10" t="inlineStr"/>
      <c r="K29" s="10" t="inlineStr"/>
      <c r="L29" s="37">
        <f>IFERROR(ROUND(G29+H29+I29+J29+K29,1),"")</f>
        <v/>
      </c>
      <c r="M29" s="10" t="inlineStr"/>
      <c r="N29" s="10" t="inlineStr"/>
    </row>
    <row r="30" ht="22" customHeight="1">
      <c r="B30" s="16" t="inlineStr"/>
      <c r="C30" s="15" t="inlineStr"/>
      <c r="D30" s="16" t="inlineStr"/>
      <c r="E30" s="16" t="inlineStr"/>
      <c r="F30" s="16" t="inlineStr"/>
      <c r="G30" s="39">
        <f>IFERROR(ROUND((D30+E30+F30-MIN(D30,E30,F30))/2,1),"")</f>
        <v/>
      </c>
      <c r="H30" s="16" t="inlineStr"/>
      <c r="I30" s="16" t="inlineStr"/>
      <c r="J30" s="16" t="inlineStr"/>
      <c r="K30" s="16" t="inlineStr"/>
      <c r="L30" s="39">
        <f>IFERROR(ROUND(G30+H30+I30+J30+K30,1),"")</f>
        <v/>
      </c>
      <c r="M30" s="16" t="inlineStr"/>
      <c r="N30" s="16" t="inlineStr"/>
    </row>
    <row r="31" ht="22" customHeight="1">
      <c r="B31" s="10" t="inlineStr"/>
      <c r="C31" s="9" t="inlineStr"/>
      <c r="D31" s="10" t="inlineStr"/>
      <c r="E31" s="10" t="inlineStr"/>
      <c r="F31" s="10" t="inlineStr"/>
      <c r="G31" s="37">
        <f>IFERROR(ROUND((D31+E31+F31-MIN(D31,E31,F31))/2,1),"")</f>
        <v/>
      </c>
      <c r="H31" s="10" t="inlineStr"/>
      <c r="I31" s="10" t="inlineStr"/>
      <c r="J31" s="10" t="inlineStr"/>
      <c r="K31" s="10" t="inlineStr"/>
      <c r="L31" s="37">
        <f>IFERROR(ROUND(G31+H31+I31+J31+K31,1),"")</f>
        <v/>
      </c>
      <c r="M31" s="10" t="inlineStr"/>
      <c r="N31" s="10" t="inlineStr"/>
    </row>
    <row r="32" ht="22" customHeight="1">
      <c r="B32" s="16" t="inlineStr"/>
      <c r="C32" s="15" t="inlineStr"/>
      <c r="D32" s="16" t="inlineStr"/>
      <c r="E32" s="16" t="inlineStr"/>
      <c r="F32" s="16" t="inlineStr"/>
      <c r="G32" s="39">
        <f>IFERROR(ROUND((D32+E32+F32-MIN(D32,E32,F32))/2,1),"")</f>
        <v/>
      </c>
      <c r="H32" s="16" t="inlineStr"/>
      <c r="I32" s="16" t="inlineStr"/>
      <c r="J32" s="16" t="inlineStr"/>
      <c r="K32" s="16" t="inlineStr"/>
      <c r="L32" s="39">
        <f>IFERROR(ROUND(G32+H32+I32+J32+K32,1),"")</f>
        <v/>
      </c>
      <c r="M32" s="16" t="inlineStr"/>
      <c r="N32" s="16" t="inlineStr"/>
    </row>
    <row r="33" ht="22" customHeight="1">
      <c r="B33" s="10" t="inlineStr"/>
      <c r="C33" s="9" t="inlineStr"/>
      <c r="D33" s="10" t="inlineStr"/>
      <c r="E33" s="10" t="inlineStr"/>
      <c r="F33" s="10" t="inlineStr"/>
      <c r="G33" s="37">
        <f>IFERROR(ROUND((D33+E33+F33-MIN(D33,E33,F33))/2,1),"")</f>
        <v/>
      </c>
      <c r="H33" s="10" t="inlineStr"/>
      <c r="I33" s="10" t="inlineStr"/>
      <c r="J33" s="10" t="inlineStr"/>
      <c r="K33" s="10" t="inlineStr"/>
      <c r="L33" s="37">
        <f>IFERROR(ROUND(G33+H33+I33+J33+K33,1),"")</f>
        <v/>
      </c>
      <c r="M33" s="10" t="inlineStr"/>
      <c r="N33" s="10" t="inlineStr"/>
    </row>
    <row r="34" ht="22" customHeight="1">
      <c r="B34" s="16" t="inlineStr"/>
      <c r="C34" s="15" t="inlineStr"/>
      <c r="D34" s="16" t="inlineStr"/>
      <c r="E34" s="16" t="inlineStr"/>
      <c r="F34" s="16" t="inlineStr"/>
      <c r="G34" s="39">
        <f>IFERROR(ROUND((D34+E34+F34-MIN(D34,E34,F34))/2,1),"")</f>
        <v/>
      </c>
      <c r="H34" s="16" t="inlineStr"/>
      <c r="I34" s="16" t="inlineStr"/>
      <c r="J34" s="16" t="inlineStr"/>
      <c r="K34" s="16" t="inlineStr"/>
      <c r="L34" s="39">
        <f>IFERROR(ROUND(G34+H34+I34+J34+K34,1),"")</f>
        <v/>
      </c>
      <c r="M34" s="16" t="inlineStr"/>
      <c r="N34" s="16" t="inlineStr"/>
    </row>
    <row r="35" ht="22" customHeight="1">
      <c r="B35" s="10" t="inlineStr"/>
      <c r="C35" s="9" t="inlineStr"/>
      <c r="D35" s="10" t="inlineStr"/>
      <c r="E35" s="10" t="inlineStr"/>
      <c r="F35" s="10" t="inlineStr"/>
      <c r="G35" s="37">
        <f>IFERROR(ROUND((D35+E35+F35-MIN(D35,E35,F35))/2,1),"")</f>
        <v/>
      </c>
      <c r="H35" s="10" t="inlineStr"/>
      <c r="I35" s="10" t="inlineStr"/>
      <c r="J35" s="10" t="inlineStr"/>
      <c r="K35" s="10" t="inlineStr"/>
      <c r="L35" s="37">
        <f>IFERROR(ROUND(G35+H35+I35+J35+K35,1),"")</f>
        <v/>
      </c>
      <c r="M35" s="10" t="inlineStr"/>
      <c r="N35" s="10" t="inlineStr"/>
    </row>
    <row r="36" ht="22" customHeight="1"/>
    <row r="37" ht="24" customHeight="1">
      <c r="B37" s="34" t="inlineStr">
        <is>
          <t>CIE MARKS ANALYSIS</t>
        </is>
      </c>
    </row>
    <row r="38">
      <c r="B38" s="38" t="inlineStr">
        <is>
          <t>Total Students</t>
        </is>
      </c>
      <c r="H38" s="36">
        <f>COUNTA(B6:B35)</f>
        <v/>
      </c>
    </row>
    <row r="39">
      <c r="B39" s="25" t="inlineStr">
        <is>
          <t>CIE ≥ 35 (70% of 50)</t>
        </is>
      </c>
      <c r="H39" s="37">
        <f>COUNTIF(L6:L35,"&gt;="&amp;35)</f>
        <v/>
      </c>
    </row>
    <row r="40">
      <c r="B40" s="38" t="inlineStr">
        <is>
          <t>CIE &lt; 25 (Need Attention)</t>
        </is>
      </c>
      <c r="H40" s="36">
        <f>COUNTIF(L6:L35,"&lt;"&amp;25)</f>
        <v/>
      </c>
    </row>
    <row r="41">
      <c r="B41" s="25" t="inlineStr">
        <is>
          <t>Class Average CIE Marks</t>
        </is>
      </c>
      <c r="H41" s="37">
        <f>IFERROR(ROUND(AVERAGE(L6:L35),1),"")</f>
        <v/>
      </c>
    </row>
    <row r="42">
      <c r="B42" s="38" t="inlineStr">
        <is>
          <t>Highest CIE Marks</t>
        </is>
      </c>
      <c r="H42" s="36">
        <f>IFERROR(MAX(L6:L35),"")</f>
        <v/>
      </c>
    </row>
    <row r="43">
      <c r="B43" s="25" t="inlineStr">
        <is>
          <t>Lowest CIE Marks</t>
        </is>
      </c>
      <c r="H43" s="37">
        <f>IFERROR(MIN(L6:L35),"")</f>
        <v/>
      </c>
    </row>
  </sheetData>
  <mergeCells count="16">
    <mergeCell ref="B38:G38"/>
    <mergeCell ref="H41:N41"/>
    <mergeCell ref="H42:N42"/>
    <mergeCell ref="B37:N37"/>
    <mergeCell ref="B42:G42"/>
    <mergeCell ref="H40:N40"/>
    <mergeCell ref="B4:N4"/>
    <mergeCell ref="B41:G41"/>
    <mergeCell ref="H39:N39"/>
    <mergeCell ref="B40:G40"/>
    <mergeCell ref="B43:G43"/>
    <mergeCell ref="H38:N38"/>
    <mergeCell ref="H43:N43"/>
    <mergeCell ref="B3:N3"/>
    <mergeCell ref="B2:N2"/>
    <mergeCell ref="B39:G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DAC-27: SEE RESULT ANALYSIS REGISTER — COURSE-WISE</t>
        </is>
      </c>
    </row>
    <row r="3" ht="20" customHeight="1">
      <c r="B3" s="2" t="inlineStr">
        <is>
          <t>Department: _______  Semester: _______  Exam: _______  A.Y.: _______  DAC Coordinator: ___________________</t>
        </is>
      </c>
    </row>
    <row r="4" ht="25" customHeight="1">
      <c r="B4" s="13" t="inlineStr">
        <is>
          <t>Course
Code</t>
        </is>
      </c>
      <c r="C4" s="13" t="inlineStr">
        <is>
          <t>Course Name</t>
        </is>
      </c>
      <c r="D4" s="13" t="inlineStr">
        <is>
          <t>Faculty</t>
        </is>
      </c>
      <c r="E4" s="13" t="inlineStr">
        <is>
          <t>Students
Appeared</t>
        </is>
      </c>
      <c r="F4" s="13" t="inlineStr">
        <is>
          <t>Students
Passed</t>
        </is>
      </c>
      <c r="G4" s="13" t="inlineStr">
        <is>
          <t>Pass
%</t>
        </is>
      </c>
      <c r="H4" s="13" t="inlineStr">
        <is>
          <t>Dist.
≥75%</t>
        </is>
      </c>
      <c r="I4" s="13" t="inlineStr">
        <is>
          <t>First
60–74</t>
        </is>
      </c>
      <c r="J4" s="13" t="inlineStr">
        <is>
          <t>Second
50–59</t>
        </is>
      </c>
      <c r="K4" s="13" t="inlineStr">
        <is>
          <t>Below
50%</t>
        </is>
      </c>
      <c r="L4" s="13" t="inlineStr">
        <is>
          <t>Action / Remarks</t>
        </is>
      </c>
    </row>
    <row r="5" ht="22" customHeight="1">
      <c r="B5" s="16" t="inlineStr"/>
      <c r="C5" s="15" t="inlineStr"/>
      <c r="D5" s="15" t="inlineStr"/>
      <c r="E5" s="16" t="inlineStr"/>
      <c r="F5" s="16" t="inlineStr"/>
      <c r="G5" s="39">
        <f>IFERROR(ROUND(F5/E5*100,1),"")</f>
        <v/>
      </c>
      <c r="H5" s="16" t="inlineStr"/>
      <c r="I5" s="16" t="inlineStr"/>
      <c r="J5" s="16" t="inlineStr"/>
      <c r="K5" s="16" t="inlineStr"/>
      <c r="L5" s="15" t="inlineStr"/>
    </row>
    <row r="6" ht="22" customHeight="1">
      <c r="B6" s="10" t="inlineStr"/>
      <c r="C6" s="9" t="inlineStr"/>
      <c r="D6" s="9" t="inlineStr"/>
      <c r="E6" s="10" t="inlineStr"/>
      <c r="F6" s="10" t="inlineStr"/>
      <c r="G6" s="37">
        <f>IFERROR(ROUND(F6/E6*100,1),"")</f>
        <v/>
      </c>
      <c r="H6" s="10" t="inlineStr"/>
      <c r="I6" s="10" t="inlineStr"/>
      <c r="J6" s="10" t="inlineStr"/>
      <c r="K6" s="10" t="inlineStr"/>
      <c r="L6" s="9" t="inlineStr"/>
    </row>
    <row r="7" ht="22" customHeight="1">
      <c r="B7" s="16" t="inlineStr"/>
      <c r="C7" s="15" t="inlineStr"/>
      <c r="D7" s="15" t="inlineStr"/>
      <c r="E7" s="16" t="inlineStr"/>
      <c r="F7" s="16" t="inlineStr"/>
      <c r="G7" s="39">
        <f>IFERROR(ROUND(F7/E7*100,1),"")</f>
        <v/>
      </c>
      <c r="H7" s="16" t="inlineStr"/>
      <c r="I7" s="16" t="inlineStr"/>
      <c r="J7" s="16" t="inlineStr"/>
      <c r="K7" s="16" t="inlineStr"/>
      <c r="L7" s="15" t="inlineStr"/>
    </row>
    <row r="8" ht="22" customHeight="1">
      <c r="B8" s="10" t="inlineStr"/>
      <c r="C8" s="9" t="inlineStr"/>
      <c r="D8" s="9" t="inlineStr"/>
      <c r="E8" s="10" t="inlineStr"/>
      <c r="F8" s="10" t="inlineStr"/>
      <c r="G8" s="37">
        <f>IFERROR(ROUND(F8/E8*100,1),"")</f>
        <v/>
      </c>
      <c r="H8" s="10" t="inlineStr"/>
      <c r="I8" s="10" t="inlineStr"/>
      <c r="J8" s="10" t="inlineStr"/>
      <c r="K8" s="10" t="inlineStr"/>
      <c r="L8" s="9" t="inlineStr"/>
    </row>
    <row r="9" ht="22" customHeight="1">
      <c r="B9" s="16" t="inlineStr"/>
      <c r="C9" s="15" t="inlineStr"/>
      <c r="D9" s="15" t="inlineStr"/>
      <c r="E9" s="16" t="inlineStr"/>
      <c r="F9" s="16" t="inlineStr"/>
      <c r="G9" s="39">
        <f>IFERROR(ROUND(F9/E9*100,1),"")</f>
        <v/>
      </c>
      <c r="H9" s="16" t="inlineStr"/>
      <c r="I9" s="16" t="inlineStr"/>
      <c r="J9" s="16" t="inlineStr"/>
      <c r="K9" s="16" t="inlineStr"/>
      <c r="L9" s="15" t="inlineStr"/>
    </row>
    <row r="10" ht="22" customHeight="1">
      <c r="B10" s="10" t="inlineStr"/>
      <c r="C10" s="9" t="inlineStr"/>
      <c r="D10" s="9" t="inlineStr"/>
      <c r="E10" s="10" t="inlineStr"/>
      <c r="F10" s="10" t="inlineStr"/>
      <c r="G10" s="37">
        <f>IFERROR(ROUND(F10/E10*100,1),"")</f>
        <v/>
      </c>
      <c r="H10" s="10" t="inlineStr"/>
      <c r="I10" s="10" t="inlineStr"/>
      <c r="J10" s="10" t="inlineStr"/>
      <c r="K10" s="10" t="inlineStr"/>
      <c r="L10" s="9" t="inlineStr"/>
    </row>
    <row r="11" ht="22" customHeight="1">
      <c r="B11" s="16" t="inlineStr"/>
      <c r="C11" s="15" t="inlineStr"/>
      <c r="D11" s="15" t="inlineStr"/>
      <c r="E11" s="16" t="inlineStr"/>
      <c r="F11" s="16" t="inlineStr"/>
      <c r="G11" s="39">
        <f>IFERROR(ROUND(F11/E11*100,1),"")</f>
        <v/>
      </c>
      <c r="H11" s="16" t="inlineStr"/>
      <c r="I11" s="16" t="inlineStr"/>
      <c r="J11" s="16" t="inlineStr"/>
      <c r="K11" s="16" t="inlineStr"/>
      <c r="L11" s="15" t="inlineStr"/>
    </row>
    <row r="12" ht="22" customHeight="1">
      <c r="B12" s="10" t="inlineStr"/>
      <c r="C12" s="9" t="inlineStr"/>
      <c r="D12" s="9" t="inlineStr"/>
      <c r="E12" s="10" t="inlineStr"/>
      <c r="F12" s="10" t="inlineStr"/>
      <c r="G12" s="37">
        <f>IFERROR(ROUND(F12/E12*100,1),"")</f>
        <v/>
      </c>
      <c r="H12" s="10" t="inlineStr"/>
      <c r="I12" s="10" t="inlineStr"/>
      <c r="J12" s="10" t="inlineStr"/>
      <c r="K12" s="10" t="inlineStr"/>
      <c r="L12" s="9" t="inlineStr"/>
    </row>
    <row r="13" ht="22" customHeight="1">
      <c r="B13" s="16" t="inlineStr"/>
      <c r="C13" s="15" t="inlineStr"/>
      <c r="D13" s="15" t="inlineStr"/>
      <c r="E13" s="16" t="inlineStr"/>
      <c r="F13" s="16" t="inlineStr"/>
      <c r="G13" s="39">
        <f>IFERROR(ROUND(F13/E13*100,1),"")</f>
        <v/>
      </c>
      <c r="H13" s="16" t="inlineStr"/>
      <c r="I13" s="16" t="inlineStr"/>
      <c r="J13" s="16" t="inlineStr"/>
      <c r="K13" s="16" t="inlineStr"/>
      <c r="L13" s="15" t="inlineStr"/>
    </row>
    <row r="14" ht="22" customHeight="1">
      <c r="B14" s="10" t="inlineStr"/>
      <c r="C14" s="9" t="inlineStr"/>
      <c r="D14" s="9" t="inlineStr"/>
      <c r="E14" s="10" t="inlineStr"/>
      <c r="F14" s="10" t="inlineStr"/>
      <c r="G14" s="37">
        <f>IFERROR(ROUND(F14/E14*100,1),"")</f>
        <v/>
      </c>
      <c r="H14" s="10" t="inlineStr"/>
      <c r="I14" s="10" t="inlineStr"/>
      <c r="J14" s="10" t="inlineStr"/>
      <c r="K14" s="10" t="inlineStr"/>
      <c r="L14" s="9" t="inlineStr"/>
    </row>
    <row r="15" ht="22" customHeight="1">
      <c r="B15" s="16" t="inlineStr"/>
      <c r="C15" s="15" t="inlineStr"/>
      <c r="D15" s="15" t="inlineStr"/>
      <c r="E15" s="16" t="inlineStr"/>
      <c r="F15" s="16" t="inlineStr"/>
      <c r="G15" s="39">
        <f>IFERROR(ROUND(F15/E15*100,1),"")</f>
        <v/>
      </c>
      <c r="H15" s="16" t="inlineStr"/>
      <c r="I15" s="16" t="inlineStr"/>
      <c r="J15" s="16" t="inlineStr"/>
      <c r="K15" s="16" t="inlineStr"/>
      <c r="L15" s="15" t="inlineStr"/>
    </row>
    <row r="16" ht="22" customHeight="1">
      <c r="B16" s="10" t="inlineStr"/>
      <c r="C16" s="9" t="inlineStr"/>
      <c r="D16" s="9" t="inlineStr"/>
      <c r="E16" s="10" t="inlineStr"/>
      <c r="F16" s="10" t="inlineStr"/>
      <c r="G16" s="37">
        <f>IFERROR(ROUND(F16/E16*100,1),"")</f>
        <v/>
      </c>
      <c r="H16" s="10" t="inlineStr"/>
      <c r="I16" s="10" t="inlineStr"/>
      <c r="J16" s="10" t="inlineStr"/>
      <c r="K16" s="10" t="inlineStr"/>
      <c r="L16" s="9" t="inlineStr"/>
    </row>
    <row r="17" ht="22" customHeight="1">
      <c r="B17" s="16" t="inlineStr"/>
      <c r="C17" s="15" t="inlineStr"/>
      <c r="D17" s="15" t="inlineStr"/>
      <c r="E17" s="16" t="inlineStr"/>
      <c r="F17" s="16" t="inlineStr"/>
      <c r="G17" s="39">
        <f>IFERROR(ROUND(F17/E17*100,1),"")</f>
        <v/>
      </c>
      <c r="H17" s="16" t="inlineStr"/>
      <c r="I17" s="16" t="inlineStr"/>
      <c r="J17" s="16" t="inlineStr"/>
      <c r="K17" s="16" t="inlineStr"/>
      <c r="L17" s="15" t="inlineStr"/>
    </row>
    <row r="18" ht="22" customHeight="1">
      <c r="B18" s="10" t="inlineStr"/>
      <c r="C18" s="9" t="inlineStr"/>
      <c r="D18" s="9" t="inlineStr"/>
      <c r="E18" s="10" t="inlineStr"/>
      <c r="F18" s="10" t="inlineStr"/>
      <c r="G18" s="37">
        <f>IFERROR(ROUND(F18/E18*100,1),"")</f>
        <v/>
      </c>
      <c r="H18" s="10" t="inlineStr"/>
      <c r="I18" s="10" t="inlineStr"/>
      <c r="J18" s="10" t="inlineStr"/>
      <c r="K18" s="10" t="inlineStr"/>
      <c r="L18" s="9" t="inlineStr"/>
    </row>
    <row r="19" ht="22" customHeight="1">
      <c r="B19" s="16" t="inlineStr"/>
      <c r="C19" s="15" t="inlineStr"/>
      <c r="D19" s="15" t="inlineStr"/>
      <c r="E19" s="16" t="inlineStr"/>
      <c r="F19" s="16" t="inlineStr"/>
      <c r="G19" s="39">
        <f>IFERROR(ROUND(F19/E19*100,1),"")</f>
        <v/>
      </c>
      <c r="H19" s="16" t="inlineStr"/>
      <c r="I19" s="16" t="inlineStr"/>
      <c r="J19" s="16" t="inlineStr"/>
      <c r="K19" s="16" t="inlineStr"/>
      <c r="L19" s="15" t="inlineStr"/>
    </row>
    <row r="20" ht="22" customHeight="1">
      <c r="B20" s="10" t="inlineStr"/>
      <c r="C20" s="9" t="inlineStr"/>
      <c r="D20" s="9" t="inlineStr"/>
      <c r="E20" s="10" t="inlineStr"/>
      <c r="F20" s="10" t="inlineStr"/>
      <c r="G20" s="37">
        <f>IFERROR(ROUND(F20/E20*100,1),"")</f>
        <v/>
      </c>
      <c r="H20" s="10" t="inlineStr"/>
      <c r="I20" s="10" t="inlineStr"/>
      <c r="J20" s="10" t="inlineStr"/>
      <c r="K20" s="10" t="inlineStr"/>
      <c r="L20" s="9" t="inlineStr"/>
    </row>
    <row r="21" ht="22" customHeight="1">
      <c r="B21" s="16" t="inlineStr"/>
      <c r="C21" s="15" t="inlineStr"/>
      <c r="D21" s="15" t="inlineStr"/>
      <c r="E21" s="16" t="inlineStr"/>
      <c r="F21" s="16" t="inlineStr"/>
      <c r="G21" s="39">
        <f>IFERROR(ROUND(F21/E21*100,1),"")</f>
        <v/>
      </c>
      <c r="H21" s="16" t="inlineStr"/>
      <c r="I21" s="16" t="inlineStr"/>
      <c r="J21" s="16" t="inlineStr"/>
      <c r="K21" s="16" t="inlineStr"/>
      <c r="L21" s="15" t="inlineStr"/>
    </row>
    <row r="22" ht="22" customHeight="1">
      <c r="B22" s="10" t="inlineStr"/>
      <c r="C22" s="9" t="inlineStr"/>
      <c r="D22" s="9" t="inlineStr"/>
      <c r="E22" s="10" t="inlineStr"/>
      <c r="F22" s="10" t="inlineStr"/>
      <c r="G22" s="37">
        <f>IFERROR(ROUND(F22/E22*100,1),"")</f>
        <v/>
      </c>
      <c r="H22" s="10" t="inlineStr"/>
      <c r="I22" s="10" t="inlineStr"/>
      <c r="J22" s="10" t="inlineStr"/>
      <c r="K22" s="10" t="inlineStr"/>
      <c r="L22" s="9" t="inlineStr"/>
    </row>
    <row r="23" ht="22" customHeight="1">
      <c r="B23" s="16" t="inlineStr"/>
      <c r="C23" s="15" t="inlineStr"/>
      <c r="D23" s="15" t="inlineStr"/>
      <c r="E23" s="16" t="inlineStr"/>
      <c r="F23" s="16" t="inlineStr"/>
      <c r="G23" s="39">
        <f>IFERROR(ROUND(F23/E23*100,1),"")</f>
        <v/>
      </c>
      <c r="H23" s="16" t="inlineStr"/>
      <c r="I23" s="16" t="inlineStr"/>
      <c r="J23" s="16" t="inlineStr"/>
      <c r="K23" s="16" t="inlineStr"/>
      <c r="L23" s="15" t="inlineStr"/>
    </row>
    <row r="24" ht="22" customHeight="1">
      <c r="B24" s="10" t="inlineStr"/>
      <c r="C24" s="9" t="inlineStr"/>
      <c r="D24" s="9" t="inlineStr"/>
      <c r="E24" s="10" t="inlineStr"/>
      <c r="F24" s="10" t="inlineStr"/>
      <c r="G24" s="37">
        <f>IFERROR(ROUND(F24/E24*100,1),"")</f>
        <v/>
      </c>
      <c r="H24" s="10" t="inlineStr"/>
      <c r="I24" s="10" t="inlineStr"/>
      <c r="J24" s="10" t="inlineStr"/>
      <c r="K24" s="10" t="inlineStr"/>
      <c r="L24" s="9" t="inlineStr"/>
    </row>
    <row r="25" ht="22" customHeight="1"/>
    <row r="26" ht="26" customHeight="1">
      <c r="B26" s="45" t="inlineStr">
        <is>
          <t>DEPT. TOTAL</t>
        </is>
      </c>
      <c r="C26" s="46" t="n"/>
      <c r="D26" s="46" t="n"/>
      <c r="E26" s="47">
        <f>IFERROR(SUM(E5:E24),"")</f>
        <v/>
      </c>
      <c r="F26" s="47">
        <f>IFERROR(SUM(F5:F24),"")</f>
        <v/>
      </c>
      <c r="G26" s="47">
        <f>IFERROR(ROUND(F26/E26*100,1),"")</f>
        <v/>
      </c>
      <c r="H26" s="47">
        <f>IFERROR(SUM(H5:H24),"")</f>
        <v/>
      </c>
      <c r="I26" s="47">
        <f>IFERROR(SUM(I5:I24),"")</f>
        <v/>
      </c>
      <c r="J26" s="47">
        <f>IFERROR(SUM(J5:J24),"")</f>
        <v/>
      </c>
      <c r="K26" s="47">
        <f>IFERROR(SUM(K5:K24),"")</f>
        <v/>
      </c>
      <c r="L26" s="46" t="n"/>
    </row>
    <row r="27" ht="22" customHeight="1"/>
  </sheetData>
  <mergeCells count="2">
    <mergeCell ref="B2:L2"/>
    <mergeCell ref="B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DAC-32 / 33 / 34: COURSE OUTCOME (CO) ATTAINMENT REGISTER</t>
        </is>
      </c>
    </row>
    <row r="3" ht="20" customHeight="1">
      <c r="B3" s="17" t="inlineStr">
        <is>
          <t>Direct Attainment (70% weight): CIE + SEE marks. Indirect Attainment (30% weight): Exit survey score. Final = Direct×0.7 + Indirect×0.3. Target: ≥2.0 (on 3-point scale) for ≥60% of courses.</t>
        </is>
      </c>
    </row>
    <row r="4" ht="25" customHeight="1">
      <c r="B4" s="2" t="inlineStr">
        <is>
          <t>Department: _______  Semester: _______  A.Y.: _______  CO/PO Coordinator: ___________________</t>
        </is>
      </c>
    </row>
    <row r="5" ht="22" customHeight="1">
      <c r="B5" s="13" t="inlineStr">
        <is>
          <t>Course
Code</t>
        </is>
      </c>
      <c r="C5" s="13" t="inlineStr">
        <is>
          <t>Course Name</t>
        </is>
      </c>
      <c r="D5" s="13" t="inlineStr">
        <is>
          <t>CO1
Direct</t>
        </is>
      </c>
      <c r="E5" s="13" t="inlineStr">
        <is>
          <t>CO2
Direct</t>
        </is>
      </c>
      <c r="F5" s="13" t="inlineStr">
        <is>
          <t>CO3
Direct</t>
        </is>
      </c>
      <c r="G5" s="13" t="inlineStr">
        <is>
          <t>CO4
Direct</t>
        </is>
      </c>
      <c r="H5" s="13" t="inlineStr">
        <is>
          <t>CO5
Direct</t>
        </is>
      </c>
      <c r="I5" s="13" t="inlineStr">
        <is>
          <t>CO6
Direct</t>
        </is>
      </c>
      <c r="J5" s="13" t="inlineStr">
        <is>
          <t>Indirect
Attain.</t>
        </is>
      </c>
      <c r="K5" s="13" t="inlineStr">
        <is>
          <t>Final
Avg CO</t>
        </is>
      </c>
      <c r="L5" s="13" t="inlineStr">
        <is>
          <t>Status</t>
        </is>
      </c>
    </row>
    <row r="6" ht="22" customHeight="1">
      <c r="B6" s="16" t="inlineStr"/>
      <c r="C6" s="15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39">
        <f>IFERROR(ROUND((AVERAGE(D6:I6)*0.7)+(J6*0.3),2),"")</f>
        <v/>
      </c>
      <c r="L6" s="16">
        <f>IFERROR(IF(K6&gt;=2,"Attained ✓","Not Attained — Review"),"")</f>
        <v/>
      </c>
    </row>
    <row r="7" ht="22" customHeight="1">
      <c r="B7" s="10" t="inlineStr"/>
      <c r="C7" s="9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37">
        <f>IFERROR(ROUND((AVERAGE(D7:I7)*0.7)+(J7*0.3),2),"")</f>
        <v/>
      </c>
      <c r="L7" s="10">
        <f>IFERROR(IF(K7&gt;=2,"Attained ✓","Not Attained — Review"),"")</f>
        <v/>
      </c>
    </row>
    <row r="8" ht="22" customHeight="1">
      <c r="B8" s="16" t="inlineStr"/>
      <c r="C8" s="15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39">
        <f>IFERROR(ROUND((AVERAGE(D8:I8)*0.7)+(J8*0.3),2),"")</f>
        <v/>
      </c>
      <c r="L8" s="16">
        <f>IFERROR(IF(K8&gt;=2,"Attained ✓","Not Attained — Review"),"")</f>
        <v/>
      </c>
    </row>
    <row r="9" ht="22" customHeight="1">
      <c r="B9" s="10" t="inlineStr"/>
      <c r="C9" s="9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37">
        <f>IFERROR(ROUND((AVERAGE(D9:I9)*0.7)+(J9*0.3),2),"")</f>
        <v/>
      </c>
      <c r="L9" s="10">
        <f>IFERROR(IF(K9&gt;=2,"Attained ✓","Not Attained — Review"),"")</f>
        <v/>
      </c>
    </row>
    <row r="10" ht="22" customHeight="1">
      <c r="B10" s="16" t="inlineStr"/>
      <c r="C10" s="15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39">
        <f>IFERROR(ROUND((AVERAGE(D10:I10)*0.7)+(J10*0.3),2),"")</f>
        <v/>
      </c>
      <c r="L10" s="16">
        <f>IFERROR(IF(K10&gt;=2,"Attained ✓","Not Attained — Review"),"")</f>
        <v/>
      </c>
    </row>
    <row r="11" ht="22" customHeight="1">
      <c r="B11" s="10" t="inlineStr"/>
      <c r="C11" s="9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37">
        <f>IFERROR(ROUND((AVERAGE(D11:I11)*0.7)+(J11*0.3),2),"")</f>
        <v/>
      </c>
      <c r="L11" s="10">
        <f>IFERROR(IF(K11&gt;=2,"Attained ✓","Not Attained — Review"),"")</f>
        <v/>
      </c>
    </row>
    <row r="12" ht="22" customHeight="1">
      <c r="B12" s="16" t="inlineStr"/>
      <c r="C12" s="15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39">
        <f>IFERROR(ROUND((AVERAGE(D12:I12)*0.7)+(J12*0.3),2),"")</f>
        <v/>
      </c>
      <c r="L12" s="16">
        <f>IFERROR(IF(K12&gt;=2,"Attained ✓","Not Attained — Review"),"")</f>
        <v/>
      </c>
    </row>
    <row r="13" ht="22" customHeight="1">
      <c r="B13" s="10" t="inlineStr"/>
      <c r="C13" s="9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37">
        <f>IFERROR(ROUND((AVERAGE(D13:I13)*0.7)+(J13*0.3),2),"")</f>
        <v/>
      </c>
      <c r="L13" s="10">
        <f>IFERROR(IF(K13&gt;=2,"Attained ✓","Not Attained — Review"),"")</f>
        <v/>
      </c>
    </row>
    <row r="14" ht="22" customHeight="1">
      <c r="B14" s="16" t="inlineStr"/>
      <c r="C14" s="15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39">
        <f>IFERROR(ROUND((AVERAGE(D14:I14)*0.7)+(J14*0.3),2),"")</f>
        <v/>
      </c>
      <c r="L14" s="16">
        <f>IFERROR(IF(K14&gt;=2,"Attained ✓","Not Attained — Review"),"")</f>
        <v/>
      </c>
    </row>
    <row r="15" ht="22" customHeight="1">
      <c r="B15" s="10" t="inlineStr"/>
      <c r="C15" s="9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37">
        <f>IFERROR(ROUND((AVERAGE(D15:I15)*0.7)+(J15*0.3),2),"")</f>
        <v/>
      </c>
      <c r="L15" s="10">
        <f>IFERROR(IF(K15&gt;=2,"Attained ✓","Not Attained — Review"),"")</f>
        <v/>
      </c>
    </row>
    <row r="16" ht="22" customHeight="1">
      <c r="B16" s="16" t="inlineStr"/>
      <c r="C16" s="15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39">
        <f>IFERROR(ROUND((AVERAGE(D16:I16)*0.7)+(J16*0.3),2),"")</f>
        <v/>
      </c>
      <c r="L16" s="16">
        <f>IFERROR(IF(K16&gt;=2,"Attained ✓","Not Attained — Review"),"")</f>
        <v/>
      </c>
    </row>
    <row r="17" ht="22" customHeight="1">
      <c r="B17" s="10" t="inlineStr"/>
      <c r="C17" s="9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37">
        <f>IFERROR(ROUND((AVERAGE(D17:I17)*0.7)+(J17*0.3),2),"")</f>
        <v/>
      </c>
      <c r="L17" s="10">
        <f>IFERROR(IF(K17&gt;=2,"Attained ✓","Not Attained — Review"),"")</f>
        <v/>
      </c>
    </row>
    <row r="18" ht="22" customHeight="1">
      <c r="B18" s="16" t="inlineStr"/>
      <c r="C18" s="15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39">
        <f>IFERROR(ROUND((AVERAGE(D18:I18)*0.7)+(J18*0.3),2),"")</f>
        <v/>
      </c>
      <c r="L18" s="16">
        <f>IFERROR(IF(K18&gt;=2,"Attained ✓","Not Attained — Review"),"")</f>
        <v/>
      </c>
    </row>
    <row r="19" ht="22" customHeight="1">
      <c r="B19" s="10" t="inlineStr"/>
      <c r="C19" s="9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37">
        <f>IFERROR(ROUND((AVERAGE(D19:I19)*0.7)+(J19*0.3),2),"")</f>
        <v/>
      </c>
      <c r="L19" s="10">
        <f>IFERROR(IF(K19&gt;=2,"Attained ✓","Not Attained — Review"),"")</f>
        <v/>
      </c>
    </row>
    <row r="20" ht="22" customHeight="1">
      <c r="B20" s="16" t="inlineStr"/>
      <c r="C20" s="15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39">
        <f>IFERROR(ROUND((AVERAGE(D20:I20)*0.7)+(J20*0.3),2),"")</f>
        <v/>
      </c>
      <c r="L20" s="16">
        <f>IFERROR(IF(K20&gt;=2,"Attained ✓","Not Attained — Review"),"")</f>
        <v/>
      </c>
    </row>
    <row r="21" ht="22" customHeight="1">
      <c r="B21" s="10" t="inlineStr"/>
      <c r="C21" s="9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37">
        <f>IFERROR(ROUND((AVERAGE(D21:I21)*0.7)+(J21*0.3),2),"")</f>
        <v/>
      </c>
      <c r="L21" s="10">
        <f>IFERROR(IF(K21&gt;=2,"Attained ✓","Not Attained — Review"),"")</f>
        <v/>
      </c>
    </row>
    <row r="22" ht="22" customHeight="1">
      <c r="B22" s="16" t="inlineStr"/>
      <c r="C22" s="15" t="inlineStr"/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39">
        <f>IFERROR(ROUND((AVERAGE(D22:I22)*0.7)+(J22*0.3),2),"")</f>
        <v/>
      </c>
      <c r="L22" s="16">
        <f>IFERROR(IF(K22&gt;=2,"Attained ✓","Not Attained — Review"),"")</f>
        <v/>
      </c>
    </row>
    <row r="23" ht="22" customHeight="1">
      <c r="B23" s="10" t="inlineStr"/>
      <c r="C23" s="9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37">
        <f>IFERROR(ROUND((AVERAGE(D23:I23)*0.7)+(J23*0.3),2),"")</f>
        <v/>
      </c>
      <c r="L23" s="10">
        <f>IFERROR(IF(K23&gt;=2,"Attained ✓","Not Attained — Review"),"")</f>
        <v/>
      </c>
    </row>
    <row r="24" ht="22" customHeight="1">
      <c r="B24" s="16" t="inlineStr"/>
      <c r="C24" s="15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39">
        <f>IFERROR(ROUND((AVERAGE(D24:I24)*0.7)+(J24*0.3),2),"")</f>
        <v/>
      </c>
      <c r="L24" s="16">
        <f>IFERROR(IF(K24&gt;=2,"Attained ✓","Not Attained — Review"),"")</f>
        <v/>
      </c>
    </row>
    <row r="25" ht="22" customHeight="1">
      <c r="B25" s="10" t="inlineStr"/>
      <c r="C25" s="9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37">
        <f>IFERROR(ROUND((AVERAGE(D25:I25)*0.7)+(J25*0.3),2),"")</f>
        <v/>
      </c>
      <c r="L25" s="10">
        <f>IFERROR(IF(K25&gt;=2,"Attained ✓","Not Attained — Review"),"")</f>
        <v/>
      </c>
    </row>
    <row r="26" ht="22" customHeight="1">
      <c r="B26" s="16" t="inlineStr"/>
      <c r="C26" s="15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39">
        <f>IFERROR(ROUND((AVERAGE(D26:I26)*0.7)+(J26*0.3),2),"")</f>
        <v/>
      </c>
      <c r="L26" s="16">
        <f>IFERROR(IF(K26&gt;=2,"Attained ✓","Not Attained — Review"),"")</f>
        <v/>
      </c>
    </row>
    <row r="27" ht="22" customHeight="1">
      <c r="B27" s="10" t="inlineStr"/>
      <c r="C27" s="9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37">
        <f>IFERROR(ROUND((AVERAGE(D27:I27)*0.7)+(J27*0.3),2),"")</f>
        <v/>
      </c>
      <c r="L27" s="10">
        <f>IFERROR(IF(K27&gt;=2,"Attained ✓","Not Attained — Review"),"")</f>
        <v/>
      </c>
    </row>
    <row r="28" ht="22" customHeight="1">
      <c r="B28" s="16" t="inlineStr"/>
      <c r="C28" s="15" t="inlineStr"/>
      <c r="D28" s="16" t="inlineStr"/>
      <c r="E28" s="16" t="inlineStr"/>
      <c r="F28" s="16" t="inlineStr"/>
      <c r="G28" s="16" t="inlineStr"/>
      <c r="H28" s="16" t="inlineStr"/>
      <c r="I28" s="16" t="inlineStr"/>
      <c r="J28" s="16" t="inlineStr"/>
      <c r="K28" s="39">
        <f>IFERROR(ROUND((AVERAGE(D28:I28)*0.7)+(J28*0.3),2),"")</f>
        <v/>
      </c>
      <c r="L28" s="16">
        <f>IFERROR(IF(K28&gt;=2,"Attained ✓","Not Attained — Review"),"")</f>
        <v/>
      </c>
    </row>
    <row r="29" ht="22" customHeight="1">
      <c r="B29" s="10" t="inlineStr"/>
      <c r="C29" s="9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37">
        <f>IFERROR(ROUND((AVERAGE(D29:I29)*0.7)+(J29*0.3),2),"")</f>
        <v/>
      </c>
      <c r="L29" s="10">
        <f>IFERROR(IF(K29&gt;=2,"Attained ✓","Not Attained — Review"),"")</f>
        <v/>
      </c>
    </row>
    <row r="30" ht="22" customHeight="1"/>
    <row r="31" ht="24" customHeight="1">
      <c r="B31" s="34" t="inlineStr">
        <is>
          <t>CO ATTAINMENT SUMMARY</t>
        </is>
      </c>
    </row>
    <row r="32">
      <c r="B32" s="38" t="inlineStr">
        <is>
          <t>Total Courses</t>
        </is>
      </c>
      <c r="G32" s="36">
        <f>COUNTA(B6:B29)</f>
        <v/>
      </c>
    </row>
    <row r="33">
      <c r="B33" s="25" t="inlineStr">
        <is>
          <t>Courses Attained (≥2.0)</t>
        </is>
      </c>
      <c r="G33" s="37">
        <f>COUNTIF(L6:L29,"Attained ✓")</f>
        <v/>
      </c>
    </row>
    <row r="34">
      <c r="B34" s="38" t="inlineStr">
        <is>
          <t>Courses Not Attained</t>
        </is>
      </c>
      <c r="G34" s="36">
        <f>COUNTIF(L6:L29,"Not Attained — Review")</f>
        <v/>
      </c>
    </row>
    <row r="35">
      <c r="B35" s="25" t="inlineStr">
        <is>
          <t>Dept. Average CO Attainment</t>
        </is>
      </c>
      <c r="G35" s="37">
        <f>IFERROR(ROUND(AVERAGE(K6:K29),2),"")</f>
        <v/>
      </c>
    </row>
    <row r="36">
      <c r="B36" s="38" t="inlineStr">
        <is>
          <t>Attainment Rate (%)</t>
        </is>
      </c>
      <c r="G36" s="36">
        <f>IFERROR(ROUND(C33/C32*100,1),"")</f>
        <v/>
      </c>
    </row>
    <row r="37">
      <c r="B37" s="25" t="inlineStr">
        <is>
          <t>Target Met (≥60% courses)</t>
        </is>
      </c>
      <c r="G37" s="37">
        <f>IFERROR(IF(C35&gt;=60,"YES ✓","NO — Action Required"),"")</f>
        <v/>
      </c>
    </row>
  </sheetData>
  <mergeCells count="16">
    <mergeCell ref="B4:L4"/>
    <mergeCell ref="G33:L33"/>
    <mergeCell ref="G37:L37"/>
    <mergeCell ref="G32:L32"/>
    <mergeCell ref="B34:F34"/>
    <mergeCell ref="G36:L36"/>
    <mergeCell ref="B33:F33"/>
    <mergeCell ref="B3:L3"/>
    <mergeCell ref="B2:L2"/>
    <mergeCell ref="B37:F37"/>
    <mergeCell ref="G35:L35"/>
    <mergeCell ref="B36:F36"/>
    <mergeCell ref="B32:F32"/>
    <mergeCell ref="G34:L34"/>
    <mergeCell ref="B31:L31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DAC-17: MENTOR-MENTEE SESSION REGISTER</t>
        </is>
      </c>
    </row>
    <row r="3" ht="20" customHeight="1">
      <c r="B3" s="2" t="inlineStr">
        <is>
          <t>Department: _______  Semester: _______  A.Y.: _______  DAC Coordinator: ___________________</t>
        </is>
      </c>
    </row>
    <row r="4" ht="25" customHeight="1">
      <c r="B4" s="13" t="inlineStr">
        <is>
          <t>Mentor
Ref.</t>
        </is>
      </c>
      <c r="C4" s="13" t="inlineStr">
        <is>
          <t>Mentor Name</t>
        </is>
      </c>
      <c r="D4" s="13" t="inlineStr">
        <is>
          <t>Department</t>
        </is>
      </c>
      <c r="E4" s="13" t="inlineStr">
        <is>
          <t>No. of
Mentees</t>
        </is>
      </c>
      <c r="F4" s="13" t="inlineStr">
        <is>
          <t>Sessions
Completed</t>
        </is>
      </c>
      <c r="G4" s="13" t="inlineStr">
        <is>
          <t>Issues
Identified</t>
        </is>
      </c>
      <c r="H4" s="13" t="inlineStr">
        <is>
          <t>Action
Taken</t>
        </is>
      </c>
      <c r="I4" s="13" t="inlineStr">
        <is>
          <t>Parent
Meeting</t>
        </is>
      </c>
      <c r="J4" s="13" t="inlineStr">
        <is>
          <t>Status</t>
        </is>
      </c>
    </row>
    <row r="5" ht="22" customHeight="1">
      <c r="B5" s="14" t="inlineStr">
        <is>
          <t>M-001</t>
        </is>
      </c>
      <c r="C5" s="15" t="inlineStr"/>
      <c r="D5" s="16" t="inlineStr"/>
      <c r="E5" s="16" t="inlineStr"/>
      <c r="F5" s="16" t="inlineStr"/>
      <c r="G5" s="15" t="inlineStr">
        <is>
          <t>Academic difficulty / low attendance</t>
        </is>
      </c>
      <c r="H5" s="15" t="inlineStr"/>
      <c r="I5" s="16" t="inlineStr">
        <is>
          <t>Y</t>
        </is>
      </c>
      <c r="J5" s="16" t="inlineStr">
        <is>
          <t>Active</t>
        </is>
      </c>
    </row>
    <row r="6" ht="22" customHeight="1">
      <c r="B6" s="8" t="inlineStr">
        <is>
          <t>M-002</t>
        </is>
      </c>
      <c r="C6" s="9" t="inlineStr"/>
      <c r="D6" s="10" t="inlineStr"/>
      <c r="E6" s="10" t="inlineStr"/>
      <c r="F6" s="10" t="inlineStr"/>
      <c r="G6" s="9" t="inlineStr">
        <is>
          <t>Personal / family stress</t>
        </is>
      </c>
      <c r="H6" s="9" t="inlineStr"/>
      <c r="I6" s="10" t="inlineStr">
        <is>
          <t>Y</t>
        </is>
      </c>
      <c r="J6" s="10" t="inlineStr">
        <is>
          <t>Active</t>
        </is>
      </c>
    </row>
    <row r="7" ht="22" customHeight="1">
      <c r="B7" s="14" t="inlineStr">
        <is>
          <t>M-003</t>
        </is>
      </c>
      <c r="C7" s="15" t="inlineStr"/>
      <c r="D7" s="16" t="inlineStr"/>
      <c r="E7" s="16" t="inlineStr"/>
      <c r="F7" s="16" t="inlineStr"/>
      <c r="G7" s="15" t="inlineStr">
        <is>
          <t>Financial difficulty</t>
        </is>
      </c>
      <c r="H7" s="15" t="inlineStr"/>
      <c r="I7" s="16" t="inlineStr">
        <is>
          <t>Y</t>
        </is>
      </c>
      <c r="J7" s="16" t="inlineStr">
        <is>
          <t>Active</t>
        </is>
      </c>
    </row>
    <row r="8" ht="22" customHeight="1">
      <c r="B8" s="8" t="inlineStr">
        <is>
          <t>M-004</t>
        </is>
      </c>
      <c r="C8" s="9" t="inlineStr"/>
      <c r="D8" s="10" t="inlineStr"/>
      <c r="E8" s="10" t="inlineStr"/>
      <c r="F8" s="10" t="inlineStr"/>
      <c r="G8" s="9" t="inlineStr">
        <is>
          <t>Placement anxiety</t>
        </is>
      </c>
      <c r="H8" s="9" t="inlineStr"/>
      <c r="I8" s="10" t="inlineStr">
        <is>
          <t>N</t>
        </is>
      </c>
      <c r="J8" s="10" t="inlineStr">
        <is>
          <t>Active</t>
        </is>
      </c>
    </row>
    <row r="9" ht="22" customHeight="1">
      <c r="B9" s="14" t="inlineStr">
        <is>
          <t>M-005</t>
        </is>
      </c>
      <c r="C9" s="15" t="inlineStr"/>
      <c r="D9" s="16" t="inlineStr"/>
      <c r="E9" s="16" t="inlineStr"/>
      <c r="F9" s="16" t="inlineStr"/>
      <c r="G9" s="15" t="inlineStr">
        <is>
          <t>Health concern</t>
        </is>
      </c>
      <c r="H9" s="15" t="inlineStr"/>
      <c r="I9" s="16" t="inlineStr">
        <is>
          <t>Y</t>
        </is>
      </c>
      <c r="J9" s="16" t="inlineStr">
        <is>
          <t>Active</t>
        </is>
      </c>
    </row>
    <row r="10" ht="22" customHeight="1">
      <c r="B10" s="8" t="inlineStr">
        <is>
          <t>M-006</t>
        </is>
      </c>
      <c r="C10" s="9" t="inlineStr"/>
      <c r="D10" s="10" t="inlineStr"/>
      <c r="E10" s="10" t="inlineStr"/>
      <c r="F10" s="10" t="inlineStr"/>
      <c r="G10" s="9" t="inlineStr">
        <is>
          <t>Peer relationship issue</t>
        </is>
      </c>
      <c r="H10" s="9" t="inlineStr"/>
      <c r="I10" s="10" t="inlineStr">
        <is>
          <t>Y</t>
        </is>
      </c>
      <c r="J10" s="10" t="inlineStr">
        <is>
          <t>Active</t>
        </is>
      </c>
    </row>
    <row r="11" ht="22" customHeight="1">
      <c r="B11" s="14" t="inlineStr">
        <is>
          <t>M-007</t>
        </is>
      </c>
      <c r="C11" s="15" t="inlineStr"/>
      <c r="D11" s="16" t="inlineStr"/>
      <c r="E11" s="16" t="inlineStr"/>
      <c r="F11" s="16" t="inlineStr"/>
      <c r="G11" s="15" t="inlineStr">
        <is>
          <t>Career confusion</t>
        </is>
      </c>
      <c r="H11" s="15" t="inlineStr"/>
      <c r="I11" s="16" t="inlineStr">
        <is>
          <t>Y</t>
        </is>
      </c>
      <c r="J11" s="16" t="inlineStr">
        <is>
          <t>Active</t>
        </is>
      </c>
    </row>
    <row r="12" ht="22" customHeight="1">
      <c r="B12" s="8" t="inlineStr">
        <is>
          <t>M-008</t>
        </is>
      </c>
      <c r="C12" s="9" t="inlineStr"/>
      <c r="D12" s="10" t="inlineStr"/>
      <c r="E12" s="10" t="inlineStr"/>
      <c r="F12" s="10" t="inlineStr"/>
      <c r="G12" s="9" t="inlineStr">
        <is>
          <t>Mental health concern</t>
        </is>
      </c>
      <c r="H12" s="9" t="inlineStr"/>
      <c r="I12" s="10" t="inlineStr">
        <is>
          <t>N</t>
        </is>
      </c>
      <c r="J12" s="10" t="inlineStr">
        <is>
          <t>Active</t>
        </is>
      </c>
    </row>
    <row r="13" ht="22" customHeight="1">
      <c r="B13" s="14" t="inlineStr">
        <is>
          <t>M-009</t>
        </is>
      </c>
      <c r="C13" s="15" t="inlineStr"/>
      <c r="D13" s="16" t="inlineStr"/>
      <c r="E13" s="16" t="inlineStr"/>
      <c r="F13" s="16" t="inlineStr"/>
      <c r="G13" s="15" t="inlineStr">
        <is>
          <t>None — all well</t>
        </is>
      </c>
      <c r="H13" s="15" t="inlineStr"/>
      <c r="I13" s="16" t="inlineStr">
        <is>
          <t>Y</t>
        </is>
      </c>
      <c r="J13" s="16" t="inlineStr">
        <is>
          <t>Active</t>
        </is>
      </c>
    </row>
    <row r="14" ht="22" customHeight="1">
      <c r="B14" s="8" t="inlineStr">
        <is>
          <t>M-010</t>
        </is>
      </c>
      <c r="C14" s="9" t="inlineStr"/>
      <c r="D14" s="10" t="inlineStr"/>
      <c r="E14" s="10" t="inlineStr"/>
      <c r="F14" s="10" t="inlineStr"/>
      <c r="G14" s="9" t="inlineStr">
        <is>
          <t>Academic backlog</t>
        </is>
      </c>
      <c r="H14" s="9" t="inlineStr"/>
      <c r="I14" s="10" t="inlineStr">
        <is>
          <t>Y</t>
        </is>
      </c>
      <c r="J14" s="10" t="inlineStr">
        <is>
          <t>Active</t>
        </is>
      </c>
    </row>
    <row r="15" ht="22" customHeight="1">
      <c r="B15" s="14" t="inlineStr">
        <is>
          <t>M-011</t>
        </is>
      </c>
      <c r="C15" s="15" t="inlineStr"/>
      <c r="D15" s="16" t="inlineStr"/>
      <c r="E15" s="16" t="inlineStr"/>
      <c r="F15" s="16" t="inlineStr"/>
      <c r="G15" s="15" t="inlineStr">
        <is>
          <t>Academic difficulty / low attendance</t>
        </is>
      </c>
      <c r="H15" s="15" t="inlineStr"/>
      <c r="I15" s="16" t="inlineStr">
        <is>
          <t>Y</t>
        </is>
      </c>
      <c r="J15" s="16" t="inlineStr">
        <is>
          <t>Active</t>
        </is>
      </c>
    </row>
    <row r="16" ht="22" customHeight="1">
      <c r="B16" s="8" t="inlineStr">
        <is>
          <t>M-012</t>
        </is>
      </c>
      <c r="C16" s="9" t="inlineStr"/>
      <c r="D16" s="10" t="inlineStr"/>
      <c r="E16" s="10" t="inlineStr"/>
      <c r="F16" s="10" t="inlineStr"/>
      <c r="G16" s="9" t="inlineStr">
        <is>
          <t>Personal / family stress</t>
        </is>
      </c>
      <c r="H16" s="9" t="inlineStr"/>
      <c r="I16" s="10" t="inlineStr">
        <is>
          <t>N</t>
        </is>
      </c>
      <c r="J16" s="10" t="inlineStr">
        <is>
          <t>Active</t>
        </is>
      </c>
    </row>
    <row r="17" ht="22" customHeight="1">
      <c r="B17" s="14" t="inlineStr">
        <is>
          <t>M-013</t>
        </is>
      </c>
      <c r="C17" s="15" t="inlineStr"/>
      <c r="D17" s="16" t="inlineStr"/>
      <c r="E17" s="16" t="inlineStr"/>
      <c r="F17" s="16" t="inlineStr"/>
      <c r="G17" s="15" t="inlineStr">
        <is>
          <t>Financial difficulty</t>
        </is>
      </c>
      <c r="H17" s="15" t="inlineStr"/>
      <c r="I17" s="16" t="inlineStr">
        <is>
          <t>Y</t>
        </is>
      </c>
      <c r="J17" s="16" t="inlineStr">
        <is>
          <t>Active</t>
        </is>
      </c>
    </row>
    <row r="18" ht="22" customHeight="1">
      <c r="B18" s="8" t="inlineStr">
        <is>
          <t>M-014</t>
        </is>
      </c>
      <c r="C18" s="9" t="inlineStr"/>
      <c r="D18" s="10" t="inlineStr"/>
      <c r="E18" s="10" t="inlineStr"/>
      <c r="F18" s="10" t="inlineStr"/>
      <c r="G18" s="9" t="inlineStr">
        <is>
          <t>Placement anxiety</t>
        </is>
      </c>
      <c r="H18" s="9" t="inlineStr"/>
      <c r="I18" s="10" t="inlineStr">
        <is>
          <t>Y</t>
        </is>
      </c>
      <c r="J18" s="10" t="inlineStr">
        <is>
          <t>Active</t>
        </is>
      </c>
    </row>
    <row r="19" ht="22" customHeight="1">
      <c r="B19" s="14" t="inlineStr">
        <is>
          <t>M-015</t>
        </is>
      </c>
      <c r="C19" s="15" t="inlineStr"/>
      <c r="D19" s="16" t="inlineStr"/>
      <c r="E19" s="16" t="inlineStr"/>
      <c r="F19" s="16" t="inlineStr"/>
      <c r="G19" s="15" t="inlineStr">
        <is>
          <t>Health concern</t>
        </is>
      </c>
      <c r="H19" s="15" t="inlineStr"/>
      <c r="I19" s="16" t="inlineStr">
        <is>
          <t>Y</t>
        </is>
      </c>
      <c r="J19" s="16" t="inlineStr">
        <is>
          <t>Active</t>
        </is>
      </c>
    </row>
    <row r="20" ht="22" customHeight="1">
      <c r="B20" s="8" t="inlineStr">
        <is>
          <t>M-016</t>
        </is>
      </c>
      <c r="C20" s="9" t="inlineStr"/>
      <c r="D20" s="10" t="inlineStr"/>
      <c r="E20" s="10" t="inlineStr"/>
      <c r="F20" s="10" t="inlineStr"/>
      <c r="G20" s="9" t="inlineStr">
        <is>
          <t>Peer relationship issue</t>
        </is>
      </c>
      <c r="H20" s="9" t="inlineStr"/>
      <c r="I20" s="10" t="inlineStr">
        <is>
          <t>N</t>
        </is>
      </c>
      <c r="J20" s="10" t="inlineStr">
        <is>
          <t>Active</t>
        </is>
      </c>
    </row>
    <row r="21" ht="22" customHeight="1">
      <c r="B21" s="14" t="inlineStr">
        <is>
          <t>M-017</t>
        </is>
      </c>
      <c r="C21" s="15" t="inlineStr"/>
      <c r="D21" s="16" t="inlineStr"/>
      <c r="E21" s="16" t="inlineStr"/>
      <c r="F21" s="16" t="inlineStr"/>
      <c r="G21" s="15" t="inlineStr">
        <is>
          <t>Career confusion</t>
        </is>
      </c>
      <c r="H21" s="15" t="inlineStr"/>
      <c r="I21" s="16" t="inlineStr">
        <is>
          <t>Y</t>
        </is>
      </c>
      <c r="J21" s="16" t="inlineStr">
        <is>
          <t>Active</t>
        </is>
      </c>
    </row>
    <row r="22" ht="22" customHeight="1">
      <c r="B22" s="8" t="inlineStr">
        <is>
          <t>M-018</t>
        </is>
      </c>
      <c r="C22" s="9" t="inlineStr"/>
      <c r="D22" s="10" t="inlineStr"/>
      <c r="E22" s="10" t="inlineStr"/>
      <c r="F22" s="10" t="inlineStr"/>
      <c r="G22" s="9" t="inlineStr">
        <is>
          <t>Mental health concern</t>
        </is>
      </c>
      <c r="H22" s="9" t="inlineStr"/>
      <c r="I22" s="10" t="inlineStr">
        <is>
          <t>Y</t>
        </is>
      </c>
      <c r="J22" s="10" t="inlineStr">
        <is>
          <t>Active</t>
        </is>
      </c>
    </row>
    <row r="23" ht="22" customHeight="1">
      <c r="B23" s="14" t="inlineStr">
        <is>
          <t>M-019</t>
        </is>
      </c>
      <c r="C23" s="15" t="inlineStr"/>
      <c r="D23" s="16" t="inlineStr"/>
      <c r="E23" s="16" t="inlineStr"/>
      <c r="F23" s="16" t="inlineStr"/>
      <c r="G23" s="15" t="inlineStr">
        <is>
          <t>None — all well</t>
        </is>
      </c>
      <c r="H23" s="15" t="inlineStr"/>
      <c r="I23" s="16" t="inlineStr">
        <is>
          <t>Y</t>
        </is>
      </c>
      <c r="J23" s="16" t="inlineStr">
        <is>
          <t>Active</t>
        </is>
      </c>
    </row>
    <row r="24" ht="22" customHeight="1">
      <c r="B24" s="8" t="inlineStr">
        <is>
          <t>M-020</t>
        </is>
      </c>
      <c r="C24" s="9" t="inlineStr"/>
      <c r="D24" s="10" t="inlineStr"/>
      <c r="E24" s="10" t="inlineStr"/>
      <c r="F24" s="10" t="inlineStr"/>
      <c r="G24" s="9" t="inlineStr">
        <is>
          <t>Academic backlog</t>
        </is>
      </c>
      <c r="H24" s="9" t="inlineStr"/>
      <c r="I24" s="10" t="inlineStr">
        <is>
          <t>N</t>
        </is>
      </c>
      <c r="J24" s="10" t="inlineStr">
        <is>
          <t>Active</t>
        </is>
      </c>
    </row>
    <row r="25" ht="22" customHeight="1"/>
    <row r="26" ht="24" customHeight="1">
      <c r="B26" s="34" t="inlineStr">
        <is>
          <t>MENTORING SUMMARY</t>
        </is>
      </c>
    </row>
    <row r="27" ht="22" customHeight="1">
      <c r="B27" s="38" t="inlineStr">
        <is>
          <t>Total Mentors</t>
        </is>
      </c>
      <c r="F27" s="36">
        <f>COUNTA(B5:B24)</f>
        <v/>
      </c>
    </row>
    <row r="28">
      <c r="B28" s="25" t="inlineStr">
        <is>
          <t>Total Mentees</t>
        </is>
      </c>
      <c r="F28" s="37">
        <f>IFERROR(SUM(E5:E24),"")</f>
        <v/>
      </c>
    </row>
    <row r="29">
      <c r="B29" s="38" t="inlineStr">
        <is>
          <t>Sessions Completed</t>
        </is>
      </c>
      <c r="F29" s="36">
        <f>IFERROR(SUM(F5:F24),"")</f>
        <v/>
      </c>
    </row>
    <row r="30">
      <c r="B30" s="25" t="inlineStr">
        <is>
          <t>Issues Identified</t>
        </is>
      </c>
      <c r="F30" s="37">
        <f>COUNTIF(G5:G24,"&lt;&gt;"&amp;"None — all well")</f>
        <v/>
      </c>
    </row>
    <row r="31">
      <c r="B31" s="38" t="inlineStr">
        <is>
          <t>Parent Meetings Done</t>
        </is>
      </c>
      <c r="F31" s="36">
        <f>COUNTIF(I5:I24,"Y")</f>
        <v/>
      </c>
    </row>
    <row r="32">
      <c r="B32" s="25" t="inlineStr">
        <is>
          <t>Avg. Sessions per Mentor</t>
        </is>
      </c>
      <c r="F32" s="37">
        <f>IFERROR(ROUND(AVERAGE(F5:F24),1),"")</f>
        <v/>
      </c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DAC-36 / DAC-37: STUDENT FEEDBACK ON TEACHING — COURSE-WISE</t>
        </is>
      </c>
    </row>
    <row r="3" ht="25" customHeight="1">
      <c r="B3" s="2" t="inlineStr">
        <is>
          <t>Dept.: _______  Course: _______  Faculty: _______  Sem.: _______  A.Y.: _______  Respondents: _______</t>
        </is>
      </c>
    </row>
    <row r="4" ht="22" customHeight="1">
      <c r="B4" s="48" t="inlineStr">
        <is>
          <t>Scale: 1 = Strongly Disagree  |  2 = Disagree  |  3 = Neutral  |  4 = Agree  |  5 = Strongly Agree</t>
        </is>
      </c>
    </row>
    <row r="5" ht="24" customHeight="1">
      <c r="B5" s="19" t="inlineStr">
        <is>
          <t>A. COURSE DELIVERY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SA(5)</t>
        </is>
      </c>
      <c r="E6" s="13" t="inlineStr">
        <is>
          <t>A(4)</t>
        </is>
      </c>
      <c r="F6" s="13" t="inlineStr">
        <is>
          <t>N(3)</t>
        </is>
      </c>
      <c r="G6" s="13" t="inlineStr">
        <is>
          <t>D(2)</t>
        </is>
      </c>
      <c r="H6" s="13" t="inlineStr">
        <is>
          <t>SD(1)</t>
        </is>
      </c>
      <c r="I6" s="13" t="inlineStr">
        <is>
          <t>Avg</t>
        </is>
      </c>
    </row>
    <row r="7" ht="22" customHeight="1">
      <c r="B7" s="14" t="inlineStr">
        <is>
          <t>Q1</t>
        </is>
      </c>
      <c r="C7" s="15" t="inlineStr">
        <is>
          <t>Faculty explains concepts clearly and at an appropriate pace</t>
        </is>
      </c>
      <c r="D7" s="16" t="inlineStr"/>
      <c r="E7" s="16" t="inlineStr"/>
      <c r="F7" s="16" t="inlineStr"/>
      <c r="G7" s="16" t="inlineStr"/>
      <c r="H7" s="16" t="inlineStr"/>
      <c r="I7" s="39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Faculty links course content to CO and real-world applications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Faculty is well-prepared and uses structured delivery</t>
        </is>
      </c>
      <c r="D9" s="16" t="inlineStr"/>
      <c r="E9" s="16" t="inlineStr"/>
      <c r="F9" s="16" t="inlineStr"/>
      <c r="G9" s="16" t="inlineStr"/>
      <c r="H9" s="16" t="inlineStr"/>
      <c r="I9" s="39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Faculty encourages questions and interactive participation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Faculty uses varied teaching methods beyond lecture</t>
        </is>
      </c>
      <c r="D11" s="16" t="inlineStr"/>
      <c r="E11" s="16" t="inlineStr"/>
      <c r="F11" s="16" t="inlineStr"/>
      <c r="G11" s="16" t="inlineStr"/>
      <c r="H11" s="16" t="inlineStr"/>
      <c r="I11" s="39">
        <f>IFERROR(ROUND((D11*5+E11*4+F11*3+G11*2+H11)/SUM(D11:H11),2),"")</f>
        <v/>
      </c>
    </row>
    <row r="12" ht="22" customHeight="1"/>
    <row r="13" ht="24" customHeight="1">
      <c r="B13" s="49" t="inlineStr">
        <is>
          <t>B. CONTENT &amp; CURRICULUM</t>
        </is>
      </c>
    </row>
    <row r="14" ht="22" customHeight="1">
      <c r="B14" s="50" t="inlineStr">
        <is>
          <t>Q.</t>
        </is>
      </c>
      <c r="C14" s="50" t="inlineStr">
        <is>
          <t>Survey Statement</t>
        </is>
      </c>
      <c r="D14" s="50" t="inlineStr">
        <is>
          <t>SA(5)</t>
        </is>
      </c>
      <c r="E14" s="50" t="inlineStr">
        <is>
          <t>A(4)</t>
        </is>
      </c>
      <c r="F14" s="50" t="inlineStr">
        <is>
          <t>N(3)</t>
        </is>
      </c>
      <c r="G14" s="50" t="inlineStr">
        <is>
          <t>D(2)</t>
        </is>
      </c>
      <c r="H14" s="50" t="inlineStr">
        <is>
          <t>SD(1)</t>
        </is>
      </c>
      <c r="I14" s="50" t="inlineStr">
        <is>
          <t>Avg</t>
        </is>
      </c>
    </row>
    <row r="15" ht="22" customHeight="1">
      <c r="B15" s="14" t="inlineStr">
        <is>
          <t>Q6</t>
        </is>
      </c>
      <c r="C15" s="15" t="inlineStr">
        <is>
          <t>Course content is relevant and up-to-date</t>
        </is>
      </c>
      <c r="D15" s="16" t="inlineStr"/>
      <c r="E15" s="16" t="inlineStr"/>
      <c r="F15" s="16" t="inlineStr"/>
      <c r="G15" s="16" t="inlineStr"/>
      <c r="H15" s="16" t="inlineStr"/>
      <c r="I15" s="39">
        <f>IFERROR(ROUND((D15*5+E15*4+F15*3+G15*2+H15)/SUM(D15:H15),2),"")</f>
        <v/>
      </c>
    </row>
    <row r="16" ht="22" customHeight="1">
      <c r="B16" s="8" t="inlineStr">
        <is>
          <t>Q7</t>
        </is>
      </c>
      <c r="C16" s="9" t="inlineStr">
        <is>
          <t>Syllabus is completed on time</t>
        </is>
      </c>
      <c r="D16" s="10" t="inlineStr"/>
      <c r="E16" s="10" t="inlineStr"/>
      <c r="F16" s="10" t="inlineStr"/>
      <c r="G16" s="10" t="inlineStr"/>
      <c r="H16" s="10" t="inlineStr"/>
      <c r="I16" s="37">
        <f>IFERROR(ROUND((D16*5+E16*4+F16*3+G16*2+H16)/SUM(D16:H16),2),"")</f>
        <v/>
      </c>
    </row>
    <row r="17" ht="22" customHeight="1">
      <c r="B17" s="14" t="inlineStr">
        <is>
          <t>Q8</t>
        </is>
      </c>
      <c r="C17" s="15" t="inlineStr">
        <is>
          <t>Reference materials and resources are adequate</t>
        </is>
      </c>
      <c r="D17" s="16" t="inlineStr"/>
      <c r="E17" s="16" t="inlineStr"/>
      <c r="F17" s="16" t="inlineStr"/>
      <c r="G17" s="16" t="inlineStr"/>
      <c r="H17" s="16" t="inlineStr"/>
      <c r="I17" s="39">
        <f>IFERROR(ROUND((D17*5+E17*4+F17*3+G17*2+H17)/SUM(D17:H17),2),"")</f>
        <v/>
      </c>
    </row>
    <row r="18" ht="22" customHeight="1">
      <c r="B18" s="8" t="inlineStr">
        <is>
          <t>Q9</t>
        </is>
      </c>
      <c r="C18" s="9" t="inlineStr">
        <is>
          <t>Course Outcomes (COs) are clearly communicated at the start</t>
        </is>
      </c>
      <c r="D18" s="10" t="inlineStr"/>
      <c r="E18" s="10" t="inlineStr"/>
      <c r="F18" s="10" t="inlineStr"/>
      <c r="G18" s="10" t="inlineStr"/>
      <c r="H18" s="10" t="inlineStr"/>
      <c r="I18" s="37">
        <f>IFERROR(ROUND((D18*5+E18*4+F18*3+G18*2+H18)/SUM(D18:H18),2),"")</f>
        <v/>
      </c>
    </row>
    <row r="19" ht="22" customHeight="1"/>
    <row r="20" ht="24" customHeight="1">
      <c r="B20" s="34" t="inlineStr">
        <is>
          <t>C. ASSESSMENT &amp; FEEDBACK</t>
        </is>
      </c>
    </row>
    <row r="21" ht="22" customHeight="1">
      <c r="B21" s="30" t="inlineStr">
        <is>
          <t>Q.</t>
        </is>
      </c>
      <c r="C21" s="30" t="inlineStr">
        <is>
          <t>Survey Statement</t>
        </is>
      </c>
      <c r="D21" s="30" t="inlineStr">
        <is>
          <t>SA(5)</t>
        </is>
      </c>
      <c r="E21" s="30" t="inlineStr">
        <is>
          <t>A(4)</t>
        </is>
      </c>
      <c r="F21" s="30" t="inlineStr">
        <is>
          <t>N(3)</t>
        </is>
      </c>
      <c r="G21" s="30" t="inlineStr">
        <is>
          <t>D(2)</t>
        </is>
      </c>
      <c r="H21" s="30" t="inlineStr">
        <is>
          <t>SD(1)</t>
        </is>
      </c>
      <c r="I21" s="30" t="inlineStr">
        <is>
          <t>Avg</t>
        </is>
      </c>
    </row>
    <row r="22" ht="22" customHeight="1">
      <c r="B22" s="31" t="inlineStr">
        <is>
          <t>Q10</t>
        </is>
      </c>
      <c r="C22" s="32" t="inlineStr">
        <is>
          <t>CIE tests are fair and well-structured</t>
        </is>
      </c>
      <c r="D22" s="33" t="inlineStr"/>
      <c r="E22" s="33" t="inlineStr"/>
      <c r="F22" s="33" t="inlineStr"/>
      <c r="G22" s="33" t="inlineStr"/>
      <c r="H22" s="33" t="inlineStr"/>
      <c r="I22" s="51">
        <f>IFERROR(ROUND((D22*5+E22*4+F22*3+G22*2+H22)/SUM(D22:H22),2),"")</f>
        <v/>
      </c>
    </row>
    <row r="23" ht="22" customHeight="1">
      <c r="B23" s="8" t="inlineStr">
        <is>
          <t>Q11</t>
        </is>
      </c>
      <c r="C23" s="9" t="inlineStr">
        <is>
          <t>Marks are announced and displayed within one week</t>
        </is>
      </c>
      <c r="D23" s="10" t="inlineStr"/>
      <c r="E23" s="10" t="inlineStr"/>
      <c r="F23" s="10" t="inlineStr"/>
      <c r="G23" s="10" t="inlineStr"/>
      <c r="H23" s="10" t="inlineStr"/>
      <c r="I23" s="37">
        <f>IFERROR(ROUND((D23*5+E23*4+F23*3+G23*2+H23)/SUM(D23:H23),2),"")</f>
        <v/>
      </c>
    </row>
    <row r="24" ht="22" customHeight="1">
      <c r="B24" s="31" t="inlineStr">
        <is>
          <t>Q12</t>
        </is>
      </c>
      <c r="C24" s="32" t="inlineStr">
        <is>
          <t>Assignment and lab tasks align with course objectives</t>
        </is>
      </c>
      <c r="D24" s="33" t="inlineStr"/>
      <c r="E24" s="33" t="inlineStr"/>
      <c r="F24" s="33" t="inlineStr"/>
      <c r="G24" s="33" t="inlineStr"/>
      <c r="H24" s="33" t="inlineStr"/>
      <c r="I24" s="51">
        <f>IFERROR(ROUND((D24*5+E24*4+F24*3+G24*2+H24)/SUM(D24:H24),2),"")</f>
        <v/>
      </c>
    </row>
    <row r="25" ht="22" customHeight="1">
      <c r="B25" s="8" t="inlineStr">
        <is>
          <t>Q13</t>
        </is>
      </c>
      <c r="C25" s="9" t="inlineStr">
        <is>
          <t>Faculty provides useful feedback on tests and assignments</t>
        </is>
      </c>
      <c r="D25" s="10" t="inlineStr"/>
      <c r="E25" s="10" t="inlineStr"/>
      <c r="F25" s="10" t="inlineStr"/>
      <c r="G25" s="10" t="inlineStr"/>
      <c r="H25" s="10" t="inlineStr"/>
      <c r="I25" s="37">
        <f>IFERROR(ROUND((D25*5+E25*4+F25*3+G25*2+H25)/SUM(D25:H25),2),"")</f>
        <v/>
      </c>
    </row>
    <row r="26" ht="22" customHeight="1">
      <c r="B26" s="31" t="inlineStr">
        <is>
          <t>Q14</t>
        </is>
      </c>
      <c r="C26" s="32" t="inlineStr">
        <is>
          <t>The difficulty level of assessments is appropriate</t>
        </is>
      </c>
      <c r="D26" s="33" t="inlineStr"/>
      <c r="E26" s="33" t="inlineStr"/>
      <c r="F26" s="33" t="inlineStr"/>
      <c r="G26" s="33" t="inlineStr"/>
      <c r="H26" s="33" t="inlineStr"/>
      <c r="I26" s="51">
        <f>IFERROR(ROUND((D26*5+E26*4+F26*3+G26*2+H26)/SUM(D26:H26),2),"")</f>
        <v/>
      </c>
    </row>
    <row r="27" ht="22" customHeight="1"/>
    <row r="28" ht="24" customHeight="1">
      <c r="B28" s="52" t="inlineStr">
        <is>
          <t>D. FACULTY AVAILABILITY &amp; SUPPORT</t>
        </is>
      </c>
    </row>
    <row r="29" ht="22" customHeight="1">
      <c r="B29" s="53" t="inlineStr">
        <is>
          <t>Q.</t>
        </is>
      </c>
      <c r="C29" s="53" t="inlineStr">
        <is>
          <t>Survey Statement</t>
        </is>
      </c>
      <c r="D29" s="53" t="inlineStr">
        <is>
          <t>SA(5)</t>
        </is>
      </c>
      <c r="E29" s="53" t="inlineStr">
        <is>
          <t>A(4)</t>
        </is>
      </c>
      <c r="F29" s="53" t="inlineStr">
        <is>
          <t>N(3)</t>
        </is>
      </c>
      <c r="G29" s="53" t="inlineStr">
        <is>
          <t>D(2)</t>
        </is>
      </c>
      <c r="H29" s="53" t="inlineStr">
        <is>
          <t>SD(1)</t>
        </is>
      </c>
      <c r="I29" s="53" t="inlineStr">
        <is>
          <t>Avg</t>
        </is>
      </c>
    </row>
    <row r="30" ht="22" customHeight="1">
      <c r="B30" s="54" t="inlineStr">
        <is>
          <t>Q15</t>
        </is>
      </c>
      <c r="C30" s="55" t="inlineStr">
        <is>
          <t>Faculty is available for doubt-clearing beyond class hours</t>
        </is>
      </c>
      <c r="D30" s="22" t="inlineStr"/>
      <c r="E30" s="22" t="inlineStr"/>
      <c r="F30" s="22" t="inlineStr"/>
      <c r="G30" s="22" t="inlineStr"/>
      <c r="H30" s="22" t="inlineStr"/>
      <c r="I30" s="56">
        <f>IFERROR(ROUND((D30*5+E30*4+F30*3+G30*2+H30)/SUM(D30:H30),2),"")</f>
        <v/>
      </c>
    </row>
    <row r="31" ht="22" customHeight="1">
      <c r="B31" s="8" t="inlineStr">
        <is>
          <t>Q16</t>
        </is>
      </c>
      <c r="C31" s="9" t="inlineStr">
        <is>
          <t>Faculty supports slow learners with extra help</t>
        </is>
      </c>
      <c r="D31" s="10" t="inlineStr"/>
      <c r="E31" s="10" t="inlineStr"/>
      <c r="F31" s="10" t="inlineStr"/>
      <c r="G31" s="10" t="inlineStr"/>
      <c r="H31" s="10" t="inlineStr"/>
      <c r="I31" s="37">
        <f>IFERROR(ROUND((D31*5+E31*4+F31*3+G31*2+H31)/SUM(D31:H31),2),"")</f>
        <v/>
      </c>
    </row>
    <row r="32" ht="22" customHeight="1">
      <c r="B32" s="54" t="inlineStr">
        <is>
          <t>Q17</t>
        </is>
      </c>
      <c r="C32" s="55" t="inlineStr">
        <is>
          <t>Faculty handles the class with respect and professionalism</t>
        </is>
      </c>
      <c r="D32" s="22" t="inlineStr"/>
      <c r="E32" s="22" t="inlineStr"/>
      <c r="F32" s="22" t="inlineStr"/>
      <c r="G32" s="22" t="inlineStr"/>
      <c r="H32" s="22" t="inlineStr"/>
      <c r="I32" s="56">
        <f>IFERROR(ROUND((D32*5+E32*4+F32*3+G32*2+H32)/SUM(D32:H32),2),"")</f>
        <v/>
      </c>
    </row>
    <row r="33" ht="22" customHeight="1">
      <c r="B33" s="8" t="inlineStr">
        <is>
          <t>Q18</t>
        </is>
      </c>
      <c r="C33" s="9" t="inlineStr">
        <is>
          <t>Overall satisfaction with this faculty's teaching</t>
        </is>
      </c>
      <c r="D33" s="10" t="inlineStr"/>
      <c r="E33" s="10" t="inlineStr"/>
      <c r="F33" s="10" t="inlineStr"/>
      <c r="G33" s="10" t="inlineStr"/>
      <c r="H33" s="10" t="inlineStr"/>
      <c r="I33" s="37">
        <f>IFERROR(ROUND((D33*5+E33*4+F33*3+G33*2+H33)/SUM(D33:H33),2),"")</f>
        <v/>
      </c>
    </row>
    <row r="34" ht="22" customHeight="1"/>
    <row r="35" ht="24" customHeight="1">
      <c r="B35" s="27" t="inlineStr">
        <is>
          <t>FEEDBACK SUMMARY</t>
        </is>
      </c>
    </row>
    <row r="36" ht="22" customHeight="1">
      <c r="B36" s="28" t="inlineStr">
        <is>
          <t>Section</t>
        </is>
      </c>
      <c r="C36" s="28" t="inlineStr">
        <is>
          <t>Avg Score</t>
        </is>
      </c>
      <c r="D36" s="28" t="inlineStr">
        <is>
          <t>Satisfaction %</t>
        </is>
      </c>
      <c r="E36" s="28" t="inlineStr">
        <is>
          <t>Benchmark
≥3.5</t>
        </is>
      </c>
      <c r="F36" s="28" t="inlineStr">
        <is>
          <t>Gap</t>
        </is>
      </c>
      <c r="G36" s="28" t="inlineStr">
        <is>
          <t>Status</t>
        </is>
      </c>
      <c r="H36" s="28" t="inlineStr">
        <is>
          <t>Action</t>
        </is>
      </c>
    </row>
    <row r="37" ht="22" customHeight="1">
      <c r="B37" s="38" t="inlineStr">
        <is>
          <t>COURSE DELIVERY</t>
        </is>
      </c>
      <c r="C37" s="16" t="inlineStr"/>
      <c r="D37" s="16">
        <f>IFERROR(ROUND(C37/5*100,1),"")</f>
        <v/>
      </c>
      <c r="E37" s="16" t="n">
        <v>3.5</v>
      </c>
      <c r="F37" s="16">
        <f>IFERROR(ROUND(C37-E37,2),"")</f>
        <v/>
      </c>
      <c r="G37" s="16">
        <f>IFERROR(IF(C37&gt;=3.5,"OK","Attention"),"")</f>
        <v/>
      </c>
      <c r="H37" s="15" t="inlineStr"/>
      <c r="I37" s="57" t="n"/>
    </row>
    <row r="38" ht="22" customHeight="1">
      <c r="B38" s="25" t="inlineStr">
        <is>
          <t>CONTENT &amp; CURRICULUM</t>
        </is>
      </c>
      <c r="C38" s="10" t="inlineStr"/>
      <c r="D38" s="10">
        <f>IFERROR(ROUND(C38/5*100,1),"")</f>
        <v/>
      </c>
      <c r="E38" s="10" t="n">
        <v>3.5</v>
      </c>
      <c r="F38" s="10">
        <f>IFERROR(ROUND(C38-E38,2),"")</f>
        <v/>
      </c>
      <c r="G38" s="10">
        <f>IFERROR(IF(C38&gt;=3.5,"OK","Attention"),"")</f>
        <v/>
      </c>
      <c r="H38" s="9" t="inlineStr"/>
      <c r="I38" s="58" t="n"/>
    </row>
    <row r="39" ht="22" customHeight="1">
      <c r="B39" s="38" t="inlineStr">
        <is>
          <t>ASSESSMENT &amp; FEEDBACK</t>
        </is>
      </c>
      <c r="C39" s="16" t="inlineStr"/>
      <c r="D39" s="16">
        <f>IFERROR(ROUND(C39/5*100,1),"")</f>
        <v/>
      </c>
      <c r="E39" s="16" t="n">
        <v>3.5</v>
      </c>
      <c r="F39" s="16">
        <f>IFERROR(ROUND(C39-E39,2),"")</f>
        <v/>
      </c>
      <c r="G39" s="16">
        <f>IFERROR(IF(C39&gt;=3.5,"OK","Attention"),"")</f>
        <v/>
      </c>
      <c r="H39" s="15" t="inlineStr"/>
      <c r="I39" s="57" t="n"/>
    </row>
    <row r="40" ht="22" customHeight="1">
      <c r="B40" s="25" t="inlineStr">
        <is>
          <t>FACULTY AVAILABILITY &amp; SUPPORT</t>
        </is>
      </c>
      <c r="C40" s="10" t="inlineStr"/>
      <c r="D40" s="10">
        <f>IFERROR(ROUND(C40/5*100,1),"")</f>
        <v/>
      </c>
      <c r="E40" s="10" t="n">
        <v>3.5</v>
      </c>
      <c r="F40" s="10">
        <f>IFERROR(ROUND(C40-E40,2),"")</f>
        <v/>
      </c>
      <c r="G40" s="10">
        <f>IFERROR(IF(C40&gt;=3.5,"OK","Attention"),"")</f>
        <v/>
      </c>
      <c r="H40" s="9" t="inlineStr"/>
      <c r="I40" s="58" t="n"/>
    </row>
    <row r="41" ht="22" customHeight="1"/>
    <row r="42" ht="22" customHeight="1"/>
    <row r="43" ht="22" customHeight="1"/>
    <row r="44" ht="22" customHeight="1"/>
    <row r="45" ht="22" customHeight="1"/>
  </sheetData>
  <mergeCells count="8">
    <mergeCell ref="B13:I13"/>
    <mergeCell ref="B2:I2"/>
    <mergeCell ref="B20:I20"/>
    <mergeCell ref="B28:I28"/>
    <mergeCell ref="B3:I3"/>
    <mergeCell ref="B5:I5"/>
    <mergeCell ref="B35:I35"/>
    <mergeCell ref="B4:I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52" customHeight="1">
      <c r="B2" s="12" t="inlineStr">
        <is>
          <t>DAC-39: COURSE IMPROVEMENT ACTION PLAN REGISTER</t>
        </is>
      </c>
    </row>
    <row r="3" ht="20" customHeight="1">
      <c r="B3" s="17" t="inlineStr">
        <is>
          <t>NBA Criterion 4.3 / NAAC II.3: Any course with CO attainment below target OR student feedback score &lt; 3.5 must have a documented improvement plan. Implement in next semester and verify improvement.</t>
        </is>
      </c>
    </row>
    <row r="4" ht="25" customHeight="1">
      <c r="B4" s="2" t="inlineStr">
        <is>
          <t>Department: _______  Semester: _______  A.Y.: _______  CO/PO Coordinator: ___________________</t>
        </is>
      </c>
    </row>
    <row r="5" ht="30" customHeight="1">
      <c r="B5" s="13" t="inlineStr">
        <is>
          <t>Course
Code</t>
        </is>
      </c>
      <c r="C5" s="13" t="inlineStr">
        <is>
          <t>Improvement Area</t>
        </is>
      </c>
      <c r="D5" s="13" t="inlineStr">
        <is>
          <t>Root Cause
Analysis</t>
        </is>
      </c>
      <c r="E5" s="13" t="inlineStr">
        <is>
          <t>Action
Planned</t>
        </is>
      </c>
      <c r="F5" s="13" t="inlineStr">
        <is>
          <t>Responsible</t>
        </is>
      </c>
      <c r="G5" s="13" t="inlineStr">
        <is>
          <t>Implementation
Timeline</t>
        </is>
      </c>
      <c r="H5" s="13" t="inlineStr">
        <is>
          <t>Verification
Method</t>
        </is>
      </c>
    </row>
    <row r="6" ht="34" customHeight="1">
      <c r="B6" s="59" t="inlineStr"/>
      <c r="C6" s="60" t="inlineStr">
        <is>
          <t>Low CO attainment — CO1</t>
        </is>
      </c>
      <c r="D6" s="61" t="inlineStr">
        <is>
          <t>Content delivery needs restructuring</t>
        </is>
      </c>
      <c r="E6" s="61" t="inlineStr">
        <is>
          <t>Revise teaching plan, add examples</t>
        </is>
      </c>
      <c r="F6" s="59" t="inlineStr">
        <is>
          <t>Faculty + HoD</t>
        </is>
      </c>
      <c r="G6" s="59" t="inlineStr">
        <is>
          <t>Next Semester</t>
        </is>
      </c>
      <c r="H6" s="61" t="inlineStr">
        <is>
          <t>CO attainment comparison</t>
        </is>
      </c>
    </row>
    <row r="7" ht="34" customHeight="1">
      <c r="B7" s="62" t="inlineStr"/>
      <c r="C7" s="63" t="inlineStr">
        <is>
          <t>Low CO attainment — CO2</t>
        </is>
      </c>
      <c r="D7" s="64" t="inlineStr">
        <is>
          <t>Assessment not aligned to CO</t>
        </is>
      </c>
      <c r="E7" s="64" t="inlineStr">
        <is>
          <t>Redesign CIE questions to CO level</t>
        </is>
      </c>
      <c r="F7" s="62" t="inlineStr">
        <is>
          <t>Faculty + CIE Coord.</t>
        </is>
      </c>
      <c r="G7" s="62" t="inlineStr">
        <is>
          <t>Current Semester</t>
        </is>
      </c>
      <c r="H7" s="64" t="inlineStr">
        <is>
          <t>Revised marks analysis</t>
        </is>
      </c>
    </row>
    <row r="8" ht="34" customHeight="1">
      <c r="B8" s="59" t="inlineStr"/>
      <c r="C8" s="60" t="inlineStr">
        <is>
          <t>Student feedback &lt; 3.5 — Delivery</t>
        </is>
      </c>
      <c r="D8" s="61" t="inlineStr">
        <is>
          <t>Pace too fast, insufficient interaction</t>
        </is>
      </c>
      <c r="E8" s="61" t="inlineStr">
        <is>
          <t>Introduce flipped classroom approach</t>
        </is>
      </c>
      <c r="F8" s="59" t="inlineStr">
        <is>
          <t>Faculty</t>
        </is>
      </c>
      <c r="G8" s="59" t="inlineStr">
        <is>
          <t>From Week 1 next sem.</t>
        </is>
      </c>
      <c r="H8" s="61" t="inlineStr">
        <is>
          <t>Mid-sem feedback score</t>
        </is>
      </c>
    </row>
    <row r="9" ht="34" customHeight="1">
      <c r="B9" s="62" t="inlineStr"/>
      <c r="C9" s="63" t="inlineStr">
        <is>
          <t>Pass % &lt; 60%</t>
        </is>
      </c>
      <c r="D9" s="64" t="inlineStr">
        <is>
          <t>Concepts not clear in certain units</t>
        </is>
      </c>
      <c r="E9" s="64" t="inlineStr">
        <is>
          <t>Extra sessions for difficult units</t>
        </is>
      </c>
      <c r="F9" s="62" t="inlineStr">
        <is>
          <t>Faculty + Slow Learner Coord.</t>
        </is>
      </c>
      <c r="G9" s="62" t="inlineStr">
        <is>
          <t>Ongoing</t>
        </is>
      </c>
      <c r="H9" s="64" t="inlineStr">
        <is>
          <t>Pass % comparison</t>
        </is>
      </c>
    </row>
    <row r="10" ht="34" customHeight="1">
      <c r="B10" s="59" t="inlineStr"/>
      <c r="C10" s="60" t="inlineStr">
        <is>
          <t>Syllabus not completed</t>
        </is>
      </c>
      <c r="D10" s="61" t="inlineStr">
        <is>
          <t>Too many holidays / events</t>
        </is>
      </c>
      <c r="E10" s="61" t="inlineStr">
        <is>
          <t>Front-load coverage plan</t>
        </is>
      </c>
      <c r="F10" s="59" t="inlineStr">
        <is>
          <t>Faculty + DAC</t>
        </is>
      </c>
      <c r="G10" s="59" t="inlineStr">
        <is>
          <t>Semester start</t>
        </is>
      </c>
      <c r="H10" s="61" t="inlineStr">
        <is>
          <t>Coverage tracker %</t>
        </is>
      </c>
    </row>
    <row r="11" ht="34" customHeight="1">
      <c r="B11" s="62" t="inlineStr"/>
      <c r="C11" s="63" t="inlineStr">
        <is>
          <t>Lab assessment low</t>
        </is>
      </c>
      <c r="D11" s="64" t="inlineStr">
        <is>
          <t>SOP not clear to students</t>
        </is>
      </c>
      <c r="E11" s="64" t="inlineStr">
        <is>
          <t>Revise lab manual, conduct demo session</t>
        </is>
      </c>
      <c r="F11" s="62" t="inlineStr">
        <is>
          <t>Lab Coord.</t>
        </is>
      </c>
      <c r="G11" s="62" t="inlineStr">
        <is>
          <t>Before next lab cycle</t>
        </is>
      </c>
      <c r="H11" s="64" t="inlineStr">
        <is>
          <t>Lab marks comparison</t>
        </is>
      </c>
    </row>
    <row r="12" ht="34" customHeight="1">
      <c r="B12" s="59" t="inlineStr"/>
      <c r="C12" s="60" t="inlineStr">
        <is>
          <t>Low assignment quality</t>
        </is>
      </c>
      <c r="D12" s="61" t="inlineStr">
        <is>
          <t>Assignment questions not challenging</t>
        </is>
      </c>
      <c r="E12" s="61" t="inlineStr">
        <is>
          <t>Redesign assignments to higher Bloom's</t>
        </is>
      </c>
      <c r="F12" s="59" t="inlineStr">
        <is>
          <t>Faculty</t>
        </is>
      </c>
      <c r="G12" s="59" t="inlineStr">
        <is>
          <t>Next semester</t>
        </is>
      </c>
      <c r="H12" s="61" t="inlineStr">
        <is>
          <t>Assignment avg. marks</t>
        </is>
      </c>
    </row>
    <row r="13" ht="34" customHeight="1">
      <c r="B13" s="62" t="inlineStr"/>
      <c r="C13" s="63" t="inlineStr">
        <is>
          <t>Low attendance</t>
        </is>
      </c>
      <c r="D13" s="64" t="inlineStr">
        <is>
          <t>Student disengagement</t>
        </is>
      </c>
      <c r="E13" s="64" t="inlineStr">
        <is>
          <t>Interactive sessions, attendance incentive</t>
        </is>
      </c>
      <c r="F13" s="62" t="inlineStr">
        <is>
          <t>Faculty + Mentor</t>
        </is>
      </c>
      <c r="G13" s="62" t="inlineStr">
        <is>
          <t>Immediate</t>
        </is>
      </c>
      <c r="H13" s="64" t="inlineStr">
        <is>
          <t>Attendance report</t>
        </is>
      </c>
    </row>
    <row r="14" ht="30" customHeight="1"/>
    <row r="15" ht="30" customHeight="1">
      <c r="B15" s="29" t="inlineStr">
        <is>
          <t>HoD Signature: ___________________    DAC Coordinator: ___________________    CO/PO Coordinator: ___________________    Date: ___________________</t>
        </is>
      </c>
    </row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4">
    <mergeCell ref="B3:H3"/>
    <mergeCell ref="B2:H2"/>
    <mergeCell ref="B4:H4"/>
    <mergeCell ref="B15:H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DAC-40 / DAC-41: GUEST LECTURE &amp; INDUSTRIAL VISIT REGISTER</t>
        </is>
      </c>
    </row>
    <row r="3" ht="25" customHeight="1">
      <c r="B3" s="2" t="inlineStr">
        <is>
          <t>Department: _______  Semester: _______  A.Y.: _______  NAAC Ref.: Criterion II.3 / III.1</t>
        </is>
      </c>
    </row>
    <row r="4" ht="24" customHeight="1">
      <c r="B4" s="19" t="inlineStr">
        <is>
          <t>GUEST LECTURES</t>
        </is>
      </c>
    </row>
    <row r="5" ht="22" customHeight="1">
      <c r="B5" s="13" t="inlineStr">
        <is>
          <t>Sl.</t>
        </is>
      </c>
      <c r="C5" s="13" t="inlineStr">
        <is>
          <t>Expert / Speaker</t>
        </is>
      </c>
      <c r="D5" s="13" t="inlineStr">
        <is>
          <t>Organisation</t>
        </is>
      </c>
      <c r="E5" s="13" t="inlineStr">
        <is>
          <t>Topic</t>
        </is>
      </c>
      <c r="F5" s="13" t="inlineStr">
        <is>
          <t>CO
Linked</t>
        </is>
      </c>
      <c r="G5" s="13" t="inlineStr">
        <is>
          <t>Date</t>
        </is>
      </c>
      <c r="H5" s="13" t="inlineStr">
        <is>
          <t>Mode</t>
        </is>
      </c>
      <c r="I5" s="13" t="inlineStr">
        <is>
          <t>Students
Attended</t>
        </is>
      </c>
      <c r="J5" s="13" t="inlineStr">
        <is>
          <t>Feedback
(/5)</t>
        </is>
      </c>
    </row>
    <row r="6" ht="22" customHeight="1">
      <c r="B6" s="14" t="n">
        <v>1</v>
      </c>
      <c r="C6" s="15" t="inlineStr"/>
      <c r="D6" s="15" t="inlineStr"/>
      <c r="E6" s="15" t="inlineStr">
        <is>
          <t>Industry 4.0 &amp; Automation</t>
        </is>
      </c>
      <c r="F6" s="16" t="inlineStr">
        <is>
          <t>CO1</t>
        </is>
      </c>
      <c r="G6" s="16" t="inlineStr"/>
      <c r="H6" s="16" t="inlineStr">
        <is>
          <t>Physical</t>
        </is>
      </c>
      <c r="I6" s="16" t="inlineStr"/>
      <c r="J6" s="16" t="inlineStr"/>
    </row>
    <row r="7" ht="22" customHeight="1">
      <c r="B7" s="8" t="n">
        <v>2</v>
      </c>
      <c r="C7" s="9" t="inlineStr"/>
      <c r="D7" s="9" t="inlineStr"/>
      <c r="E7" s="9" t="inlineStr">
        <is>
          <t>Cloud Computing &amp; DevOps</t>
        </is>
      </c>
      <c r="F7" s="10" t="inlineStr">
        <is>
          <t>CO2</t>
        </is>
      </c>
      <c r="G7" s="10" t="inlineStr"/>
      <c r="H7" s="10" t="inlineStr">
        <is>
          <t>Physical</t>
        </is>
      </c>
      <c r="I7" s="10" t="inlineStr"/>
      <c r="J7" s="10" t="inlineStr"/>
    </row>
    <row r="8" ht="22" customHeight="1">
      <c r="B8" s="14" t="n">
        <v>3</v>
      </c>
      <c r="C8" s="15" t="inlineStr"/>
      <c r="D8" s="15" t="inlineStr"/>
      <c r="E8" s="15" t="inlineStr">
        <is>
          <t>Data Science &amp; AI Applications</t>
        </is>
      </c>
      <c r="F8" s="16" t="inlineStr">
        <is>
          <t>CO3</t>
        </is>
      </c>
      <c r="G8" s="16" t="inlineStr"/>
      <c r="H8" s="16" t="inlineStr">
        <is>
          <t>Physical</t>
        </is>
      </c>
      <c r="I8" s="16" t="inlineStr"/>
      <c r="J8" s="16" t="inlineStr"/>
    </row>
    <row r="9" ht="22" customHeight="1">
      <c r="B9" s="8" t="n">
        <v>4</v>
      </c>
      <c r="C9" s="9" t="inlineStr"/>
      <c r="D9" s="9" t="inlineStr"/>
      <c r="E9" s="9" t="inlineStr">
        <is>
          <t>VLSI &amp; Embedded Systems</t>
        </is>
      </c>
      <c r="F9" s="10" t="inlineStr">
        <is>
          <t>CO4</t>
        </is>
      </c>
      <c r="G9" s="10" t="inlineStr"/>
      <c r="H9" s="10" t="inlineStr">
        <is>
          <t>Physical</t>
        </is>
      </c>
      <c r="I9" s="10" t="inlineStr"/>
      <c r="J9" s="10" t="inlineStr"/>
    </row>
    <row r="10" ht="22" customHeight="1">
      <c r="B10" s="14" t="n">
        <v>5</v>
      </c>
      <c r="C10" s="15" t="inlineStr"/>
      <c r="D10" s="15" t="inlineStr"/>
      <c r="E10" s="15" t="inlineStr">
        <is>
          <t>Structural Analysis &amp; Design Software</t>
        </is>
      </c>
      <c r="F10" s="16" t="inlineStr">
        <is>
          <t>CO5</t>
        </is>
      </c>
      <c r="G10" s="16" t="inlineStr"/>
      <c r="H10" s="16" t="inlineStr">
        <is>
          <t>Physical</t>
        </is>
      </c>
      <c r="I10" s="16" t="inlineStr"/>
      <c r="J10" s="16" t="inlineStr"/>
    </row>
    <row r="11" ht="22" customHeight="1">
      <c r="B11" s="8" t="n">
        <v>6</v>
      </c>
      <c r="C11" s="9" t="inlineStr"/>
      <c r="D11" s="9" t="inlineStr"/>
      <c r="E11" s="9" t="inlineStr">
        <is>
          <t>Entrepreneurship &amp; Startup Journey</t>
        </is>
      </c>
      <c r="F11" s="10" t="inlineStr">
        <is>
          <t>CO6</t>
        </is>
      </c>
      <c r="G11" s="10" t="inlineStr"/>
      <c r="H11" s="10" t="inlineStr">
        <is>
          <t>Physical</t>
        </is>
      </c>
      <c r="I11" s="10" t="inlineStr"/>
      <c r="J11" s="10" t="inlineStr"/>
    </row>
    <row r="12" ht="22" customHeight="1">
      <c r="B12" s="14" t="n">
        <v>7</v>
      </c>
      <c r="C12" s="15" t="inlineStr"/>
      <c r="D12" s="15" t="inlineStr"/>
      <c r="E12" s="15" t="inlineStr">
        <is>
          <t>Research Methodology</t>
        </is>
      </c>
      <c r="F12" s="16" t="inlineStr">
        <is>
          <t>CO1</t>
        </is>
      </c>
      <c r="G12" s="16" t="inlineStr"/>
      <c r="H12" s="16" t="inlineStr">
        <is>
          <t>Physical</t>
        </is>
      </c>
      <c r="I12" s="16" t="inlineStr"/>
      <c r="J12" s="16" t="inlineStr"/>
    </row>
    <row r="13" ht="22" customHeight="1">
      <c r="B13" s="8" t="n">
        <v>8</v>
      </c>
      <c r="C13" s="9" t="inlineStr"/>
      <c r="D13" s="9" t="inlineStr"/>
      <c r="E13" s="9" t="inlineStr">
        <is>
          <t>Patent Filing &amp; IPR</t>
        </is>
      </c>
      <c r="F13" s="10" t="inlineStr">
        <is>
          <t>CO2</t>
        </is>
      </c>
      <c r="G13" s="10" t="inlineStr"/>
      <c r="H13" s="10" t="inlineStr">
        <is>
          <t>Physical</t>
        </is>
      </c>
      <c r="I13" s="10" t="inlineStr"/>
      <c r="J13" s="10" t="inlineStr"/>
    </row>
    <row r="14" ht="22" customHeight="1">
      <c r="B14" s="14" t="n">
        <v>9</v>
      </c>
      <c r="C14" s="15" t="inlineStr"/>
      <c r="D14" s="15" t="inlineStr"/>
      <c r="E14" s="15" t="inlineStr">
        <is>
          <t>Placement Readiness</t>
        </is>
      </c>
      <c r="F14" s="16" t="inlineStr">
        <is>
          <t>CO3</t>
        </is>
      </c>
      <c r="G14" s="16" t="inlineStr"/>
      <c r="H14" s="16" t="inlineStr">
        <is>
          <t>Physical</t>
        </is>
      </c>
      <c r="I14" s="16" t="inlineStr"/>
      <c r="J14" s="16" t="inlineStr"/>
    </row>
    <row r="15" ht="22" customHeight="1">
      <c r="B15" s="8" t="n">
        <v>10</v>
      </c>
      <c r="C15" s="9" t="inlineStr"/>
      <c r="D15" s="9" t="inlineStr"/>
      <c r="E15" s="9" t="inlineStr">
        <is>
          <t>Advanced Manufacturing</t>
        </is>
      </c>
      <c r="F15" s="10" t="inlineStr">
        <is>
          <t>CO4</t>
        </is>
      </c>
      <c r="G15" s="10" t="inlineStr"/>
      <c r="H15" s="10" t="inlineStr">
        <is>
          <t>Physical</t>
        </is>
      </c>
      <c r="I15" s="10" t="inlineStr"/>
      <c r="J15" s="10" t="inlineStr"/>
    </row>
    <row r="16" ht="22" customHeight="1"/>
    <row r="17" ht="24" customHeight="1">
      <c r="B17" s="34" t="inlineStr">
        <is>
          <t>INDUSTRIAL VISITS &amp; FIELD STUDIES</t>
        </is>
      </c>
    </row>
    <row r="18" ht="22" customHeight="1">
      <c r="B18" s="30" t="inlineStr">
        <is>
          <t>Sl.</t>
        </is>
      </c>
      <c r="C18" s="30" t="inlineStr">
        <is>
          <t>Organisation / Site Visited</t>
        </is>
      </c>
      <c r="D18" s="30" t="inlineStr">
        <is>
          <t>Industry
Sector</t>
        </is>
      </c>
      <c r="E18" s="30" t="inlineStr">
        <is>
          <t>Courses
Linked</t>
        </is>
      </c>
      <c r="F18" s="30" t="inlineStr">
        <is>
          <t>CO
Linked</t>
        </is>
      </c>
      <c r="G18" s="30" t="inlineStr">
        <is>
          <t>Date</t>
        </is>
      </c>
      <c r="H18" s="30" t="inlineStr">
        <is>
          <t>Students</t>
        </is>
      </c>
      <c r="I18" s="30" t="inlineStr">
        <is>
          <t>Duration</t>
        </is>
      </c>
      <c r="J18" s="30" t="inlineStr">
        <is>
          <t>Report
Submitted</t>
        </is>
      </c>
    </row>
    <row r="19" ht="22" customHeight="1">
      <c r="B19" s="31" t="n">
        <v>1</v>
      </c>
      <c r="C19" s="32" t="inlineStr"/>
      <c r="D19" s="33" t="inlineStr">
        <is>
          <t>IT / Software</t>
        </is>
      </c>
      <c r="E19" s="32" t="inlineStr"/>
      <c r="F19" s="33" t="inlineStr">
        <is>
          <t>CO1</t>
        </is>
      </c>
      <c r="G19" s="33" t="inlineStr"/>
      <c r="H19" s="33" t="inlineStr"/>
      <c r="I19" s="33" t="inlineStr">
        <is>
          <t>1 Day</t>
        </is>
      </c>
      <c r="J19" s="33" t="inlineStr">
        <is>
          <t>Y</t>
        </is>
      </c>
    </row>
    <row r="20" ht="22" customHeight="1">
      <c r="B20" s="8" t="n">
        <v>2</v>
      </c>
      <c r="C20" s="9" t="inlineStr"/>
      <c r="D20" s="10" t="inlineStr">
        <is>
          <t>Electronics Manufacturing</t>
        </is>
      </c>
      <c r="E20" s="9" t="inlineStr"/>
      <c r="F20" s="10" t="inlineStr">
        <is>
          <t>CO2</t>
        </is>
      </c>
      <c r="G20" s="10" t="inlineStr"/>
      <c r="H20" s="10" t="inlineStr"/>
      <c r="I20" s="10" t="inlineStr">
        <is>
          <t>1 Day</t>
        </is>
      </c>
      <c r="J20" s="10" t="inlineStr">
        <is>
          <t>Y</t>
        </is>
      </c>
    </row>
    <row r="21" ht="22" customHeight="1">
      <c r="B21" s="31" t="n">
        <v>3</v>
      </c>
      <c r="C21" s="32" t="inlineStr"/>
      <c r="D21" s="33" t="inlineStr">
        <is>
          <t>Mechanical / Automobile</t>
        </is>
      </c>
      <c r="E21" s="32" t="inlineStr"/>
      <c r="F21" s="33" t="inlineStr">
        <is>
          <t>CO3</t>
        </is>
      </c>
      <c r="G21" s="33" t="inlineStr"/>
      <c r="H21" s="33" t="inlineStr"/>
      <c r="I21" s="33" t="inlineStr">
        <is>
          <t>1 Day</t>
        </is>
      </c>
      <c r="J21" s="33" t="inlineStr">
        <is>
          <t>Y</t>
        </is>
      </c>
    </row>
    <row r="22" ht="22" customHeight="1">
      <c r="B22" s="8" t="n">
        <v>4</v>
      </c>
      <c r="C22" s="9" t="inlineStr"/>
      <c r="D22" s="10" t="inlineStr">
        <is>
          <t>Power / Energy</t>
        </is>
      </c>
      <c r="E22" s="9" t="inlineStr"/>
      <c r="F22" s="10" t="inlineStr">
        <is>
          <t>CO4</t>
        </is>
      </c>
      <c r="G22" s="10" t="inlineStr"/>
      <c r="H22" s="10" t="inlineStr"/>
      <c r="I22" s="10" t="inlineStr">
        <is>
          <t>1 Day</t>
        </is>
      </c>
      <c r="J22" s="10" t="inlineStr">
        <is>
          <t>Y</t>
        </is>
      </c>
    </row>
    <row r="23" ht="22" customHeight="1">
      <c r="B23" s="31" t="n">
        <v>5</v>
      </c>
      <c r="C23" s="32" t="inlineStr"/>
      <c r="D23" s="33" t="inlineStr">
        <is>
          <t>Construction / Infrastructure</t>
        </is>
      </c>
      <c r="E23" s="32" t="inlineStr"/>
      <c r="F23" s="33" t="inlineStr">
        <is>
          <t>CO5</t>
        </is>
      </c>
      <c r="G23" s="33" t="inlineStr"/>
      <c r="H23" s="33" t="inlineStr"/>
      <c r="I23" s="33" t="inlineStr">
        <is>
          <t>1 Day</t>
        </is>
      </c>
      <c r="J23" s="33" t="inlineStr">
        <is>
          <t>Y</t>
        </is>
      </c>
    </row>
    <row r="24" ht="22" customHeight="1">
      <c r="B24" s="8" t="n">
        <v>6</v>
      </c>
      <c r="C24" s="9" t="inlineStr"/>
      <c r="D24" s="10" t="inlineStr">
        <is>
          <t>Chemical / Process</t>
        </is>
      </c>
      <c r="E24" s="9" t="inlineStr"/>
      <c r="F24" s="10" t="inlineStr">
        <is>
          <t>CO6</t>
        </is>
      </c>
      <c r="G24" s="10" t="inlineStr"/>
      <c r="H24" s="10" t="inlineStr"/>
      <c r="I24" s="10" t="inlineStr">
        <is>
          <t>1 Day</t>
        </is>
      </c>
      <c r="J24" s="10" t="inlineStr">
        <is>
          <t>Y</t>
        </is>
      </c>
    </row>
    <row r="25" ht="22" customHeight="1">
      <c r="B25" s="31" t="n">
        <v>7</v>
      </c>
      <c r="C25" s="32" t="inlineStr"/>
      <c r="D25" s="33" t="inlineStr">
        <is>
          <t>Management / Finance</t>
        </is>
      </c>
      <c r="E25" s="32" t="inlineStr"/>
      <c r="F25" s="33" t="inlineStr">
        <is>
          <t>CO1</t>
        </is>
      </c>
      <c r="G25" s="33" t="inlineStr"/>
      <c r="H25" s="33" t="inlineStr"/>
      <c r="I25" s="33" t="inlineStr">
        <is>
          <t>1 Day</t>
        </is>
      </c>
      <c r="J25" s="33" t="inlineStr">
        <is>
          <t>Y</t>
        </is>
      </c>
    </row>
    <row r="26" ht="22" customHeight="1">
      <c r="B26" s="8" t="n">
        <v>8</v>
      </c>
      <c r="C26" s="9" t="inlineStr"/>
      <c r="D26" s="10" t="inlineStr">
        <is>
          <t>Biotech / Pharma</t>
        </is>
      </c>
      <c r="E26" s="9" t="inlineStr"/>
      <c r="F26" s="10" t="inlineStr">
        <is>
          <t>CO2</t>
        </is>
      </c>
      <c r="G26" s="10" t="inlineStr"/>
      <c r="H26" s="10" t="inlineStr"/>
      <c r="I26" s="10" t="inlineStr">
        <is>
          <t>1 Day</t>
        </is>
      </c>
      <c r="J26" s="10" t="inlineStr">
        <is>
          <t>Y</t>
        </is>
      </c>
    </row>
    <row r="27" ht="22" customHeight="1"/>
    <row r="28" ht="24" customHeight="1">
      <c r="B28" s="27" t="inlineStr">
        <is>
          <t>ACTIVITY SUMMARY</t>
        </is>
      </c>
    </row>
    <row r="29" ht="22" customHeight="1">
      <c r="B29" s="38" t="inlineStr">
        <is>
          <t>Total Guest Lectures</t>
        </is>
      </c>
      <c r="F29" s="36">
        <f>COUNTA(B6:B15)</f>
        <v/>
      </c>
    </row>
    <row r="30" ht="22" customHeight="1">
      <c r="B30" s="25" t="inlineStr">
        <is>
          <t>Total Students Reached — Lectures</t>
        </is>
      </c>
      <c r="F30" s="37">
        <f>IFERROR(SUM(I6:I15),"")</f>
        <v/>
      </c>
    </row>
    <row r="31" ht="22" customHeight="1">
      <c r="B31" s="38" t="inlineStr">
        <is>
          <t>Avg. Feedback Score (/5)</t>
        </is>
      </c>
      <c r="F31" s="36">
        <f>IFERROR(ROUND(AVERAGE(J6:J15),2),"")</f>
        <v/>
      </c>
    </row>
    <row r="32">
      <c r="B32" s="25" t="inlineStr">
        <is>
          <t>Total Industrial Visits</t>
        </is>
      </c>
      <c r="F32" s="37">
        <f>COUNTA(B19:B26)</f>
        <v/>
      </c>
    </row>
    <row r="33">
      <c r="B33" s="38" t="inlineStr">
        <is>
          <t>Total Students — Visits</t>
        </is>
      </c>
      <c r="F33" s="36">
        <f>IFERROR(SUM(H19:H26),"")</f>
        <v/>
      </c>
    </row>
    <row r="34">
      <c r="B34" s="25" t="inlineStr">
        <is>
          <t>Reports Submitted</t>
        </is>
      </c>
      <c r="F34" s="37">
        <f>COUNTIF(J19:J26,"Y")</f>
        <v/>
      </c>
    </row>
  </sheetData>
  <mergeCells count="17">
    <mergeCell ref="B31:E31"/>
    <mergeCell ref="F30:J30"/>
    <mergeCell ref="B3:J3"/>
    <mergeCell ref="F29:J29"/>
    <mergeCell ref="B28:J28"/>
    <mergeCell ref="F34:J34"/>
    <mergeCell ref="B30:E30"/>
    <mergeCell ref="B17:J17"/>
    <mergeCell ref="B29:E29"/>
    <mergeCell ref="B33:E33"/>
    <mergeCell ref="F33:J33"/>
    <mergeCell ref="F31:J31"/>
    <mergeCell ref="B4:J4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DAC-44: DEPARTMENT ACADEMIC COMMITTEE KPI DASHBOARD</t>
        </is>
      </c>
    </row>
    <row r="3" ht="25" customHeight="1">
      <c r="B3" s="2" t="inlineStr">
        <is>
          <t>Dept.: _______  Semester: _______  A.Y.: _______  DAC Coordinator: ___________________  Date: _______</t>
        </is>
      </c>
    </row>
    <row r="4" ht="24" customHeight="1">
      <c r="B4" s="19" t="inlineStr">
        <is>
          <t>COURSE DELIVERY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Sem.
Actual</t>
        </is>
      </c>
      <c r="G5" s="13" t="inlineStr">
        <is>
          <t>Current Sem.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Teaching plans submitted on time (% faculty)</t>
        </is>
      </c>
      <c r="D6" s="16" t="inlineStr">
        <is>
          <t>% on time</t>
        </is>
      </c>
      <c r="E6" s="16" t="inlineStr">
        <is>
          <t>100% by Day 5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Syllabus coverage ≥ 90% by end of semester</t>
        </is>
      </c>
      <c r="D7" s="10" t="inlineStr">
        <is>
          <t>% courses</t>
        </is>
      </c>
      <c r="E7" s="10" t="inlineStr">
        <is>
          <t>≥90%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Make-up classes for missed lectures (% done)</t>
        </is>
      </c>
      <c r="D8" s="16" t="inlineStr">
        <is>
          <t>% compensated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Guest lectures conducted per semester</t>
        </is>
      </c>
      <c r="D9" s="10" t="inlineStr">
        <is>
          <t>No.</t>
        </is>
      </c>
      <c r="E9" s="10" t="inlineStr">
        <is>
          <t>≥3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Industrial visits per semester</t>
        </is>
      </c>
      <c r="D10" s="16" t="inlineStr">
        <is>
          <t>No.</t>
        </is>
      </c>
      <c r="E10" s="16" t="inlineStr">
        <is>
          <t>≥1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ICT-enabled classes (% of total)</t>
        </is>
      </c>
      <c r="D11" s="10" t="inlineStr">
        <is>
          <t>% classes</t>
        </is>
      </c>
      <c r="E11" s="10" t="inlineStr">
        <is>
          <t>≥40%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49" t="inlineStr">
        <is>
          <t>STUDENT MONITORING KPIs</t>
        </is>
      </c>
    </row>
    <row r="14" ht="22" customHeight="1">
      <c r="B14" s="50" t="inlineStr">
        <is>
          <t>Sl.</t>
        </is>
      </c>
      <c r="C14" s="50" t="inlineStr">
        <is>
          <t>Key Performance Indicator</t>
        </is>
      </c>
      <c r="D14" s="50" t="inlineStr">
        <is>
          <t>Unit</t>
        </is>
      </c>
      <c r="E14" s="50" t="inlineStr">
        <is>
          <t>Target</t>
        </is>
      </c>
      <c r="F14" s="50" t="inlineStr">
        <is>
          <t>Prev. Sem.
Actual</t>
        </is>
      </c>
      <c r="G14" s="50" t="inlineStr">
        <is>
          <t>Current Sem.
Actual</t>
        </is>
      </c>
      <c r="H14" s="50" t="inlineStr">
        <is>
          <t>Status</t>
        </is>
      </c>
      <c r="I14" s="50" t="inlineStr">
        <is>
          <t>Action Required</t>
        </is>
      </c>
    </row>
    <row r="15" ht="22" customHeight="1">
      <c r="B15" s="14" t="n">
        <v>1</v>
      </c>
      <c r="C15" s="15" t="inlineStr">
        <is>
          <t>Dept. average attendance (%)</t>
        </is>
      </c>
      <c r="D15" s="16" t="inlineStr">
        <is>
          <t>% attendance</t>
        </is>
      </c>
      <c r="E15" s="16" t="inlineStr">
        <is>
          <t>≥80%</t>
        </is>
      </c>
      <c r="F15" s="16" t="inlineStr"/>
      <c r="G15" s="16" t="inlineStr"/>
      <c r="H15" s="16" t="inlineStr">
        <is>
          <t>On Track</t>
        </is>
      </c>
      <c r="I15" s="15" t="inlineStr"/>
    </row>
    <row r="16" ht="22" customHeight="1">
      <c r="B16" s="8" t="n">
        <v>2</v>
      </c>
      <c r="C16" s="9" t="inlineStr">
        <is>
          <t>Students below 65% attendance (% of class)</t>
        </is>
      </c>
      <c r="D16" s="10" t="inlineStr">
        <is>
          <t>% students</t>
        </is>
      </c>
      <c r="E16" s="10" t="inlineStr">
        <is>
          <t>&lt; 5%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14" t="n">
        <v>3</v>
      </c>
      <c r="C17" s="15" t="inlineStr">
        <is>
          <t>Slow learners identified and supported</t>
        </is>
      </c>
      <c r="D17" s="16" t="inlineStr">
        <is>
          <t>% identified</t>
        </is>
      </c>
      <c r="E17" s="16" t="inlineStr">
        <is>
          <t>100% by Wk 3</t>
        </is>
      </c>
      <c r="F17" s="16" t="inlineStr"/>
      <c r="G17" s="16" t="inlineStr"/>
      <c r="H17" s="16" t="inlineStr">
        <is>
          <t>On Track</t>
        </is>
      </c>
      <c r="I17" s="15" t="inlineStr"/>
    </row>
    <row r="18" ht="22" customHeight="1">
      <c r="B18" s="8" t="n">
        <v>4</v>
      </c>
      <c r="C18" s="9" t="inlineStr">
        <is>
          <t>Mentor-mentee sessions per semester</t>
        </is>
      </c>
      <c r="D18" s="10" t="inlineStr">
        <is>
          <t>No./mentor</t>
        </is>
      </c>
      <c r="E18" s="10" t="inlineStr">
        <is>
          <t>≥3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14" t="n">
        <v>5</v>
      </c>
      <c r="C19" s="15" t="inlineStr">
        <is>
          <t>Student grievances resolved within 7 days</t>
        </is>
      </c>
      <c r="D19" s="16" t="inlineStr">
        <is>
          <t>% resolved</t>
        </is>
      </c>
      <c r="E19" s="16" t="inlineStr">
        <is>
          <t>≥95%</t>
        </is>
      </c>
      <c r="F19" s="16" t="inlineStr"/>
      <c r="G19" s="16" t="inlineStr"/>
      <c r="H19" s="16" t="inlineStr">
        <is>
          <t>On Track</t>
        </is>
      </c>
      <c r="I19" s="15" t="inlineStr"/>
    </row>
    <row r="20" ht="22" customHeight="1">
      <c r="B20" s="8" t="n">
        <v>6</v>
      </c>
      <c r="C20" s="9" t="inlineStr">
        <is>
          <t>Attendance condonation processed on time</t>
        </is>
      </c>
      <c r="D20" s="10" t="inlineStr">
        <is>
          <t>% on time</t>
        </is>
      </c>
      <c r="E20" s="10" t="inlineStr">
        <is>
          <t>100%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34" t="inlineStr">
        <is>
          <t>ASSESSMENT KPIs</t>
        </is>
      </c>
    </row>
    <row r="23" ht="22" customHeight="1">
      <c r="B23" s="30" t="inlineStr">
        <is>
          <t>Sl.</t>
        </is>
      </c>
      <c r="C23" s="30" t="inlineStr">
        <is>
          <t>Key Performance Indicator</t>
        </is>
      </c>
      <c r="D23" s="30" t="inlineStr">
        <is>
          <t>Unit</t>
        </is>
      </c>
      <c r="E23" s="30" t="inlineStr">
        <is>
          <t>Target</t>
        </is>
      </c>
      <c r="F23" s="30" t="inlineStr">
        <is>
          <t>Prev. Sem.
Actual</t>
        </is>
      </c>
      <c r="G23" s="30" t="inlineStr">
        <is>
          <t>Current Sem.
Actual</t>
        </is>
      </c>
      <c r="H23" s="30" t="inlineStr">
        <is>
          <t>Status</t>
        </is>
      </c>
      <c r="I23" s="30" t="inlineStr">
        <is>
          <t>Action Required</t>
        </is>
      </c>
    </row>
    <row r="24" ht="22" customHeight="1">
      <c r="B24" s="31" t="n">
        <v>1</v>
      </c>
      <c r="C24" s="32" t="inlineStr">
        <is>
          <t>CIE-1 marks displayed within 7 days</t>
        </is>
      </c>
      <c r="D24" s="33" t="inlineStr">
        <is>
          <t>Y/N</t>
        </is>
      </c>
      <c r="E24" s="33" t="inlineStr">
        <is>
          <t>Yes</t>
        </is>
      </c>
      <c r="F24" s="33" t="inlineStr"/>
      <c r="G24" s="33" t="inlineStr"/>
      <c r="H24" s="33" t="inlineStr">
        <is>
          <t>On Track</t>
        </is>
      </c>
      <c r="I24" s="32" t="inlineStr"/>
    </row>
    <row r="25" ht="22" customHeight="1">
      <c r="B25" s="8" t="n">
        <v>2</v>
      </c>
      <c r="C25" s="9" t="inlineStr">
        <is>
          <t>CIE-2 marks displayed within 7 days</t>
        </is>
      </c>
      <c r="D25" s="10" t="inlineStr">
        <is>
          <t>Y/N</t>
        </is>
      </c>
      <c r="E25" s="10" t="inlineStr">
        <is>
          <t>Yes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31" t="n">
        <v>3</v>
      </c>
      <c r="C26" s="32" t="inlineStr">
        <is>
          <t>CIE-3 marks displayed within 7 days</t>
        </is>
      </c>
      <c r="D26" s="33" t="inlineStr">
        <is>
          <t>Y/N</t>
        </is>
      </c>
      <c r="E26" s="33" t="inlineStr">
        <is>
          <t>Yes</t>
        </is>
      </c>
      <c r="F26" s="33" t="inlineStr"/>
      <c r="G26" s="33" t="inlineStr"/>
      <c r="H26" s="33" t="inlineStr">
        <is>
          <t>On Track</t>
        </is>
      </c>
      <c r="I26" s="32" t="inlineStr"/>
    </row>
    <row r="27" ht="22" customHeight="1">
      <c r="B27" s="8" t="n">
        <v>4</v>
      </c>
      <c r="C27" s="9" t="inlineStr">
        <is>
          <t>Pass % (SEE) — department</t>
        </is>
      </c>
      <c r="D27" s="10" t="inlineStr">
        <is>
          <t>% pass</t>
        </is>
      </c>
      <c r="E27" s="10" t="inlineStr">
        <is>
          <t>≥80%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1" t="n">
        <v>5</v>
      </c>
      <c r="C28" s="32" t="inlineStr">
        <is>
          <t>Courses with Pass % &lt; 50% — action taken</t>
        </is>
      </c>
      <c r="D28" s="33" t="inlineStr">
        <is>
          <t>% addressed</t>
        </is>
      </c>
      <c r="E28" s="33" t="inlineStr">
        <is>
          <t>100%</t>
        </is>
      </c>
      <c r="F28" s="33" t="inlineStr"/>
      <c r="G28" s="33" t="inlineStr"/>
      <c r="H28" s="33" t="inlineStr">
        <is>
          <t>On Track</t>
        </is>
      </c>
      <c r="I28" s="32" t="inlineStr"/>
    </row>
    <row r="29" ht="22" customHeight="1">
      <c r="B29" s="8" t="n">
        <v>6</v>
      </c>
      <c r="C29" s="9" t="inlineStr">
        <is>
          <t>CO attainment ≥ 2 (% of courses)</t>
        </is>
      </c>
      <c r="D29" s="10" t="inlineStr">
        <is>
          <t>% courses</t>
        </is>
      </c>
      <c r="E29" s="10" t="inlineStr">
        <is>
          <t>≥60%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52" t="inlineStr">
        <is>
          <t>QUALITY KPIs</t>
        </is>
      </c>
    </row>
    <row r="32" ht="22" customHeight="1">
      <c r="B32" s="53" t="inlineStr">
        <is>
          <t>Sl.</t>
        </is>
      </c>
      <c r="C32" s="53" t="inlineStr">
        <is>
          <t>Key Performance Indicator</t>
        </is>
      </c>
      <c r="D32" s="53" t="inlineStr">
        <is>
          <t>Unit</t>
        </is>
      </c>
      <c r="E32" s="53" t="inlineStr">
        <is>
          <t>Target</t>
        </is>
      </c>
      <c r="F32" s="53" t="inlineStr">
        <is>
          <t>Prev. Sem.
Actual</t>
        </is>
      </c>
      <c r="G32" s="53" t="inlineStr">
        <is>
          <t>Current Sem.
Actual</t>
        </is>
      </c>
      <c r="H32" s="53" t="inlineStr">
        <is>
          <t>Status</t>
        </is>
      </c>
      <c r="I32" s="53" t="inlineStr">
        <is>
          <t>Action Required</t>
        </is>
      </c>
    </row>
    <row r="33" ht="22" customHeight="1">
      <c r="B33" s="54" t="n">
        <v>1</v>
      </c>
      <c r="C33" s="55" t="inlineStr">
        <is>
          <t>Student feedback score on teaching (/5)</t>
        </is>
      </c>
      <c r="D33" s="22" t="inlineStr">
        <is>
          <t>Score</t>
        </is>
      </c>
      <c r="E33" s="22" t="inlineStr">
        <is>
          <t>≥3.5</t>
        </is>
      </c>
      <c r="F33" s="22" t="inlineStr"/>
      <c r="G33" s="22" t="inlineStr"/>
      <c r="H33" s="22" t="inlineStr">
        <is>
          <t>On Track</t>
        </is>
      </c>
      <c r="I33" s="55" t="inlineStr"/>
    </row>
    <row r="34" ht="22" customHeight="1">
      <c r="B34" s="8" t="n">
        <v>2</v>
      </c>
      <c r="C34" s="9" t="inlineStr">
        <is>
          <t>Courses with improvement plan (if needed)</t>
        </is>
      </c>
      <c r="D34" s="10" t="inlineStr">
        <is>
          <t>% implemented</t>
        </is>
      </c>
      <c r="E34" s="10" t="inlineStr">
        <is>
          <t>100%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54" t="n">
        <v>3</v>
      </c>
      <c r="C35" s="55" t="inlineStr">
        <is>
          <t>DAC meetings held per month</t>
        </is>
      </c>
      <c r="D35" s="22" t="inlineStr">
        <is>
          <t>No.</t>
        </is>
      </c>
      <c r="E35" s="22" t="inlineStr">
        <is>
          <t>≥2</t>
        </is>
      </c>
      <c r="F35" s="22" t="inlineStr"/>
      <c r="G35" s="22" t="inlineStr"/>
      <c r="H35" s="22" t="inlineStr">
        <is>
          <t>On Track</t>
        </is>
      </c>
      <c r="I35" s="55" t="inlineStr"/>
    </row>
    <row r="36" ht="22" customHeight="1">
      <c r="B36" s="8" t="n">
        <v>4</v>
      </c>
      <c r="C36" s="9" t="inlineStr">
        <is>
          <t>DAC resolutions implemented (%)</t>
        </is>
      </c>
      <c r="D36" s="10" t="inlineStr">
        <is>
          <t>% implemented</t>
        </is>
      </c>
      <c r="E36" s="10" t="inlineStr">
        <is>
          <t>≥90%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54" t="n">
        <v>5</v>
      </c>
      <c r="C37" s="55" t="inlineStr">
        <is>
          <t>NAAC / NBA data compiled on time</t>
        </is>
      </c>
      <c r="D37" s="22" t="inlineStr">
        <is>
          <t>Y/N</t>
        </is>
      </c>
      <c r="E37" s="22" t="inlineStr">
        <is>
          <t>Yes — semester-wise</t>
        </is>
      </c>
      <c r="F37" s="22" t="inlineStr"/>
      <c r="G37" s="22" t="inlineStr"/>
      <c r="H37" s="22" t="inlineStr">
        <is>
          <t>On Track</t>
        </is>
      </c>
      <c r="I37" s="55" t="inlineStr"/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6">
    <mergeCell ref="B13:I13"/>
    <mergeCell ref="B2:I2"/>
    <mergeCell ref="B3:I3"/>
    <mergeCell ref="B22:I22"/>
    <mergeCell ref="B31:I31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DAC-45: DEPARTMENT ACADEMIC COMMITTEE SEMESTER REPORT</t>
        </is>
      </c>
    </row>
    <row r="3" ht="25" customHeight="1">
      <c r="B3" s="2" t="inlineStr">
        <is>
          <t>Dept.: _______  Semester: _______  A.Y.: _______  HoD: ___________________  Submitted to: DDC / CAC / IQAC  Date: _______</t>
        </is>
      </c>
    </row>
    <row r="4" ht="24" customHeight="1">
      <c r="B4" s="19" t="inlineStr">
        <is>
          <t>SECTION 1 — COURSE DELIVERY</t>
        </is>
      </c>
    </row>
    <row r="5" ht="22" customHeight="1">
      <c r="B5" s="13" t="inlineStr">
        <is>
          <t>Sl.</t>
        </is>
      </c>
      <c r="C5" s="13" t="inlineStr">
        <is>
          <t>Metric</t>
        </is>
      </c>
      <c r="D5" s="13" t="inlineStr">
        <is>
          <t>Unit</t>
        </is>
      </c>
      <c r="E5" s="13" t="inlineStr">
        <is>
          <t>This Semester</t>
        </is>
      </c>
      <c r="F5" s="13" t="inlineStr">
        <is>
          <t>Prev. Semester</t>
        </is>
      </c>
      <c r="G5" s="13" t="inlineStr">
        <is>
          <t>Change</t>
        </is>
      </c>
      <c r="H5" s="13" t="inlineStr">
        <is>
          <t>Target Next Sem.</t>
        </is>
      </c>
    </row>
    <row r="6" ht="22" customHeight="1">
      <c r="B6" s="14" t="n">
        <v>1</v>
      </c>
      <c r="C6" s="15" t="inlineStr">
        <is>
          <t>Total courses offered this semester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Teaching plans submitted on time (%)</t>
        </is>
      </c>
      <c r="D7" s="10" t="inlineStr">
        <is>
          <t>% on time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Syllabus coverage ≥ 90% (% of courses)</t>
        </is>
      </c>
      <c r="D8" s="16" t="inlineStr">
        <is>
          <t>% courses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Make-up classes conducted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Guest lectures conducted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Industrial visits organised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49" t="inlineStr">
        <is>
          <t>SECTION 2 — STUDENT MONITORING</t>
        </is>
      </c>
    </row>
    <row r="14" ht="22" customHeight="1">
      <c r="B14" s="50" t="inlineStr">
        <is>
          <t>Sl.</t>
        </is>
      </c>
      <c r="C14" s="50" t="inlineStr">
        <is>
          <t>Metric</t>
        </is>
      </c>
      <c r="D14" s="50" t="inlineStr">
        <is>
          <t>Unit</t>
        </is>
      </c>
      <c r="E14" s="50" t="inlineStr">
        <is>
          <t>This Semester</t>
        </is>
      </c>
      <c r="F14" s="50" t="inlineStr">
        <is>
          <t>Prev. Semester</t>
        </is>
      </c>
      <c r="G14" s="50" t="inlineStr">
        <is>
          <t>Change</t>
        </is>
      </c>
      <c r="H14" s="50" t="inlineStr">
        <is>
          <t>Target Next Sem.</t>
        </is>
      </c>
    </row>
    <row r="15" ht="22" customHeight="1">
      <c r="B15" s="14" t="n">
        <v>1</v>
      </c>
      <c r="C15" s="15" t="inlineStr">
        <is>
          <t>Total students enrolled</t>
        </is>
      </c>
      <c r="D15" s="16" t="inlineStr">
        <is>
          <t>No.</t>
        </is>
      </c>
      <c r="E15" s="16" t="inlineStr"/>
      <c r="F15" s="16" t="inlineStr"/>
      <c r="G15" s="16">
        <f>IFERROR(ROUND((E15-F15)/IF(F15=0,1,F15)*100,1),"")</f>
        <v/>
      </c>
      <c r="H15" s="16" t="inlineStr"/>
    </row>
    <row r="16" ht="22" customHeight="1">
      <c r="B16" s="8" t="n">
        <v>2</v>
      </c>
      <c r="C16" s="9" t="inlineStr">
        <is>
          <t>Dept. average attendance (%)</t>
        </is>
      </c>
      <c r="D16" s="10" t="inlineStr">
        <is>
          <t>% attendance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14" t="n">
        <v>3</v>
      </c>
      <c r="C17" s="15" t="inlineStr">
        <is>
          <t>Students below 65% (defaulters)</t>
        </is>
      </c>
      <c r="D17" s="16" t="inlineStr">
        <is>
          <t>No.</t>
        </is>
      </c>
      <c r="E17" s="16" t="inlineStr"/>
      <c r="F17" s="16" t="inlineStr"/>
      <c r="G17" s="16">
        <f>IFERROR(ROUND((E17-F17)/IF(F17=0,1,F17)*100,1),"")</f>
        <v/>
      </c>
      <c r="H17" s="16" t="inlineStr"/>
    </row>
    <row r="18" ht="22" customHeight="1">
      <c r="B18" s="8" t="n">
        <v>4</v>
      </c>
      <c r="C18" s="9" t="inlineStr">
        <is>
          <t>Slow learners identified &amp; supported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14" t="n">
        <v>5</v>
      </c>
      <c r="C19" s="15" t="inlineStr">
        <is>
          <t>Advanced learners enriched</t>
        </is>
      </c>
      <c r="D19" s="16" t="inlineStr">
        <is>
          <t>No.</t>
        </is>
      </c>
      <c r="E19" s="16" t="inlineStr"/>
      <c r="F19" s="16" t="inlineStr"/>
      <c r="G19" s="16">
        <f>IFERROR(ROUND((E19-F19)/IF(F19=0,1,F19)*100,1),"")</f>
        <v/>
      </c>
      <c r="H19" s="16" t="inlineStr"/>
    </row>
    <row r="20" ht="22" customHeight="1">
      <c r="B20" s="8" t="n">
        <v>6</v>
      </c>
      <c r="C20" s="9" t="inlineStr">
        <is>
          <t>Mentor-mentee sessions total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4" t="inlineStr">
        <is>
          <t>SECTION 3 — ASSESSMENT</t>
        </is>
      </c>
    </row>
    <row r="23" ht="22" customHeight="1">
      <c r="B23" s="30" t="inlineStr">
        <is>
          <t>Sl.</t>
        </is>
      </c>
      <c r="C23" s="30" t="inlineStr">
        <is>
          <t>Metric</t>
        </is>
      </c>
      <c r="D23" s="30" t="inlineStr">
        <is>
          <t>Unit</t>
        </is>
      </c>
      <c r="E23" s="30" t="inlineStr">
        <is>
          <t>This Semester</t>
        </is>
      </c>
      <c r="F23" s="30" t="inlineStr">
        <is>
          <t>Prev. Semester</t>
        </is>
      </c>
      <c r="G23" s="30" t="inlineStr">
        <is>
          <t>Change</t>
        </is>
      </c>
      <c r="H23" s="30" t="inlineStr">
        <is>
          <t>Target Next Sem.</t>
        </is>
      </c>
    </row>
    <row r="24" ht="22" customHeight="1">
      <c r="B24" s="31" t="n">
        <v>1</v>
      </c>
      <c r="C24" s="32" t="inlineStr">
        <is>
          <t>Pass % (SEE) — dept. overall</t>
        </is>
      </c>
      <c r="D24" s="33" t="inlineStr">
        <is>
          <t>% pass</t>
        </is>
      </c>
      <c r="E24" s="33" t="inlineStr"/>
      <c r="F24" s="33" t="inlineStr"/>
      <c r="G24" s="33">
        <f>IFERROR(ROUND((E24-F24)/IF(F24=0,1,F24)*100,1),"")</f>
        <v/>
      </c>
      <c r="H24" s="33" t="inlineStr"/>
    </row>
    <row r="25" ht="22" customHeight="1">
      <c r="B25" s="8" t="n">
        <v>2</v>
      </c>
      <c r="C25" s="9" t="inlineStr">
        <is>
          <t>Courses with Pass % &lt; 50%</t>
        </is>
      </c>
      <c r="D25" s="10" t="inlineStr">
        <is>
          <t>No.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1" t="n">
        <v>3</v>
      </c>
      <c r="C26" s="32" t="inlineStr">
        <is>
          <t>CIE marks displayed on time</t>
        </is>
      </c>
      <c r="D26" s="33" t="inlineStr">
        <is>
          <t>% on time</t>
        </is>
      </c>
      <c r="E26" s="33" t="inlineStr"/>
      <c r="F26" s="33" t="inlineStr"/>
      <c r="G26" s="33">
        <f>IFERROR(ROUND((E26-F26)/IF(F26=0,1,F26)*100,1),"")</f>
        <v/>
      </c>
      <c r="H26" s="33" t="inlineStr"/>
    </row>
    <row r="27" ht="22" customHeight="1">
      <c r="B27" s="8" t="n">
        <v>4</v>
      </c>
      <c r="C27" s="9" t="inlineStr">
        <is>
          <t>Academic integrity cases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1" t="n">
        <v>5</v>
      </c>
      <c r="C28" s="32" t="inlineStr">
        <is>
          <t>CO attainment ≥ 2 (% of courses)</t>
        </is>
      </c>
      <c r="D28" s="33" t="inlineStr">
        <is>
          <t>% courses</t>
        </is>
      </c>
      <c r="E28" s="33" t="inlineStr"/>
      <c r="F28" s="33" t="inlineStr"/>
      <c r="G28" s="33">
        <f>IFERROR(ROUND((E28-F28)/IF(F28=0,1,F28)*100,1),"")</f>
        <v/>
      </c>
      <c r="H28" s="33" t="inlineStr"/>
    </row>
    <row r="29" ht="22" customHeight="1">
      <c r="B29" s="8" t="n">
        <v>6</v>
      </c>
      <c r="C29" s="9" t="inlineStr">
        <is>
          <t>Courses with improvement plan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52" t="inlineStr">
        <is>
          <t>SECTION 4 — QUALITY</t>
        </is>
      </c>
    </row>
    <row r="32" ht="22" customHeight="1">
      <c r="B32" s="53" t="inlineStr">
        <is>
          <t>Sl.</t>
        </is>
      </c>
      <c r="C32" s="53" t="inlineStr">
        <is>
          <t>Metric</t>
        </is>
      </c>
      <c r="D32" s="53" t="inlineStr">
        <is>
          <t>Unit</t>
        </is>
      </c>
      <c r="E32" s="53" t="inlineStr">
        <is>
          <t>This Semester</t>
        </is>
      </c>
      <c r="F32" s="53" t="inlineStr">
        <is>
          <t>Prev. Semester</t>
        </is>
      </c>
      <c r="G32" s="53" t="inlineStr">
        <is>
          <t>Change</t>
        </is>
      </c>
      <c r="H32" s="53" t="inlineStr">
        <is>
          <t>Target Next Sem.</t>
        </is>
      </c>
    </row>
    <row r="33" ht="22" customHeight="1">
      <c r="B33" s="54" t="n">
        <v>1</v>
      </c>
      <c r="C33" s="55" t="inlineStr">
        <is>
          <t>Student feedback score (/5)</t>
        </is>
      </c>
      <c r="D33" s="22" t="inlineStr">
        <is>
          <t>Score</t>
        </is>
      </c>
      <c r="E33" s="22" t="inlineStr"/>
      <c r="F33" s="22" t="inlineStr"/>
      <c r="G33" s="22">
        <f>IFERROR(ROUND((E33-F33)/IF(F33=0,1,F33)*100,1),"")</f>
        <v/>
      </c>
      <c r="H33" s="22" t="inlineStr"/>
    </row>
    <row r="34" ht="22" customHeight="1">
      <c r="B34" s="8" t="n">
        <v>2</v>
      </c>
      <c r="C34" s="9" t="inlineStr">
        <is>
          <t>DAC meetings held</t>
        </is>
      </c>
      <c r="D34" s="10" t="inlineStr">
        <is>
          <t>No.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54" t="n">
        <v>3</v>
      </c>
      <c r="C35" s="55" t="inlineStr">
        <is>
          <t>DAC resolutions implemented (%)</t>
        </is>
      </c>
      <c r="D35" s="22" t="inlineStr">
        <is>
          <t>% implemented</t>
        </is>
      </c>
      <c r="E35" s="22" t="inlineStr"/>
      <c r="F35" s="22" t="inlineStr"/>
      <c r="G35" s="22">
        <f>IFERROR(ROUND((E35-F35)/IF(F35=0,1,F35)*100,1),"")</f>
        <v/>
      </c>
      <c r="H35" s="22" t="inlineStr"/>
    </row>
    <row r="36" ht="22" customHeight="1">
      <c r="B36" s="8" t="n">
        <v>4</v>
      </c>
      <c r="C36" s="9" t="inlineStr">
        <is>
          <t>NAAC data submitted</t>
        </is>
      </c>
      <c r="D36" s="10" t="inlineStr">
        <is>
          <t>Y/N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54" t="n">
        <v>5</v>
      </c>
      <c r="C37" s="55" t="inlineStr">
        <is>
          <t>Best practice documented</t>
        </is>
      </c>
      <c r="D37" s="22" t="inlineStr">
        <is>
          <t>No.</t>
        </is>
      </c>
      <c r="E37" s="22" t="inlineStr"/>
      <c r="F37" s="22" t="inlineStr"/>
      <c r="G37" s="22">
        <f>IFERROR(ROUND((E37-F37)/IF(F37=0,1,F37)*100,1),"")</f>
        <v/>
      </c>
      <c r="H37" s="22" t="inlineStr"/>
    </row>
    <row r="38" ht="22" customHeight="1">
      <c r="B38" s="8" t="n">
        <v>6</v>
      </c>
      <c r="C38" s="9" t="inlineStr">
        <is>
          <t>Issues escalated to DDC</t>
        </is>
      </c>
      <c r="D38" s="10" t="inlineStr">
        <is>
          <t>No.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0" customHeight="1">
      <c r="B40" s="17" t="inlineStr">
        <is>
          <t>Semester report submitted to: DDC, CAC, IQAC (NAAC AQAR Criterion II — T&amp;L), NBA SAR (Criterion 4 — T&amp;L). Retain evidence (teaching plans, CIE sheets, feedback forms, CO attainment records) for 5 years.</t>
        </is>
      </c>
    </row>
    <row r="41" ht="22" customHeight="1">
      <c r="B41" s="29" t="inlineStr">
        <is>
          <t>DAC Coordinator: ___________________    HoD: ___________________    Principal: ___________________    IQAC Coordinator: ___________________    Date: ___________________</t>
        </is>
      </c>
    </row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</sheetData>
  <mergeCells count="8">
    <mergeCell ref="B22:H22"/>
    <mergeCell ref="B40:H40"/>
    <mergeCell ref="B41:H41"/>
    <mergeCell ref="B13:H13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2026-05-02T10:13:16Z</dcterms:created>
  <dcterms:modified xmlns:dcterms="http://purl.org/dc/terms/" xmlns:xsi="http://www.w3.org/2001/XMLSchema-instance" xsi:type="dcterms:W3CDTF">2026-05-02T10:13:17Z</dcterms:modified>
</cp:coreProperties>
</file>