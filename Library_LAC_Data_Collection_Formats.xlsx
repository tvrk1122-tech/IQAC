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LAC-00 Composition" sheetId="2" state="visible" r:id="rId2"/>
    <sheet xmlns:r="http://schemas.openxmlformats.org/officeDocument/2006/relationships" name="LAC-NA Notice &amp; Agenda" sheetId="3" state="visible" r:id="rId3"/>
    <sheet xmlns:r="http://schemas.openxmlformats.org/officeDocument/2006/relationships" name="LAC-AT Attendance" sheetId="4" state="visible" r:id="rId4"/>
    <sheet xmlns:r="http://schemas.openxmlformats.org/officeDocument/2006/relationships" name="LAC-MM Minutes" sheetId="5" state="visible" r:id="rId5"/>
    <sheet xmlns:r="http://schemas.openxmlformats.org/officeDocument/2006/relationships" name="LAC-ATR Action Report" sheetId="6" state="visible" r:id="rId6"/>
    <sheet xmlns:r="http://schemas.openxmlformats.org/officeDocument/2006/relationships" name="LIB-02 Requisition Register" sheetId="7" state="visible" r:id="rId7"/>
    <sheet xmlns:r="http://schemas.openxmlformats.org/officeDocument/2006/relationships" name="LIB-03 Procurement Register" sheetId="8" state="visible" r:id="rId8"/>
    <sheet xmlns:r="http://schemas.openxmlformats.org/officeDocument/2006/relationships" name="LIB-04 Accession Register" sheetId="9" state="visible" r:id="rId9"/>
    <sheet xmlns:r="http://schemas.openxmlformats.org/officeDocument/2006/relationships" name="LIB-05 Periodicals Register" sheetId="10" state="visible" r:id="rId10"/>
    <sheet xmlns:r="http://schemas.openxmlformats.org/officeDocument/2006/relationships" name="LIB-06 e-Resources Register" sheetId="11" state="visible" r:id="rId11"/>
    <sheet xmlns:r="http://schemas.openxmlformats.org/officeDocument/2006/relationships" name="LIB-10 Cataloguing Register" sheetId="12" state="visible" r:id="rId12"/>
    <sheet xmlns:r="http://schemas.openxmlformats.org/officeDocument/2006/relationships" name="LIB-13 Membership Register" sheetId="13" state="visible" r:id="rId13"/>
    <sheet xmlns:r="http://schemas.openxmlformats.org/officeDocument/2006/relationships" name="LIB-14 Circulation Register" sheetId="14" state="visible" r:id="rId14"/>
    <sheet xmlns:r="http://schemas.openxmlformats.org/officeDocument/2006/relationships" name="LIB-15 Overdue &amp; Fines" sheetId="15" state="visible" r:id="rId15"/>
    <sheet xmlns:r="http://schemas.openxmlformats.org/officeDocument/2006/relationships" name="LIB-18 Reading Room" sheetId="16" state="visible" r:id="rId16"/>
    <sheet xmlns:r="http://schemas.openxmlformats.org/officeDocument/2006/relationships" name="LIB-22 Institutional Repository" sheetId="17" state="visible" r:id="rId17"/>
    <sheet xmlns:r="http://schemas.openxmlformats.org/officeDocument/2006/relationships" name="LIB-23 e-Resource Usage" sheetId="18" state="visible" r:id="rId18"/>
    <sheet xmlns:r="http://schemas.openxmlformats.org/officeDocument/2006/relationships" name="LIB-25 Orientation Programme" sheetId="19" state="visible" r:id="rId19"/>
    <sheet xmlns:r="http://schemas.openxmlformats.org/officeDocument/2006/relationships" name="LIB-29 Budget Register" sheetId="20" state="visible" r:id="rId20"/>
    <sheet xmlns:r="http://schemas.openxmlformats.org/officeDocument/2006/relationships" name="LIB-31 Stock Verification" sheetId="21" state="visible" r:id="rId21"/>
    <sheet xmlns:r="http://schemas.openxmlformats.org/officeDocument/2006/relationships" name="LIB-36 User Satisfaction Survey" sheetId="22" state="visible" r:id="rId22"/>
    <sheet xmlns:r="http://schemas.openxmlformats.org/officeDocument/2006/relationships" name="LIB-38 KPI Dashboard" sheetId="23" state="visible" r:id="rId23"/>
    <sheet xmlns:r="http://schemas.openxmlformats.org/officeDocument/2006/relationships" name="LIB-39 Annual Repor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7B1D1D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7B1D1D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3F2000"/>
      <sz val="10"/>
    </font>
    <font>
      <name val="Arial"/>
      <color rgb="002D1B00"/>
      <sz val="9"/>
    </font>
  </fonts>
  <fills count="20">
    <fill>
      <patternFill/>
    </fill>
    <fill>
      <patternFill patternType="gray125"/>
    </fill>
    <fill>
      <patternFill patternType="solid">
        <fgColor rgb="001A0A0A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7B1D1D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78350F"/>
      </patternFill>
    </fill>
    <fill>
      <patternFill patternType="solid">
        <fgColor rgb="004338CA"/>
      </patternFill>
    </fill>
    <fill>
      <patternFill patternType="solid">
        <fgColor rgb="00E0E7FF"/>
      </patternFill>
    </fill>
    <fill>
      <patternFill patternType="solid">
        <fgColor rgb="002D6A4F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CENTRAL LIBRARY &amp; INFORMATION SERVICES
Library Advisory Committee (LAC)
Data Collection Formats — Master Workbook</t>
        </is>
      </c>
    </row>
    <row r="3" ht="28" customHeight="1">
      <c r="B3" s="2" t="inlineStr">
        <is>
          <t>Institution: _________________________  Librarian: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Cycle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LAC-00</t>
        </is>
      </c>
      <c r="C6" s="6" t="inlineStr">
        <is>
          <t>Library Advisory Committee Composition</t>
        </is>
      </c>
      <c r="D6" s="6" t="inlineStr">
        <is>
          <t>Record LAC members, roles &amp; library staff roster</t>
        </is>
      </c>
      <c r="E6" s="7" t="inlineStr">
        <is>
          <t>Annual</t>
        </is>
      </c>
    </row>
    <row r="7" ht="20" customHeight="1">
      <c r="B7" s="8" t="inlineStr">
        <is>
          <t>LAC-NA</t>
        </is>
      </c>
      <c r="C7" s="9" t="inlineStr">
        <is>
          <t>LAC Meeting Notice, Agenda &amp; Dispatch</t>
        </is>
      </c>
      <c r="D7" s="9" t="inlineStr">
        <is>
          <t>Formal notice and agenda for LAC meetings</t>
        </is>
      </c>
      <c r="E7" s="10" t="inlineStr">
        <is>
          <t>Each Meeting</t>
        </is>
      </c>
    </row>
    <row r="8" ht="20" customHeight="1">
      <c r="B8" s="5" t="inlineStr">
        <is>
          <t>LAC-AT</t>
        </is>
      </c>
      <c r="C8" s="6" t="inlineStr">
        <is>
          <t>LAC 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LAC-MM</t>
        </is>
      </c>
      <c r="C9" s="9" t="inlineStr">
        <is>
          <t>LAC 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LAC-ATR</t>
        </is>
      </c>
      <c r="C10" s="6" t="inlineStr">
        <is>
          <t>LAC Action Taken Report</t>
        </is>
      </c>
      <c r="D10" s="6" t="inlineStr">
        <is>
          <t>Track implementation of LAC resolutions</t>
        </is>
      </c>
      <c r="E10" s="7" t="inlineStr">
        <is>
          <t>Each Meeting</t>
        </is>
      </c>
    </row>
    <row r="11" ht="20" customHeight="1">
      <c r="B11" s="4" t="inlineStr">
        <is>
          <t>── COLLECTION DEVELOPMENT &amp; MANAGEMENT ──</t>
        </is>
      </c>
    </row>
    <row r="12" ht="20" customHeight="1">
      <c r="B12" s="5" t="inlineStr">
        <is>
          <t>LIB-01</t>
        </is>
      </c>
      <c r="C12" s="6" t="inlineStr">
        <is>
          <t>Collection Development Policy Register</t>
        </is>
      </c>
      <c r="D12" s="6" t="inlineStr">
        <is>
          <t>Document collection policy, selection criteria &amp; budget</t>
        </is>
      </c>
      <c r="E12" s="7" t="inlineStr">
        <is>
          <t>Annual</t>
        </is>
      </c>
    </row>
    <row r="13" ht="20" customHeight="1">
      <c r="B13" s="8" t="inlineStr">
        <is>
          <t>LIB-02</t>
        </is>
      </c>
      <c r="C13" s="9" t="inlineStr">
        <is>
          <t>Book / Resource Requisition Register</t>
        </is>
      </c>
      <c r="D13" s="9" t="inlineStr">
        <is>
          <t>Log all book requests from faculty and departments</t>
        </is>
      </c>
      <c r="E13" s="10" t="inlineStr">
        <is>
          <t>Continuous</t>
        </is>
      </c>
    </row>
    <row r="14" ht="20" customHeight="1">
      <c r="B14" s="5" t="inlineStr">
        <is>
          <t>LIB-03</t>
        </is>
      </c>
      <c r="C14" s="6" t="inlineStr">
        <is>
          <t>Book Procurement &amp; Purchase Register</t>
        </is>
      </c>
      <c r="D14" s="6" t="inlineStr">
        <is>
          <t>Track orders, invoices, delivery &amp; verification</t>
        </is>
      </c>
      <c r="E14" s="7" t="inlineStr">
        <is>
          <t>Continuous</t>
        </is>
      </c>
    </row>
    <row r="15" ht="20" customHeight="1">
      <c r="B15" s="8" t="inlineStr">
        <is>
          <t>LIB-04</t>
        </is>
      </c>
      <c r="C15" s="9" t="inlineStr">
        <is>
          <t>Books Accessioned Register</t>
        </is>
      </c>
      <c r="D15" s="9" t="inlineStr">
        <is>
          <t>Record all new additions to the collection</t>
        </is>
      </c>
      <c r="E15" s="10" t="inlineStr">
        <is>
          <t>Continuous</t>
        </is>
      </c>
    </row>
    <row r="16" ht="20" customHeight="1">
      <c r="B16" s="5" t="inlineStr">
        <is>
          <t>LIB-05</t>
        </is>
      </c>
      <c r="C16" s="6" t="inlineStr">
        <is>
          <t>Periodicals &amp; Journals Register</t>
        </is>
      </c>
      <c r="D16" s="6" t="inlineStr">
        <is>
          <t>Manage journal subscriptions, receipt &amp; binding</t>
        </is>
      </c>
      <c r="E16" s="7" t="inlineStr">
        <is>
          <t>Annual / Continuous</t>
        </is>
      </c>
    </row>
    <row r="17" ht="20" customHeight="1">
      <c r="B17" s="8" t="inlineStr">
        <is>
          <t>LIB-06</t>
        </is>
      </c>
      <c r="C17" s="9" t="inlineStr">
        <is>
          <t>e-Resources &amp; Database Subscription Register</t>
        </is>
      </c>
      <c r="D17" s="9" t="inlineStr">
        <is>
          <t>Track e-journal, database &amp; e-book subscriptions</t>
        </is>
      </c>
      <c r="E17" s="10" t="inlineStr">
        <is>
          <t>Annual</t>
        </is>
      </c>
    </row>
    <row r="18" ht="20" customHeight="1">
      <c r="B18" s="5" t="inlineStr">
        <is>
          <t>LIB-07</t>
        </is>
      </c>
      <c r="C18" s="6" t="inlineStr">
        <is>
          <t>Donation &amp; Gift Register</t>
        </is>
      </c>
      <c r="D18" s="6" t="inlineStr">
        <is>
          <t>Record books and materials donated to the library</t>
        </is>
      </c>
      <c r="E18" s="7" t="inlineStr">
        <is>
          <t>Continuous</t>
        </is>
      </c>
    </row>
    <row r="19" ht="20" customHeight="1">
      <c r="B19" s="8" t="inlineStr">
        <is>
          <t>LIB-08</t>
        </is>
      </c>
      <c r="C19" s="9" t="inlineStr">
        <is>
          <t>Collection Usage &amp; Demand Analysis</t>
        </is>
      </c>
      <c r="D19" s="9" t="inlineStr">
        <is>
          <t>Analyse which books, journals &amp; databases are most used</t>
        </is>
      </c>
      <c r="E19" s="10" t="inlineStr">
        <is>
          <t>Annual / Semester</t>
        </is>
      </c>
    </row>
    <row r="20" ht="20" customHeight="1">
      <c r="B20" s="5" t="inlineStr">
        <is>
          <t>LIB-09</t>
        </is>
      </c>
      <c r="C20" s="6" t="inlineStr">
        <is>
          <t>Weeding / Withdrawal Register</t>
        </is>
      </c>
      <c r="D20" s="6" t="inlineStr">
        <is>
          <t>Document removal of outdated or damaged items</t>
        </is>
      </c>
      <c r="E20" s="7" t="inlineStr">
        <is>
          <t>Annual</t>
        </is>
      </c>
    </row>
    <row r="21" ht="20" customHeight="1">
      <c r="B21" s="4" t="inlineStr">
        <is>
          <t>── CATALOGUING &amp; CLASSIFICATION ──</t>
        </is>
      </c>
    </row>
    <row r="22" ht="20" customHeight="1">
      <c r="B22" s="5" t="inlineStr">
        <is>
          <t>LIB-10</t>
        </is>
      </c>
      <c r="C22" s="6" t="inlineStr">
        <is>
          <t>Cataloguing &amp; Classification Register</t>
        </is>
      </c>
      <c r="D22" s="6" t="inlineStr">
        <is>
          <t>Track cataloguing workflow, DDC/LC assignments &amp; OPAC</t>
        </is>
      </c>
      <c r="E22" s="7" t="inlineStr">
        <is>
          <t>Continuous</t>
        </is>
      </c>
    </row>
    <row r="23" ht="20" customHeight="1">
      <c r="B23" s="8" t="inlineStr">
        <is>
          <t>LIB-11</t>
        </is>
      </c>
      <c r="C23" s="9" t="inlineStr">
        <is>
          <t>Spine Label &amp; RFID / Barcode Register</t>
        </is>
      </c>
      <c r="D23" s="9" t="inlineStr">
        <is>
          <t>Record physical processing of books and items</t>
        </is>
      </c>
      <c r="E23" s="10" t="inlineStr">
        <is>
          <t>Continuous</t>
        </is>
      </c>
    </row>
    <row r="24" ht="20" customHeight="1">
      <c r="B24" s="5" t="inlineStr">
        <is>
          <t>LIB-12</t>
        </is>
      </c>
      <c r="C24" s="6" t="inlineStr">
        <is>
          <t>OPAC Maintenance &amp; Search Log</t>
        </is>
      </c>
      <c r="D24" s="6" t="inlineStr">
        <is>
          <t>Monitor OPAC health, search queries &amp; user issues</t>
        </is>
      </c>
      <c r="E24" s="7" t="inlineStr">
        <is>
          <t>Monthly</t>
        </is>
      </c>
    </row>
    <row r="25" ht="20" customHeight="1">
      <c r="B25" s="4" t="inlineStr">
        <is>
          <t>── CIRCULATION &amp; MEMBERSHIP ──</t>
        </is>
      </c>
    </row>
    <row r="26" ht="20" customHeight="1">
      <c r="B26" s="5" t="inlineStr">
        <is>
          <t>LIB-13</t>
        </is>
      </c>
      <c r="C26" s="6" t="inlineStr">
        <is>
          <t>Library Membership Register</t>
        </is>
      </c>
      <c r="D26" s="6" t="inlineStr">
        <is>
          <t>Register all library members — student, faculty, staff</t>
        </is>
      </c>
      <c r="E26" s="7" t="inlineStr">
        <is>
          <t>Annual / On Joining</t>
        </is>
      </c>
    </row>
    <row r="27" ht="20" customHeight="1">
      <c r="B27" s="8" t="inlineStr">
        <is>
          <t>LIB-14</t>
        </is>
      </c>
      <c r="C27" s="9" t="inlineStr">
        <is>
          <t>Book Issue &amp; Return Daily Register</t>
        </is>
      </c>
      <c r="D27" s="9" t="inlineStr">
        <is>
          <t>Track daily circulation — issues, returns, renewals</t>
        </is>
      </c>
      <c r="E27" s="10" t="inlineStr">
        <is>
          <t>Daily</t>
        </is>
      </c>
    </row>
    <row r="28" ht="20" customHeight="1">
      <c r="B28" s="5" t="inlineStr">
        <is>
          <t>LIB-15</t>
        </is>
      </c>
      <c r="C28" s="6" t="inlineStr">
        <is>
          <t>Overdue &amp; Fine Collection Register</t>
        </is>
      </c>
      <c r="D28" s="6" t="inlineStr">
        <is>
          <t>Log overdue books and fines collected</t>
        </is>
      </c>
      <c r="E28" s="7" t="inlineStr">
        <is>
          <t>Continuous</t>
        </is>
      </c>
    </row>
    <row r="29" ht="20" customHeight="1">
      <c r="B29" s="8" t="inlineStr">
        <is>
          <t>LIB-16</t>
        </is>
      </c>
      <c r="C29" s="9" t="inlineStr">
        <is>
          <t>Inter-Library Loan (ILL) Register</t>
        </is>
      </c>
      <c r="D29" s="9" t="inlineStr">
        <is>
          <t>Track resources borrowed from / lent to other libraries</t>
        </is>
      </c>
      <c r="E29" s="10" t="inlineStr">
        <is>
          <t>Continuous</t>
        </is>
      </c>
    </row>
    <row r="30" ht="20" customHeight="1">
      <c r="B30" s="5" t="inlineStr">
        <is>
          <t>LIB-17</t>
        </is>
      </c>
      <c r="C30" s="6" t="inlineStr">
        <is>
          <t>Reference Service &amp; Query Register</t>
        </is>
      </c>
      <c r="D30" s="6" t="inlineStr">
        <is>
          <t>Record reference queries and services provided</t>
        </is>
      </c>
      <c r="E30" s="7" t="inlineStr">
        <is>
          <t>Continuous</t>
        </is>
      </c>
    </row>
    <row r="31" ht="20" customHeight="1">
      <c r="B31" s="4" t="inlineStr">
        <is>
          <t>── READING ROOM &amp; FACILITIES ──</t>
        </is>
      </c>
    </row>
    <row r="32" ht="20" customHeight="1">
      <c r="B32" s="5" t="inlineStr">
        <is>
          <t>LIB-18</t>
        </is>
      </c>
      <c r="C32" s="6" t="inlineStr">
        <is>
          <t>Reading Room Occupancy &amp; Attendance Register</t>
        </is>
      </c>
      <c r="D32" s="6" t="inlineStr">
        <is>
          <t>Track daily footfall, peak hours &amp; space utilisation</t>
        </is>
      </c>
      <c r="E32" s="7" t="inlineStr">
        <is>
          <t>Daily / Monthly</t>
        </is>
      </c>
    </row>
    <row r="33" ht="20" customHeight="1">
      <c r="B33" s="8" t="inlineStr">
        <is>
          <t>LIB-19</t>
        </is>
      </c>
      <c r="C33" s="9" t="inlineStr">
        <is>
          <t>Computer / Digital Lab Utilisation Register</t>
        </is>
      </c>
      <c r="D33" s="9" t="inlineStr">
        <is>
          <t>Monitor library computer and digital lab usage</t>
        </is>
      </c>
      <c r="E33" s="10" t="inlineStr">
        <is>
          <t>Daily / Monthly</t>
        </is>
      </c>
    </row>
    <row r="34" ht="20" customHeight="1">
      <c r="B34" s="5" t="inlineStr">
        <is>
          <t>LIB-20</t>
        </is>
      </c>
      <c r="C34" s="6" t="inlineStr">
        <is>
          <t>Library Infrastructure &amp; Facility Audit Form</t>
        </is>
      </c>
      <c r="D34" s="6" t="inlineStr">
        <is>
          <t>Audit physical environment, safety &amp; accessibility</t>
        </is>
      </c>
      <c r="E34" s="7" t="inlineStr">
        <is>
          <t>Annual</t>
        </is>
      </c>
    </row>
    <row r="35" ht="20" customHeight="1">
      <c r="B35" s="4" t="inlineStr">
        <is>
          <t>── DIGITAL LIBRARY &amp; e-RESOURCES ──</t>
        </is>
      </c>
    </row>
    <row r="36" ht="20" customHeight="1">
      <c r="B36" s="5" t="inlineStr">
        <is>
          <t>LIB-21</t>
        </is>
      </c>
      <c r="C36" s="6" t="inlineStr">
        <is>
          <t>Digital Library Setup &amp; Configuration Register</t>
        </is>
      </c>
      <c r="D36" s="6" t="inlineStr">
        <is>
          <t>Document digital library platform, servers &amp; content</t>
        </is>
      </c>
      <c r="E36" s="7" t="inlineStr">
        <is>
          <t>Annual</t>
        </is>
      </c>
    </row>
    <row r="37" ht="20" customHeight="1">
      <c r="B37" s="8" t="inlineStr">
        <is>
          <t>LIB-22</t>
        </is>
      </c>
      <c r="C37" s="9" t="inlineStr">
        <is>
          <t>Institutional Repository (IR) Register</t>
        </is>
      </c>
      <c r="D37" s="9" t="inlineStr">
        <is>
          <t>Track research papers, theses &amp; documents in IR</t>
        </is>
      </c>
      <c r="E37" s="10" t="inlineStr">
        <is>
          <t>Continuous</t>
        </is>
      </c>
    </row>
    <row r="38" ht="20" customHeight="1">
      <c r="B38" s="5" t="inlineStr">
        <is>
          <t>LIB-23</t>
        </is>
      </c>
      <c r="C38" s="6" t="inlineStr">
        <is>
          <t>e-Resource Usage Analytics Register</t>
        </is>
      </c>
      <c r="D38" s="6" t="inlineStr">
        <is>
          <t>Monitor e-journal, e-book &amp; database usage statistics</t>
        </is>
      </c>
      <c r="E38" s="7" t="inlineStr">
        <is>
          <t>Monthly / Annual</t>
        </is>
      </c>
    </row>
    <row r="39" ht="20" customHeight="1">
      <c r="B39" s="8" t="inlineStr">
        <is>
          <t>LIB-24</t>
        </is>
      </c>
      <c r="C39" s="9" t="inlineStr">
        <is>
          <t>Remote Access &amp; VPN Provision Register</t>
        </is>
      </c>
      <c r="D39" s="9" t="inlineStr">
        <is>
          <t>Track remote access to e-resources by faculty/students</t>
        </is>
      </c>
      <c r="E39" s="10" t="inlineStr">
        <is>
          <t>Continuous</t>
        </is>
      </c>
    </row>
    <row r="40" ht="20" customHeight="1">
      <c r="B40" s="4" t="inlineStr">
        <is>
          <t>── USER EDUCATION &amp; OUTREACH ──</t>
        </is>
      </c>
    </row>
    <row r="41" ht="20" customHeight="1">
      <c r="B41" s="8" t="inlineStr">
        <is>
          <t>LIB-25</t>
        </is>
      </c>
      <c r="C41" s="9" t="inlineStr">
        <is>
          <t>Library Orientation &amp; Induction Programme</t>
        </is>
      </c>
      <c r="D41" s="9" t="inlineStr">
        <is>
          <t>Record orientation sessions for new students and staff</t>
        </is>
      </c>
      <c r="E41" s="10" t="inlineStr">
        <is>
          <t>Annual / Semester</t>
        </is>
      </c>
    </row>
    <row r="42" ht="20" customHeight="1">
      <c r="B42" s="5" t="inlineStr">
        <is>
          <t>LIB-26</t>
        </is>
      </c>
      <c r="C42" s="6" t="inlineStr">
        <is>
          <t>User Education &amp; Information Literacy Programme</t>
        </is>
      </c>
      <c r="D42" s="6" t="inlineStr">
        <is>
          <t>Track information literacy workshops and training</t>
        </is>
      </c>
      <c r="E42" s="7" t="inlineStr">
        <is>
          <t>Continuous</t>
        </is>
      </c>
    </row>
    <row r="43" ht="20" customHeight="1">
      <c r="B43" s="8" t="inlineStr">
        <is>
          <t>LIB-27</t>
        </is>
      </c>
      <c r="C43" s="9" t="inlineStr">
        <is>
          <t>Book Exhibition &amp; Display Register</t>
        </is>
      </c>
      <c r="D43" s="9" t="inlineStr">
        <is>
          <t>Document book fairs, new arrivals displays &amp; exhibitions</t>
        </is>
      </c>
      <c r="E43" s="10" t="inlineStr">
        <is>
          <t>Annual</t>
        </is>
      </c>
    </row>
    <row r="44" ht="20" customHeight="1">
      <c r="B44" s="5" t="inlineStr">
        <is>
          <t>LIB-28</t>
        </is>
      </c>
      <c r="C44" s="6" t="inlineStr">
        <is>
          <t>Library Awareness &amp; Extension Activities</t>
        </is>
      </c>
      <c r="D44" s="6" t="inlineStr">
        <is>
          <t>Record outreach, book week, reading clubs, competitions</t>
        </is>
      </c>
      <c r="E44" s="7" t="inlineStr">
        <is>
          <t>Annual / Continuous</t>
        </is>
      </c>
    </row>
    <row r="45" ht="20" customHeight="1">
      <c r="B45" s="4" t="inlineStr">
        <is>
          <t>── BUDGET &amp; FINANCE ──</t>
        </is>
      </c>
    </row>
    <row r="46" ht="20" customHeight="1">
      <c r="B46" s="5" t="inlineStr">
        <is>
          <t>LIB-29</t>
        </is>
      </c>
      <c r="C46" s="6" t="inlineStr">
        <is>
          <t>Library Budget &amp; Expenditure Register</t>
        </is>
      </c>
      <c r="D46" s="6" t="inlineStr">
        <is>
          <t>Track library budget allocation and spending</t>
        </is>
      </c>
      <c r="E46" s="7" t="inlineStr">
        <is>
          <t>Annual / Quarterly</t>
        </is>
      </c>
    </row>
    <row r="47" ht="20" customHeight="1">
      <c r="B47" s="8" t="inlineStr">
        <is>
          <t>LIB-30</t>
        </is>
      </c>
      <c r="C47" s="9" t="inlineStr">
        <is>
          <t>Vendor &amp; Supplier Register</t>
        </is>
      </c>
      <c r="D47" s="9" t="inlineStr">
        <is>
          <t>Maintain approved vendor / publisher database</t>
        </is>
      </c>
      <c r="E47" s="10" t="inlineStr">
        <is>
          <t>Annual</t>
        </is>
      </c>
    </row>
    <row r="48" ht="20" customHeight="1">
      <c r="B48" s="4" t="inlineStr">
        <is>
          <t>── STOCK VERIFICATION &amp; AUDIT ──</t>
        </is>
      </c>
    </row>
    <row r="49" ht="20" customHeight="1">
      <c r="B49" s="8" t="inlineStr">
        <is>
          <t>LIB-31</t>
        </is>
      </c>
      <c r="C49" s="9" t="inlineStr">
        <is>
          <t>Annual Stock Verification Register</t>
        </is>
      </c>
      <c r="D49" s="9" t="inlineStr">
        <is>
          <t>Conduct annual physical verification of library stock</t>
        </is>
      </c>
      <c r="E49" s="10" t="inlineStr">
        <is>
          <t>Annual</t>
        </is>
      </c>
    </row>
    <row r="50" ht="20" customHeight="1">
      <c r="B50" s="5" t="inlineStr">
        <is>
          <t>LIB-32</t>
        </is>
      </c>
      <c r="C50" s="6" t="inlineStr">
        <is>
          <t>Missing / Lost Books Register</t>
        </is>
      </c>
      <c r="D50" s="6" t="inlineStr">
        <is>
          <t>Track books reported lost with cost recovery</t>
        </is>
      </c>
      <c r="E50" s="7" t="inlineStr">
        <is>
          <t>Continuous</t>
        </is>
      </c>
    </row>
    <row r="51" ht="20" customHeight="1">
      <c r="B51" s="8" t="inlineStr">
        <is>
          <t>LIB-33</t>
        </is>
      </c>
      <c r="C51" s="9" t="inlineStr">
        <is>
          <t>Library Maintenance &amp; Housekeeping Log</t>
        </is>
      </c>
      <c r="D51" s="9" t="inlineStr">
        <is>
          <t>Record routine maintenance, pest control, fumigation</t>
        </is>
      </c>
      <c r="E51" s="10" t="inlineStr">
        <is>
          <t>Monthly / Annual</t>
        </is>
      </c>
    </row>
    <row r="52" ht="20" customHeight="1">
      <c r="B52" s="4" t="inlineStr">
        <is>
          <t>── STAFF &amp; PROFESSIONAL DEVELOPMENT ──</t>
        </is>
      </c>
    </row>
    <row r="53" ht="20" customHeight="1">
      <c r="B53" s="8" t="inlineStr">
        <is>
          <t>LIB-34</t>
        </is>
      </c>
      <c r="C53" s="9" t="inlineStr">
        <is>
          <t>Library Staff Roster &amp; Workload Register</t>
        </is>
      </c>
      <c r="D53" s="9" t="inlineStr">
        <is>
          <t>Record library staff, duties, shifts &amp; responsibilities</t>
        </is>
      </c>
      <c r="E53" s="10" t="inlineStr">
        <is>
          <t>Annual</t>
        </is>
      </c>
    </row>
    <row r="54" ht="20" customHeight="1">
      <c r="B54" s="5" t="inlineStr">
        <is>
          <t>LIB-35</t>
        </is>
      </c>
      <c r="C54" s="6" t="inlineStr">
        <is>
          <t>Library Staff Training &amp; CPD Register</t>
        </is>
      </c>
      <c r="D54" s="6" t="inlineStr">
        <is>
          <t>Track professional development of library staff</t>
        </is>
      </c>
      <c r="E54" s="7" t="inlineStr">
        <is>
          <t>Annual</t>
        </is>
      </c>
    </row>
    <row r="55" ht="20" customHeight="1">
      <c r="B55" s="4" t="inlineStr">
        <is>
          <t>── USER FEEDBACK &amp; QUALITY ──</t>
        </is>
      </c>
    </row>
    <row r="56" ht="20" customHeight="1">
      <c r="B56" s="5" t="inlineStr">
        <is>
          <t>LIB-36</t>
        </is>
      </c>
      <c r="C56" s="6" t="inlineStr">
        <is>
          <t>User Satisfaction Survey — Library</t>
        </is>
      </c>
      <c r="D56" s="6" t="inlineStr">
        <is>
          <t>Annual survey on library services, collection &amp; facilities</t>
        </is>
      </c>
      <c r="E56" s="7" t="inlineStr">
        <is>
          <t>Annual</t>
        </is>
      </c>
    </row>
    <row r="57" ht="20" customHeight="1">
      <c r="B57" s="8" t="inlineStr">
        <is>
          <t>LIB-37</t>
        </is>
      </c>
      <c r="C57" s="9" t="inlineStr">
        <is>
          <t>Suggestion Box &amp; Feedback Register</t>
        </is>
      </c>
      <c r="D57" s="9" t="inlineStr">
        <is>
          <t>Log user suggestions and complaints with actions</t>
        </is>
      </c>
      <c r="E57" s="10" t="inlineStr">
        <is>
          <t>Continuous</t>
        </is>
      </c>
    </row>
    <row r="58" ht="20" customHeight="1">
      <c r="B58" s="4" t="inlineStr">
        <is>
          <t>── MONITORING &amp; REPORTING ──</t>
        </is>
      </c>
    </row>
    <row r="59" ht="20" customHeight="1">
      <c r="B59" s="8" t="inlineStr">
        <is>
          <t>LIB-38</t>
        </is>
      </c>
      <c r="C59" s="9" t="inlineStr">
        <is>
          <t>Library KPI Dashboard</t>
        </is>
      </c>
      <c r="D59" s="9" t="inlineStr">
        <is>
          <t>Track all library KPIs — collection, usage, services</t>
        </is>
      </c>
      <c r="E59" s="10" t="inlineStr">
        <is>
          <t>Monthly / Annual</t>
        </is>
      </c>
    </row>
    <row r="60" ht="20" customHeight="1">
      <c r="B60" s="5" t="inlineStr">
        <is>
          <t>LIB-39</t>
        </is>
      </c>
      <c r="C60" s="6" t="inlineStr">
        <is>
          <t>Library Annual Report Compilation Form</t>
        </is>
      </c>
      <c r="D60" s="6" t="inlineStr">
        <is>
          <t>Year-end report for LAC, management &amp; accreditation</t>
        </is>
      </c>
      <c r="E60" s="7" t="inlineStr">
        <is>
          <t>Annual</t>
        </is>
      </c>
    </row>
    <row r="124">
      <c r="B124" s="11" t="inlineStr">
        <is>
          <t>• LAC = Library Advisory Committee — the apex body overseeing Central Library policy, collection, services &amp; quality.</t>
        </is>
      </c>
    </row>
    <row r="125">
      <c r="B125" s="11" t="inlineStr">
        <is>
          <t>• Library data feeds into: NAAC AQAR Criterion IV.1 (Physical Infrastructure), IV.2 (Resource Mobilisation), II.4 (Teacher Qualifications), NIRF, NBA SAR.</t>
        </is>
      </c>
    </row>
    <row r="126">
      <c r="B126" s="11" t="inlineStr">
        <is>
          <t>• Accession register is the legal record of the library collection — must be maintained meticulously and reconciled annually.</t>
        </is>
      </c>
    </row>
    <row r="127">
      <c r="B127" s="11" t="inlineStr">
        <is>
          <t>• All e-resource subscriptions must be routed through Finance Committee; usage analytics to be submitted to LAC quarterly.</t>
        </is>
      </c>
    </row>
    <row r="128">
      <c r="B128" s="11" t="inlineStr">
        <is>
          <t>• INFLIBNET / DELNET / NKN memberships and their usage must be documented for NAAC and university inspection.</t>
        </is>
      </c>
    </row>
    <row r="129">
      <c r="B129" s="11" t="inlineStr">
        <is>
          <t>• Annual stock verification is mandatory — discrepancies to be reported to the Principal and Finance Officer.</t>
        </is>
      </c>
    </row>
    <row r="130">
      <c r="B130" s="11" t="inlineStr">
        <is>
          <t>• User Satisfaction Survey (LIB-36) is a mandatory NAAC Criterion IV evidence — conduct annually, maintain response data.</t>
        </is>
      </c>
    </row>
  </sheetData>
  <mergeCells count="21">
    <mergeCell ref="B40:E40"/>
    <mergeCell ref="B127:E127"/>
    <mergeCell ref="B55:E55"/>
    <mergeCell ref="B124:E124"/>
    <mergeCell ref="B5:E5"/>
    <mergeCell ref="B45:E45"/>
    <mergeCell ref="B35:E35"/>
    <mergeCell ref="B126:E126"/>
    <mergeCell ref="B129:E129"/>
    <mergeCell ref="B25:E25"/>
    <mergeCell ref="B3:E3"/>
    <mergeCell ref="B125:E125"/>
    <mergeCell ref="B31:E31"/>
    <mergeCell ref="B58:E58"/>
    <mergeCell ref="B52:E52"/>
    <mergeCell ref="B21:E21"/>
    <mergeCell ref="B48:E48"/>
    <mergeCell ref="B130:E130"/>
    <mergeCell ref="B11:E11"/>
    <mergeCell ref="B2:E2"/>
    <mergeCell ref="B128:E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LAC-00: LIBRARY ADVISORY COMMITTEE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LAC</t>
        </is>
      </c>
      <c r="F4" s="13" t="inlineStr">
        <is>
          <t>Subject / 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Library Policy &amp;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Chief Librarian / University Librarian</t>
        </is>
      </c>
      <c r="E6" s="8" t="inlineStr">
        <is>
          <t>Librarian (Member Secretary)</t>
        </is>
      </c>
      <c r="F6" s="10" t="inlineStr">
        <is>
          <t>Library Operations &amp; Services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Deputy Librarian (if applicable)</t>
        </is>
      </c>
      <c r="E7" s="14" t="inlineStr">
        <is>
          <t>Deputy Librarian</t>
        </is>
      </c>
      <c r="F7" s="16" t="inlineStr">
        <is>
          <t>Collection &amp; Cataloguing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Professor (Engineering / Sciences)</t>
        </is>
      </c>
      <c r="E8" s="8" t="inlineStr">
        <is>
          <t>Faculty Representative – 1</t>
        </is>
      </c>
      <c r="F8" s="10" t="inlineStr">
        <is>
          <t>STEM Collection Needs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Professor (Management / Commerce)</t>
        </is>
      </c>
      <c r="E9" s="14" t="inlineStr">
        <is>
          <t>Faculty Representative – 2</t>
        </is>
      </c>
      <c r="F9" s="16" t="inlineStr">
        <is>
          <t>Management &amp; Social Science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Professor (Humanities / Languages)</t>
        </is>
      </c>
      <c r="E10" s="8" t="inlineStr">
        <is>
          <t>Faculty Representative – 3</t>
        </is>
      </c>
      <c r="F10" s="10" t="inlineStr">
        <is>
          <t>Humanities &amp; Arts Collection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(Research Cell / R&amp;D)</t>
        </is>
      </c>
      <c r="E11" s="14" t="inlineStr">
        <is>
          <t>Faculty Representative – 4</t>
        </is>
      </c>
      <c r="F11" s="16" t="inlineStr">
        <is>
          <t>Research Resources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ECAP / IT Head</t>
        </is>
      </c>
      <c r="E12" s="8" t="inlineStr">
        <is>
          <t>Computer Centre Head</t>
        </is>
      </c>
      <c r="F12" s="10" t="inlineStr">
        <is>
          <t>Digital Library &amp; e-Resources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IQAC In-charge</t>
        </is>
      </c>
      <c r="E13" s="14" t="inlineStr">
        <is>
          <t>IQAC Coordinator (Ex-off.)</t>
        </is>
      </c>
      <c r="F13" s="16" t="inlineStr">
        <is>
          <t>Quality &amp; Accreditation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Finance / Accounts Officer</t>
        </is>
      </c>
      <c r="E14" s="8" t="inlineStr">
        <is>
          <t>Finance Officer (Ex-off.)</t>
        </is>
      </c>
      <c r="F14" s="10" t="inlineStr">
        <is>
          <t>Library Budget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Student Council (UG)</t>
        </is>
      </c>
      <c r="E15" s="14" t="inlineStr">
        <is>
          <t>Student Representative – UG</t>
        </is>
      </c>
      <c r="F15" s="16" t="inlineStr">
        <is>
          <t>Student Collection Needs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Student Council (PG / Research)</t>
        </is>
      </c>
      <c r="E16" s="8" t="inlineStr">
        <is>
          <t>Student Representative – PG</t>
        </is>
      </c>
      <c r="F16" s="10" t="inlineStr">
        <is>
          <t>PG &amp; Research Resources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Eminent Librarian / INFLIBNET / UGC</t>
        </is>
      </c>
      <c r="E17" s="14" t="inlineStr">
        <is>
          <t>External Library Expert</t>
        </is>
      </c>
      <c r="F17" s="16" t="inlineStr">
        <is>
          <t>Library Best Practices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Senior Library Assistant</t>
        </is>
      </c>
      <c r="E18" s="8" t="inlineStr">
        <is>
          <t>Library Staff Rep.</t>
        </is>
      </c>
      <c r="F18" s="10" t="inlineStr">
        <is>
          <t>Staff Perspective</t>
        </is>
      </c>
      <c r="G18" s="9" t="inlineStr"/>
      <c r="H18" s="10" t="inlineStr"/>
      <c r="I18" s="10" t="inlineStr"/>
    </row>
    <row r="19" ht="22" customHeight="1"/>
    <row r="20" ht="20" customHeight="1">
      <c r="B20" s="17" t="inlineStr">
        <is>
          <t>LAC must meet at least twice per year. Student and faculty representatives bring important user perspectives. External expert brings library best practices.</t>
        </is>
      </c>
    </row>
    <row r="21" ht="22" customHeight="1"/>
    <row r="22" ht="24" customHeight="1">
      <c r="B22" s="18" t="inlineStr">
        <is>
          <t>LIBRARY STAFF ROSTER</t>
        </is>
      </c>
    </row>
    <row r="23" ht="22" customHeight="1">
      <c r="B23" s="19" t="inlineStr">
        <is>
          <t>Sl.</t>
        </is>
      </c>
      <c r="C23" s="19" t="inlineStr">
        <is>
          <t>Staff Name</t>
        </is>
      </c>
      <c r="D23" s="19" t="inlineStr">
        <is>
          <t>Designation</t>
        </is>
      </c>
      <c r="E23" s="19" t="inlineStr">
        <is>
          <t>Qualification</t>
        </is>
      </c>
      <c r="F23" s="19" t="inlineStr">
        <is>
          <t>Specialisation</t>
        </is>
      </c>
      <c r="G23" s="19" t="inlineStr">
        <is>
          <t>Date of Joining</t>
        </is>
      </c>
      <c r="H23" s="19" t="inlineStr">
        <is>
          <t>Contact</t>
        </is>
      </c>
      <c r="I23" s="19" t="inlineStr">
        <is>
          <t>Status</t>
        </is>
      </c>
    </row>
    <row r="24" ht="22" customHeight="1"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 ht="22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2" customHeight="1"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 ht="22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2" customHeight="1"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 ht="22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2" customHeight="1">
      <c r="B30" s="20" t="n"/>
      <c r="C30" s="20" t="n"/>
      <c r="D30" s="20" t="n"/>
      <c r="E30" s="20" t="n"/>
      <c r="F30" s="20" t="n"/>
      <c r="G30" s="20" t="n"/>
      <c r="H30" s="20" t="n"/>
      <c r="I30" s="20" t="n"/>
    </row>
  </sheetData>
  <mergeCells count="4">
    <mergeCell ref="B3:I3"/>
    <mergeCell ref="B22:I22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LAC: MEETING NOTICE &amp; AGENDA</t>
        </is>
      </c>
    </row>
    <row r="3" ht="22" customHeight="1">
      <c r="B3" s="21" t="inlineStr">
        <is>
          <t>Meeting No.:</t>
        </is>
      </c>
      <c r="C3" s="9" t="n"/>
    </row>
    <row r="4" ht="22" customHeight="1">
      <c r="B4" s="21" t="inlineStr">
        <is>
          <t>Academic Year:</t>
        </is>
      </c>
      <c r="C4" s="9" t="n"/>
    </row>
    <row r="5" ht="22" customHeight="1">
      <c r="B5" s="21" t="inlineStr">
        <is>
          <t>Date:</t>
        </is>
      </c>
      <c r="C5" s="9" t="n"/>
    </row>
    <row r="6" ht="22" customHeight="1">
      <c r="B6" s="21" t="inlineStr">
        <is>
          <t>Time:</t>
        </is>
      </c>
      <c r="C6" s="9" t="n"/>
    </row>
    <row r="7" ht="22" customHeight="1">
      <c r="B7" s="21" t="inlineStr">
        <is>
          <t>Venue:</t>
        </is>
      </c>
      <c r="C7" s="9" t="n"/>
    </row>
    <row r="8" ht="22" customHeight="1">
      <c r="B8" s="21" t="inlineStr">
        <is>
          <t>Mode:</t>
        </is>
      </c>
      <c r="C8" s="9" t="n"/>
    </row>
    <row r="9" ht="22" customHeight="1">
      <c r="B9" s="21" t="inlineStr">
        <is>
          <t>Notice by:</t>
        </is>
      </c>
      <c r="C9" s="9" t="n"/>
    </row>
    <row r="10" ht="22" customHeight="1">
      <c r="B10" s="21" t="inlineStr">
        <is>
          <t>Notice Date:</t>
        </is>
      </c>
      <c r="C10" s="9" t="n"/>
    </row>
    <row r="11" ht="24" customHeight="1">
      <c r="B11" s="22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LAC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LAC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Collection development — new book / resource requisitions review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Procurement status — books ordered, received &amp; accessioned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e-Resources &amp; database subscriptions — renewal &amp; new proposals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Circulation statistics — issues, returns, footfall trends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Digital library &amp; OPAC — status and usage analytics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Institutional repository — content uploads and access statistics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e-Resource usage analytics — INFLIBNET, DELNET, e-journals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User education &amp; library orientation — programme report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Library budget — expenditure vs. allocation review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Stock verification — status or results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Infrastructure &amp; housekeeping — maintenance issues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User satisfaction survey — results and action plan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Library KPI dashboard — quarterly performance review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Staff development — training and CPD update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NAAC / NIRF / NBA library data — compilation status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Special proposals / new initiatives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Any Other Matter with Permission of Chairperson (AOMPC)</t>
        </is>
      </c>
      <c r="D31" s="16" t="inlineStr"/>
      <c r="E31" s="16" t="inlineStr"/>
    </row>
    <row r="32" ht="24" customHeight="1"/>
    <row r="33" ht="24" customHeight="1">
      <c r="B33" s="23" t="inlineStr">
        <is>
          <t>DISPATCH RECORD</t>
        </is>
      </c>
    </row>
    <row r="34" ht="24" customHeight="1">
      <c r="B34" s="24" t="inlineStr">
        <is>
          <t>Sl.</t>
        </is>
      </c>
      <c r="C34" s="24" t="inlineStr">
        <is>
          <t>Member Name &amp; Role</t>
        </is>
      </c>
      <c r="D34" s="24" t="inlineStr">
        <is>
          <t>Mode of Dispatch</t>
        </is>
      </c>
      <c r="E34" s="24" t="inlineStr">
        <is>
          <t>Date &amp; Acknowledgement</t>
        </is>
      </c>
    </row>
    <row r="35" ht="22" customHeight="1">
      <c r="B35" s="25" t="n"/>
      <c r="C35" s="25" t="n"/>
      <c r="D35" s="25" t="n"/>
      <c r="E35" s="25" t="n"/>
    </row>
    <row r="36" ht="22" customHeight="1">
      <c r="B36" s="10" t="n"/>
      <c r="C36" s="10" t="n"/>
      <c r="D36" s="10" t="n"/>
      <c r="E36" s="10" t="n"/>
    </row>
    <row r="37" ht="22" customHeight="1">
      <c r="B37" s="25" t="n"/>
      <c r="C37" s="25" t="n"/>
      <c r="D37" s="25" t="n"/>
      <c r="E37" s="25" t="n"/>
    </row>
    <row r="38" ht="22" customHeight="1">
      <c r="B38" s="10" t="n"/>
      <c r="C38" s="10" t="n"/>
      <c r="D38" s="10" t="n"/>
      <c r="E38" s="10" t="n"/>
    </row>
  </sheetData>
  <mergeCells count="11">
    <mergeCell ref="C5:E5"/>
    <mergeCell ref="C8:E8"/>
    <mergeCell ref="C9:E9"/>
    <mergeCell ref="C4:E4"/>
    <mergeCell ref="B33:E33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LAC: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/>
    <row r="22" ht="24" customHeight="1">
      <c r="B22" s="23" t="inlineStr">
        <is>
          <t>QUORUM VERIFICATION</t>
        </is>
      </c>
    </row>
    <row r="23" ht="22" customHeight="1">
      <c r="B23" s="26" t="inlineStr">
        <is>
          <t>Total LAC Members</t>
        </is>
      </c>
      <c r="G23" s="27" t="inlineStr"/>
    </row>
    <row r="24" ht="22" customHeight="1">
      <c r="B24" s="28" t="inlineStr">
        <is>
          <t>Present (Physical)</t>
        </is>
      </c>
      <c r="G24" s="27">
        <f>COUNTIF(F5:F20,"P")</f>
        <v/>
      </c>
    </row>
    <row r="25" ht="22" customHeight="1">
      <c r="B25" s="26" t="inlineStr">
        <is>
          <t>Present (VC)</t>
        </is>
      </c>
      <c r="G25" s="27" t="inlineStr"/>
    </row>
    <row r="26" ht="22" customHeight="1">
      <c r="B26" s="28" t="inlineStr">
        <is>
          <t>Total Effective</t>
        </is>
      </c>
      <c r="G26" s="27">
        <f>IFERROR(C24+C25,"")</f>
        <v/>
      </c>
    </row>
    <row r="27" ht="22" customHeight="1">
      <c r="B27" s="26" t="inlineStr">
        <is>
          <t>Quorum Required (50%)</t>
        </is>
      </c>
      <c r="G27" s="27" t="inlineStr"/>
    </row>
    <row r="28" ht="22" customHeight="1">
      <c r="B28" s="28" t="inlineStr">
        <is>
          <t>Quorum Achieved?</t>
        </is>
      </c>
      <c r="G28" s="29">
        <f>IFERROR(IF(C26&gt;=C27,"YES — Meeting Valid","NO — Adjourned"),"")</f>
        <v/>
      </c>
    </row>
    <row r="29" ht="22" customHeight="1"/>
  </sheetData>
  <mergeCells count="15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LAC: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30" t="inlineStr">
        <is>
          <t>DISCUSSION &amp; RESOLUTIONS</t>
        </is>
      </c>
    </row>
    <row r="5" ht="30" customHeight="1">
      <c r="B5" s="31" t="inlineStr">
        <is>
          <t>Resolution
No.</t>
        </is>
      </c>
      <c r="C5" s="31" t="inlineStr">
        <is>
          <t>Discussion &amp; Resolution</t>
        </is>
      </c>
      <c r="D5" s="31" t="inlineStr">
        <is>
          <t>Responsible</t>
        </is>
      </c>
      <c r="E5" s="31" t="inlineStr">
        <is>
          <t>Voting</t>
        </is>
      </c>
      <c r="F5" s="31" t="inlineStr">
        <is>
          <t>Target
Date</t>
        </is>
      </c>
      <c r="G5" s="31" t="inlineStr">
        <is>
          <t>Status</t>
        </is>
      </c>
    </row>
    <row r="6" ht="30" customHeight="1">
      <c r="B6" s="14" t="inlineStr">
        <is>
          <t>LAC/RES/001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LAC/RES/002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LAC/RES/003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LAC/RES/004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LAC/RES/005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LAC/RES/006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LAC/RES/007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LAC/RES/008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LAC/RES/009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LAC/RES/010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LAC/RES/011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LAC/RES/012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LAC/RES/013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LAC/RES/014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2" t="inlineStr">
        <is>
          <t>Next Meeting: _______    Chairperson: ___________________    Librarian: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LAC: ACTION TAKEN REPORT (ATR)</t>
        </is>
      </c>
    </row>
    <row r="3" ht="25" customHeight="1">
      <c r="B3" s="2" t="inlineStr">
        <is>
          <t>Current Meeting No.: _______  Previous Meeting Ref.: _______  Date: _______</t>
        </is>
      </c>
    </row>
    <row r="4" ht="25" customHeight="1">
      <c r="B4" s="19" t="inlineStr">
        <is>
          <t>Resolution
No.</t>
        </is>
      </c>
      <c r="C4" s="19" t="inlineStr">
        <is>
          <t>Resolution / Decision</t>
        </is>
      </c>
      <c r="D4" s="19" t="inlineStr">
        <is>
          <t>Action Required</t>
        </is>
      </c>
      <c r="E4" s="19" t="inlineStr">
        <is>
          <t>Responsible</t>
        </is>
      </c>
      <c r="F4" s="19" t="inlineStr">
        <is>
          <t>Target
Date</t>
        </is>
      </c>
      <c r="G4" s="19" t="inlineStr">
        <is>
          <t>Completion
Date</t>
        </is>
      </c>
      <c r="H4" s="19" t="inlineStr">
        <is>
          <t>Status</t>
        </is>
      </c>
    </row>
    <row r="5" ht="26" customHeight="1">
      <c r="B5" s="33" t="inlineStr">
        <is>
          <t>LAC/RES/001</t>
        </is>
      </c>
      <c r="C5" s="34" t="inlineStr"/>
      <c r="D5" s="34" t="inlineStr"/>
      <c r="E5" s="20" t="inlineStr"/>
      <c r="F5" s="20" t="inlineStr"/>
      <c r="G5" s="20" t="inlineStr"/>
      <c r="H5" s="34" t="inlineStr">
        <is>
          <t>In Progress</t>
        </is>
      </c>
    </row>
    <row r="6" ht="26" customHeight="1">
      <c r="B6" s="8" t="inlineStr">
        <is>
          <t>LAC/RES/002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3" t="inlineStr">
        <is>
          <t>LAC/RES/003</t>
        </is>
      </c>
      <c r="C7" s="34" t="inlineStr"/>
      <c r="D7" s="34" t="inlineStr"/>
      <c r="E7" s="20" t="inlineStr"/>
      <c r="F7" s="20" t="inlineStr"/>
      <c r="G7" s="20" t="inlineStr"/>
      <c r="H7" s="34" t="inlineStr">
        <is>
          <t>In Progress</t>
        </is>
      </c>
    </row>
    <row r="8" ht="26" customHeight="1">
      <c r="B8" s="8" t="inlineStr">
        <is>
          <t>LAC/RES/004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3" t="inlineStr">
        <is>
          <t>LAC/RES/005</t>
        </is>
      </c>
      <c r="C9" s="34" t="inlineStr"/>
      <c r="D9" s="34" t="inlineStr"/>
      <c r="E9" s="20" t="inlineStr"/>
      <c r="F9" s="20" t="inlineStr"/>
      <c r="G9" s="20" t="inlineStr"/>
      <c r="H9" s="34" t="inlineStr">
        <is>
          <t>In Progress</t>
        </is>
      </c>
    </row>
    <row r="10" ht="26" customHeight="1">
      <c r="B10" s="8" t="inlineStr">
        <is>
          <t>LAC/RES/006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3" t="inlineStr">
        <is>
          <t>LAC/RES/007</t>
        </is>
      </c>
      <c r="C11" s="34" t="inlineStr"/>
      <c r="D11" s="34" t="inlineStr"/>
      <c r="E11" s="20" t="inlineStr"/>
      <c r="F11" s="20" t="inlineStr"/>
      <c r="G11" s="20" t="inlineStr"/>
      <c r="H11" s="34" t="inlineStr">
        <is>
          <t>In Progress</t>
        </is>
      </c>
    </row>
    <row r="12" ht="26" customHeight="1">
      <c r="B12" s="8" t="inlineStr">
        <is>
          <t>LAC/RES/008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3" t="inlineStr">
        <is>
          <t>LAC/RES/009</t>
        </is>
      </c>
      <c r="C13" s="34" t="inlineStr"/>
      <c r="D13" s="34" t="inlineStr"/>
      <c r="E13" s="20" t="inlineStr"/>
      <c r="F13" s="20" t="inlineStr"/>
      <c r="G13" s="20" t="inlineStr"/>
      <c r="H13" s="34" t="inlineStr">
        <is>
          <t>In Progress</t>
        </is>
      </c>
    </row>
    <row r="14" ht="26" customHeight="1">
      <c r="B14" s="8" t="inlineStr">
        <is>
          <t>LAC/RES/010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3" t="inlineStr">
        <is>
          <t>LAC/RES/011</t>
        </is>
      </c>
      <c r="C15" s="34" t="inlineStr"/>
      <c r="D15" s="34" t="inlineStr"/>
      <c r="E15" s="20" t="inlineStr"/>
      <c r="F15" s="20" t="inlineStr"/>
      <c r="G15" s="20" t="inlineStr"/>
      <c r="H15" s="34" t="inlineStr">
        <is>
          <t>In Progress</t>
        </is>
      </c>
    </row>
    <row r="16" ht="26" customHeight="1">
      <c r="B16" s="8" t="inlineStr">
        <is>
          <t>LAC/RES/012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3" t="inlineStr">
        <is>
          <t>LAC/RES/013</t>
        </is>
      </c>
      <c r="C17" s="34" t="inlineStr"/>
      <c r="D17" s="34" t="inlineStr"/>
      <c r="E17" s="20" t="inlineStr"/>
      <c r="F17" s="20" t="inlineStr"/>
      <c r="G17" s="20" t="inlineStr"/>
      <c r="H17" s="34" t="inlineStr">
        <is>
          <t>In Progress</t>
        </is>
      </c>
    </row>
    <row r="18" ht="26" customHeight="1">
      <c r="B18" s="8" t="inlineStr">
        <is>
          <t>LAC/RES/014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3" t="inlineStr">
        <is>
          <t>LAC/RES/015</t>
        </is>
      </c>
      <c r="C19" s="34" t="inlineStr"/>
      <c r="D19" s="34" t="inlineStr"/>
      <c r="E19" s="20" t="inlineStr"/>
      <c r="F19" s="20" t="inlineStr"/>
      <c r="G19" s="20" t="inlineStr"/>
      <c r="H19" s="34" t="inlineStr">
        <is>
          <t>In Progress</t>
        </is>
      </c>
    </row>
    <row r="20" ht="26" customHeight="1"/>
    <row r="21" ht="24" customHeight="1">
      <c r="B21" s="18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36">
        <f>COUNTA(B5:B19)</f>
        <v/>
      </c>
    </row>
    <row r="23" ht="26" customHeight="1">
      <c r="B23" s="28" t="inlineStr">
        <is>
          <t>Implemented</t>
        </is>
      </c>
      <c r="F23" s="37">
        <f>COUNTIF(H5:H19,"Implemented")</f>
        <v/>
      </c>
    </row>
    <row r="24" ht="26" customHeight="1">
      <c r="B24" s="35" t="inlineStr">
        <is>
          <t>In Progress</t>
        </is>
      </c>
      <c r="F24" s="36">
        <f>COUNTIF(H5:H19,"In Progress")</f>
        <v/>
      </c>
    </row>
    <row r="25" ht="26" customHeight="1">
      <c r="B25" s="28" t="inlineStr">
        <is>
          <t>Pending</t>
        </is>
      </c>
      <c r="F25" s="37">
        <f>COUNTIF(H5:H19,"Pending")</f>
        <v/>
      </c>
    </row>
    <row r="26" ht="26" customHeight="1">
      <c r="B26" s="35" t="inlineStr">
        <is>
          <t>Deferred</t>
        </is>
      </c>
      <c r="F26" s="36">
        <f>COUNTIF(H5:H19,"Deferred")</f>
        <v/>
      </c>
    </row>
    <row r="27" ht="26" customHeight="1">
      <c r="B27" s="28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8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LIB-02: BOOK / RESOURCE REQUISITION REGISTER</t>
        </is>
      </c>
    </row>
    <row r="3" ht="25" customHeight="1">
      <c r="B3" s="2" t="inlineStr">
        <is>
          <t>A.Y.: _______  Librarian: ___________________  Recommended by: Faculty / Dept. / LAC</t>
        </is>
      </c>
    </row>
    <row r="4" ht="25" customHeight="1">
      <c r="B4" s="13" t="inlineStr">
        <is>
          <t>Req.
Ref.</t>
        </is>
      </c>
      <c r="C4" s="13" t="inlineStr">
        <is>
          <t>Title of Book / Resource</t>
        </is>
      </c>
      <c r="D4" s="13" t="inlineStr">
        <is>
          <t>Author(s)</t>
        </is>
      </c>
      <c r="E4" s="13" t="inlineStr">
        <is>
          <t>Publisher</t>
        </is>
      </c>
      <c r="F4" s="13" t="inlineStr">
        <is>
          <t>Edition
/ Year</t>
        </is>
      </c>
      <c r="G4" s="13" t="inlineStr">
        <is>
          <t>ISBN /
ISSN</t>
        </is>
      </c>
      <c r="H4" s="13" t="inlineStr">
        <is>
          <t>Requested by
(Faculty/Dept.)</t>
        </is>
      </c>
      <c r="I4" s="13" t="inlineStr">
        <is>
          <t>No. of
Copies</t>
        </is>
      </c>
      <c r="J4" s="13" t="inlineStr">
        <is>
          <t>Est. Cost
(₹)</t>
        </is>
      </c>
      <c r="K4" s="13" t="inlineStr">
        <is>
          <t>Priority
(H/M/L)</t>
        </is>
      </c>
    </row>
    <row r="5" ht="22" customHeight="1">
      <c r="B5" s="14" t="inlineStr">
        <is>
          <t>REQ/2024/0001</t>
        </is>
      </c>
      <c r="C5" s="15" t="inlineStr"/>
      <c r="D5" s="15" t="inlineStr"/>
      <c r="E5" s="15" t="inlineStr"/>
      <c r="F5" s="16" t="inlineStr"/>
      <c r="G5" s="16" t="inlineStr"/>
      <c r="H5" s="16" t="inlineStr"/>
      <c r="I5" s="16" t="inlineStr">
        <is>
          <t>1</t>
        </is>
      </c>
      <c r="J5" s="16" t="inlineStr"/>
      <c r="K5" s="16" t="inlineStr">
        <is>
          <t>H</t>
        </is>
      </c>
    </row>
    <row r="6" ht="22" customHeight="1">
      <c r="B6" s="8" t="inlineStr">
        <is>
          <t>REQ/2024/0002</t>
        </is>
      </c>
      <c r="C6" s="9" t="inlineStr"/>
      <c r="D6" s="9" t="inlineStr"/>
      <c r="E6" s="9" t="inlineStr"/>
      <c r="F6" s="10" t="inlineStr"/>
      <c r="G6" s="10" t="inlineStr"/>
      <c r="H6" s="10" t="inlineStr"/>
      <c r="I6" s="10" t="inlineStr">
        <is>
          <t>1</t>
        </is>
      </c>
      <c r="J6" s="10" t="inlineStr"/>
      <c r="K6" s="10" t="inlineStr">
        <is>
          <t>M</t>
        </is>
      </c>
    </row>
    <row r="7" ht="22" customHeight="1">
      <c r="B7" s="14" t="inlineStr">
        <is>
          <t>REQ/2024/0003</t>
        </is>
      </c>
      <c r="C7" s="15" t="inlineStr"/>
      <c r="D7" s="15" t="inlineStr"/>
      <c r="E7" s="15" t="inlineStr"/>
      <c r="F7" s="16" t="inlineStr"/>
      <c r="G7" s="16" t="inlineStr"/>
      <c r="H7" s="16" t="inlineStr"/>
      <c r="I7" s="16" t="inlineStr">
        <is>
          <t>1</t>
        </is>
      </c>
      <c r="J7" s="16" t="inlineStr"/>
      <c r="K7" s="16" t="inlineStr">
        <is>
          <t>L</t>
        </is>
      </c>
    </row>
    <row r="8" ht="22" customHeight="1">
      <c r="B8" s="8" t="inlineStr">
        <is>
          <t>REQ/2024/0004</t>
        </is>
      </c>
      <c r="C8" s="9" t="inlineStr"/>
      <c r="D8" s="9" t="inlineStr"/>
      <c r="E8" s="9" t="inlineStr"/>
      <c r="F8" s="10" t="inlineStr"/>
      <c r="G8" s="10" t="inlineStr"/>
      <c r="H8" s="10" t="inlineStr"/>
      <c r="I8" s="10" t="inlineStr">
        <is>
          <t>1</t>
        </is>
      </c>
      <c r="J8" s="10" t="inlineStr"/>
      <c r="K8" s="10" t="inlineStr">
        <is>
          <t>H</t>
        </is>
      </c>
    </row>
    <row r="9" ht="22" customHeight="1">
      <c r="B9" s="14" t="inlineStr">
        <is>
          <t>REQ/2024/0005</t>
        </is>
      </c>
      <c r="C9" s="15" t="inlineStr"/>
      <c r="D9" s="15" t="inlineStr"/>
      <c r="E9" s="15" t="inlineStr"/>
      <c r="F9" s="16" t="inlineStr"/>
      <c r="G9" s="16" t="inlineStr"/>
      <c r="H9" s="16" t="inlineStr"/>
      <c r="I9" s="16" t="inlineStr">
        <is>
          <t>1</t>
        </is>
      </c>
      <c r="J9" s="16" t="inlineStr"/>
      <c r="K9" s="16" t="inlineStr">
        <is>
          <t>M</t>
        </is>
      </c>
    </row>
    <row r="10" ht="22" customHeight="1">
      <c r="B10" s="8" t="inlineStr">
        <is>
          <t>REQ/2024/0006</t>
        </is>
      </c>
      <c r="C10" s="9" t="inlineStr"/>
      <c r="D10" s="9" t="inlineStr"/>
      <c r="E10" s="9" t="inlineStr"/>
      <c r="F10" s="10" t="inlineStr"/>
      <c r="G10" s="10" t="inlineStr"/>
      <c r="H10" s="10" t="inlineStr"/>
      <c r="I10" s="10" t="inlineStr">
        <is>
          <t>1</t>
        </is>
      </c>
      <c r="J10" s="10" t="inlineStr"/>
      <c r="K10" s="10" t="inlineStr">
        <is>
          <t>H</t>
        </is>
      </c>
    </row>
    <row r="11" ht="22" customHeight="1">
      <c r="B11" s="14" t="inlineStr">
        <is>
          <t>REQ/2024/0007</t>
        </is>
      </c>
      <c r="C11" s="15" t="inlineStr"/>
      <c r="D11" s="15" t="inlineStr"/>
      <c r="E11" s="15" t="inlineStr"/>
      <c r="F11" s="16" t="inlineStr"/>
      <c r="G11" s="16" t="inlineStr"/>
      <c r="H11" s="16" t="inlineStr"/>
      <c r="I11" s="16" t="inlineStr">
        <is>
          <t>1</t>
        </is>
      </c>
      <c r="J11" s="16" t="inlineStr"/>
      <c r="K11" s="16" t="inlineStr">
        <is>
          <t>M</t>
        </is>
      </c>
    </row>
    <row r="12" ht="22" customHeight="1">
      <c r="B12" s="8" t="inlineStr">
        <is>
          <t>REQ/2024/0008</t>
        </is>
      </c>
      <c r="C12" s="9" t="inlineStr"/>
      <c r="D12" s="9" t="inlineStr"/>
      <c r="E12" s="9" t="inlineStr"/>
      <c r="F12" s="10" t="inlineStr"/>
      <c r="G12" s="10" t="inlineStr"/>
      <c r="H12" s="10" t="inlineStr"/>
      <c r="I12" s="10" t="inlineStr">
        <is>
          <t>1</t>
        </is>
      </c>
      <c r="J12" s="10" t="inlineStr"/>
      <c r="K12" s="10" t="inlineStr">
        <is>
          <t>L</t>
        </is>
      </c>
    </row>
    <row r="13" ht="22" customHeight="1">
      <c r="B13" s="14" t="inlineStr">
        <is>
          <t>REQ/2024/0009</t>
        </is>
      </c>
      <c r="C13" s="15" t="inlineStr"/>
      <c r="D13" s="15" t="inlineStr"/>
      <c r="E13" s="15" t="inlineStr"/>
      <c r="F13" s="16" t="inlineStr"/>
      <c r="G13" s="16" t="inlineStr"/>
      <c r="H13" s="16" t="inlineStr"/>
      <c r="I13" s="16" t="inlineStr">
        <is>
          <t>1</t>
        </is>
      </c>
      <c r="J13" s="16" t="inlineStr"/>
      <c r="K13" s="16" t="inlineStr">
        <is>
          <t>H</t>
        </is>
      </c>
    </row>
    <row r="14" ht="22" customHeight="1">
      <c r="B14" s="8" t="inlineStr">
        <is>
          <t>REQ/2024/0010</t>
        </is>
      </c>
      <c r="C14" s="9" t="inlineStr"/>
      <c r="D14" s="9" t="inlineStr"/>
      <c r="E14" s="9" t="inlineStr"/>
      <c r="F14" s="10" t="inlineStr"/>
      <c r="G14" s="10" t="inlineStr"/>
      <c r="H14" s="10" t="inlineStr"/>
      <c r="I14" s="10" t="inlineStr">
        <is>
          <t>1</t>
        </is>
      </c>
      <c r="J14" s="10" t="inlineStr"/>
      <c r="K14" s="10" t="inlineStr">
        <is>
          <t>M</t>
        </is>
      </c>
    </row>
    <row r="15" ht="22" customHeight="1">
      <c r="B15" s="14" t="inlineStr">
        <is>
          <t>REQ/2024/0011</t>
        </is>
      </c>
      <c r="C15" s="15" t="inlineStr"/>
      <c r="D15" s="15" t="inlineStr"/>
      <c r="E15" s="15" t="inlineStr"/>
      <c r="F15" s="16" t="inlineStr"/>
      <c r="G15" s="16" t="inlineStr"/>
      <c r="H15" s="16" t="inlineStr"/>
      <c r="I15" s="16" t="inlineStr">
        <is>
          <t>1</t>
        </is>
      </c>
      <c r="J15" s="16" t="inlineStr"/>
      <c r="K15" s="16" t="inlineStr">
        <is>
          <t>H</t>
        </is>
      </c>
    </row>
    <row r="16" ht="22" customHeight="1">
      <c r="B16" s="8" t="inlineStr">
        <is>
          <t>REQ/2024/0012</t>
        </is>
      </c>
      <c r="C16" s="9" t="inlineStr"/>
      <c r="D16" s="9" t="inlineStr"/>
      <c r="E16" s="9" t="inlineStr"/>
      <c r="F16" s="10" t="inlineStr"/>
      <c r="G16" s="10" t="inlineStr"/>
      <c r="H16" s="10" t="inlineStr"/>
      <c r="I16" s="10" t="inlineStr">
        <is>
          <t>1</t>
        </is>
      </c>
      <c r="J16" s="10" t="inlineStr"/>
      <c r="K16" s="10" t="inlineStr">
        <is>
          <t>M</t>
        </is>
      </c>
    </row>
    <row r="17" ht="22" customHeight="1">
      <c r="B17" s="14" t="inlineStr">
        <is>
          <t>REQ/2025/0013</t>
        </is>
      </c>
      <c r="C17" s="15" t="inlineStr"/>
      <c r="D17" s="15" t="inlineStr"/>
      <c r="E17" s="15" t="inlineStr"/>
      <c r="F17" s="16" t="inlineStr"/>
      <c r="G17" s="16" t="inlineStr"/>
      <c r="H17" s="16" t="inlineStr"/>
      <c r="I17" s="16" t="inlineStr">
        <is>
          <t>1</t>
        </is>
      </c>
      <c r="J17" s="16" t="inlineStr"/>
      <c r="K17" s="16" t="inlineStr">
        <is>
          <t>L</t>
        </is>
      </c>
    </row>
    <row r="18" ht="22" customHeight="1">
      <c r="B18" s="8" t="inlineStr">
        <is>
          <t>REQ/2025/0014</t>
        </is>
      </c>
      <c r="C18" s="9" t="inlineStr"/>
      <c r="D18" s="9" t="inlineStr"/>
      <c r="E18" s="9" t="inlineStr"/>
      <c r="F18" s="10" t="inlineStr"/>
      <c r="G18" s="10" t="inlineStr"/>
      <c r="H18" s="10" t="inlineStr"/>
      <c r="I18" s="10" t="inlineStr">
        <is>
          <t>1</t>
        </is>
      </c>
      <c r="J18" s="10" t="inlineStr"/>
      <c r="K18" s="10" t="inlineStr">
        <is>
          <t>H</t>
        </is>
      </c>
    </row>
    <row r="19" ht="22" customHeight="1">
      <c r="B19" s="14" t="inlineStr">
        <is>
          <t>REQ/2025/0015</t>
        </is>
      </c>
      <c r="C19" s="15" t="inlineStr"/>
      <c r="D19" s="15" t="inlineStr"/>
      <c r="E19" s="15" t="inlineStr"/>
      <c r="F19" s="16" t="inlineStr"/>
      <c r="G19" s="16" t="inlineStr"/>
      <c r="H19" s="16" t="inlineStr"/>
      <c r="I19" s="16" t="inlineStr">
        <is>
          <t>1</t>
        </is>
      </c>
      <c r="J19" s="16" t="inlineStr"/>
      <c r="K19" s="16" t="inlineStr">
        <is>
          <t>M</t>
        </is>
      </c>
    </row>
    <row r="20" ht="22" customHeight="1">
      <c r="B20" s="8" t="inlineStr">
        <is>
          <t>REQ/2025/0016</t>
        </is>
      </c>
      <c r="C20" s="9" t="inlineStr"/>
      <c r="D20" s="9" t="inlineStr"/>
      <c r="E20" s="9" t="inlineStr"/>
      <c r="F20" s="10" t="inlineStr"/>
      <c r="G20" s="10" t="inlineStr"/>
      <c r="H20" s="10" t="inlineStr"/>
      <c r="I20" s="10" t="inlineStr">
        <is>
          <t>1</t>
        </is>
      </c>
      <c r="J20" s="10" t="inlineStr"/>
      <c r="K20" s="10" t="inlineStr">
        <is>
          <t>H</t>
        </is>
      </c>
    </row>
    <row r="21" ht="22" customHeight="1">
      <c r="B21" s="14" t="inlineStr">
        <is>
          <t>REQ/2025/0017</t>
        </is>
      </c>
      <c r="C21" s="15" t="inlineStr"/>
      <c r="D21" s="15" t="inlineStr"/>
      <c r="E21" s="15" t="inlineStr"/>
      <c r="F21" s="16" t="inlineStr"/>
      <c r="G21" s="16" t="inlineStr"/>
      <c r="H21" s="16" t="inlineStr"/>
      <c r="I21" s="16" t="inlineStr">
        <is>
          <t>1</t>
        </is>
      </c>
      <c r="J21" s="16" t="inlineStr"/>
      <c r="K21" s="16" t="inlineStr">
        <is>
          <t>M</t>
        </is>
      </c>
    </row>
    <row r="22" ht="22" customHeight="1">
      <c r="B22" s="8" t="inlineStr">
        <is>
          <t>REQ/2025/0018</t>
        </is>
      </c>
      <c r="C22" s="9" t="inlineStr"/>
      <c r="D22" s="9" t="inlineStr"/>
      <c r="E22" s="9" t="inlineStr"/>
      <c r="F22" s="10" t="inlineStr"/>
      <c r="G22" s="10" t="inlineStr"/>
      <c r="H22" s="10" t="inlineStr"/>
      <c r="I22" s="10" t="inlineStr">
        <is>
          <t>1</t>
        </is>
      </c>
      <c r="J22" s="10" t="inlineStr"/>
      <c r="K22" s="10" t="inlineStr">
        <is>
          <t>L</t>
        </is>
      </c>
    </row>
    <row r="23" ht="22" customHeight="1">
      <c r="B23" s="14" t="inlineStr">
        <is>
          <t>REQ/2025/0019</t>
        </is>
      </c>
      <c r="C23" s="15" t="inlineStr"/>
      <c r="D23" s="15" t="inlineStr"/>
      <c r="E23" s="15" t="inlineStr"/>
      <c r="F23" s="16" t="inlineStr"/>
      <c r="G23" s="16" t="inlineStr"/>
      <c r="H23" s="16" t="inlineStr"/>
      <c r="I23" s="16" t="inlineStr">
        <is>
          <t>1</t>
        </is>
      </c>
      <c r="J23" s="16" t="inlineStr"/>
      <c r="K23" s="16" t="inlineStr">
        <is>
          <t>H</t>
        </is>
      </c>
    </row>
    <row r="24" ht="22" customHeight="1">
      <c r="B24" s="8" t="inlineStr">
        <is>
          <t>REQ/2025/0020</t>
        </is>
      </c>
      <c r="C24" s="9" t="inlineStr"/>
      <c r="D24" s="9" t="inlineStr"/>
      <c r="E24" s="9" t="inlineStr"/>
      <c r="F24" s="10" t="inlineStr"/>
      <c r="G24" s="10" t="inlineStr"/>
      <c r="H24" s="10" t="inlineStr"/>
      <c r="I24" s="10" t="inlineStr">
        <is>
          <t>1</t>
        </is>
      </c>
      <c r="J24" s="10" t="inlineStr"/>
      <c r="K24" s="10" t="inlineStr">
        <is>
          <t>M</t>
        </is>
      </c>
    </row>
    <row r="25" ht="22" customHeight="1">
      <c r="B25" s="14" t="inlineStr">
        <is>
          <t>REQ/2025/0021</t>
        </is>
      </c>
      <c r="C25" s="15" t="inlineStr"/>
      <c r="D25" s="15" t="inlineStr"/>
      <c r="E25" s="15" t="inlineStr"/>
      <c r="F25" s="16" t="inlineStr"/>
      <c r="G25" s="16" t="inlineStr"/>
      <c r="H25" s="16" t="inlineStr"/>
      <c r="I25" s="16" t="inlineStr">
        <is>
          <t>1</t>
        </is>
      </c>
      <c r="J25" s="16" t="inlineStr"/>
      <c r="K25" s="16" t="inlineStr">
        <is>
          <t>H</t>
        </is>
      </c>
    </row>
    <row r="26" ht="22" customHeight="1">
      <c r="B26" s="8" t="inlineStr">
        <is>
          <t>REQ/2025/0022</t>
        </is>
      </c>
      <c r="C26" s="9" t="inlineStr"/>
      <c r="D26" s="9" t="inlineStr"/>
      <c r="E26" s="9" t="inlineStr"/>
      <c r="F26" s="10" t="inlineStr"/>
      <c r="G26" s="10" t="inlineStr"/>
      <c r="H26" s="10" t="inlineStr"/>
      <c r="I26" s="10" t="inlineStr">
        <is>
          <t>1</t>
        </is>
      </c>
      <c r="J26" s="10" t="inlineStr"/>
      <c r="K26" s="10" t="inlineStr">
        <is>
          <t>M</t>
        </is>
      </c>
    </row>
    <row r="27" ht="22" customHeight="1">
      <c r="B27" s="14" t="inlineStr">
        <is>
          <t>REQ/2025/0023</t>
        </is>
      </c>
      <c r="C27" s="15" t="inlineStr"/>
      <c r="D27" s="15" t="inlineStr"/>
      <c r="E27" s="15" t="inlineStr"/>
      <c r="F27" s="16" t="inlineStr"/>
      <c r="G27" s="16" t="inlineStr"/>
      <c r="H27" s="16" t="inlineStr"/>
      <c r="I27" s="16" t="inlineStr">
        <is>
          <t>1</t>
        </is>
      </c>
      <c r="J27" s="16" t="inlineStr"/>
      <c r="K27" s="16" t="inlineStr">
        <is>
          <t>L</t>
        </is>
      </c>
    </row>
    <row r="28" ht="22" customHeight="1">
      <c r="B28" s="8" t="inlineStr">
        <is>
          <t>REQ/2025/0024</t>
        </is>
      </c>
      <c r="C28" s="9" t="inlineStr"/>
      <c r="D28" s="9" t="inlineStr"/>
      <c r="E28" s="9" t="inlineStr"/>
      <c r="F28" s="10" t="inlineStr"/>
      <c r="G28" s="10" t="inlineStr"/>
      <c r="H28" s="10" t="inlineStr"/>
      <c r="I28" s="10" t="inlineStr">
        <is>
          <t>1</t>
        </is>
      </c>
      <c r="J28" s="10" t="inlineStr"/>
      <c r="K28" s="10" t="inlineStr">
        <is>
          <t>H</t>
        </is>
      </c>
    </row>
    <row r="29" ht="22" customHeight="1"/>
    <row r="30" ht="22" customHeight="1">
      <c r="B30" s="38" t="inlineStr">
        <is>
          <t>TOTALS</t>
        </is>
      </c>
      <c r="C30" s="39">
        <f>IFERROR(SUM(C5:C28),"")</f>
        <v/>
      </c>
      <c r="D30" s="39">
        <f>IFERROR(SUM(D5:D28),"")</f>
        <v/>
      </c>
      <c r="E30" s="39">
        <f>IFERROR(SUM(E5:E28),"")</f>
        <v/>
      </c>
      <c r="F30" s="39">
        <f>IFERROR(SUM(F5:F28),"")</f>
        <v/>
      </c>
      <c r="G30" s="39">
        <f>IFERROR(SUM(G5:G28),"")</f>
        <v/>
      </c>
      <c r="H30" s="39">
        <f>IFERROR(SUM(H5:H28),"")</f>
        <v/>
      </c>
      <c r="I30" s="39">
        <f>IFERROR(SUM(I5:I28),"")</f>
        <v/>
      </c>
      <c r="J30" s="39">
        <f>IFERROR(SUM(J5:J28),"")</f>
        <v/>
      </c>
      <c r="K30" s="39">
        <f>IFERROR(SUM(K5:K28),"")</f>
        <v/>
      </c>
    </row>
    <row r="31" ht="22" customHeight="1"/>
    <row r="32" ht="24" customHeight="1">
      <c r="B32" s="18" t="inlineStr">
        <is>
          <t>DEPARTMENT-WISE REQUISITION SUMMARY</t>
        </is>
      </c>
    </row>
    <row r="33" ht="22" customHeight="1">
      <c r="B33" s="19" t="inlineStr">
        <is>
          <t>Department</t>
        </is>
      </c>
      <c r="C33" s="19" t="inlineStr">
        <is>
          <t>Books Requested</t>
        </is>
      </c>
      <c r="D33" s="19" t="inlineStr">
        <is>
          <t>No. of Titles</t>
        </is>
      </c>
      <c r="E33" s="19" t="inlineStr">
        <is>
          <t>Est. Budget (₹)</t>
        </is>
      </c>
      <c r="F33" s="19" t="inlineStr">
        <is>
          <t>Approved</t>
        </is>
      </c>
      <c r="G33" s="19" t="inlineStr">
        <is>
          <t>Rejected</t>
        </is>
      </c>
      <c r="H33" s="19" t="inlineStr">
        <is>
          <t>Pending Review</t>
        </is>
      </c>
    </row>
    <row r="34" ht="22" customHeight="1">
      <c r="B34" s="35" t="inlineStr">
        <is>
          <t>CSE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40" t="n"/>
      <c r="J34" s="40" t="n"/>
      <c r="K34" s="40" t="n"/>
    </row>
    <row r="35" ht="22" customHeight="1">
      <c r="B35" s="28" t="inlineStr">
        <is>
          <t>ECE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41" t="n"/>
      <c r="J35" s="41" t="n"/>
      <c r="K35" s="41" t="n"/>
    </row>
    <row r="36">
      <c r="B36" s="35" t="inlineStr">
        <is>
          <t>EEE</t>
        </is>
      </c>
      <c r="C36" s="20" t="inlineStr"/>
      <c r="D36" s="20" t="inlineStr"/>
      <c r="E36" s="20" t="inlineStr"/>
      <c r="F36" s="20" t="inlineStr"/>
      <c r="G36" s="20" t="inlineStr"/>
      <c r="H36" s="20" t="inlineStr"/>
      <c r="I36" s="40" t="n"/>
      <c r="J36" s="40" t="n"/>
      <c r="K36" s="40" t="n"/>
    </row>
    <row r="37">
      <c r="B37" s="28" t="inlineStr">
        <is>
          <t>MECH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41" t="n"/>
      <c r="J37" s="41" t="n"/>
      <c r="K37" s="41" t="n"/>
    </row>
    <row r="38">
      <c r="B38" s="35" t="inlineStr">
        <is>
          <t>CIVIL</t>
        </is>
      </c>
      <c r="C38" s="20" t="inlineStr"/>
      <c r="D38" s="20" t="inlineStr"/>
      <c r="E38" s="20" t="inlineStr"/>
      <c r="F38" s="20" t="inlineStr"/>
      <c r="G38" s="20" t="inlineStr"/>
      <c r="H38" s="20" t="inlineStr"/>
      <c r="I38" s="40" t="n"/>
      <c r="J38" s="40" t="n"/>
      <c r="K38" s="40" t="n"/>
    </row>
    <row r="39">
      <c r="B39" s="28" t="inlineStr">
        <is>
          <t>S&amp;H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41" t="n"/>
      <c r="J39" s="41" t="n"/>
      <c r="K39" s="41" t="n"/>
    </row>
    <row r="40">
      <c r="B40" s="35" t="inlineStr">
        <is>
          <t>MBA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40" t="n"/>
      <c r="J40" s="40" t="n"/>
      <c r="K40" s="40" t="n"/>
    </row>
    <row r="41">
      <c r="B41" s="28" t="inlineStr">
        <is>
          <t>MCA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41" t="n"/>
      <c r="J41" s="41" t="n"/>
      <c r="K41" s="41" t="n"/>
    </row>
    <row r="42">
      <c r="B42" s="35" t="inlineStr">
        <is>
          <t>Library Self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40" t="n"/>
      <c r="J42" s="40" t="n"/>
      <c r="K42" s="40" t="n"/>
    </row>
  </sheetData>
  <mergeCells count="3">
    <mergeCell ref="B32:K32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LIB-03: BOOK PROCUREMENT &amp; PURCHASE REGISTER</t>
        </is>
      </c>
    </row>
    <row r="3" ht="25" customHeight="1">
      <c r="B3" s="2" t="inlineStr">
        <is>
          <t>A.Y.: _______  Vendor / Supplier: ___________________  Purchase Order Ref.: _______  Finance Officer: ___________________</t>
        </is>
      </c>
    </row>
    <row r="4" ht="25" customHeight="1">
      <c r="B4" s="13" t="inlineStr">
        <is>
          <t>PO
Ref.</t>
        </is>
      </c>
      <c r="C4" s="13" t="inlineStr">
        <is>
          <t>Title of Book</t>
        </is>
      </c>
      <c r="D4" s="13" t="inlineStr">
        <is>
          <t>Author(s)</t>
        </is>
      </c>
      <c r="E4" s="13" t="inlineStr">
        <is>
          <t>Publisher</t>
        </is>
      </c>
      <c r="F4" s="13" t="inlineStr">
        <is>
          <t>ISBN</t>
        </is>
      </c>
      <c r="G4" s="13" t="inlineStr">
        <is>
          <t>Copies
Ordered</t>
        </is>
      </c>
      <c r="H4" s="13" t="inlineStr">
        <is>
          <t>List
Price (₹)</t>
        </is>
      </c>
      <c r="I4" s="13" t="inlineStr">
        <is>
          <t>Discount
%</t>
        </is>
      </c>
      <c r="J4" s="13" t="inlineStr">
        <is>
          <t>Net Price
(₹)</t>
        </is>
      </c>
      <c r="K4" s="13" t="inlineStr">
        <is>
          <t>Date
Received</t>
        </is>
      </c>
      <c r="L4" s="13" t="inlineStr">
        <is>
          <t>Condition</t>
        </is>
      </c>
    </row>
    <row r="5" ht="22" customHeight="1">
      <c r="B5" s="14" t="inlineStr">
        <is>
          <t>PO/2024/0001</t>
        </is>
      </c>
      <c r="C5" s="15" t="inlineStr"/>
      <c r="D5" s="15" t="inlineStr"/>
      <c r="E5" s="15" t="inlineStr"/>
      <c r="F5" s="16" t="inlineStr"/>
      <c r="G5" s="16" t="inlineStr">
        <is>
          <t>1</t>
        </is>
      </c>
      <c r="H5" s="16" t="inlineStr"/>
      <c r="I5" s="16" t="inlineStr"/>
      <c r="J5" s="16">
        <f>IFERROR(ROUND(H5*(1-I5/100),2),"")</f>
        <v/>
      </c>
      <c r="K5" s="16" t="inlineStr"/>
      <c r="L5" s="16" t="inlineStr">
        <is>
          <t>Good</t>
        </is>
      </c>
    </row>
    <row r="6" ht="22" customHeight="1">
      <c r="B6" s="8" t="inlineStr">
        <is>
          <t>PO/2024/0002</t>
        </is>
      </c>
      <c r="C6" s="9" t="inlineStr"/>
      <c r="D6" s="9" t="inlineStr"/>
      <c r="E6" s="9" t="inlineStr"/>
      <c r="F6" s="10" t="inlineStr"/>
      <c r="G6" s="10" t="inlineStr">
        <is>
          <t>1</t>
        </is>
      </c>
      <c r="H6" s="10" t="inlineStr"/>
      <c r="I6" s="10" t="inlineStr"/>
      <c r="J6" s="10">
        <f>IFERROR(ROUND(H6*(1-I6/100),2),"")</f>
        <v/>
      </c>
      <c r="K6" s="10" t="inlineStr"/>
      <c r="L6" s="10" t="inlineStr">
        <is>
          <t>Good</t>
        </is>
      </c>
    </row>
    <row r="7" ht="22" customHeight="1">
      <c r="B7" s="14" t="inlineStr">
        <is>
          <t>PO/2024/0003</t>
        </is>
      </c>
      <c r="C7" s="15" t="inlineStr"/>
      <c r="D7" s="15" t="inlineStr"/>
      <c r="E7" s="15" t="inlineStr"/>
      <c r="F7" s="16" t="inlineStr"/>
      <c r="G7" s="16" t="inlineStr">
        <is>
          <t>1</t>
        </is>
      </c>
      <c r="H7" s="16" t="inlineStr"/>
      <c r="I7" s="16" t="inlineStr"/>
      <c r="J7" s="16">
        <f>IFERROR(ROUND(H7*(1-I7/100),2),"")</f>
        <v/>
      </c>
      <c r="K7" s="16" t="inlineStr"/>
      <c r="L7" s="16" t="inlineStr">
        <is>
          <t>Good</t>
        </is>
      </c>
    </row>
    <row r="8" ht="22" customHeight="1">
      <c r="B8" s="8" t="inlineStr">
        <is>
          <t>PO/2024/0004</t>
        </is>
      </c>
      <c r="C8" s="9" t="inlineStr"/>
      <c r="D8" s="9" t="inlineStr"/>
      <c r="E8" s="9" t="inlineStr"/>
      <c r="F8" s="10" t="inlineStr"/>
      <c r="G8" s="10" t="inlineStr">
        <is>
          <t>1</t>
        </is>
      </c>
      <c r="H8" s="10" t="inlineStr"/>
      <c r="I8" s="10" t="inlineStr"/>
      <c r="J8" s="10">
        <f>IFERROR(ROUND(H8*(1-I8/100),2),"")</f>
        <v/>
      </c>
      <c r="K8" s="10" t="inlineStr"/>
      <c r="L8" s="10" t="inlineStr">
        <is>
          <t>Good</t>
        </is>
      </c>
    </row>
    <row r="9" ht="22" customHeight="1">
      <c r="B9" s="14" t="inlineStr">
        <is>
          <t>PO/2024/0005</t>
        </is>
      </c>
      <c r="C9" s="15" t="inlineStr"/>
      <c r="D9" s="15" t="inlineStr"/>
      <c r="E9" s="15" t="inlineStr"/>
      <c r="F9" s="16" t="inlineStr"/>
      <c r="G9" s="16" t="inlineStr">
        <is>
          <t>1</t>
        </is>
      </c>
      <c r="H9" s="16" t="inlineStr"/>
      <c r="I9" s="16" t="inlineStr"/>
      <c r="J9" s="16">
        <f>IFERROR(ROUND(H9*(1-I9/100),2),"")</f>
        <v/>
      </c>
      <c r="K9" s="16" t="inlineStr"/>
      <c r="L9" s="16" t="inlineStr">
        <is>
          <t>Good</t>
        </is>
      </c>
    </row>
    <row r="10" ht="22" customHeight="1">
      <c r="B10" s="8" t="inlineStr">
        <is>
          <t>PO/2024/0006</t>
        </is>
      </c>
      <c r="C10" s="9" t="inlineStr"/>
      <c r="D10" s="9" t="inlineStr"/>
      <c r="E10" s="9" t="inlineStr"/>
      <c r="F10" s="10" t="inlineStr"/>
      <c r="G10" s="10" t="inlineStr">
        <is>
          <t>1</t>
        </is>
      </c>
      <c r="H10" s="10" t="inlineStr"/>
      <c r="I10" s="10" t="inlineStr"/>
      <c r="J10" s="10">
        <f>IFERROR(ROUND(H10*(1-I10/100),2),"")</f>
        <v/>
      </c>
      <c r="K10" s="10" t="inlineStr"/>
      <c r="L10" s="10" t="inlineStr">
        <is>
          <t>Good</t>
        </is>
      </c>
    </row>
    <row r="11" ht="22" customHeight="1">
      <c r="B11" s="14" t="inlineStr">
        <is>
          <t>PO/2024/0007</t>
        </is>
      </c>
      <c r="C11" s="15" t="inlineStr"/>
      <c r="D11" s="15" t="inlineStr"/>
      <c r="E11" s="15" t="inlineStr"/>
      <c r="F11" s="16" t="inlineStr"/>
      <c r="G11" s="16" t="inlineStr">
        <is>
          <t>1</t>
        </is>
      </c>
      <c r="H11" s="16" t="inlineStr"/>
      <c r="I11" s="16" t="inlineStr"/>
      <c r="J11" s="16">
        <f>IFERROR(ROUND(H11*(1-I11/100),2),"")</f>
        <v/>
      </c>
      <c r="K11" s="16" t="inlineStr"/>
      <c r="L11" s="16" t="inlineStr">
        <is>
          <t>Good</t>
        </is>
      </c>
    </row>
    <row r="12" ht="22" customHeight="1">
      <c r="B12" s="8" t="inlineStr">
        <is>
          <t>PO/2024/0008</t>
        </is>
      </c>
      <c r="C12" s="9" t="inlineStr"/>
      <c r="D12" s="9" t="inlineStr"/>
      <c r="E12" s="9" t="inlineStr"/>
      <c r="F12" s="10" t="inlineStr"/>
      <c r="G12" s="10" t="inlineStr">
        <is>
          <t>1</t>
        </is>
      </c>
      <c r="H12" s="10" t="inlineStr"/>
      <c r="I12" s="10" t="inlineStr"/>
      <c r="J12" s="10">
        <f>IFERROR(ROUND(H12*(1-I12/100),2),"")</f>
        <v/>
      </c>
      <c r="K12" s="10" t="inlineStr"/>
      <c r="L12" s="10" t="inlineStr">
        <is>
          <t>Good</t>
        </is>
      </c>
    </row>
    <row r="13" ht="22" customHeight="1">
      <c r="B13" s="14" t="inlineStr">
        <is>
          <t>PO/2024/0009</t>
        </is>
      </c>
      <c r="C13" s="15" t="inlineStr"/>
      <c r="D13" s="15" t="inlineStr"/>
      <c r="E13" s="15" t="inlineStr"/>
      <c r="F13" s="16" t="inlineStr"/>
      <c r="G13" s="16" t="inlineStr">
        <is>
          <t>1</t>
        </is>
      </c>
      <c r="H13" s="16" t="inlineStr"/>
      <c r="I13" s="16" t="inlineStr"/>
      <c r="J13" s="16">
        <f>IFERROR(ROUND(H13*(1-I13/100),2),"")</f>
        <v/>
      </c>
      <c r="K13" s="16" t="inlineStr"/>
      <c r="L13" s="16" t="inlineStr">
        <is>
          <t>Good</t>
        </is>
      </c>
    </row>
    <row r="14" ht="22" customHeight="1">
      <c r="B14" s="8" t="inlineStr">
        <is>
          <t>PO/2024/0010</t>
        </is>
      </c>
      <c r="C14" s="9" t="inlineStr"/>
      <c r="D14" s="9" t="inlineStr"/>
      <c r="E14" s="9" t="inlineStr"/>
      <c r="F14" s="10" t="inlineStr"/>
      <c r="G14" s="10" t="inlineStr">
        <is>
          <t>1</t>
        </is>
      </c>
      <c r="H14" s="10" t="inlineStr"/>
      <c r="I14" s="10" t="inlineStr"/>
      <c r="J14" s="10">
        <f>IFERROR(ROUND(H14*(1-I14/100),2),"")</f>
        <v/>
      </c>
      <c r="K14" s="10" t="inlineStr"/>
      <c r="L14" s="10" t="inlineStr">
        <is>
          <t>Good</t>
        </is>
      </c>
    </row>
    <row r="15" ht="22" customHeight="1">
      <c r="B15" s="14" t="inlineStr">
        <is>
          <t>PO/2024/0011</t>
        </is>
      </c>
      <c r="C15" s="15" t="inlineStr"/>
      <c r="D15" s="15" t="inlineStr"/>
      <c r="E15" s="15" t="inlineStr"/>
      <c r="F15" s="16" t="inlineStr"/>
      <c r="G15" s="16" t="inlineStr">
        <is>
          <t>1</t>
        </is>
      </c>
      <c r="H15" s="16" t="inlineStr"/>
      <c r="I15" s="16" t="inlineStr"/>
      <c r="J15" s="16">
        <f>IFERROR(ROUND(H15*(1-I15/100),2),"")</f>
        <v/>
      </c>
      <c r="K15" s="16" t="inlineStr"/>
      <c r="L15" s="16" t="inlineStr">
        <is>
          <t>Good</t>
        </is>
      </c>
    </row>
    <row r="16" ht="22" customHeight="1">
      <c r="B16" s="8" t="inlineStr">
        <is>
          <t>PO/2025/0012</t>
        </is>
      </c>
      <c r="C16" s="9" t="inlineStr"/>
      <c r="D16" s="9" t="inlineStr"/>
      <c r="E16" s="9" t="inlineStr"/>
      <c r="F16" s="10" t="inlineStr"/>
      <c r="G16" s="10" t="inlineStr">
        <is>
          <t>1</t>
        </is>
      </c>
      <c r="H16" s="10" t="inlineStr"/>
      <c r="I16" s="10" t="inlineStr"/>
      <c r="J16" s="10">
        <f>IFERROR(ROUND(H16*(1-I16/100),2),"")</f>
        <v/>
      </c>
      <c r="K16" s="10" t="inlineStr"/>
      <c r="L16" s="10" t="inlineStr">
        <is>
          <t>Good</t>
        </is>
      </c>
    </row>
    <row r="17" ht="22" customHeight="1">
      <c r="B17" s="14" t="inlineStr">
        <is>
          <t>PO/2025/0013</t>
        </is>
      </c>
      <c r="C17" s="15" t="inlineStr"/>
      <c r="D17" s="15" t="inlineStr"/>
      <c r="E17" s="15" t="inlineStr"/>
      <c r="F17" s="16" t="inlineStr"/>
      <c r="G17" s="16" t="inlineStr">
        <is>
          <t>1</t>
        </is>
      </c>
      <c r="H17" s="16" t="inlineStr"/>
      <c r="I17" s="16" t="inlineStr"/>
      <c r="J17" s="16">
        <f>IFERROR(ROUND(H17*(1-I17/100),2),"")</f>
        <v/>
      </c>
      <c r="K17" s="16" t="inlineStr"/>
      <c r="L17" s="16" t="inlineStr">
        <is>
          <t>Good</t>
        </is>
      </c>
    </row>
    <row r="18" ht="22" customHeight="1">
      <c r="B18" s="8" t="inlineStr">
        <is>
          <t>PO/2025/0014</t>
        </is>
      </c>
      <c r="C18" s="9" t="inlineStr"/>
      <c r="D18" s="9" t="inlineStr"/>
      <c r="E18" s="9" t="inlineStr"/>
      <c r="F18" s="10" t="inlineStr"/>
      <c r="G18" s="10" t="inlineStr">
        <is>
          <t>1</t>
        </is>
      </c>
      <c r="H18" s="10" t="inlineStr"/>
      <c r="I18" s="10" t="inlineStr"/>
      <c r="J18" s="10">
        <f>IFERROR(ROUND(H18*(1-I18/100),2),"")</f>
        <v/>
      </c>
      <c r="K18" s="10" t="inlineStr"/>
      <c r="L18" s="10" t="inlineStr">
        <is>
          <t>Good</t>
        </is>
      </c>
    </row>
    <row r="19" ht="22" customHeight="1">
      <c r="B19" s="14" t="inlineStr">
        <is>
          <t>PO/2025/0015</t>
        </is>
      </c>
      <c r="C19" s="15" t="inlineStr"/>
      <c r="D19" s="15" t="inlineStr"/>
      <c r="E19" s="15" t="inlineStr"/>
      <c r="F19" s="16" t="inlineStr"/>
      <c r="G19" s="16" t="inlineStr">
        <is>
          <t>1</t>
        </is>
      </c>
      <c r="H19" s="16" t="inlineStr"/>
      <c r="I19" s="16" t="inlineStr"/>
      <c r="J19" s="16">
        <f>IFERROR(ROUND(H19*(1-I19/100),2),"")</f>
        <v/>
      </c>
      <c r="K19" s="16" t="inlineStr"/>
      <c r="L19" s="16" t="inlineStr">
        <is>
          <t>Good</t>
        </is>
      </c>
    </row>
    <row r="20" ht="22" customHeight="1">
      <c r="B20" s="8" t="inlineStr">
        <is>
          <t>PO/2025/0016</t>
        </is>
      </c>
      <c r="C20" s="9" t="inlineStr"/>
      <c r="D20" s="9" t="inlineStr"/>
      <c r="E20" s="9" t="inlineStr"/>
      <c r="F20" s="10" t="inlineStr"/>
      <c r="G20" s="10" t="inlineStr">
        <is>
          <t>1</t>
        </is>
      </c>
      <c r="H20" s="10" t="inlineStr"/>
      <c r="I20" s="10" t="inlineStr"/>
      <c r="J20" s="10">
        <f>IFERROR(ROUND(H20*(1-I20/100),2),"")</f>
        <v/>
      </c>
      <c r="K20" s="10" t="inlineStr"/>
      <c r="L20" s="10" t="inlineStr">
        <is>
          <t>Good</t>
        </is>
      </c>
    </row>
    <row r="21" ht="22" customHeight="1">
      <c r="B21" s="14" t="inlineStr">
        <is>
          <t>PO/2025/0017</t>
        </is>
      </c>
      <c r="C21" s="15" t="inlineStr"/>
      <c r="D21" s="15" t="inlineStr"/>
      <c r="E21" s="15" t="inlineStr"/>
      <c r="F21" s="16" t="inlineStr"/>
      <c r="G21" s="16" t="inlineStr">
        <is>
          <t>1</t>
        </is>
      </c>
      <c r="H21" s="16" t="inlineStr"/>
      <c r="I21" s="16" t="inlineStr"/>
      <c r="J21" s="16">
        <f>IFERROR(ROUND(H21*(1-I21/100),2),"")</f>
        <v/>
      </c>
      <c r="K21" s="16" t="inlineStr"/>
      <c r="L21" s="16" t="inlineStr">
        <is>
          <t>Good</t>
        </is>
      </c>
    </row>
    <row r="22" ht="22" customHeight="1">
      <c r="B22" s="8" t="inlineStr">
        <is>
          <t>PO/2025/0018</t>
        </is>
      </c>
      <c r="C22" s="9" t="inlineStr"/>
      <c r="D22" s="9" t="inlineStr"/>
      <c r="E22" s="9" t="inlineStr"/>
      <c r="F22" s="10" t="inlineStr"/>
      <c r="G22" s="10" t="inlineStr">
        <is>
          <t>1</t>
        </is>
      </c>
      <c r="H22" s="10" t="inlineStr"/>
      <c r="I22" s="10" t="inlineStr"/>
      <c r="J22" s="10">
        <f>IFERROR(ROUND(H22*(1-I22/100),2),"")</f>
        <v/>
      </c>
      <c r="K22" s="10" t="inlineStr"/>
      <c r="L22" s="10" t="inlineStr">
        <is>
          <t>Good</t>
        </is>
      </c>
    </row>
    <row r="23" ht="22" customHeight="1">
      <c r="B23" s="14" t="inlineStr">
        <is>
          <t>PO/2025/0019</t>
        </is>
      </c>
      <c r="C23" s="15" t="inlineStr"/>
      <c r="D23" s="15" t="inlineStr"/>
      <c r="E23" s="15" t="inlineStr"/>
      <c r="F23" s="16" t="inlineStr"/>
      <c r="G23" s="16" t="inlineStr">
        <is>
          <t>1</t>
        </is>
      </c>
      <c r="H23" s="16" t="inlineStr"/>
      <c r="I23" s="16" t="inlineStr"/>
      <c r="J23" s="16">
        <f>IFERROR(ROUND(H23*(1-I23/100),2),"")</f>
        <v/>
      </c>
      <c r="K23" s="16" t="inlineStr"/>
      <c r="L23" s="16" t="inlineStr">
        <is>
          <t>Good</t>
        </is>
      </c>
    </row>
    <row r="24" ht="22" customHeight="1">
      <c r="B24" s="8" t="inlineStr">
        <is>
          <t>PO/2025/0020</t>
        </is>
      </c>
      <c r="C24" s="9" t="inlineStr"/>
      <c r="D24" s="9" t="inlineStr"/>
      <c r="E24" s="9" t="inlineStr"/>
      <c r="F24" s="10" t="inlineStr"/>
      <c r="G24" s="10" t="inlineStr">
        <is>
          <t>1</t>
        </is>
      </c>
      <c r="H24" s="10" t="inlineStr"/>
      <c r="I24" s="10" t="inlineStr"/>
      <c r="J24" s="10">
        <f>IFERROR(ROUND(H24*(1-I24/100),2),"")</f>
        <v/>
      </c>
      <c r="K24" s="10" t="inlineStr"/>
      <c r="L24" s="10" t="inlineStr">
        <is>
          <t>Good</t>
        </is>
      </c>
    </row>
    <row r="25" ht="22" customHeight="1">
      <c r="B25" s="14" t="inlineStr">
        <is>
          <t>PO/2025/0021</t>
        </is>
      </c>
      <c r="C25" s="15" t="inlineStr"/>
      <c r="D25" s="15" t="inlineStr"/>
      <c r="E25" s="15" t="inlineStr"/>
      <c r="F25" s="16" t="inlineStr"/>
      <c r="G25" s="16" t="inlineStr">
        <is>
          <t>1</t>
        </is>
      </c>
      <c r="H25" s="16" t="inlineStr"/>
      <c r="I25" s="16" t="inlineStr"/>
      <c r="J25" s="16">
        <f>IFERROR(ROUND(H25*(1-I25/100),2),"")</f>
        <v/>
      </c>
      <c r="K25" s="16" t="inlineStr"/>
      <c r="L25" s="16" t="inlineStr">
        <is>
          <t>Good</t>
        </is>
      </c>
    </row>
    <row r="26" ht="22" customHeight="1">
      <c r="B26" s="8" t="inlineStr">
        <is>
          <t>PO/2025/0022</t>
        </is>
      </c>
      <c r="C26" s="9" t="inlineStr"/>
      <c r="D26" s="9" t="inlineStr"/>
      <c r="E26" s="9" t="inlineStr"/>
      <c r="F26" s="10" t="inlineStr"/>
      <c r="G26" s="10" t="inlineStr">
        <is>
          <t>1</t>
        </is>
      </c>
      <c r="H26" s="10" t="inlineStr"/>
      <c r="I26" s="10" t="inlineStr"/>
      <c r="J26" s="10">
        <f>IFERROR(ROUND(H26*(1-I26/100),2),"")</f>
        <v/>
      </c>
      <c r="K26" s="10" t="inlineStr"/>
      <c r="L26" s="10" t="inlineStr">
        <is>
          <t>Good</t>
        </is>
      </c>
    </row>
    <row r="27" ht="22" customHeight="1"/>
    <row r="28" ht="24" customHeight="1">
      <c r="B28" s="18" t="inlineStr">
        <is>
          <t>PURCHASE ORDER SUMMARY</t>
        </is>
      </c>
    </row>
    <row r="29" ht="22" customHeight="1">
      <c r="B29" s="19" t="inlineStr">
        <is>
          <t>Vendor</t>
        </is>
      </c>
      <c r="C29" s="19" t="inlineStr">
        <is>
          <t>PO No.</t>
        </is>
      </c>
      <c r="D29" s="19" t="inlineStr">
        <is>
          <t>PO Date</t>
        </is>
      </c>
      <c r="E29" s="19" t="inlineStr">
        <is>
          <t>Total Titles</t>
        </is>
      </c>
      <c r="F29" s="19" t="inlineStr">
        <is>
          <t>Total Copies</t>
        </is>
      </c>
      <c r="G29" s="19" t="inlineStr">
        <is>
          <t>List Value
(₹)</t>
        </is>
      </c>
      <c r="H29" s="19" t="inlineStr">
        <is>
          <t>Discount
%</t>
        </is>
      </c>
      <c r="I29" s="19" t="inlineStr">
        <is>
          <t>Net Value
(₹)</t>
        </is>
      </c>
      <c r="J29" s="19" t="inlineStr">
        <is>
          <t>Received</t>
        </is>
      </c>
      <c r="K29" s="19" t="inlineStr">
        <is>
          <t>Pending</t>
        </is>
      </c>
      <c r="L29" s="19" t="inlineStr">
        <is>
          <t>Invoice Status</t>
        </is>
      </c>
    </row>
    <row r="30" ht="22" customHeight="1"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</row>
    <row r="31" ht="22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22" customHeight="1"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</row>
    <row r="33" ht="22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22" customHeight="1"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</sheetData>
  <mergeCells count="3">
    <mergeCell ref="B2:L2"/>
    <mergeCell ref="B28:L28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LIB-04: BOOKS ACCESSIONED REGISTER</t>
        </is>
      </c>
    </row>
    <row r="3" ht="20" customHeight="1">
      <c r="B3" s="17" t="inlineStr">
        <is>
          <t>The Accession Register is the primary legal record of the library collection. Every book / resource must be entered on receipt. Maintain in duplicate (physical + digital).</t>
        </is>
      </c>
    </row>
    <row r="4" ht="25" customHeight="1">
      <c r="B4" s="13" t="inlineStr">
        <is>
          <t>Accession
No.</t>
        </is>
      </c>
      <c r="C4" s="13" t="inlineStr">
        <is>
          <t>Title of Book</t>
        </is>
      </c>
      <c r="D4" s="13" t="inlineStr">
        <is>
          <t>Author(s)</t>
        </is>
      </c>
      <c r="E4" s="13" t="inlineStr">
        <is>
          <t>Publisher</t>
        </is>
      </c>
      <c r="F4" s="13" t="inlineStr">
        <is>
          <t>Year of
Publication</t>
        </is>
      </c>
      <c r="G4" s="13" t="inlineStr">
        <is>
          <t>Edition</t>
        </is>
      </c>
      <c r="H4" s="13" t="inlineStr">
        <is>
          <t>Subject /
Classification</t>
        </is>
      </c>
      <c r="I4" s="13" t="inlineStr">
        <is>
          <t>DDC
No.</t>
        </is>
      </c>
      <c r="J4" s="13" t="inlineStr">
        <is>
          <t>Source
(Purchase/Gift)</t>
        </is>
      </c>
      <c r="K4" s="13" t="inlineStr">
        <is>
          <t>Price
(₹)</t>
        </is>
      </c>
      <c r="L4" s="13" t="inlineStr">
        <is>
          <t>Date
Added</t>
        </is>
      </c>
    </row>
    <row r="5" ht="22" customHeight="1">
      <c r="B5" s="14" t="inlineStr">
        <is>
          <t>ACC/10001</t>
        </is>
      </c>
      <c r="C5" s="15" t="inlineStr"/>
      <c r="D5" s="15" t="inlineStr"/>
      <c r="E5" s="15" t="inlineStr"/>
      <c r="F5" s="16" t="inlineStr"/>
      <c r="G5" s="16" t="inlineStr"/>
      <c r="H5" s="16" t="inlineStr"/>
      <c r="I5" s="16" t="inlineStr"/>
      <c r="J5" s="16" t="inlineStr">
        <is>
          <t>Purchase</t>
        </is>
      </c>
      <c r="K5" s="16" t="inlineStr"/>
      <c r="L5" s="16" t="inlineStr"/>
    </row>
    <row r="6" ht="22" customHeight="1">
      <c r="B6" s="8" t="inlineStr">
        <is>
          <t>ACC/10002</t>
        </is>
      </c>
      <c r="C6" s="9" t="inlineStr"/>
      <c r="D6" s="9" t="inlineStr"/>
      <c r="E6" s="9" t="inlineStr"/>
      <c r="F6" s="10" t="inlineStr"/>
      <c r="G6" s="10" t="inlineStr"/>
      <c r="H6" s="10" t="inlineStr"/>
      <c r="I6" s="10" t="inlineStr"/>
      <c r="J6" s="10" t="inlineStr">
        <is>
          <t>Gift</t>
        </is>
      </c>
      <c r="K6" s="10" t="inlineStr"/>
      <c r="L6" s="10" t="inlineStr"/>
    </row>
    <row r="7" ht="22" customHeight="1">
      <c r="B7" s="14" t="inlineStr">
        <is>
          <t>ACC/10003</t>
        </is>
      </c>
      <c r="C7" s="15" t="inlineStr"/>
      <c r="D7" s="15" t="inlineStr"/>
      <c r="E7" s="15" t="inlineStr"/>
      <c r="F7" s="16" t="inlineStr"/>
      <c r="G7" s="16" t="inlineStr"/>
      <c r="H7" s="16" t="inlineStr"/>
      <c r="I7" s="16" t="inlineStr"/>
      <c r="J7" s="16" t="inlineStr">
        <is>
          <t>Exchange</t>
        </is>
      </c>
      <c r="K7" s="16" t="inlineStr"/>
      <c r="L7" s="16" t="inlineStr"/>
    </row>
    <row r="8" ht="22" customHeight="1">
      <c r="B8" s="8" t="inlineStr">
        <is>
          <t>ACC/10004</t>
        </is>
      </c>
      <c r="C8" s="9" t="inlineStr"/>
      <c r="D8" s="9" t="inlineStr"/>
      <c r="E8" s="9" t="inlineStr"/>
      <c r="F8" s="10" t="inlineStr"/>
      <c r="G8" s="10" t="inlineStr"/>
      <c r="H8" s="10" t="inlineStr"/>
      <c r="I8" s="10" t="inlineStr"/>
      <c r="J8" s="10" t="inlineStr">
        <is>
          <t>INFLIBNET</t>
        </is>
      </c>
      <c r="K8" s="10" t="inlineStr"/>
      <c r="L8" s="10" t="inlineStr"/>
    </row>
    <row r="9" ht="22" customHeight="1">
      <c r="B9" s="14" t="inlineStr">
        <is>
          <t>ACC/10005</t>
        </is>
      </c>
      <c r="C9" s="15" t="inlineStr"/>
      <c r="D9" s="15" t="inlineStr"/>
      <c r="E9" s="15" t="inlineStr"/>
      <c r="F9" s="16" t="inlineStr"/>
      <c r="G9" s="16" t="inlineStr"/>
      <c r="H9" s="16" t="inlineStr"/>
      <c r="I9" s="16" t="inlineStr"/>
      <c r="J9" s="16" t="inlineStr">
        <is>
          <t>Purchase</t>
        </is>
      </c>
      <c r="K9" s="16" t="inlineStr"/>
      <c r="L9" s="16" t="inlineStr"/>
    </row>
    <row r="10" ht="22" customHeight="1">
      <c r="B10" s="8" t="inlineStr">
        <is>
          <t>ACC/10006</t>
        </is>
      </c>
      <c r="C10" s="9" t="inlineStr"/>
      <c r="D10" s="9" t="inlineStr"/>
      <c r="E10" s="9" t="inlineStr"/>
      <c r="F10" s="10" t="inlineStr"/>
      <c r="G10" s="10" t="inlineStr"/>
      <c r="H10" s="10" t="inlineStr"/>
      <c r="I10" s="10" t="inlineStr"/>
      <c r="J10" s="10" t="inlineStr">
        <is>
          <t>Gift</t>
        </is>
      </c>
      <c r="K10" s="10" t="inlineStr"/>
      <c r="L10" s="10" t="inlineStr"/>
    </row>
    <row r="11" ht="22" customHeight="1">
      <c r="B11" s="14" t="inlineStr">
        <is>
          <t>ACC/10007</t>
        </is>
      </c>
      <c r="C11" s="15" t="inlineStr"/>
      <c r="D11" s="15" t="inlineStr"/>
      <c r="E11" s="15" t="inlineStr"/>
      <c r="F11" s="16" t="inlineStr"/>
      <c r="G11" s="16" t="inlineStr"/>
      <c r="H11" s="16" t="inlineStr"/>
      <c r="I11" s="16" t="inlineStr"/>
      <c r="J11" s="16" t="inlineStr">
        <is>
          <t>Exchange</t>
        </is>
      </c>
      <c r="K11" s="16" t="inlineStr"/>
      <c r="L11" s="16" t="inlineStr"/>
    </row>
    <row r="12" ht="22" customHeight="1">
      <c r="B12" s="8" t="inlineStr">
        <is>
          <t>ACC/10008</t>
        </is>
      </c>
      <c r="C12" s="9" t="inlineStr"/>
      <c r="D12" s="9" t="inlineStr"/>
      <c r="E12" s="9" t="inlineStr"/>
      <c r="F12" s="10" t="inlineStr"/>
      <c r="G12" s="10" t="inlineStr"/>
      <c r="H12" s="10" t="inlineStr"/>
      <c r="I12" s="10" t="inlineStr"/>
      <c r="J12" s="10" t="inlineStr">
        <is>
          <t>INFLIBNET</t>
        </is>
      </c>
      <c r="K12" s="10" t="inlineStr"/>
      <c r="L12" s="10" t="inlineStr"/>
    </row>
    <row r="13" ht="22" customHeight="1">
      <c r="B13" s="14" t="inlineStr">
        <is>
          <t>ACC/10009</t>
        </is>
      </c>
      <c r="C13" s="15" t="inlineStr"/>
      <c r="D13" s="15" t="inlineStr"/>
      <c r="E13" s="15" t="inlineStr"/>
      <c r="F13" s="16" t="inlineStr"/>
      <c r="G13" s="16" t="inlineStr"/>
      <c r="H13" s="16" t="inlineStr"/>
      <c r="I13" s="16" t="inlineStr"/>
      <c r="J13" s="16" t="inlineStr">
        <is>
          <t>Purchase</t>
        </is>
      </c>
      <c r="K13" s="16" t="inlineStr"/>
      <c r="L13" s="16" t="inlineStr"/>
    </row>
    <row r="14" ht="22" customHeight="1">
      <c r="B14" s="8" t="inlineStr">
        <is>
          <t>ACC/10010</t>
        </is>
      </c>
      <c r="C14" s="9" t="inlineStr"/>
      <c r="D14" s="9" t="inlineStr"/>
      <c r="E14" s="9" t="inlineStr"/>
      <c r="F14" s="10" t="inlineStr"/>
      <c r="G14" s="10" t="inlineStr"/>
      <c r="H14" s="10" t="inlineStr"/>
      <c r="I14" s="10" t="inlineStr"/>
      <c r="J14" s="10" t="inlineStr">
        <is>
          <t>Gift</t>
        </is>
      </c>
      <c r="K14" s="10" t="inlineStr"/>
      <c r="L14" s="10" t="inlineStr"/>
    </row>
    <row r="15" ht="22" customHeight="1">
      <c r="B15" s="14" t="inlineStr">
        <is>
          <t>ACC/10011</t>
        </is>
      </c>
      <c r="C15" s="15" t="inlineStr"/>
      <c r="D15" s="15" t="inlineStr"/>
      <c r="E15" s="15" t="inlineStr"/>
      <c r="F15" s="16" t="inlineStr"/>
      <c r="G15" s="16" t="inlineStr"/>
      <c r="H15" s="16" t="inlineStr"/>
      <c r="I15" s="16" t="inlineStr"/>
      <c r="J15" s="16" t="inlineStr">
        <is>
          <t>Exchange</t>
        </is>
      </c>
      <c r="K15" s="16" t="inlineStr"/>
      <c r="L15" s="16" t="inlineStr"/>
    </row>
    <row r="16" ht="22" customHeight="1">
      <c r="B16" s="8" t="inlineStr">
        <is>
          <t>ACC/10012</t>
        </is>
      </c>
      <c r="C16" s="9" t="inlineStr"/>
      <c r="D16" s="9" t="inlineStr"/>
      <c r="E16" s="9" t="inlineStr"/>
      <c r="F16" s="10" t="inlineStr"/>
      <c r="G16" s="10" t="inlineStr"/>
      <c r="H16" s="10" t="inlineStr"/>
      <c r="I16" s="10" t="inlineStr"/>
      <c r="J16" s="10" t="inlineStr">
        <is>
          <t>INFLIBNET</t>
        </is>
      </c>
      <c r="K16" s="10" t="inlineStr"/>
      <c r="L16" s="10" t="inlineStr"/>
    </row>
    <row r="17" ht="22" customHeight="1">
      <c r="B17" s="14" t="inlineStr">
        <is>
          <t>ACC/10013</t>
        </is>
      </c>
      <c r="C17" s="15" t="inlineStr"/>
      <c r="D17" s="15" t="inlineStr"/>
      <c r="E17" s="15" t="inlineStr"/>
      <c r="F17" s="16" t="inlineStr"/>
      <c r="G17" s="16" t="inlineStr"/>
      <c r="H17" s="16" t="inlineStr"/>
      <c r="I17" s="16" t="inlineStr"/>
      <c r="J17" s="16" t="inlineStr">
        <is>
          <t>Purchase</t>
        </is>
      </c>
      <c r="K17" s="16" t="inlineStr"/>
      <c r="L17" s="16" t="inlineStr"/>
    </row>
    <row r="18" ht="22" customHeight="1">
      <c r="B18" s="8" t="inlineStr">
        <is>
          <t>ACC/10014</t>
        </is>
      </c>
      <c r="C18" s="9" t="inlineStr"/>
      <c r="D18" s="9" t="inlineStr"/>
      <c r="E18" s="9" t="inlineStr"/>
      <c r="F18" s="10" t="inlineStr"/>
      <c r="G18" s="10" t="inlineStr"/>
      <c r="H18" s="10" t="inlineStr"/>
      <c r="I18" s="10" t="inlineStr"/>
      <c r="J18" s="10" t="inlineStr">
        <is>
          <t>Gift</t>
        </is>
      </c>
      <c r="K18" s="10" t="inlineStr"/>
      <c r="L18" s="10" t="inlineStr"/>
    </row>
    <row r="19" ht="22" customHeight="1">
      <c r="B19" s="14" t="inlineStr">
        <is>
          <t>ACC/10015</t>
        </is>
      </c>
      <c r="C19" s="15" t="inlineStr"/>
      <c r="D19" s="15" t="inlineStr"/>
      <c r="E19" s="15" t="inlineStr"/>
      <c r="F19" s="16" t="inlineStr"/>
      <c r="G19" s="16" t="inlineStr"/>
      <c r="H19" s="16" t="inlineStr"/>
      <c r="I19" s="16" t="inlineStr"/>
      <c r="J19" s="16" t="inlineStr">
        <is>
          <t>Exchange</t>
        </is>
      </c>
      <c r="K19" s="16" t="inlineStr"/>
      <c r="L19" s="16" t="inlineStr"/>
    </row>
    <row r="20" ht="22" customHeight="1">
      <c r="B20" s="8" t="inlineStr">
        <is>
          <t>ACC/10016</t>
        </is>
      </c>
      <c r="C20" s="9" t="inlineStr"/>
      <c r="D20" s="9" t="inlineStr"/>
      <c r="E20" s="9" t="inlineStr"/>
      <c r="F20" s="10" t="inlineStr"/>
      <c r="G20" s="10" t="inlineStr"/>
      <c r="H20" s="10" t="inlineStr"/>
      <c r="I20" s="10" t="inlineStr"/>
      <c r="J20" s="10" t="inlineStr">
        <is>
          <t>INFLIBNET</t>
        </is>
      </c>
      <c r="K20" s="10" t="inlineStr"/>
      <c r="L20" s="10" t="inlineStr"/>
    </row>
    <row r="21" ht="22" customHeight="1">
      <c r="B21" s="14" t="inlineStr">
        <is>
          <t>ACC/10017</t>
        </is>
      </c>
      <c r="C21" s="15" t="inlineStr"/>
      <c r="D21" s="15" t="inlineStr"/>
      <c r="E21" s="15" t="inlineStr"/>
      <c r="F21" s="16" t="inlineStr"/>
      <c r="G21" s="16" t="inlineStr"/>
      <c r="H21" s="16" t="inlineStr"/>
      <c r="I21" s="16" t="inlineStr"/>
      <c r="J21" s="16" t="inlineStr">
        <is>
          <t>Purchase</t>
        </is>
      </c>
      <c r="K21" s="16" t="inlineStr"/>
      <c r="L21" s="16" t="inlineStr"/>
    </row>
    <row r="22" ht="22" customHeight="1">
      <c r="B22" s="8" t="inlineStr">
        <is>
          <t>ACC/10018</t>
        </is>
      </c>
      <c r="C22" s="9" t="inlineStr"/>
      <c r="D22" s="9" t="inlineStr"/>
      <c r="E22" s="9" t="inlineStr"/>
      <c r="F22" s="10" t="inlineStr"/>
      <c r="G22" s="10" t="inlineStr"/>
      <c r="H22" s="10" t="inlineStr"/>
      <c r="I22" s="10" t="inlineStr"/>
      <c r="J22" s="10" t="inlineStr">
        <is>
          <t>Gift</t>
        </is>
      </c>
      <c r="K22" s="10" t="inlineStr"/>
      <c r="L22" s="10" t="inlineStr"/>
    </row>
    <row r="23" ht="22" customHeight="1">
      <c r="B23" s="14" t="inlineStr">
        <is>
          <t>ACC/10019</t>
        </is>
      </c>
      <c r="C23" s="15" t="inlineStr"/>
      <c r="D23" s="15" t="inlineStr"/>
      <c r="E23" s="15" t="inlineStr"/>
      <c r="F23" s="16" t="inlineStr"/>
      <c r="G23" s="16" t="inlineStr"/>
      <c r="H23" s="16" t="inlineStr"/>
      <c r="I23" s="16" t="inlineStr"/>
      <c r="J23" s="16" t="inlineStr">
        <is>
          <t>Exchange</t>
        </is>
      </c>
      <c r="K23" s="16" t="inlineStr"/>
      <c r="L23" s="16" t="inlineStr"/>
    </row>
    <row r="24" ht="22" customHeight="1">
      <c r="B24" s="8" t="inlineStr">
        <is>
          <t>ACC/10020</t>
        </is>
      </c>
      <c r="C24" s="9" t="inlineStr"/>
      <c r="D24" s="9" t="inlineStr"/>
      <c r="E24" s="9" t="inlineStr"/>
      <c r="F24" s="10" t="inlineStr"/>
      <c r="G24" s="10" t="inlineStr"/>
      <c r="H24" s="10" t="inlineStr"/>
      <c r="I24" s="10" t="inlineStr"/>
      <c r="J24" s="10" t="inlineStr">
        <is>
          <t>INFLIBNET</t>
        </is>
      </c>
      <c r="K24" s="10" t="inlineStr"/>
      <c r="L24" s="10" t="inlineStr"/>
    </row>
    <row r="25" ht="22" customHeight="1">
      <c r="B25" s="14" t="inlineStr">
        <is>
          <t>ACC/10021</t>
        </is>
      </c>
      <c r="C25" s="15" t="inlineStr"/>
      <c r="D25" s="15" t="inlineStr"/>
      <c r="E25" s="15" t="inlineStr"/>
      <c r="F25" s="16" t="inlineStr"/>
      <c r="G25" s="16" t="inlineStr"/>
      <c r="H25" s="16" t="inlineStr"/>
      <c r="I25" s="16" t="inlineStr"/>
      <c r="J25" s="16" t="inlineStr">
        <is>
          <t>Purchase</t>
        </is>
      </c>
      <c r="K25" s="16" t="inlineStr"/>
      <c r="L25" s="16" t="inlineStr"/>
    </row>
    <row r="26" ht="22" customHeight="1">
      <c r="B26" s="8" t="inlineStr">
        <is>
          <t>ACC/10022</t>
        </is>
      </c>
      <c r="C26" s="9" t="inlineStr"/>
      <c r="D26" s="9" t="inlineStr"/>
      <c r="E26" s="9" t="inlineStr"/>
      <c r="F26" s="10" t="inlineStr"/>
      <c r="G26" s="10" t="inlineStr"/>
      <c r="H26" s="10" t="inlineStr"/>
      <c r="I26" s="10" t="inlineStr"/>
      <c r="J26" s="10" t="inlineStr">
        <is>
          <t>Gift</t>
        </is>
      </c>
      <c r="K26" s="10" t="inlineStr"/>
      <c r="L26" s="10" t="inlineStr"/>
    </row>
    <row r="27" ht="22" customHeight="1">
      <c r="B27" s="14" t="inlineStr">
        <is>
          <t>ACC/10023</t>
        </is>
      </c>
      <c r="C27" s="15" t="inlineStr"/>
      <c r="D27" s="15" t="inlineStr"/>
      <c r="E27" s="15" t="inlineStr"/>
      <c r="F27" s="16" t="inlineStr"/>
      <c r="G27" s="16" t="inlineStr"/>
      <c r="H27" s="16" t="inlineStr"/>
      <c r="I27" s="16" t="inlineStr"/>
      <c r="J27" s="16" t="inlineStr">
        <is>
          <t>Exchange</t>
        </is>
      </c>
      <c r="K27" s="16" t="inlineStr"/>
      <c r="L27" s="16" t="inlineStr"/>
    </row>
    <row r="28" ht="22" customHeight="1">
      <c r="B28" s="8" t="inlineStr">
        <is>
          <t>ACC/10024</t>
        </is>
      </c>
      <c r="C28" s="9" t="inlineStr"/>
      <c r="D28" s="9" t="inlineStr"/>
      <c r="E28" s="9" t="inlineStr"/>
      <c r="F28" s="10" t="inlineStr"/>
      <c r="G28" s="10" t="inlineStr"/>
      <c r="H28" s="10" t="inlineStr"/>
      <c r="I28" s="10" t="inlineStr"/>
      <c r="J28" s="10" t="inlineStr">
        <is>
          <t>INFLIBNET</t>
        </is>
      </c>
      <c r="K28" s="10" t="inlineStr"/>
      <c r="L28" s="10" t="inlineStr"/>
    </row>
    <row r="29" ht="22" customHeight="1">
      <c r="B29" s="14" t="inlineStr">
        <is>
          <t>ACC/10025</t>
        </is>
      </c>
      <c r="C29" s="15" t="inlineStr"/>
      <c r="D29" s="15" t="inlineStr"/>
      <c r="E29" s="15" t="inlineStr"/>
      <c r="F29" s="16" t="inlineStr"/>
      <c r="G29" s="16" t="inlineStr"/>
      <c r="H29" s="16" t="inlineStr"/>
      <c r="I29" s="16" t="inlineStr"/>
      <c r="J29" s="16" t="inlineStr">
        <is>
          <t>Purchase</t>
        </is>
      </c>
      <c r="K29" s="16" t="inlineStr"/>
      <c r="L29" s="16" t="inlineStr"/>
    </row>
    <row r="30" ht="22" customHeight="1">
      <c r="B30" s="8" t="inlineStr">
        <is>
          <t>ACC/10026</t>
        </is>
      </c>
      <c r="C30" s="9" t="inlineStr"/>
      <c r="D30" s="9" t="inlineStr"/>
      <c r="E30" s="9" t="inlineStr"/>
      <c r="F30" s="10" t="inlineStr"/>
      <c r="G30" s="10" t="inlineStr"/>
      <c r="H30" s="10" t="inlineStr"/>
      <c r="I30" s="10" t="inlineStr"/>
      <c r="J30" s="10" t="inlineStr">
        <is>
          <t>Gift</t>
        </is>
      </c>
      <c r="K30" s="10" t="inlineStr"/>
      <c r="L30" s="10" t="inlineStr"/>
    </row>
    <row r="31" ht="22" customHeight="1">
      <c r="B31" s="14" t="inlineStr">
        <is>
          <t>ACC/10027</t>
        </is>
      </c>
      <c r="C31" s="15" t="inlineStr"/>
      <c r="D31" s="15" t="inlineStr"/>
      <c r="E31" s="15" t="inlineStr"/>
      <c r="F31" s="16" t="inlineStr"/>
      <c r="G31" s="16" t="inlineStr"/>
      <c r="H31" s="16" t="inlineStr"/>
      <c r="I31" s="16" t="inlineStr"/>
      <c r="J31" s="16" t="inlineStr">
        <is>
          <t>Exchange</t>
        </is>
      </c>
      <c r="K31" s="16" t="inlineStr"/>
      <c r="L31" s="16" t="inlineStr"/>
    </row>
    <row r="32" ht="22" customHeight="1">
      <c r="B32" s="8" t="inlineStr">
        <is>
          <t>ACC/10028</t>
        </is>
      </c>
      <c r="C32" s="9" t="inlineStr"/>
      <c r="D32" s="9" t="inlineStr"/>
      <c r="E32" s="9" t="inlineStr"/>
      <c r="F32" s="10" t="inlineStr"/>
      <c r="G32" s="10" t="inlineStr"/>
      <c r="H32" s="10" t="inlineStr"/>
      <c r="I32" s="10" t="inlineStr"/>
      <c r="J32" s="10" t="inlineStr">
        <is>
          <t>INFLIBNET</t>
        </is>
      </c>
      <c r="K32" s="10" t="inlineStr"/>
      <c r="L32" s="10" t="inlineStr"/>
    </row>
    <row r="33" ht="22" customHeight="1">
      <c r="B33" s="14" t="inlineStr">
        <is>
          <t>ACC/10029</t>
        </is>
      </c>
      <c r="C33" s="15" t="inlineStr"/>
      <c r="D33" s="15" t="inlineStr"/>
      <c r="E33" s="15" t="inlineStr"/>
      <c r="F33" s="16" t="inlineStr"/>
      <c r="G33" s="16" t="inlineStr"/>
      <c r="H33" s="16" t="inlineStr"/>
      <c r="I33" s="16" t="inlineStr"/>
      <c r="J33" s="16" t="inlineStr">
        <is>
          <t>Purchase</t>
        </is>
      </c>
      <c r="K33" s="16" t="inlineStr"/>
      <c r="L33" s="16" t="inlineStr"/>
    </row>
    <row r="34" ht="22" customHeight="1">
      <c r="B34" s="8" t="inlineStr">
        <is>
          <t>ACC/10030</t>
        </is>
      </c>
      <c r="C34" s="9" t="inlineStr"/>
      <c r="D34" s="9" t="inlineStr"/>
      <c r="E34" s="9" t="inlineStr"/>
      <c r="F34" s="10" t="inlineStr"/>
      <c r="G34" s="10" t="inlineStr"/>
      <c r="H34" s="10" t="inlineStr"/>
      <c r="I34" s="10" t="inlineStr"/>
      <c r="J34" s="10" t="inlineStr">
        <is>
          <t>Gift</t>
        </is>
      </c>
      <c r="K34" s="10" t="inlineStr"/>
      <c r="L34" s="10" t="inlineStr"/>
    </row>
    <row r="35" ht="22" customHeight="1"/>
    <row r="36" ht="24" customHeight="1">
      <c r="B36" s="18" t="inlineStr">
        <is>
          <t>COLLECTION GROWTH SUMMARY — BY SUBJECT</t>
        </is>
      </c>
    </row>
    <row r="37" ht="22" customHeight="1">
      <c r="B37" s="19" t="inlineStr">
        <is>
          <t>Subject / Department</t>
        </is>
      </c>
      <c r="C37" s="19" t="inlineStr">
        <is>
          <t>Opening
Stock</t>
        </is>
      </c>
      <c r="D37" s="19" t="inlineStr">
        <is>
          <t>Added
This Year</t>
        </is>
      </c>
      <c r="E37" s="19" t="inlineStr">
        <is>
          <t>Withdrawn
This Year</t>
        </is>
      </c>
      <c r="F37" s="19" t="inlineStr">
        <is>
          <t>Closing
Stock</t>
        </is>
      </c>
      <c r="G37" s="19" t="inlineStr">
        <is>
          <t>% Growth</t>
        </is>
      </c>
      <c r="H37" s="19" t="inlineStr">
        <is>
          <t>Target
Addition</t>
        </is>
      </c>
      <c r="I37" s="19" t="inlineStr">
        <is>
          <t>Budget
Utilised (₹)</t>
        </is>
      </c>
    </row>
    <row r="38" ht="22" customHeight="1">
      <c r="B38" s="34" t="inlineStr">
        <is>
          <t>Engineering &amp; Technology</t>
        </is>
      </c>
      <c r="C38" s="20" t="inlineStr"/>
      <c r="D38" s="20" t="inlineStr"/>
      <c r="E38" s="20" t="inlineStr"/>
      <c r="F38" s="20">
        <f>IFERROR(C38+D38-E38,"")</f>
        <v/>
      </c>
      <c r="G38" s="20">
        <f>IFERROR(ROUND(D38/C38*100,1),"")</f>
        <v/>
      </c>
      <c r="H38" s="20" t="inlineStr"/>
      <c r="I38" s="20" t="inlineStr"/>
      <c r="J38" s="40" t="n"/>
      <c r="K38" s="40" t="n"/>
      <c r="L38" s="40" t="n"/>
    </row>
    <row r="39" ht="22" customHeight="1">
      <c r="B39" s="9" t="inlineStr">
        <is>
          <t>Sciences &amp; Mathematics</t>
        </is>
      </c>
      <c r="C39" s="10" t="inlineStr"/>
      <c r="D39" s="10" t="inlineStr"/>
      <c r="E39" s="10" t="inlineStr"/>
      <c r="F39" s="10">
        <f>IFERROR(C39+D39-E39,"")</f>
        <v/>
      </c>
      <c r="G39" s="10">
        <f>IFERROR(ROUND(D39/C39*100,1),"")</f>
        <v/>
      </c>
      <c r="H39" s="10" t="inlineStr"/>
      <c r="I39" s="10" t="inlineStr"/>
      <c r="J39" s="41" t="n"/>
      <c r="K39" s="41" t="n"/>
      <c r="L39" s="41" t="n"/>
    </row>
    <row r="40" ht="22" customHeight="1">
      <c r="B40" s="34" t="inlineStr">
        <is>
          <t>Management &amp; Commerce</t>
        </is>
      </c>
      <c r="C40" s="20" t="inlineStr"/>
      <c r="D40" s="20" t="inlineStr"/>
      <c r="E40" s="20" t="inlineStr"/>
      <c r="F40" s="20">
        <f>IFERROR(C40+D40-E40,"")</f>
        <v/>
      </c>
      <c r="G40" s="20">
        <f>IFERROR(ROUND(D40/C40*100,1),"")</f>
        <v/>
      </c>
      <c r="H40" s="20" t="inlineStr"/>
      <c r="I40" s="20" t="inlineStr"/>
      <c r="J40" s="40" t="n"/>
      <c r="K40" s="40" t="n"/>
      <c r="L40" s="40" t="n"/>
    </row>
    <row r="41" ht="22" customHeight="1">
      <c r="B41" s="9" t="inlineStr">
        <is>
          <t>Humanities &amp; Social Sciences</t>
        </is>
      </c>
      <c r="C41" s="10" t="inlineStr"/>
      <c r="D41" s="10" t="inlineStr"/>
      <c r="E41" s="10" t="inlineStr"/>
      <c r="F41" s="10">
        <f>IFERROR(C41+D41-E41,"")</f>
        <v/>
      </c>
      <c r="G41" s="10">
        <f>IFERROR(ROUND(D41/C41*100,1),"")</f>
        <v/>
      </c>
      <c r="H41" s="10" t="inlineStr"/>
      <c r="I41" s="10" t="inlineStr"/>
      <c r="J41" s="41" t="n"/>
      <c r="K41" s="41" t="n"/>
      <c r="L41" s="41" t="n"/>
    </row>
    <row r="42">
      <c r="B42" s="34" t="inlineStr">
        <is>
          <t>Reference Collection</t>
        </is>
      </c>
      <c r="C42" s="20" t="inlineStr"/>
      <c r="D42" s="20" t="inlineStr"/>
      <c r="E42" s="20" t="inlineStr"/>
      <c r="F42" s="20">
        <f>IFERROR(C42+D42-E42,"")</f>
        <v/>
      </c>
      <c r="G42" s="20">
        <f>IFERROR(ROUND(D42/C42*100,1),"")</f>
        <v/>
      </c>
      <c r="H42" s="20" t="inlineStr"/>
      <c r="I42" s="20" t="inlineStr"/>
      <c r="J42" s="40" t="n"/>
      <c r="K42" s="40" t="n"/>
      <c r="L42" s="40" t="n"/>
    </row>
    <row r="43">
      <c r="B43" s="9" t="inlineStr">
        <is>
          <t>Periodicals / Journals</t>
        </is>
      </c>
      <c r="C43" s="10" t="inlineStr"/>
      <c r="D43" s="10" t="inlineStr"/>
      <c r="E43" s="10" t="inlineStr"/>
      <c r="F43" s="10">
        <f>IFERROR(C43+D43-E43,"")</f>
        <v/>
      </c>
      <c r="G43" s="10">
        <f>IFERROR(ROUND(D43/C43*100,1),"")</f>
        <v/>
      </c>
      <c r="H43" s="10" t="inlineStr"/>
      <c r="I43" s="10" t="inlineStr"/>
      <c r="J43" s="41" t="n"/>
      <c r="K43" s="41" t="n"/>
      <c r="L43" s="41" t="n"/>
    </row>
    <row r="44">
      <c r="B44" s="34" t="inlineStr">
        <is>
          <t>e-Books</t>
        </is>
      </c>
      <c r="C44" s="20" t="inlineStr"/>
      <c r="D44" s="20" t="inlineStr"/>
      <c r="E44" s="20" t="inlineStr"/>
      <c r="F44" s="20">
        <f>IFERROR(C44+D44-E44,"")</f>
        <v/>
      </c>
      <c r="G44" s="20">
        <f>IFERROR(ROUND(D44/C44*100,1),"")</f>
        <v/>
      </c>
      <c r="H44" s="20" t="inlineStr"/>
      <c r="I44" s="20" t="inlineStr"/>
      <c r="J44" s="40" t="n"/>
      <c r="K44" s="40" t="n"/>
      <c r="L44" s="40" t="n"/>
    </row>
    <row r="45">
      <c r="B45" s="9" t="inlineStr">
        <is>
          <t>Government Publications</t>
        </is>
      </c>
      <c r="C45" s="10" t="inlineStr"/>
      <c r="D45" s="10" t="inlineStr"/>
      <c r="E45" s="10" t="inlineStr"/>
      <c r="F45" s="10">
        <f>IFERROR(C45+D45-E45,"")</f>
        <v/>
      </c>
      <c r="G45" s="10">
        <f>IFERROR(ROUND(D45/C45*100,1),"")</f>
        <v/>
      </c>
      <c r="H45" s="10" t="inlineStr"/>
      <c r="I45" s="10" t="inlineStr"/>
      <c r="J45" s="41" t="n"/>
      <c r="K45" s="41" t="n"/>
      <c r="L45" s="41" t="n"/>
    </row>
    <row r="46">
      <c r="B46" s="34" t="inlineStr">
        <is>
          <t>Theses &amp; Dissertations</t>
        </is>
      </c>
      <c r="C46" s="20" t="inlineStr"/>
      <c r="D46" s="20" t="inlineStr"/>
      <c r="E46" s="20" t="inlineStr"/>
      <c r="F46" s="20">
        <f>IFERROR(C46+D46-E46,"")</f>
        <v/>
      </c>
      <c r="G46" s="20">
        <f>IFERROR(ROUND(D46/C46*100,1),"")</f>
        <v/>
      </c>
      <c r="H46" s="20" t="inlineStr"/>
      <c r="I46" s="20" t="inlineStr"/>
      <c r="J46" s="40" t="n"/>
      <c r="K46" s="40" t="n"/>
      <c r="L46" s="40" t="n"/>
    </row>
    <row r="47">
      <c r="B47" s="26" t="inlineStr">
        <is>
          <t>TOTAL</t>
        </is>
      </c>
      <c r="C47" s="42" t="inlineStr"/>
      <c r="D47" s="42" t="inlineStr"/>
      <c r="E47" s="42" t="inlineStr"/>
      <c r="F47" s="42">
        <f>IFERROR(C47+D47-E47,"")</f>
        <v/>
      </c>
      <c r="G47" s="42">
        <f>IFERROR(ROUND(D47/C47*100,1),"")</f>
        <v/>
      </c>
      <c r="H47" s="42" t="inlineStr"/>
      <c r="I47" s="42" t="inlineStr"/>
      <c r="J47" s="43" t="n"/>
      <c r="K47" s="43" t="n"/>
      <c r="L47" s="43" t="n"/>
    </row>
  </sheetData>
  <mergeCells count="3">
    <mergeCell ref="B2:L2"/>
    <mergeCell ref="B36:L36"/>
    <mergeCell ref="B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LIB-05: PERIODICALS &amp; JOURNALS SUBSCRIPTION REGISTER</t>
        </is>
      </c>
    </row>
    <row r="3" ht="25" customHeight="1">
      <c r="B3" s="2" t="inlineStr">
        <is>
          <t>A.Y.: _______  Librarian: ___________________  Budget for Periodicals: ₹_______</t>
        </is>
      </c>
    </row>
    <row r="4" ht="25" customHeight="1">
      <c r="B4" s="13" t="inlineStr">
        <is>
          <t>Sub.
Ref.</t>
        </is>
      </c>
      <c r="C4" s="13" t="inlineStr">
        <is>
          <t>Title of Journal / Magazine</t>
        </is>
      </c>
      <c r="D4" s="13" t="inlineStr">
        <is>
          <t>Publisher /
Agency</t>
        </is>
      </c>
      <c r="E4" s="13" t="inlineStr">
        <is>
          <t>Subject
Area</t>
        </is>
      </c>
      <c r="F4" s="13" t="inlineStr">
        <is>
          <t>ISSN</t>
        </is>
      </c>
      <c r="G4" s="13" t="inlineStr">
        <is>
          <t>Frequency</t>
        </is>
      </c>
      <c r="H4" s="13" t="inlineStr">
        <is>
          <t>Format
(Print/Online)</t>
        </is>
      </c>
      <c r="I4" s="13" t="inlineStr">
        <is>
          <t>Subscription
Cost (₹)</t>
        </is>
      </c>
      <c r="J4" s="13" t="inlineStr">
        <is>
          <t>Period
(From–To)</t>
        </is>
      </c>
      <c r="K4" s="13" t="inlineStr">
        <is>
          <t>Current
Status</t>
        </is>
      </c>
    </row>
    <row r="5" ht="22" customHeight="1">
      <c r="B5" s="14" t="inlineStr">
        <is>
          <t>PER/001</t>
        </is>
      </c>
      <c r="C5" s="15" t="inlineStr"/>
      <c r="D5" s="15" t="inlineStr"/>
      <c r="E5" s="16" t="inlineStr"/>
      <c r="F5" s="16" t="inlineStr"/>
      <c r="G5" s="16" t="inlineStr">
        <is>
          <t>Monthly</t>
        </is>
      </c>
      <c r="H5" s="16" t="inlineStr">
        <is>
          <t>Print</t>
        </is>
      </c>
      <c r="I5" s="16" t="inlineStr"/>
      <c r="J5" s="16" t="inlineStr"/>
      <c r="K5" s="16" t="inlineStr">
        <is>
          <t>Active</t>
        </is>
      </c>
    </row>
    <row r="6" ht="22" customHeight="1">
      <c r="B6" s="8" t="inlineStr">
        <is>
          <t>PER/002</t>
        </is>
      </c>
      <c r="C6" s="9" t="inlineStr"/>
      <c r="D6" s="9" t="inlineStr"/>
      <c r="E6" s="10" t="inlineStr"/>
      <c r="F6" s="10" t="inlineStr"/>
      <c r="G6" s="10" t="inlineStr">
        <is>
          <t>Quarterly</t>
        </is>
      </c>
      <c r="H6" s="10" t="inlineStr">
        <is>
          <t>Print</t>
        </is>
      </c>
      <c r="I6" s="10" t="inlineStr"/>
      <c r="J6" s="10" t="inlineStr"/>
      <c r="K6" s="10" t="inlineStr">
        <is>
          <t>Active</t>
        </is>
      </c>
    </row>
    <row r="7" ht="22" customHeight="1">
      <c r="B7" s="14" t="inlineStr">
        <is>
          <t>PER/003</t>
        </is>
      </c>
      <c r="C7" s="15" t="inlineStr"/>
      <c r="D7" s="15" t="inlineStr"/>
      <c r="E7" s="16" t="inlineStr"/>
      <c r="F7" s="16" t="inlineStr"/>
      <c r="G7" s="16" t="inlineStr">
        <is>
          <t>Bi-monthly</t>
        </is>
      </c>
      <c r="H7" s="16" t="inlineStr">
        <is>
          <t>Print</t>
        </is>
      </c>
      <c r="I7" s="16" t="inlineStr"/>
      <c r="J7" s="16" t="inlineStr"/>
      <c r="K7" s="16" t="inlineStr">
        <is>
          <t>Active</t>
        </is>
      </c>
    </row>
    <row r="8" ht="22" customHeight="1">
      <c r="B8" s="8" t="inlineStr">
        <is>
          <t>PER/004</t>
        </is>
      </c>
      <c r="C8" s="9" t="inlineStr"/>
      <c r="D8" s="9" t="inlineStr"/>
      <c r="E8" s="10" t="inlineStr"/>
      <c r="F8" s="10" t="inlineStr"/>
      <c r="G8" s="10" t="inlineStr">
        <is>
          <t>Weekly</t>
        </is>
      </c>
      <c r="H8" s="10" t="inlineStr">
        <is>
          <t>Print</t>
        </is>
      </c>
      <c r="I8" s="10" t="inlineStr"/>
      <c r="J8" s="10" t="inlineStr"/>
      <c r="K8" s="10" t="inlineStr">
        <is>
          <t>Active</t>
        </is>
      </c>
    </row>
    <row r="9" ht="22" customHeight="1">
      <c r="B9" s="14" t="inlineStr">
        <is>
          <t>PER/005</t>
        </is>
      </c>
      <c r="C9" s="15" t="inlineStr"/>
      <c r="D9" s="15" t="inlineStr"/>
      <c r="E9" s="16" t="inlineStr"/>
      <c r="F9" s="16" t="inlineStr"/>
      <c r="G9" s="16" t="inlineStr">
        <is>
          <t>Annual</t>
        </is>
      </c>
      <c r="H9" s="16" t="inlineStr">
        <is>
          <t>Print</t>
        </is>
      </c>
      <c r="I9" s="16" t="inlineStr"/>
      <c r="J9" s="16" t="inlineStr"/>
      <c r="K9" s="16" t="inlineStr">
        <is>
          <t>Active</t>
        </is>
      </c>
    </row>
    <row r="10" ht="22" customHeight="1">
      <c r="B10" s="8" t="inlineStr">
        <is>
          <t>PER/006</t>
        </is>
      </c>
      <c r="C10" s="9" t="inlineStr"/>
      <c r="D10" s="9" t="inlineStr"/>
      <c r="E10" s="10" t="inlineStr"/>
      <c r="F10" s="10" t="inlineStr"/>
      <c r="G10" s="10" t="inlineStr">
        <is>
          <t>Fortnightly</t>
        </is>
      </c>
      <c r="H10" s="10" t="inlineStr">
        <is>
          <t>Print</t>
        </is>
      </c>
      <c r="I10" s="10" t="inlineStr"/>
      <c r="J10" s="10" t="inlineStr"/>
      <c r="K10" s="10" t="inlineStr">
        <is>
          <t>Active</t>
        </is>
      </c>
    </row>
    <row r="11" ht="22" customHeight="1">
      <c r="B11" s="14" t="inlineStr">
        <is>
          <t>PER/007</t>
        </is>
      </c>
      <c r="C11" s="15" t="inlineStr"/>
      <c r="D11" s="15" t="inlineStr"/>
      <c r="E11" s="16" t="inlineStr"/>
      <c r="F11" s="16" t="inlineStr"/>
      <c r="G11" s="16" t="inlineStr">
        <is>
          <t>Monthly</t>
        </is>
      </c>
      <c r="H11" s="16" t="inlineStr">
        <is>
          <t>Print</t>
        </is>
      </c>
      <c r="I11" s="16" t="inlineStr"/>
      <c r="J11" s="16" t="inlineStr"/>
      <c r="K11" s="16" t="inlineStr">
        <is>
          <t>Active</t>
        </is>
      </c>
    </row>
    <row r="12" ht="22" customHeight="1">
      <c r="B12" s="8" t="inlineStr">
        <is>
          <t>PER/008</t>
        </is>
      </c>
      <c r="C12" s="9" t="inlineStr"/>
      <c r="D12" s="9" t="inlineStr"/>
      <c r="E12" s="10" t="inlineStr"/>
      <c r="F12" s="10" t="inlineStr"/>
      <c r="G12" s="10" t="inlineStr">
        <is>
          <t>Quarterly</t>
        </is>
      </c>
      <c r="H12" s="10" t="inlineStr">
        <is>
          <t>Print</t>
        </is>
      </c>
      <c r="I12" s="10" t="inlineStr"/>
      <c r="J12" s="10" t="inlineStr"/>
      <c r="K12" s="10" t="inlineStr">
        <is>
          <t>Active</t>
        </is>
      </c>
    </row>
    <row r="13" ht="22" customHeight="1">
      <c r="B13" s="14" t="inlineStr">
        <is>
          <t>PER/009</t>
        </is>
      </c>
      <c r="C13" s="15" t="inlineStr"/>
      <c r="D13" s="15" t="inlineStr"/>
      <c r="E13" s="16" t="inlineStr"/>
      <c r="F13" s="16" t="inlineStr"/>
      <c r="G13" s="16" t="inlineStr">
        <is>
          <t>Bi-monthly</t>
        </is>
      </c>
      <c r="H13" s="16" t="inlineStr">
        <is>
          <t>Print</t>
        </is>
      </c>
      <c r="I13" s="16" t="inlineStr"/>
      <c r="J13" s="16" t="inlineStr"/>
      <c r="K13" s="16" t="inlineStr">
        <is>
          <t>Active</t>
        </is>
      </c>
    </row>
    <row r="14" ht="22" customHeight="1">
      <c r="B14" s="8" t="inlineStr">
        <is>
          <t>PER/010</t>
        </is>
      </c>
      <c r="C14" s="9" t="inlineStr"/>
      <c r="D14" s="9" t="inlineStr"/>
      <c r="E14" s="10" t="inlineStr"/>
      <c r="F14" s="10" t="inlineStr"/>
      <c r="G14" s="10" t="inlineStr">
        <is>
          <t>Weekly</t>
        </is>
      </c>
      <c r="H14" s="10" t="inlineStr">
        <is>
          <t>Print</t>
        </is>
      </c>
      <c r="I14" s="10" t="inlineStr"/>
      <c r="J14" s="10" t="inlineStr"/>
      <c r="K14" s="10" t="inlineStr">
        <is>
          <t>Active</t>
        </is>
      </c>
    </row>
    <row r="15" ht="22" customHeight="1">
      <c r="B15" s="14" t="inlineStr">
        <is>
          <t>PER/011</t>
        </is>
      </c>
      <c r="C15" s="15" t="inlineStr"/>
      <c r="D15" s="15" t="inlineStr"/>
      <c r="E15" s="16" t="inlineStr"/>
      <c r="F15" s="16" t="inlineStr"/>
      <c r="G15" s="16" t="inlineStr">
        <is>
          <t>Annual</t>
        </is>
      </c>
      <c r="H15" s="16" t="inlineStr">
        <is>
          <t>Print</t>
        </is>
      </c>
      <c r="I15" s="16" t="inlineStr"/>
      <c r="J15" s="16" t="inlineStr"/>
      <c r="K15" s="16" t="inlineStr">
        <is>
          <t>Active</t>
        </is>
      </c>
    </row>
    <row r="16" ht="22" customHeight="1">
      <c r="B16" s="8" t="inlineStr">
        <is>
          <t>PER/012</t>
        </is>
      </c>
      <c r="C16" s="9" t="inlineStr"/>
      <c r="D16" s="9" t="inlineStr"/>
      <c r="E16" s="10" t="inlineStr"/>
      <c r="F16" s="10" t="inlineStr"/>
      <c r="G16" s="10" t="inlineStr">
        <is>
          <t>Fortnightly</t>
        </is>
      </c>
      <c r="H16" s="10" t="inlineStr">
        <is>
          <t>Print</t>
        </is>
      </c>
      <c r="I16" s="10" t="inlineStr"/>
      <c r="J16" s="10" t="inlineStr"/>
      <c r="K16" s="10" t="inlineStr">
        <is>
          <t>Active</t>
        </is>
      </c>
    </row>
    <row r="17" ht="22" customHeight="1">
      <c r="B17" s="14" t="inlineStr">
        <is>
          <t>PER/013</t>
        </is>
      </c>
      <c r="C17" s="15" t="inlineStr"/>
      <c r="D17" s="15" t="inlineStr"/>
      <c r="E17" s="16" t="inlineStr"/>
      <c r="F17" s="16" t="inlineStr"/>
      <c r="G17" s="16" t="inlineStr">
        <is>
          <t>Monthly</t>
        </is>
      </c>
      <c r="H17" s="16" t="inlineStr">
        <is>
          <t>Print</t>
        </is>
      </c>
      <c r="I17" s="16" t="inlineStr"/>
      <c r="J17" s="16" t="inlineStr"/>
      <c r="K17" s="16" t="inlineStr">
        <is>
          <t>Active</t>
        </is>
      </c>
    </row>
    <row r="18" ht="22" customHeight="1">
      <c r="B18" s="8" t="inlineStr">
        <is>
          <t>PER/014</t>
        </is>
      </c>
      <c r="C18" s="9" t="inlineStr"/>
      <c r="D18" s="9" t="inlineStr"/>
      <c r="E18" s="10" t="inlineStr"/>
      <c r="F18" s="10" t="inlineStr"/>
      <c r="G18" s="10" t="inlineStr">
        <is>
          <t>Quarterly</t>
        </is>
      </c>
      <c r="H18" s="10" t="inlineStr">
        <is>
          <t>Print</t>
        </is>
      </c>
      <c r="I18" s="10" t="inlineStr"/>
      <c r="J18" s="10" t="inlineStr"/>
      <c r="K18" s="10" t="inlineStr">
        <is>
          <t>Active</t>
        </is>
      </c>
    </row>
    <row r="19" ht="22" customHeight="1">
      <c r="B19" s="14" t="inlineStr">
        <is>
          <t>PER/015</t>
        </is>
      </c>
      <c r="C19" s="15" t="inlineStr"/>
      <c r="D19" s="15" t="inlineStr"/>
      <c r="E19" s="16" t="inlineStr"/>
      <c r="F19" s="16" t="inlineStr"/>
      <c r="G19" s="16" t="inlineStr">
        <is>
          <t>Bi-monthly</t>
        </is>
      </c>
      <c r="H19" s="16" t="inlineStr">
        <is>
          <t>Print</t>
        </is>
      </c>
      <c r="I19" s="16" t="inlineStr"/>
      <c r="J19" s="16" t="inlineStr"/>
      <c r="K19" s="16" t="inlineStr">
        <is>
          <t>Active</t>
        </is>
      </c>
    </row>
    <row r="20" ht="22" customHeight="1">
      <c r="B20" s="8" t="inlineStr">
        <is>
          <t>PER/016</t>
        </is>
      </c>
      <c r="C20" s="9" t="inlineStr"/>
      <c r="D20" s="9" t="inlineStr"/>
      <c r="E20" s="10" t="inlineStr"/>
      <c r="F20" s="10" t="inlineStr"/>
      <c r="G20" s="10" t="inlineStr">
        <is>
          <t>Weekly</t>
        </is>
      </c>
      <c r="H20" s="10" t="inlineStr">
        <is>
          <t>Print</t>
        </is>
      </c>
      <c r="I20" s="10" t="inlineStr"/>
      <c r="J20" s="10" t="inlineStr"/>
      <c r="K20" s="10" t="inlineStr">
        <is>
          <t>Active</t>
        </is>
      </c>
    </row>
    <row r="21" ht="22" customHeight="1">
      <c r="B21" s="14" t="inlineStr">
        <is>
          <t>PER/017</t>
        </is>
      </c>
      <c r="C21" s="15" t="inlineStr"/>
      <c r="D21" s="15" t="inlineStr"/>
      <c r="E21" s="16" t="inlineStr"/>
      <c r="F21" s="16" t="inlineStr"/>
      <c r="G21" s="16" t="inlineStr">
        <is>
          <t>Annual</t>
        </is>
      </c>
      <c r="H21" s="16" t="inlineStr">
        <is>
          <t>Print</t>
        </is>
      </c>
      <c r="I21" s="16" t="inlineStr"/>
      <c r="J21" s="16" t="inlineStr"/>
      <c r="K21" s="16" t="inlineStr">
        <is>
          <t>Active</t>
        </is>
      </c>
    </row>
    <row r="22" ht="22" customHeight="1">
      <c r="B22" s="8" t="inlineStr">
        <is>
          <t>PER/018</t>
        </is>
      </c>
      <c r="C22" s="9" t="inlineStr"/>
      <c r="D22" s="9" t="inlineStr"/>
      <c r="E22" s="10" t="inlineStr"/>
      <c r="F22" s="10" t="inlineStr"/>
      <c r="G22" s="10" t="inlineStr">
        <is>
          <t>Fortnightly</t>
        </is>
      </c>
      <c r="H22" s="10" t="inlineStr">
        <is>
          <t>Print</t>
        </is>
      </c>
      <c r="I22" s="10" t="inlineStr"/>
      <c r="J22" s="10" t="inlineStr"/>
      <c r="K22" s="10" t="inlineStr">
        <is>
          <t>Active</t>
        </is>
      </c>
    </row>
    <row r="23" ht="22" customHeight="1">
      <c r="B23" s="14" t="inlineStr">
        <is>
          <t>PER/019</t>
        </is>
      </c>
      <c r="C23" s="15" t="inlineStr"/>
      <c r="D23" s="15" t="inlineStr"/>
      <c r="E23" s="16" t="inlineStr"/>
      <c r="F23" s="16" t="inlineStr"/>
      <c r="G23" s="16" t="inlineStr">
        <is>
          <t>Monthly</t>
        </is>
      </c>
      <c r="H23" s="16" t="inlineStr">
        <is>
          <t>Print</t>
        </is>
      </c>
      <c r="I23" s="16" t="inlineStr"/>
      <c r="J23" s="16" t="inlineStr"/>
      <c r="K23" s="16" t="inlineStr">
        <is>
          <t>Active</t>
        </is>
      </c>
    </row>
    <row r="24" ht="22" customHeight="1">
      <c r="B24" s="8" t="inlineStr">
        <is>
          <t>PER/020</t>
        </is>
      </c>
      <c r="C24" s="9" t="inlineStr"/>
      <c r="D24" s="9" t="inlineStr"/>
      <c r="E24" s="10" t="inlineStr"/>
      <c r="F24" s="10" t="inlineStr"/>
      <c r="G24" s="10" t="inlineStr">
        <is>
          <t>Quarterly</t>
        </is>
      </c>
      <c r="H24" s="10" t="inlineStr">
        <is>
          <t>Print</t>
        </is>
      </c>
      <c r="I24" s="10" t="inlineStr"/>
      <c r="J24" s="10" t="inlineStr"/>
      <c r="K24" s="10" t="inlineStr">
        <is>
          <t>Active</t>
        </is>
      </c>
    </row>
    <row r="25" ht="22" customHeight="1">
      <c r="B25" s="14" t="inlineStr">
        <is>
          <t>PER/021</t>
        </is>
      </c>
      <c r="C25" s="15" t="inlineStr"/>
      <c r="D25" s="15" t="inlineStr"/>
      <c r="E25" s="16" t="inlineStr"/>
      <c r="F25" s="16" t="inlineStr"/>
      <c r="G25" s="16" t="inlineStr">
        <is>
          <t>Bi-monthly</t>
        </is>
      </c>
      <c r="H25" s="16" t="inlineStr">
        <is>
          <t>Print</t>
        </is>
      </c>
      <c r="I25" s="16" t="inlineStr"/>
      <c r="J25" s="16" t="inlineStr"/>
      <c r="K25" s="16" t="inlineStr">
        <is>
          <t>Active</t>
        </is>
      </c>
    </row>
    <row r="26" ht="22" customHeight="1">
      <c r="B26" s="8" t="inlineStr">
        <is>
          <t>PER/022</t>
        </is>
      </c>
      <c r="C26" s="9" t="inlineStr"/>
      <c r="D26" s="9" t="inlineStr"/>
      <c r="E26" s="10" t="inlineStr"/>
      <c r="F26" s="10" t="inlineStr"/>
      <c r="G26" s="10" t="inlineStr">
        <is>
          <t>Weekly</t>
        </is>
      </c>
      <c r="H26" s="10" t="inlineStr">
        <is>
          <t>Print</t>
        </is>
      </c>
      <c r="I26" s="10" t="inlineStr"/>
      <c r="J26" s="10" t="inlineStr"/>
      <c r="K26" s="10" t="inlineStr">
        <is>
          <t>Active</t>
        </is>
      </c>
    </row>
    <row r="27" ht="22" customHeight="1"/>
    <row r="28" ht="24" customHeight="1">
      <c r="B28" s="18" t="inlineStr">
        <is>
          <t>PERIODICAL RECEIPT LOG — MONTHLY</t>
        </is>
      </c>
    </row>
    <row r="29" ht="22" customHeight="1">
      <c r="B29" s="19" t="inlineStr">
        <is>
          <t>Journal Title</t>
        </is>
      </c>
      <c r="C29" s="19" t="inlineStr">
        <is>
          <t>Jan</t>
        </is>
      </c>
      <c r="D29" s="19" t="inlineStr">
        <is>
          <t>Feb</t>
        </is>
      </c>
      <c r="E29" s="19" t="inlineStr">
        <is>
          <t>Mar</t>
        </is>
      </c>
      <c r="F29" s="19" t="inlineStr">
        <is>
          <t>Apr</t>
        </is>
      </c>
      <c r="G29" s="19" t="inlineStr">
        <is>
          <t>May</t>
        </is>
      </c>
      <c r="H29" s="19" t="inlineStr">
        <is>
          <t>Jun</t>
        </is>
      </c>
      <c r="I29" s="19" t="inlineStr">
        <is>
          <t>Jul</t>
        </is>
      </c>
      <c r="J29" s="19" t="inlineStr">
        <is>
          <t>Aug</t>
        </is>
      </c>
      <c r="K29" s="19" t="inlineStr">
        <is>
          <t>Remarks</t>
        </is>
      </c>
    </row>
    <row r="30" ht="22" customHeight="1"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</row>
    <row r="31" ht="22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2" customHeight="1"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</row>
    <row r="33" ht="22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2" customHeight="1"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  <row r="35" ht="22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LIB-06: e-RESOURCES &amp; DATABASE SUBSCRIPTION REGISTER</t>
        </is>
      </c>
    </row>
    <row r="3" ht="25" customHeight="1">
      <c r="B3" s="2" t="inlineStr">
        <is>
          <t>A.Y.: _______  Budget for e-Resources: ₹_______  Librarian: ___________________  Finance Approval: _______</t>
        </is>
      </c>
    </row>
    <row r="4" ht="25" customHeight="1">
      <c r="B4" s="13" t="inlineStr">
        <is>
          <t>Ref.</t>
        </is>
      </c>
      <c r="C4" s="13" t="inlineStr">
        <is>
          <t>Resource / Database Title</t>
        </is>
      </c>
      <c r="D4" s="13" t="inlineStr">
        <is>
          <t>Provider / Publisher</t>
        </is>
      </c>
      <c r="E4" s="13" t="inlineStr">
        <is>
          <t>Resource Type</t>
        </is>
      </c>
      <c r="F4" s="13" t="inlineStr">
        <is>
          <t>No. of
Titles / Access</t>
        </is>
      </c>
      <c r="G4" s="13" t="inlineStr">
        <is>
          <t>Annual Cost
(₹L)</t>
        </is>
      </c>
      <c r="H4" s="13" t="inlineStr">
        <is>
          <t>Subscription
Period</t>
        </is>
      </c>
      <c r="I4" s="13" t="inlineStr">
        <is>
          <t>Users
Allowed</t>
        </is>
      </c>
      <c r="J4" s="13" t="inlineStr">
        <is>
          <t>Current
Status</t>
        </is>
      </c>
    </row>
    <row r="5" ht="22" customHeight="1">
      <c r="B5" s="14" t="inlineStr">
        <is>
          <t>ERES/001</t>
        </is>
      </c>
      <c r="C5" s="15" t="inlineStr"/>
      <c r="D5" s="15" t="inlineStr"/>
      <c r="E5" s="16" t="inlineStr">
        <is>
          <t>Bibliographic Database</t>
        </is>
      </c>
      <c r="F5" s="16" t="inlineStr"/>
      <c r="G5" s="16" t="inlineStr"/>
      <c r="H5" s="16" t="inlineStr"/>
      <c r="I5" s="16" t="inlineStr"/>
      <c r="J5" s="16" t="inlineStr">
        <is>
          <t>Active</t>
        </is>
      </c>
    </row>
    <row r="6" ht="22" customHeight="1">
      <c r="B6" s="8" t="inlineStr">
        <is>
          <t>ERES/002</t>
        </is>
      </c>
      <c r="C6" s="9" t="inlineStr"/>
      <c r="D6" s="9" t="inlineStr"/>
      <c r="E6" s="10" t="inlineStr">
        <is>
          <t>Full-text Journal Database</t>
        </is>
      </c>
      <c r="F6" s="10" t="inlineStr"/>
      <c r="G6" s="10" t="inlineStr"/>
      <c r="H6" s="10" t="inlineStr"/>
      <c r="I6" s="10" t="inlineStr"/>
      <c r="J6" s="10" t="inlineStr">
        <is>
          <t>Active</t>
        </is>
      </c>
    </row>
    <row r="7" ht="22" customHeight="1">
      <c r="B7" s="14" t="inlineStr">
        <is>
          <t>ERES/003</t>
        </is>
      </c>
      <c r="C7" s="15" t="inlineStr"/>
      <c r="D7" s="15" t="inlineStr"/>
      <c r="E7" s="16" t="inlineStr">
        <is>
          <t>e-Book Platform</t>
        </is>
      </c>
      <c r="F7" s="16" t="inlineStr"/>
      <c r="G7" s="16" t="inlineStr"/>
      <c r="H7" s="16" t="inlineStr"/>
      <c r="I7" s="16" t="inlineStr"/>
      <c r="J7" s="16" t="inlineStr">
        <is>
          <t>Active</t>
        </is>
      </c>
    </row>
    <row r="8" ht="22" customHeight="1">
      <c r="B8" s="8" t="inlineStr">
        <is>
          <t>ERES/004</t>
        </is>
      </c>
      <c r="C8" s="9" t="inlineStr"/>
      <c r="D8" s="9" t="inlineStr"/>
      <c r="E8" s="10" t="inlineStr">
        <is>
          <t>Abstracting &amp; Indexing</t>
        </is>
      </c>
      <c r="F8" s="10" t="inlineStr"/>
      <c r="G8" s="10" t="inlineStr"/>
      <c r="H8" s="10" t="inlineStr"/>
      <c r="I8" s="10" t="inlineStr"/>
      <c r="J8" s="10" t="inlineStr">
        <is>
          <t>Active</t>
        </is>
      </c>
    </row>
    <row r="9" ht="22" customHeight="1">
      <c r="B9" s="14" t="inlineStr">
        <is>
          <t>ERES/005</t>
        </is>
      </c>
      <c r="C9" s="15" t="inlineStr"/>
      <c r="D9" s="15" t="inlineStr"/>
      <c r="E9" s="16" t="inlineStr">
        <is>
          <t>Theses &amp; Dissertation DB</t>
        </is>
      </c>
      <c r="F9" s="16" t="inlineStr"/>
      <c r="G9" s="16" t="inlineStr"/>
      <c r="H9" s="16" t="inlineStr"/>
      <c r="I9" s="16" t="inlineStr"/>
      <c r="J9" s="16" t="inlineStr">
        <is>
          <t>Active</t>
        </is>
      </c>
    </row>
    <row r="10" ht="22" customHeight="1">
      <c r="B10" s="8" t="inlineStr">
        <is>
          <t>ERES/006</t>
        </is>
      </c>
      <c r="C10" s="9" t="inlineStr"/>
      <c r="D10" s="9" t="inlineStr"/>
      <c r="E10" s="10" t="inlineStr">
        <is>
          <t>Science &amp; Tech Database</t>
        </is>
      </c>
      <c r="F10" s="10" t="inlineStr"/>
      <c r="G10" s="10" t="inlineStr"/>
      <c r="H10" s="10" t="inlineStr"/>
      <c r="I10" s="10" t="inlineStr"/>
      <c r="J10" s="10" t="inlineStr">
        <is>
          <t>Active</t>
        </is>
      </c>
    </row>
    <row r="11" ht="22" customHeight="1">
      <c r="B11" s="14" t="inlineStr">
        <is>
          <t>ERES/007</t>
        </is>
      </c>
      <c r="C11" s="15" t="inlineStr"/>
      <c r="D11" s="15" t="inlineStr"/>
      <c r="E11" s="16" t="inlineStr">
        <is>
          <t>Management Database</t>
        </is>
      </c>
      <c r="F11" s="16" t="inlineStr"/>
      <c r="G11" s="16" t="inlineStr"/>
      <c r="H11" s="16" t="inlineStr"/>
      <c r="I11" s="16" t="inlineStr"/>
      <c r="J11" s="16" t="inlineStr">
        <is>
          <t>Active</t>
        </is>
      </c>
    </row>
    <row r="12" ht="22" customHeight="1">
      <c r="B12" s="8" t="inlineStr">
        <is>
          <t>ERES/008</t>
        </is>
      </c>
      <c r="C12" s="9" t="inlineStr"/>
      <c r="D12" s="9" t="inlineStr"/>
      <c r="E12" s="10" t="inlineStr">
        <is>
          <t>Reference Database</t>
        </is>
      </c>
      <c r="F12" s="10" t="inlineStr"/>
      <c r="G12" s="10" t="inlineStr"/>
      <c r="H12" s="10" t="inlineStr"/>
      <c r="I12" s="10" t="inlineStr"/>
      <c r="J12" s="10" t="inlineStr">
        <is>
          <t>Active</t>
        </is>
      </c>
    </row>
    <row r="13" ht="22" customHeight="1">
      <c r="B13" s="14" t="inlineStr">
        <is>
          <t>ERES/009</t>
        </is>
      </c>
      <c r="C13" s="15" t="inlineStr"/>
      <c r="D13" s="15" t="inlineStr"/>
      <c r="E13" s="16" t="inlineStr">
        <is>
          <t>News Database</t>
        </is>
      </c>
      <c r="F13" s="16" t="inlineStr"/>
      <c r="G13" s="16" t="inlineStr"/>
      <c r="H13" s="16" t="inlineStr"/>
      <c r="I13" s="16" t="inlineStr"/>
      <c r="J13" s="16" t="inlineStr">
        <is>
          <t>Active</t>
        </is>
      </c>
    </row>
    <row r="14" ht="22" customHeight="1">
      <c r="B14" s="8" t="inlineStr">
        <is>
          <t>ERES/010</t>
        </is>
      </c>
      <c r="C14" s="9" t="inlineStr"/>
      <c r="D14" s="9" t="inlineStr"/>
      <c r="E14" s="10" t="inlineStr">
        <is>
          <t>NPTEL / MOOC Platform</t>
        </is>
      </c>
      <c r="F14" s="10" t="inlineStr"/>
      <c r="G14" s="10" t="inlineStr"/>
      <c r="H14" s="10" t="inlineStr"/>
      <c r="I14" s="10" t="inlineStr"/>
      <c r="J14" s="10" t="inlineStr">
        <is>
          <t>Active</t>
        </is>
      </c>
    </row>
    <row r="15" ht="22" customHeight="1">
      <c r="B15" s="14" t="inlineStr">
        <is>
          <t>ERES/011</t>
        </is>
      </c>
      <c r="C15" s="15" t="inlineStr"/>
      <c r="D15" s="15" t="inlineStr"/>
      <c r="E15" s="16" t="inlineStr">
        <is>
          <t>Plagiarism Detection</t>
        </is>
      </c>
      <c r="F15" s="16" t="inlineStr"/>
      <c r="G15" s="16" t="inlineStr"/>
      <c r="H15" s="16" t="inlineStr"/>
      <c r="I15" s="16" t="inlineStr"/>
      <c r="J15" s="16" t="inlineStr">
        <is>
          <t>Active</t>
        </is>
      </c>
    </row>
    <row r="16" ht="22" customHeight="1">
      <c r="B16" s="8" t="inlineStr">
        <is>
          <t>ERES/012</t>
        </is>
      </c>
      <c r="C16" s="9" t="inlineStr"/>
      <c r="D16" s="9" t="inlineStr"/>
      <c r="E16" s="10" t="inlineStr">
        <is>
          <t>Citation Analysis Tool</t>
        </is>
      </c>
      <c r="F16" s="10" t="inlineStr"/>
      <c r="G16" s="10" t="inlineStr"/>
      <c r="H16" s="10" t="inlineStr"/>
      <c r="I16" s="10" t="inlineStr"/>
      <c r="J16" s="10" t="inlineStr">
        <is>
          <t>Active</t>
        </is>
      </c>
    </row>
    <row r="17" ht="22" customHeight="1">
      <c r="B17" s="14" t="inlineStr">
        <is>
          <t>ERES/013</t>
        </is>
      </c>
      <c r="C17" s="15" t="inlineStr"/>
      <c r="D17" s="15" t="inlineStr"/>
      <c r="E17" s="16" t="inlineStr">
        <is>
          <t>Bibliographic Database</t>
        </is>
      </c>
      <c r="F17" s="16" t="inlineStr"/>
      <c r="G17" s="16" t="inlineStr"/>
      <c r="H17" s="16" t="inlineStr"/>
      <c r="I17" s="16" t="inlineStr"/>
      <c r="J17" s="16" t="inlineStr">
        <is>
          <t>Active</t>
        </is>
      </c>
    </row>
    <row r="18" ht="22" customHeight="1">
      <c r="B18" s="8" t="inlineStr">
        <is>
          <t>ERES/014</t>
        </is>
      </c>
      <c r="C18" s="9" t="inlineStr"/>
      <c r="D18" s="9" t="inlineStr"/>
      <c r="E18" s="10" t="inlineStr">
        <is>
          <t>Full-text Journal Database</t>
        </is>
      </c>
      <c r="F18" s="10" t="inlineStr"/>
      <c r="G18" s="10" t="inlineStr"/>
      <c r="H18" s="10" t="inlineStr"/>
      <c r="I18" s="10" t="inlineStr"/>
      <c r="J18" s="10" t="inlineStr">
        <is>
          <t>Active</t>
        </is>
      </c>
    </row>
    <row r="19" ht="22" customHeight="1">
      <c r="B19" s="14" t="inlineStr">
        <is>
          <t>ERES/015</t>
        </is>
      </c>
      <c r="C19" s="15" t="inlineStr"/>
      <c r="D19" s="15" t="inlineStr"/>
      <c r="E19" s="16" t="inlineStr">
        <is>
          <t>e-Book Platform</t>
        </is>
      </c>
      <c r="F19" s="16" t="inlineStr"/>
      <c r="G19" s="16" t="inlineStr"/>
      <c r="H19" s="16" t="inlineStr"/>
      <c r="I19" s="16" t="inlineStr"/>
      <c r="J19" s="16" t="inlineStr">
        <is>
          <t>Active</t>
        </is>
      </c>
    </row>
    <row r="20" ht="22" customHeight="1">
      <c r="B20" s="8" t="inlineStr">
        <is>
          <t>ERES/016</t>
        </is>
      </c>
      <c r="C20" s="9" t="inlineStr"/>
      <c r="D20" s="9" t="inlineStr"/>
      <c r="E20" s="10" t="inlineStr">
        <is>
          <t>Abstracting &amp; Indexing</t>
        </is>
      </c>
      <c r="F20" s="10" t="inlineStr"/>
      <c r="G20" s="10" t="inlineStr"/>
      <c r="H20" s="10" t="inlineStr"/>
      <c r="I20" s="10" t="inlineStr"/>
      <c r="J20" s="10" t="inlineStr">
        <is>
          <t>Active</t>
        </is>
      </c>
    </row>
    <row r="21" ht="22" customHeight="1">
      <c r="B21" s="14" t="inlineStr">
        <is>
          <t>ERES/017</t>
        </is>
      </c>
      <c r="C21" s="15" t="inlineStr"/>
      <c r="D21" s="15" t="inlineStr"/>
      <c r="E21" s="16" t="inlineStr">
        <is>
          <t>Theses &amp; Dissertation DB</t>
        </is>
      </c>
      <c r="F21" s="16" t="inlineStr"/>
      <c r="G21" s="16" t="inlineStr"/>
      <c r="H21" s="16" t="inlineStr"/>
      <c r="I21" s="16" t="inlineStr"/>
      <c r="J21" s="16" t="inlineStr">
        <is>
          <t>Active</t>
        </is>
      </c>
    </row>
    <row r="22" ht="22" customHeight="1">
      <c r="B22" s="8" t="inlineStr">
        <is>
          <t>ERES/018</t>
        </is>
      </c>
      <c r="C22" s="9" t="inlineStr"/>
      <c r="D22" s="9" t="inlineStr"/>
      <c r="E22" s="10" t="inlineStr">
        <is>
          <t>Science &amp; Tech Database</t>
        </is>
      </c>
      <c r="F22" s="10" t="inlineStr"/>
      <c r="G22" s="10" t="inlineStr"/>
      <c r="H22" s="10" t="inlineStr"/>
      <c r="I22" s="10" t="inlineStr"/>
      <c r="J22" s="10" t="inlineStr">
        <is>
          <t>Active</t>
        </is>
      </c>
    </row>
    <row r="23" ht="22" customHeight="1">
      <c r="B23" s="14" t="inlineStr">
        <is>
          <t>ERES/019</t>
        </is>
      </c>
      <c r="C23" s="15" t="inlineStr"/>
      <c r="D23" s="15" t="inlineStr"/>
      <c r="E23" s="16" t="inlineStr">
        <is>
          <t>Management Database</t>
        </is>
      </c>
      <c r="F23" s="16" t="inlineStr"/>
      <c r="G23" s="16" t="inlineStr"/>
      <c r="H23" s="16" t="inlineStr"/>
      <c r="I23" s="16" t="inlineStr"/>
      <c r="J23" s="16" t="inlineStr">
        <is>
          <t>Active</t>
        </is>
      </c>
    </row>
    <row r="24" ht="22" customHeight="1">
      <c r="B24" s="8" t="inlineStr">
        <is>
          <t>ERES/020</t>
        </is>
      </c>
      <c r="C24" s="9" t="inlineStr"/>
      <c r="D24" s="9" t="inlineStr"/>
      <c r="E24" s="10" t="inlineStr">
        <is>
          <t>Reference Database</t>
        </is>
      </c>
      <c r="F24" s="10" t="inlineStr"/>
      <c r="G24" s="10" t="inlineStr"/>
      <c r="H24" s="10" t="inlineStr"/>
      <c r="I24" s="10" t="inlineStr"/>
      <c r="J24" s="10" t="inlineStr">
        <is>
          <t>Active</t>
        </is>
      </c>
    </row>
    <row r="25" ht="22" customHeight="1"/>
    <row r="26" ht="24" customHeight="1">
      <c r="B26" s="18" t="inlineStr">
        <is>
          <t>e-RESOURCE BUDGET SUMMARY</t>
        </is>
      </c>
    </row>
    <row r="27" ht="22" customHeight="1">
      <c r="B27" s="19" t="inlineStr">
        <is>
          <t>Category</t>
        </is>
      </c>
      <c r="C27" s="19" t="inlineStr">
        <is>
          <t>No. of
Subscriptions</t>
        </is>
      </c>
      <c r="D27" s="19" t="inlineStr">
        <is>
          <t>Total Titles /</t>
        </is>
      </c>
      <c r="E27" s="19" t="inlineStr">
        <is>
          <t>Annual Cost
(₹L)</t>
        </is>
      </c>
      <c r="F27" s="19" t="inlineStr">
        <is>
          <t>% of e-Resource
Budget</t>
        </is>
      </c>
      <c r="G27" s="19" t="inlineStr">
        <is>
          <t>INFLIBNET
/ Consortium</t>
        </is>
      </c>
      <c r="H27" s="19" t="inlineStr">
        <is>
          <t>Renewal
Due</t>
        </is>
      </c>
    </row>
    <row r="28" ht="22" customHeight="1">
      <c r="B28" s="34" t="inlineStr">
        <is>
          <t>Journals / Databases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40" t="n"/>
      <c r="J28" s="40" t="n"/>
    </row>
    <row r="29" ht="22" customHeight="1">
      <c r="B29" s="9" t="inlineStr">
        <is>
          <t>e-Books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41" t="n"/>
      <c r="J29" s="41" t="n"/>
    </row>
    <row r="30" ht="22" customHeight="1">
      <c r="B30" s="34" t="inlineStr">
        <is>
          <t>Research Tools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40" t="n"/>
      <c r="J30" s="40" t="n"/>
    </row>
    <row r="31" ht="22" customHeight="1">
      <c r="B31" s="9" t="inlineStr">
        <is>
          <t>INFLIBNET e-ShodhSindhu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41" t="n"/>
      <c r="J31" s="41" t="n"/>
    </row>
    <row r="32" ht="22" customHeight="1">
      <c r="B32" s="34" t="inlineStr">
        <is>
          <t>DELNET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40" t="n"/>
      <c r="J32" s="40" t="n"/>
    </row>
    <row r="33" ht="22" customHeight="1">
      <c r="B33" s="9" t="inlineStr">
        <is>
          <t>Other Consortia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41" t="n"/>
      <c r="J33" s="41" t="n"/>
    </row>
    <row r="34">
      <c r="B34" s="26" t="inlineStr">
        <is>
          <t>TOTAL</t>
        </is>
      </c>
      <c r="C34" s="42" t="inlineStr"/>
      <c r="D34" s="42" t="inlineStr"/>
      <c r="E34" s="42" t="inlineStr"/>
      <c r="F34" s="42" t="inlineStr"/>
      <c r="G34" s="42" t="inlineStr"/>
      <c r="H34" s="42" t="inlineStr"/>
      <c r="I34" s="43" t="n"/>
      <c r="J34" s="43" t="n"/>
    </row>
  </sheetData>
  <mergeCells count="3">
    <mergeCell ref="B26:J26"/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LIB-10: CATALOGUING &amp; CLASSIFICATION REGISTER</t>
        </is>
      </c>
    </row>
    <row r="3" ht="25" customHeight="1">
      <c r="B3" s="2" t="inlineStr">
        <is>
          <t>A.Y.: _______  Catalogue Librarian: ___________________  Classification Scheme: DDC 23rd Ed.  OPAC: _______</t>
        </is>
      </c>
    </row>
    <row r="4" ht="25" customHeight="1">
      <c r="B4" s="13" t="inlineStr">
        <is>
          <t>Accession
No.</t>
        </is>
      </c>
      <c r="C4" s="13" t="inlineStr">
        <is>
          <t>Title</t>
        </is>
      </c>
      <c r="D4" s="13" t="inlineStr">
        <is>
          <t>Author</t>
        </is>
      </c>
      <c r="E4" s="13" t="inlineStr">
        <is>
          <t>Publisher</t>
        </is>
      </c>
      <c r="F4" s="13" t="inlineStr">
        <is>
          <t>DDC
Number</t>
        </is>
      </c>
      <c r="G4" s="13" t="inlineStr">
        <is>
          <t>Cutter
No.</t>
        </is>
      </c>
      <c r="H4" s="13" t="inlineStr">
        <is>
          <t>Call
Number</t>
        </is>
      </c>
      <c r="I4" s="13" t="inlineStr">
        <is>
          <t>MARC /
OPAC Entry</t>
        </is>
      </c>
      <c r="J4" s="13" t="inlineStr">
        <is>
          <t>Spine Label
Affixed</t>
        </is>
      </c>
      <c r="K4" s="13" t="inlineStr">
        <is>
          <t>Barcode /
RFID Tagged</t>
        </is>
      </c>
    </row>
    <row r="5" ht="22" customHeight="1">
      <c r="B5" s="14" t="inlineStr">
        <is>
          <t>ACC/10001</t>
        </is>
      </c>
      <c r="C5" s="15" t="inlineStr"/>
      <c r="D5" s="15" t="inlineStr"/>
      <c r="E5" s="15" t="inlineStr"/>
      <c r="F5" s="16" t="inlineStr"/>
      <c r="G5" s="16" t="inlineStr"/>
      <c r="H5" s="16" t="inlineStr"/>
      <c r="I5" s="16" t="inlineStr">
        <is>
          <t>Y</t>
        </is>
      </c>
      <c r="J5" s="16" t="inlineStr">
        <is>
          <t>Y</t>
        </is>
      </c>
      <c r="K5" s="16" t="inlineStr">
        <is>
          <t>Y</t>
        </is>
      </c>
    </row>
    <row r="6" ht="22" customHeight="1">
      <c r="B6" s="8" t="inlineStr">
        <is>
          <t>ACC/10002</t>
        </is>
      </c>
      <c r="C6" s="9" t="inlineStr"/>
      <c r="D6" s="9" t="inlineStr"/>
      <c r="E6" s="9" t="inlineStr"/>
      <c r="F6" s="10" t="inlineStr"/>
      <c r="G6" s="10" t="inlineStr"/>
      <c r="H6" s="10" t="inlineStr"/>
      <c r="I6" s="10" t="inlineStr">
        <is>
          <t>Y</t>
        </is>
      </c>
      <c r="J6" s="10" t="inlineStr">
        <is>
          <t>Y</t>
        </is>
      </c>
      <c r="K6" s="10" t="inlineStr">
        <is>
          <t>Y</t>
        </is>
      </c>
    </row>
    <row r="7" ht="22" customHeight="1">
      <c r="B7" s="14" t="inlineStr">
        <is>
          <t>ACC/10003</t>
        </is>
      </c>
      <c r="C7" s="15" t="inlineStr"/>
      <c r="D7" s="15" t="inlineStr"/>
      <c r="E7" s="15" t="inlineStr"/>
      <c r="F7" s="16" t="inlineStr"/>
      <c r="G7" s="16" t="inlineStr"/>
      <c r="H7" s="16" t="inlineStr"/>
      <c r="I7" s="16" t="inlineStr">
        <is>
          <t>Y</t>
        </is>
      </c>
      <c r="J7" s="16" t="inlineStr">
        <is>
          <t>Y</t>
        </is>
      </c>
      <c r="K7" s="16" t="inlineStr">
        <is>
          <t>Y</t>
        </is>
      </c>
    </row>
    <row r="8" ht="22" customHeight="1">
      <c r="B8" s="8" t="inlineStr">
        <is>
          <t>ACC/10004</t>
        </is>
      </c>
      <c r="C8" s="9" t="inlineStr"/>
      <c r="D8" s="9" t="inlineStr"/>
      <c r="E8" s="9" t="inlineStr"/>
      <c r="F8" s="10" t="inlineStr"/>
      <c r="G8" s="10" t="inlineStr"/>
      <c r="H8" s="10" t="inlineStr"/>
      <c r="I8" s="10" t="inlineStr">
        <is>
          <t>Y</t>
        </is>
      </c>
      <c r="J8" s="10" t="inlineStr">
        <is>
          <t>Y</t>
        </is>
      </c>
      <c r="K8" s="10" t="inlineStr">
        <is>
          <t>Y</t>
        </is>
      </c>
    </row>
    <row r="9" ht="22" customHeight="1">
      <c r="B9" s="14" t="inlineStr">
        <is>
          <t>ACC/10005</t>
        </is>
      </c>
      <c r="C9" s="15" t="inlineStr"/>
      <c r="D9" s="15" t="inlineStr"/>
      <c r="E9" s="15" t="inlineStr"/>
      <c r="F9" s="16" t="inlineStr"/>
      <c r="G9" s="16" t="inlineStr"/>
      <c r="H9" s="16" t="inlineStr"/>
      <c r="I9" s="16" t="inlineStr">
        <is>
          <t>Y</t>
        </is>
      </c>
      <c r="J9" s="16" t="inlineStr">
        <is>
          <t>Y</t>
        </is>
      </c>
      <c r="K9" s="16" t="inlineStr">
        <is>
          <t>Y</t>
        </is>
      </c>
    </row>
    <row r="10" ht="22" customHeight="1">
      <c r="B10" s="8" t="inlineStr">
        <is>
          <t>ACC/10006</t>
        </is>
      </c>
      <c r="C10" s="9" t="inlineStr"/>
      <c r="D10" s="9" t="inlineStr"/>
      <c r="E10" s="9" t="inlineStr"/>
      <c r="F10" s="10" t="inlineStr"/>
      <c r="G10" s="10" t="inlineStr"/>
      <c r="H10" s="10" t="inlineStr"/>
      <c r="I10" s="10" t="inlineStr">
        <is>
          <t>Y</t>
        </is>
      </c>
      <c r="J10" s="10" t="inlineStr">
        <is>
          <t>Y</t>
        </is>
      </c>
      <c r="K10" s="10" t="inlineStr">
        <is>
          <t>Y</t>
        </is>
      </c>
    </row>
    <row r="11" ht="22" customHeight="1">
      <c r="B11" s="14" t="inlineStr">
        <is>
          <t>ACC/10007</t>
        </is>
      </c>
      <c r="C11" s="15" t="inlineStr"/>
      <c r="D11" s="15" t="inlineStr"/>
      <c r="E11" s="15" t="inlineStr"/>
      <c r="F11" s="16" t="inlineStr"/>
      <c r="G11" s="16" t="inlineStr"/>
      <c r="H11" s="16" t="inlineStr"/>
      <c r="I11" s="16" t="inlineStr">
        <is>
          <t>Y</t>
        </is>
      </c>
      <c r="J11" s="16" t="inlineStr">
        <is>
          <t>Y</t>
        </is>
      </c>
      <c r="K11" s="16" t="inlineStr">
        <is>
          <t>Y</t>
        </is>
      </c>
    </row>
    <row r="12" ht="22" customHeight="1">
      <c r="B12" s="8" t="inlineStr">
        <is>
          <t>ACC/10008</t>
        </is>
      </c>
      <c r="C12" s="9" t="inlineStr"/>
      <c r="D12" s="9" t="inlineStr"/>
      <c r="E12" s="9" t="inlineStr"/>
      <c r="F12" s="10" t="inlineStr"/>
      <c r="G12" s="10" t="inlineStr"/>
      <c r="H12" s="10" t="inlineStr"/>
      <c r="I12" s="10" t="inlineStr">
        <is>
          <t>Y</t>
        </is>
      </c>
      <c r="J12" s="10" t="inlineStr">
        <is>
          <t>Y</t>
        </is>
      </c>
      <c r="K12" s="10" t="inlineStr">
        <is>
          <t>Y</t>
        </is>
      </c>
    </row>
    <row r="13" ht="22" customHeight="1">
      <c r="B13" s="14" t="inlineStr">
        <is>
          <t>ACC/10009</t>
        </is>
      </c>
      <c r="C13" s="15" t="inlineStr"/>
      <c r="D13" s="15" t="inlineStr"/>
      <c r="E13" s="15" t="inlineStr"/>
      <c r="F13" s="16" t="inlineStr"/>
      <c r="G13" s="16" t="inlineStr"/>
      <c r="H13" s="16" t="inlineStr"/>
      <c r="I13" s="16" t="inlineStr">
        <is>
          <t>Y</t>
        </is>
      </c>
      <c r="J13" s="16" t="inlineStr">
        <is>
          <t>Y</t>
        </is>
      </c>
      <c r="K13" s="16" t="inlineStr">
        <is>
          <t>Y</t>
        </is>
      </c>
    </row>
    <row r="14" ht="22" customHeight="1">
      <c r="B14" s="8" t="inlineStr">
        <is>
          <t>ACC/10010</t>
        </is>
      </c>
      <c r="C14" s="9" t="inlineStr"/>
      <c r="D14" s="9" t="inlineStr"/>
      <c r="E14" s="9" t="inlineStr"/>
      <c r="F14" s="10" t="inlineStr"/>
      <c r="G14" s="10" t="inlineStr"/>
      <c r="H14" s="10" t="inlineStr"/>
      <c r="I14" s="10" t="inlineStr">
        <is>
          <t>Y</t>
        </is>
      </c>
      <c r="J14" s="10" t="inlineStr">
        <is>
          <t>Y</t>
        </is>
      </c>
      <c r="K14" s="10" t="inlineStr">
        <is>
          <t>Y</t>
        </is>
      </c>
    </row>
    <row r="15" ht="22" customHeight="1">
      <c r="B15" s="14" t="inlineStr">
        <is>
          <t>ACC/10011</t>
        </is>
      </c>
      <c r="C15" s="15" t="inlineStr"/>
      <c r="D15" s="15" t="inlineStr"/>
      <c r="E15" s="15" t="inlineStr"/>
      <c r="F15" s="16" t="inlineStr"/>
      <c r="G15" s="16" t="inlineStr"/>
      <c r="H15" s="16" t="inlineStr"/>
      <c r="I15" s="16" t="inlineStr">
        <is>
          <t>Y</t>
        </is>
      </c>
      <c r="J15" s="16" t="inlineStr">
        <is>
          <t>Y</t>
        </is>
      </c>
      <c r="K15" s="16" t="inlineStr">
        <is>
          <t>Y</t>
        </is>
      </c>
    </row>
    <row r="16" ht="22" customHeight="1">
      <c r="B16" s="8" t="inlineStr">
        <is>
          <t>ACC/10012</t>
        </is>
      </c>
      <c r="C16" s="9" t="inlineStr"/>
      <c r="D16" s="9" t="inlineStr"/>
      <c r="E16" s="9" t="inlineStr"/>
      <c r="F16" s="10" t="inlineStr"/>
      <c r="G16" s="10" t="inlineStr"/>
      <c r="H16" s="10" t="inlineStr"/>
      <c r="I16" s="10" t="inlineStr">
        <is>
          <t>Y</t>
        </is>
      </c>
      <c r="J16" s="10" t="inlineStr">
        <is>
          <t>Y</t>
        </is>
      </c>
      <c r="K16" s="10" t="inlineStr">
        <is>
          <t>Y</t>
        </is>
      </c>
    </row>
    <row r="17" ht="22" customHeight="1">
      <c r="B17" s="14" t="inlineStr">
        <is>
          <t>ACC/10013</t>
        </is>
      </c>
      <c r="C17" s="15" t="inlineStr"/>
      <c r="D17" s="15" t="inlineStr"/>
      <c r="E17" s="15" t="inlineStr"/>
      <c r="F17" s="16" t="inlineStr"/>
      <c r="G17" s="16" t="inlineStr"/>
      <c r="H17" s="16" t="inlineStr"/>
      <c r="I17" s="16" t="inlineStr">
        <is>
          <t>Y</t>
        </is>
      </c>
      <c r="J17" s="16" t="inlineStr">
        <is>
          <t>Y</t>
        </is>
      </c>
      <c r="K17" s="16" t="inlineStr">
        <is>
          <t>Y</t>
        </is>
      </c>
    </row>
    <row r="18" ht="22" customHeight="1">
      <c r="B18" s="8" t="inlineStr">
        <is>
          <t>ACC/10014</t>
        </is>
      </c>
      <c r="C18" s="9" t="inlineStr"/>
      <c r="D18" s="9" t="inlineStr"/>
      <c r="E18" s="9" t="inlineStr"/>
      <c r="F18" s="10" t="inlineStr"/>
      <c r="G18" s="10" t="inlineStr"/>
      <c r="H18" s="10" t="inlineStr"/>
      <c r="I18" s="10" t="inlineStr">
        <is>
          <t>Y</t>
        </is>
      </c>
      <c r="J18" s="10" t="inlineStr">
        <is>
          <t>Y</t>
        </is>
      </c>
      <c r="K18" s="10" t="inlineStr">
        <is>
          <t>Y</t>
        </is>
      </c>
    </row>
    <row r="19" ht="22" customHeight="1">
      <c r="B19" s="14" t="inlineStr">
        <is>
          <t>ACC/10015</t>
        </is>
      </c>
      <c r="C19" s="15" t="inlineStr"/>
      <c r="D19" s="15" t="inlineStr"/>
      <c r="E19" s="15" t="inlineStr"/>
      <c r="F19" s="16" t="inlineStr"/>
      <c r="G19" s="16" t="inlineStr"/>
      <c r="H19" s="16" t="inlineStr"/>
      <c r="I19" s="16" t="inlineStr">
        <is>
          <t>Y</t>
        </is>
      </c>
      <c r="J19" s="16" t="inlineStr">
        <is>
          <t>Y</t>
        </is>
      </c>
      <c r="K19" s="16" t="inlineStr">
        <is>
          <t>Y</t>
        </is>
      </c>
    </row>
    <row r="20" ht="22" customHeight="1">
      <c r="B20" s="8" t="inlineStr">
        <is>
          <t>ACC/10016</t>
        </is>
      </c>
      <c r="C20" s="9" t="inlineStr"/>
      <c r="D20" s="9" t="inlineStr"/>
      <c r="E20" s="9" t="inlineStr"/>
      <c r="F20" s="10" t="inlineStr"/>
      <c r="G20" s="10" t="inlineStr"/>
      <c r="H20" s="10" t="inlineStr"/>
      <c r="I20" s="10" t="inlineStr">
        <is>
          <t>Y</t>
        </is>
      </c>
      <c r="J20" s="10" t="inlineStr">
        <is>
          <t>Y</t>
        </is>
      </c>
      <c r="K20" s="10" t="inlineStr">
        <is>
          <t>Y</t>
        </is>
      </c>
    </row>
    <row r="21" ht="22" customHeight="1">
      <c r="B21" s="14" t="inlineStr">
        <is>
          <t>ACC/10017</t>
        </is>
      </c>
      <c r="C21" s="15" t="inlineStr"/>
      <c r="D21" s="15" t="inlineStr"/>
      <c r="E21" s="15" t="inlineStr"/>
      <c r="F21" s="16" t="inlineStr"/>
      <c r="G21" s="16" t="inlineStr"/>
      <c r="H21" s="16" t="inlineStr"/>
      <c r="I21" s="16" t="inlineStr">
        <is>
          <t>Y</t>
        </is>
      </c>
      <c r="J21" s="16" t="inlineStr">
        <is>
          <t>Y</t>
        </is>
      </c>
      <c r="K21" s="16" t="inlineStr">
        <is>
          <t>Y</t>
        </is>
      </c>
    </row>
    <row r="22" ht="22" customHeight="1">
      <c r="B22" s="8" t="inlineStr">
        <is>
          <t>ACC/10018</t>
        </is>
      </c>
      <c r="C22" s="9" t="inlineStr"/>
      <c r="D22" s="9" t="inlineStr"/>
      <c r="E22" s="9" t="inlineStr"/>
      <c r="F22" s="10" t="inlineStr"/>
      <c r="G22" s="10" t="inlineStr"/>
      <c r="H22" s="10" t="inlineStr"/>
      <c r="I22" s="10" t="inlineStr">
        <is>
          <t>Y</t>
        </is>
      </c>
      <c r="J22" s="10" t="inlineStr">
        <is>
          <t>Y</t>
        </is>
      </c>
      <c r="K22" s="10" t="inlineStr">
        <is>
          <t>Y</t>
        </is>
      </c>
    </row>
    <row r="23" ht="22" customHeight="1">
      <c r="B23" s="14" t="inlineStr">
        <is>
          <t>ACC/10019</t>
        </is>
      </c>
      <c r="C23" s="15" t="inlineStr"/>
      <c r="D23" s="15" t="inlineStr"/>
      <c r="E23" s="15" t="inlineStr"/>
      <c r="F23" s="16" t="inlineStr"/>
      <c r="G23" s="16" t="inlineStr"/>
      <c r="H23" s="16" t="inlineStr"/>
      <c r="I23" s="16" t="inlineStr">
        <is>
          <t>Y</t>
        </is>
      </c>
      <c r="J23" s="16" t="inlineStr">
        <is>
          <t>Y</t>
        </is>
      </c>
      <c r="K23" s="16" t="inlineStr">
        <is>
          <t>Y</t>
        </is>
      </c>
    </row>
    <row r="24" ht="22" customHeight="1">
      <c r="B24" s="8" t="inlineStr">
        <is>
          <t>ACC/10020</t>
        </is>
      </c>
      <c r="C24" s="9" t="inlineStr"/>
      <c r="D24" s="9" t="inlineStr"/>
      <c r="E24" s="9" t="inlineStr"/>
      <c r="F24" s="10" t="inlineStr"/>
      <c r="G24" s="10" t="inlineStr"/>
      <c r="H24" s="10" t="inlineStr"/>
      <c r="I24" s="10" t="inlineStr">
        <is>
          <t>Y</t>
        </is>
      </c>
      <c r="J24" s="10" t="inlineStr">
        <is>
          <t>Y</t>
        </is>
      </c>
      <c r="K24" s="10" t="inlineStr">
        <is>
          <t>Y</t>
        </is>
      </c>
    </row>
    <row r="25" ht="22" customHeight="1">
      <c r="B25" s="14" t="inlineStr">
        <is>
          <t>ACC/10021</t>
        </is>
      </c>
      <c r="C25" s="15" t="inlineStr"/>
      <c r="D25" s="15" t="inlineStr"/>
      <c r="E25" s="15" t="inlineStr"/>
      <c r="F25" s="16" t="inlineStr"/>
      <c r="G25" s="16" t="inlineStr"/>
      <c r="H25" s="16" t="inlineStr"/>
      <c r="I25" s="16" t="inlineStr">
        <is>
          <t>Y</t>
        </is>
      </c>
      <c r="J25" s="16" t="inlineStr">
        <is>
          <t>Y</t>
        </is>
      </c>
      <c r="K25" s="16" t="inlineStr">
        <is>
          <t>Y</t>
        </is>
      </c>
    </row>
    <row r="26" ht="22" customHeight="1">
      <c r="B26" s="8" t="inlineStr">
        <is>
          <t>ACC/10022</t>
        </is>
      </c>
      <c r="C26" s="9" t="inlineStr"/>
      <c r="D26" s="9" t="inlineStr"/>
      <c r="E26" s="9" t="inlineStr"/>
      <c r="F26" s="10" t="inlineStr"/>
      <c r="G26" s="10" t="inlineStr"/>
      <c r="H26" s="10" t="inlineStr"/>
      <c r="I26" s="10" t="inlineStr">
        <is>
          <t>Y</t>
        </is>
      </c>
      <c r="J26" s="10" t="inlineStr">
        <is>
          <t>Y</t>
        </is>
      </c>
      <c r="K26" s="10" t="inlineStr">
        <is>
          <t>Y</t>
        </is>
      </c>
    </row>
    <row r="27" ht="22" customHeight="1">
      <c r="B27" s="14" t="inlineStr">
        <is>
          <t>ACC/10023</t>
        </is>
      </c>
      <c r="C27" s="15" t="inlineStr"/>
      <c r="D27" s="15" t="inlineStr"/>
      <c r="E27" s="15" t="inlineStr"/>
      <c r="F27" s="16" t="inlineStr"/>
      <c r="G27" s="16" t="inlineStr"/>
      <c r="H27" s="16" t="inlineStr"/>
      <c r="I27" s="16" t="inlineStr">
        <is>
          <t>Y</t>
        </is>
      </c>
      <c r="J27" s="16" t="inlineStr">
        <is>
          <t>Y</t>
        </is>
      </c>
      <c r="K27" s="16" t="inlineStr">
        <is>
          <t>Y</t>
        </is>
      </c>
    </row>
    <row r="28" ht="22" customHeight="1">
      <c r="B28" s="8" t="inlineStr">
        <is>
          <t>ACC/10024</t>
        </is>
      </c>
      <c r="C28" s="9" t="inlineStr"/>
      <c r="D28" s="9" t="inlineStr"/>
      <c r="E28" s="9" t="inlineStr"/>
      <c r="F28" s="10" t="inlineStr"/>
      <c r="G28" s="10" t="inlineStr"/>
      <c r="H28" s="10" t="inlineStr"/>
      <c r="I28" s="10" t="inlineStr">
        <is>
          <t>Y</t>
        </is>
      </c>
      <c r="J28" s="10" t="inlineStr">
        <is>
          <t>Y</t>
        </is>
      </c>
      <c r="K28" s="10" t="inlineStr">
        <is>
          <t>Y</t>
        </is>
      </c>
    </row>
    <row r="29" ht="22" customHeight="1"/>
    <row r="30" ht="24" customHeight="1">
      <c r="B30" s="18" t="inlineStr">
        <is>
          <t>CATALOGUING WORKFLOW STATUS</t>
        </is>
      </c>
    </row>
    <row r="31" ht="22" customHeight="1">
      <c r="B31" s="19" t="inlineStr">
        <is>
          <t>Month</t>
        </is>
      </c>
      <c r="C31" s="19" t="inlineStr">
        <is>
          <t>Books Received</t>
        </is>
      </c>
      <c r="D31" s="19" t="inlineStr">
        <is>
          <t>Catalogued</t>
        </is>
      </c>
      <c r="E31" s="19" t="inlineStr">
        <is>
          <t>OPAC Updated</t>
        </is>
      </c>
      <c r="F31" s="19" t="inlineStr">
        <is>
          <t>Pending Cataloguing</t>
        </is>
      </c>
      <c r="G31" s="19" t="inlineStr">
        <is>
          <t>Processing
Backlog</t>
        </is>
      </c>
      <c r="H31" s="19" t="inlineStr">
        <is>
          <t>Average Turnaround
(Days)</t>
        </is>
      </c>
    </row>
    <row r="32" ht="22" customHeight="1">
      <c r="B32" s="33" t="inlineStr">
        <is>
          <t>April</t>
        </is>
      </c>
      <c r="C32" s="20" t="inlineStr"/>
      <c r="D32" s="20" t="inlineStr"/>
      <c r="E32" s="20" t="inlineStr"/>
      <c r="F32" s="20">
        <f>IFERROR(C32-D32,"")</f>
        <v/>
      </c>
      <c r="G32" s="20" t="inlineStr"/>
      <c r="H32" s="20" t="inlineStr"/>
      <c r="I32" s="40" t="n"/>
      <c r="J32" s="40" t="n"/>
      <c r="K32" s="40" t="n"/>
    </row>
    <row r="33" ht="22" customHeight="1">
      <c r="B33" s="8" t="inlineStr">
        <is>
          <t>May</t>
        </is>
      </c>
      <c r="C33" s="10" t="inlineStr"/>
      <c r="D33" s="10" t="inlineStr"/>
      <c r="E33" s="10" t="inlineStr"/>
      <c r="F33" s="10">
        <f>IFERROR(C33-D33,"")</f>
        <v/>
      </c>
      <c r="G33" s="10" t="inlineStr"/>
      <c r="H33" s="10" t="inlineStr"/>
      <c r="I33" s="41" t="n"/>
      <c r="J33" s="41" t="n"/>
      <c r="K33" s="41" t="n"/>
    </row>
    <row r="34" ht="22" customHeight="1">
      <c r="B34" s="33" t="inlineStr">
        <is>
          <t>June</t>
        </is>
      </c>
      <c r="C34" s="20" t="inlineStr"/>
      <c r="D34" s="20" t="inlineStr"/>
      <c r="E34" s="20" t="inlineStr"/>
      <c r="F34" s="20">
        <f>IFERROR(C34-D34,"")</f>
        <v/>
      </c>
      <c r="G34" s="20" t="inlineStr"/>
      <c r="H34" s="20" t="inlineStr"/>
      <c r="I34" s="40" t="n"/>
      <c r="J34" s="40" t="n"/>
      <c r="K34" s="40" t="n"/>
    </row>
    <row r="35" ht="22" customHeight="1">
      <c r="B35" s="8" t="inlineStr">
        <is>
          <t>July</t>
        </is>
      </c>
      <c r="C35" s="10" t="inlineStr"/>
      <c r="D35" s="10" t="inlineStr"/>
      <c r="E35" s="10" t="inlineStr"/>
      <c r="F35" s="10">
        <f>IFERROR(C35-D35,"")</f>
        <v/>
      </c>
      <c r="G35" s="10" t="inlineStr"/>
      <c r="H35" s="10" t="inlineStr"/>
      <c r="I35" s="41" t="n"/>
      <c r="J35" s="41" t="n"/>
      <c r="K35" s="41" t="n"/>
    </row>
    <row r="36">
      <c r="B36" s="33" t="inlineStr">
        <is>
          <t>August</t>
        </is>
      </c>
      <c r="C36" s="20" t="inlineStr"/>
      <c r="D36" s="20" t="inlineStr"/>
      <c r="E36" s="20" t="inlineStr"/>
      <c r="F36" s="20">
        <f>IFERROR(C36-D36,"")</f>
        <v/>
      </c>
      <c r="G36" s="20" t="inlineStr"/>
      <c r="H36" s="20" t="inlineStr"/>
      <c r="I36" s="40" t="n"/>
      <c r="J36" s="40" t="n"/>
      <c r="K36" s="40" t="n"/>
    </row>
    <row r="37">
      <c r="B37" s="8" t="inlineStr">
        <is>
          <t>September</t>
        </is>
      </c>
      <c r="C37" s="10" t="inlineStr"/>
      <c r="D37" s="10" t="inlineStr"/>
      <c r="E37" s="10" t="inlineStr"/>
      <c r="F37" s="10">
        <f>IFERROR(C37-D37,"")</f>
        <v/>
      </c>
      <c r="G37" s="10" t="inlineStr"/>
      <c r="H37" s="10" t="inlineStr"/>
      <c r="I37" s="41" t="n"/>
      <c r="J37" s="41" t="n"/>
      <c r="K37" s="41" t="n"/>
    </row>
    <row r="38">
      <c r="B38" s="33" t="inlineStr">
        <is>
          <t>October</t>
        </is>
      </c>
      <c r="C38" s="20" t="inlineStr"/>
      <c r="D38" s="20" t="inlineStr"/>
      <c r="E38" s="20" t="inlineStr"/>
      <c r="F38" s="20">
        <f>IFERROR(C38-D38,"")</f>
        <v/>
      </c>
      <c r="G38" s="20" t="inlineStr"/>
      <c r="H38" s="20" t="inlineStr"/>
      <c r="I38" s="40" t="n"/>
      <c r="J38" s="40" t="n"/>
      <c r="K38" s="40" t="n"/>
    </row>
    <row r="39">
      <c r="B39" s="8" t="inlineStr">
        <is>
          <t>November</t>
        </is>
      </c>
      <c r="C39" s="10" t="inlineStr"/>
      <c r="D39" s="10" t="inlineStr"/>
      <c r="E39" s="10" t="inlineStr"/>
      <c r="F39" s="10">
        <f>IFERROR(C39-D39,"")</f>
        <v/>
      </c>
      <c r="G39" s="10" t="inlineStr"/>
      <c r="H39" s="10" t="inlineStr"/>
      <c r="I39" s="41" t="n"/>
      <c r="J39" s="41" t="n"/>
      <c r="K39" s="41" t="n"/>
    </row>
    <row r="40">
      <c r="B40" s="33" t="inlineStr">
        <is>
          <t>December</t>
        </is>
      </c>
      <c r="C40" s="20" t="inlineStr"/>
      <c r="D40" s="20" t="inlineStr"/>
      <c r="E40" s="20" t="inlineStr"/>
      <c r="F40" s="20">
        <f>IFERROR(C40-D40,"")</f>
        <v/>
      </c>
      <c r="G40" s="20" t="inlineStr"/>
      <c r="H40" s="20" t="inlineStr"/>
      <c r="I40" s="40" t="n"/>
      <c r="J40" s="40" t="n"/>
      <c r="K40" s="40" t="n"/>
    </row>
    <row r="41">
      <c r="B41" s="8" t="inlineStr">
        <is>
          <t>January</t>
        </is>
      </c>
      <c r="C41" s="10" t="inlineStr"/>
      <c r="D41" s="10" t="inlineStr"/>
      <c r="E41" s="10" t="inlineStr"/>
      <c r="F41" s="10">
        <f>IFERROR(C41-D41,"")</f>
        <v/>
      </c>
      <c r="G41" s="10" t="inlineStr"/>
      <c r="H41" s="10" t="inlineStr"/>
      <c r="I41" s="41" t="n"/>
      <c r="J41" s="41" t="n"/>
      <c r="K41" s="41" t="n"/>
    </row>
    <row r="42">
      <c r="B42" s="33" t="inlineStr">
        <is>
          <t>February</t>
        </is>
      </c>
      <c r="C42" s="20" t="inlineStr"/>
      <c r="D42" s="20" t="inlineStr"/>
      <c r="E42" s="20" t="inlineStr"/>
      <c r="F42" s="20">
        <f>IFERROR(C42-D42,"")</f>
        <v/>
      </c>
      <c r="G42" s="20" t="inlineStr"/>
      <c r="H42" s="20" t="inlineStr"/>
      <c r="I42" s="40" t="n"/>
      <c r="J42" s="40" t="n"/>
      <c r="K42" s="40" t="n"/>
    </row>
    <row r="43">
      <c r="B43" s="8" t="inlineStr">
        <is>
          <t>March</t>
        </is>
      </c>
      <c r="C43" s="10" t="inlineStr"/>
      <c r="D43" s="10" t="inlineStr"/>
      <c r="E43" s="10" t="inlineStr"/>
      <c r="F43" s="10">
        <f>IFERROR(C43-D43,"")</f>
        <v/>
      </c>
      <c r="G43" s="10" t="inlineStr"/>
      <c r="H43" s="10" t="inlineStr"/>
      <c r="I43" s="41" t="n"/>
      <c r="J43" s="41" t="n"/>
      <c r="K43" s="41" t="n"/>
    </row>
  </sheetData>
  <mergeCells count="3">
    <mergeCell ref="B30:K30"/>
    <mergeCell ref="B3:K3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LIB-13: LIBRARY MEMBERSHIP REGISTER</t>
        </is>
      </c>
    </row>
    <row r="3" ht="25" customHeight="1">
      <c r="B3" s="2" t="inlineStr">
        <is>
          <t>A.Y.: _______  Librarian: ___________________</t>
        </is>
      </c>
    </row>
    <row r="4" ht="25" customHeight="1">
      <c r="B4" s="13" t="inlineStr">
        <is>
          <t>Lib.
Member ID</t>
        </is>
      </c>
      <c r="C4" s="13" t="inlineStr">
        <is>
          <t>Member Name</t>
        </is>
      </c>
      <c r="D4" s="13" t="inlineStr">
        <is>
          <t>Category</t>
        </is>
      </c>
      <c r="E4" s="13" t="inlineStr">
        <is>
          <t>Dept. /
Branch</t>
        </is>
      </c>
      <c r="F4" s="13" t="inlineStr">
        <is>
          <t>Enrolment
/ Employee ID</t>
        </is>
      </c>
      <c r="G4" s="13" t="inlineStr">
        <is>
          <t>Contact
No.</t>
        </is>
      </c>
      <c r="H4" s="13" t="inlineStr">
        <is>
          <t>Email</t>
        </is>
      </c>
      <c r="I4" s="13" t="inlineStr">
        <is>
          <t>Books
Permitted</t>
        </is>
      </c>
      <c r="J4" s="13" t="inlineStr">
        <is>
          <t>Valid
Upto</t>
        </is>
      </c>
      <c r="K4" s="13" t="inlineStr">
        <is>
          <t>Status</t>
        </is>
      </c>
    </row>
    <row r="5" ht="22" customHeight="1">
      <c r="B5" s="14" t="inlineStr">
        <is>
          <t>LM/2024/0001</t>
        </is>
      </c>
      <c r="C5" s="15" t="inlineStr"/>
      <c r="D5" s="16" t="inlineStr">
        <is>
          <t>UG Student</t>
        </is>
      </c>
      <c r="E5" s="16" t="inlineStr"/>
      <c r="F5" s="16" t="inlineStr"/>
      <c r="G5" s="16" t="inlineStr"/>
      <c r="H5" s="15" t="inlineStr"/>
      <c r="I5" s="16" t="n">
        <v>3</v>
      </c>
      <c r="J5" s="16" t="inlineStr"/>
      <c r="K5" s="16" t="inlineStr">
        <is>
          <t>Active</t>
        </is>
      </c>
    </row>
    <row r="6" ht="22" customHeight="1">
      <c r="B6" s="8" t="inlineStr">
        <is>
          <t>LM/2024/0002</t>
        </is>
      </c>
      <c r="C6" s="9" t="inlineStr"/>
      <c r="D6" s="10" t="inlineStr">
        <is>
          <t>PG Student</t>
        </is>
      </c>
      <c r="E6" s="10" t="inlineStr"/>
      <c r="F6" s="10" t="inlineStr"/>
      <c r="G6" s="10" t="inlineStr"/>
      <c r="H6" s="9" t="inlineStr"/>
      <c r="I6" s="10" t="n">
        <v>5</v>
      </c>
      <c r="J6" s="10" t="inlineStr"/>
      <c r="K6" s="10" t="inlineStr">
        <is>
          <t>Active</t>
        </is>
      </c>
    </row>
    <row r="7" ht="22" customHeight="1">
      <c r="B7" s="14" t="inlineStr">
        <is>
          <t>LM/2024/0003</t>
        </is>
      </c>
      <c r="C7" s="15" t="inlineStr"/>
      <c r="D7" s="16" t="inlineStr">
        <is>
          <t>Ph.D. Scholar</t>
        </is>
      </c>
      <c r="E7" s="16" t="inlineStr"/>
      <c r="F7" s="16" t="inlineStr"/>
      <c r="G7" s="16" t="inlineStr"/>
      <c r="H7" s="15" t="inlineStr"/>
      <c r="I7" s="16" t="n">
        <v>8</v>
      </c>
      <c r="J7" s="16" t="inlineStr"/>
      <c r="K7" s="16" t="inlineStr">
        <is>
          <t>Active</t>
        </is>
      </c>
    </row>
    <row r="8" ht="22" customHeight="1">
      <c r="B8" s="8" t="inlineStr">
        <is>
          <t>LM/2024/0004</t>
        </is>
      </c>
      <c r="C8" s="9" t="inlineStr"/>
      <c r="D8" s="10" t="inlineStr">
        <is>
          <t>Faculty</t>
        </is>
      </c>
      <c r="E8" s="10" t="inlineStr"/>
      <c r="F8" s="10" t="inlineStr"/>
      <c r="G8" s="10" t="inlineStr"/>
      <c r="H8" s="9" t="inlineStr"/>
      <c r="I8" s="10" t="n">
        <v>10</v>
      </c>
      <c r="J8" s="10" t="inlineStr"/>
      <c r="K8" s="10" t="inlineStr">
        <is>
          <t>Active</t>
        </is>
      </c>
    </row>
    <row r="9" ht="22" customHeight="1">
      <c r="B9" s="14" t="inlineStr">
        <is>
          <t>LM/2024/0005</t>
        </is>
      </c>
      <c r="C9" s="15" t="inlineStr"/>
      <c r="D9" s="16" t="inlineStr">
        <is>
          <t>Non-Teaching Staff</t>
        </is>
      </c>
      <c r="E9" s="16" t="inlineStr"/>
      <c r="F9" s="16" t="inlineStr"/>
      <c r="G9" s="16" t="inlineStr"/>
      <c r="H9" s="15" t="inlineStr"/>
      <c r="I9" s="16" t="n">
        <v>3</v>
      </c>
      <c r="J9" s="16" t="inlineStr"/>
      <c r="K9" s="16" t="inlineStr">
        <is>
          <t>Active</t>
        </is>
      </c>
    </row>
    <row r="10" ht="22" customHeight="1">
      <c r="B10" s="8" t="inlineStr">
        <is>
          <t>LM/2024/0006</t>
        </is>
      </c>
      <c r="C10" s="9" t="inlineStr"/>
      <c r="D10" s="10" t="inlineStr">
        <is>
          <t>Guest Faculty</t>
        </is>
      </c>
      <c r="E10" s="10" t="inlineStr"/>
      <c r="F10" s="10" t="inlineStr"/>
      <c r="G10" s="10" t="inlineStr"/>
      <c r="H10" s="9" t="inlineStr"/>
      <c r="I10" s="10" t="n">
        <v>5</v>
      </c>
      <c r="J10" s="10" t="inlineStr"/>
      <c r="K10" s="10" t="inlineStr">
        <is>
          <t>Active</t>
        </is>
      </c>
    </row>
    <row r="11" ht="22" customHeight="1">
      <c r="B11" s="14" t="inlineStr">
        <is>
          <t>LM/2024/0007</t>
        </is>
      </c>
      <c r="C11" s="15" t="inlineStr"/>
      <c r="D11" s="16" t="inlineStr">
        <is>
          <t>Alumni Member</t>
        </is>
      </c>
      <c r="E11" s="16" t="inlineStr"/>
      <c r="F11" s="16" t="inlineStr"/>
      <c r="G11" s="16" t="inlineStr"/>
      <c r="H11" s="15" t="inlineStr"/>
      <c r="I11" s="16" t="n">
        <v>2</v>
      </c>
      <c r="J11" s="16" t="inlineStr"/>
      <c r="K11" s="16" t="inlineStr">
        <is>
          <t>Active</t>
        </is>
      </c>
    </row>
    <row r="12" ht="22" customHeight="1">
      <c r="B12" s="8" t="inlineStr">
        <is>
          <t>LM/2024/0008</t>
        </is>
      </c>
      <c r="C12" s="9" t="inlineStr"/>
      <c r="D12" s="10" t="inlineStr">
        <is>
          <t>UG Student</t>
        </is>
      </c>
      <c r="E12" s="10" t="inlineStr"/>
      <c r="F12" s="10" t="inlineStr"/>
      <c r="G12" s="10" t="inlineStr"/>
      <c r="H12" s="9" t="inlineStr"/>
      <c r="I12" s="10" t="n">
        <v>3</v>
      </c>
      <c r="J12" s="10" t="inlineStr"/>
      <c r="K12" s="10" t="inlineStr">
        <is>
          <t>Active</t>
        </is>
      </c>
    </row>
    <row r="13" ht="22" customHeight="1">
      <c r="B13" s="14" t="inlineStr">
        <is>
          <t>LM/2024/0009</t>
        </is>
      </c>
      <c r="C13" s="15" t="inlineStr"/>
      <c r="D13" s="16" t="inlineStr">
        <is>
          <t>PG Student</t>
        </is>
      </c>
      <c r="E13" s="16" t="inlineStr"/>
      <c r="F13" s="16" t="inlineStr"/>
      <c r="G13" s="16" t="inlineStr"/>
      <c r="H13" s="15" t="inlineStr"/>
      <c r="I13" s="16" t="n">
        <v>5</v>
      </c>
      <c r="J13" s="16" t="inlineStr"/>
      <c r="K13" s="16" t="inlineStr">
        <is>
          <t>Active</t>
        </is>
      </c>
    </row>
    <row r="14" ht="22" customHeight="1">
      <c r="B14" s="8" t="inlineStr">
        <is>
          <t>LM/2024/0010</t>
        </is>
      </c>
      <c r="C14" s="9" t="inlineStr"/>
      <c r="D14" s="10" t="inlineStr">
        <is>
          <t>Ph.D. Scholar</t>
        </is>
      </c>
      <c r="E14" s="10" t="inlineStr"/>
      <c r="F14" s="10" t="inlineStr"/>
      <c r="G14" s="10" t="inlineStr"/>
      <c r="H14" s="9" t="inlineStr"/>
      <c r="I14" s="10" t="n">
        <v>8</v>
      </c>
      <c r="J14" s="10" t="inlineStr"/>
      <c r="K14" s="10" t="inlineStr">
        <is>
          <t>Active</t>
        </is>
      </c>
    </row>
    <row r="15" ht="22" customHeight="1">
      <c r="B15" s="14" t="inlineStr">
        <is>
          <t>LM/2024/0011</t>
        </is>
      </c>
      <c r="C15" s="15" t="inlineStr"/>
      <c r="D15" s="16" t="inlineStr">
        <is>
          <t>Faculty</t>
        </is>
      </c>
      <c r="E15" s="16" t="inlineStr"/>
      <c r="F15" s="16" t="inlineStr"/>
      <c r="G15" s="16" t="inlineStr"/>
      <c r="H15" s="15" t="inlineStr"/>
      <c r="I15" s="16" t="n">
        <v>10</v>
      </c>
      <c r="J15" s="16" t="inlineStr"/>
      <c r="K15" s="16" t="inlineStr">
        <is>
          <t>Active</t>
        </is>
      </c>
    </row>
    <row r="16" ht="22" customHeight="1">
      <c r="B16" s="8" t="inlineStr">
        <is>
          <t>LM/2024/0012</t>
        </is>
      </c>
      <c r="C16" s="9" t="inlineStr"/>
      <c r="D16" s="10" t="inlineStr">
        <is>
          <t>Non-Teaching Staff</t>
        </is>
      </c>
      <c r="E16" s="10" t="inlineStr"/>
      <c r="F16" s="10" t="inlineStr"/>
      <c r="G16" s="10" t="inlineStr"/>
      <c r="H16" s="9" t="inlineStr"/>
      <c r="I16" s="10" t="n">
        <v>3</v>
      </c>
      <c r="J16" s="10" t="inlineStr"/>
      <c r="K16" s="10" t="inlineStr">
        <is>
          <t>Active</t>
        </is>
      </c>
    </row>
    <row r="17" ht="22" customHeight="1">
      <c r="B17" s="14" t="inlineStr">
        <is>
          <t>LM/2024/0013</t>
        </is>
      </c>
      <c r="C17" s="15" t="inlineStr"/>
      <c r="D17" s="16" t="inlineStr">
        <is>
          <t>Guest Faculty</t>
        </is>
      </c>
      <c r="E17" s="16" t="inlineStr"/>
      <c r="F17" s="16" t="inlineStr"/>
      <c r="G17" s="16" t="inlineStr"/>
      <c r="H17" s="15" t="inlineStr"/>
      <c r="I17" s="16" t="n">
        <v>5</v>
      </c>
      <c r="J17" s="16" t="inlineStr"/>
      <c r="K17" s="16" t="inlineStr">
        <is>
          <t>Active</t>
        </is>
      </c>
    </row>
    <row r="18" ht="22" customHeight="1">
      <c r="B18" s="8" t="inlineStr">
        <is>
          <t>LM/2025/0014</t>
        </is>
      </c>
      <c r="C18" s="9" t="inlineStr"/>
      <c r="D18" s="10" t="inlineStr">
        <is>
          <t>Alumni Member</t>
        </is>
      </c>
      <c r="E18" s="10" t="inlineStr"/>
      <c r="F18" s="10" t="inlineStr"/>
      <c r="G18" s="10" t="inlineStr"/>
      <c r="H18" s="9" t="inlineStr"/>
      <c r="I18" s="10" t="n">
        <v>2</v>
      </c>
      <c r="J18" s="10" t="inlineStr"/>
      <c r="K18" s="10" t="inlineStr">
        <is>
          <t>Active</t>
        </is>
      </c>
    </row>
    <row r="19" ht="22" customHeight="1">
      <c r="B19" s="14" t="inlineStr">
        <is>
          <t>LM/2025/0015</t>
        </is>
      </c>
      <c r="C19" s="15" t="inlineStr"/>
      <c r="D19" s="16" t="inlineStr">
        <is>
          <t>UG Student</t>
        </is>
      </c>
      <c r="E19" s="16" t="inlineStr"/>
      <c r="F19" s="16" t="inlineStr"/>
      <c r="G19" s="16" t="inlineStr"/>
      <c r="H19" s="15" t="inlineStr"/>
      <c r="I19" s="16" t="n">
        <v>3</v>
      </c>
      <c r="J19" s="16" t="inlineStr"/>
      <c r="K19" s="16" t="inlineStr">
        <is>
          <t>Active</t>
        </is>
      </c>
    </row>
    <row r="20" ht="22" customHeight="1">
      <c r="B20" s="8" t="inlineStr">
        <is>
          <t>LM/2025/0016</t>
        </is>
      </c>
      <c r="C20" s="9" t="inlineStr"/>
      <c r="D20" s="10" t="inlineStr">
        <is>
          <t>PG Student</t>
        </is>
      </c>
      <c r="E20" s="10" t="inlineStr"/>
      <c r="F20" s="10" t="inlineStr"/>
      <c r="G20" s="10" t="inlineStr"/>
      <c r="H20" s="9" t="inlineStr"/>
      <c r="I20" s="10" t="n">
        <v>5</v>
      </c>
      <c r="J20" s="10" t="inlineStr"/>
      <c r="K20" s="10" t="inlineStr">
        <is>
          <t>Active</t>
        </is>
      </c>
    </row>
    <row r="21" ht="22" customHeight="1">
      <c r="B21" s="14" t="inlineStr">
        <is>
          <t>LM/2025/0017</t>
        </is>
      </c>
      <c r="C21" s="15" t="inlineStr"/>
      <c r="D21" s="16" t="inlineStr">
        <is>
          <t>Ph.D. Scholar</t>
        </is>
      </c>
      <c r="E21" s="16" t="inlineStr"/>
      <c r="F21" s="16" t="inlineStr"/>
      <c r="G21" s="16" t="inlineStr"/>
      <c r="H21" s="15" t="inlineStr"/>
      <c r="I21" s="16" t="n">
        <v>8</v>
      </c>
      <c r="J21" s="16" t="inlineStr"/>
      <c r="K21" s="16" t="inlineStr">
        <is>
          <t>Active</t>
        </is>
      </c>
    </row>
    <row r="22" ht="22" customHeight="1">
      <c r="B22" s="8" t="inlineStr">
        <is>
          <t>LM/2025/0018</t>
        </is>
      </c>
      <c r="C22" s="9" t="inlineStr"/>
      <c r="D22" s="10" t="inlineStr">
        <is>
          <t>Faculty</t>
        </is>
      </c>
      <c r="E22" s="10" t="inlineStr"/>
      <c r="F22" s="10" t="inlineStr"/>
      <c r="G22" s="10" t="inlineStr"/>
      <c r="H22" s="9" t="inlineStr"/>
      <c r="I22" s="10" t="n">
        <v>10</v>
      </c>
      <c r="J22" s="10" t="inlineStr"/>
      <c r="K22" s="10" t="inlineStr">
        <is>
          <t>Active</t>
        </is>
      </c>
    </row>
    <row r="23" ht="22" customHeight="1">
      <c r="B23" s="14" t="inlineStr">
        <is>
          <t>LM/2025/0019</t>
        </is>
      </c>
      <c r="C23" s="15" t="inlineStr"/>
      <c r="D23" s="16" t="inlineStr">
        <is>
          <t>Non-Teaching Staff</t>
        </is>
      </c>
      <c r="E23" s="16" t="inlineStr"/>
      <c r="F23" s="16" t="inlineStr"/>
      <c r="G23" s="16" t="inlineStr"/>
      <c r="H23" s="15" t="inlineStr"/>
      <c r="I23" s="16" t="n">
        <v>3</v>
      </c>
      <c r="J23" s="16" t="inlineStr"/>
      <c r="K23" s="16" t="inlineStr">
        <is>
          <t>Active</t>
        </is>
      </c>
    </row>
    <row r="24" ht="22" customHeight="1">
      <c r="B24" s="8" t="inlineStr">
        <is>
          <t>LM/2025/0020</t>
        </is>
      </c>
      <c r="C24" s="9" t="inlineStr"/>
      <c r="D24" s="10" t="inlineStr">
        <is>
          <t>Guest Faculty</t>
        </is>
      </c>
      <c r="E24" s="10" t="inlineStr"/>
      <c r="F24" s="10" t="inlineStr"/>
      <c r="G24" s="10" t="inlineStr"/>
      <c r="H24" s="9" t="inlineStr"/>
      <c r="I24" s="10" t="n">
        <v>5</v>
      </c>
      <c r="J24" s="10" t="inlineStr"/>
      <c r="K24" s="10" t="inlineStr">
        <is>
          <t>Active</t>
        </is>
      </c>
    </row>
    <row r="25" ht="22" customHeight="1">
      <c r="B25" s="14" t="inlineStr">
        <is>
          <t>LM/2025/0021</t>
        </is>
      </c>
      <c r="C25" s="15" t="inlineStr"/>
      <c r="D25" s="16" t="inlineStr">
        <is>
          <t>Alumni Member</t>
        </is>
      </c>
      <c r="E25" s="16" t="inlineStr"/>
      <c r="F25" s="16" t="inlineStr"/>
      <c r="G25" s="16" t="inlineStr"/>
      <c r="H25" s="15" t="inlineStr"/>
      <c r="I25" s="16" t="n">
        <v>2</v>
      </c>
      <c r="J25" s="16" t="inlineStr"/>
      <c r="K25" s="16" t="inlineStr">
        <is>
          <t>Active</t>
        </is>
      </c>
    </row>
    <row r="26" ht="22" customHeight="1">
      <c r="B26" s="8" t="inlineStr">
        <is>
          <t>LM/2025/0022</t>
        </is>
      </c>
      <c r="C26" s="9" t="inlineStr"/>
      <c r="D26" s="10" t="inlineStr">
        <is>
          <t>UG Student</t>
        </is>
      </c>
      <c r="E26" s="10" t="inlineStr"/>
      <c r="F26" s="10" t="inlineStr"/>
      <c r="G26" s="10" t="inlineStr"/>
      <c r="H26" s="9" t="inlineStr"/>
      <c r="I26" s="10" t="n">
        <v>3</v>
      </c>
      <c r="J26" s="10" t="inlineStr"/>
      <c r="K26" s="10" t="inlineStr">
        <is>
          <t>Active</t>
        </is>
      </c>
    </row>
    <row r="27" ht="22" customHeight="1">
      <c r="B27" s="14" t="inlineStr">
        <is>
          <t>LM/2025/0023</t>
        </is>
      </c>
      <c r="C27" s="15" t="inlineStr"/>
      <c r="D27" s="16" t="inlineStr">
        <is>
          <t>PG Student</t>
        </is>
      </c>
      <c r="E27" s="16" t="inlineStr"/>
      <c r="F27" s="16" t="inlineStr"/>
      <c r="G27" s="16" t="inlineStr"/>
      <c r="H27" s="15" t="inlineStr"/>
      <c r="I27" s="16" t="n">
        <v>5</v>
      </c>
      <c r="J27" s="16" t="inlineStr"/>
      <c r="K27" s="16" t="inlineStr">
        <is>
          <t>Active</t>
        </is>
      </c>
    </row>
    <row r="28" ht="22" customHeight="1">
      <c r="B28" s="8" t="inlineStr">
        <is>
          <t>LM/2025/0024</t>
        </is>
      </c>
      <c r="C28" s="9" t="inlineStr"/>
      <c r="D28" s="10" t="inlineStr">
        <is>
          <t>Ph.D. Scholar</t>
        </is>
      </c>
      <c r="E28" s="10" t="inlineStr"/>
      <c r="F28" s="10" t="inlineStr"/>
      <c r="G28" s="10" t="inlineStr"/>
      <c r="H28" s="9" t="inlineStr"/>
      <c r="I28" s="10" t="n">
        <v>8</v>
      </c>
      <c r="J28" s="10" t="inlineStr"/>
      <c r="K28" s="10" t="inlineStr">
        <is>
          <t>Active</t>
        </is>
      </c>
    </row>
    <row r="29" ht="22" customHeight="1">
      <c r="B29" s="14" t="inlineStr">
        <is>
          <t>LM/2025/0025</t>
        </is>
      </c>
      <c r="C29" s="15" t="inlineStr"/>
      <c r="D29" s="16" t="inlineStr">
        <is>
          <t>Faculty</t>
        </is>
      </c>
      <c r="E29" s="16" t="inlineStr"/>
      <c r="F29" s="16" t="inlineStr"/>
      <c r="G29" s="16" t="inlineStr"/>
      <c r="H29" s="15" t="inlineStr"/>
      <c r="I29" s="16" t="n">
        <v>10</v>
      </c>
      <c r="J29" s="16" t="inlineStr"/>
      <c r="K29" s="16" t="inlineStr">
        <is>
          <t>Active</t>
        </is>
      </c>
    </row>
    <row r="30" ht="22" customHeight="1">
      <c r="B30" s="8" t="inlineStr">
        <is>
          <t>LM/2025/0026</t>
        </is>
      </c>
      <c r="C30" s="9" t="inlineStr"/>
      <c r="D30" s="10" t="inlineStr">
        <is>
          <t>Non-Teaching Staff</t>
        </is>
      </c>
      <c r="E30" s="10" t="inlineStr"/>
      <c r="F30" s="10" t="inlineStr"/>
      <c r="G30" s="10" t="inlineStr"/>
      <c r="H30" s="9" t="inlineStr"/>
      <c r="I30" s="10" t="n">
        <v>3</v>
      </c>
      <c r="J30" s="10" t="inlineStr"/>
      <c r="K30" s="10" t="inlineStr">
        <is>
          <t>Active</t>
        </is>
      </c>
    </row>
    <row r="31" ht="22" customHeight="1"/>
    <row r="32" ht="24" customHeight="1">
      <c r="B32" s="18" t="inlineStr">
        <is>
          <t>MEMBERSHIP SUMMARY BY CATEGORY</t>
        </is>
      </c>
    </row>
    <row r="33" ht="22" customHeight="1">
      <c r="B33" s="19" t="inlineStr">
        <is>
          <t>Member Category</t>
        </is>
      </c>
      <c r="C33" s="19" t="inlineStr">
        <is>
          <t>Active
Members</t>
        </is>
      </c>
      <c r="D33" s="19" t="inlineStr">
        <is>
          <t>Books
Permitted</t>
        </is>
      </c>
      <c r="E33" s="19" t="inlineStr">
        <is>
          <t>Avg Books
Issued</t>
        </is>
      </c>
      <c r="F33" s="19" t="inlineStr">
        <is>
          <t>Regular
Users (%)</t>
        </is>
      </c>
      <c r="G33" s="19" t="inlineStr">
        <is>
          <t>Lost / Suspended</t>
        </is>
      </c>
      <c r="H33" s="19" t="inlineStr">
        <is>
          <t>New This Year</t>
        </is>
      </c>
      <c r="I33" s="19" t="inlineStr">
        <is>
          <t>Renewals</t>
        </is>
      </c>
    </row>
    <row r="34" ht="22" customHeight="1">
      <c r="B34" s="34" t="inlineStr">
        <is>
          <t>UG Student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40" t="n"/>
      <c r="K34" s="40" t="n"/>
    </row>
    <row r="35" ht="22" customHeight="1">
      <c r="B35" s="9" t="inlineStr">
        <is>
          <t>PG Student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41" t="n"/>
      <c r="K35" s="41" t="n"/>
    </row>
    <row r="36" ht="22" customHeight="1">
      <c r="B36" s="34" t="inlineStr">
        <is>
          <t>Ph.D. Scholar</t>
        </is>
      </c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40" t="n"/>
      <c r="K36" s="40" t="n"/>
    </row>
    <row r="37" ht="22" customHeight="1">
      <c r="B37" s="9" t="inlineStr">
        <is>
          <t>Faculty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41" t="n"/>
      <c r="K37" s="41" t="n"/>
    </row>
    <row r="38" ht="22" customHeight="1">
      <c r="B38" s="34" t="inlineStr">
        <is>
          <t>Non-Teaching Staff</t>
        </is>
      </c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40" t="n"/>
      <c r="K38" s="40" t="n"/>
    </row>
    <row r="39" ht="22" customHeight="1">
      <c r="B39" s="9" t="inlineStr">
        <is>
          <t>Guest Faculty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41" t="n"/>
      <c r="K39" s="41" t="n"/>
    </row>
    <row r="40">
      <c r="B40" s="34" t="inlineStr">
        <is>
          <t>Alumni Member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40" t="n"/>
      <c r="K40" s="40" t="n"/>
    </row>
    <row r="41">
      <c r="B41" s="26" t="inlineStr">
        <is>
          <t>TOTAL</t>
        </is>
      </c>
      <c r="C41" s="42" t="inlineStr"/>
      <c r="D41" s="42" t="inlineStr"/>
      <c r="E41" s="42" t="inlineStr"/>
      <c r="F41" s="42" t="inlineStr"/>
      <c r="G41" s="42" t="inlineStr"/>
      <c r="H41" s="42" t="inlineStr"/>
      <c r="I41" s="42" t="inlineStr"/>
      <c r="J41" s="43" t="n"/>
      <c r="K41" s="43" t="n"/>
    </row>
  </sheetData>
  <mergeCells count="3">
    <mergeCell ref="B32:K32"/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LIB-14: BOOK ISSUE &amp; RETURN DAILY CIRCULATION REGISTER</t>
        </is>
      </c>
    </row>
    <row r="3" ht="25" customHeight="1">
      <c r="B3" s="2" t="inlineStr">
        <is>
          <t>Date: _______  Librarian on Duty: ___________________  Opening Stock: _______  Closing Stock: _______</t>
        </is>
      </c>
    </row>
    <row r="4" ht="25" customHeight="1">
      <c r="B4" s="13" t="inlineStr">
        <is>
          <t>Trans.
Ref.</t>
        </is>
      </c>
      <c r="C4" s="13" t="inlineStr">
        <is>
          <t>Member Name</t>
        </is>
      </c>
      <c r="D4" s="13" t="inlineStr">
        <is>
          <t>Member
ID</t>
        </is>
      </c>
      <c r="E4" s="13" t="inlineStr">
        <is>
          <t>Category</t>
        </is>
      </c>
      <c r="F4" s="13" t="inlineStr">
        <is>
          <t>Book Title
(Brief)</t>
        </is>
      </c>
      <c r="G4" s="13" t="inlineStr">
        <is>
          <t>Accession
No.</t>
        </is>
      </c>
      <c r="H4" s="13" t="inlineStr">
        <is>
          <t>Date
Issued</t>
        </is>
      </c>
      <c r="I4" s="13" t="inlineStr">
        <is>
          <t>Due
Date</t>
        </is>
      </c>
      <c r="J4" s="13" t="inlineStr">
        <is>
          <t>Date
Returned</t>
        </is>
      </c>
      <c r="K4" s="13" t="inlineStr">
        <is>
          <t>Fine (₹)</t>
        </is>
      </c>
    </row>
    <row r="5" ht="22" customHeight="1">
      <c r="B5" s="14" t="inlineStr">
        <is>
          <t>CIR/00001</t>
        </is>
      </c>
      <c r="C5" s="15" t="inlineStr"/>
      <c r="D5" s="16" t="inlineStr"/>
      <c r="E5" s="16" t="inlineStr"/>
      <c r="F5" s="15" t="inlineStr"/>
      <c r="G5" s="16" t="inlineStr"/>
      <c r="H5" s="16" t="inlineStr"/>
      <c r="I5" s="16" t="inlineStr"/>
      <c r="J5" s="16" t="inlineStr"/>
      <c r="K5" s="16">
        <f>IFERROR(IF(J5="",0,MAX(0,J5-I5)*2),"")</f>
        <v/>
      </c>
    </row>
    <row r="6" ht="22" customHeight="1">
      <c r="B6" s="8" t="inlineStr">
        <is>
          <t>CIR/00002</t>
        </is>
      </c>
      <c r="C6" s="9" t="inlineStr"/>
      <c r="D6" s="10" t="inlineStr"/>
      <c r="E6" s="10" t="inlineStr"/>
      <c r="F6" s="9" t="inlineStr"/>
      <c r="G6" s="10" t="inlineStr"/>
      <c r="H6" s="10" t="inlineStr"/>
      <c r="I6" s="10" t="inlineStr"/>
      <c r="J6" s="10" t="inlineStr"/>
      <c r="K6" s="10">
        <f>IFERROR(IF(J6="",0,MAX(0,J6-I6)*2),"")</f>
        <v/>
      </c>
    </row>
    <row r="7" ht="22" customHeight="1">
      <c r="B7" s="14" t="inlineStr">
        <is>
          <t>CIR/00003</t>
        </is>
      </c>
      <c r="C7" s="15" t="inlineStr"/>
      <c r="D7" s="16" t="inlineStr"/>
      <c r="E7" s="16" t="inlineStr"/>
      <c r="F7" s="15" t="inlineStr"/>
      <c r="G7" s="16" t="inlineStr"/>
      <c r="H7" s="16" t="inlineStr"/>
      <c r="I7" s="16" t="inlineStr"/>
      <c r="J7" s="16" t="inlineStr"/>
      <c r="K7" s="16">
        <f>IFERROR(IF(J7="",0,MAX(0,J7-I7)*2),"")</f>
        <v/>
      </c>
    </row>
    <row r="8" ht="22" customHeight="1">
      <c r="B8" s="8" t="inlineStr">
        <is>
          <t>CIR/00004</t>
        </is>
      </c>
      <c r="C8" s="9" t="inlineStr"/>
      <c r="D8" s="10" t="inlineStr"/>
      <c r="E8" s="10" t="inlineStr"/>
      <c r="F8" s="9" t="inlineStr"/>
      <c r="G8" s="10" t="inlineStr"/>
      <c r="H8" s="10" t="inlineStr"/>
      <c r="I8" s="10" t="inlineStr"/>
      <c r="J8" s="10" t="inlineStr"/>
      <c r="K8" s="10">
        <f>IFERROR(IF(J8="",0,MAX(0,J8-I8)*2),"")</f>
        <v/>
      </c>
    </row>
    <row r="9" ht="22" customHeight="1">
      <c r="B9" s="14" t="inlineStr">
        <is>
          <t>CIR/00005</t>
        </is>
      </c>
      <c r="C9" s="15" t="inlineStr"/>
      <c r="D9" s="16" t="inlineStr"/>
      <c r="E9" s="16" t="inlineStr"/>
      <c r="F9" s="15" t="inlineStr"/>
      <c r="G9" s="16" t="inlineStr"/>
      <c r="H9" s="16" t="inlineStr"/>
      <c r="I9" s="16" t="inlineStr"/>
      <c r="J9" s="16" t="inlineStr"/>
      <c r="K9" s="16">
        <f>IFERROR(IF(J9="",0,MAX(0,J9-I9)*2),"")</f>
        <v/>
      </c>
    </row>
    <row r="10" ht="22" customHeight="1">
      <c r="B10" s="8" t="inlineStr">
        <is>
          <t>CIR/00006</t>
        </is>
      </c>
      <c r="C10" s="9" t="inlineStr"/>
      <c r="D10" s="10" t="inlineStr"/>
      <c r="E10" s="10" t="inlineStr"/>
      <c r="F10" s="9" t="inlineStr"/>
      <c r="G10" s="10" t="inlineStr"/>
      <c r="H10" s="10" t="inlineStr"/>
      <c r="I10" s="10" t="inlineStr"/>
      <c r="J10" s="10" t="inlineStr"/>
      <c r="K10" s="10">
        <f>IFERROR(IF(J10="",0,MAX(0,J10-I10)*2),"")</f>
        <v/>
      </c>
    </row>
    <row r="11" ht="22" customHeight="1">
      <c r="B11" s="14" t="inlineStr">
        <is>
          <t>CIR/00007</t>
        </is>
      </c>
      <c r="C11" s="15" t="inlineStr"/>
      <c r="D11" s="16" t="inlineStr"/>
      <c r="E11" s="16" t="inlineStr"/>
      <c r="F11" s="15" t="inlineStr"/>
      <c r="G11" s="16" t="inlineStr"/>
      <c r="H11" s="16" t="inlineStr"/>
      <c r="I11" s="16" t="inlineStr"/>
      <c r="J11" s="16" t="inlineStr"/>
      <c r="K11" s="16">
        <f>IFERROR(IF(J11="",0,MAX(0,J11-I11)*2),"")</f>
        <v/>
      </c>
    </row>
    <row r="12" ht="22" customHeight="1">
      <c r="B12" s="8" t="inlineStr">
        <is>
          <t>CIR/00008</t>
        </is>
      </c>
      <c r="C12" s="9" t="inlineStr"/>
      <c r="D12" s="10" t="inlineStr"/>
      <c r="E12" s="10" t="inlineStr"/>
      <c r="F12" s="9" t="inlineStr"/>
      <c r="G12" s="10" t="inlineStr"/>
      <c r="H12" s="10" t="inlineStr"/>
      <c r="I12" s="10" t="inlineStr"/>
      <c r="J12" s="10" t="inlineStr"/>
      <c r="K12" s="10">
        <f>IFERROR(IF(J12="",0,MAX(0,J12-I12)*2),"")</f>
        <v/>
      </c>
    </row>
    <row r="13" ht="22" customHeight="1">
      <c r="B13" s="14" t="inlineStr">
        <is>
          <t>CIR/00009</t>
        </is>
      </c>
      <c r="C13" s="15" t="inlineStr"/>
      <c r="D13" s="16" t="inlineStr"/>
      <c r="E13" s="16" t="inlineStr"/>
      <c r="F13" s="15" t="inlineStr"/>
      <c r="G13" s="16" t="inlineStr"/>
      <c r="H13" s="16" t="inlineStr"/>
      <c r="I13" s="16" t="inlineStr"/>
      <c r="J13" s="16" t="inlineStr"/>
      <c r="K13" s="16">
        <f>IFERROR(IF(J13="",0,MAX(0,J13-I13)*2),"")</f>
        <v/>
      </c>
    </row>
    <row r="14" ht="22" customHeight="1">
      <c r="B14" s="8" t="inlineStr">
        <is>
          <t>CIR/00010</t>
        </is>
      </c>
      <c r="C14" s="9" t="inlineStr"/>
      <c r="D14" s="10" t="inlineStr"/>
      <c r="E14" s="10" t="inlineStr"/>
      <c r="F14" s="9" t="inlineStr"/>
      <c r="G14" s="10" t="inlineStr"/>
      <c r="H14" s="10" t="inlineStr"/>
      <c r="I14" s="10" t="inlineStr"/>
      <c r="J14" s="10" t="inlineStr"/>
      <c r="K14" s="10">
        <f>IFERROR(IF(J14="",0,MAX(0,J14-I14)*2),"")</f>
        <v/>
      </c>
    </row>
    <row r="15" ht="22" customHeight="1">
      <c r="B15" s="14" t="inlineStr">
        <is>
          <t>CIR/00011</t>
        </is>
      </c>
      <c r="C15" s="15" t="inlineStr"/>
      <c r="D15" s="16" t="inlineStr"/>
      <c r="E15" s="16" t="inlineStr"/>
      <c r="F15" s="15" t="inlineStr"/>
      <c r="G15" s="16" t="inlineStr"/>
      <c r="H15" s="16" t="inlineStr"/>
      <c r="I15" s="16" t="inlineStr"/>
      <c r="J15" s="16" t="inlineStr"/>
      <c r="K15" s="16">
        <f>IFERROR(IF(J15="",0,MAX(0,J15-I15)*2),"")</f>
        <v/>
      </c>
    </row>
    <row r="16" ht="22" customHeight="1">
      <c r="B16" s="8" t="inlineStr">
        <is>
          <t>CIR/00012</t>
        </is>
      </c>
      <c r="C16" s="9" t="inlineStr"/>
      <c r="D16" s="10" t="inlineStr"/>
      <c r="E16" s="10" t="inlineStr"/>
      <c r="F16" s="9" t="inlineStr"/>
      <c r="G16" s="10" t="inlineStr"/>
      <c r="H16" s="10" t="inlineStr"/>
      <c r="I16" s="10" t="inlineStr"/>
      <c r="J16" s="10" t="inlineStr"/>
      <c r="K16" s="10">
        <f>IFERROR(IF(J16="",0,MAX(0,J16-I16)*2),"")</f>
        <v/>
      </c>
    </row>
    <row r="17" ht="22" customHeight="1">
      <c r="B17" s="14" t="inlineStr">
        <is>
          <t>CIR/00013</t>
        </is>
      </c>
      <c r="C17" s="15" t="inlineStr"/>
      <c r="D17" s="16" t="inlineStr"/>
      <c r="E17" s="16" t="inlineStr"/>
      <c r="F17" s="15" t="inlineStr"/>
      <c r="G17" s="16" t="inlineStr"/>
      <c r="H17" s="16" t="inlineStr"/>
      <c r="I17" s="16" t="inlineStr"/>
      <c r="J17" s="16" t="inlineStr"/>
      <c r="K17" s="16">
        <f>IFERROR(IF(J17="",0,MAX(0,J17-I17)*2),"")</f>
        <v/>
      </c>
    </row>
    <row r="18" ht="22" customHeight="1">
      <c r="B18" s="8" t="inlineStr">
        <is>
          <t>CIR/00014</t>
        </is>
      </c>
      <c r="C18" s="9" t="inlineStr"/>
      <c r="D18" s="10" t="inlineStr"/>
      <c r="E18" s="10" t="inlineStr"/>
      <c r="F18" s="9" t="inlineStr"/>
      <c r="G18" s="10" t="inlineStr"/>
      <c r="H18" s="10" t="inlineStr"/>
      <c r="I18" s="10" t="inlineStr"/>
      <c r="J18" s="10" t="inlineStr"/>
      <c r="K18" s="10">
        <f>IFERROR(IF(J18="",0,MAX(0,J18-I18)*2),"")</f>
        <v/>
      </c>
    </row>
    <row r="19" ht="22" customHeight="1">
      <c r="B19" s="14" t="inlineStr">
        <is>
          <t>CIR/00015</t>
        </is>
      </c>
      <c r="C19" s="15" t="inlineStr"/>
      <c r="D19" s="16" t="inlineStr"/>
      <c r="E19" s="16" t="inlineStr"/>
      <c r="F19" s="15" t="inlineStr"/>
      <c r="G19" s="16" t="inlineStr"/>
      <c r="H19" s="16" t="inlineStr"/>
      <c r="I19" s="16" t="inlineStr"/>
      <c r="J19" s="16" t="inlineStr"/>
      <c r="K19" s="16">
        <f>IFERROR(IF(J19="",0,MAX(0,J19-I19)*2),"")</f>
        <v/>
      </c>
    </row>
    <row r="20" ht="22" customHeight="1">
      <c r="B20" s="8" t="inlineStr">
        <is>
          <t>CIR/00016</t>
        </is>
      </c>
      <c r="C20" s="9" t="inlineStr"/>
      <c r="D20" s="10" t="inlineStr"/>
      <c r="E20" s="10" t="inlineStr"/>
      <c r="F20" s="9" t="inlineStr"/>
      <c r="G20" s="10" t="inlineStr"/>
      <c r="H20" s="10" t="inlineStr"/>
      <c r="I20" s="10" t="inlineStr"/>
      <c r="J20" s="10" t="inlineStr"/>
      <c r="K20" s="10">
        <f>IFERROR(IF(J20="",0,MAX(0,J20-I20)*2),"")</f>
        <v/>
      </c>
    </row>
    <row r="21" ht="22" customHeight="1">
      <c r="B21" s="14" t="inlineStr">
        <is>
          <t>CIR/00017</t>
        </is>
      </c>
      <c r="C21" s="15" t="inlineStr"/>
      <c r="D21" s="16" t="inlineStr"/>
      <c r="E21" s="16" t="inlineStr"/>
      <c r="F21" s="15" t="inlineStr"/>
      <c r="G21" s="16" t="inlineStr"/>
      <c r="H21" s="16" t="inlineStr"/>
      <c r="I21" s="16" t="inlineStr"/>
      <c r="J21" s="16" t="inlineStr"/>
      <c r="K21" s="16">
        <f>IFERROR(IF(J21="",0,MAX(0,J21-I21)*2),"")</f>
        <v/>
      </c>
    </row>
    <row r="22" ht="22" customHeight="1">
      <c r="B22" s="8" t="inlineStr">
        <is>
          <t>CIR/00018</t>
        </is>
      </c>
      <c r="C22" s="9" t="inlineStr"/>
      <c r="D22" s="10" t="inlineStr"/>
      <c r="E22" s="10" t="inlineStr"/>
      <c r="F22" s="9" t="inlineStr"/>
      <c r="G22" s="10" t="inlineStr"/>
      <c r="H22" s="10" t="inlineStr"/>
      <c r="I22" s="10" t="inlineStr"/>
      <c r="J22" s="10" t="inlineStr"/>
      <c r="K22" s="10">
        <f>IFERROR(IF(J22="",0,MAX(0,J22-I22)*2),"")</f>
        <v/>
      </c>
    </row>
    <row r="23" ht="22" customHeight="1">
      <c r="B23" s="14" t="inlineStr">
        <is>
          <t>CIR/00019</t>
        </is>
      </c>
      <c r="C23" s="15" t="inlineStr"/>
      <c r="D23" s="16" t="inlineStr"/>
      <c r="E23" s="16" t="inlineStr"/>
      <c r="F23" s="15" t="inlineStr"/>
      <c r="G23" s="16" t="inlineStr"/>
      <c r="H23" s="16" t="inlineStr"/>
      <c r="I23" s="16" t="inlineStr"/>
      <c r="J23" s="16" t="inlineStr"/>
      <c r="K23" s="16">
        <f>IFERROR(IF(J23="",0,MAX(0,J23-I23)*2),"")</f>
        <v/>
      </c>
    </row>
    <row r="24" ht="22" customHeight="1">
      <c r="B24" s="8" t="inlineStr">
        <is>
          <t>CIR/00020</t>
        </is>
      </c>
      <c r="C24" s="9" t="inlineStr"/>
      <c r="D24" s="10" t="inlineStr"/>
      <c r="E24" s="10" t="inlineStr"/>
      <c r="F24" s="9" t="inlineStr"/>
      <c r="G24" s="10" t="inlineStr"/>
      <c r="H24" s="10" t="inlineStr"/>
      <c r="I24" s="10" t="inlineStr"/>
      <c r="J24" s="10" t="inlineStr"/>
      <c r="K24" s="10">
        <f>IFERROR(IF(J24="",0,MAX(0,J24-I24)*2),"")</f>
        <v/>
      </c>
    </row>
    <row r="25" ht="22" customHeight="1">
      <c r="B25" s="14" t="inlineStr">
        <is>
          <t>CIR/00021</t>
        </is>
      </c>
      <c r="C25" s="15" t="inlineStr"/>
      <c r="D25" s="16" t="inlineStr"/>
      <c r="E25" s="16" t="inlineStr"/>
      <c r="F25" s="15" t="inlineStr"/>
      <c r="G25" s="16" t="inlineStr"/>
      <c r="H25" s="16" t="inlineStr"/>
      <c r="I25" s="16" t="inlineStr"/>
      <c r="J25" s="16" t="inlineStr"/>
      <c r="K25" s="16">
        <f>IFERROR(IF(J25="",0,MAX(0,J25-I25)*2),"")</f>
        <v/>
      </c>
    </row>
    <row r="26" ht="22" customHeight="1">
      <c r="B26" s="8" t="inlineStr">
        <is>
          <t>CIR/00022</t>
        </is>
      </c>
      <c r="C26" s="9" t="inlineStr"/>
      <c r="D26" s="10" t="inlineStr"/>
      <c r="E26" s="10" t="inlineStr"/>
      <c r="F26" s="9" t="inlineStr"/>
      <c r="G26" s="10" t="inlineStr"/>
      <c r="H26" s="10" t="inlineStr"/>
      <c r="I26" s="10" t="inlineStr"/>
      <c r="J26" s="10" t="inlineStr"/>
      <c r="K26" s="10">
        <f>IFERROR(IF(J26="",0,MAX(0,J26-I26)*2),"")</f>
        <v/>
      </c>
    </row>
    <row r="27" ht="22" customHeight="1">
      <c r="B27" s="14" t="inlineStr">
        <is>
          <t>CIR/00023</t>
        </is>
      </c>
      <c r="C27" s="15" t="inlineStr"/>
      <c r="D27" s="16" t="inlineStr"/>
      <c r="E27" s="16" t="inlineStr"/>
      <c r="F27" s="15" t="inlineStr"/>
      <c r="G27" s="16" t="inlineStr"/>
      <c r="H27" s="16" t="inlineStr"/>
      <c r="I27" s="16" t="inlineStr"/>
      <c r="J27" s="16" t="inlineStr"/>
      <c r="K27" s="16">
        <f>IFERROR(IF(J27="",0,MAX(0,J27-I27)*2),"")</f>
        <v/>
      </c>
    </row>
    <row r="28" ht="22" customHeight="1">
      <c r="B28" s="8" t="inlineStr">
        <is>
          <t>CIR/00024</t>
        </is>
      </c>
      <c r="C28" s="9" t="inlineStr"/>
      <c r="D28" s="10" t="inlineStr"/>
      <c r="E28" s="10" t="inlineStr"/>
      <c r="F28" s="9" t="inlineStr"/>
      <c r="G28" s="10" t="inlineStr"/>
      <c r="H28" s="10" t="inlineStr"/>
      <c r="I28" s="10" t="inlineStr"/>
      <c r="J28" s="10" t="inlineStr"/>
      <c r="K28" s="10">
        <f>IFERROR(IF(J28="",0,MAX(0,J28-I28)*2),"")</f>
        <v/>
      </c>
    </row>
    <row r="29" ht="22" customHeight="1"/>
    <row r="30" ht="24" customHeight="1">
      <c r="B30" s="18" t="inlineStr">
        <is>
          <t>MONTHLY CIRCULATION SUMMARY</t>
        </is>
      </c>
    </row>
    <row r="31" ht="22" customHeight="1">
      <c r="B31" s="19" t="inlineStr">
        <is>
          <t>Month</t>
        </is>
      </c>
      <c r="C31" s="19" t="inlineStr">
        <is>
          <t>Total Issues</t>
        </is>
      </c>
      <c r="D31" s="19" t="inlineStr">
        <is>
          <t>Total Returns</t>
        </is>
      </c>
      <c r="E31" s="19" t="inlineStr">
        <is>
          <t>Renewals</t>
        </is>
      </c>
      <c r="F31" s="19" t="inlineStr">
        <is>
          <t>Overdue
Returns</t>
        </is>
      </c>
      <c r="G31" s="19" t="inlineStr">
        <is>
          <t>Fines
Collected (₹)</t>
        </is>
      </c>
      <c r="H31" s="19" t="inlineStr">
        <is>
          <t>Unique
Borrowers</t>
        </is>
      </c>
      <c r="I31" s="19" t="inlineStr">
        <is>
          <t>Books per
Borrower</t>
        </is>
      </c>
      <c r="J31" s="19" t="inlineStr">
        <is>
          <t>Peak
Day</t>
        </is>
      </c>
      <c r="K31" s="19" t="inlineStr">
        <is>
          <t>Peak
Count</t>
        </is>
      </c>
    </row>
    <row r="32" ht="22" customHeight="1">
      <c r="B32" s="33" t="inlineStr">
        <is>
          <t>April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>
        <f>IFERROR(ROUND(C32/H32,1),"")</f>
        <v/>
      </c>
      <c r="J32" s="20" t="inlineStr"/>
      <c r="K32" s="20" t="inlineStr"/>
    </row>
    <row r="33" ht="22" customHeight="1">
      <c r="B33" s="8" t="inlineStr">
        <is>
          <t>May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>
        <f>IFERROR(ROUND(C33/H33,1),"")</f>
        <v/>
      </c>
      <c r="J33" s="10" t="inlineStr"/>
      <c r="K33" s="10" t="inlineStr"/>
    </row>
    <row r="34" ht="22" customHeight="1">
      <c r="B34" s="33" t="inlineStr">
        <is>
          <t>June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20">
        <f>IFERROR(ROUND(C34/H34,1),"")</f>
        <v/>
      </c>
      <c r="J34" s="20" t="inlineStr"/>
      <c r="K34" s="20" t="inlineStr"/>
    </row>
    <row r="35" ht="22" customHeight="1">
      <c r="B35" s="8" t="inlineStr">
        <is>
          <t>July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>
        <f>IFERROR(ROUND(C35/H35,1),"")</f>
        <v/>
      </c>
      <c r="J35" s="10" t="inlineStr"/>
      <c r="K35" s="10" t="inlineStr"/>
    </row>
    <row r="36" ht="22" customHeight="1">
      <c r="B36" s="33" t="inlineStr">
        <is>
          <t>August</t>
        </is>
      </c>
      <c r="C36" s="20" t="inlineStr"/>
      <c r="D36" s="20" t="inlineStr"/>
      <c r="E36" s="20" t="inlineStr"/>
      <c r="F36" s="20" t="inlineStr"/>
      <c r="G36" s="20" t="inlineStr"/>
      <c r="H36" s="20" t="inlineStr"/>
      <c r="I36" s="20">
        <f>IFERROR(ROUND(C36/H36,1),"")</f>
        <v/>
      </c>
      <c r="J36" s="20" t="inlineStr"/>
      <c r="K36" s="20" t="inlineStr"/>
    </row>
    <row r="37" ht="22" customHeight="1">
      <c r="B37" s="8" t="inlineStr">
        <is>
          <t>September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>
        <f>IFERROR(ROUND(C37/H37,1),"")</f>
        <v/>
      </c>
      <c r="J37" s="10" t="inlineStr"/>
      <c r="K37" s="10" t="inlineStr"/>
    </row>
    <row r="38" ht="22" customHeight="1">
      <c r="B38" s="33" t="inlineStr">
        <is>
          <t>October</t>
        </is>
      </c>
      <c r="C38" s="20" t="inlineStr"/>
      <c r="D38" s="20" t="inlineStr"/>
      <c r="E38" s="20" t="inlineStr"/>
      <c r="F38" s="20" t="inlineStr"/>
      <c r="G38" s="20" t="inlineStr"/>
      <c r="H38" s="20" t="inlineStr"/>
      <c r="I38" s="20">
        <f>IFERROR(ROUND(C38/H38,1),"")</f>
        <v/>
      </c>
      <c r="J38" s="20" t="inlineStr"/>
      <c r="K38" s="20" t="inlineStr"/>
    </row>
    <row r="39" ht="22" customHeight="1">
      <c r="B39" s="8" t="inlineStr">
        <is>
          <t>November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>
        <f>IFERROR(ROUND(C39/H39,1),"")</f>
        <v/>
      </c>
      <c r="J39" s="10" t="inlineStr"/>
      <c r="K39" s="10" t="inlineStr"/>
    </row>
    <row r="40">
      <c r="B40" s="33" t="inlineStr">
        <is>
          <t>December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20">
        <f>IFERROR(ROUND(C40/H40,1),"")</f>
        <v/>
      </c>
      <c r="J40" s="20" t="inlineStr"/>
      <c r="K40" s="20" t="inlineStr"/>
    </row>
    <row r="41">
      <c r="B41" s="8" t="inlineStr">
        <is>
          <t>January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>
        <f>IFERROR(ROUND(C41/H41,1),"")</f>
        <v/>
      </c>
      <c r="J41" s="10" t="inlineStr"/>
      <c r="K41" s="10" t="inlineStr"/>
    </row>
    <row r="42">
      <c r="B42" s="33" t="inlineStr">
        <is>
          <t>February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>
        <f>IFERROR(ROUND(C42/H42,1),"")</f>
        <v/>
      </c>
      <c r="J42" s="20" t="inlineStr"/>
      <c r="K42" s="20" t="inlineStr"/>
    </row>
    <row r="43">
      <c r="B43" s="8" t="inlineStr">
        <is>
          <t>March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>
        <f>IFERROR(ROUND(C43/H43,1),"")</f>
        <v/>
      </c>
      <c r="J43" s="10" t="inlineStr"/>
      <c r="K43" s="10" t="inlineStr"/>
    </row>
  </sheetData>
  <mergeCells count="3">
    <mergeCell ref="B30:K30"/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LIB-15: OVERDUE BOOK &amp; FINE COLLECTION REGISTER</t>
        </is>
      </c>
    </row>
    <row r="3" ht="25" customHeight="1">
      <c r="B3" s="2" t="inlineStr">
        <is>
          <t>A.Y.: _______  Fine Rate: ₹ _____ per day  Librarian: ___________________</t>
        </is>
      </c>
    </row>
    <row r="4" ht="25" customHeight="1">
      <c r="B4" s="13" t="inlineStr">
        <is>
          <t>Trans.
Ref.</t>
        </is>
      </c>
      <c r="C4" s="13" t="inlineStr">
        <is>
          <t>Member Name</t>
        </is>
      </c>
      <c r="D4" s="13" t="inlineStr">
        <is>
          <t>Member
ID</t>
        </is>
      </c>
      <c r="E4" s="13" t="inlineStr">
        <is>
          <t>Book Title</t>
        </is>
      </c>
      <c r="F4" s="13" t="inlineStr">
        <is>
          <t>Due
Date</t>
        </is>
      </c>
      <c r="G4" s="13" t="inlineStr">
        <is>
          <t>Return
Date</t>
        </is>
      </c>
      <c r="H4" s="13" t="inlineStr">
        <is>
          <t>Days
Overdue</t>
        </is>
      </c>
      <c r="I4" s="13" t="inlineStr">
        <is>
          <t>Fine
Amount (₹)</t>
        </is>
      </c>
      <c r="J4" s="13" t="inlineStr">
        <is>
          <t>Fine
Paid (₹)</t>
        </is>
      </c>
    </row>
    <row r="5" ht="22" customHeight="1">
      <c r="B5" s="14" t="inlineStr">
        <is>
          <t>OVD/0001</t>
        </is>
      </c>
      <c r="C5" s="15" t="inlineStr"/>
      <c r="D5" s="16" t="inlineStr"/>
      <c r="E5" s="15" t="inlineStr"/>
      <c r="F5" s="16" t="inlineStr"/>
      <c r="G5" s="16" t="inlineStr"/>
      <c r="H5" s="16">
        <f>IFERROR(MAX(0,G5-F5),"")</f>
        <v/>
      </c>
      <c r="I5" s="16">
        <f>IFERROR(H5*2,"")</f>
        <v/>
      </c>
      <c r="J5" s="16" t="inlineStr"/>
    </row>
    <row r="6" ht="22" customHeight="1">
      <c r="B6" s="8" t="inlineStr">
        <is>
          <t>OVD/0002</t>
        </is>
      </c>
      <c r="C6" s="9" t="inlineStr"/>
      <c r="D6" s="10" t="inlineStr"/>
      <c r="E6" s="9" t="inlineStr"/>
      <c r="F6" s="10" t="inlineStr"/>
      <c r="G6" s="10" t="inlineStr"/>
      <c r="H6" s="10">
        <f>IFERROR(MAX(0,G6-F6),"")</f>
        <v/>
      </c>
      <c r="I6" s="10">
        <f>IFERROR(H6*2,"")</f>
        <v/>
      </c>
      <c r="J6" s="10" t="inlineStr"/>
    </row>
    <row r="7" ht="22" customHeight="1">
      <c r="B7" s="14" t="inlineStr">
        <is>
          <t>OVD/0003</t>
        </is>
      </c>
      <c r="C7" s="15" t="inlineStr"/>
      <c r="D7" s="16" t="inlineStr"/>
      <c r="E7" s="15" t="inlineStr"/>
      <c r="F7" s="16" t="inlineStr"/>
      <c r="G7" s="16" t="inlineStr"/>
      <c r="H7" s="16">
        <f>IFERROR(MAX(0,G7-F7),"")</f>
        <v/>
      </c>
      <c r="I7" s="16">
        <f>IFERROR(H7*2,"")</f>
        <v/>
      </c>
      <c r="J7" s="16" t="inlineStr"/>
    </row>
    <row r="8" ht="22" customHeight="1">
      <c r="B8" s="8" t="inlineStr">
        <is>
          <t>OVD/0004</t>
        </is>
      </c>
      <c r="C8" s="9" t="inlineStr"/>
      <c r="D8" s="10" t="inlineStr"/>
      <c r="E8" s="9" t="inlineStr"/>
      <c r="F8" s="10" t="inlineStr"/>
      <c r="G8" s="10" t="inlineStr"/>
      <c r="H8" s="10">
        <f>IFERROR(MAX(0,G8-F8),"")</f>
        <v/>
      </c>
      <c r="I8" s="10">
        <f>IFERROR(H8*2,"")</f>
        <v/>
      </c>
      <c r="J8" s="10" t="inlineStr"/>
    </row>
    <row r="9" ht="22" customHeight="1">
      <c r="B9" s="14" t="inlineStr">
        <is>
          <t>OVD/0005</t>
        </is>
      </c>
      <c r="C9" s="15" t="inlineStr"/>
      <c r="D9" s="16" t="inlineStr"/>
      <c r="E9" s="15" t="inlineStr"/>
      <c r="F9" s="16" t="inlineStr"/>
      <c r="G9" s="16" t="inlineStr"/>
      <c r="H9" s="16">
        <f>IFERROR(MAX(0,G9-F9),"")</f>
        <v/>
      </c>
      <c r="I9" s="16">
        <f>IFERROR(H9*2,"")</f>
        <v/>
      </c>
      <c r="J9" s="16" t="inlineStr"/>
    </row>
    <row r="10" ht="22" customHeight="1">
      <c r="B10" s="8" t="inlineStr">
        <is>
          <t>OVD/0006</t>
        </is>
      </c>
      <c r="C10" s="9" t="inlineStr"/>
      <c r="D10" s="10" t="inlineStr"/>
      <c r="E10" s="9" t="inlineStr"/>
      <c r="F10" s="10" t="inlineStr"/>
      <c r="G10" s="10" t="inlineStr"/>
      <c r="H10" s="10">
        <f>IFERROR(MAX(0,G10-F10),"")</f>
        <v/>
      </c>
      <c r="I10" s="10">
        <f>IFERROR(H10*2,"")</f>
        <v/>
      </c>
      <c r="J10" s="10" t="inlineStr"/>
    </row>
    <row r="11" ht="22" customHeight="1">
      <c r="B11" s="14" t="inlineStr">
        <is>
          <t>OVD/0007</t>
        </is>
      </c>
      <c r="C11" s="15" t="inlineStr"/>
      <c r="D11" s="16" t="inlineStr"/>
      <c r="E11" s="15" t="inlineStr"/>
      <c r="F11" s="16" t="inlineStr"/>
      <c r="G11" s="16" t="inlineStr"/>
      <c r="H11" s="16">
        <f>IFERROR(MAX(0,G11-F11),"")</f>
        <v/>
      </c>
      <c r="I11" s="16">
        <f>IFERROR(H11*2,"")</f>
        <v/>
      </c>
      <c r="J11" s="16" t="inlineStr"/>
    </row>
    <row r="12" ht="22" customHeight="1">
      <c r="B12" s="8" t="inlineStr">
        <is>
          <t>OVD/0008</t>
        </is>
      </c>
      <c r="C12" s="9" t="inlineStr"/>
      <c r="D12" s="10" t="inlineStr"/>
      <c r="E12" s="9" t="inlineStr"/>
      <c r="F12" s="10" t="inlineStr"/>
      <c r="G12" s="10" t="inlineStr"/>
      <c r="H12" s="10">
        <f>IFERROR(MAX(0,G12-F12),"")</f>
        <v/>
      </c>
      <c r="I12" s="10">
        <f>IFERROR(H12*2,"")</f>
        <v/>
      </c>
      <c r="J12" s="10" t="inlineStr"/>
    </row>
    <row r="13" ht="22" customHeight="1">
      <c r="B13" s="14" t="inlineStr">
        <is>
          <t>OVD/0009</t>
        </is>
      </c>
      <c r="C13" s="15" t="inlineStr"/>
      <c r="D13" s="16" t="inlineStr"/>
      <c r="E13" s="15" t="inlineStr"/>
      <c r="F13" s="16" t="inlineStr"/>
      <c r="G13" s="16" t="inlineStr"/>
      <c r="H13" s="16">
        <f>IFERROR(MAX(0,G13-F13),"")</f>
        <v/>
      </c>
      <c r="I13" s="16">
        <f>IFERROR(H13*2,"")</f>
        <v/>
      </c>
      <c r="J13" s="16" t="inlineStr"/>
    </row>
    <row r="14" ht="22" customHeight="1">
      <c r="B14" s="8" t="inlineStr">
        <is>
          <t>OVD/0010</t>
        </is>
      </c>
      <c r="C14" s="9" t="inlineStr"/>
      <c r="D14" s="10" t="inlineStr"/>
      <c r="E14" s="9" t="inlineStr"/>
      <c r="F14" s="10" t="inlineStr"/>
      <c r="G14" s="10" t="inlineStr"/>
      <c r="H14" s="10">
        <f>IFERROR(MAX(0,G14-F14),"")</f>
        <v/>
      </c>
      <c r="I14" s="10">
        <f>IFERROR(H14*2,"")</f>
        <v/>
      </c>
      <c r="J14" s="10" t="inlineStr"/>
    </row>
    <row r="15" ht="22" customHeight="1">
      <c r="B15" s="14" t="inlineStr">
        <is>
          <t>OVD/0011</t>
        </is>
      </c>
      <c r="C15" s="15" t="inlineStr"/>
      <c r="D15" s="16" t="inlineStr"/>
      <c r="E15" s="15" t="inlineStr"/>
      <c r="F15" s="16" t="inlineStr"/>
      <c r="G15" s="16" t="inlineStr"/>
      <c r="H15" s="16">
        <f>IFERROR(MAX(0,G15-F15),"")</f>
        <v/>
      </c>
      <c r="I15" s="16">
        <f>IFERROR(H15*2,"")</f>
        <v/>
      </c>
      <c r="J15" s="16" t="inlineStr"/>
    </row>
    <row r="16" ht="22" customHeight="1">
      <c r="B16" s="8" t="inlineStr">
        <is>
          <t>OVD/0012</t>
        </is>
      </c>
      <c r="C16" s="9" t="inlineStr"/>
      <c r="D16" s="10" t="inlineStr"/>
      <c r="E16" s="9" t="inlineStr"/>
      <c r="F16" s="10" t="inlineStr"/>
      <c r="G16" s="10" t="inlineStr"/>
      <c r="H16" s="10">
        <f>IFERROR(MAX(0,G16-F16),"")</f>
        <v/>
      </c>
      <c r="I16" s="10">
        <f>IFERROR(H16*2,"")</f>
        <v/>
      </c>
      <c r="J16" s="10" t="inlineStr"/>
    </row>
    <row r="17" ht="22" customHeight="1">
      <c r="B17" s="14" t="inlineStr">
        <is>
          <t>OVD/0013</t>
        </is>
      </c>
      <c r="C17" s="15" t="inlineStr"/>
      <c r="D17" s="16" t="inlineStr"/>
      <c r="E17" s="15" t="inlineStr"/>
      <c r="F17" s="16" t="inlineStr"/>
      <c r="G17" s="16" t="inlineStr"/>
      <c r="H17" s="16">
        <f>IFERROR(MAX(0,G17-F17),"")</f>
        <v/>
      </c>
      <c r="I17" s="16">
        <f>IFERROR(H17*2,"")</f>
        <v/>
      </c>
      <c r="J17" s="16" t="inlineStr"/>
    </row>
    <row r="18" ht="22" customHeight="1">
      <c r="B18" s="8" t="inlineStr">
        <is>
          <t>OVD/0014</t>
        </is>
      </c>
      <c r="C18" s="9" t="inlineStr"/>
      <c r="D18" s="10" t="inlineStr"/>
      <c r="E18" s="9" t="inlineStr"/>
      <c r="F18" s="10" t="inlineStr"/>
      <c r="G18" s="10" t="inlineStr"/>
      <c r="H18" s="10">
        <f>IFERROR(MAX(0,G18-F18),"")</f>
        <v/>
      </c>
      <c r="I18" s="10">
        <f>IFERROR(H18*2,"")</f>
        <v/>
      </c>
      <c r="J18" s="10" t="inlineStr"/>
    </row>
    <row r="19" ht="22" customHeight="1">
      <c r="B19" s="14" t="inlineStr">
        <is>
          <t>OVD/0015</t>
        </is>
      </c>
      <c r="C19" s="15" t="inlineStr"/>
      <c r="D19" s="16" t="inlineStr"/>
      <c r="E19" s="15" t="inlineStr"/>
      <c r="F19" s="16" t="inlineStr"/>
      <c r="G19" s="16" t="inlineStr"/>
      <c r="H19" s="16">
        <f>IFERROR(MAX(0,G19-F19),"")</f>
        <v/>
      </c>
      <c r="I19" s="16">
        <f>IFERROR(H19*2,"")</f>
        <v/>
      </c>
      <c r="J19" s="16" t="inlineStr"/>
    </row>
    <row r="20" ht="22" customHeight="1">
      <c r="B20" s="8" t="inlineStr">
        <is>
          <t>OVD/0016</t>
        </is>
      </c>
      <c r="C20" s="9" t="inlineStr"/>
      <c r="D20" s="10" t="inlineStr"/>
      <c r="E20" s="9" t="inlineStr"/>
      <c r="F20" s="10" t="inlineStr"/>
      <c r="G20" s="10" t="inlineStr"/>
      <c r="H20" s="10">
        <f>IFERROR(MAX(0,G20-F20),"")</f>
        <v/>
      </c>
      <c r="I20" s="10">
        <f>IFERROR(H20*2,"")</f>
        <v/>
      </c>
      <c r="J20" s="10" t="inlineStr"/>
    </row>
    <row r="21" ht="22" customHeight="1">
      <c r="B21" s="14" t="inlineStr">
        <is>
          <t>OVD/0017</t>
        </is>
      </c>
      <c r="C21" s="15" t="inlineStr"/>
      <c r="D21" s="16" t="inlineStr"/>
      <c r="E21" s="15" t="inlineStr"/>
      <c r="F21" s="16" t="inlineStr"/>
      <c r="G21" s="16" t="inlineStr"/>
      <c r="H21" s="16">
        <f>IFERROR(MAX(0,G21-F21),"")</f>
        <v/>
      </c>
      <c r="I21" s="16">
        <f>IFERROR(H21*2,"")</f>
        <v/>
      </c>
      <c r="J21" s="16" t="inlineStr"/>
    </row>
    <row r="22" ht="22" customHeight="1">
      <c r="B22" s="8" t="inlineStr">
        <is>
          <t>OVD/0018</t>
        </is>
      </c>
      <c r="C22" s="9" t="inlineStr"/>
      <c r="D22" s="10" t="inlineStr"/>
      <c r="E22" s="9" t="inlineStr"/>
      <c r="F22" s="10" t="inlineStr"/>
      <c r="G22" s="10" t="inlineStr"/>
      <c r="H22" s="10">
        <f>IFERROR(MAX(0,G22-F22),"")</f>
        <v/>
      </c>
      <c r="I22" s="10">
        <f>IFERROR(H22*2,"")</f>
        <v/>
      </c>
      <c r="J22" s="10" t="inlineStr"/>
    </row>
    <row r="23" ht="22" customHeight="1">
      <c r="B23" s="14" t="inlineStr">
        <is>
          <t>OVD/0019</t>
        </is>
      </c>
      <c r="C23" s="15" t="inlineStr"/>
      <c r="D23" s="16" t="inlineStr"/>
      <c r="E23" s="15" t="inlineStr"/>
      <c r="F23" s="16" t="inlineStr"/>
      <c r="G23" s="16" t="inlineStr"/>
      <c r="H23" s="16">
        <f>IFERROR(MAX(0,G23-F23),"")</f>
        <v/>
      </c>
      <c r="I23" s="16">
        <f>IFERROR(H23*2,"")</f>
        <v/>
      </c>
      <c r="J23" s="16" t="inlineStr"/>
    </row>
    <row r="24" ht="22" customHeight="1">
      <c r="B24" s="8" t="inlineStr">
        <is>
          <t>OVD/0020</t>
        </is>
      </c>
      <c r="C24" s="9" t="inlineStr"/>
      <c r="D24" s="10" t="inlineStr"/>
      <c r="E24" s="9" t="inlineStr"/>
      <c r="F24" s="10" t="inlineStr"/>
      <c r="G24" s="10" t="inlineStr"/>
      <c r="H24" s="10">
        <f>IFERROR(MAX(0,G24-F24),"")</f>
        <v/>
      </c>
      <c r="I24" s="10">
        <f>IFERROR(H24*2,"")</f>
        <v/>
      </c>
      <c r="J24" s="10" t="inlineStr"/>
    </row>
    <row r="25" ht="22" customHeight="1">
      <c r="B25" s="14" t="inlineStr">
        <is>
          <t>OVD/0021</t>
        </is>
      </c>
      <c r="C25" s="15" t="inlineStr"/>
      <c r="D25" s="16" t="inlineStr"/>
      <c r="E25" s="15" t="inlineStr"/>
      <c r="F25" s="16" t="inlineStr"/>
      <c r="G25" s="16" t="inlineStr"/>
      <c r="H25" s="16">
        <f>IFERROR(MAX(0,G25-F25),"")</f>
        <v/>
      </c>
      <c r="I25" s="16">
        <f>IFERROR(H25*2,"")</f>
        <v/>
      </c>
      <c r="J25" s="16" t="inlineStr"/>
    </row>
    <row r="26" ht="22" customHeight="1">
      <c r="B26" s="8" t="inlineStr">
        <is>
          <t>OVD/0022</t>
        </is>
      </c>
      <c r="C26" s="9" t="inlineStr"/>
      <c r="D26" s="10" t="inlineStr"/>
      <c r="E26" s="9" t="inlineStr"/>
      <c r="F26" s="10" t="inlineStr"/>
      <c r="G26" s="10" t="inlineStr"/>
      <c r="H26" s="10">
        <f>IFERROR(MAX(0,G26-F26),"")</f>
        <v/>
      </c>
      <c r="I26" s="10">
        <f>IFERROR(H26*2,"")</f>
        <v/>
      </c>
      <c r="J26" s="10" t="inlineStr"/>
    </row>
    <row r="27" ht="22" customHeight="1"/>
    <row r="28" ht="24" customHeight="1">
      <c r="B28" s="18" t="inlineStr">
        <is>
          <t>FINE COLLECTION SUMMARY</t>
        </is>
      </c>
    </row>
    <row r="29" ht="22" customHeight="1">
      <c r="B29" s="44" t="inlineStr">
        <is>
          <t>Total Overdue Transactions</t>
        </is>
      </c>
      <c r="F29" s="36">
        <f>COUNTA(B5:B26)</f>
        <v/>
      </c>
    </row>
    <row r="30" ht="22" customHeight="1">
      <c r="B30" s="28" t="inlineStr">
        <is>
          <t>Total Fine Levied (₹)</t>
        </is>
      </c>
      <c r="F30" s="37">
        <f>IFERROR(SUM(I5:I26),"")</f>
        <v/>
      </c>
    </row>
    <row r="31" ht="22" customHeight="1">
      <c r="B31" s="44" t="inlineStr">
        <is>
          <t>Total Fine Collected (₹)</t>
        </is>
      </c>
      <c r="F31" s="36">
        <f>IFERROR(SUM(J5:J26),"")</f>
        <v/>
      </c>
    </row>
    <row r="32" ht="22" customHeight="1">
      <c r="B32" s="28" t="inlineStr">
        <is>
          <t>Outstanding Fine (₹)</t>
        </is>
      </c>
      <c r="F32" s="37">
        <f>IFERROR(C30-C31,"")</f>
        <v/>
      </c>
    </row>
    <row r="33" ht="22" customHeight="1">
      <c r="B33" s="44" t="inlineStr">
        <is>
          <t>Collection Rate (%)</t>
        </is>
      </c>
      <c r="F33" s="36">
        <f>IFERROR(ROUND(C31/C30*100,1),"")</f>
        <v/>
      </c>
    </row>
    <row r="34">
      <c r="B34" s="28" t="inlineStr">
        <is>
          <t>Average Overdue Days</t>
        </is>
      </c>
      <c r="F34" s="37">
        <f>IFERROR(ROUND(AVERAGE(H5:H26),1),"")</f>
        <v/>
      </c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LIB-18: READING ROOM DAILY ATTENDANCE &amp; OCCUPANCY REGISTER</t>
        </is>
      </c>
    </row>
    <row r="3" ht="25" customHeight="1">
      <c r="B3" s="2" t="inlineStr">
        <is>
          <t>A.Y.: _______  Total Seating Capacity: _______  Operating Hours: _______</t>
        </is>
      </c>
    </row>
    <row r="4" ht="25" customHeight="1">
      <c r="B4" s="13" t="inlineStr">
        <is>
          <t>Date</t>
        </is>
      </c>
      <c r="C4" s="13" t="inlineStr">
        <is>
          <t>Day</t>
        </is>
      </c>
      <c r="D4" s="13" t="inlineStr">
        <is>
          <t>9–11 AM
Count</t>
        </is>
      </c>
      <c r="E4" s="13" t="inlineStr">
        <is>
          <t>11 AM–1 PM</t>
        </is>
      </c>
      <c r="F4" s="13" t="inlineStr">
        <is>
          <t>1–3 PM</t>
        </is>
      </c>
      <c r="G4" s="13" t="inlineStr">
        <is>
          <t>3–5 PM</t>
        </is>
      </c>
      <c r="H4" s="13" t="inlineStr">
        <is>
          <t>5–7 PM</t>
        </is>
      </c>
      <c r="I4" s="13" t="inlineStr">
        <is>
          <t>7–9 PM</t>
        </is>
      </c>
      <c r="J4" s="13" t="inlineStr">
        <is>
          <t>Total
Footfall</t>
        </is>
      </c>
      <c r="K4" s="13" t="inlineStr">
        <is>
          <t>Peak
Occupancy</t>
        </is>
      </c>
      <c r="L4" s="13" t="inlineStr">
        <is>
          <t>Average
Occupancy %</t>
        </is>
      </c>
    </row>
    <row r="5" ht="22" customHeight="1">
      <c r="B5" s="14" t="inlineStr"/>
      <c r="C5" s="16" t="inlineStr">
        <is>
          <t>Mon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>
        <f>IFERROR(SUM(D5:I5),"")</f>
        <v/>
      </c>
      <c r="K5" s="16">
        <f>IFERROR(MAX(D5:I5),"")</f>
        <v/>
      </c>
      <c r="L5" s="16">
        <f>IFERROR(ROUND(J5/(6*150)*100,1),"")</f>
        <v/>
      </c>
    </row>
    <row r="6" ht="22" customHeight="1">
      <c r="B6" s="8" t="inlineStr"/>
      <c r="C6" s="10" t="inlineStr">
        <is>
          <t>Tue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0">
        <f>IFERROR(SUM(D6:I6),"")</f>
        <v/>
      </c>
      <c r="K6" s="10">
        <f>IFERROR(MAX(D6:I6),"")</f>
        <v/>
      </c>
      <c r="L6" s="10">
        <f>IFERROR(ROUND(J6/(6*150)*100,1),"")</f>
        <v/>
      </c>
    </row>
    <row r="7" ht="22" customHeight="1">
      <c r="B7" s="14" t="inlineStr"/>
      <c r="C7" s="16" t="inlineStr">
        <is>
          <t>Wed</t>
        </is>
      </c>
      <c r="D7" s="16" t="inlineStr"/>
      <c r="E7" s="16" t="inlineStr"/>
      <c r="F7" s="16" t="inlineStr"/>
      <c r="G7" s="16" t="inlineStr"/>
      <c r="H7" s="16" t="inlineStr"/>
      <c r="I7" s="16" t="inlineStr"/>
      <c r="J7" s="16">
        <f>IFERROR(SUM(D7:I7),"")</f>
        <v/>
      </c>
      <c r="K7" s="16">
        <f>IFERROR(MAX(D7:I7),"")</f>
        <v/>
      </c>
      <c r="L7" s="16">
        <f>IFERROR(ROUND(J7/(6*150)*100,1),"")</f>
        <v/>
      </c>
    </row>
    <row r="8" ht="22" customHeight="1">
      <c r="B8" s="8" t="inlineStr"/>
      <c r="C8" s="10" t="inlineStr">
        <is>
          <t>Thu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0">
        <f>IFERROR(SUM(D8:I8),"")</f>
        <v/>
      </c>
      <c r="K8" s="10">
        <f>IFERROR(MAX(D8:I8),"")</f>
        <v/>
      </c>
      <c r="L8" s="10">
        <f>IFERROR(ROUND(J8/(6*150)*100,1),"")</f>
        <v/>
      </c>
    </row>
    <row r="9" ht="22" customHeight="1">
      <c r="B9" s="14" t="inlineStr"/>
      <c r="C9" s="16" t="inlineStr">
        <is>
          <t>Fri</t>
        </is>
      </c>
      <c r="D9" s="16" t="inlineStr"/>
      <c r="E9" s="16" t="inlineStr"/>
      <c r="F9" s="16" t="inlineStr"/>
      <c r="G9" s="16" t="inlineStr"/>
      <c r="H9" s="16" t="inlineStr"/>
      <c r="I9" s="16" t="inlineStr"/>
      <c r="J9" s="16">
        <f>IFERROR(SUM(D9:I9),"")</f>
        <v/>
      </c>
      <c r="K9" s="16">
        <f>IFERROR(MAX(D9:I9),"")</f>
        <v/>
      </c>
      <c r="L9" s="16">
        <f>IFERROR(ROUND(J9/(6*150)*100,1),"")</f>
        <v/>
      </c>
    </row>
    <row r="10" ht="22" customHeight="1">
      <c r="B10" s="8" t="inlineStr"/>
      <c r="C10" s="10" t="inlineStr">
        <is>
          <t>Sat</t>
        </is>
      </c>
      <c r="D10" s="10" t="inlineStr"/>
      <c r="E10" s="10" t="inlineStr"/>
      <c r="F10" s="10" t="inlineStr"/>
      <c r="G10" s="10" t="inlineStr"/>
      <c r="H10" s="10" t="inlineStr"/>
      <c r="I10" s="10" t="inlineStr"/>
      <c r="J10" s="10">
        <f>IFERROR(SUM(D10:I10),"")</f>
        <v/>
      </c>
      <c r="K10" s="10">
        <f>IFERROR(MAX(D10:I10),"")</f>
        <v/>
      </c>
      <c r="L10" s="10">
        <f>IFERROR(ROUND(J10/(6*150)*100,1),"")</f>
        <v/>
      </c>
    </row>
    <row r="11" ht="22" customHeight="1">
      <c r="B11" s="14" t="inlineStr"/>
      <c r="C11" s="16" t="inlineStr">
        <is>
          <t>Sun</t>
        </is>
      </c>
      <c r="D11" s="16" t="inlineStr"/>
      <c r="E11" s="16" t="inlineStr"/>
      <c r="F11" s="16" t="inlineStr"/>
      <c r="G11" s="16" t="inlineStr"/>
      <c r="H11" s="16" t="inlineStr"/>
      <c r="I11" s="16" t="inlineStr"/>
      <c r="J11" s="16">
        <f>IFERROR(SUM(D11:I11),"")</f>
        <v/>
      </c>
      <c r="K11" s="16">
        <f>IFERROR(MAX(D11:I11),"")</f>
        <v/>
      </c>
      <c r="L11" s="16">
        <f>IFERROR(ROUND(J11/(6*150)*100,1),"")</f>
        <v/>
      </c>
    </row>
    <row r="12" ht="22" customHeight="1">
      <c r="B12" s="8" t="inlineStr"/>
      <c r="C12" s="10" t="inlineStr">
        <is>
          <t>Mon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>
        <f>IFERROR(SUM(D12:I12),"")</f>
        <v/>
      </c>
      <c r="K12" s="10">
        <f>IFERROR(MAX(D12:I12),"")</f>
        <v/>
      </c>
      <c r="L12" s="10">
        <f>IFERROR(ROUND(J12/(6*150)*100,1),"")</f>
        <v/>
      </c>
    </row>
    <row r="13" ht="22" customHeight="1">
      <c r="B13" s="14" t="inlineStr"/>
      <c r="C13" s="16" t="inlineStr">
        <is>
          <t>Tue</t>
        </is>
      </c>
      <c r="D13" s="16" t="inlineStr"/>
      <c r="E13" s="16" t="inlineStr"/>
      <c r="F13" s="16" t="inlineStr"/>
      <c r="G13" s="16" t="inlineStr"/>
      <c r="H13" s="16" t="inlineStr"/>
      <c r="I13" s="16" t="inlineStr"/>
      <c r="J13" s="16">
        <f>IFERROR(SUM(D13:I13),"")</f>
        <v/>
      </c>
      <c r="K13" s="16">
        <f>IFERROR(MAX(D13:I13),"")</f>
        <v/>
      </c>
      <c r="L13" s="16">
        <f>IFERROR(ROUND(J13/(6*150)*100,1),"")</f>
        <v/>
      </c>
    </row>
    <row r="14" ht="22" customHeight="1">
      <c r="B14" s="8" t="inlineStr"/>
      <c r="C14" s="10" t="inlineStr">
        <is>
          <t>Wed</t>
        </is>
      </c>
      <c r="D14" s="10" t="inlineStr"/>
      <c r="E14" s="10" t="inlineStr"/>
      <c r="F14" s="10" t="inlineStr"/>
      <c r="G14" s="10" t="inlineStr"/>
      <c r="H14" s="10" t="inlineStr"/>
      <c r="I14" s="10" t="inlineStr"/>
      <c r="J14" s="10">
        <f>IFERROR(SUM(D14:I14),"")</f>
        <v/>
      </c>
      <c r="K14" s="10">
        <f>IFERROR(MAX(D14:I14),"")</f>
        <v/>
      </c>
      <c r="L14" s="10">
        <f>IFERROR(ROUND(J14/(6*150)*100,1),"")</f>
        <v/>
      </c>
    </row>
    <row r="15" ht="22" customHeight="1">
      <c r="B15" s="14" t="inlineStr"/>
      <c r="C15" s="16" t="inlineStr">
        <is>
          <t>Thu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>
        <f>IFERROR(SUM(D15:I15),"")</f>
        <v/>
      </c>
      <c r="K15" s="16">
        <f>IFERROR(MAX(D15:I15),"")</f>
        <v/>
      </c>
      <c r="L15" s="16">
        <f>IFERROR(ROUND(J15/(6*150)*100,1),"")</f>
        <v/>
      </c>
    </row>
    <row r="16" ht="22" customHeight="1">
      <c r="B16" s="8" t="inlineStr"/>
      <c r="C16" s="10" t="inlineStr">
        <is>
          <t>Fri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0">
        <f>IFERROR(SUM(D16:I16),"")</f>
        <v/>
      </c>
      <c r="K16" s="10">
        <f>IFERROR(MAX(D16:I16),"")</f>
        <v/>
      </c>
      <c r="L16" s="10">
        <f>IFERROR(ROUND(J16/(6*150)*100,1),"")</f>
        <v/>
      </c>
    </row>
    <row r="17" ht="22" customHeight="1">
      <c r="B17" s="14" t="inlineStr"/>
      <c r="C17" s="16" t="inlineStr">
        <is>
          <t>Sat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>
        <f>IFERROR(SUM(D17:I17),"")</f>
        <v/>
      </c>
      <c r="K17" s="16">
        <f>IFERROR(MAX(D17:I17),"")</f>
        <v/>
      </c>
      <c r="L17" s="16">
        <f>IFERROR(ROUND(J17/(6*150)*100,1),"")</f>
        <v/>
      </c>
    </row>
    <row r="18" ht="22" customHeight="1">
      <c r="B18" s="8" t="inlineStr"/>
      <c r="C18" s="10" t="inlineStr">
        <is>
          <t>Sun</t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>
        <f>IFERROR(SUM(D18:I18),"")</f>
        <v/>
      </c>
      <c r="K18" s="10">
        <f>IFERROR(MAX(D18:I18),"")</f>
        <v/>
      </c>
      <c r="L18" s="10">
        <f>IFERROR(ROUND(J18/(6*150)*100,1),"")</f>
        <v/>
      </c>
    </row>
    <row r="19" ht="22" customHeight="1">
      <c r="B19" s="14" t="inlineStr"/>
      <c r="C19" s="16" t="inlineStr">
        <is>
          <t>Mon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>
        <f>IFERROR(SUM(D19:I19),"")</f>
        <v/>
      </c>
      <c r="K19" s="16">
        <f>IFERROR(MAX(D19:I19),"")</f>
        <v/>
      </c>
      <c r="L19" s="16">
        <f>IFERROR(ROUND(J19/(6*150)*100,1),"")</f>
        <v/>
      </c>
    </row>
    <row r="20" ht="22" customHeight="1">
      <c r="B20" s="8" t="inlineStr"/>
      <c r="C20" s="10" t="inlineStr">
        <is>
          <t>Tue</t>
        </is>
      </c>
      <c r="D20" s="10" t="inlineStr"/>
      <c r="E20" s="10" t="inlineStr"/>
      <c r="F20" s="10" t="inlineStr"/>
      <c r="G20" s="10" t="inlineStr"/>
      <c r="H20" s="10" t="inlineStr"/>
      <c r="I20" s="10" t="inlineStr"/>
      <c r="J20" s="10">
        <f>IFERROR(SUM(D20:I20),"")</f>
        <v/>
      </c>
      <c r="K20" s="10">
        <f>IFERROR(MAX(D20:I20),"")</f>
        <v/>
      </c>
      <c r="L20" s="10">
        <f>IFERROR(ROUND(J20/(6*150)*100,1),"")</f>
        <v/>
      </c>
    </row>
    <row r="21" ht="22" customHeight="1">
      <c r="B21" s="14" t="inlineStr"/>
      <c r="C21" s="16" t="inlineStr">
        <is>
          <t>Wed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>
        <f>IFERROR(SUM(D21:I21),"")</f>
        <v/>
      </c>
      <c r="K21" s="16">
        <f>IFERROR(MAX(D21:I21),"")</f>
        <v/>
      </c>
      <c r="L21" s="16">
        <f>IFERROR(ROUND(J21/(6*150)*100,1),"")</f>
        <v/>
      </c>
    </row>
    <row r="22" ht="22" customHeight="1">
      <c r="B22" s="8" t="inlineStr"/>
      <c r="C22" s="10" t="inlineStr">
        <is>
          <t>Thu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>
        <f>IFERROR(SUM(D22:I22),"")</f>
        <v/>
      </c>
      <c r="K22" s="10">
        <f>IFERROR(MAX(D22:I22),"")</f>
        <v/>
      </c>
      <c r="L22" s="10">
        <f>IFERROR(ROUND(J22/(6*150)*100,1),"")</f>
        <v/>
      </c>
    </row>
    <row r="23" ht="22" customHeight="1">
      <c r="B23" s="14" t="inlineStr"/>
      <c r="C23" s="16" t="inlineStr">
        <is>
          <t>Fri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s="16">
        <f>IFERROR(SUM(D23:I23),"")</f>
        <v/>
      </c>
      <c r="K23" s="16">
        <f>IFERROR(MAX(D23:I23),"")</f>
        <v/>
      </c>
      <c r="L23" s="16">
        <f>IFERROR(ROUND(J23/(6*150)*100,1),"")</f>
        <v/>
      </c>
    </row>
    <row r="24" ht="22" customHeight="1">
      <c r="B24" s="8" t="inlineStr"/>
      <c r="C24" s="10" t="inlineStr">
        <is>
          <t>Sat</t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>
        <f>IFERROR(SUM(D24:I24),"")</f>
        <v/>
      </c>
      <c r="K24" s="10">
        <f>IFERROR(MAX(D24:I24),"")</f>
        <v/>
      </c>
      <c r="L24" s="10">
        <f>IFERROR(ROUND(J24/(6*150)*100,1),"")</f>
        <v/>
      </c>
    </row>
    <row r="25" ht="22" customHeight="1">
      <c r="B25" s="14" t="inlineStr"/>
      <c r="C25" s="16" t="inlineStr">
        <is>
          <t>Sun</t>
        </is>
      </c>
      <c r="D25" s="16" t="inlineStr"/>
      <c r="E25" s="16" t="inlineStr"/>
      <c r="F25" s="16" t="inlineStr"/>
      <c r="G25" s="16" t="inlineStr"/>
      <c r="H25" s="16" t="inlineStr"/>
      <c r="I25" s="16" t="inlineStr"/>
      <c r="J25" s="16">
        <f>IFERROR(SUM(D25:I25),"")</f>
        <v/>
      </c>
      <c r="K25" s="16">
        <f>IFERROR(MAX(D25:I25),"")</f>
        <v/>
      </c>
      <c r="L25" s="16">
        <f>IFERROR(ROUND(J25/(6*150)*100,1),"")</f>
        <v/>
      </c>
    </row>
    <row r="26" ht="22" customHeight="1">
      <c r="B26" s="8" t="inlineStr"/>
      <c r="C26" s="10" t="inlineStr">
        <is>
          <t>Mon</t>
        </is>
      </c>
      <c r="D26" s="10" t="inlineStr"/>
      <c r="E26" s="10" t="inlineStr"/>
      <c r="F26" s="10" t="inlineStr"/>
      <c r="G26" s="10" t="inlineStr"/>
      <c r="H26" s="10" t="inlineStr"/>
      <c r="I26" s="10" t="inlineStr"/>
      <c r="J26" s="10">
        <f>IFERROR(SUM(D26:I26),"")</f>
        <v/>
      </c>
      <c r="K26" s="10">
        <f>IFERROR(MAX(D26:I26),"")</f>
        <v/>
      </c>
      <c r="L26" s="10">
        <f>IFERROR(ROUND(J26/(6*150)*100,1),"")</f>
        <v/>
      </c>
    </row>
    <row r="27" ht="22" customHeight="1">
      <c r="B27" s="14" t="inlineStr"/>
      <c r="C27" s="16" t="inlineStr">
        <is>
          <t>Tue</t>
        </is>
      </c>
      <c r="D27" s="16" t="inlineStr"/>
      <c r="E27" s="16" t="inlineStr"/>
      <c r="F27" s="16" t="inlineStr"/>
      <c r="G27" s="16" t="inlineStr"/>
      <c r="H27" s="16" t="inlineStr"/>
      <c r="I27" s="16" t="inlineStr"/>
      <c r="J27" s="16">
        <f>IFERROR(SUM(D27:I27),"")</f>
        <v/>
      </c>
      <c r="K27" s="16">
        <f>IFERROR(MAX(D27:I27),"")</f>
        <v/>
      </c>
      <c r="L27" s="16">
        <f>IFERROR(ROUND(J27/(6*150)*100,1),"")</f>
        <v/>
      </c>
    </row>
    <row r="28" ht="22" customHeight="1">
      <c r="B28" s="8" t="inlineStr"/>
      <c r="C28" s="10" t="inlineStr">
        <is>
          <t>Wed</t>
        </is>
      </c>
      <c r="D28" s="10" t="inlineStr"/>
      <c r="E28" s="10" t="inlineStr"/>
      <c r="F28" s="10" t="inlineStr"/>
      <c r="G28" s="10" t="inlineStr"/>
      <c r="H28" s="10" t="inlineStr"/>
      <c r="I28" s="10" t="inlineStr"/>
      <c r="J28" s="10">
        <f>IFERROR(SUM(D28:I28),"")</f>
        <v/>
      </c>
      <c r="K28" s="10">
        <f>IFERROR(MAX(D28:I28),"")</f>
        <v/>
      </c>
      <c r="L28" s="10">
        <f>IFERROR(ROUND(J28/(6*150)*100,1),"")</f>
        <v/>
      </c>
    </row>
    <row r="29" ht="22" customHeight="1">
      <c r="B29" s="14" t="inlineStr"/>
      <c r="C29" s="16" t="inlineStr">
        <is>
          <t>Thu</t>
        </is>
      </c>
      <c r="D29" s="16" t="inlineStr"/>
      <c r="E29" s="16" t="inlineStr"/>
      <c r="F29" s="16" t="inlineStr"/>
      <c r="G29" s="16" t="inlineStr"/>
      <c r="H29" s="16" t="inlineStr"/>
      <c r="I29" s="16" t="inlineStr"/>
      <c r="J29" s="16">
        <f>IFERROR(SUM(D29:I29),"")</f>
        <v/>
      </c>
      <c r="K29" s="16">
        <f>IFERROR(MAX(D29:I29),"")</f>
        <v/>
      </c>
      <c r="L29" s="16">
        <f>IFERROR(ROUND(J29/(6*150)*100,1),"")</f>
        <v/>
      </c>
    </row>
    <row r="30" ht="22" customHeight="1">
      <c r="B30" s="8" t="inlineStr"/>
      <c r="C30" s="10" t="inlineStr">
        <is>
          <t>Fri</t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>
        <f>IFERROR(SUM(D30:I30),"")</f>
        <v/>
      </c>
      <c r="K30" s="10">
        <f>IFERROR(MAX(D30:I30),"")</f>
        <v/>
      </c>
      <c r="L30" s="10">
        <f>IFERROR(ROUND(J30/(6*150)*100,1),"")</f>
        <v/>
      </c>
    </row>
    <row r="31" ht="22" customHeight="1"/>
    <row r="32" ht="24" customHeight="1">
      <c r="B32" s="18" t="inlineStr">
        <is>
          <t>MONTHLY FOOTFALL SUMMARY</t>
        </is>
      </c>
    </row>
    <row r="33" ht="22" customHeight="1">
      <c r="B33" s="19" t="inlineStr">
        <is>
          <t>Month</t>
        </is>
      </c>
      <c r="C33" s="19" t="inlineStr">
        <is>
          <t>Working Days</t>
        </is>
      </c>
      <c r="D33" s="19" t="inlineStr">
        <is>
          <t>Total Footfall</t>
        </is>
      </c>
      <c r="E33" s="19" t="inlineStr">
        <is>
          <t>Avg Daily
Footfall</t>
        </is>
      </c>
      <c r="F33" s="19" t="inlineStr">
        <is>
          <t>Peak Day
Count</t>
        </is>
      </c>
      <c r="G33" s="19" t="inlineStr">
        <is>
          <t>Peak
Occupancy %</t>
        </is>
      </c>
      <c r="H33" s="19" t="inlineStr">
        <is>
          <t>UG Students</t>
        </is>
      </c>
      <c r="I33" s="19" t="inlineStr">
        <is>
          <t>PG / PhD</t>
        </is>
      </c>
      <c r="J33" s="19" t="inlineStr">
        <is>
          <t>Faculty</t>
        </is>
      </c>
      <c r="K33" s="19" t="inlineStr">
        <is>
          <t>Staff</t>
        </is>
      </c>
      <c r="L33" s="19" t="inlineStr">
        <is>
          <t>Remarks</t>
        </is>
      </c>
    </row>
    <row r="34" ht="22" customHeight="1">
      <c r="B34" s="33" t="inlineStr">
        <is>
          <t>April</t>
        </is>
      </c>
      <c r="C34" s="20" t="inlineStr"/>
      <c r="D34" s="20" t="inlineStr"/>
      <c r="E34" s="20">
        <f>IFERROR(ROUND(D34/C34,0),"")</f>
        <v/>
      </c>
      <c r="F34" s="20" t="inlineStr"/>
      <c r="G34" s="20" t="inlineStr"/>
      <c r="H34" s="20" t="inlineStr"/>
      <c r="I34" s="20" t="inlineStr"/>
      <c r="J34" s="20" t="inlineStr"/>
      <c r="K34" s="20" t="inlineStr"/>
      <c r="L34" s="34" t="inlineStr"/>
    </row>
    <row r="35" ht="22" customHeight="1">
      <c r="B35" s="8" t="inlineStr">
        <is>
          <t>May</t>
        </is>
      </c>
      <c r="C35" s="10" t="inlineStr"/>
      <c r="D35" s="10" t="inlineStr"/>
      <c r="E35" s="10">
        <f>IFERROR(ROUND(D35/C35,0),"")</f>
        <v/>
      </c>
      <c r="F35" s="10" t="inlineStr"/>
      <c r="G35" s="10" t="inlineStr"/>
      <c r="H35" s="10" t="inlineStr"/>
      <c r="I35" s="10" t="inlineStr"/>
      <c r="J35" s="10" t="inlineStr"/>
      <c r="K35" s="10" t="inlineStr"/>
      <c r="L35" s="9" t="inlineStr"/>
    </row>
    <row r="36" ht="22" customHeight="1">
      <c r="B36" s="33" t="inlineStr">
        <is>
          <t>June</t>
        </is>
      </c>
      <c r="C36" s="20" t="inlineStr"/>
      <c r="D36" s="20" t="inlineStr"/>
      <c r="E36" s="20">
        <f>IFERROR(ROUND(D36/C36,0),"")</f>
        <v/>
      </c>
      <c r="F36" s="20" t="inlineStr"/>
      <c r="G36" s="20" t="inlineStr"/>
      <c r="H36" s="20" t="inlineStr"/>
      <c r="I36" s="20" t="inlineStr"/>
      <c r="J36" s="20" t="inlineStr"/>
      <c r="K36" s="20" t="inlineStr"/>
      <c r="L36" s="34" t="inlineStr"/>
    </row>
    <row r="37" ht="22" customHeight="1">
      <c r="B37" s="8" t="inlineStr">
        <is>
          <t>July</t>
        </is>
      </c>
      <c r="C37" s="10" t="inlineStr"/>
      <c r="D37" s="10" t="inlineStr"/>
      <c r="E37" s="10">
        <f>IFERROR(ROUND(D37/C37,0),"")</f>
        <v/>
      </c>
      <c r="F37" s="10" t="inlineStr"/>
      <c r="G37" s="10" t="inlineStr"/>
      <c r="H37" s="10" t="inlineStr"/>
      <c r="I37" s="10" t="inlineStr"/>
      <c r="J37" s="10" t="inlineStr"/>
      <c r="K37" s="10" t="inlineStr"/>
      <c r="L37" s="9" t="inlineStr"/>
    </row>
    <row r="38">
      <c r="B38" s="33" t="inlineStr">
        <is>
          <t>August</t>
        </is>
      </c>
      <c r="C38" s="20" t="inlineStr"/>
      <c r="D38" s="20" t="inlineStr"/>
      <c r="E38" s="20">
        <f>IFERROR(ROUND(D38/C38,0),"")</f>
        <v/>
      </c>
      <c r="F38" s="20" t="inlineStr"/>
      <c r="G38" s="20" t="inlineStr"/>
      <c r="H38" s="20" t="inlineStr"/>
      <c r="I38" s="20" t="inlineStr"/>
      <c r="J38" s="20" t="inlineStr"/>
      <c r="K38" s="20" t="inlineStr"/>
      <c r="L38" s="34" t="inlineStr"/>
    </row>
    <row r="39">
      <c r="B39" s="8" t="inlineStr">
        <is>
          <t>September</t>
        </is>
      </c>
      <c r="C39" s="10" t="inlineStr"/>
      <c r="D39" s="10" t="inlineStr"/>
      <c r="E39" s="10">
        <f>IFERROR(ROUND(D39/C39,0),"")</f>
        <v/>
      </c>
      <c r="F39" s="10" t="inlineStr"/>
      <c r="G39" s="10" t="inlineStr"/>
      <c r="H39" s="10" t="inlineStr"/>
      <c r="I39" s="10" t="inlineStr"/>
      <c r="J39" s="10" t="inlineStr"/>
      <c r="K39" s="10" t="inlineStr"/>
      <c r="L39" s="9" t="inlineStr"/>
    </row>
    <row r="40">
      <c r="B40" s="33" t="inlineStr">
        <is>
          <t>October</t>
        </is>
      </c>
      <c r="C40" s="20" t="inlineStr"/>
      <c r="D40" s="20" t="inlineStr"/>
      <c r="E40" s="20">
        <f>IFERROR(ROUND(D40/C40,0),"")</f>
        <v/>
      </c>
      <c r="F40" s="20" t="inlineStr"/>
      <c r="G40" s="20" t="inlineStr"/>
      <c r="H40" s="20" t="inlineStr"/>
      <c r="I40" s="20" t="inlineStr"/>
      <c r="J40" s="20" t="inlineStr"/>
      <c r="K40" s="20" t="inlineStr"/>
      <c r="L40" s="34" t="inlineStr"/>
    </row>
    <row r="41">
      <c r="B41" s="8" t="inlineStr">
        <is>
          <t>November</t>
        </is>
      </c>
      <c r="C41" s="10" t="inlineStr"/>
      <c r="D41" s="10" t="inlineStr"/>
      <c r="E41" s="10">
        <f>IFERROR(ROUND(D41/C41,0),"")</f>
        <v/>
      </c>
      <c r="F41" s="10" t="inlineStr"/>
      <c r="G41" s="10" t="inlineStr"/>
      <c r="H41" s="10" t="inlineStr"/>
      <c r="I41" s="10" t="inlineStr"/>
      <c r="J41" s="10" t="inlineStr"/>
      <c r="K41" s="10" t="inlineStr"/>
      <c r="L41" s="9" t="inlineStr"/>
    </row>
    <row r="42">
      <c r="B42" s="33" t="inlineStr">
        <is>
          <t>December</t>
        </is>
      </c>
      <c r="C42" s="20" t="inlineStr"/>
      <c r="D42" s="20" t="inlineStr"/>
      <c r="E42" s="20">
        <f>IFERROR(ROUND(D42/C42,0),"")</f>
        <v/>
      </c>
      <c r="F42" s="20" t="inlineStr"/>
      <c r="G42" s="20" t="inlineStr"/>
      <c r="H42" s="20" t="inlineStr"/>
      <c r="I42" s="20" t="inlineStr"/>
      <c r="J42" s="20" t="inlineStr"/>
      <c r="K42" s="20" t="inlineStr"/>
      <c r="L42" s="34" t="inlineStr"/>
    </row>
    <row r="43">
      <c r="B43" s="8" t="inlineStr">
        <is>
          <t>January</t>
        </is>
      </c>
      <c r="C43" s="10" t="inlineStr"/>
      <c r="D43" s="10" t="inlineStr"/>
      <c r="E43" s="10">
        <f>IFERROR(ROUND(D43/C43,0),"")</f>
        <v/>
      </c>
      <c r="F43" s="10" t="inlineStr"/>
      <c r="G43" s="10" t="inlineStr"/>
      <c r="H43" s="10" t="inlineStr"/>
      <c r="I43" s="10" t="inlineStr"/>
      <c r="J43" s="10" t="inlineStr"/>
      <c r="K43" s="10" t="inlineStr"/>
      <c r="L43" s="9" t="inlineStr"/>
    </row>
    <row r="44">
      <c r="B44" s="33" t="inlineStr">
        <is>
          <t>February</t>
        </is>
      </c>
      <c r="C44" s="20" t="inlineStr"/>
      <c r="D44" s="20" t="inlineStr"/>
      <c r="E44" s="20">
        <f>IFERROR(ROUND(D44/C44,0),"")</f>
        <v/>
      </c>
      <c r="F44" s="20" t="inlineStr"/>
      <c r="G44" s="20" t="inlineStr"/>
      <c r="H44" s="20" t="inlineStr"/>
      <c r="I44" s="20" t="inlineStr"/>
      <c r="J44" s="20" t="inlineStr"/>
      <c r="K44" s="20" t="inlineStr"/>
      <c r="L44" s="34" t="inlineStr"/>
    </row>
    <row r="45">
      <c r="B45" s="8" t="inlineStr">
        <is>
          <t>March</t>
        </is>
      </c>
      <c r="C45" s="10" t="inlineStr"/>
      <c r="D45" s="10" t="inlineStr"/>
      <c r="E45" s="10">
        <f>IFERROR(ROUND(D45/C45,0),"")</f>
        <v/>
      </c>
      <c r="F45" s="10" t="inlineStr"/>
      <c r="G45" s="10" t="inlineStr"/>
      <c r="H45" s="10" t="inlineStr"/>
      <c r="I45" s="10" t="inlineStr"/>
      <c r="J45" s="10" t="inlineStr"/>
      <c r="K45" s="10" t="inlineStr"/>
      <c r="L45" s="9" t="inlineStr"/>
    </row>
  </sheetData>
  <mergeCells count="3">
    <mergeCell ref="B2:L2"/>
    <mergeCell ref="B32:L32"/>
    <mergeCell ref="B3:L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LIB-22: INSTITUTIONAL REPOSITORY (IR) REGISTER</t>
        </is>
      </c>
    </row>
    <row r="3" ht="25" customHeight="1">
      <c r="B3" s="2" t="inlineStr">
        <is>
          <t>IR Platform: _______  URL: _______  NAAC Ref.: Criterion III.3 / IV.2  Librarian: ___________________</t>
        </is>
      </c>
    </row>
    <row r="4" ht="25" customHeight="1">
      <c r="B4" s="13" t="inlineStr">
        <is>
          <t>IR
Ref.</t>
        </is>
      </c>
      <c r="C4" s="13" t="inlineStr">
        <is>
          <t>Title of Document</t>
        </is>
      </c>
      <c r="D4" s="13" t="inlineStr">
        <is>
          <t>Type</t>
        </is>
      </c>
      <c r="E4" s="13" t="inlineStr">
        <is>
          <t>Author(s) /
Dept.</t>
        </is>
      </c>
      <c r="F4" s="13" t="inlineStr">
        <is>
          <t>Year</t>
        </is>
      </c>
      <c r="G4" s="13" t="inlineStr">
        <is>
          <t>Language</t>
        </is>
      </c>
      <c r="H4" s="13" t="inlineStr">
        <is>
          <t>Open
Access</t>
        </is>
      </c>
      <c r="I4" s="13" t="inlineStr">
        <is>
          <t>Downloads
(Monthly)</t>
        </is>
      </c>
      <c r="J4" s="13" t="inlineStr">
        <is>
          <t>Accreditation
Evidence</t>
        </is>
      </c>
    </row>
    <row r="5" ht="22" customHeight="1">
      <c r="B5" s="14" t="inlineStr">
        <is>
          <t>IR/0001</t>
        </is>
      </c>
      <c r="C5" s="15" t="inlineStr"/>
      <c r="D5" s="16" t="inlineStr">
        <is>
          <t>Ph.D. Thesis</t>
        </is>
      </c>
      <c r="E5" s="15" t="inlineStr"/>
      <c r="F5" s="16" t="inlineStr"/>
      <c r="G5" s="16" t="inlineStr">
        <is>
          <t>English</t>
        </is>
      </c>
      <c r="H5" s="16" t="inlineStr">
        <is>
          <t>Y</t>
        </is>
      </c>
      <c r="I5" s="16" t="inlineStr"/>
      <c r="J5" s="16" t="inlineStr">
        <is>
          <t>NAAC/NBA</t>
        </is>
      </c>
    </row>
    <row r="6" ht="22" customHeight="1">
      <c r="B6" s="8" t="inlineStr">
        <is>
          <t>IR/0002</t>
        </is>
      </c>
      <c r="C6" s="9" t="inlineStr"/>
      <c r="D6" s="10" t="inlineStr">
        <is>
          <t>M.Tech / M.Phil. Dissertation</t>
        </is>
      </c>
      <c r="E6" s="9" t="inlineStr"/>
      <c r="F6" s="10" t="inlineStr"/>
      <c r="G6" s="10" t="inlineStr">
        <is>
          <t>English</t>
        </is>
      </c>
      <c r="H6" s="10" t="inlineStr">
        <is>
          <t>Y</t>
        </is>
      </c>
      <c r="I6" s="10" t="inlineStr"/>
      <c r="J6" s="10" t="inlineStr">
        <is>
          <t>NAAC/NBA</t>
        </is>
      </c>
    </row>
    <row r="7" ht="22" customHeight="1">
      <c r="B7" s="14" t="inlineStr">
        <is>
          <t>IR/0003</t>
        </is>
      </c>
      <c r="C7" s="15" t="inlineStr"/>
      <c r="D7" s="16" t="inlineStr">
        <is>
          <t>Research Paper (Published)</t>
        </is>
      </c>
      <c r="E7" s="15" t="inlineStr"/>
      <c r="F7" s="16" t="inlineStr"/>
      <c r="G7" s="16" t="inlineStr">
        <is>
          <t>English</t>
        </is>
      </c>
      <c r="H7" s="16" t="inlineStr">
        <is>
          <t>Y</t>
        </is>
      </c>
      <c r="I7" s="16" t="inlineStr"/>
      <c r="J7" s="16" t="inlineStr">
        <is>
          <t>NAAC/NBA</t>
        </is>
      </c>
    </row>
    <row r="8" ht="22" customHeight="1">
      <c r="B8" s="8" t="inlineStr">
        <is>
          <t>IR/0004</t>
        </is>
      </c>
      <c r="C8" s="9" t="inlineStr"/>
      <c r="D8" s="10" t="inlineStr">
        <is>
          <t>Working Paper / Pre-print</t>
        </is>
      </c>
      <c r="E8" s="9" t="inlineStr"/>
      <c r="F8" s="10" t="inlineStr"/>
      <c r="G8" s="10" t="inlineStr">
        <is>
          <t>English</t>
        </is>
      </c>
      <c r="H8" s="10" t="inlineStr">
        <is>
          <t>Y</t>
        </is>
      </c>
      <c r="I8" s="10" t="inlineStr"/>
      <c r="J8" s="10" t="inlineStr">
        <is>
          <t>NAAC/NBA</t>
        </is>
      </c>
    </row>
    <row r="9" ht="22" customHeight="1">
      <c r="B9" s="14" t="inlineStr">
        <is>
          <t>IR/0005</t>
        </is>
      </c>
      <c r="C9" s="15" t="inlineStr"/>
      <c r="D9" s="16" t="inlineStr">
        <is>
          <t>Technical Report</t>
        </is>
      </c>
      <c r="E9" s="15" t="inlineStr"/>
      <c r="F9" s="16" t="inlineStr"/>
      <c r="G9" s="16" t="inlineStr">
        <is>
          <t>English</t>
        </is>
      </c>
      <c r="H9" s="16" t="inlineStr">
        <is>
          <t>Y</t>
        </is>
      </c>
      <c r="I9" s="16" t="inlineStr"/>
      <c r="J9" s="16" t="inlineStr">
        <is>
          <t>NAAC/NBA</t>
        </is>
      </c>
    </row>
    <row r="10" ht="22" customHeight="1">
      <c r="B10" s="8" t="inlineStr">
        <is>
          <t>IR/0006</t>
        </is>
      </c>
      <c r="C10" s="9" t="inlineStr"/>
      <c r="D10" s="10" t="inlineStr">
        <is>
          <t>Conference Proceedings</t>
        </is>
      </c>
      <c r="E10" s="9" t="inlineStr"/>
      <c r="F10" s="10" t="inlineStr"/>
      <c r="G10" s="10" t="inlineStr">
        <is>
          <t>English</t>
        </is>
      </c>
      <c r="H10" s="10" t="inlineStr">
        <is>
          <t>Y</t>
        </is>
      </c>
      <c r="I10" s="10" t="inlineStr"/>
      <c r="J10" s="10" t="inlineStr">
        <is>
          <t>NAAC/NBA</t>
        </is>
      </c>
    </row>
    <row r="11" ht="22" customHeight="1">
      <c r="B11" s="14" t="inlineStr">
        <is>
          <t>IR/0007</t>
        </is>
      </c>
      <c r="C11" s="15" t="inlineStr"/>
      <c r="D11" s="16" t="inlineStr">
        <is>
          <t>Book Chapter</t>
        </is>
      </c>
      <c r="E11" s="15" t="inlineStr"/>
      <c r="F11" s="16" t="inlineStr"/>
      <c r="G11" s="16" t="inlineStr">
        <is>
          <t>English</t>
        </is>
      </c>
      <c r="H11" s="16" t="inlineStr">
        <is>
          <t>Y</t>
        </is>
      </c>
      <c r="I11" s="16" t="inlineStr"/>
      <c r="J11" s="16" t="inlineStr">
        <is>
          <t>NAAC/NBA</t>
        </is>
      </c>
    </row>
    <row r="12" ht="22" customHeight="1">
      <c r="B12" s="8" t="inlineStr">
        <is>
          <t>IR/0008</t>
        </is>
      </c>
      <c r="C12" s="9" t="inlineStr"/>
      <c r="D12" s="10" t="inlineStr">
        <is>
          <t>Institutional Publication</t>
        </is>
      </c>
      <c r="E12" s="9" t="inlineStr"/>
      <c r="F12" s="10" t="inlineStr"/>
      <c r="G12" s="10" t="inlineStr">
        <is>
          <t>English</t>
        </is>
      </c>
      <c r="H12" s="10" t="inlineStr">
        <is>
          <t>Y</t>
        </is>
      </c>
      <c r="I12" s="10" t="inlineStr"/>
      <c r="J12" s="10" t="inlineStr">
        <is>
          <t>NAAC/NBA</t>
        </is>
      </c>
    </row>
    <row r="13" ht="22" customHeight="1">
      <c r="B13" s="14" t="inlineStr">
        <is>
          <t>IR/0009</t>
        </is>
      </c>
      <c r="C13" s="15" t="inlineStr"/>
      <c r="D13" s="16" t="inlineStr">
        <is>
          <t>Faculty Monograph</t>
        </is>
      </c>
      <c r="E13" s="15" t="inlineStr"/>
      <c r="F13" s="16" t="inlineStr"/>
      <c r="G13" s="16" t="inlineStr">
        <is>
          <t>English</t>
        </is>
      </c>
      <c r="H13" s="16" t="inlineStr">
        <is>
          <t>Y</t>
        </is>
      </c>
      <c r="I13" s="16" t="inlineStr"/>
      <c r="J13" s="16" t="inlineStr">
        <is>
          <t>NAAC/NBA</t>
        </is>
      </c>
    </row>
    <row r="14" ht="22" customHeight="1">
      <c r="B14" s="8" t="inlineStr">
        <is>
          <t>IR/0010</t>
        </is>
      </c>
      <c r="C14" s="9" t="inlineStr"/>
      <c r="D14" s="10" t="inlineStr">
        <is>
          <t>Annual Report / Policy Document</t>
        </is>
      </c>
      <c r="E14" s="9" t="inlineStr"/>
      <c r="F14" s="10" t="inlineStr"/>
      <c r="G14" s="10" t="inlineStr">
        <is>
          <t>English</t>
        </is>
      </c>
      <c r="H14" s="10" t="inlineStr">
        <is>
          <t>Y</t>
        </is>
      </c>
      <c r="I14" s="10" t="inlineStr"/>
      <c r="J14" s="10" t="inlineStr">
        <is>
          <t>NAAC/NBA</t>
        </is>
      </c>
    </row>
    <row r="15" ht="22" customHeight="1">
      <c r="B15" s="14" t="inlineStr">
        <is>
          <t>IR/0011</t>
        </is>
      </c>
      <c r="C15" s="15" t="inlineStr"/>
      <c r="D15" s="16" t="inlineStr">
        <is>
          <t>Ph.D. Thesis</t>
        </is>
      </c>
      <c r="E15" s="15" t="inlineStr"/>
      <c r="F15" s="16" t="inlineStr"/>
      <c r="G15" s="16" t="inlineStr">
        <is>
          <t>English</t>
        </is>
      </c>
      <c r="H15" s="16" t="inlineStr">
        <is>
          <t>Y</t>
        </is>
      </c>
      <c r="I15" s="16" t="inlineStr"/>
      <c r="J15" s="16" t="inlineStr">
        <is>
          <t>NAAC/NBA</t>
        </is>
      </c>
    </row>
    <row r="16" ht="22" customHeight="1">
      <c r="B16" s="8" t="inlineStr">
        <is>
          <t>IR/0012</t>
        </is>
      </c>
      <c r="C16" s="9" t="inlineStr"/>
      <c r="D16" s="10" t="inlineStr">
        <is>
          <t>M.Tech / M.Phil. Dissertation</t>
        </is>
      </c>
      <c r="E16" s="9" t="inlineStr"/>
      <c r="F16" s="10" t="inlineStr"/>
      <c r="G16" s="10" t="inlineStr">
        <is>
          <t>English</t>
        </is>
      </c>
      <c r="H16" s="10" t="inlineStr">
        <is>
          <t>Y</t>
        </is>
      </c>
      <c r="I16" s="10" t="inlineStr"/>
      <c r="J16" s="10" t="inlineStr">
        <is>
          <t>NAAC/NBA</t>
        </is>
      </c>
    </row>
    <row r="17" ht="22" customHeight="1">
      <c r="B17" s="14" t="inlineStr">
        <is>
          <t>IR/0013</t>
        </is>
      </c>
      <c r="C17" s="15" t="inlineStr"/>
      <c r="D17" s="16" t="inlineStr">
        <is>
          <t>Research Paper (Published)</t>
        </is>
      </c>
      <c r="E17" s="15" t="inlineStr"/>
      <c r="F17" s="16" t="inlineStr"/>
      <c r="G17" s="16" t="inlineStr">
        <is>
          <t>English</t>
        </is>
      </c>
      <c r="H17" s="16" t="inlineStr">
        <is>
          <t>Y</t>
        </is>
      </c>
      <c r="I17" s="16" t="inlineStr"/>
      <c r="J17" s="16" t="inlineStr">
        <is>
          <t>NAAC/NBA</t>
        </is>
      </c>
    </row>
    <row r="18" ht="22" customHeight="1">
      <c r="B18" s="8" t="inlineStr">
        <is>
          <t>IR/0014</t>
        </is>
      </c>
      <c r="C18" s="9" t="inlineStr"/>
      <c r="D18" s="10" t="inlineStr">
        <is>
          <t>Working Paper / Pre-print</t>
        </is>
      </c>
      <c r="E18" s="9" t="inlineStr"/>
      <c r="F18" s="10" t="inlineStr"/>
      <c r="G18" s="10" t="inlineStr">
        <is>
          <t>English</t>
        </is>
      </c>
      <c r="H18" s="10" t="inlineStr">
        <is>
          <t>Y</t>
        </is>
      </c>
      <c r="I18" s="10" t="inlineStr"/>
      <c r="J18" s="10" t="inlineStr">
        <is>
          <t>NAAC/NBA</t>
        </is>
      </c>
    </row>
    <row r="19" ht="22" customHeight="1">
      <c r="B19" s="14" t="inlineStr">
        <is>
          <t>IR/0015</t>
        </is>
      </c>
      <c r="C19" s="15" t="inlineStr"/>
      <c r="D19" s="16" t="inlineStr">
        <is>
          <t>Technical Report</t>
        </is>
      </c>
      <c r="E19" s="15" t="inlineStr"/>
      <c r="F19" s="16" t="inlineStr"/>
      <c r="G19" s="16" t="inlineStr">
        <is>
          <t>English</t>
        </is>
      </c>
      <c r="H19" s="16" t="inlineStr">
        <is>
          <t>Y</t>
        </is>
      </c>
      <c r="I19" s="16" t="inlineStr"/>
      <c r="J19" s="16" t="inlineStr">
        <is>
          <t>NAAC/NBA</t>
        </is>
      </c>
    </row>
    <row r="20" ht="22" customHeight="1">
      <c r="B20" s="8" t="inlineStr">
        <is>
          <t>IR/0016</t>
        </is>
      </c>
      <c r="C20" s="9" t="inlineStr"/>
      <c r="D20" s="10" t="inlineStr">
        <is>
          <t>Conference Proceedings</t>
        </is>
      </c>
      <c r="E20" s="9" t="inlineStr"/>
      <c r="F20" s="10" t="inlineStr"/>
      <c r="G20" s="10" t="inlineStr">
        <is>
          <t>English</t>
        </is>
      </c>
      <c r="H20" s="10" t="inlineStr">
        <is>
          <t>Y</t>
        </is>
      </c>
      <c r="I20" s="10" t="inlineStr"/>
      <c r="J20" s="10" t="inlineStr">
        <is>
          <t>NAAC/NBA</t>
        </is>
      </c>
    </row>
    <row r="21" ht="22" customHeight="1">
      <c r="B21" s="14" t="inlineStr">
        <is>
          <t>IR/0017</t>
        </is>
      </c>
      <c r="C21" s="15" t="inlineStr"/>
      <c r="D21" s="16" t="inlineStr">
        <is>
          <t>Book Chapter</t>
        </is>
      </c>
      <c r="E21" s="15" t="inlineStr"/>
      <c r="F21" s="16" t="inlineStr"/>
      <c r="G21" s="16" t="inlineStr">
        <is>
          <t>English</t>
        </is>
      </c>
      <c r="H21" s="16" t="inlineStr">
        <is>
          <t>Y</t>
        </is>
      </c>
      <c r="I21" s="16" t="inlineStr"/>
      <c r="J21" s="16" t="inlineStr">
        <is>
          <t>NAAC/NBA</t>
        </is>
      </c>
    </row>
    <row r="22" ht="22" customHeight="1">
      <c r="B22" s="8" t="inlineStr">
        <is>
          <t>IR/0018</t>
        </is>
      </c>
      <c r="C22" s="9" t="inlineStr"/>
      <c r="D22" s="10" t="inlineStr">
        <is>
          <t>Institutional Publication</t>
        </is>
      </c>
      <c r="E22" s="9" t="inlineStr"/>
      <c r="F22" s="10" t="inlineStr"/>
      <c r="G22" s="10" t="inlineStr">
        <is>
          <t>English</t>
        </is>
      </c>
      <c r="H22" s="10" t="inlineStr">
        <is>
          <t>Y</t>
        </is>
      </c>
      <c r="I22" s="10" t="inlineStr"/>
      <c r="J22" s="10" t="inlineStr">
        <is>
          <t>NAAC/NBA</t>
        </is>
      </c>
    </row>
    <row r="23" ht="22" customHeight="1">
      <c r="B23" s="14" t="inlineStr">
        <is>
          <t>IR/0019</t>
        </is>
      </c>
      <c r="C23" s="15" t="inlineStr"/>
      <c r="D23" s="16" t="inlineStr">
        <is>
          <t>Faculty Monograph</t>
        </is>
      </c>
      <c r="E23" s="15" t="inlineStr"/>
      <c r="F23" s="16" t="inlineStr"/>
      <c r="G23" s="16" t="inlineStr">
        <is>
          <t>English</t>
        </is>
      </c>
      <c r="H23" s="16" t="inlineStr">
        <is>
          <t>Y</t>
        </is>
      </c>
      <c r="I23" s="16" t="inlineStr"/>
      <c r="J23" s="16" t="inlineStr">
        <is>
          <t>NAAC/NBA</t>
        </is>
      </c>
    </row>
    <row r="24" ht="22" customHeight="1">
      <c r="B24" s="8" t="inlineStr">
        <is>
          <t>IR/0020</t>
        </is>
      </c>
      <c r="C24" s="9" t="inlineStr"/>
      <c r="D24" s="10" t="inlineStr">
        <is>
          <t>Annual Report / Policy Document</t>
        </is>
      </c>
      <c r="E24" s="9" t="inlineStr"/>
      <c r="F24" s="10" t="inlineStr"/>
      <c r="G24" s="10" t="inlineStr">
        <is>
          <t>English</t>
        </is>
      </c>
      <c r="H24" s="10" t="inlineStr">
        <is>
          <t>Y</t>
        </is>
      </c>
      <c r="I24" s="10" t="inlineStr"/>
      <c r="J24" s="10" t="inlineStr">
        <is>
          <t>NAAC/NBA</t>
        </is>
      </c>
    </row>
    <row r="25" ht="22" customHeight="1">
      <c r="B25" s="14" t="inlineStr">
        <is>
          <t>IR/0021</t>
        </is>
      </c>
      <c r="C25" s="15" t="inlineStr"/>
      <c r="D25" s="16" t="inlineStr">
        <is>
          <t>Ph.D. Thesis</t>
        </is>
      </c>
      <c r="E25" s="15" t="inlineStr"/>
      <c r="F25" s="16" t="inlineStr"/>
      <c r="G25" s="16" t="inlineStr">
        <is>
          <t>English</t>
        </is>
      </c>
      <c r="H25" s="16" t="inlineStr">
        <is>
          <t>Y</t>
        </is>
      </c>
      <c r="I25" s="16" t="inlineStr"/>
      <c r="J25" s="16" t="inlineStr">
        <is>
          <t>NAAC/NBA</t>
        </is>
      </c>
    </row>
    <row r="26" ht="22" customHeight="1">
      <c r="B26" s="8" t="inlineStr">
        <is>
          <t>IR/0022</t>
        </is>
      </c>
      <c r="C26" s="9" t="inlineStr"/>
      <c r="D26" s="10" t="inlineStr">
        <is>
          <t>M.Tech / M.Phil. Dissertation</t>
        </is>
      </c>
      <c r="E26" s="9" t="inlineStr"/>
      <c r="F26" s="10" t="inlineStr"/>
      <c r="G26" s="10" t="inlineStr">
        <is>
          <t>English</t>
        </is>
      </c>
      <c r="H26" s="10" t="inlineStr">
        <is>
          <t>Y</t>
        </is>
      </c>
      <c r="I26" s="10" t="inlineStr"/>
      <c r="J26" s="10" t="inlineStr">
        <is>
          <t>NAAC/NBA</t>
        </is>
      </c>
    </row>
    <row r="27" ht="22" customHeight="1"/>
    <row r="28" ht="24" customHeight="1">
      <c r="B28" s="18" t="inlineStr">
        <is>
          <t>IR COLLECTION SUMMARY</t>
        </is>
      </c>
    </row>
    <row r="29" ht="22" customHeight="1">
      <c r="B29" s="44" t="inlineStr">
        <is>
          <t>Total Items in IR</t>
        </is>
      </c>
      <c r="F29" s="36">
        <f>COUNTA(B5:B26)</f>
        <v/>
      </c>
    </row>
    <row r="30" ht="22" customHeight="1">
      <c r="B30" s="28" t="inlineStr">
        <is>
          <t>Ph.D. Theses</t>
        </is>
      </c>
      <c r="F30" s="37">
        <f>COUNTIF(D5:D26,"Ph.D. Thesis")</f>
        <v/>
      </c>
    </row>
    <row r="31" ht="22" customHeight="1">
      <c r="B31" s="44" t="inlineStr">
        <is>
          <t>Research Papers</t>
        </is>
      </c>
      <c r="F31" s="36">
        <f>COUNTIF(D5:D26,"Research Paper (Published)")</f>
        <v/>
      </c>
    </row>
    <row r="32" ht="22" customHeight="1">
      <c r="B32" s="28" t="inlineStr">
        <is>
          <t>Total Downloads (last month)</t>
        </is>
      </c>
      <c r="F32" s="37">
        <f>IFERROR(SUM(I5:I26),"")</f>
        <v/>
      </c>
    </row>
    <row r="33" ht="22" customHeight="1">
      <c r="B33" s="44" t="inlineStr">
        <is>
          <t>Open Access Items (%)</t>
        </is>
      </c>
      <c r="F33" s="36">
        <f>IFERROR(ROUND(COUNTIF(H5:H26,"Y")/COUNTA(H5:H26)*100,1),"")</f>
        <v/>
      </c>
    </row>
    <row r="34" ht="22" customHeight="1">
      <c r="B34" s="28" t="inlineStr">
        <is>
          <t>Growth Rate (items this year)</t>
        </is>
      </c>
      <c r="F34" s="37" t="inlineStr"/>
    </row>
    <row r="35" ht="22" customHeight="1"/>
    <row r="36" ht="22" customHeight="1"/>
    <row r="37" ht="22" customHeight="1"/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LIB-23: e-RESOURCE USAGE ANALYTICS REGISTER</t>
        </is>
      </c>
    </row>
    <row r="3" ht="25" customHeight="1">
      <c r="B3" s="2" t="inlineStr">
        <is>
          <t>A.Y.: _______  Reporting Period: Monthly / Quarterly / Annual  Librarian: ___________________</t>
        </is>
      </c>
    </row>
    <row r="4" ht="25" customHeight="1">
      <c r="B4" s="13" t="inlineStr">
        <is>
          <t>Database /
Resource</t>
        </is>
      </c>
      <c r="C4" s="13" t="inlineStr">
        <is>
          <t>Provider</t>
        </is>
      </c>
      <c r="D4" s="13" t="inlineStr">
        <is>
          <t>Resource
Type</t>
        </is>
      </c>
      <c r="E4" s="13" t="inlineStr">
        <is>
          <t>Apr</t>
        </is>
      </c>
      <c r="F4" s="13" t="inlineStr">
        <is>
          <t>May</t>
        </is>
      </c>
      <c r="G4" s="13" t="inlineStr">
        <is>
          <t>Jun</t>
        </is>
      </c>
      <c r="H4" s="13" t="inlineStr">
        <is>
          <t>Jul</t>
        </is>
      </c>
      <c r="I4" s="13" t="inlineStr">
        <is>
          <t>Aug</t>
        </is>
      </c>
      <c r="J4" s="13" t="inlineStr">
        <is>
          <t>Sep</t>
        </is>
      </c>
      <c r="K4" s="13" t="inlineStr">
        <is>
          <t>Annual
Total</t>
        </is>
      </c>
    </row>
    <row r="5" ht="22" customHeight="1">
      <c r="B5" s="44" t="inlineStr">
        <is>
          <t>J-GATE</t>
        </is>
      </c>
      <c r="C5" s="16" t="inlineStr"/>
      <c r="D5" s="16" t="inlineStr">
        <is>
          <t>Full-text DB</t>
        </is>
      </c>
      <c r="E5" s="16" t="inlineStr"/>
      <c r="F5" s="16" t="inlineStr"/>
      <c r="G5" s="16" t="inlineStr"/>
      <c r="H5" s="16" t="inlineStr"/>
      <c r="I5" s="16" t="inlineStr"/>
      <c r="J5" s="16" t="inlineStr"/>
      <c r="K5" s="45">
        <f>IFERROR(SUM(E5:J5),"")</f>
        <v/>
      </c>
    </row>
    <row r="6" ht="22" customHeight="1">
      <c r="B6" s="28" t="inlineStr">
        <is>
          <t>Scopus</t>
        </is>
      </c>
      <c r="C6" s="10" t="inlineStr"/>
      <c r="D6" s="10" t="inlineStr">
        <is>
          <t>Full-text DB</t>
        </is>
      </c>
      <c r="E6" s="10" t="inlineStr"/>
      <c r="F6" s="10" t="inlineStr"/>
      <c r="G6" s="10" t="inlineStr"/>
      <c r="H6" s="10" t="inlineStr"/>
      <c r="I6" s="10" t="inlineStr"/>
      <c r="J6" s="10" t="inlineStr"/>
      <c r="K6" s="37">
        <f>IFERROR(SUM(E6:J6),"")</f>
        <v/>
      </c>
    </row>
    <row r="7" ht="22" customHeight="1">
      <c r="B7" s="44" t="inlineStr">
        <is>
          <t>Web of Science</t>
        </is>
      </c>
      <c r="C7" s="16" t="inlineStr"/>
      <c r="D7" s="16" t="inlineStr">
        <is>
          <t>Full-text DB</t>
        </is>
      </c>
      <c r="E7" s="16" t="inlineStr"/>
      <c r="F7" s="16" t="inlineStr"/>
      <c r="G7" s="16" t="inlineStr"/>
      <c r="H7" s="16" t="inlineStr"/>
      <c r="I7" s="16" t="inlineStr"/>
      <c r="J7" s="16" t="inlineStr"/>
      <c r="K7" s="45">
        <f>IFERROR(SUM(E7:J7),"")</f>
        <v/>
      </c>
    </row>
    <row r="8" ht="22" customHeight="1">
      <c r="B8" s="28" t="inlineStr">
        <is>
          <t>IEEE Xplore</t>
        </is>
      </c>
      <c r="C8" s="10" t="inlineStr"/>
      <c r="D8" s="10" t="inlineStr">
        <is>
          <t>Full-text DB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37">
        <f>IFERROR(SUM(E8:J8),"")</f>
        <v/>
      </c>
    </row>
    <row r="9" ht="22" customHeight="1">
      <c r="B9" s="44" t="inlineStr">
        <is>
          <t>EBSCO</t>
        </is>
      </c>
      <c r="C9" s="16" t="inlineStr"/>
      <c r="D9" s="16" t="inlineStr">
        <is>
          <t>Full-text DB</t>
        </is>
      </c>
      <c r="E9" s="16" t="inlineStr"/>
      <c r="F9" s="16" t="inlineStr"/>
      <c r="G9" s="16" t="inlineStr"/>
      <c r="H9" s="16" t="inlineStr"/>
      <c r="I9" s="16" t="inlineStr"/>
      <c r="J9" s="16" t="inlineStr"/>
      <c r="K9" s="45">
        <f>IFERROR(SUM(E9:J9),"")</f>
        <v/>
      </c>
    </row>
    <row r="10" ht="22" customHeight="1">
      <c r="B10" s="28" t="inlineStr">
        <is>
          <t>ProQuest</t>
        </is>
      </c>
      <c r="C10" s="10" t="inlineStr"/>
      <c r="D10" s="10" t="inlineStr">
        <is>
          <t>Full-text DB</t>
        </is>
      </c>
      <c r="E10" s="10" t="inlineStr"/>
      <c r="F10" s="10" t="inlineStr"/>
      <c r="G10" s="10" t="inlineStr"/>
      <c r="H10" s="10" t="inlineStr"/>
      <c r="I10" s="10" t="inlineStr"/>
      <c r="J10" s="10" t="inlineStr"/>
      <c r="K10" s="37">
        <f>IFERROR(SUM(E10:J10),"")</f>
        <v/>
      </c>
    </row>
    <row r="11" ht="22" customHeight="1">
      <c r="B11" s="44" t="inlineStr">
        <is>
          <t>JSTOR</t>
        </is>
      </c>
      <c r="C11" s="16" t="inlineStr"/>
      <c r="D11" s="16" t="inlineStr">
        <is>
          <t>Full-text DB</t>
        </is>
      </c>
      <c r="E11" s="16" t="inlineStr"/>
      <c r="F11" s="16" t="inlineStr"/>
      <c r="G11" s="16" t="inlineStr"/>
      <c r="H11" s="16" t="inlineStr"/>
      <c r="I11" s="16" t="inlineStr"/>
      <c r="J11" s="16" t="inlineStr"/>
      <c r="K11" s="45">
        <f>IFERROR(SUM(E11:J11),"")</f>
        <v/>
      </c>
    </row>
    <row r="12" ht="22" customHeight="1">
      <c r="B12" s="28" t="inlineStr">
        <is>
          <t>Springer Link</t>
        </is>
      </c>
      <c r="C12" s="10" t="inlineStr"/>
      <c r="D12" s="10" t="inlineStr">
        <is>
          <t>Full-text DB</t>
        </is>
      </c>
      <c r="E12" s="10" t="inlineStr"/>
      <c r="F12" s="10" t="inlineStr"/>
      <c r="G12" s="10" t="inlineStr"/>
      <c r="H12" s="10" t="inlineStr"/>
      <c r="I12" s="10" t="inlineStr"/>
      <c r="J12" s="10" t="inlineStr"/>
      <c r="K12" s="37">
        <f>IFERROR(SUM(E12:J12),"")</f>
        <v/>
      </c>
    </row>
    <row r="13" ht="22" customHeight="1">
      <c r="B13" s="44" t="inlineStr">
        <is>
          <t>Elsevier ScienceDirect</t>
        </is>
      </c>
      <c r="C13" s="16" t="inlineStr"/>
      <c r="D13" s="16" t="inlineStr">
        <is>
          <t>Full-text DB</t>
        </is>
      </c>
      <c r="E13" s="16" t="inlineStr"/>
      <c r="F13" s="16" t="inlineStr"/>
      <c r="G13" s="16" t="inlineStr"/>
      <c r="H13" s="16" t="inlineStr"/>
      <c r="I13" s="16" t="inlineStr"/>
      <c r="J13" s="16" t="inlineStr"/>
      <c r="K13" s="45">
        <f>IFERROR(SUM(E13:J13),"")</f>
        <v/>
      </c>
    </row>
    <row r="14" ht="22" customHeight="1">
      <c r="B14" s="28" t="inlineStr">
        <is>
          <t>Taylor &amp; Francis</t>
        </is>
      </c>
      <c r="C14" s="10" t="inlineStr"/>
      <c r="D14" s="10" t="inlineStr">
        <is>
          <t>Full-text DB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37">
        <f>IFERROR(SUM(E14:J14),"")</f>
        <v/>
      </c>
    </row>
    <row r="15" ht="22" customHeight="1">
      <c r="B15" s="44" t="inlineStr">
        <is>
          <t>INFLIBNET e-ShodhSindhu</t>
        </is>
      </c>
      <c r="C15" s="16" t="inlineStr"/>
      <c r="D15" s="16" t="inlineStr">
        <is>
          <t>Full-text DB</t>
        </is>
      </c>
      <c r="E15" s="16" t="inlineStr"/>
      <c r="F15" s="16" t="inlineStr"/>
      <c r="G15" s="16" t="inlineStr"/>
      <c r="H15" s="16" t="inlineStr"/>
      <c r="I15" s="16" t="inlineStr"/>
      <c r="J15" s="16" t="inlineStr"/>
      <c r="K15" s="45">
        <f>IFERROR(SUM(E15:J15),"")</f>
        <v/>
      </c>
    </row>
    <row r="16" ht="22" customHeight="1">
      <c r="B16" s="28" t="inlineStr">
        <is>
          <t>DELNET</t>
        </is>
      </c>
      <c r="C16" s="10" t="inlineStr"/>
      <c r="D16" s="10" t="inlineStr">
        <is>
          <t>Full-text DB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37">
        <f>IFERROR(SUM(E16:J16),"")</f>
        <v/>
      </c>
    </row>
    <row r="17" ht="22" customHeight="1">
      <c r="B17" s="44" t="inlineStr">
        <is>
          <t>e-ShodhGanga</t>
        </is>
      </c>
      <c r="C17" s="16" t="inlineStr"/>
      <c r="D17" s="16" t="inlineStr">
        <is>
          <t>Full-text DB</t>
        </is>
      </c>
      <c r="E17" s="16" t="inlineStr"/>
      <c r="F17" s="16" t="inlineStr"/>
      <c r="G17" s="16" t="inlineStr"/>
      <c r="H17" s="16" t="inlineStr"/>
      <c r="I17" s="16" t="inlineStr"/>
      <c r="J17" s="16" t="inlineStr"/>
      <c r="K17" s="45">
        <f>IFERROR(SUM(E17:J17),"")</f>
        <v/>
      </c>
    </row>
    <row r="18" ht="22" customHeight="1">
      <c r="B18" s="28" t="inlineStr">
        <is>
          <t>NPTEL / SWAYAM</t>
        </is>
      </c>
      <c r="C18" s="10" t="inlineStr"/>
      <c r="D18" s="10" t="inlineStr">
        <is>
          <t>Full-text DB</t>
        </is>
      </c>
      <c r="E18" s="10" t="inlineStr"/>
      <c r="F18" s="10" t="inlineStr"/>
      <c r="G18" s="10" t="inlineStr"/>
      <c r="H18" s="10" t="inlineStr"/>
      <c r="I18" s="10" t="inlineStr"/>
      <c r="J18" s="10" t="inlineStr"/>
      <c r="K18" s="37">
        <f>IFERROR(SUM(E18:J18),"")</f>
        <v/>
      </c>
    </row>
    <row r="19" ht="22" customHeight="1">
      <c r="B19" s="44" t="inlineStr">
        <is>
          <t>PubMed</t>
        </is>
      </c>
      <c r="C19" s="16" t="inlineStr"/>
      <c r="D19" s="16" t="inlineStr">
        <is>
          <t>Full-text DB</t>
        </is>
      </c>
      <c r="E19" s="16" t="inlineStr"/>
      <c r="F19" s="16" t="inlineStr"/>
      <c r="G19" s="16" t="inlineStr"/>
      <c r="H19" s="16" t="inlineStr"/>
      <c r="I19" s="16" t="inlineStr"/>
      <c r="J19" s="16" t="inlineStr"/>
      <c r="K19" s="45">
        <f>IFERROR(SUM(E19:J19),"")</f>
        <v/>
      </c>
    </row>
    <row r="20" ht="22" customHeight="1">
      <c r="B20" s="28" t="inlineStr">
        <is>
          <t>ACM Digital Library</t>
        </is>
      </c>
      <c r="C20" s="10" t="inlineStr"/>
      <c r="D20" s="10" t="inlineStr">
        <is>
          <t>Full-text DB</t>
        </is>
      </c>
      <c r="E20" s="10" t="inlineStr"/>
      <c r="F20" s="10" t="inlineStr"/>
      <c r="G20" s="10" t="inlineStr"/>
      <c r="H20" s="10" t="inlineStr"/>
      <c r="I20" s="10" t="inlineStr"/>
      <c r="J20" s="10" t="inlineStr"/>
      <c r="K20" s="37">
        <f>IFERROR(SUM(E20:J20),"")</f>
        <v/>
      </c>
    </row>
    <row r="21" ht="22" customHeight="1"/>
    <row r="22" ht="24" customHeight="1">
      <c r="B22" s="18" t="inlineStr">
        <is>
          <t>ANNUAL USAGE TREND ANALYSIS</t>
        </is>
      </c>
    </row>
    <row r="23" ht="22" customHeight="1">
      <c r="B23" s="19" t="inlineStr">
        <is>
          <t>Database</t>
        </is>
      </c>
      <c r="C23" s="19" t="inlineStr">
        <is>
          <t>Previous Year
Usage</t>
        </is>
      </c>
      <c r="D23" s="19" t="inlineStr">
        <is>
          <t>Current Year
Usage</t>
        </is>
      </c>
      <c r="E23" s="19" t="inlineStr">
        <is>
          <t>Growth
%</t>
        </is>
      </c>
      <c r="F23" s="19" t="inlineStr">
        <is>
          <t>Cost
(₹L)</t>
        </is>
      </c>
      <c r="G23" s="19" t="inlineStr">
        <is>
          <t>Cost per
Download (₹)</t>
        </is>
      </c>
      <c r="H23" s="19" t="inlineStr">
        <is>
          <t>Value
Rating (H/M/L)</t>
        </is>
      </c>
    </row>
    <row r="24" ht="22" customHeight="1">
      <c r="B24" s="35" t="inlineStr">
        <is>
          <t>J-GATE</t>
        </is>
      </c>
      <c r="C24" s="20" t="inlineStr"/>
      <c r="D24" s="20" t="inlineStr"/>
      <c r="E24" s="20">
        <f>IFERROR(ROUND((D24-C24)/C24*100,1),"")</f>
        <v/>
      </c>
      <c r="F24" s="20" t="inlineStr"/>
      <c r="G24" s="20">
        <f>IFERROR(ROUND(F24/D24*1000,2),"")</f>
        <v/>
      </c>
      <c r="H24" s="20" t="inlineStr">
        <is>
          <t>H</t>
        </is>
      </c>
      <c r="I24" s="40" t="n"/>
      <c r="J24" s="40" t="n"/>
      <c r="K24" s="40" t="n"/>
    </row>
    <row r="25" ht="22" customHeight="1">
      <c r="B25" s="28" t="inlineStr">
        <is>
          <t>Scopus</t>
        </is>
      </c>
      <c r="C25" s="10" t="inlineStr"/>
      <c r="D25" s="10" t="inlineStr"/>
      <c r="E25" s="10">
        <f>IFERROR(ROUND((D25-C25)/C25*100,1),"")</f>
        <v/>
      </c>
      <c r="F25" s="10" t="inlineStr"/>
      <c r="G25" s="10">
        <f>IFERROR(ROUND(F25/D25*1000,2),"")</f>
        <v/>
      </c>
      <c r="H25" s="10" t="inlineStr">
        <is>
          <t>H</t>
        </is>
      </c>
      <c r="I25" s="41" t="n"/>
      <c r="J25" s="41" t="n"/>
      <c r="K25" s="41" t="n"/>
    </row>
    <row r="26" ht="22" customHeight="1">
      <c r="B26" s="35" t="inlineStr">
        <is>
          <t>Web of Science</t>
        </is>
      </c>
      <c r="C26" s="20" t="inlineStr"/>
      <c r="D26" s="20" t="inlineStr"/>
      <c r="E26" s="20">
        <f>IFERROR(ROUND((D26-C26)/C26*100,1),"")</f>
        <v/>
      </c>
      <c r="F26" s="20" t="inlineStr"/>
      <c r="G26" s="20">
        <f>IFERROR(ROUND(F26/D26*1000,2),"")</f>
        <v/>
      </c>
      <c r="H26" s="20" t="inlineStr">
        <is>
          <t>H</t>
        </is>
      </c>
      <c r="I26" s="40" t="n"/>
      <c r="J26" s="40" t="n"/>
      <c r="K26" s="40" t="n"/>
    </row>
    <row r="27" ht="22" customHeight="1">
      <c r="B27" s="28" t="inlineStr">
        <is>
          <t>IEEE Xplore</t>
        </is>
      </c>
      <c r="C27" s="10" t="inlineStr"/>
      <c r="D27" s="10" t="inlineStr"/>
      <c r="E27" s="10">
        <f>IFERROR(ROUND((D27-C27)/C27*100,1),"")</f>
        <v/>
      </c>
      <c r="F27" s="10" t="inlineStr"/>
      <c r="G27" s="10">
        <f>IFERROR(ROUND(F27/D27*1000,2),"")</f>
        <v/>
      </c>
      <c r="H27" s="10" t="inlineStr">
        <is>
          <t>H</t>
        </is>
      </c>
      <c r="I27" s="41" t="n"/>
      <c r="J27" s="41" t="n"/>
      <c r="K27" s="41" t="n"/>
    </row>
    <row r="28" ht="22" customHeight="1">
      <c r="B28" s="35" t="inlineStr">
        <is>
          <t>EBSCO</t>
        </is>
      </c>
      <c r="C28" s="20" t="inlineStr"/>
      <c r="D28" s="20" t="inlineStr"/>
      <c r="E28" s="20">
        <f>IFERROR(ROUND((D28-C28)/C28*100,1),"")</f>
        <v/>
      </c>
      <c r="F28" s="20" t="inlineStr"/>
      <c r="G28" s="20">
        <f>IFERROR(ROUND(F28/D28*1000,2),"")</f>
        <v/>
      </c>
      <c r="H28" s="20" t="inlineStr">
        <is>
          <t>H</t>
        </is>
      </c>
      <c r="I28" s="40" t="n"/>
      <c r="J28" s="40" t="n"/>
      <c r="K28" s="40" t="n"/>
    </row>
    <row r="29" ht="22" customHeight="1">
      <c r="B29" s="28" t="inlineStr">
        <is>
          <t>ProQuest</t>
        </is>
      </c>
      <c r="C29" s="10" t="inlineStr"/>
      <c r="D29" s="10" t="inlineStr"/>
      <c r="E29" s="10">
        <f>IFERROR(ROUND((D29-C29)/C29*100,1),"")</f>
        <v/>
      </c>
      <c r="F29" s="10" t="inlineStr"/>
      <c r="G29" s="10">
        <f>IFERROR(ROUND(F29/D29*1000,2),"")</f>
        <v/>
      </c>
      <c r="H29" s="10" t="inlineStr">
        <is>
          <t>H</t>
        </is>
      </c>
      <c r="I29" s="41" t="n"/>
      <c r="J29" s="41" t="n"/>
      <c r="K29" s="41" t="n"/>
    </row>
    <row r="30" ht="22" customHeight="1">
      <c r="B30" s="35" t="inlineStr">
        <is>
          <t>JSTOR</t>
        </is>
      </c>
      <c r="C30" s="20" t="inlineStr"/>
      <c r="D30" s="20" t="inlineStr"/>
      <c r="E30" s="20">
        <f>IFERROR(ROUND((D30-C30)/C30*100,1),"")</f>
        <v/>
      </c>
      <c r="F30" s="20" t="inlineStr"/>
      <c r="G30" s="20">
        <f>IFERROR(ROUND(F30/D30*1000,2),"")</f>
        <v/>
      </c>
      <c r="H30" s="20" t="inlineStr">
        <is>
          <t>H</t>
        </is>
      </c>
      <c r="I30" s="40" t="n"/>
      <c r="J30" s="40" t="n"/>
      <c r="K30" s="40" t="n"/>
    </row>
    <row r="31" ht="22" customHeight="1">
      <c r="B31" s="28" t="inlineStr">
        <is>
          <t>Springer Link</t>
        </is>
      </c>
      <c r="C31" s="10" t="inlineStr"/>
      <c r="D31" s="10" t="inlineStr"/>
      <c r="E31" s="10">
        <f>IFERROR(ROUND((D31-C31)/C31*100,1),"")</f>
        <v/>
      </c>
      <c r="F31" s="10" t="inlineStr"/>
      <c r="G31" s="10">
        <f>IFERROR(ROUND(F31/D31*1000,2),"")</f>
        <v/>
      </c>
      <c r="H31" s="10" t="inlineStr">
        <is>
          <t>H</t>
        </is>
      </c>
      <c r="I31" s="41" t="n"/>
      <c r="J31" s="41" t="n"/>
      <c r="K31" s="41" t="n"/>
    </row>
    <row r="32" ht="22" customHeight="1">
      <c r="B32" s="35" t="inlineStr">
        <is>
          <t>Elsevier ScienceDirect</t>
        </is>
      </c>
      <c r="C32" s="20" t="inlineStr"/>
      <c r="D32" s="20" t="inlineStr"/>
      <c r="E32" s="20">
        <f>IFERROR(ROUND((D32-C32)/C32*100,1),"")</f>
        <v/>
      </c>
      <c r="F32" s="20" t="inlineStr"/>
      <c r="G32" s="20">
        <f>IFERROR(ROUND(F32/D32*1000,2),"")</f>
        <v/>
      </c>
      <c r="H32" s="20" t="inlineStr">
        <is>
          <t>H</t>
        </is>
      </c>
      <c r="I32" s="40" t="n"/>
      <c r="J32" s="40" t="n"/>
      <c r="K32" s="40" t="n"/>
    </row>
    <row r="33" ht="22" customHeight="1">
      <c r="B33" s="28" t="inlineStr">
        <is>
          <t>Taylor &amp; Francis</t>
        </is>
      </c>
      <c r="C33" s="10" t="inlineStr"/>
      <c r="D33" s="10" t="inlineStr"/>
      <c r="E33" s="10">
        <f>IFERROR(ROUND((D33-C33)/C33*100,1),"")</f>
        <v/>
      </c>
      <c r="F33" s="10" t="inlineStr"/>
      <c r="G33" s="10">
        <f>IFERROR(ROUND(F33/D33*1000,2),"")</f>
        <v/>
      </c>
      <c r="H33" s="10" t="inlineStr">
        <is>
          <t>H</t>
        </is>
      </c>
      <c r="I33" s="41" t="n"/>
      <c r="J33" s="41" t="n"/>
      <c r="K33" s="41" t="n"/>
    </row>
    <row r="34" ht="22" customHeight="1"/>
    <row r="35" ht="22" customHeight="1"/>
    <row r="36" ht="22" customHeight="1"/>
    <row r="37" ht="22" customHeight="1"/>
  </sheetData>
  <mergeCells count="3">
    <mergeCell ref="B22:K22"/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LIB-25: LIBRARY ORIENTATION &amp; INDUCTION PROGRAMME REGISTER</t>
        </is>
      </c>
    </row>
    <row r="3" ht="25" customHeight="1">
      <c r="B3" s="2" t="inlineStr">
        <is>
          <t>A.Y.: _______  Librarian / Resource Person: ___________________  NAAC Ref.: Criterion V.1</t>
        </is>
      </c>
    </row>
    <row r="4" ht="25" customHeight="1">
      <c r="B4" s="13" t="inlineStr">
        <is>
          <t>Sl.</t>
        </is>
      </c>
      <c r="C4" s="13" t="inlineStr">
        <is>
          <t>Programme Title</t>
        </is>
      </c>
      <c r="D4" s="13" t="inlineStr">
        <is>
          <t>Target Audience</t>
        </is>
      </c>
      <c r="E4" s="13" t="inlineStr">
        <is>
          <t>Date</t>
        </is>
      </c>
      <c r="F4" s="13" t="inlineStr">
        <is>
          <t>Mode</t>
        </is>
      </c>
      <c r="G4" s="13" t="inlineStr">
        <is>
          <t>Venue</t>
        </is>
      </c>
      <c r="H4" s="13" t="inlineStr">
        <is>
          <t>Students
Registered</t>
        </is>
      </c>
      <c r="I4" s="13" t="inlineStr">
        <is>
          <t>Students
Attended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>
        <is>
          <t>Library Orientation for New UG Students</t>
        </is>
      </c>
      <c r="D5" s="16" t="inlineStr">
        <is>
          <t>I Year UG — All Departments</t>
        </is>
      </c>
      <c r="E5" s="16" t="inlineStr"/>
      <c r="F5" s="16" t="inlineStr">
        <is>
          <t>Physical</t>
        </is>
      </c>
      <c r="G5" s="16" t="inlineStr">
        <is>
          <t>Library</t>
        </is>
      </c>
      <c r="H5" s="16" t="inlineStr"/>
      <c r="I5" s="16" t="inlineStr"/>
      <c r="J5" s="16" t="inlineStr"/>
    </row>
    <row r="6" ht="22" customHeight="1">
      <c r="B6" s="8" t="n">
        <v>2</v>
      </c>
      <c r="C6" s="9" t="inlineStr">
        <is>
          <t>Library Orientation for New PG Students</t>
        </is>
      </c>
      <c r="D6" s="10" t="inlineStr">
        <is>
          <t>I Sem PG — All Departments</t>
        </is>
      </c>
      <c r="E6" s="10" t="inlineStr"/>
      <c r="F6" s="10" t="inlineStr">
        <is>
          <t>Physical</t>
        </is>
      </c>
      <c r="G6" s="10" t="inlineStr">
        <is>
          <t>Library</t>
        </is>
      </c>
      <c r="H6" s="10" t="inlineStr"/>
      <c r="I6" s="10" t="inlineStr"/>
      <c r="J6" s="10" t="inlineStr"/>
    </row>
    <row r="7" ht="22" customHeight="1">
      <c r="B7" s="14" t="n">
        <v>3</v>
      </c>
      <c r="C7" s="15" t="inlineStr">
        <is>
          <t>Research Scholars — Library Resources Briefing</t>
        </is>
      </c>
      <c r="D7" s="16" t="inlineStr">
        <is>
          <t>Ph.D. Scholars</t>
        </is>
      </c>
      <c r="E7" s="16" t="inlineStr"/>
      <c r="F7" s="16" t="inlineStr">
        <is>
          <t>Physical</t>
        </is>
      </c>
      <c r="G7" s="16" t="inlineStr">
        <is>
          <t>Library</t>
        </is>
      </c>
      <c r="H7" s="16" t="inlineStr"/>
      <c r="I7" s="16" t="inlineStr"/>
      <c r="J7" s="16" t="inlineStr"/>
    </row>
    <row r="8" ht="22" customHeight="1">
      <c r="B8" s="8" t="n">
        <v>4</v>
      </c>
      <c r="C8" s="9" t="inlineStr">
        <is>
          <t>OPAC Training — How to Search the Catalogue</t>
        </is>
      </c>
      <c r="D8" s="10" t="inlineStr">
        <is>
          <t>All Members</t>
        </is>
      </c>
      <c r="E8" s="10" t="inlineStr"/>
      <c r="F8" s="10" t="inlineStr">
        <is>
          <t>Workshop</t>
        </is>
      </c>
      <c r="G8" s="10" t="inlineStr">
        <is>
          <t>Library</t>
        </is>
      </c>
      <c r="H8" s="10" t="inlineStr"/>
      <c r="I8" s="10" t="inlineStr"/>
      <c r="J8" s="10" t="inlineStr"/>
    </row>
    <row r="9" ht="22" customHeight="1">
      <c r="B9" s="14" t="n">
        <v>5</v>
      </c>
      <c r="C9" s="15" t="inlineStr">
        <is>
          <t>e-Resources Training — J-GATE, Scopus, IEEE</t>
        </is>
      </c>
      <c r="D9" s="16" t="inlineStr">
        <is>
          <t>UG + PG Students</t>
        </is>
      </c>
      <c r="E9" s="16" t="inlineStr"/>
      <c r="F9" s="16" t="inlineStr">
        <is>
          <t>Lab</t>
        </is>
      </c>
      <c r="G9" s="16" t="inlineStr">
        <is>
          <t>Library</t>
        </is>
      </c>
      <c r="H9" s="16" t="inlineStr"/>
      <c r="I9" s="16" t="inlineStr"/>
      <c r="J9" s="16" t="inlineStr"/>
    </row>
    <row r="10" ht="22" customHeight="1">
      <c r="B10" s="8" t="n">
        <v>6</v>
      </c>
      <c r="C10" s="9" t="inlineStr">
        <is>
          <t>Research Methodology &amp; Database Navigation</t>
        </is>
      </c>
      <c r="D10" s="10" t="inlineStr">
        <is>
          <t>PG / Ph.D.</t>
        </is>
      </c>
      <c r="E10" s="10" t="inlineStr"/>
      <c r="F10" s="10" t="inlineStr">
        <is>
          <t>Workshop</t>
        </is>
      </c>
      <c r="G10" s="10" t="inlineStr">
        <is>
          <t>Library</t>
        </is>
      </c>
      <c r="H10" s="10" t="inlineStr"/>
      <c r="I10" s="10" t="inlineStr"/>
      <c r="J10" s="10" t="inlineStr"/>
    </row>
    <row r="11" ht="22" customHeight="1">
      <c r="B11" s="14" t="n">
        <v>7</v>
      </c>
      <c r="C11" s="15" t="inlineStr">
        <is>
          <t>Institutional Repository — How to Upload</t>
        </is>
      </c>
      <c r="D11" s="16" t="inlineStr">
        <is>
          <t>Faculty / Research Scholars</t>
        </is>
      </c>
      <c r="E11" s="16" t="inlineStr"/>
      <c r="F11" s="16" t="inlineStr">
        <is>
          <t>Online</t>
        </is>
      </c>
      <c r="G11" s="16" t="inlineStr">
        <is>
          <t>Library</t>
        </is>
      </c>
      <c r="H11" s="16" t="inlineStr"/>
      <c r="I11" s="16" t="inlineStr"/>
      <c r="J11" s="16" t="inlineStr"/>
    </row>
    <row r="12" ht="22" customHeight="1">
      <c r="B12" s="8" t="n">
        <v>8</v>
      </c>
      <c r="C12" s="9" t="inlineStr">
        <is>
          <t>Citation Management — Mendeley / Zotero</t>
        </is>
      </c>
      <c r="D12" s="10" t="inlineStr">
        <is>
          <t>Faculty / Ph.D. Scholars</t>
        </is>
      </c>
      <c r="E12" s="10" t="inlineStr"/>
      <c r="F12" s="10" t="inlineStr">
        <is>
          <t>Workshop</t>
        </is>
      </c>
      <c r="G12" s="10" t="inlineStr">
        <is>
          <t>Library</t>
        </is>
      </c>
      <c r="H12" s="10" t="inlineStr"/>
      <c r="I12" s="10" t="inlineStr"/>
      <c r="J12" s="10" t="inlineStr"/>
    </row>
    <row r="13" ht="22" customHeight="1">
      <c r="B13" s="14" t="n">
        <v>9</v>
      </c>
      <c r="C13" s="15" t="inlineStr">
        <is>
          <t>Copyright &amp; Plagiarism Awareness</t>
        </is>
      </c>
      <c r="D13" s="16" t="inlineStr">
        <is>
          <t>All Faculty + Research Scholars</t>
        </is>
      </c>
      <c r="E13" s="16" t="inlineStr"/>
      <c r="F13" s="16" t="inlineStr">
        <is>
          <t>Seminar</t>
        </is>
      </c>
      <c r="G13" s="16" t="inlineStr">
        <is>
          <t>Library</t>
        </is>
      </c>
      <c r="H13" s="16" t="inlineStr"/>
      <c r="I13" s="16" t="inlineStr"/>
      <c r="J13" s="16" t="inlineStr"/>
    </row>
    <row r="14" ht="22" customHeight="1">
      <c r="B14" s="8" t="n">
        <v>10</v>
      </c>
      <c r="C14" s="9" t="inlineStr">
        <is>
          <t>Digital Literacy &amp; Information Skills</t>
        </is>
      </c>
      <c r="D14" s="10" t="inlineStr">
        <is>
          <t>UG Students</t>
        </is>
      </c>
      <c r="E14" s="10" t="inlineStr"/>
      <c r="F14" s="10" t="inlineStr">
        <is>
          <t>Lab</t>
        </is>
      </c>
      <c r="G14" s="10" t="inlineStr">
        <is>
          <t>Library</t>
        </is>
      </c>
      <c r="H14" s="10" t="inlineStr"/>
      <c r="I14" s="10" t="inlineStr"/>
      <c r="J14" s="10" t="inlineStr"/>
    </row>
    <row r="15" ht="22" customHeight="1">
      <c r="B15" s="14" t="n">
        <v>11</v>
      </c>
      <c r="C15" s="15" t="inlineStr">
        <is>
          <t>Open Access Resources &amp; SWAYAM/NPTEL</t>
        </is>
      </c>
      <c r="D15" s="16" t="inlineStr">
        <is>
          <t>All Members</t>
        </is>
      </c>
      <c r="E15" s="16" t="inlineStr"/>
      <c r="F15" s="16" t="inlineStr">
        <is>
          <t>Webinar</t>
        </is>
      </c>
      <c r="G15" s="16" t="inlineStr">
        <is>
          <t>Library</t>
        </is>
      </c>
      <c r="H15" s="16" t="inlineStr"/>
      <c r="I15" s="16" t="inlineStr"/>
      <c r="J15" s="16" t="inlineStr"/>
    </row>
    <row r="16" ht="22" customHeight="1">
      <c r="B16" s="8" t="n">
        <v>12</v>
      </c>
      <c r="C16" s="9" t="inlineStr">
        <is>
          <t>Book Display / New Arrivals Orientation</t>
        </is>
      </c>
      <c r="D16" s="10" t="inlineStr">
        <is>
          <t>All Members</t>
        </is>
      </c>
      <c r="E16" s="10" t="inlineStr"/>
      <c r="F16" s="10" t="inlineStr">
        <is>
          <t>Physical</t>
        </is>
      </c>
      <c r="G16" s="10" t="inlineStr">
        <is>
          <t>Library</t>
        </is>
      </c>
      <c r="H16" s="10" t="inlineStr"/>
      <c r="I16" s="10" t="inlineStr"/>
      <c r="J16" s="10" t="inlineStr"/>
    </row>
    <row r="17" ht="22" customHeight="1"/>
    <row r="18" ht="24" customHeight="1">
      <c r="B18" s="18" t="inlineStr">
        <is>
          <t>USER EDUCATION IMPACT SUMMARY</t>
        </is>
      </c>
    </row>
    <row r="19" ht="22" customHeight="1">
      <c r="B19" s="44" t="inlineStr">
        <is>
          <t>Total User Education Sessions</t>
        </is>
      </c>
      <c r="F19" s="36">
        <f>COUNTA(B5:B16)</f>
        <v/>
      </c>
    </row>
    <row r="20" ht="22" customHeight="1">
      <c r="B20" s="28" t="inlineStr">
        <is>
          <t>Total Participants</t>
        </is>
      </c>
      <c r="F20" s="37" t="inlineStr"/>
    </row>
    <row r="21" ht="22" customHeight="1">
      <c r="B21" s="44" t="inlineStr">
        <is>
          <t>Average Attendance per Session</t>
        </is>
      </c>
      <c r="F21" s="36">
        <f>IFERROR(ROUND(AVERAGE(I5:I16),0),"")</f>
        <v/>
      </c>
    </row>
    <row r="22" ht="22" customHeight="1">
      <c r="B22" s="28" t="inlineStr">
        <is>
          <t>Average Feedback Score (/5)</t>
        </is>
      </c>
      <c r="F22" s="37">
        <f>IFERROR(ROUND(AVERAGE(J5:J16),2),"")</f>
        <v/>
      </c>
    </row>
    <row r="23" ht="22" customHeight="1">
      <c r="B23" s="44" t="inlineStr">
        <is>
          <t>Users Trained in e-Resources</t>
        </is>
      </c>
      <c r="F23" s="36" t="inlineStr"/>
    </row>
    <row r="24" ht="22" customHeight="1">
      <c r="B24" s="28" t="inlineStr">
        <is>
          <t>Faculty Trained</t>
        </is>
      </c>
      <c r="F24" s="37" t="inlineStr"/>
    </row>
    <row r="25" ht="22" customHeight="1"/>
    <row r="26" ht="24" customHeight="1">
      <c r="B26" s="46" t="inlineStr">
        <is>
          <t>LIBRARY AWARENESS ACTIVITIES LOG</t>
        </is>
      </c>
    </row>
    <row r="27" ht="22" customHeight="1">
      <c r="B27" s="47" t="inlineStr">
        <is>
          <t>Sl.</t>
        </is>
      </c>
      <c r="C27" s="47" t="inlineStr">
        <is>
          <t>Activity / Event</t>
        </is>
      </c>
      <c r="D27" s="47" t="inlineStr">
        <is>
          <t>Date</t>
        </is>
      </c>
      <c r="E27" s="47" t="inlineStr">
        <is>
          <t>Mode</t>
        </is>
      </c>
      <c r="F27" s="47" t="inlineStr">
        <is>
          <t>Participants</t>
        </is>
      </c>
      <c r="G27" s="47" t="inlineStr">
        <is>
          <t>Outcome / Remarks</t>
        </is>
      </c>
    </row>
    <row r="28" ht="22" customHeight="1">
      <c r="B28" s="42" t="n">
        <v>1</v>
      </c>
      <c r="C28" s="48" t="inlineStr">
        <is>
          <t>National Library Week Celebration</t>
        </is>
      </c>
      <c r="D28" s="25" t="inlineStr"/>
      <c r="E28" s="25" t="inlineStr"/>
      <c r="F28" s="25" t="inlineStr"/>
      <c r="G28" s="48" t="inlineStr"/>
      <c r="H28" s="43" t="n"/>
      <c r="I28" s="43" t="n"/>
      <c r="J28" s="43" t="n"/>
    </row>
    <row r="29" ht="22" customHeight="1">
      <c r="B29" s="8" t="n">
        <v>2</v>
      </c>
      <c r="C29" s="9" t="inlineStr">
        <is>
          <t>Book Fair</t>
        </is>
      </c>
      <c r="D29" s="10" t="inlineStr"/>
      <c r="E29" s="10" t="inlineStr"/>
      <c r="F29" s="10" t="inlineStr"/>
      <c r="G29" s="9" t="inlineStr"/>
      <c r="H29" s="41" t="n"/>
      <c r="I29" s="41" t="n"/>
      <c r="J29" s="41" t="n"/>
    </row>
    <row r="30" ht="22" customHeight="1">
      <c r="B30" s="42" t="n">
        <v>3</v>
      </c>
      <c r="C30" s="48" t="inlineStr">
        <is>
          <t>Book Reading Club — Monthly</t>
        </is>
      </c>
      <c r="D30" s="25" t="inlineStr"/>
      <c r="E30" s="25" t="inlineStr"/>
      <c r="F30" s="25" t="inlineStr"/>
      <c r="G30" s="48" t="inlineStr"/>
      <c r="H30" s="43" t="n"/>
      <c r="I30" s="43" t="n"/>
      <c r="J30" s="43" t="n"/>
    </row>
    <row r="31" ht="22" customHeight="1">
      <c r="B31" s="8" t="n">
        <v>4</v>
      </c>
      <c r="C31" s="9" t="inlineStr">
        <is>
          <t>Best Library User Award</t>
        </is>
      </c>
      <c r="D31" s="10" t="inlineStr"/>
      <c r="E31" s="10" t="inlineStr"/>
      <c r="F31" s="10" t="inlineStr"/>
      <c r="G31" s="9" t="inlineStr"/>
      <c r="H31" s="41" t="n"/>
      <c r="I31" s="41" t="n"/>
      <c r="J31" s="41" t="n"/>
    </row>
    <row r="32" ht="22" customHeight="1">
      <c r="B32" s="42" t="n">
        <v>5</v>
      </c>
      <c r="C32" s="48" t="inlineStr">
        <is>
          <t>Author Talk / Book Launch</t>
        </is>
      </c>
      <c r="D32" s="25" t="inlineStr"/>
      <c r="E32" s="25" t="inlineStr"/>
      <c r="F32" s="25" t="inlineStr"/>
      <c r="G32" s="48" t="inlineStr"/>
      <c r="H32" s="43" t="n"/>
      <c r="I32" s="43" t="n"/>
      <c r="J32" s="43" t="n"/>
    </row>
    <row r="33" ht="22" customHeight="1">
      <c r="B33" s="8" t="n">
        <v>6</v>
      </c>
      <c r="C33" s="9" t="inlineStr">
        <is>
          <t>Booklist Display — New Arrivals</t>
        </is>
      </c>
      <c r="D33" s="10" t="inlineStr"/>
      <c r="E33" s="10" t="inlineStr"/>
      <c r="F33" s="10" t="inlineStr"/>
      <c r="G33" s="9" t="inlineStr"/>
      <c r="H33" s="41" t="n"/>
      <c r="I33" s="41" t="n"/>
      <c r="J33" s="41" t="n"/>
    </row>
    <row r="34">
      <c r="B34" s="42" t="n">
        <v>7</v>
      </c>
      <c r="C34" s="48" t="inlineStr">
        <is>
          <t>e-Shodhsindu Awareness Drive</t>
        </is>
      </c>
      <c r="D34" s="25" t="inlineStr"/>
      <c r="E34" s="25" t="inlineStr"/>
      <c r="F34" s="25" t="inlineStr"/>
      <c r="G34" s="48" t="inlineStr"/>
      <c r="H34" s="43" t="n"/>
      <c r="I34" s="43" t="n"/>
      <c r="J34" s="43" t="n"/>
    </row>
    <row r="35">
      <c r="B35" s="8" t="n">
        <v>8</v>
      </c>
      <c r="C35" s="9" t="inlineStr">
        <is>
          <t>World Book Day Celebration</t>
        </is>
      </c>
      <c r="D35" s="10" t="inlineStr"/>
      <c r="E35" s="10" t="inlineStr"/>
      <c r="F35" s="10" t="inlineStr"/>
      <c r="G35" s="9" t="inlineStr"/>
      <c r="H35" s="41" t="n"/>
      <c r="I35" s="41" t="n"/>
      <c r="J35" s="41" t="n"/>
    </row>
  </sheetData>
  <mergeCells count="16">
    <mergeCell ref="B23:E23"/>
    <mergeCell ref="B3:J3"/>
    <mergeCell ref="F21:J21"/>
    <mergeCell ref="F24:J24"/>
    <mergeCell ref="F20:J20"/>
    <mergeCell ref="F23:J23"/>
    <mergeCell ref="B21:E21"/>
    <mergeCell ref="F19:J19"/>
    <mergeCell ref="B18:J18"/>
    <mergeCell ref="B26:J26"/>
    <mergeCell ref="B24:E24"/>
    <mergeCell ref="B19:E19"/>
    <mergeCell ref="B20:E20"/>
    <mergeCell ref="F22:J22"/>
    <mergeCell ref="B22:E22"/>
    <mergeCell ref="B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LIB-29: LIBRARY BUDGET &amp; EXPENDITURE REGISTER (₹ in Lakhs)</t>
        </is>
      </c>
    </row>
    <row r="3" ht="25" customHeight="1">
      <c r="B3" s="2" t="inlineStr">
        <is>
          <t>A.Y.: _______  Total Library Budget: ₹_______L  Finance Officer: ___________________  Date: _______</t>
        </is>
      </c>
    </row>
    <row r="4" ht="25" customHeight="1">
      <c r="B4" s="13" t="inlineStr">
        <is>
          <t>Budget
Head</t>
        </is>
      </c>
      <c r="C4" s="13" t="inlineStr">
        <is>
          <t>Budget Item</t>
        </is>
      </c>
      <c r="D4" s="13" t="inlineStr">
        <is>
          <t>Approved
Budget (₹L)</t>
        </is>
      </c>
      <c r="E4" s="13" t="inlineStr">
        <is>
          <t>Q1
Actual</t>
        </is>
      </c>
      <c r="F4" s="13" t="inlineStr">
        <is>
          <t>Q2
Actual</t>
        </is>
      </c>
      <c r="G4" s="13" t="inlineStr">
        <is>
          <t>Q3
Actual</t>
        </is>
      </c>
      <c r="H4" s="13" t="inlineStr">
        <is>
          <t>Q4
Actual</t>
        </is>
      </c>
      <c r="I4" s="13" t="inlineStr">
        <is>
          <t>Annual
Total (₹L)</t>
        </is>
      </c>
    </row>
    <row r="5" ht="22" customHeight="1">
      <c r="B5" s="14" t="inlineStr">
        <is>
          <t>BK</t>
        </is>
      </c>
      <c r="C5" s="15" t="inlineStr">
        <is>
          <t>Books &amp; Monographs</t>
        </is>
      </c>
      <c r="D5" s="16" t="inlineStr"/>
      <c r="E5" s="16" t="inlineStr"/>
      <c r="F5" s="16" t="inlineStr"/>
      <c r="G5" s="16" t="inlineStr"/>
      <c r="H5" s="16" t="inlineStr"/>
      <c r="I5" s="45">
        <f>IFERROR(SUM(E5:H5),"")</f>
        <v/>
      </c>
    </row>
    <row r="6" ht="22" customHeight="1">
      <c r="B6" s="8" t="inlineStr">
        <is>
          <t>PP</t>
        </is>
      </c>
      <c r="C6" s="9" t="inlineStr">
        <is>
          <t>Periodicals — Print</t>
        </is>
      </c>
      <c r="D6" s="10" t="inlineStr"/>
      <c r="E6" s="10" t="inlineStr"/>
      <c r="F6" s="10" t="inlineStr"/>
      <c r="G6" s="10" t="inlineStr"/>
      <c r="H6" s="10" t="inlineStr"/>
      <c r="I6" s="37">
        <f>IFERROR(SUM(E6:H6),"")</f>
        <v/>
      </c>
    </row>
    <row r="7" ht="22" customHeight="1">
      <c r="B7" s="14" t="inlineStr">
        <is>
          <t>EJ</t>
        </is>
      </c>
      <c r="C7" s="15" t="inlineStr">
        <is>
          <t>e-Journals &amp; Databases</t>
        </is>
      </c>
      <c r="D7" s="16" t="inlineStr"/>
      <c r="E7" s="16" t="inlineStr"/>
      <c r="F7" s="16" t="inlineStr"/>
      <c r="G7" s="16" t="inlineStr"/>
      <c r="H7" s="16" t="inlineStr"/>
      <c r="I7" s="45">
        <f>IFERROR(SUM(E7:H7),"")</f>
        <v/>
      </c>
    </row>
    <row r="8" ht="22" customHeight="1">
      <c r="B8" s="8" t="inlineStr">
        <is>
          <t>EB</t>
        </is>
      </c>
      <c r="C8" s="9" t="inlineStr">
        <is>
          <t>e-Books</t>
        </is>
      </c>
      <c r="D8" s="10" t="inlineStr"/>
      <c r="E8" s="10" t="inlineStr"/>
      <c r="F8" s="10" t="inlineStr"/>
      <c r="G8" s="10" t="inlineStr"/>
      <c r="H8" s="10" t="inlineStr"/>
      <c r="I8" s="37">
        <f>IFERROR(SUM(E8:H8),"")</f>
        <v/>
      </c>
    </row>
    <row r="9" ht="22" customHeight="1">
      <c r="B9" s="14" t="inlineStr">
        <is>
          <t>IC</t>
        </is>
      </c>
      <c r="C9" s="15" t="inlineStr">
        <is>
          <t>INFLIBNET / DELNET</t>
        </is>
      </c>
      <c r="D9" s="16" t="inlineStr"/>
      <c r="E9" s="16" t="inlineStr"/>
      <c r="F9" s="16" t="inlineStr"/>
      <c r="G9" s="16" t="inlineStr"/>
      <c r="H9" s="16" t="inlineStr"/>
      <c r="I9" s="45">
        <f>IFERROR(SUM(E9:H9),"")</f>
        <v/>
      </c>
    </row>
    <row r="10" ht="22" customHeight="1">
      <c r="B10" s="8" t="inlineStr">
        <is>
          <t>BC</t>
        </is>
      </c>
      <c r="C10" s="9" t="inlineStr">
        <is>
          <t>Binding &amp; Conservation</t>
        </is>
      </c>
      <c r="D10" s="10" t="inlineStr"/>
      <c r="E10" s="10" t="inlineStr"/>
      <c r="F10" s="10" t="inlineStr"/>
      <c r="G10" s="10" t="inlineStr"/>
      <c r="H10" s="10" t="inlineStr"/>
      <c r="I10" s="37">
        <f>IFERROR(SUM(E10:H10),"")</f>
        <v/>
      </c>
    </row>
    <row r="11" ht="22" customHeight="1">
      <c r="B11" s="14" t="inlineStr">
        <is>
          <t>LA</t>
        </is>
      </c>
      <c r="C11" s="15" t="inlineStr">
        <is>
          <t>Library Automation</t>
        </is>
      </c>
      <c r="D11" s="16" t="inlineStr"/>
      <c r="E11" s="16" t="inlineStr"/>
      <c r="F11" s="16" t="inlineStr"/>
      <c r="G11" s="16" t="inlineStr"/>
      <c r="H11" s="16" t="inlineStr"/>
      <c r="I11" s="45">
        <f>IFERROR(SUM(E11:H11),"")</f>
        <v/>
      </c>
    </row>
    <row r="12" ht="22" customHeight="1">
      <c r="B12" s="8" t="inlineStr">
        <is>
          <t>IR</t>
        </is>
      </c>
      <c r="C12" s="9" t="inlineStr">
        <is>
          <t>Institutional Repository</t>
        </is>
      </c>
      <c r="D12" s="10" t="inlineStr"/>
      <c r="E12" s="10" t="inlineStr"/>
      <c r="F12" s="10" t="inlineStr"/>
      <c r="G12" s="10" t="inlineStr"/>
      <c r="H12" s="10" t="inlineStr"/>
      <c r="I12" s="37">
        <f>IFERROR(SUM(E12:H12),"")</f>
        <v/>
      </c>
    </row>
    <row r="13" ht="22" customHeight="1">
      <c r="B13" s="14" t="inlineStr">
        <is>
          <t>FE</t>
        </is>
      </c>
      <c r="C13" s="15" t="inlineStr">
        <is>
          <t>Library Furniture &amp; Equipment</t>
        </is>
      </c>
      <c r="D13" s="16" t="inlineStr"/>
      <c r="E13" s="16" t="inlineStr"/>
      <c r="F13" s="16" t="inlineStr"/>
      <c r="G13" s="16" t="inlineStr"/>
      <c r="H13" s="16" t="inlineStr"/>
      <c r="I13" s="45">
        <f>IFERROR(SUM(E13:H13),"")</f>
        <v/>
      </c>
    </row>
    <row r="14" ht="22" customHeight="1">
      <c r="B14" s="8" t="inlineStr">
        <is>
          <t>RP</t>
        </is>
      </c>
      <c r="C14" s="9" t="inlineStr">
        <is>
          <t>Reprography / Printing</t>
        </is>
      </c>
      <c r="D14" s="10" t="inlineStr"/>
      <c r="E14" s="10" t="inlineStr"/>
      <c r="F14" s="10" t="inlineStr"/>
      <c r="G14" s="10" t="inlineStr"/>
      <c r="H14" s="10" t="inlineStr"/>
      <c r="I14" s="37">
        <f>IFERROR(SUM(E14:H14),"")</f>
        <v/>
      </c>
    </row>
    <row r="15" ht="22" customHeight="1">
      <c r="B15" s="14" t="inlineStr">
        <is>
          <t>ST</t>
        </is>
      </c>
      <c r="C15" s="15" t="inlineStr">
        <is>
          <t>Staff Training &amp; CPD</t>
        </is>
      </c>
      <c r="D15" s="16" t="inlineStr"/>
      <c r="E15" s="16" t="inlineStr"/>
      <c r="F15" s="16" t="inlineStr"/>
      <c r="G15" s="16" t="inlineStr"/>
      <c r="H15" s="16" t="inlineStr"/>
      <c r="I15" s="45">
        <f>IFERROR(SUM(E15:H15),"")</f>
        <v/>
      </c>
    </row>
    <row r="16" ht="22" customHeight="1">
      <c r="B16" s="8" t="inlineStr">
        <is>
          <t>IC</t>
        </is>
      </c>
      <c r="C16" s="9" t="inlineStr">
        <is>
          <t>Internet &amp; Connectivity</t>
        </is>
      </c>
      <c r="D16" s="10" t="inlineStr"/>
      <c r="E16" s="10" t="inlineStr"/>
      <c r="F16" s="10" t="inlineStr"/>
      <c r="G16" s="10" t="inlineStr"/>
      <c r="H16" s="10" t="inlineStr"/>
      <c r="I16" s="37">
        <f>IFERROR(SUM(E16:H16),"")</f>
        <v/>
      </c>
    </row>
    <row r="17" ht="22" customHeight="1">
      <c r="B17" s="14" t="inlineStr">
        <is>
          <t>MH</t>
        </is>
      </c>
      <c r="C17" s="15" t="inlineStr">
        <is>
          <t>Maintenance &amp; Housekeeping</t>
        </is>
      </c>
      <c r="D17" s="16" t="inlineStr"/>
      <c r="E17" s="16" t="inlineStr"/>
      <c r="F17" s="16" t="inlineStr"/>
      <c r="G17" s="16" t="inlineStr"/>
      <c r="H17" s="16" t="inlineStr"/>
      <c r="I17" s="45">
        <f>IFERROR(SUM(E17:H17),"")</f>
        <v/>
      </c>
    </row>
    <row r="18" ht="22" customHeight="1">
      <c r="B18" s="8" t="inlineStr">
        <is>
          <t>MS</t>
        </is>
      </c>
      <c r="C18" s="9" t="inlineStr">
        <is>
          <t>Miscellaneous</t>
        </is>
      </c>
      <c r="D18" s="10" t="inlineStr"/>
      <c r="E18" s="10" t="inlineStr"/>
      <c r="F18" s="10" t="inlineStr"/>
      <c r="G18" s="10" t="inlineStr"/>
      <c r="H18" s="10" t="inlineStr"/>
      <c r="I18" s="37">
        <f>IFERROR(SUM(E18:H18),"")</f>
        <v/>
      </c>
    </row>
    <row r="19" ht="22" customHeight="1"/>
    <row r="20" ht="28" customHeight="1">
      <c r="B20" s="38" t="inlineStr">
        <is>
          <t>TOTAL LIBRARY EXPENDITURE</t>
        </is>
      </c>
      <c r="C20" s="39">
        <f>IFERROR(SUM(C5:C18),"")</f>
        <v/>
      </c>
      <c r="D20" s="39">
        <f>IFERROR(SUM(D5:D18),"")</f>
        <v/>
      </c>
      <c r="E20" s="39">
        <f>IFERROR(SUM(E5:E18),"")</f>
        <v/>
      </c>
      <c r="F20" s="39">
        <f>IFERROR(SUM(F5:F18),"")</f>
        <v/>
      </c>
      <c r="G20" s="39">
        <f>IFERROR(SUM(G5:G18),"")</f>
        <v/>
      </c>
      <c r="H20" s="39">
        <f>IFERROR(SUM(H5:H18),"")</f>
        <v/>
      </c>
      <c r="I20" s="39">
        <f>IFERROR(SUM(I5:I18),"")</f>
        <v/>
      </c>
    </row>
    <row r="21" ht="22" customHeight="1"/>
    <row r="22" ht="24" customHeight="1">
      <c r="B22" s="18" t="inlineStr">
        <is>
          <t>BUDGET UTILISATION ANALYSIS</t>
        </is>
      </c>
    </row>
    <row r="23" ht="22" customHeight="1">
      <c r="B23" s="19" t="inlineStr">
        <is>
          <t>Category</t>
        </is>
      </c>
      <c r="C23" s="19" t="inlineStr">
        <is>
          <t>Budget Allocation
(₹L)</t>
        </is>
      </c>
      <c r="D23" s="19" t="inlineStr">
        <is>
          <t>Actual
Spend (₹L)</t>
        </is>
      </c>
      <c r="E23" s="19" t="inlineStr">
        <is>
          <t>Utilisation
%</t>
        </is>
      </c>
      <c r="F23" s="19" t="inlineStr">
        <is>
          <t>Variance
(₹L)</t>
        </is>
      </c>
      <c r="G23" s="19" t="inlineStr">
        <is>
          <t>% of Total
Library Budget</t>
        </is>
      </c>
      <c r="H23" s="19" t="inlineStr">
        <is>
          <t>Comments</t>
        </is>
      </c>
    </row>
    <row r="24" ht="22" customHeight="1">
      <c r="B24" s="34" t="inlineStr">
        <is>
          <t>Books &amp; Physical Resources</t>
        </is>
      </c>
      <c r="C24" s="20" t="inlineStr"/>
      <c r="D24" s="20" t="inlineStr"/>
      <c r="E24" s="20">
        <f>IFERROR(ROUND(D24/C24*100,1),"")</f>
        <v/>
      </c>
      <c r="F24" s="20">
        <f>IFERROR(C24-D24,"")</f>
        <v/>
      </c>
      <c r="G24" s="20" t="inlineStr"/>
      <c r="H24" s="34" t="inlineStr"/>
      <c r="I24" s="40" t="n"/>
    </row>
    <row r="25" ht="22" customHeight="1">
      <c r="B25" s="9" t="inlineStr">
        <is>
          <t>e-Resources &amp; Databases</t>
        </is>
      </c>
      <c r="C25" s="10" t="inlineStr"/>
      <c r="D25" s="10" t="inlineStr"/>
      <c r="E25" s="10">
        <f>IFERROR(ROUND(D25/C25*100,1),"")</f>
        <v/>
      </c>
      <c r="F25" s="10">
        <f>IFERROR(C25-D25,"")</f>
        <v/>
      </c>
      <c r="G25" s="10" t="inlineStr"/>
      <c r="H25" s="9" t="inlineStr"/>
      <c r="I25" s="41" t="n"/>
    </row>
    <row r="26" ht="22" customHeight="1">
      <c r="B26" s="34" t="inlineStr">
        <is>
          <t>Technology &amp; Automation</t>
        </is>
      </c>
      <c r="C26" s="20" t="inlineStr"/>
      <c r="D26" s="20" t="inlineStr"/>
      <c r="E26" s="20">
        <f>IFERROR(ROUND(D26/C26*100,1),"")</f>
        <v/>
      </c>
      <c r="F26" s="20">
        <f>IFERROR(C26-D26,"")</f>
        <v/>
      </c>
      <c r="G26" s="20" t="inlineStr"/>
      <c r="H26" s="34" t="inlineStr"/>
      <c r="I26" s="40" t="n"/>
    </row>
    <row r="27" ht="22" customHeight="1">
      <c r="B27" s="9" t="inlineStr">
        <is>
          <t>Maintenance &amp; Others</t>
        </is>
      </c>
      <c r="C27" s="10" t="inlineStr"/>
      <c r="D27" s="10" t="inlineStr"/>
      <c r="E27" s="10">
        <f>IFERROR(ROUND(D27/C27*100,1),"")</f>
        <v/>
      </c>
      <c r="F27" s="10">
        <f>IFERROR(C27-D27,"")</f>
        <v/>
      </c>
      <c r="G27" s="10" t="inlineStr"/>
      <c r="H27" s="9" t="inlineStr"/>
      <c r="I27" s="41" t="n"/>
    </row>
    <row r="28" ht="22" customHeight="1">
      <c r="B28" s="26" t="inlineStr">
        <is>
          <t>TOTAL</t>
        </is>
      </c>
      <c r="C28" s="42" t="inlineStr"/>
      <c r="D28" s="42" t="inlineStr"/>
      <c r="E28" s="42">
        <f>IFERROR(ROUND(D28/C28*100,1),"")</f>
        <v/>
      </c>
      <c r="F28" s="42">
        <f>IFERROR(C28-D28,"")</f>
        <v/>
      </c>
      <c r="G28" s="42" t="inlineStr"/>
      <c r="H28" s="26" t="inlineStr"/>
      <c r="I28" s="43" t="n"/>
    </row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LIB-31: ANNUAL STOCK VERIFICATION REGISTER</t>
        </is>
      </c>
    </row>
    <row r="3" ht="25" customHeight="1">
      <c r="B3" s="2" t="inlineStr">
        <is>
          <t>A.Y.: _______  Verification Period: _______  Verification Committee: ___________________  Principal Approval: _______</t>
        </is>
      </c>
    </row>
    <row r="4" ht="25" customHeight="1">
      <c r="B4" s="13" t="inlineStr">
        <is>
          <t>Dept. /
Subject Area</t>
        </is>
      </c>
      <c r="C4" s="13" t="inlineStr">
        <is>
          <t>Opening
Stock</t>
        </is>
      </c>
      <c r="D4" s="13" t="inlineStr">
        <is>
          <t>Additions
(Accessions)</t>
        </is>
      </c>
      <c r="E4" s="13" t="inlineStr">
        <is>
          <t>Withdrawals
(Weeding)</t>
        </is>
      </c>
      <c r="F4" s="13" t="inlineStr">
        <is>
          <t>Expected
Closing Stock</t>
        </is>
      </c>
      <c r="G4" s="13" t="inlineStr">
        <is>
          <t>Physical
Count</t>
        </is>
      </c>
      <c r="H4" s="13" t="inlineStr">
        <is>
          <t>Difference</t>
        </is>
      </c>
      <c r="I4" s="13" t="inlineStr">
        <is>
          <t>Missing /
Lost</t>
        </is>
      </c>
      <c r="J4" s="13" t="inlineStr">
        <is>
          <t>Damaged</t>
        </is>
      </c>
      <c r="K4" s="13" t="inlineStr">
        <is>
          <t>Remarks</t>
        </is>
      </c>
    </row>
    <row r="5" ht="22" customHeight="1">
      <c r="B5" s="15" t="inlineStr">
        <is>
          <t>Engineering &amp; Technology</t>
        </is>
      </c>
      <c r="C5" s="16" t="inlineStr"/>
      <c r="D5" s="16" t="inlineStr"/>
      <c r="E5" s="16" t="inlineStr"/>
      <c r="F5" s="16">
        <f>IFERROR(C5+D5-E5,"")</f>
        <v/>
      </c>
      <c r="G5" s="16" t="inlineStr"/>
      <c r="H5" s="16">
        <f>IFERROR(G5-F5,"")</f>
        <v/>
      </c>
      <c r="I5" s="16" t="inlineStr"/>
      <c r="J5" s="16" t="inlineStr"/>
      <c r="K5" s="15" t="inlineStr"/>
    </row>
    <row r="6" ht="22" customHeight="1">
      <c r="B6" s="9" t="inlineStr">
        <is>
          <t>Sciences &amp; Mathematics</t>
        </is>
      </c>
      <c r="C6" s="10" t="inlineStr"/>
      <c r="D6" s="10" t="inlineStr"/>
      <c r="E6" s="10" t="inlineStr"/>
      <c r="F6" s="10">
        <f>IFERROR(C6+D6-E6,"")</f>
        <v/>
      </c>
      <c r="G6" s="10" t="inlineStr"/>
      <c r="H6" s="10">
        <f>IFERROR(G6-F6,"")</f>
        <v/>
      </c>
      <c r="I6" s="10" t="inlineStr"/>
      <c r="J6" s="10" t="inlineStr"/>
      <c r="K6" s="9" t="inlineStr"/>
    </row>
    <row r="7" ht="22" customHeight="1">
      <c r="B7" s="15" t="inlineStr">
        <is>
          <t>Management &amp; Commerce</t>
        </is>
      </c>
      <c r="C7" s="16" t="inlineStr"/>
      <c r="D7" s="16" t="inlineStr"/>
      <c r="E7" s="16" t="inlineStr"/>
      <c r="F7" s="16">
        <f>IFERROR(C7+D7-E7,"")</f>
        <v/>
      </c>
      <c r="G7" s="16" t="inlineStr"/>
      <c r="H7" s="16">
        <f>IFERROR(G7-F7,"")</f>
        <v/>
      </c>
      <c r="I7" s="16" t="inlineStr"/>
      <c r="J7" s="16" t="inlineStr"/>
      <c r="K7" s="15" t="inlineStr"/>
    </row>
    <row r="8" ht="22" customHeight="1">
      <c r="B8" s="9" t="inlineStr">
        <is>
          <t>Humanities &amp; Social Sciences</t>
        </is>
      </c>
      <c r="C8" s="10" t="inlineStr"/>
      <c r="D8" s="10" t="inlineStr"/>
      <c r="E8" s="10" t="inlineStr"/>
      <c r="F8" s="10">
        <f>IFERROR(C8+D8-E8,"")</f>
        <v/>
      </c>
      <c r="G8" s="10" t="inlineStr"/>
      <c r="H8" s="10">
        <f>IFERROR(G8-F8,"")</f>
        <v/>
      </c>
      <c r="I8" s="10" t="inlineStr"/>
      <c r="J8" s="10" t="inlineStr"/>
      <c r="K8" s="9" t="inlineStr"/>
    </row>
    <row r="9" ht="22" customHeight="1">
      <c r="B9" s="15" t="inlineStr">
        <is>
          <t>Reference Collection</t>
        </is>
      </c>
      <c r="C9" s="16" t="inlineStr"/>
      <c r="D9" s="16" t="inlineStr"/>
      <c r="E9" s="16" t="inlineStr"/>
      <c r="F9" s="16">
        <f>IFERROR(C9+D9-E9,"")</f>
        <v/>
      </c>
      <c r="G9" s="16" t="inlineStr"/>
      <c r="H9" s="16">
        <f>IFERROR(G9-F9,"")</f>
        <v/>
      </c>
      <c r="I9" s="16" t="inlineStr"/>
      <c r="J9" s="16" t="inlineStr"/>
      <c r="K9" s="15" t="inlineStr"/>
    </row>
    <row r="10" ht="22" customHeight="1">
      <c r="B10" s="9" t="inlineStr">
        <is>
          <t>Dictionaries &amp; Encyclopaedias</t>
        </is>
      </c>
      <c r="C10" s="10" t="inlineStr"/>
      <c r="D10" s="10" t="inlineStr"/>
      <c r="E10" s="10" t="inlineStr"/>
      <c r="F10" s="10">
        <f>IFERROR(C10+D10-E10,"")</f>
        <v/>
      </c>
      <c r="G10" s="10" t="inlineStr"/>
      <c r="H10" s="10">
        <f>IFERROR(G10-F10,"")</f>
        <v/>
      </c>
      <c r="I10" s="10" t="inlineStr"/>
      <c r="J10" s="10" t="inlineStr"/>
      <c r="K10" s="9" t="inlineStr"/>
    </row>
    <row r="11" ht="22" customHeight="1">
      <c r="B11" s="15" t="inlineStr">
        <is>
          <t>Maps &amp; Atlases</t>
        </is>
      </c>
      <c r="C11" s="16" t="inlineStr"/>
      <c r="D11" s="16" t="inlineStr"/>
      <c r="E11" s="16" t="inlineStr"/>
      <c r="F11" s="16">
        <f>IFERROR(C11+D11-E11,"")</f>
        <v/>
      </c>
      <c r="G11" s="16" t="inlineStr"/>
      <c r="H11" s="16">
        <f>IFERROR(G11-F11,"")</f>
        <v/>
      </c>
      <c r="I11" s="16" t="inlineStr"/>
      <c r="J11" s="16" t="inlineStr"/>
      <c r="K11" s="15" t="inlineStr"/>
    </row>
    <row r="12" ht="22" customHeight="1">
      <c r="B12" s="9" t="inlineStr">
        <is>
          <t>AV Materials</t>
        </is>
      </c>
      <c r="C12" s="10" t="inlineStr"/>
      <c r="D12" s="10" t="inlineStr"/>
      <c r="E12" s="10" t="inlineStr"/>
      <c r="F12" s="10">
        <f>IFERROR(C12+D12-E12,"")</f>
        <v/>
      </c>
      <c r="G12" s="10" t="inlineStr"/>
      <c r="H12" s="10">
        <f>IFERROR(G12-F12,"")</f>
        <v/>
      </c>
      <c r="I12" s="10" t="inlineStr"/>
      <c r="J12" s="10" t="inlineStr"/>
      <c r="K12" s="9" t="inlineStr"/>
    </row>
    <row r="13" ht="22" customHeight="1">
      <c r="B13" s="15" t="inlineStr">
        <is>
          <t>Rare Books</t>
        </is>
      </c>
      <c r="C13" s="16" t="inlineStr"/>
      <c r="D13" s="16" t="inlineStr"/>
      <c r="E13" s="16" t="inlineStr"/>
      <c r="F13" s="16">
        <f>IFERROR(C13+D13-E13,"")</f>
        <v/>
      </c>
      <c r="G13" s="16" t="inlineStr"/>
      <c r="H13" s="16">
        <f>IFERROR(G13-F13,"")</f>
        <v/>
      </c>
      <c r="I13" s="16" t="inlineStr"/>
      <c r="J13" s="16" t="inlineStr"/>
      <c r="K13" s="15" t="inlineStr"/>
    </row>
    <row r="14" ht="22" customHeight="1">
      <c r="B14" s="9" t="inlineStr">
        <is>
          <t>Bound Periodicals</t>
        </is>
      </c>
      <c r="C14" s="10" t="inlineStr"/>
      <c r="D14" s="10" t="inlineStr"/>
      <c r="E14" s="10" t="inlineStr"/>
      <c r="F14" s="10">
        <f>IFERROR(C14+D14-E14,"")</f>
        <v/>
      </c>
      <c r="G14" s="10" t="inlineStr"/>
      <c r="H14" s="10">
        <f>IFERROR(G14-F14,"")</f>
        <v/>
      </c>
      <c r="I14" s="10" t="inlineStr"/>
      <c r="J14" s="10" t="inlineStr"/>
      <c r="K14" s="9" t="inlineStr"/>
    </row>
    <row r="15" ht="22" customHeight="1">
      <c r="B15" s="26" t="inlineStr">
        <is>
          <t>TOTAL</t>
        </is>
      </c>
      <c r="C15" s="42" t="inlineStr"/>
      <c r="D15" s="42" t="inlineStr"/>
      <c r="E15" s="42" t="inlineStr"/>
      <c r="F15" s="42">
        <f>IFERROR(C15+D15-E15,"")</f>
        <v/>
      </c>
      <c r="G15" s="42" t="inlineStr"/>
      <c r="H15" s="42">
        <f>IFERROR(G15-F15,"")</f>
        <v/>
      </c>
      <c r="I15" s="42" t="inlineStr"/>
      <c r="J15" s="42" t="inlineStr"/>
      <c r="K15" s="26" t="inlineStr"/>
    </row>
    <row r="16" ht="22" customHeight="1"/>
    <row r="17" ht="24" customHeight="1">
      <c r="B17" s="46" t="inlineStr">
        <is>
          <t>VERIFICATION COMMITTEE CERTIFICATE</t>
        </is>
      </c>
    </row>
    <row r="18" ht="22" customHeight="1">
      <c r="B18" s="49" t="inlineStr">
        <is>
          <t>We, the undersigned, certify that the above stock verification has been conducted physically and the figures are correct to the best of our knowledge.</t>
        </is>
      </c>
    </row>
    <row r="19" ht="22" customHeight="1">
      <c r="B19" s="32" t="inlineStr">
        <is>
          <t>Member 1: ___________________    Member 2: ___________________    Librarian: ___________________    Date: ___________________</t>
        </is>
      </c>
    </row>
    <row r="20" ht="22" customHeight="1">
      <c r="B20" s="50" t="inlineStr">
        <is>
          <t>Discrepancies reported to Principal on: _______    Finance Officer notified: _______    Action taken: ___________________</t>
        </is>
      </c>
    </row>
    <row r="21" ht="20" customHeight="1">
      <c r="B21" s="17" t="inlineStr">
        <is>
          <t>Lost books must be recovered from the borrower at replacement cost + fine as per library policy. Report to management if unrecovered within 30 days.</t>
        </is>
      </c>
    </row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7">
    <mergeCell ref="B17:K17"/>
    <mergeCell ref="B18:K18"/>
    <mergeCell ref="B21:K21"/>
    <mergeCell ref="B2:K2"/>
    <mergeCell ref="B20:K20"/>
    <mergeCell ref="B3:K3"/>
    <mergeCell ref="B19:K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LIB-36: LIBRARY USER SATISFACTION SURVEY — CONSOLIDATED ANALYSIS</t>
        </is>
      </c>
    </row>
    <row r="3" ht="25" customHeight="1">
      <c r="B3" s="2" t="inlineStr">
        <is>
          <t>A.Y.: _______  Total Respondents: _______  Survey Mode: Online / Paper  Date: _______  NAAC Ref.: Criterion IV.2</t>
        </is>
      </c>
    </row>
    <row r="4" ht="22" customHeight="1">
      <c r="B4" s="51" t="inlineStr">
        <is>
          <t>Rating Scale: 1 = Very Dissatisfied  |  2 = Dissatisfied  |  3 = Neutral  |  4 = Satisfied  |  5 = Very Satisfied</t>
        </is>
      </c>
    </row>
    <row r="5" ht="24" customHeight="1">
      <c r="B5" s="22" t="inlineStr">
        <is>
          <t>SECTION A — COLLECTION &amp; RESOURCES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Very
Satisfied (5)</t>
        </is>
      </c>
      <c r="E6" s="13" t="inlineStr">
        <is>
          <t>Satisfied
(4)</t>
        </is>
      </c>
      <c r="F6" s="13" t="inlineStr">
        <is>
          <t>Neutral
(3)</t>
        </is>
      </c>
      <c r="G6" s="13" t="inlineStr">
        <is>
          <t>Dissatisfied
(2)</t>
        </is>
      </c>
      <c r="H6" s="13" t="inlineStr">
        <is>
          <t>Very
Dissatisfied 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Adequacy of books available in your subject area</t>
        </is>
      </c>
      <c r="D7" s="16" t="inlineStr"/>
      <c r="E7" s="16" t="inlineStr"/>
      <c r="F7" s="16" t="inlineStr"/>
      <c r="G7" s="16" t="inlineStr"/>
      <c r="H7" s="16" t="inlineStr"/>
      <c r="I7" s="45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Currency / up-to-dateness of the book collection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Availability of prescribed textbooks for your course</t>
        </is>
      </c>
      <c r="D9" s="16" t="inlineStr"/>
      <c r="E9" s="16" t="inlineStr"/>
      <c r="F9" s="16" t="inlineStr"/>
      <c r="G9" s="16" t="inlineStr"/>
      <c r="H9" s="16" t="inlineStr"/>
      <c r="I9" s="45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Quality and range of reference books and encyclopaedias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Availability of journals / periodicals in your field</t>
        </is>
      </c>
      <c r="D11" s="16" t="inlineStr"/>
      <c r="E11" s="16" t="inlineStr"/>
      <c r="F11" s="16" t="inlineStr"/>
      <c r="G11" s="16" t="inlineStr"/>
      <c r="H11" s="16" t="inlineStr"/>
      <c r="I11" s="45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Access to e-journals and online databases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IFERROR(ROUND((D12*5+E12*4+F12*3+G12*2+H12)/SUM(D12:H12),2),"")</f>
        <v/>
      </c>
    </row>
    <row r="13" ht="22" customHeight="1">
      <c r="B13" s="14" t="inlineStr">
        <is>
          <t>Q7</t>
        </is>
      </c>
      <c r="C13" s="15" t="inlineStr">
        <is>
          <t>Availability of e-books and digital resources</t>
        </is>
      </c>
      <c r="D13" s="16" t="inlineStr"/>
      <c r="E13" s="16" t="inlineStr"/>
      <c r="F13" s="16" t="inlineStr"/>
      <c r="G13" s="16" t="inlineStr"/>
      <c r="H13" s="16" t="inlineStr"/>
      <c r="I13" s="45">
        <f>IFERROR(ROUND((D13*5+E13*4+F13*3+G13*2+H13)/SUM(D13:H13),2),"")</f>
        <v/>
      </c>
    </row>
    <row r="14" ht="22" customHeight="1">
      <c r="B14" s="8" t="inlineStr">
        <is>
          <t>Q8</t>
        </is>
      </c>
      <c r="C14" s="9" t="inlineStr">
        <is>
          <t>Access to theses and dissertations</t>
        </is>
      </c>
      <c r="D14" s="10" t="inlineStr"/>
      <c r="E14" s="10" t="inlineStr"/>
      <c r="F14" s="10" t="inlineStr"/>
      <c r="G14" s="10" t="inlineStr"/>
      <c r="H14" s="10" t="inlineStr"/>
      <c r="I14" s="37">
        <f>IFERROR(ROUND((D14*5+E14*4+F14*3+G14*2+H14)/SUM(D14:H14),2),"")</f>
        <v/>
      </c>
    </row>
    <row r="15" ht="22" customHeight="1"/>
    <row r="16" ht="24" customHeight="1">
      <c r="B16" s="18" t="inlineStr">
        <is>
          <t>SECTION B — SERVICES &amp; STAFF</t>
        </is>
      </c>
    </row>
    <row r="17" ht="22" customHeight="1">
      <c r="B17" s="19" t="inlineStr">
        <is>
          <t>Q.</t>
        </is>
      </c>
      <c r="C17" s="19" t="inlineStr">
        <is>
          <t>Survey Statement</t>
        </is>
      </c>
      <c r="D17" s="19" t="inlineStr">
        <is>
          <t>Very
Satisfied (5)</t>
        </is>
      </c>
      <c r="E17" s="19" t="inlineStr">
        <is>
          <t>Satisfied
(4)</t>
        </is>
      </c>
      <c r="F17" s="19" t="inlineStr">
        <is>
          <t>Neutral
(3)</t>
        </is>
      </c>
      <c r="G17" s="19" t="inlineStr">
        <is>
          <t>Dissatisfied
(2)</t>
        </is>
      </c>
      <c r="H17" s="19" t="inlineStr">
        <is>
          <t>Very
Dissatisfied (1)</t>
        </is>
      </c>
      <c r="I17" s="19" t="inlineStr">
        <is>
          <t>Avg Score</t>
        </is>
      </c>
    </row>
    <row r="18" ht="22" customHeight="1">
      <c r="B18" s="33" t="inlineStr">
        <is>
          <t>Q9</t>
        </is>
      </c>
      <c r="C18" s="34" t="inlineStr">
        <is>
          <t>Helpfulness and courtesy of library staff</t>
        </is>
      </c>
      <c r="D18" s="20" t="inlineStr"/>
      <c r="E18" s="20" t="inlineStr"/>
      <c r="F18" s="20" t="inlineStr"/>
      <c r="G18" s="20" t="inlineStr"/>
      <c r="H18" s="20" t="inlineStr"/>
      <c r="I18" s="52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Responsiveness of staff to queries and requests</t>
        </is>
      </c>
      <c r="D19" s="10" t="inlineStr"/>
      <c r="E19" s="10" t="inlineStr"/>
      <c r="F19" s="10" t="inlineStr"/>
      <c r="G19" s="10" t="inlineStr"/>
      <c r="H19" s="10" t="inlineStr"/>
      <c r="I19" s="37">
        <f>IFERROR(ROUND((D19*5+E19*4+F19*3+G19*2+H19)/SUM(D19:H19),2),"")</f>
        <v/>
      </c>
    </row>
    <row r="20" ht="22" customHeight="1">
      <c r="B20" s="33" t="inlineStr">
        <is>
          <t>Q11</t>
        </is>
      </c>
      <c r="C20" s="34" t="inlineStr">
        <is>
          <t>Quality of reference and information services</t>
        </is>
      </c>
      <c r="D20" s="20" t="inlineStr"/>
      <c r="E20" s="20" t="inlineStr"/>
      <c r="F20" s="20" t="inlineStr"/>
      <c r="G20" s="20" t="inlineStr"/>
      <c r="H20" s="20" t="inlineStr"/>
      <c r="I20" s="52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Inter-library loan service (where used)</t>
        </is>
      </c>
      <c r="D21" s="10" t="inlineStr"/>
      <c r="E21" s="10" t="inlineStr"/>
      <c r="F21" s="10" t="inlineStr"/>
      <c r="G21" s="10" t="inlineStr"/>
      <c r="H21" s="10" t="inlineStr"/>
      <c r="I21" s="37">
        <f>IFERROR(ROUND((D21*5+E21*4+F21*3+G21*2+H21)/SUM(D21:H21),2),"")</f>
        <v/>
      </c>
    </row>
    <row r="22" ht="22" customHeight="1">
      <c r="B22" s="33" t="inlineStr">
        <is>
          <t>Q13</t>
        </is>
      </c>
      <c r="C22" s="34" t="inlineStr">
        <is>
          <t>Speed and accuracy of book issue / return service</t>
        </is>
      </c>
      <c r="D22" s="20" t="inlineStr"/>
      <c r="E22" s="20" t="inlineStr"/>
      <c r="F22" s="20" t="inlineStr"/>
      <c r="G22" s="20" t="inlineStr"/>
      <c r="H22" s="20" t="inlineStr"/>
      <c r="I22" s="52">
        <f>IFERROR(ROUND((D22*5+E22*4+F22*3+G22*2+H22)/SUM(D22:H22),2),"")</f>
        <v/>
      </c>
    </row>
    <row r="23" ht="22" customHeight="1">
      <c r="B23" s="8" t="inlineStr">
        <is>
          <t>Q14</t>
        </is>
      </c>
      <c r="C23" s="9" t="inlineStr">
        <is>
          <t>Library orientation / training sessions provided</t>
        </is>
      </c>
      <c r="D23" s="10" t="inlineStr"/>
      <c r="E23" s="10" t="inlineStr"/>
      <c r="F23" s="10" t="inlineStr"/>
      <c r="G23" s="10" t="inlineStr"/>
      <c r="H23" s="10" t="inlineStr"/>
      <c r="I23" s="37">
        <f>IFERROR(ROUND((D23*5+E23*4+F23*3+G23*2+H23)/SUM(D23:H23),2),"")</f>
        <v/>
      </c>
    </row>
    <row r="24" ht="22" customHeight="1">
      <c r="B24" s="33" t="inlineStr">
        <is>
          <t>Q15</t>
        </is>
      </c>
      <c r="C24" s="34" t="inlineStr">
        <is>
          <t>Online request / renewal services (if available)</t>
        </is>
      </c>
      <c r="D24" s="20" t="inlineStr"/>
      <c r="E24" s="20" t="inlineStr"/>
      <c r="F24" s="20" t="inlineStr"/>
      <c r="G24" s="20" t="inlineStr"/>
      <c r="H24" s="20" t="inlineStr"/>
      <c r="I24" s="52">
        <f>IFERROR(ROUND((D24*5+E24*4+F24*3+G24*2+H24)/SUM(D24:H24),2),"")</f>
        <v/>
      </c>
    </row>
    <row r="25" ht="22" customHeight="1"/>
    <row r="26" ht="24" customHeight="1">
      <c r="B26" s="53" t="inlineStr">
        <is>
          <t>SECTION C — DIGITAL LIBRARY</t>
        </is>
      </c>
    </row>
    <row r="27" ht="22" customHeight="1">
      <c r="B27" s="54" t="inlineStr">
        <is>
          <t>Q.</t>
        </is>
      </c>
      <c r="C27" s="54" t="inlineStr">
        <is>
          <t>Survey Statement</t>
        </is>
      </c>
      <c r="D27" s="54" t="inlineStr">
        <is>
          <t>Very
Satisfied (5)</t>
        </is>
      </c>
      <c r="E27" s="54" t="inlineStr">
        <is>
          <t>Satisfied
(4)</t>
        </is>
      </c>
      <c r="F27" s="54" t="inlineStr">
        <is>
          <t>Neutral
(3)</t>
        </is>
      </c>
      <c r="G27" s="54" t="inlineStr">
        <is>
          <t>Dissatisfied
(2)</t>
        </is>
      </c>
      <c r="H27" s="54" t="inlineStr">
        <is>
          <t>Very
Dissatisfied (1)</t>
        </is>
      </c>
      <c r="I27" s="54" t="inlineStr">
        <is>
          <t>Avg Score</t>
        </is>
      </c>
    </row>
    <row r="28" ht="22" customHeight="1">
      <c r="B28" s="55" t="inlineStr">
        <is>
          <t>Q16</t>
        </is>
      </c>
      <c r="C28" s="56" t="inlineStr">
        <is>
          <t>Ease of using the OPAC / online catalogue</t>
        </is>
      </c>
      <c r="D28" s="57" t="inlineStr"/>
      <c r="E28" s="57" t="inlineStr"/>
      <c r="F28" s="57" t="inlineStr"/>
      <c r="G28" s="57" t="inlineStr"/>
      <c r="H28" s="57" t="inlineStr"/>
      <c r="I28" s="58">
        <f>IFERROR(ROUND((D28*5+E28*4+F28*3+G28*2+H28)/SUM(D28:H28),2),"")</f>
        <v/>
      </c>
    </row>
    <row r="29" ht="22" customHeight="1">
      <c r="B29" s="8" t="inlineStr">
        <is>
          <t>Q17</t>
        </is>
      </c>
      <c r="C29" s="9" t="inlineStr">
        <is>
          <t>Remote access to e-resources (off-campus)</t>
        </is>
      </c>
      <c r="D29" s="10" t="inlineStr"/>
      <c r="E29" s="10" t="inlineStr"/>
      <c r="F29" s="10" t="inlineStr"/>
      <c r="G29" s="10" t="inlineStr"/>
      <c r="H29" s="10" t="inlineStr"/>
      <c r="I29" s="37">
        <f>IFERROR(ROUND((D29*5+E29*4+F29*3+G29*2+H29)/SUM(D29:H29),2),"")</f>
        <v/>
      </c>
    </row>
    <row r="30" ht="22" customHeight="1">
      <c r="B30" s="55" t="inlineStr">
        <is>
          <t>Q18</t>
        </is>
      </c>
      <c r="C30" s="56" t="inlineStr">
        <is>
          <t>Quality and usability of the institutional repository</t>
        </is>
      </c>
      <c r="D30" s="57" t="inlineStr"/>
      <c r="E30" s="57" t="inlineStr"/>
      <c r="F30" s="57" t="inlineStr"/>
      <c r="G30" s="57" t="inlineStr"/>
      <c r="H30" s="57" t="inlineStr"/>
      <c r="I30" s="58">
        <f>IFERROR(ROUND((D30*5+E30*4+F30*3+G30*2+H30)/SUM(D30:H30),2),"")</f>
        <v/>
      </c>
    </row>
    <row r="31" ht="22" customHeight="1">
      <c r="B31" s="8" t="inlineStr">
        <is>
          <t>Q19</t>
        </is>
      </c>
      <c r="C31" s="9" t="inlineStr">
        <is>
          <t>Speed and reliability of library internet connection</t>
        </is>
      </c>
      <c r="D31" s="10" t="inlineStr"/>
      <c r="E31" s="10" t="inlineStr"/>
      <c r="F31" s="10" t="inlineStr"/>
      <c r="G31" s="10" t="inlineStr"/>
      <c r="H31" s="10" t="inlineStr"/>
      <c r="I31" s="37">
        <f>IFERROR(ROUND((D31*5+E31*4+F31*3+G31*2+H31)/SUM(D31:H31),2),"")</f>
        <v/>
      </c>
    </row>
    <row r="32" ht="22" customHeight="1">
      <c r="B32" s="55" t="inlineStr">
        <is>
          <t>Q20</t>
        </is>
      </c>
      <c r="C32" s="56" t="inlineStr">
        <is>
          <t>Availability of computers / digital access in library</t>
        </is>
      </c>
      <c r="D32" s="57" t="inlineStr"/>
      <c r="E32" s="57" t="inlineStr"/>
      <c r="F32" s="57" t="inlineStr"/>
      <c r="G32" s="57" t="inlineStr"/>
      <c r="H32" s="57" t="inlineStr"/>
      <c r="I32" s="58">
        <f>IFERROR(ROUND((D32*5+E32*4+F32*3+G32*2+H32)/SUM(D32:H32),2),"")</f>
        <v/>
      </c>
    </row>
    <row r="33" ht="22" customHeight="1"/>
    <row r="34" ht="24" customHeight="1">
      <c r="B34" s="59" t="inlineStr">
        <is>
          <t>SECTION D — INFRASTRUCTURE &amp; ENVIRONMENT</t>
        </is>
      </c>
    </row>
    <row r="35" ht="22" customHeight="1">
      <c r="B35" s="60" t="inlineStr">
        <is>
          <t>Q.</t>
        </is>
      </c>
      <c r="C35" s="60" t="inlineStr">
        <is>
          <t>Survey Statement</t>
        </is>
      </c>
      <c r="D35" s="60" t="inlineStr">
        <is>
          <t>Very
Satisfied (5)</t>
        </is>
      </c>
      <c r="E35" s="60" t="inlineStr">
        <is>
          <t>Satisfied
(4)</t>
        </is>
      </c>
      <c r="F35" s="60" t="inlineStr">
        <is>
          <t>Neutral
(3)</t>
        </is>
      </c>
      <c r="G35" s="60" t="inlineStr">
        <is>
          <t>Dissatisfied
(2)</t>
        </is>
      </c>
      <c r="H35" s="60" t="inlineStr">
        <is>
          <t>Very
Dissatisfied (1)</t>
        </is>
      </c>
      <c r="I35" s="60" t="inlineStr">
        <is>
          <t>Avg Score</t>
        </is>
      </c>
    </row>
    <row r="36" ht="22" customHeight="1">
      <c r="B36" s="61" t="inlineStr">
        <is>
          <t>Q21</t>
        </is>
      </c>
      <c r="C36" s="62" t="inlineStr">
        <is>
          <t>Comfort and adequacy of seating in the reading room</t>
        </is>
      </c>
      <c r="D36" s="63" t="inlineStr"/>
      <c r="E36" s="63" t="inlineStr"/>
      <c r="F36" s="63" t="inlineStr"/>
      <c r="G36" s="63" t="inlineStr"/>
      <c r="H36" s="63" t="inlineStr"/>
      <c r="I36" s="64">
        <f>IFERROR(ROUND((D36*5+E36*4+F36*3+G36*2+H36)/SUM(D36:H36),2),"")</f>
        <v/>
      </c>
    </row>
    <row r="37" ht="22" customHeight="1">
      <c r="B37" s="8" t="inlineStr">
        <is>
          <t>Q22</t>
        </is>
      </c>
      <c r="C37" s="9" t="inlineStr">
        <is>
          <t>Cleanliness and hygiene of the library</t>
        </is>
      </c>
      <c r="D37" s="10" t="inlineStr"/>
      <c r="E37" s="10" t="inlineStr"/>
      <c r="F37" s="10" t="inlineStr"/>
      <c r="G37" s="10" t="inlineStr"/>
      <c r="H37" s="10" t="inlineStr"/>
      <c r="I37" s="37">
        <f>IFERROR(ROUND((D37*5+E37*4+F37*3+G37*2+H37)/SUM(D37:H37),2),"")</f>
        <v/>
      </c>
    </row>
    <row r="38" ht="22" customHeight="1">
      <c r="B38" s="61" t="inlineStr">
        <is>
          <t>Q23</t>
        </is>
      </c>
      <c r="C38" s="62" t="inlineStr">
        <is>
          <t>Lighting, ventilation and overall environment</t>
        </is>
      </c>
      <c r="D38" s="63" t="inlineStr"/>
      <c r="E38" s="63" t="inlineStr"/>
      <c r="F38" s="63" t="inlineStr"/>
      <c r="G38" s="63" t="inlineStr"/>
      <c r="H38" s="63" t="inlineStr"/>
      <c r="I38" s="64">
        <f>IFERROR(ROUND((D38*5+E38*4+F38*3+G38*2+H38)/SUM(D38:H38),2),"")</f>
        <v/>
      </c>
    </row>
    <row r="39" ht="22" customHeight="1">
      <c r="B39" s="8" t="inlineStr">
        <is>
          <t>Q24</t>
        </is>
      </c>
      <c r="C39" s="9" t="inlineStr">
        <is>
          <t>Accessibility for differently-abled users</t>
        </is>
      </c>
      <c r="D39" s="10" t="inlineStr"/>
      <c r="E39" s="10" t="inlineStr"/>
      <c r="F39" s="10" t="inlineStr"/>
      <c r="G39" s="10" t="inlineStr"/>
      <c r="H39" s="10" t="inlineStr"/>
      <c r="I39" s="37">
        <f>IFERROR(ROUND((D39*5+E39*4+F39*3+G39*2+H39)/SUM(D39:H39),2),"")</f>
        <v/>
      </c>
    </row>
    <row r="40" ht="22" customHeight="1">
      <c r="B40" s="61" t="inlineStr">
        <is>
          <t>Q25</t>
        </is>
      </c>
      <c r="C40" s="62" t="inlineStr">
        <is>
          <t>Library working hours (adequacy and convenience)</t>
        </is>
      </c>
      <c r="D40" s="63" t="inlineStr"/>
      <c r="E40" s="63" t="inlineStr"/>
      <c r="F40" s="63" t="inlineStr"/>
      <c r="G40" s="63" t="inlineStr"/>
      <c r="H40" s="63" t="inlineStr"/>
      <c r="I40" s="64">
        <f>IFERROR(ROUND((D40*5+E40*4+F40*3+G40*2+H40)/SUM(D40:H40),2),"")</f>
        <v/>
      </c>
    </row>
    <row r="41" ht="22" customHeight="1">
      <c r="B41" s="8" t="inlineStr">
        <is>
          <t>Q26</t>
        </is>
      </c>
      <c r="C41" s="9" t="inlineStr">
        <is>
          <t>Noise levels and conduciveness to study</t>
        </is>
      </c>
      <c r="D41" s="10" t="inlineStr"/>
      <c r="E41" s="10" t="inlineStr"/>
      <c r="F41" s="10" t="inlineStr"/>
      <c r="G41" s="10" t="inlineStr"/>
      <c r="H41" s="10" t="inlineStr"/>
      <c r="I41" s="37">
        <f>IFERROR(ROUND((D41*5+E41*4+F41*3+G41*2+H41)/SUM(D41:H41),2),"")</f>
        <v/>
      </c>
    </row>
    <row r="42" ht="22" customHeight="1"/>
    <row r="43" ht="24" customHeight="1">
      <c r="B43" s="23" t="inlineStr">
        <is>
          <t>SECTION E — OVERALL SATISFACTION</t>
        </is>
      </c>
    </row>
    <row r="44" ht="22" customHeight="1">
      <c r="B44" s="24" t="inlineStr">
        <is>
          <t>Q.</t>
        </is>
      </c>
      <c r="C44" s="24" t="inlineStr">
        <is>
          <t>Survey Statement</t>
        </is>
      </c>
      <c r="D44" s="24" t="inlineStr">
        <is>
          <t>Very
Satisfied (5)</t>
        </is>
      </c>
      <c r="E44" s="24" t="inlineStr">
        <is>
          <t>Satisfied
(4)</t>
        </is>
      </c>
      <c r="F44" s="24" t="inlineStr">
        <is>
          <t>Neutral
(3)</t>
        </is>
      </c>
      <c r="G44" s="24" t="inlineStr">
        <is>
          <t>Dissatisfied
(2)</t>
        </is>
      </c>
      <c r="H44" s="24" t="inlineStr">
        <is>
          <t>Very
Dissatisfied (1)</t>
        </is>
      </c>
      <c r="I44" s="24" t="inlineStr">
        <is>
          <t>Avg Score</t>
        </is>
      </c>
    </row>
    <row r="45" ht="22" customHeight="1">
      <c r="B45" s="42" t="inlineStr">
        <is>
          <t>Q27</t>
        </is>
      </c>
      <c r="C45" s="48" t="inlineStr">
        <is>
          <t>Overall quality of library services</t>
        </is>
      </c>
      <c r="D45" s="25" t="inlineStr"/>
      <c r="E45" s="25" t="inlineStr"/>
      <c r="F45" s="25" t="inlineStr"/>
      <c r="G45" s="25" t="inlineStr"/>
      <c r="H45" s="25" t="inlineStr"/>
      <c r="I45" s="65">
        <f>IFERROR(ROUND((D45*5+E45*4+F45*3+G45*2+H45)/SUM(D45:H45),2),"")</f>
        <v/>
      </c>
    </row>
    <row r="46" ht="22" customHeight="1">
      <c r="B46" s="8" t="inlineStr">
        <is>
          <t>Q28</t>
        </is>
      </c>
      <c r="C46" s="9" t="inlineStr">
        <is>
          <t>Overall satisfaction with the library collection</t>
        </is>
      </c>
      <c r="D46" s="10" t="inlineStr"/>
      <c r="E46" s="10" t="inlineStr"/>
      <c r="F46" s="10" t="inlineStr"/>
      <c r="G46" s="10" t="inlineStr"/>
      <c r="H46" s="10" t="inlineStr"/>
      <c r="I46" s="37">
        <f>IFERROR(ROUND((D46*5+E46*4+F46*3+G46*2+H46)/SUM(D46:H46),2),"")</f>
        <v/>
      </c>
    </row>
    <row r="47" ht="22" customHeight="1">
      <c r="B47" s="42" t="inlineStr">
        <is>
          <t>Q29</t>
        </is>
      </c>
      <c r="C47" s="48" t="inlineStr">
        <is>
          <t>Value for time spent in the library</t>
        </is>
      </c>
      <c r="D47" s="25" t="inlineStr"/>
      <c r="E47" s="25" t="inlineStr"/>
      <c r="F47" s="25" t="inlineStr"/>
      <c r="G47" s="25" t="inlineStr"/>
      <c r="H47" s="25" t="inlineStr"/>
      <c r="I47" s="65">
        <f>IFERROR(ROUND((D47*5+E47*4+F47*3+G47*2+H47)/SUM(D47:H47),2),"")</f>
        <v/>
      </c>
    </row>
    <row r="48" ht="22" customHeight="1">
      <c r="B48" s="8" t="inlineStr">
        <is>
          <t>Q30</t>
        </is>
      </c>
      <c r="C48" s="9" t="inlineStr">
        <is>
          <t>Would you recommend the library to peers?</t>
        </is>
      </c>
      <c r="D48" s="10" t="inlineStr"/>
      <c r="E48" s="10" t="inlineStr"/>
      <c r="F48" s="10" t="inlineStr"/>
      <c r="G48" s="10" t="inlineStr"/>
      <c r="H48" s="10" t="inlineStr"/>
      <c r="I48" s="37">
        <f>IFERROR(ROUND((D48*5+E48*4+F48*3+G48*2+H48)/SUM(D48:H48),2),"")</f>
        <v/>
      </c>
    </row>
    <row r="49" ht="22" customHeight="1"/>
    <row r="50" ht="24" customHeight="1">
      <c r="B50" s="30" t="inlineStr">
        <is>
          <t>SURVEY SUMMARY &amp; ACTION PLAN</t>
        </is>
      </c>
    </row>
    <row r="51" ht="22" customHeight="1">
      <c r="B51" s="31" t="inlineStr">
        <is>
          <t>Section</t>
        </is>
      </c>
      <c r="C51" s="31" t="inlineStr">
        <is>
          <t>Avg Score (/5)</t>
        </is>
      </c>
      <c r="D51" s="31" t="inlineStr">
        <is>
          <t>Satisfaction %</t>
        </is>
      </c>
      <c r="E51" s="31" t="inlineStr">
        <is>
          <t>Benchmark
(≥3.5)</t>
        </is>
      </c>
      <c r="F51" s="31" t="inlineStr">
        <is>
          <t>Gap</t>
        </is>
      </c>
      <c r="G51" s="31" t="inlineStr">
        <is>
          <t>Status</t>
        </is>
      </c>
      <c r="H51" s="31" t="inlineStr">
        <is>
          <t>Priority Action</t>
        </is>
      </c>
    </row>
    <row r="52" ht="22" customHeight="1">
      <c r="B52" s="44" t="inlineStr">
        <is>
          <t>SECTION A</t>
        </is>
      </c>
      <c r="C52" s="16" t="inlineStr"/>
      <c r="D52" s="16">
        <f>IFERROR(ROUND(C52/5*100,1),"")</f>
        <v/>
      </c>
      <c r="E52" s="16" t="n">
        <v>3.5</v>
      </c>
      <c r="F52" s="16">
        <f>IFERROR(ROUND(C52-E52,2),"")</f>
        <v/>
      </c>
      <c r="G52" s="16">
        <f>IFERROR(IF(C52&gt;=3.5,"Satisfactory","Needs Improvement"),"")</f>
        <v/>
      </c>
      <c r="H52" s="15" t="inlineStr"/>
      <c r="I52" s="66" t="n"/>
    </row>
    <row r="53" ht="22" customHeight="1">
      <c r="B53" s="28" t="inlineStr">
        <is>
          <t>SECTION B</t>
        </is>
      </c>
      <c r="C53" s="10" t="inlineStr"/>
      <c r="D53" s="10">
        <f>IFERROR(ROUND(C53/5*100,1),"")</f>
        <v/>
      </c>
      <c r="E53" s="10" t="n">
        <v>3.5</v>
      </c>
      <c r="F53" s="10">
        <f>IFERROR(ROUND(C53-E53,2),"")</f>
        <v/>
      </c>
      <c r="G53" s="10">
        <f>IFERROR(IF(C53&gt;=3.5,"Satisfactory","Needs Improvement"),"")</f>
        <v/>
      </c>
      <c r="H53" s="9" t="inlineStr"/>
      <c r="I53" s="41" t="n"/>
    </row>
    <row r="54" ht="22" customHeight="1">
      <c r="B54" s="44" t="inlineStr">
        <is>
          <t>SECTION C</t>
        </is>
      </c>
      <c r="C54" s="16" t="inlineStr"/>
      <c r="D54" s="16">
        <f>IFERROR(ROUND(C54/5*100,1),"")</f>
        <v/>
      </c>
      <c r="E54" s="16" t="n">
        <v>3.5</v>
      </c>
      <c r="F54" s="16">
        <f>IFERROR(ROUND(C54-E54,2),"")</f>
        <v/>
      </c>
      <c r="G54" s="16">
        <f>IFERROR(IF(C54&gt;=3.5,"Satisfactory","Needs Improvement"),"")</f>
        <v/>
      </c>
      <c r="H54" s="15" t="inlineStr"/>
      <c r="I54" s="66" t="n"/>
    </row>
    <row r="55" ht="22" customHeight="1">
      <c r="B55" s="28" t="inlineStr">
        <is>
          <t>SECTION D</t>
        </is>
      </c>
      <c r="C55" s="10" t="inlineStr"/>
      <c r="D55" s="10">
        <f>IFERROR(ROUND(C55/5*100,1),"")</f>
        <v/>
      </c>
      <c r="E55" s="10" t="n">
        <v>3.5</v>
      </c>
      <c r="F55" s="10">
        <f>IFERROR(ROUND(C55-E55,2),"")</f>
        <v/>
      </c>
      <c r="G55" s="10">
        <f>IFERROR(IF(C55&gt;=3.5,"Satisfactory","Needs Improvement"),"")</f>
        <v/>
      </c>
      <c r="H55" s="9" t="inlineStr"/>
      <c r="I55" s="41" t="n"/>
    </row>
    <row r="56" ht="22" customHeight="1">
      <c r="B56" s="44" t="inlineStr">
        <is>
          <t>SECTION E</t>
        </is>
      </c>
      <c r="C56" s="16" t="inlineStr"/>
      <c r="D56" s="16">
        <f>IFERROR(ROUND(C56/5*100,1),"")</f>
        <v/>
      </c>
      <c r="E56" s="16" t="n">
        <v>3.5</v>
      </c>
      <c r="F56" s="16">
        <f>IFERROR(ROUND(C56-E56,2),"")</f>
        <v/>
      </c>
      <c r="G56" s="16">
        <f>IFERROR(IF(C56&gt;=3.5,"Satisfactory","Needs Improvement"),"")</f>
        <v/>
      </c>
      <c r="H56" s="15" t="inlineStr"/>
      <c r="I56" s="66" t="n"/>
    </row>
    <row r="57" ht="22" customHeight="1"/>
  </sheetData>
  <mergeCells count="9">
    <mergeCell ref="B50:I50"/>
    <mergeCell ref="B16:I16"/>
    <mergeCell ref="B2:I2"/>
    <mergeCell ref="B34:I34"/>
    <mergeCell ref="B3:I3"/>
    <mergeCell ref="B5:I5"/>
    <mergeCell ref="B43:I43"/>
    <mergeCell ref="B4:I4"/>
    <mergeCell ref="B26:I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LIB-38: LIBRARY KPI DASHBOARD — ANNUAL MONITORING</t>
        </is>
      </c>
    </row>
    <row r="3" ht="25" customHeight="1">
      <c r="B3" s="2" t="inlineStr">
        <is>
          <t>A.Y.: _______  Librarian: ___________________  Reviewed by LAC on: _______  NAAC Ref.: Criterion IV</t>
        </is>
      </c>
    </row>
    <row r="4" ht="24" customHeight="1">
      <c r="B4" s="22" t="inlineStr">
        <is>
          <t>COLLECTION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
Target</t>
        </is>
      </c>
      <c r="F5" s="13" t="inlineStr">
        <is>
          <t>Prev. Year
Actual</t>
        </is>
      </c>
      <c r="G5" s="13" t="inlineStr">
        <is>
          <t>Current Year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Total volumes in library (books)</t>
        </is>
      </c>
      <c r="D6" s="16" t="inlineStr">
        <is>
          <t>No. of volumes</t>
        </is>
      </c>
      <c r="E6" s="16" t="inlineStr">
        <is>
          <t>≥30,000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Books added per year</t>
        </is>
      </c>
      <c r="D7" s="10" t="inlineStr">
        <is>
          <t>No. per year</t>
        </is>
      </c>
      <c r="E7" s="10" t="inlineStr">
        <is>
          <t>≥500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Print journals subscribed</t>
        </is>
      </c>
      <c r="D8" s="16" t="inlineStr">
        <is>
          <t>No.</t>
        </is>
      </c>
      <c r="E8" s="16" t="inlineStr">
        <is>
          <t>≥50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e-Journals / databases subscribed</t>
        </is>
      </c>
      <c r="D9" s="10" t="inlineStr">
        <is>
          <t>No.</t>
        </is>
      </c>
      <c r="E9" s="10" t="inlineStr">
        <is>
          <t>≥5 databases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Books per student ratio</t>
        </is>
      </c>
      <c r="D10" s="16" t="inlineStr">
        <is>
          <t>Ratio</t>
        </is>
      </c>
      <c r="E10" s="16" t="inlineStr">
        <is>
          <t>≥10:1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Budget for books (% of total library budget)</t>
        </is>
      </c>
      <c r="D11" s="10" t="inlineStr">
        <is>
          <t>% of budget</t>
        </is>
      </c>
      <c r="E11" s="10" t="inlineStr">
        <is>
          <t>≥40%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e-Resource budget (% of total library budget)</t>
        </is>
      </c>
      <c r="D12" s="16" t="inlineStr">
        <is>
          <t>% of budget</t>
        </is>
      </c>
      <c r="E12" s="16" t="inlineStr">
        <is>
          <t>≥30%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>
      <c r="B13" s="8" t="n">
        <v>8</v>
      </c>
      <c r="C13" s="9" t="inlineStr">
        <is>
          <t>Collection coverage (% of syllabi titles available)</t>
        </is>
      </c>
      <c r="D13" s="10" t="inlineStr">
        <is>
          <t>% coverage</t>
        </is>
      </c>
      <c r="E13" s="10" t="inlineStr">
        <is>
          <t>≥80%</t>
        </is>
      </c>
      <c r="F13" s="10" t="inlineStr"/>
      <c r="G13" s="10" t="inlineStr"/>
      <c r="H13" s="10" t="inlineStr">
        <is>
          <t>On Track</t>
        </is>
      </c>
      <c r="I13" s="9" t="inlineStr"/>
    </row>
    <row r="14" ht="22" customHeight="1"/>
    <row r="15" ht="24" customHeight="1">
      <c r="B15" s="18" t="inlineStr">
        <is>
          <t>USAGE &amp; CIRCULATION KPIs</t>
        </is>
      </c>
    </row>
    <row r="16" ht="22" customHeight="1">
      <c r="B16" s="19" t="inlineStr">
        <is>
          <t>Sl.</t>
        </is>
      </c>
      <c r="C16" s="19" t="inlineStr">
        <is>
          <t>Key Performance Indicator</t>
        </is>
      </c>
      <c r="D16" s="19" t="inlineStr">
        <is>
          <t>Unit</t>
        </is>
      </c>
      <c r="E16" s="19" t="inlineStr">
        <is>
          <t>Annual
Target</t>
        </is>
      </c>
      <c r="F16" s="19" t="inlineStr">
        <is>
          <t>Prev. Year
Actual</t>
        </is>
      </c>
      <c r="G16" s="19" t="inlineStr">
        <is>
          <t>Current Year
Actual</t>
        </is>
      </c>
      <c r="H16" s="19" t="inlineStr">
        <is>
          <t>Status</t>
        </is>
      </c>
      <c r="I16" s="19" t="inlineStr">
        <is>
          <t>Action Required</t>
        </is>
      </c>
    </row>
    <row r="17" ht="22" customHeight="1">
      <c r="B17" s="33" t="n">
        <v>1</v>
      </c>
      <c r="C17" s="34" t="inlineStr">
        <is>
          <t>Average daily footfall (reading room)</t>
        </is>
      </c>
      <c r="D17" s="20" t="inlineStr">
        <is>
          <t>No. per day</t>
        </is>
      </c>
      <c r="E17" s="20" t="inlineStr">
        <is>
          <t>≥100</t>
        </is>
      </c>
      <c r="F17" s="20" t="inlineStr"/>
      <c r="G17" s="20" t="inlineStr"/>
      <c r="H17" s="20" t="inlineStr">
        <is>
          <t>On Track</t>
        </is>
      </c>
      <c r="I17" s="34" t="inlineStr"/>
    </row>
    <row r="18" ht="22" customHeight="1">
      <c r="B18" s="8" t="n">
        <v>2</v>
      </c>
      <c r="C18" s="9" t="inlineStr">
        <is>
          <t>Books issued per day (average)</t>
        </is>
      </c>
      <c r="D18" s="10" t="inlineStr">
        <is>
          <t>No. per day</t>
        </is>
      </c>
      <c r="E18" s="10" t="inlineStr">
        <is>
          <t>≥30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33" t="n">
        <v>3</v>
      </c>
      <c r="C19" s="34" t="inlineStr">
        <is>
          <t>Active library members (% of enrolled students)</t>
        </is>
      </c>
      <c r="D19" s="20" t="inlineStr">
        <is>
          <t>% of students</t>
        </is>
      </c>
      <c r="E19" s="20" t="inlineStr">
        <is>
          <t>≥70%</t>
        </is>
      </c>
      <c r="F19" s="20" t="inlineStr"/>
      <c r="G19" s="20" t="inlineStr"/>
      <c r="H19" s="20" t="inlineStr">
        <is>
          <t>On Track</t>
        </is>
      </c>
      <c r="I19" s="34" t="inlineStr"/>
    </row>
    <row r="20" ht="22" customHeight="1">
      <c r="B20" s="8" t="n">
        <v>4</v>
      </c>
      <c r="C20" s="9" t="inlineStr">
        <is>
          <t>Books issued per member per year</t>
        </is>
      </c>
      <c r="D20" s="10" t="inlineStr">
        <is>
          <t>No. per member</t>
        </is>
      </c>
      <c r="E20" s="10" t="inlineStr">
        <is>
          <t>≥5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33" t="n">
        <v>5</v>
      </c>
      <c r="C21" s="34" t="inlineStr">
        <is>
          <t>Periodical utilisation rate</t>
        </is>
      </c>
      <c r="D21" s="20" t="inlineStr">
        <is>
          <t>Issues read / available</t>
        </is>
      </c>
      <c r="E21" s="20" t="inlineStr">
        <is>
          <t>≥60%</t>
        </is>
      </c>
      <c r="F21" s="20" t="inlineStr"/>
      <c r="G21" s="20" t="inlineStr"/>
      <c r="H21" s="20" t="inlineStr">
        <is>
          <t>On Track</t>
        </is>
      </c>
      <c r="I21" s="34" t="inlineStr"/>
    </row>
    <row r="22" ht="22" customHeight="1">
      <c r="B22" s="8" t="n">
        <v>6</v>
      </c>
      <c r="C22" s="9" t="inlineStr">
        <is>
          <t>e-Resource downloads per year</t>
        </is>
      </c>
      <c r="D22" s="10" t="inlineStr">
        <is>
          <t>No. per year</t>
        </is>
      </c>
      <c r="E22" s="10" t="inlineStr">
        <is>
          <t>Increasing</t>
        </is>
      </c>
      <c r="F22" s="10" t="inlineStr"/>
      <c r="G22" s="10" t="inlineStr"/>
      <c r="H22" s="10" t="inlineStr">
        <is>
          <t>On Track</t>
        </is>
      </c>
      <c r="I22" s="9" t="inlineStr"/>
    </row>
    <row r="23" ht="22" customHeight="1">
      <c r="B23" s="33" t="n">
        <v>7</v>
      </c>
      <c r="C23" s="34" t="inlineStr">
        <is>
          <t>OPAC searches per month</t>
        </is>
      </c>
      <c r="D23" s="20" t="inlineStr">
        <is>
          <t>No. per month</t>
        </is>
      </c>
      <c r="E23" s="20" t="inlineStr">
        <is>
          <t>≥500</t>
        </is>
      </c>
      <c r="F23" s="20" t="inlineStr"/>
      <c r="G23" s="20" t="inlineStr"/>
      <c r="H23" s="20" t="inlineStr">
        <is>
          <t>On Track</t>
        </is>
      </c>
      <c r="I23" s="34" t="inlineStr"/>
    </row>
    <row r="24" ht="22" customHeight="1">
      <c r="B24" s="8" t="n">
        <v>8</v>
      </c>
      <c r="C24" s="9" t="inlineStr">
        <is>
          <t>Overdue return rate (% of issues)</t>
        </is>
      </c>
      <c r="D24" s="10" t="inlineStr">
        <is>
          <t>% overdue</t>
        </is>
      </c>
      <c r="E24" s="10" t="inlineStr">
        <is>
          <t>≤5%</t>
        </is>
      </c>
      <c r="F24" s="10" t="inlineStr"/>
      <c r="G24" s="10" t="inlineStr"/>
      <c r="H24" s="10" t="inlineStr">
        <is>
          <t>On Track</t>
        </is>
      </c>
      <c r="I24" s="9" t="inlineStr"/>
    </row>
    <row r="25" ht="22" customHeight="1"/>
    <row r="26" ht="24" customHeight="1">
      <c r="B26" s="53" t="inlineStr">
        <is>
          <t>DIGITAL LIBRARY KPIs</t>
        </is>
      </c>
    </row>
    <row r="27" ht="22" customHeight="1">
      <c r="B27" s="54" t="inlineStr">
        <is>
          <t>Sl.</t>
        </is>
      </c>
      <c r="C27" s="54" t="inlineStr">
        <is>
          <t>Key Performance Indicator</t>
        </is>
      </c>
      <c r="D27" s="54" t="inlineStr">
        <is>
          <t>Unit</t>
        </is>
      </c>
      <c r="E27" s="54" t="inlineStr">
        <is>
          <t>Annual
Target</t>
        </is>
      </c>
      <c r="F27" s="54" t="inlineStr">
        <is>
          <t>Prev. Year
Actual</t>
        </is>
      </c>
      <c r="G27" s="54" t="inlineStr">
        <is>
          <t>Current Year
Actual</t>
        </is>
      </c>
      <c r="H27" s="54" t="inlineStr">
        <is>
          <t>Status</t>
        </is>
      </c>
      <c r="I27" s="54" t="inlineStr">
        <is>
          <t>Action Required</t>
        </is>
      </c>
    </row>
    <row r="28" ht="22" customHeight="1">
      <c r="B28" s="55" t="n">
        <v>1</v>
      </c>
      <c r="C28" s="56" t="inlineStr">
        <is>
          <t>Items in Institutional Repository</t>
        </is>
      </c>
      <c r="D28" s="57" t="inlineStr">
        <is>
          <t>No. of items</t>
        </is>
      </c>
      <c r="E28" s="57" t="inlineStr">
        <is>
          <t>≥500</t>
        </is>
      </c>
      <c r="F28" s="57" t="inlineStr"/>
      <c r="G28" s="57" t="inlineStr"/>
      <c r="H28" s="57" t="inlineStr">
        <is>
          <t>On Track</t>
        </is>
      </c>
      <c r="I28" s="56" t="inlineStr"/>
    </row>
    <row r="29" ht="22" customHeight="1">
      <c r="B29" s="8" t="n">
        <v>2</v>
      </c>
      <c r="C29" s="9" t="inlineStr">
        <is>
          <t>IR downloads per month</t>
        </is>
      </c>
      <c r="D29" s="10" t="inlineStr">
        <is>
          <t>No. per month</t>
        </is>
      </c>
      <c r="E29" s="10" t="inlineStr">
        <is>
          <t>Increasing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55" t="n">
        <v>3</v>
      </c>
      <c r="C30" s="56" t="inlineStr">
        <is>
          <t>Open access items in IR (%)</t>
        </is>
      </c>
      <c r="D30" s="57" t="inlineStr">
        <is>
          <t>% open access</t>
        </is>
      </c>
      <c r="E30" s="57" t="inlineStr">
        <is>
          <t>≥80%</t>
        </is>
      </c>
      <c r="F30" s="57" t="inlineStr"/>
      <c r="G30" s="57" t="inlineStr"/>
      <c r="H30" s="57" t="inlineStr">
        <is>
          <t>On Track</t>
        </is>
      </c>
      <c r="I30" s="56" t="inlineStr"/>
    </row>
    <row r="31" ht="22" customHeight="1">
      <c r="B31" s="8" t="n">
        <v>4</v>
      </c>
      <c r="C31" s="9" t="inlineStr">
        <is>
          <t>e-ShodhSindhu access (downloads)</t>
        </is>
      </c>
      <c r="D31" s="10" t="inlineStr">
        <is>
          <t>No. per year</t>
        </is>
      </c>
      <c r="E31" s="10" t="inlineStr">
        <is>
          <t>Reported to INFLIBNET</t>
        </is>
      </c>
      <c r="F31" s="10" t="inlineStr"/>
      <c r="G31" s="10" t="inlineStr"/>
      <c r="H31" s="10" t="inlineStr">
        <is>
          <t>On Track</t>
        </is>
      </c>
      <c r="I31" s="9" t="inlineStr"/>
    </row>
    <row r="32" ht="22" customHeight="1">
      <c r="B32" s="55" t="n">
        <v>5</v>
      </c>
      <c r="C32" s="56" t="inlineStr">
        <is>
          <t>Library website / portal visits</t>
        </is>
      </c>
      <c r="D32" s="57" t="inlineStr">
        <is>
          <t>No. per month</t>
        </is>
      </c>
      <c r="E32" s="57" t="inlineStr">
        <is>
          <t>≥200</t>
        </is>
      </c>
      <c r="F32" s="57" t="inlineStr"/>
      <c r="G32" s="57" t="inlineStr"/>
      <c r="H32" s="57" t="inlineStr">
        <is>
          <t>On Track</t>
        </is>
      </c>
      <c r="I32" s="56" t="inlineStr"/>
    </row>
    <row r="33" ht="22" customHeight="1">
      <c r="B33" s="8" t="n">
        <v>6</v>
      </c>
      <c r="C33" s="9" t="inlineStr">
        <is>
          <t>Remote e-resource access (% of users)</t>
        </is>
      </c>
      <c r="D33" s="10" t="inlineStr">
        <is>
          <t>% of members</t>
        </is>
      </c>
      <c r="E33" s="10" t="inlineStr">
        <is>
          <t>≥30%</t>
        </is>
      </c>
      <c r="F33" s="10" t="inlineStr"/>
      <c r="G33" s="10" t="inlineStr"/>
      <c r="H33" s="10" t="inlineStr">
        <is>
          <t>On Track</t>
        </is>
      </c>
      <c r="I33" s="9" t="inlineStr"/>
    </row>
    <row r="34" ht="22" customHeight="1"/>
    <row r="35" ht="24" customHeight="1">
      <c r="B35" s="59" t="inlineStr">
        <is>
          <t>USER EDUCATION KPIs</t>
        </is>
      </c>
    </row>
    <row r="36" ht="22" customHeight="1">
      <c r="B36" s="60" t="inlineStr">
        <is>
          <t>Sl.</t>
        </is>
      </c>
      <c r="C36" s="60" t="inlineStr">
        <is>
          <t>Key Performance Indicator</t>
        </is>
      </c>
      <c r="D36" s="60" t="inlineStr">
        <is>
          <t>Unit</t>
        </is>
      </c>
      <c r="E36" s="60" t="inlineStr">
        <is>
          <t>Annual
Target</t>
        </is>
      </c>
      <c r="F36" s="60" t="inlineStr">
        <is>
          <t>Prev. Year
Actual</t>
        </is>
      </c>
      <c r="G36" s="60" t="inlineStr">
        <is>
          <t>Current Year
Actual</t>
        </is>
      </c>
      <c r="H36" s="60" t="inlineStr">
        <is>
          <t>Status</t>
        </is>
      </c>
      <c r="I36" s="60" t="inlineStr">
        <is>
          <t>Action Required</t>
        </is>
      </c>
    </row>
    <row r="37" ht="22" customHeight="1">
      <c r="B37" s="61" t="n">
        <v>1</v>
      </c>
      <c r="C37" s="62" t="inlineStr">
        <is>
          <t>Library orientation sessions conducted</t>
        </is>
      </c>
      <c r="D37" s="63" t="inlineStr">
        <is>
          <t>No. per year</t>
        </is>
      </c>
      <c r="E37" s="63" t="inlineStr">
        <is>
          <t>≥4</t>
        </is>
      </c>
      <c r="F37" s="63" t="inlineStr"/>
      <c r="G37" s="63" t="inlineStr"/>
      <c r="H37" s="63" t="inlineStr">
        <is>
          <t>On Track</t>
        </is>
      </c>
      <c r="I37" s="62" t="inlineStr"/>
    </row>
    <row r="38" ht="22" customHeight="1">
      <c r="B38" s="8" t="n">
        <v>2</v>
      </c>
      <c r="C38" s="9" t="inlineStr">
        <is>
          <t>Students covered in orientation (%)</t>
        </is>
      </c>
      <c r="D38" s="10" t="inlineStr">
        <is>
          <t>% of new intake</t>
        </is>
      </c>
      <c r="E38" s="10" t="inlineStr">
        <is>
          <t>100%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>
      <c r="B39" s="61" t="n">
        <v>3</v>
      </c>
      <c r="C39" s="62" t="inlineStr">
        <is>
          <t>Information literacy workshops</t>
        </is>
      </c>
      <c r="D39" s="63" t="inlineStr">
        <is>
          <t>No. per year</t>
        </is>
      </c>
      <c r="E39" s="63" t="inlineStr">
        <is>
          <t>≥6</t>
        </is>
      </c>
      <c r="F39" s="63" t="inlineStr"/>
      <c r="G39" s="63" t="inlineStr"/>
      <c r="H39" s="63" t="inlineStr">
        <is>
          <t>On Track</t>
        </is>
      </c>
      <c r="I39" s="62" t="inlineStr"/>
    </row>
    <row r="40" ht="22" customHeight="1">
      <c r="B40" s="8" t="n">
        <v>4</v>
      </c>
      <c r="C40" s="9" t="inlineStr">
        <is>
          <t>Faculty trained in e-resources</t>
        </is>
      </c>
      <c r="D40" s="10" t="inlineStr">
        <is>
          <t>No. of faculty</t>
        </is>
      </c>
      <c r="E40" s="10" t="inlineStr">
        <is>
          <t>≥50%</t>
        </is>
      </c>
      <c r="F40" s="10" t="inlineStr"/>
      <c r="G40" s="10" t="inlineStr"/>
      <c r="H40" s="10" t="inlineStr">
        <is>
          <t>On Track</t>
        </is>
      </c>
      <c r="I40" s="9" t="inlineStr"/>
    </row>
    <row r="41" ht="22" customHeight="1">
      <c r="B41" s="61" t="n">
        <v>5</v>
      </c>
      <c r="C41" s="62" t="inlineStr">
        <is>
          <t>User satisfaction score (/5)</t>
        </is>
      </c>
      <c r="D41" s="63" t="inlineStr">
        <is>
          <t>Score</t>
        </is>
      </c>
      <c r="E41" s="63" t="inlineStr">
        <is>
          <t>≥3.5</t>
        </is>
      </c>
      <c r="F41" s="63" t="inlineStr"/>
      <c r="G41" s="63" t="inlineStr"/>
      <c r="H41" s="63" t="inlineStr">
        <is>
          <t>On Track</t>
        </is>
      </c>
      <c r="I41" s="62" t="inlineStr"/>
    </row>
    <row r="42" ht="22" customHeight="1">
      <c r="B42" s="8" t="n">
        <v>6</v>
      </c>
      <c r="C42" s="9" t="inlineStr">
        <is>
          <t>Suggestion box responses actioned (%)</t>
        </is>
      </c>
      <c r="D42" s="10" t="inlineStr">
        <is>
          <t>% actioned</t>
        </is>
      </c>
      <c r="E42" s="10" t="inlineStr">
        <is>
          <t>≥80%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/>
    <row r="44" ht="24" customHeight="1">
      <c r="B44" s="46" t="inlineStr">
        <is>
          <t>OPERATIONAL KPIs</t>
        </is>
      </c>
    </row>
    <row r="45" ht="22" customHeight="1">
      <c r="B45" s="47" t="inlineStr">
        <is>
          <t>Sl.</t>
        </is>
      </c>
      <c r="C45" s="47" t="inlineStr">
        <is>
          <t>Key Performance Indicator</t>
        </is>
      </c>
      <c r="D45" s="47" t="inlineStr">
        <is>
          <t>Unit</t>
        </is>
      </c>
      <c r="E45" s="47" t="inlineStr">
        <is>
          <t>Annual
Target</t>
        </is>
      </c>
      <c r="F45" s="47" t="inlineStr">
        <is>
          <t>Prev. Year
Actual</t>
        </is>
      </c>
      <c r="G45" s="47" t="inlineStr">
        <is>
          <t>Current Year
Actual</t>
        </is>
      </c>
      <c r="H45" s="47" t="inlineStr">
        <is>
          <t>Status</t>
        </is>
      </c>
      <c r="I45" s="47" t="inlineStr">
        <is>
          <t>Action Required</t>
        </is>
      </c>
    </row>
    <row r="46" ht="22" customHeight="1">
      <c r="B46" s="42" t="n">
        <v>1</v>
      </c>
      <c r="C46" s="48" t="inlineStr">
        <is>
          <t>Cataloguing turnaround time (days)</t>
        </is>
      </c>
      <c r="D46" s="25" t="inlineStr">
        <is>
          <t>Days from receipt</t>
        </is>
      </c>
      <c r="E46" s="25" t="inlineStr">
        <is>
          <t>≤7 days</t>
        </is>
      </c>
      <c r="F46" s="25" t="inlineStr"/>
      <c r="G46" s="25" t="inlineStr"/>
      <c r="H46" s="25" t="inlineStr">
        <is>
          <t>On Track</t>
        </is>
      </c>
      <c r="I46" s="48" t="inlineStr"/>
    </row>
    <row r="47" ht="22" customHeight="1">
      <c r="B47" s="8" t="n">
        <v>2</v>
      </c>
      <c r="C47" s="9" t="inlineStr">
        <is>
          <t>OPAC record completeness (%)</t>
        </is>
      </c>
      <c r="D47" s="10" t="inlineStr">
        <is>
          <t>% of collection</t>
        </is>
      </c>
      <c r="E47" s="10" t="inlineStr">
        <is>
          <t>≥95%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>
      <c r="B48" s="42" t="n">
        <v>3</v>
      </c>
      <c r="C48" s="48" t="inlineStr">
        <is>
          <t>Stock verification completed (% of collection)</t>
        </is>
      </c>
      <c r="D48" s="25" t="inlineStr">
        <is>
          <t>% verified</t>
        </is>
      </c>
      <c r="E48" s="25" t="inlineStr">
        <is>
          <t>100%</t>
        </is>
      </c>
      <c r="F48" s="25" t="inlineStr"/>
      <c r="G48" s="25" t="inlineStr"/>
      <c r="H48" s="25" t="inlineStr">
        <is>
          <t>On Track</t>
        </is>
      </c>
      <c r="I48" s="48" t="inlineStr"/>
    </row>
    <row r="49" ht="22" customHeight="1">
      <c r="B49" s="8" t="n">
        <v>4</v>
      </c>
      <c r="C49" s="9" t="inlineStr">
        <is>
          <t>Books missing / lost as % of total</t>
        </is>
      </c>
      <c r="D49" s="10" t="inlineStr">
        <is>
          <t>% of collection</t>
        </is>
      </c>
      <c r="E49" s="10" t="inlineStr">
        <is>
          <t>≤0.5%</t>
        </is>
      </c>
      <c r="F49" s="10" t="inlineStr"/>
      <c r="G49" s="10" t="inlineStr"/>
      <c r="H49" s="10" t="inlineStr">
        <is>
          <t>On Track</t>
        </is>
      </c>
      <c r="I49" s="9" t="inlineStr"/>
    </row>
    <row r="50" ht="22" customHeight="1">
      <c r="B50" s="42" t="n">
        <v>5</v>
      </c>
      <c r="C50" s="48" t="inlineStr">
        <is>
          <t>Library staff training hours</t>
        </is>
      </c>
      <c r="D50" s="25" t="inlineStr">
        <is>
          <t>Hrs per staff</t>
        </is>
      </c>
      <c r="E50" s="25" t="inlineStr">
        <is>
          <t>≥20 hrs/year</t>
        </is>
      </c>
      <c r="F50" s="25" t="inlineStr"/>
      <c r="G50" s="25" t="inlineStr"/>
      <c r="H50" s="25" t="inlineStr">
        <is>
          <t>On Track</t>
        </is>
      </c>
      <c r="I50" s="48" t="inlineStr"/>
    </row>
    <row r="51" ht="22" customHeight="1">
      <c r="B51" s="8" t="n">
        <v>6</v>
      </c>
      <c r="C51" s="9" t="inlineStr">
        <is>
          <t>Budget utilisation rate (%)</t>
        </is>
      </c>
      <c r="D51" s="10" t="inlineStr">
        <is>
          <t>% utilised</t>
        </is>
      </c>
      <c r="E51" s="10" t="inlineStr">
        <is>
          <t>85–100%</t>
        </is>
      </c>
      <c r="F51" s="10" t="inlineStr"/>
      <c r="G51" s="10" t="inlineStr"/>
      <c r="H51" s="10" t="inlineStr">
        <is>
          <t>On Track</t>
        </is>
      </c>
      <c r="I51" s="9" t="inlineStr"/>
    </row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</sheetData>
  <mergeCells count="7">
    <mergeCell ref="B44:I44"/>
    <mergeCell ref="B15:I15"/>
    <mergeCell ref="B2:I2"/>
    <mergeCell ref="B3:I3"/>
    <mergeCell ref="B35:I35"/>
    <mergeCell ref="B4:I4"/>
    <mergeCell ref="B26:I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H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LIB-39: LIBRARY ANNUAL REPORT COMPILATION FORM</t>
        </is>
      </c>
    </row>
    <row r="3" ht="25" customHeight="1">
      <c r="B3" s="2" t="inlineStr">
        <is>
          <t>A.Y.: _______  Librarian: ___________________  Submitted to: LAC / Management / IQAC / NAAC  Date: _______</t>
        </is>
      </c>
    </row>
    <row r="4" ht="24" customHeight="1">
      <c r="B4" s="22" t="inlineStr">
        <is>
          <t>SECTION 1 — COLLECTION STRENGTH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volumes (books) — end of year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Books added this year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Books withdrawn (weeding)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Print journals subscribed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e-Journals / databases subscribed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e-Books available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>
      <c r="B12" s="14" t="n">
        <v>7</v>
      </c>
      <c r="C12" s="15" t="inlineStr">
        <is>
          <t>Items in Institutional Repository</t>
        </is>
      </c>
      <c r="D12" s="16" t="inlineStr">
        <is>
          <t>No.</t>
        </is>
      </c>
      <c r="E12" s="16" t="inlineStr"/>
      <c r="F12" s="16" t="inlineStr"/>
      <c r="G12" s="16">
        <f>IFERROR(ROUND((E12-F12)/F12*100,1),"")</f>
        <v/>
      </c>
      <c r="H12" s="16" t="inlineStr"/>
    </row>
    <row r="13" ht="22" customHeight="1">
      <c r="B13" s="8" t="n">
        <v>8</v>
      </c>
      <c r="C13" s="9" t="inlineStr">
        <is>
          <t>Total collection value (₹L)</t>
        </is>
      </c>
      <c r="D13" s="10" t="inlineStr">
        <is>
          <t>₹L</t>
        </is>
      </c>
      <c r="E13" s="10" t="inlineStr"/>
      <c r="F13" s="10" t="inlineStr"/>
      <c r="G13" s="10">
        <f>IFERROR(ROUND((E13-F13)/F13*100,1),"")</f>
        <v/>
      </c>
      <c r="H13" s="10" t="inlineStr"/>
    </row>
    <row r="14" ht="22" customHeight="1"/>
    <row r="15" ht="24" customHeight="1">
      <c r="B15" s="18" t="inlineStr">
        <is>
          <t>SECTION 2 — USAGE &amp; CIRCULATION</t>
        </is>
      </c>
    </row>
    <row r="16" ht="22" customHeight="1">
      <c r="B16" s="19" t="inlineStr">
        <is>
          <t>Sl.</t>
        </is>
      </c>
      <c r="C16" s="19" t="inlineStr">
        <is>
          <t>Performance Metric</t>
        </is>
      </c>
      <c r="D16" s="19" t="inlineStr">
        <is>
          <t>Unit</t>
        </is>
      </c>
      <c r="E16" s="19" t="inlineStr">
        <is>
          <t>Current A.Y.</t>
        </is>
      </c>
      <c r="F16" s="19" t="inlineStr">
        <is>
          <t>Previous A.Y.</t>
        </is>
      </c>
      <c r="G16" s="19" t="inlineStr">
        <is>
          <t>Growth %</t>
        </is>
      </c>
      <c r="H16" s="19" t="inlineStr">
        <is>
          <t>Target Next Year</t>
        </is>
      </c>
    </row>
    <row r="17" ht="22" customHeight="1">
      <c r="B17" s="33" t="n">
        <v>1</v>
      </c>
      <c r="C17" s="34" t="inlineStr">
        <is>
          <t>Total library members (active)</t>
        </is>
      </c>
      <c r="D17" s="20" t="inlineStr">
        <is>
          <t>No.</t>
        </is>
      </c>
      <c r="E17" s="20" t="inlineStr"/>
      <c r="F17" s="20" t="inlineStr"/>
      <c r="G17" s="20">
        <f>IFERROR(ROUND((E17-F17)/F17*100,1),"")</f>
        <v/>
      </c>
      <c r="H17" s="20" t="inlineStr"/>
    </row>
    <row r="18" ht="22" customHeight="1">
      <c r="B18" s="8" t="n">
        <v>2</v>
      </c>
      <c r="C18" s="9" t="inlineStr">
        <is>
          <t>Average daily footfall</t>
        </is>
      </c>
      <c r="D18" s="10" t="inlineStr">
        <is>
          <t>No. per day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33" t="n">
        <v>3</v>
      </c>
      <c r="C19" s="34" t="inlineStr">
        <is>
          <t>Total books issued</t>
        </is>
      </c>
      <c r="D19" s="20" t="inlineStr">
        <is>
          <t>No. per year</t>
        </is>
      </c>
      <c r="E19" s="20" t="inlineStr"/>
      <c r="F19" s="20" t="inlineStr"/>
      <c r="G19" s="20">
        <f>IFERROR(ROUND((E19-F19)/F19*100,1),"")</f>
        <v/>
      </c>
      <c r="H19" s="20" t="inlineStr"/>
    </row>
    <row r="20" ht="22" customHeight="1">
      <c r="B20" s="8" t="n">
        <v>4</v>
      </c>
      <c r="C20" s="9" t="inlineStr">
        <is>
          <t>Total books returned</t>
        </is>
      </c>
      <c r="D20" s="10" t="inlineStr">
        <is>
          <t>No. per year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33" t="n">
        <v>5</v>
      </c>
      <c r="C21" s="34" t="inlineStr">
        <is>
          <t>Average books per member per year</t>
        </is>
      </c>
      <c r="D21" s="20" t="inlineStr">
        <is>
          <t>No.</t>
        </is>
      </c>
      <c r="E21" s="20" t="inlineStr"/>
      <c r="F21" s="20" t="inlineStr"/>
      <c r="G21" s="20">
        <f>IFERROR(ROUND((E21-F21)/F21*100,1),"")</f>
        <v/>
      </c>
      <c r="H21" s="20" t="inlineStr"/>
    </row>
    <row r="22" ht="22" customHeight="1">
      <c r="B22" s="8" t="n">
        <v>6</v>
      </c>
      <c r="C22" s="9" t="inlineStr">
        <is>
          <t>Fines collected (₹)</t>
        </is>
      </c>
      <c r="D22" s="10" t="inlineStr">
        <is>
          <t>₹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>
      <c r="B23" s="33" t="n">
        <v>7</v>
      </c>
      <c r="C23" s="34" t="inlineStr">
        <is>
          <t>e-Resource downloads</t>
        </is>
      </c>
      <c r="D23" s="20" t="inlineStr">
        <is>
          <t>No. per year</t>
        </is>
      </c>
      <c r="E23" s="20" t="inlineStr"/>
      <c r="F23" s="20" t="inlineStr"/>
      <c r="G23" s="20">
        <f>IFERROR(ROUND((E23-F23)/F23*100,1),"")</f>
        <v/>
      </c>
      <c r="H23" s="20" t="inlineStr"/>
    </row>
    <row r="24" ht="22" customHeight="1">
      <c r="B24" s="8" t="n">
        <v>8</v>
      </c>
      <c r="C24" s="9" t="inlineStr">
        <is>
          <t>ILL transactions</t>
        </is>
      </c>
      <c r="D24" s="10" t="inlineStr">
        <is>
          <t>No.</t>
        </is>
      </c>
      <c r="E24" s="10" t="inlineStr"/>
      <c r="F24" s="10" t="inlineStr"/>
      <c r="G24" s="10">
        <f>IFERROR(ROUND((E24-F24)/F24*100,1),"")</f>
        <v/>
      </c>
      <c r="H24" s="10" t="inlineStr"/>
    </row>
    <row r="25" ht="22" customHeight="1"/>
    <row r="26" ht="24" customHeight="1">
      <c r="B26" s="53" t="inlineStr">
        <is>
          <t>SECTION 3 — DIGITAL LIBRARY</t>
        </is>
      </c>
    </row>
    <row r="27" ht="22" customHeight="1">
      <c r="B27" s="54" t="inlineStr">
        <is>
          <t>Sl.</t>
        </is>
      </c>
      <c r="C27" s="54" t="inlineStr">
        <is>
          <t>Performance Metric</t>
        </is>
      </c>
      <c r="D27" s="54" t="inlineStr">
        <is>
          <t>Unit</t>
        </is>
      </c>
      <c r="E27" s="54" t="inlineStr">
        <is>
          <t>Current A.Y.</t>
        </is>
      </c>
      <c r="F27" s="54" t="inlineStr">
        <is>
          <t>Previous A.Y.</t>
        </is>
      </c>
      <c r="G27" s="54" t="inlineStr">
        <is>
          <t>Growth %</t>
        </is>
      </c>
      <c r="H27" s="54" t="inlineStr">
        <is>
          <t>Target Next Year</t>
        </is>
      </c>
    </row>
    <row r="28" ht="22" customHeight="1">
      <c r="B28" s="55" t="n">
        <v>1</v>
      </c>
      <c r="C28" s="56" t="inlineStr">
        <is>
          <t>OPAC records — total</t>
        </is>
      </c>
      <c r="D28" s="57" t="inlineStr">
        <is>
          <t>No.</t>
        </is>
      </c>
      <c r="E28" s="57" t="inlineStr"/>
      <c r="F28" s="57" t="inlineStr"/>
      <c r="G28" s="57">
        <f>IFERROR(ROUND((E28-F28)/F28*100,1),"")</f>
        <v/>
      </c>
      <c r="H28" s="57" t="inlineStr"/>
    </row>
    <row r="29" ht="22" customHeight="1">
      <c r="B29" s="8" t="n">
        <v>2</v>
      </c>
      <c r="C29" s="9" t="inlineStr">
        <is>
          <t>IR items — new additions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55" t="n">
        <v>3</v>
      </c>
      <c r="C30" s="56" t="inlineStr">
        <is>
          <t>IR downloads per year</t>
        </is>
      </c>
      <c r="D30" s="57" t="inlineStr">
        <is>
          <t>No.</t>
        </is>
      </c>
      <c r="E30" s="57" t="inlineStr"/>
      <c r="F30" s="57" t="inlineStr"/>
      <c r="G30" s="57">
        <f>IFERROR(ROUND((E30-F30)/F30*100,1),"")</f>
        <v/>
      </c>
      <c r="H30" s="57" t="inlineStr"/>
    </row>
    <row r="31" ht="22" customHeight="1">
      <c r="B31" s="8" t="n">
        <v>4</v>
      </c>
      <c r="C31" s="9" t="inlineStr">
        <is>
          <t>Remote access users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>
      <c r="B32" s="55" t="n">
        <v>5</v>
      </c>
      <c r="C32" s="56" t="inlineStr">
        <is>
          <t>Library portal visits (annual)</t>
        </is>
      </c>
      <c r="D32" s="57" t="inlineStr">
        <is>
          <t>No.</t>
        </is>
      </c>
      <c r="E32" s="57" t="inlineStr"/>
      <c r="F32" s="57" t="inlineStr"/>
      <c r="G32" s="57">
        <f>IFERROR(ROUND((E32-F32)/F32*100,1),"")</f>
        <v/>
      </c>
      <c r="H32" s="57" t="inlineStr"/>
    </row>
    <row r="33" ht="22" customHeight="1">
      <c r="B33" s="8" t="n">
        <v>6</v>
      </c>
      <c r="C33" s="9" t="inlineStr">
        <is>
          <t>e-Resource usage — databases</t>
        </is>
      </c>
      <c r="D33" s="10" t="inlineStr">
        <is>
          <t>No. downloads</t>
        </is>
      </c>
      <c r="E33" s="10" t="inlineStr"/>
      <c r="F33" s="10" t="inlineStr"/>
      <c r="G33" s="10">
        <f>IFERROR(ROUND((E33-F33)/F33*100,1),"")</f>
        <v/>
      </c>
      <c r="H33" s="10" t="inlineStr"/>
    </row>
    <row r="34" ht="22" customHeight="1"/>
    <row r="35" ht="24" customHeight="1">
      <c r="B35" s="59" t="inlineStr">
        <is>
          <t>SECTION 4 — USER EDUCATION</t>
        </is>
      </c>
    </row>
    <row r="36" ht="22" customHeight="1">
      <c r="B36" s="60" t="inlineStr">
        <is>
          <t>Sl.</t>
        </is>
      </c>
      <c r="C36" s="60" t="inlineStr">
        <is>
          <t>Performance Metric</t>
        </is>
      </c>
      <c r="D36" s="60" t="inlineStr">
        <is>
          <t>Unit</t>
        </is>
      </c>
      <c r="E36" s="60" t="inlineStr">
        <is>
          <t>Current A.Y.</t>
        </is>
      </c>
      <c r="F36" s="60" t="inlineStr">
        <is>
          <t>Previous A.Y.</t>
        </is>
      </c>
      <c r="G36" s="60" t="inlineStr">
        <is>
          <t>Growth %</t>
        </is>
      </c>
      <c r="H36" s="60" t="inlineStr">
        <is>
          <t>Target Next Year</t>
        </is>
      </c>
    </row>
    <row r="37" ht="22" customHeight="1">
      <c r="B37" s="61" t="n">
        <v>1</v>
      </c>
      <c r="C37" s="62" t="inlineStr">
        <is>
          <t>Orientation / training sessions</t>
        </is>
      </c>
      <c r="D37" s="63" t="inlineStr">
        <is>
          <t>No.</t>
        </is>
      </c>
      <c r="E37" s="63" t="inlineStr"/>
      <c r="F37" s="63" t="inlineStr"/>
      <c r="G37" s="63">
        <f>IFERROR(ROUND((E37-F37)/F37*100,1),"")</f>
        <v/>
      </c>
      <c r="H37" s="63" t="inlineStr"/>
    </row>
    <row r="38" ht="22" customHeight="1">
      <c r="B38" s="8" t="n">
        <v>2</v>
      </c>
      <c r="C38" s="9" t="inlineStr">
        <is>
          <t>Students reached</t>
        </is>
      </c>
      <c r="D38" s="10" t="inlineStr">
        <is>
          <t>No.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61" t="n">
        <v>3</v>
      </c>
      <c r="C39" s="62" t="inlineStr">
        <is>
          <t>Faculty trained</t>
        </is>
      </c>
      <c r="D39" s="63" t="inlineStr">
        <is>
          <t>No.</t>
        </is>
      </c>
      <c r="E39" s="63" t="inlineStr"/>
      <c r="F39" s="63" t="inlineStr"/>
      <c r="G39" s="63">
        <f>IFERROR(ROUND((E39-F39)/F39*100,1),"")</f>
        <v/>
      </c>
      <c r="H39" s="63" t="inlineStr"/>
    </row>
    <row r="40" ht="22" customHeight="1">
      <c r="B40" s="8" t="n">
        <v>4</v>
      </c>
      <c r="C40" s="9" t="inlineStr">
        <is>
          <t>User satisfaction score (/5)</t>
        </is>
      </c>
      <c r="D40" s="10" t="inlineStr">
        <is>
          <t>Score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>
      <c r="B41" s="61" t="n">
        <v>5</v>
      </c>
      <c r="C41" s="62" t="inlineStr">
        <is>
          <t>Book exhibitions / fairs</t>
        </is>
      </c>
      <c r="D41" s="63" t="inlineStr">
        <is>
          <t>No.</t>
        </is>
      </c>
      <c r="E41" s="63" t="inlineStr"/>
      <c r="F41" s="63" t="inlineStr"/>
      <c r="G41" s="63">
        <f>IFERROR(ROUND((E41-F41)/F41*100,1),"")</f>
        <v/>
      </c>
      <c r="H41" s="63" t="inlineStr"/>
    </row>
    <row r="42" ht="22" customHeight="1">
      <c r="B42" s="8" t="n">
        <v>6</v>
      </c>
      <c r="C42" s="9" t="inlineStr">
        <is>
          <t>Awareness activities</t>
        </is>
      </c>
      <c r="D42" s="10" t="inlineStr">
        <is>
          <t>No.</t>
        </is>
      </c>
      <c r="E42" s="10" t="inlineStr"/>
      <c r="F42" s="10" t="inlineStr"/>
      <c r="G42" s="10">
        <f>IFERROR(ROUND((E42-F42)/F42*100,1),"")</f>
        <v/>
      </c>
      <c r="H42" s="10" t="inlineStr"/>
    </row>
    <row r="43" ht="22" customHeight="1"/>
    <row r="44" ht="24" customHeight="1">
      <c r="B44" s="46" t="inlineStr">
        <is>
          <t>SECTION 5 — BUDGET &amp; OPERATIONS</t>
        </is>
      </c>
    </row>
    <row r="45" ht="22" customHeight="1">
      <c r="B45" s="47" t="inlineStr">
        <is>
          <t>Sl.</t>
        </is>
      </c>
      <c r="C45" s="47" t="inlineStr">
        <is>
          <t>Performance Metric</t>
        </is>
      </c>
      <c r="D45" s="47" t="inlineStr">
        <is>
          <t>Unit</t>
        </is>
      </c>
      <c r="E45" s="47" t="inlineStr">
        <is>
          <t>Current A.Y.</t>
        </is>
      </c>
      <c r="F45" s="47" t="inlineStr">
        <is>
          <t>Previous A.Y.</t>
        </is>
      </c>
      <c r="G45" s="47" t="inlineStr">
        <is>
          <t>Growth %</t>
        </is>
      </c>
      <c r="H45" s="47" t="inlineStr">
        <is>
          <t>Target Next Year</t>
        </is>
      </c>
    </row>
    <row r="46" ht="22" customHeight="1">
      <c r="B46" s="42" t="n">
        <v>1</v>
      </c>
      <c r="C46" s="48" t="inlineStr">
        <is>
          <t>Total library budget (₹L)</t>
        </is>
      </c>
      <c r="D46" s="25" t="inlineStr">
        <is>
          <t>₹L</t>
        </is>
      </c>
      <c r="E46" s="25" t="inlineStr"/>
      <c r="F46" s="25" t="inlineStr"/>
      <c r="G46" s="25">
        <f>IFERROR(ROUND((E46-F46)/F46*100,1),"")</f>
        <v/>
      </c>
      <c r="H46" s="25" t="inlineStr"/>
    </row>
    <row r="47" ht="22" customHeight="1">
      <c r="B47" s="8" t="n">
        <v>2</v>
      </c>
      <c r="C47" s="9" t="inlineStr">
        <is>
          <t>Books expenditure (₹L)</t>
        </is>
      </c>
      <c r="D47" s="10" t="inlineStr">
        <is>
          <t>₹L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>
      <c r="B48" s="42" t="n">
        <v>3</v>
      </c>
      <c r="C48" s="48" t="inlineStr">
        <is>
          <t>e-Resources expenditure (₹L)</t>
        </is>
      </c>
      <c r="D48" s="25" t="inlineStr">
        <is>
          <t>₹L</t>
        </is>
      </c>
      <c r="E48" s="25" t="inlineStr"/>
      <c r="F48" s="25" t="inlineStr"/>
      <c r="G48" s="25">
        <f>IFERROR(ROUND((E48-F48)/F48*100,1),"")</f>
        <v/>
      </c>
      <c r="H48" s="25" t="inlineStr"/>
    </row>
    <row r="49" ht="22" customHeight="1">
      <c r="B49" s="8" t="n">
        <v>4</v>
      </c>
      <c r="C49" s="9" t="inlineStr">
        <is>
          <t>Budget utilisation (%)</t>
        </is>
      </c>
      <c r="D49" s="10" t="inlineStr">
        <is>
          <t>% utilised</t>
        </is>
      </c>
      <c r="E49" s="10" t="inlineStr"/>
      <c r="F49" s="10" t="inlineStr"/>
      <c r="G49" s="10">
        <f>IFERROR(ROUND((E49-F49)/F49*100,1),"")</f>
        <v/>
      </c>
      <c r="H49" s="10" t="inlineStr"/>
    </row>
    <row r="50" ht="22" customHeight="1">
      <c r="B50" s="42" t="n">
        <v>5</v>
      </c>
      <c r="C50" s="48" t="inlineStr">
        <is>
          <t>Staff development hours</t>
        </is>
      </c>
      <c r="D50" s="25" t="inlineStr">
        <is>
          <t>Hrs</t>
        </is>
      </c>
      <c r="E50" s="25" t="inlineStr"/>
      <c r="F50" s="25" t="inlineStr"/>
      <c r="G50" s="25">
        <f>IFERROR(ROUND((E50-F50)/F50*100,1),"")</f>
        <v/>
      </c>
      <c r="H50" s="25" t="inlineStr"/>
    </row>
    <row r="51" ht="22" customHeight="1">
      <c r="B51" s="8" t="n">
        <v>6</v>
      </c>
      <c r="C51" s="9" t="inlineStr">
        <is>
          <t>Stock verification completed</t>
        </is>
      </c>
      <c r="D51" s="10" t="inlineStr">
        <is>
          <t>Y/N</t>
        </is>
      </c>
      <c r="E51" s="10" t="inlineStr"/>
      <c r="F51" s="10" t="inlineStr"/>
      <c r="G51" s="10">
        <f>IFERROR(ROUND((E51-F51)/F51*100,1),"")</f>
        <v/>
      </c>
      <c r="H51" s="10" t="inlineStr"/>
    </row>
    <row r="52" ht="22" customHeight="1"/>
    <row r="53" ht="20" customHeight="1">
      <c r="B53" s="17" t="inlineStr">
        <is>
          <t>Annual Report submitted to: LAC, Principal, IQAC (AQAR Criterion IV), NAAC SSR, NIRF, NBA SAR, University / Affiliating Authority. Copy displayed in library and institutional website.</t>
        </is>
      </c>
    </row>
    <row r="54" ht="22" customHeight="1">
      <c r="B54" s="32" t="inlineStr">
        <is>
          <t>Librarian: ___________________    LAC Chairperson: ___________________    IQAC Coordinator: ___________________    Date: ___________________</t>
        </is>
      </c>
    </row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26:H26"/>
    <mergeCell ref="B35:H35"/>
    <mergeCell ref="B4:H4"/>
    <mergeCell ref="B44:H44"/>
    <mergeCell ref="B53:H53"/>
    <mergeCell ref="B2:H2"/>
    <mergeCell ref="B54:H54"/>
    <mergeCell ref="B15:H15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2026-04-20T15:17:01Z</dcterms:created>
  <dcterms:modified xmlns:dcterms="http://purl.org/dc/terms/" xmlns:xsi="http://www.w3.org/2001/XMLSchema-instance" xsi:type="dcterms:W3CDTF">2026-04-20T15:17:02Z</dcterms:modified>
</cp:coreProperties>
</file>