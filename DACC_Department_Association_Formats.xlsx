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DACC-00 Composition" sheetId="2" state="visible" r:id="rId2"/>
    <sheet xmlns:r="http://schemas.openxmlformats.org/officeDocument/2006/relationships" name="DACC-NA Notice &amp; Agenda" sheetId="3" state="visible" r:id="rId3"/>
    <sheet xmlns:r="http://schemas.openxmlformats.org/officeDocument/2006/relationships" name="DACC-AT Attendance" sheetId="4" state="visible" r:id="rId4"/>
    <sheet xmlns:r="http://schemas.openxmlformats.org/officeDocument/2006/relationships" name="DACC-MM Minutes" sheetId="5" state="visible" r:id="rId5"/>
    <sheet xmlns:r="http://schemas.openxmlformats.org/officeDocument/2006/relationships" name="DACC-ATR Action Report" sheetId="6" state="visible" r:id="rId6"/>
    <sheet xmlns:r="http://schemas.openxmlformats.org/officeDocument/2006/relationships" name="DA-02 DA Master Register" sheetId="7" state="visible" r:id="rId7"/>
    <sheet xmlns:r="http://schemas.openxmlformats.org/officeDocument/2006/relationships" name="DA-01 DA Registration Form" sheetId="8" state="visible" r:id="rId8"/>
    <sheet xmlns:r="http://schemas.openxmlformats.org/officeDocument/2006/relationships" name="DA-04 Membership Register" sheetId="9" state="visible" r:id="rId9"/>
    <sheet xmlns:r="http://schemas.openxmlformats.org/officeDocument/2006/relationships" name="ACT-01 Event Planning Form" sheetId="10" state="visible" r:id="rId10"/>
    <sheet xmlns:r="http://schemas.openxmlformats.org/officeDocument/2006/relationships" name="DA Activity Log All Depts" sheetId="11" state="visible" r:id="rId11"/>
    <sheet xmlns:r="http://schemas.openxmlformats.org/officeDocument/2006/relationships" name="ACT-03 Symposium Register" sheetId="12" state="visible" r:id="rId12"/>
    <sheet xmlns:r="http://schemas.openxmlformats.org/officeDocument/2006/relationships" name="ACT-04 External Competition" sheetId="13" state="visible" r:id="rId13"/>
    <sheet xmlns:r="http://schemas.openxmlformats.org/officeDocument/2006/relationships" name="ACT-05 Guest Lecture Register" sheetId="14" state="visible" r:id="rId14"/>
    <sheet xmlns:r="http://schemas.openxmlformats.org/officeDocument/2006/relationships" name="FIN-01 DA Budget Register" sheetId="15" state="visible" r:id="rId15"/>
    <sheet xmlns:r="http://schemas.openxmlformats.org/officeDocument/2006/relationships" name="AWD-01 Achievement Register" sheetId="16" state="visible" r:id="rId16"/>
    <sheet xmlns:r="http://schemas.openxmlformats.org/officeDocument/2006/relationships" name="DACC-20 Satisfaction Survey" sheetId="17" state="visible" r:id="rId17"/>
    <sheet xmlns:r="http://schemas.openxmlformats.org/officeDocument/2006/relationships" name="DACC-30 KPI Dashboard" sheetId="18" state="visible" r:id="rId18"/>
    <sheet xmlns:r="http://schemas.openxmlformats.org/officeDocument/2006/relationships" name="DACC-31 Annual Report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1E40AF"/>
      <sz val="9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0F172A"/>
      <sz val="10"/>
    </font>
    <font>
      <name val="Arial"/>
      <color rgb="000F172A"/>
      <sz val="10"/>
    </font>
    <font>
      <name val="Arial"/>
      <color rgb="0064748B"/>
      <sz val="9"/>
    </font>
    <font>
      <name val="Arial"/>
      <b val="1"/>
      <color rgb="00FFFFFF"/>
      <sz val="13"/>
    </font>
    <font>
      <name val="Arial"/>
      <color rgb="003F2000"/>
      <sz val="9"/>
    </font>
    <font>
      <name val="Arial"/>
      <b val="1"/>
      <color rgb="00FFFFFF"/>
      <sz val="14"/>
    </font>
    <font>
      <name val="Arial"/>
      <b val="1"/>
      <color rgb="001E40AF"/>
      <sz val="10"/>
    </font>
    <font>
      <name val="Arial"/>
      <b val="1"/>
      <color rgb="00334155"/>
      <sz val="10"/>
    </font>
    <font>
      <name val="Arial"/>
      <b val="1"/>
      <color rgb="00166534"/>
      <sz val="10"/>
    </font>
    <font>
      <name val="Arial"/>
      <color rgb="000F172A"/>
      <sz val="9"/>
    </font>
    <font>
      <name val="Arial"/>
      <b val="1"/>
      <color rgb="000A1A3A"/>
      <sz val="10"/>
    </font>
    <font>
      <name val="Arial"/>
      <b val="1"/>
      <color rgb="000D9488"/>
      <sz val="10"/>
    </font>
    <font>
      <name val="Arial"/>
      <b val="1"/>
      <color rgb="00451A03"/>
      <sz val="10"/>
    </font>
    <font>
      <name val="Arial"/>
      <b val="1"/>
      <color rgb="00B45309"/>
      <sz val="10"/>
    </font>
    <font>
      <name val="Arial"/>
      <b val="1"/>
      <color rgb="003F2000"/>
      <sz val="10"/>
    </font>
  </fonts>
  <fills count="24">
    <fill>
      <patternFill/>
    </fill>
    <fill>
      <patternFill patternType="gray125"/>
    </fill>
    <fill>
      <patternFill patternType="solid">
        <fgColor rgb="000A1A3A"/>
      </patternFill>
    </fill>
    <fill>
      <patternFill patternType="solid">
        <fgColor rgb="00DBEAFE"/>
      </patternFill>
    </fill>
    <fill>
      <patternFill patternType="solid">
        <fgColor rgb="00D97706"/>
      </patternFill>
    </fill>
    <fill>
      <patternFill patternType="solid">
        <fgColor rgb="00334155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1E40AF"/>
      </patternFill>
    </fill>
    <fill>
      <patternFill patternType="solid">
        <fgColor rgb="00FEF3C7"/>
      </patternFill>
    </fill>
    <fill>
      <patternFill patternType="solid">
        <fgColor rgb="00B45309"/>
      </patternFill>
    </fill>
    <fill>
      <patternFill patternType="solid">
        <fgColor rgb="00DCFCE7"/>
      </patternFill>
    </fill>
    <fill>
      <patternFill patternType="solid">
        <fgColor rgb="00E2E8F0"/>
      </patternFill>
    </fill>
    <fill>
      <patternFill patternType="solid">
        <fgColor rgb="000D9488"/>
      </patternFill>
    </fill>
    <fill>
      <patternFill patternType="solid">
        <fgColor rgb="00CCFBF1"/>
      </patternFill>
    </fill>
    <fill>
      <patternFill patternType="solid">
        <fgColor rgb="00EDE9FE"/>
      </patternFill>
    </fill>
    <fill>
      <patternFill patternType="solid">
        <fgColor rgb="00FFEDD5"/>
      </patternFill>
    </fill>
    <fill>
      <patternFill patternType="solid">
        <fgColor rgb="00E0E7FF"/>
      </patternFill>
    </fill>
    <fill>
      <patternFill patternType="solid">
        <fgColor rgb="00FCE7F3"/>
      </patternFill>
    </fill>
    <fill>
      <patternFill patternType="solid">
        <fgColor rgb="00CFFAFE"/>
      </patternFill>
    </fill>
    <fill>
      <patternFill patternType="solid">
        <fgColor rgb="00D8F3DC"/>
      </patternFill>
    </fill>
    <fill>
      <patternFill patternType="solid">
        <fgColor rgb="00166534"/>
      </patternFill>
    </fill>
    <fill>
      <patternFill patternType="solid">
        <fgColor rgb="007C3AED"/>
      </patternFill>
    </fill>
    <fill>
      <patternFill patternType="solid">
        <fgColor rgb="00C2410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9" fillId="9" borderId="0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left" vertical="center" wrapText="1"/>
    </xf>
    <xf numFmtId="0" fontId="3" fillId="8" borderId="0" applyAlignment="1" pivotButton="0" quotePrefix="0" xfId="0">
      <alignment horizontal="center" vertical="center" wrapText="1"/>
    </xf>
    <xf numFmtId="0" fontId="3" fillId="10" borderId="0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12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13" fillId="11" borderId="1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14" fillId="12" borderId="0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left" vertical="center" wrapText="1"/>
    </xf>
    <xf numFmtId="0" fontId="6" fillId="14" borderId="1" applyAlignment="1" pivotButton="0" quotePrefix="0" xfId="0">
      <alignment horizontal="center" vertical="center" wrapText="1"/>
    </xf>
    <xf numFmtId="0" fontId="3" fillId="13" borderId="0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left" vertical="center" wrapText="1"/>
    </xf>
    <xf numFmtId="0" fontId="6" fillId="15" borderId="1" applyAlignment="1" pivotButton="0" quotePrefix="0" xfId="0">
      <alignment horizontal="center" vertical="center" wrapText="1"/>
    </xf>
    <xf numFmtId="0" fontId="5" fillId="16" borderId="1" applyAlignment="1" pivotButton="0" quotePrefix="0" xfId="0">
      <alignment horizontal="center" vertical="center" wrapText="1"/>
    </xf>
    <xf numFmtId="0" fontId="6" fillId="16" borderId="1" applyAlignment="1" pivotButton="0" quotePrefix="0" xfId="0">
      <alignment horizontal="left" vertical="center" wrapText="1"/>
    </xf>
    <xf numFmtId="0" fontId="6" fillId="16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center" vertical="center" wrapText="1"/>
    </xf>
    <xf numFmtId="0" fontId="5" fillId="17" borderId="1" applyAlignment="1" pivotButton="0" quotePrefix="0" xfId="0">
      <alignment horizontal="center" vertical="center" wrapText="1"/>
    </xf>
    <xf numFmtId="0" fontId="6" fillId="17" borderId="1" applyAlignment="1" pivotButton="0" quotePrefix="0" xfId="0">
      <alignment horizontal="left" vertical="center" wrapText="1"/>
    </xf>
    <xf numFmtId="0" fontId="6" fillId="17" borderId="1" applyAlignment="1" pivotButton="0" quotePrefix="0" xfId="0">
      <alignment horizontal="center" vertical="center" wrapText="1"/>
    </xf>
    <xf numFmtId="0" fontId="5" fillId="18" borderId="1" applyAlignment="1" pivotButton="0" quotePrefix="0" xfId="0">
      <alignment horizontal="center" vertical="center" wrapText="1"/>
    </xf>
    <xf numFmtId="0" fontId="6" fillId="18" borderId="1" applyAlignment="1" pivotButton="0" quotePrefix="0" xfId="0">
      <alignment horizontal="left" vertical="center" wrapText="1"/>
    </xf>
    <xf numFmtId="0" fontId="6" fillId="18" borderId="1" applyAlignment="1" pivotButton="0" quotePrefix="0" xfId="0">
      <alignment horizontal="center" vertical="center" wrapText="1"/>
    </xf>
    <xf numFmtId="0" fontId="5" fillId="19" borderId="1" applyAlignment="1" pivotButton="0" quotePrefix="0" xfId="0">
      <alignment horizontal="center" vertical="center" wrapText="1"/>
    </xf>
    <xf numFmtId="0" fontId="6" fillId="19" borderId="1" applyAlignment="1" pivotButton="0" quotePrefix="0" xfId="0">
      <alignment horizontal="left" vertical="center" wrapText="1"/>
    </xf>
    <xf numFmtId="0" fontId="6" fillId="1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5" fillId="20" borderId="1" applyAlignment="1" pivotButton="0" quotePrefix="0" xfId="0">
      <alignment horizontal="center" vertical="center" wrapText="1"/>
    </xf>
    <xf numFmtId="0" fontId="6" fillId="20" borderId="1" applyAlignment="1" pivotButton="0" quotePrefix="0" xfId="0">
      <alignment horizontal="left" vertical="center" wrapText="1"/>
    </xf>
    <xf numFmtId="0" fontId="6" fillId="20" borderId="1" applyAlignment="1" pivotButton="0" quotePrefix="0" xfId="0">
      <alignment horizontal="center" vertical="center" wrapText="1"/>
    </xf>
    <xf numFmtId="0" fontId="0" fillId="14" borderId="1" pivotButton="0" quotePrefix="0" xfId="0"/>
    <xf numFmtId="0" fontId="0" fillId="7" borderId="1" pivotButton="0" quotePrefix="0" xfId="0"/>
    <xf numFmtId="0" fontId="15" fillId="3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16" fillId="14" borderId="1" applyAlignment="1" pivotButton="0" quotePrefix="0" xfId="0">
      <alignment horizontal="left" vertical="center" wrapText="1"/>
    </xf>
    <xf numFmtId="0" fontId="17" fillId="9" borderId="1" applyAlignment="1" pivotButton="0" quotePrefix="0" xfId="0">
      <alignment horizontal="left" vertical="center" wrapText="1"/>
    </xf>
    <xf numFmtId="0" fontId="3" fillId="21" borderId="0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left" vertical="center" wrapText="1"/>
    </xf>
    <xf numFmtId="0" fontId="14" fillId="7" borderId="1" applyAlignment="1" pivotButton="0" quotePrefix="0" xfId="0">
      <alignment horizontal="left" vertical="center" wrapText="1"/>
    </xf>
    <xf numFmtId="0" fontId="5" fillId="15" borderId="1" applyAlignment="1" pivotButton="0" quotePrefix="0" xfId="0">
      <alignment horizontal="left" vertical="center" wrapText="1"/>
    </xf>
    <xf numFmtId="0" fontId="5" fillId="16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  <xf numFmtId="0" fontId="5" fillId="17" borderId="1" applyAlignment="1" pivotButton="0" quotePrefix="0" xfId="0">
      <alignment horizontal="left" vertical="center" wrapText="1"/>
    </xf>
    <xf numFmtId="0" fontId="5" fillId="18" borderId="1" applyAlignment="1" pivotButton="0" quotePrefix="0" xfId="0">
      <alignment horizontal="left" vertical="center" wrapText="1"/>
    </xf>
    <xf numFmtId="0" fontId="5" fillId="19" borderId="1" applyAlignment="1" pivotButton="0" quotePrefix="0" xfId="0">
      <alignment horizontal="left" vertical="center" wrapText="1"/>
    </xf>
    <xf numFmtId="0" fontId="5" fillId="20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0" fillId="15" borderId="1" pivotButton="0" quotePrefix="0" xfId="0"/>
    <xf numFmtId="0" fontId="0" fillId="16" borderId="1" pivotButton="0" quotePrefix="0" xfId="0"/>
    <xf numFmtId="0" fontId="0" fillId="11" borderId="1" pivotButton="0" quotePrefix="0" xfId="0"/>
    <xf numFmtId="0" fontId="0" fillId="17" borderId="1" pivotButton="0" quotePrefix="0" xfId="0"/>
    <xf numFmtId="0" fontId="0" fillId="18" borderId="1" pivotButton="0" quotePrefix="0" xfId="0"/>
    <xf numFmtId="0" fontId="0" fillId="19" borderId="1" pivotButton="0" quotePrefix="0" xfId="0"/>
    <xf numFmtId="0" fontId="0" fillId="9" borderId="1" pivotButton="0" quotePrefix="0" xfId="0"/>
    <xf numFmtId="0" fontId="18" fillId="9" borderId="1" applyAlignment="1" pivotButton="0" quotePrefix="0" xfId="0">
      <alignment horizontal="center" vertical="center" wrapText="1"/>
    </xf>
    <xf numFmtId="0" fontId="18" fillId="7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19" fillId="9" borderId="1" applyAlignment="1" pivotButton="0" quotePrefix="0" xfId="0">
      <alignment horizontal="center" vertical="center" wrapText="1"/>
    </xf>
    <xf numFmtId="0" fontId="9" fillId="9" borderId="0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 wrapText="1"/>
    </xf>
    <xf numFmtId="0" fontId="11" fillId="14" borderId="1" applyAlignment="1" pivotButton="0" quotePrefix="0" xfId="0">
      <alignment horizontal="center" vertical="center" wrapText="1"/>
    </xf>
    <xf numFmtId="0" fontId="3" fillId="22" borderId="0" applyAlignment="1" pivotButton="0" quotePrefix="0" xfId="0">
      <alignment horizontal="center" vertical="center" wrapText="1"/>
    </xf>
    <xf numFmtId="0" fontId="4" fillId="22" borderId="1" applyAlignment="1" pivotButton="0" quotePrefix="0" xfId="0">
      <alignment horizontal="center" vertical="center" wrapText="1"/>
    </xf>
    <xf numFmtId="0" fontId="11" fillId="15" borderId="1" applyAlignment="1" pivotButton="0" quotePrefix="0" xfId="0">
      <alignment horizontal="center" vertical="center" wrapText="1"/>
    </xf>
    <xf numFmtId="0" fontId="3" fillId="23" borderId="0" applyAlignment="1" pivotButton="0" quotePrefix="0" xfId="0">
      <alignment horizontal="center" vertical="center" wrapText="1"/>
    </xf>
    <xf numFmtId="0" fontId="4" fillId="23" borderId="1" applyAlignment="1" pivotButton="0" quotePrefix="0" xfId="0">
      <alignment horizontal="center" vertical="center" wrapText="1"/>
    </xf>
    <xf numFmtId="0" fontId="11" fillId="1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46" customWidth="1" min="3" max="3"/>
    <col width="28" customWidth="1" min="4" max="4"/>
    <col width="18" customWidth="1" min="5" max="5"/>
    <col width="3" customWidth="1" min="6" max="6"/>
  </cols>
  <sheetData>
    <row r="1" ht="10" customHeight="1"/>
    <row r="2" ht="80" customHeight="1">
      <c r="B2" s="1" t="inlineStr">
        <is>
          <t>DEPARTMENT ASSOCIATION COORDINATION COMMITTEE (DACC)
Data Collection Formats — Master Workbook</t>
        </is>
      </c>
    </row>
    <row r="3" ht="28" customHeight="1">
      <c r="B3" s="2" t="inlineStr">
        <is>
          <t>Institution: _________________________  DACC Coordinator: _____________  A.Y.: _______  Version: _____</t>
        </is>
      </c>
    </row>
    <row r="4" ht="22" customHeight="1">
      <c r="B4" s="3" t="inlineStr">
        <is>
          <t>Form No.</t>
        </is>
      </c>
      <c r="C4" s="3" t="inlineStr">
        <is>
          <t>Format / Form Title</t>
        </is>
      </c>
      <c r="D4" s="3" t="inlineStr">
        <is>
          <t>Purpose / Usage</t>
        </is>
      </c>
      <c r="E4" s="3" t="inlineStr">
        <is>
          <t>Frequency</t>
        </is>
      </c>
    </row>
    <row r="5" ht="20" customHeight="1">
      <c r="B5" s="4" t="inlineStr">
        <is>
          <t>── GOVERNANCE &amp; ADMINISTRATION ──</t>
        </is>
      </c>
    </row>
    <row r="6" ht="20" customHeight="1">
      <c r="B6" s="5" t="inlineStr">
        <is>
          <t>DACC-00</t>
        </is>
      </c>
      <c r="C6" s="6" t="inlineStr">
        <is>
          <t>Committee Composition &amp; Members Register</t>
        </is>
      </c>
      <c r="D6" s="6" t="inlineStr">
        <is>
          <t>Record DACC members, dept. association heads &amp; student reps</t>
        </is>
      </c>
      <c r="E6" s="7" t="inlineStr">
        <is>
          <t>Annual</t>
        </is>
      </c>
    </row>
    <row r="7" ht="20" customHeight="1">
      <c r="B7" s="8" t="inlineStr">
        <is>
          <t>DACC-NA</t>
        </is>
      </c>
      <c r="C7" s="9" t="inlineStr">
        <is>
          <t>Meeting Notice, Agenda &amp; Dispatch Record</t>
        </is>
      </c>
      <c r="D7" s="9" t="inlineStr">
        <is>
          <t>Formal notice and agenda for DACC meetings</t>
        </is>
      </c>
      <c r="E7" s="10" t="inlineStr">
        <is>
          <t>Each Meeting</t>
        </is>
      </c>
    </row>
    <row r="8" ht="20" customHeight="1">
      <c r="B8" s="5" t="inlineStr">
        <is>
          <t>DACC-AT</t>
        </is>
      </c>
      <c r="C8" s="6" t="inlineStr">
        <is>
          <t>Attendance &amp; Quorum Register</t>
        </is>
      </c>
      <c r="D8" s="6" t="inlineStr">
        <is>
          <t>Confirm attendance and quorum</t>
        </is>
      </c>
      <c r="E8" s="7" t="inlineStr">
        <is>
          <t>Each Meeting</t>
        </is>
      </c>
    </row>
    <row r="9" ht="20" customHeight="1">
      <c r="B9" s="8" t="inlineStr">
        <is>
          <t>DACC-MM</t>
        </is>
      </c>
      <c r="C9" s="9" t="inlineStr">
        <is>
          <t>Meeting Minutes &amp; Resolutions</t>
        </is>
      </c>
      <c r="D9" s="9" t="inlineStr">
        <is>
          <t>Record decisions, resolutions &amp; directives</t>
        </is>
      </c>
      <c r="E9" s="10" t="inlineStr">
        <is>
          <t>Each Meeting</t>
        </is>
      </c>
    </row>
    <row r="10" ht="20" customHeight="1">
      <c r="B10" s="5" t="inlineStr">
        <is>
          <t>DACC-ATR</t>
        </is>
      </c>
      <c r="C10" s="6" t="inlineStr">
        <is>
          <t>Action Taken Report</t>
        </is>
      </c>
      <c r="D10" s="6" t="inlineStr">
        <is>
          <t>Track implementation of DACC resolutions</t>
        </is>
      </c>
      <c r="E10" s="7" t="inlineStr">
        <is>
          <t>Each Meeting</t>
        </is>
      </c>
    </row>
    <row r="11" ht="20" customHeight="1">
      <c r="B11" s="4" t="inlineStr">
        <is>
          <t>── POLICY &amp; PLANNING ──</t>
        </is>
      </c>
    </row>
    <row r="12" ht="20" customHeight="1">
      <c r="B12" s="5" t="inlineStr">
        <is>
          <t>DACC-01</t>
        </is>
      </c>
      <c r="C12" s="6" t="inlineStr">
        <is>
          <t>Department Association Policy &amp; Framework</t>
        </is>
      </c>
      <c r="D12" s="6" t="inlineStr">
        <is>
          <t>Document DA norms, autonomy, charter &amp; institutional norms</t>
        </is>
      </c>
      <c r="E12" s="7" t="inlineStr">
        <is>
          <t>Annual</t>
        </is>
      </c>
    </row>
    <row r="13" ht="20" customHeight="1">
      <c r="B13" s="8" t="inlineStr">
        <is>
          <t>DACC-02</t>
        </is>
      </c>
      <c r="C13" s="9" t="inlineStr">
        <is>
          <t>Annual DACC Coordination Calendar</t>
        </is>
      </c>
      <c r="D13" s="9" t="inlineStr">
        <is>
          <t>Plan all inter-department events, shared activities</t>
        </is>
      </c>
      <c r="E13" s="10" t="inlineStr">
        <is>
          <t>Annual</t>
        </is>
      </c>
    </row>
    <row r="14" ht="20" customHeight="1">
      <c r="B14" s="5" t="inlineStr">
        <is>
          <t>DACC-03</t>
        </is>
      </c>
      <c r="C14" s="6" t="inlineStr">
        <is>
          <t>DACC Budget &amp; Resource Plan</t>
        </is>
      </c>
      <c r="D14" s="6" t="inlineStr">
        <is>
          <t>Plan shared budget across department associations</t>
        </is>
      </c>
      <c r="E14" s="7" t="inlineStr">
        <is>
          <t>Annual</t>
        </is>
      </c>
    </row>
    <row r="15" ht="20" customHeight="1">
      <c r="B15" s="4" t="inlineStr">
        <is>
          <t>── DEPARTMENT ASSOCIATION REGISTRATION ──</t>
        </is>
      </c>
    </row>
    <row r="16" ht="20" customHeight="1">
      <c r="B16" s="5" t="inlineStr">
        <is>
          <t>DA-01</t>
        </is>
      </c>
      <c r="C16" s="6" t="inlineStr">
        <is>
          <t>Department Association Registration Form</t>
        </is>
      </c>
      <c r="D16" s="6" t="inlineStr">
        <is>
          <t>Register / re-register each DA annually with DACC</t>
        </is>
      </c>
      <c r="E16" s="7" t="inlineStr">
        <is>
          <t>Annual</t>
        </is>
      </c>
    </row>
    <row r="17" ht="20" customHeight="1">
      <c r="B17" s="8" t="inlineStr">
        <is>
          <t>DA-02</t>
        </is>
      </c>
      <c r="C17" s="9" t="inlineStr">
        <is>
          <t>Department Association Master Register</t>
        </is>
      </c>
      <c r="D17" s="9" t="inlineStr">
        <is>
          <t>Consolidated register of all active DAs</t>
        </is>
      </c>
      <c r="E17" s="10" t="inlineStr">
        <is>
          <t>Annual</t>
        </is>
      </c>
    </row>
    <row r="18" ht="20" customHeight="1">
      <c r="B18" s="5" t="inlineStr">
        <is>
          <t>DA-03</t>
        </is>
      </c>
      <c r="C18" s="6" t="inlineStr">
        <is>
          <t>DA Core Team &amp; Office Bearers Register</t>
        </is>
      </c>
      <c r="D18" s="6" t="inlineStr">
        <is>
          <t>Record DA President, Secretary, Treasurer &amp; roles</t>
        </is>
      </c>
      <c r="E18" s="7" t="inlineStr">
        <is>
          <t>Annual</t>
        </is>
      </c>
    </row>
    <row r="19" ht="20" customHeight="1">
      <c r="B19" s="8" t="inlineStr">
        <is>
          <t>DA-04</t>
        </is>
      </c>
      <c r="C19" s="9" t="inlineStr">
        <is>
          <t>DA Membership Register</t>
        </is>
      </c>
      <c r="D19" s="9" t="inlineStr">
        <is>
          <t>Track student members of each department association</t>
        </is>
      </c>
      <c r="E19" s="10" t="inlineStr">
        <is>
          <t>Annual / Per DA</t>
        </is>
      </c>
    </row>
    <row r="20" ht="20" customHeight="1">
      <c r="B20" s="5" t="inlineStr">
        <is>
          <t>DA-05</t>
        </is>
      </c>
      <c r="C20" s="6" t="inlineStr">
        <is>
          <t>DA Faculty Advisor Register</t>
        </is>
      </c>
      <c r="D20" s="6" t="inlineStr">
        <is>
          <t>Record faculty advisors assigned to each DA</t>
        </is>
      </c>
      <c r="E20" s="7" t="inlineStr">
        <is>
          <t>Annual</t>
        </is>
      </c>
    </row>
    <row r="21" ht="20" customHeight="1">
      <c r="B21" s="8" t="inlineStr">
        <is>
          <t>DA-06</t>
        </is>
      </c>
      <c r="C21" s="9" t="inlineStr">
        <is>
          <t>DA Constitution &amp; Charter Register</t>
        </is>
      </c>
      <c r="D21" s="9" t="inlineStr">
        <is>
          <t>Archive each DA's constitution and guiding charter</t>
        </is>
      </c>
      <c r="E21" s="10" t="inlineStr">
        <is>
          <t>Annual</t>
        </is>
      </c>
    </row>
    <row r="22" ht="20" customHeight="1">
      <c r="B22" s="4" t="inlineStr">
        <is>
          <t>── DEPARTMENT-SPECIFIC REGISTERS ──</t>
        </is>
      </c>
    </row>
    <row r="23" ht="20" customHeight="1">
      <c r="B23" s="8" t="inlineStr">
        <is>
          <t>DA-CSE</t>
        </is>
      </c>
      <c r="C23" s="9" t="inlineStr">
        <is>
          <t>CSE Association Activity Register</t>
        </is>
      </c>
      <c r="D23" s="9" t="inlineStr">
        <is>
          <t>Log all CSE department association activities</t>
        </is>
      </c>
      <c r="E23" s="10" t="inlineStr">
        <is>
          <t>Continuous</t>
        </is>
      </c>
    </row>
    <row r="24" ht="20" customHeight="1">
      <c r="B24" s="5" t="inlineStr">
        <is>
          <t>DA-ECE</t>
        </is>
      </c>
      <c r="C24" s="6" t="inlineStr">
        <is>
          <t>ECE Association Activity Register</t>
        </is>
      </c>
      <c r="D24" s="6" t="inlineStr">
        <is>
          <t>Log all ECE department association activities</t>
        </is>
      </c>
      <c r="E24" s="7" t="inlineStr">
        <is>
          <t>Continuous</t>
        </is>
      </c>
    </row>
    <row r="25" ht="20" customHeight="1">
      <c r="B25" s="8" t="inlineStr">
        <is>
          <t>DA-EEE</t>
        </is>
      </c>
      <c r="C25" s="9" t="inlineStr">
        <is>
          <t>EEE Association Activity Register</t>
        </is>
      </c>
      <c r="D25" s="9" t="inlineStr">
        <is>
          <t>Log all EEE department association activities</t>
        </is>
      </c>
      <c r="E25" s="10" t="inlineStr">
        <is>
          <t>Continuous</t>
        </is>
      </c>
    </row>
    <row r="26" ht="20" customHeight="1">
      <c r="B26" s="5" t="inlineStr">
        <is>
          <t>DA-MECH</t>
        </is>
      </c>
      <c r="C26" s="6" t="inlineStr">
        <is>
          <t>Mechanical Association Activity Register</t>
        </is>
      </c>
      <c r="D26" s="6" t="inlineStr">
        <is>
          <t>Log all Mechanical association activities</t>
        </is>
      </c>
      <c r="E26" s="7" t="inlineStr">
        <is>
          <t>Continuous</t>
        </is>
      </c>
    </row>
    <row r="27" ht="20" customHeight="1">
      <c r="B27" s="8" t="inlineStr">
        <is>
          <t>DA-CIVIL</t>
        </is>
      </c>
      <c r="C27" s="9" t="inlineStr">
        <is>
          <t>Civil Engineering Association Register</t>
        </is>
      </c>
      <c r="D27" s="9" t="inlineStr">
        <is>
          <t>Log all Civil association activities</t>
        </is>
      </c>
      <c r="E27" s="10" t="inlineStr">
        <is>
          <t>Continuous</t>
        </is>
      </c>
    </row>
    <row r="28" ht="20" customHeight="1">
      <c r="B28" s="5" t="inlineStr">
        <is>
          <t>DA-MBA</t>
        </is>
      </c>
      <c r="C28" s="6" t="inlineStr">
        <is>
          <t>Management Association Activity Register</t>
        </is>
      </c>
      <c r="D28" s="6" t="inlineStr">
        <is>
          <t>Log all MBA department association activities</t>
        </is>
      </c>
      <c r="E28" s="7" t="inlineStr">
        <is>
          <t>Continuous</t>
        </is>
      </c>
    </row>
    <row r="29" ht="20" customHeight="1">
      <c r="B29" s="8" t="inlineStr">
        <is>
          <t>DA-MCA</t>
        </is>
      </c>
      <c r="C29" s="9" t="inlineStr">
        <is>
          <t>MCA Association Activity Register</t>
        </is>
      </c>
      <c r="D29" s="9" t="inlineStr">
        <is>
          <t>Log all MCA association activities</t>
        </is>
      </c>
      <c r="E29" s="10" t="inlineStr">
        <is>
          <t>Continuous</t>
        </is>
      </c>
    </row>
    <row r="30" ht="20" customHeight="1">
      <c r="B30" s="5" t="inlineStr">
        <is>
          <t>DA-SH</t>
        </is>
      </c>
      <c r="C30" s="6" t="inlineStr">
        <is>
          <t>Sciences &amp; Humanities Association Register</t>
        </is>
      </c>
      <c r="D30" s="6" t="inlineStr">
        <is>
          <t>Log all S&amp;H department association activities</t>
        </is>
      </c>
      <c r="E30" s="7" t="inlineStr">
        <is>
          <t>Continuous</t>
        </is>
      </c>
    </row>
    <row r="31" ht="20" customHeight="1">
      <c r="B31" s="4" t="inlineStr">
        <is>
          <t>── ACTIVITY &amp; EVENT MANAGEMENT ──</t>
        </is>
      </c>
    </row>
    <row r="32" ht="20" customHeight="1">
      <c r="B32" s="5" t="inlineStr">
        <is>
          <t>ACT-01</t>
        </is>
      </c>
      <c r="C32" s="6" t="inlineStr">
        <is>
          <t>DA Activity / Event Planning Form</t>
        </is>
      </c>
      <c r="D32" s="6" t="inlineStr">
        <is>
          <t>Plan each DA event — logistics, budget, approval</t>
        </is>
      </c>
      <c r="E32" s="7" t="inlineStr">
        <is>
          <t>Per Event</t>
        </is>
      </c>
    </row>
    <row r="33" ht="20" customHeight="1">
      <c r="B33" s="8" t="inlineStr">
        <is>
          <t>ACT-02</t>
        </is>
      </c>
      <c r="C33" s="9" t="inlineStr">
        <is>
          <t>DA Event Permission &amp; Approval Register</t>
        </is>
      </c>
      <c r="D33" s="9" t="inlineStr">
        <is>
          <t>Formal approval for DA events from HoD and Principal</t>
        </is>
      </c>
      <c r="E33" s="10" t="inlineStr">
        <is>
          <t>Per Event</t>
        </is>
      </c>
    </row>
    <row r="34" ht="20" customHeight="1">
      <c r="B34" s="5" t="inlineStr">
        <is>
          <t>ACT-03</t>
        </is>
      </c>
      <c r="C34" s="6" t="inlineStr">
        <is>
          <t>DA Annual Symposium / Technical Fest Register</t>
        </is>
      </c>
      <c r="D34" s="6" t="inlineStr">
        <is>
          <t>Manage annual department symposium or technical fest</t>
        </is>
      </c>
      <c r="E34" s="7" t="inlineStr">
        <is>
          <t>Annual Per DA</t>
        </is>
      </c>
    </row>
    <row r="35" ht="20" customHeight="1">
      <c r="B35" s="8" t="inlineStr">
        <is>
          <t>ACT-04</t>
        </is>
      </c>
      <c r="C35" s="9" t="inlineStr">
        <is>
          <t>Intercollegiate / External Event Register</t>
        </is>
      </c>
      <c r="D35" s="9" t="inlineStr">
        <is>
          <t>Track participation in external competitions</t>
        </is>
      </c>
      <c r="E35" s="10" t="inlineStr">
        <is>
          <t>Per Event</t>
        </is>
      </c>
    </row>
    <row r="36" ht="20" customHeight="1">
      <c r="B36" s="5" t="inlineStr">
        <is>
          <t>ACT-05</t>
        </is>
      </c>
      <c r="C36" s="6" t="inlineStr">
        <is>
          <t>DA Guest Lecture &amp; Expert Talk Register</t>
        </is>
      </c>
      <c r="D36" s="6" t="inlineStr">
        <is>
          <t>Log guest lectures organised by department associations</t>
        </is>
      </c>
      <c r="E36" s="7" t="inlineStr">
        <is>
          <t>Per Event</t>
        </is>
      </c>
    </row>
    <row r="37" ht="20" customHeight="1">
      <c r="B37" s="8" t="inlineStr">
        <is>
          <t>ACT-06</t>
        </is>
      </c>
      <c r="C37" s="9" t="inlineStr">
        <is>
          <t>DA Workshop &amp; Skill Development Register</t>
        </is>
      </c>
      <c r="D37" s="9" t="inlineStr">
        <is>
          <t>Track workshops and skill sessions by DAs</t>
        </is>
      </c>
      <c r="E37" s="10" t="inlineStr">
        <is>
          <t>Per Workshop</t>
        </is>
      </c>
    </row>
    <row r="38" ht="20" customHeight="1">
      <c r="B38" s="5" t="inlineStr">
        <is>
          <t>ACT-07</t>
        </is>
      </c>
      <c r="C38" s="6" t="inlineStr">
        <is>
          <t>DA Industrial Visit Register</t>
        </is>
      </c>
      <c r="D38" s="6" t="inlineStr">
        <is>
          <t>Track industry visits organised by DAs</t>
        </is>
      </c>
      <c r="E38" s="7" t="inlineStr">
        <is>
          <t>Per Visit</t>
        </is>
      </c>
    </row>
    <row r="39" ht="20" customHeight="1">
      <c r="B39" s="8" t="inlineStr">
        <is>
          <t>ACT-08</t>
        </is>
      </c>
      <c r="C39" s="9" t="inlineStr">
        <is>
          <t>DA Project &amp; Research Showcase Register</t>
        </is>
      </c>
      <c r="D39" s="9" t="inlineStr">
        <is>
          <t>Document project exhibitions and research displays</t>
        </is>
      </c>
      <c r="E39" s="10" t="inlineStr">
        <is>
          <t>Per Event</t>
        </is>
      </c>
    </row>
    <row r="40" ht="20" customHeight="1">
      <c r="B40" s="5" t="inlineStr">
        <is>
          <t>ACT-09</t>
        </is>
      </c>
      <c r="C40" s="6" t="inlineStr">
        <is>
          <t>DA Cultural &amp; Social Event Register</t>
        </is>
      </c>
      <c r="D40" s="6" t="inlineStr">
        <is>
          <t>Log cultural, social and recreational DA events</t>
        </is>
      </c>
      <c r="E40" s="7" t="inlineStr">
        <is>
          <t>Per Event</t>
        </is>
      </c>
    </row>
    <row r="41" ht="20" customHeight="1">
      <c r="B41" s="8" t="inlineStr">
        <is>
          <t>ACT-10</t>
        </is>
      </c>
      <c r="C41" s="9" t="inlineStr">
        <is>
          <t>DA Inter-Department Competition Register</t>
        </is>
      </c>
      <c r="D41" s="9" t="inlineStr">
        <is>
          <t>Manage competitions between departments</t>
        </is>
      </c>
      <c r="E41" s="10" t="inlineStr">
        <is>
          <t>Per Competition</t>
        </is>
      </c>
    </row>
    <row r="42" ht="20" customHeight="1">
      <c r="B42" s="4" t="inlineStr">
        <is>
          <t>── PUBLICATIONS &amp; MEDIA ──</t>
        </is>
      </c>
    </row>
    <row r="43" ht="20" customHeight="1">
      <c r="B43" s="8" t="inlineStr">
        <is>
          <t>PUB-01</t>
        </is>
      </c>
      <c r="C43" s="9" t="inlineStr">
        <is>
          <t>DA Newsletter / Magazine Register</t>
        </is>
      </c>
      <c r="D43" s="9" t="inlineStr">
        <is>
          <t>Track department association publications</t>
        </is>
      </c>
      <c r="E43" s="10" t="inlineStr">
        <is>
          <t>Per Issue</t>
        </is>
      </c>
    </row>
    <row r="44" ht="20" customHeight="1">
      <c r="B44" s="5" t="inlineStr">
        <is>
          <t>PUB-02</t>
        </is>
      </c>
      <c r="C44" s="6" t="inlineStr">
        <is>
          <t>DA Social Media &amp; Digital Presence Register</t>
        </is>
      </c>
      <c r="D44" s="6" t="inlineStr">
        <is>
          <t>Track DA online presence and content</t>
        </is>
      </c>
      <c r="E44" s="7" t="inlineStr">
        <is>
          <t>Monthly</t>
        </is>
      </c>
    </row>
    <row r="45" ht="20" customHeight="1">
      <c r="B45" s="4" t="inlineStr">
        <is>
          <t>── BUDGET &amp; FINANCE ──</t>
        </is>
      </c>
    </row>
    <row r="46" ht="20" customHeight="1">
      <c r="B46" s="5" t="inlineStr">
        <is>
          <t>FIN-01</t>
        </is>
      </c>
      <c r="C46" s="6" t="inlineStr">
        <is>
          <t>DA Budget Allocation &amp; Expenditure Register</t>
        </is>
      </c>
      <c r="D46" s="6" t="inlineStr">
        <is>
          <t>Track budget given to and spent by each DA</t>
        </is>
      </c>
      <c r="E46" s="7" t="inlineStr">
        <is>
          <t>Each Semester</t>
        </is>
      </c>
    </row>
    <row r="47" ht="20" customHeight="1">
      <c r="B47" s="8" t="inlineStr">
        <is>
          <t>FIN-02</t>
        </is>
      </c>
      <c r="C47" s="9" t="inlineStr">
        <is>
          <t>DA Event Revenue &amp; Sponsorship Register</t>
        </is>
      </c>
      <c r="D47" s="9" t="inlineStr">
        <is>
          <t>Track event income and sponsorship mobilised</t>
        </is>
      </c>
      <c r="E47" s="10" t="inlineStr">
        <is>
          <t>Per Event</t>
        </is>
      </c>
    </row>
    <row r="48" ht="20" customHeight="1">
      <c r="B48" s="4" t="inlineStr">
        <is>
          <t>── ACHIEVEMENTS &amp; RECOGNITION ──</t>
        </is>
      </c>
    </row>
    <row r="49" ht="20" customHeight="1">
      <c r="B49" s="8" t="inlineStr">
        <is>
          <t>AWD-01</t>
        </is>
      </c>
      <c r="C49" s="9" t="inlineStr">
        <is>
          <t>DA Student Achievement Register</t>
        </is>
      </c>
      <c r="D49" s="9" t="inlineStr">
        <is>
          <t>Record student achievements through DA activities</t>
        </is>
      </c>
      <c r="E49" s="10" t="inlineStr">
        <is>
          <t>Continuous</t>
        </is>
      </c>
    </row>
    <row r="50" ht="20" customHeight="1">
      <c r="B50" s="5" t="inlineStr">
        <is>
          <t>AWD-02</t>
        </is>
      </c>
      <c r="C50" s="6" t="inlineStr">
        <is>
          <t>Best Department Association Award Register</t>
        </is>
      </c>
      <c r="D50" s="6" t="inlineStr">
        <is>
          <t>Track institutional and inter-college DA awards</t>
        </is>
      </c>
      <c r="E50" s="7" t="inlineStr">
        <is>
          <t>Annual</t>
        </is>
      </c>
    </row>
    <row r="51" ht="20" customHeight="1">
      <c r="B51" s="4" t="inlineStr">
        <is>
          <t>── FEEDBACK &amp; QUALITY ──</t>
        </is>
      </c>
    </row>
    <row r="52" ht="20" customHeight="1">
      <c r="B52" s="5" t="inlineStr">
        <is>
          <t>DACC-20</t>
        </is>
      </c>
      <c r="C52" s="6" t="inlineStr">
        <is>
          <t>Student DA Satisfaction Survey</t>
        </is>
      </c>
      <c r="D52" s="6" t="inlineStr">
        <is>
          <t>Annual survey on DA quality, engagement and value</t>
        </is>
      </c>
      <c r="E52" s="7" t="inlineStr">
        <is>
          <t>Annual</t>
        </is>
      </c>
    </row>
    <row r="53" ht="20" customHeight="1">
      <c r="B53" s="4" t="inlineStr">
        <is>
          <t>── MONITORING &amp; REPORTING ──</t>
        </is>
      </c>
    </row>
    <row r="54" ht="20" customHeight="1">
      <c r="B54" s="5" t="inlineStr">
        <is>
          <t>DACC-30</t>
        </is>
      </c>
      <c r="C54" s="6" t="inlineStr">
        <is>
          <t>DACC KPI Dashboard</t>
        </is>
      </c>
      <c r="D54" s="6" t="inlineStr">
        <is>
          <t>Track all DA KPIs — activities, coverage, quality</t>
        </is>
      </c>
      <c r="E54" s="7" t="inlineStr">
        <is>
          <t>Quarterly / Annual</t>
        </is>
      </c>
    </row>
    <row r="55" ht="20" customHeight="1">
      <c r="B55" s="8" t="inlineStr">
        <is>
          <t>DACC-31</t>
        </is>
      </c>
      <c r="C55" s="9" t="inlineStr">
        <is>
          <t>DACC Annual Report Compilation Form</t>
        </is>
      </c>
      <c r="D55" s="9" t="inlineStr">
        <is>
          <t>Year-end report for management, NAAC &amp; accreditation</t>
        </is>
      </c>
      <c r="E55" s="10" t="inlineStr">
        <is>
          <t>Annual</t>
        </is>
      </c>
    </row>
    <row r="56" ht="21" customHeight="1"/>
    <row r="57" ht="21" customHeight="1"/>
    <row r="58" ht="21" customHeight="1"/>
    <row r="59" ht="21" customHeight="1"/>
    <row r="114">
      <c r="B114" s="11" t="inlineStr">
        <is>
          <t>• DACC = Department Association Coordination Committee — the body that oversees and coordinates all department-level student associations.</t>
        </is>
      </c>
    </row>
    <row r="115">
      <c r="B115" s="11" t="inlineStr">
        <is>
          <t>• Each department must have an active DA registered annually with DACC. Inactive DAs receive no institutional support.</t>
        </is>
      </c>
    </row>
    <row r="116">
      <c r="B116" s="11" t="inlineStr">
        <is>
          <t>• All DA events require prior written approval from HoD (for departmental events) and Principal (for external/large events).</t>
        </is>
      </c>
    </row>
    <row r="117">
      <c r="B117" s="11" t="inlineStr">
        <is>
          <t>• DACC data feeds into: NAAC AQAR Criterion V.3 (Student Activities), NIRF, NBA SAR, Governing Body reports.</t>
        </is>
      </c>
    </row>
    <row r="118">
      <c r="B118" s="11" t="inlineStr">
        <is>
          <t>• Sponsorship agreements: all external sponsorships must be approved by Principal — no cash transactions outside Finance.</t>
        </is>
      </c>
    </row>
    <row r="119">
      <c r="B119" s="11" t="inlineStr">
        <is>
          <t>• DA achievements (competitions, publications, projects) are evidence for NAAC Criterion III (Research) and V (Student Activities).</t>
        </is>
      </c>
    </row>
    <row r="120">
      <c r="B120" s="11" t="inlineStr">
        <is>
          <t>• DACC coordinates shared events, prevents scheduling conflicts between DAs, and ensures equitable institutional support.</t>
        </is>
      </c>
    </row>
    <row r="121">
      <c r="B121" s="11" t="inlineStr">
        <is>
          <t>• Student office bearers of DAs must be elected/selected annually — arbitrary appointments are not acceptable.</t>
        </is>
      </c>
    </row>
    <row r="122">
      <c r="B122" s="11" t="inlineStr">
        <is>
          <t>• Each DA must submit post-event reports within 7 days — prerequisite for next event approval.</t>
        </is>
      </c>
    </row>
    <row r="123">
      <c r="B123" s="11" t="inlineStr">
        <is>
          <t>• DACC meets at minimum once per month; DA presidents attend as active representatives of their associations.</t>
        </is>
      </c>
    </row>
  </sheetData>
  <mergeCells count="22">
    <mergeCell ref="B118:E118"/>
    <mergeCell ref="B15:E15"/>
    <mergeCell ref="B5:E5"/>
    <mergeCell ref="B51:E51"/>
    <mergeCell ref="B123:E123"/>
    <mergeCell ref="B114:E114"/>
    <mergeCell ref="B45:E45"/>
    <mergeCell ref="B3:E3"/>
    <mergeCell ref="B121:E121"/>
    <mergeCell ref="B115:E115"/>
    <mergeCell ref="B22:E22"/>
    <mergeCell ref="B31:E31"/>
    <mergeCell ref="B122:E122"/>
    <mergeCell ref="B48:E48"/>
    <mergeCell ref="B11:E11"/>
    <mergeCell ref="B120:E120"/>
    <mergeCell ref="B2:E2"/>
    <mergeCell ref="B117:E117"/>
    <mergeCell ref="B42:E42"/>
    <mergeCell ref="B53:E53"/>
    <mergeCell ref="B119:E119"/>
    <mergeCell ref="B116:E1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6" customWidth="1" min="3" max="3"/>
    <col width="24" customWidth="1" min="4" max="4"/>
    <col width="20" customWidth="1" min="5" max="5"/>
    <col width="14" customWidth="1" min="6" max="6"/>
    <col width="14" customWidth="1" min="7" max="7"/>
    <col width="16" customWidth="1" min="8" max="8"/>
    <col width="14" customWidth="1" min="9" max="9"/>
    <col width="3" customWidth="1" min="10" max="10"/>
  </cols>
  <sheetData>
    <row r="1" ht="10" customHeight="1"/>
    <row r="2" ht="52" customHeight="1">
      <c r="B2" s="12" t="inlineStr">
        <is>
          <t>DACC-00: DEPARTMENT ASSOCIATION COORDINATION COMMITTEE — COMPOSITION</t>
        </is>
      </c>
    </row>
    <row r="3" ht="25" customHeight="1">
      <c r="B3" s="2" t="inlineStr">
        <is>
          <t>Institution: _________________________  A.Y.: _______  Constituted on: _______  Order No.: _______</t>
        </is>
      </c>
    </row>
    <row r="4" ht="25" customHeight="1">
      <c r="B4" s="13" t="inlineStr">
        <is>
          <t>Sl.</t>
        </is>
      </c>
      <c r="C4" s="13" t="inlineStr">
        <is>
          <t>Name</t>
        </is>
      </c>
      <c r="D4" s="13" t="inlineStr">
        <is>
          <t>Designation</t>
        </is>
      </c>
      <c r="E4" s="13" t="inlineStr">
        <is>
          <t>Role in DACC</t>
        </is>
      </c>
      <c r="F4" s="13" t="inlineStr">
        <is>
          <t>Department</t>
        </is>
      </c>
      <c r="G4" s="13" t="inlineStr">
        <is>
          <t>Email / Phone</t>
        </is>
      </c>
      <c r="H4" s="13" t="inlineStr">
        <is>
          <t>Term</t>
        </is>
      </c>
      <c r="I4" s="13" t="inlineStr">
        <is>
          <t>Signature</t>
        </is>
      </c>
    </row>
    <row r="5" ht="22" customHeight="1">
      <c r="B5" s="14" t="n">
        <v>1</v>
      </c>
      <c r="C5" s="15" t="inlineStr"/>
      <c r="D5" s="15" t="inlineStr">
        <is>
          <t>Principal / Dean Student Affairs</t>
        </is>
      </c>
      <c r="E5" s="14" t="inlineStr">
        <is>
          <t>Chairperson</t>
        </is>
      </c>
      <c r="F5" s="16" t="inlineStr">
        <is>
          <t>DACC Leadership &amp; Oversight</t>
        </is>
      </c>
      <c r="G5" s="15" t="inlineStr"/>
      <c r="H5" s="16" t="inlineStr"/>
      <c r="I5" s="16" t="inlineStr"/>
    </row>
    <row r="6" ht="22" customHeight="1">
      <c r="B6" s="8" t="n">
        <v>2</v>
      </c>
      <c r="C6" s="9" t="inlineStr"/>
      <c r="D6" s="9" t="inlineStr">
        <is>
          <t>Senior Faculty / Student Activities Coord.</t>
        </is>
      </c>
      <c r="E6" s="8" t="inlineStr">
        <is>
          <t>DACC Coordinator</t>
        </is>
      </c>
      <c r="F6" s="10" t="inlineStr">
        <is>
          <t>Overall DA Coordination</t>
        </is>
      </c>
      <c r="G6" s="9" t="inlineStr"/>
      <c r="H6" s="10" t="inlineStr"/>
      <c r="I6" s="10" t="inlineStr"/>
    </row>
    <row r="7" ht="22" customHeight="1">
      <c r="B7" s="14" t="n">
        <v>3</v>
      </c>
      <c r="C7" s="15" t="inlineStr"/>
      <c r="D7" s="15" t="inlineStr">
        <is>
          <t>Head, Dept. of Computer Science</t>
        </is>
      </c>
      <c r="E7" s="14" t="inlineStr">
        <is>
          <t>HoD — CSE</t>
        </is>
      </c>
      <c r="F7" s="16" t="inlineStr">
        <is>
          <t>CSE Association Oversight</t>
        </is>
      </c>
      <c r="G7" s="15" t="inlineStr"/>
      <c r="H7" s="16" t="inlineStr"/>
      <c r="I7" s="16" t="inlineStr"/>
    </row>
    <row r="8" ht="22" customHeight="1">
      <c r="B8" s="8" t="n">
        <v>4</v>
      </c>
      <c r="C8" s="9" t="inlineStr"/>
      <c r="D8" s="9" t="inlineStr">
        <is>
          <t>Head, Dept. of Electronics</t>
        </is>
      </c>
      <c r="E8" s="8" t="inlineStr">
        <is>
          <t>HoD — ECE</t>
        </is>
      </c>
      <c r="F8" s="10" t="inlineStr">
        <is>
          <t>ECE Association Oversight</t>
        </is>
      </c>
      <c r="G8" s="9" t="inlineStr"/>
      <c r="H8" s="10" t="inlineStr"/>
      <c r="I8" s="10" t="inlineStr"/>
    </row>
    <row r="9" ht="22" customHeight="1">
      <c r="B9" s="14" t="n">
        <v>5</v>
      </c>
      <c r="C9" s="15" t="inlineStr"/>
      <c r="D9" s="15" t="inlineStr">
        <is>
          <t>Head, Dept. of Electrical Engineering</t>
        </is>
      </c>
      <c r="E9" s="14" t="inlineStr">
        <is>
          <t>HoD — EEE</t>
        </is>
      </c>
      <c r="F9" s="16" t="inlineStr">
        <is>
          <t>EEE Association Oversight</t>
        </is>
      </c>
      <c r="G9" s="15" t="inlineStr"/>
      <c r="H9" s="16" t="inlineStr"/>
      <c r="I9" s="16" t="inlineStr"/>
    </row>
    <row r="10" ht="22" customHeight="1">
      <c r="B10" s="8" t="n">
        <v>6</v>
      </c>
      <c r="C10" s="9" t="inlineStr"/>
      <c r="D10" s="9" t="inlineStr">
        <is>
          <t>Head, Dept. of Mechanical Engineering</t>
        </is>
      </c>
      <c r="E10" s="8" t="inlineStr">
        <is>
          <t>HoD — Mechanical</t>
        </is>
      </c>
      <c r="F10" s="10" t="inlineStr">
        <is>
          <t>Mech. Association Oversight</t>
        </is>
      </c>
      <c r="G10" s="9" t="inlineStr"/>
      <c r="H10" s="10" t="inlineStr"/>
      <c r="I10" s="10" t="inlineStr"/>
    </row>
    <row r="11" ht="22" customHeight="1">
      <c r="B11" s="14" t="n">
        <v>7</v>
      </c>
      <c r="C11" s="15" t="inlineStr"/>
      <c r="D11" s="15" t="inlineStr">
        <is>
          <t>Head, Dept. of Civil Engineering</t>
        </is>
      </c>
      <c r="E11" s="14" t="inlineStr">
        <is>
          <t>HoD — Civil</t>
        </is>
      </c>
      <c r="F11" s="16" t="inlineStr">
        <is>
          <t>Civil Association Oversight</t>
        </is>
      </c>
      <c r="G11" s="15" t="inlineStr"/>
      <c r="H11" s="16" t="inlineStr"/>
      <c r="I11" s="16" t="inlineStr"/>
    </row>
    <row r="12" ht="22" customHeight="1">
      <c r="B12" s="8" t="n">
        <v>8</v>
      </c>
      <c r="C12" s="9" t="inlineStr"/>
      <c r="D12" s="9" t="inlineStr">
        <is>
          <t>Head, Dept. of Management Studies</t>
        </is>
      </c>
      <c r="E12" s="8" t="inlineStr">
        <is>
          <t>HoD — MBA</t>
        </is>
      </c>
      <c r="F12" s="10" t="inlineStr">
        <is>
          <t>MBA Association Oversight</t>
        </is>
      </c>
      <c r="G12" s="9" t="inlineStr"/>
      <c r="H12" s="10" t="inlineStr"/>
      <c r="I12" s="10" t="inlineStr"/>
    </row>
    <row r="13" ht="22" customHeight="1">
      <c r="B13" s="14" t="n">
        <v>9</v>
      </c>
      <c r="C13" s="15" t="inlineStr"/>
      <c r="D13" s="15" t="inlineStr">
        <is>
          <t>Head, Computer Applications</t>
        </is>
      </c>
      <c r="E13" s="14" t="inlineStr">
        <is>
          <t>HoD — MCA</t>
        </is>
      </c>
      <c r="F13" s="16" t="inlineStr">
        <is>
          <t>MCA Association Oversight</t>
        </is>
      </c>
      <c r="G13" s="15" t="inlineStr"/>
      <c r="H13" s="16" t="inlineStr"/>
      <c r="I13" s="16" t="inlineStr"/>
    </row>
    <row r="14" ht="22" customHeight="1">
      <c r="B14" s="8" t="n">
        <v>10</v>
      </c>
      <c r="C14" s="9" t="inlineStr"/>
      <c r="D14" s="9" t="inlineStr">
        <is>
          <t>Head, Sciences &amp; Humanities</t>
        </is>
      </c>
      <c r="E14" s="8" t="inlineStr">
        <is>
          <t>HoD — S&amp;H</t>
        </is>
      </c>
      <c r="F14" s="10" t="inlineStr">
        <is>
          <t>S&amp;H Association Oversight</t>
        </is>
      </c>
      <c r="G14" s="9" t="inlineStr"/>
      <c r="H14" s="10" t="inlineStr"/>
      <c r="I14" s="10" t="inlineStr"/>
    </row>
    <row r="15" ht="22" customHeight="1">
      <c r="B15" s="14" t="n">
        <v>11</v>
      </c>
      <c r="C15" s="15" t="inlineStr"/>
      <c r="D15" s="15" t="inlineStr">
        <is>
          <t>Student — CSE Association President</t>
        </is>
      </c>
      <c r="E15" s="14" t="inlineStr">
        <is>
          <t>CSE DA President</t>
        </is>
      </c>
      <c r="F15" s="16" t="inlineStr">
        <is>
          <t>CSE Student Voice</t>
        </is>
      </c>
      <c r="G15" s="15" t="inlineStr"/>
      <c r="H15" s="16" t="inlineStr"/>
      <c r="I15" s="16" t="inlineStr"/>
    </row>
    <row r="16" ht="22" customHeight="1">
      <c r="B16" s="8" t="n">
        <v>12</v>
      </c>
      <c r="C16" s="9" t="inlineStr"/>
      <c r="D16" s="9" t="inlineStr">
        <is>
          <t>Student — ECE Association President</t>
        </is>
      </c>
      <c r="E16" s="8" t="inlineStr">
        <is>
          <t>ECE DA President</t>
        </is>
      </c>
      <c r="F16" s="10" t="inlineStr">
        <is>
          <t>ECE Student Voice</t>
        </is>
      </c>
      <c r="G16" s="9" t="inlineStr"/>
      <c r="H16" s="10" t="inlineStr"/>
      <c r="I16" s="10" t="inlineStr"/>
    </row>
    <row r="17" ht="22" customHeight="1">
      <c r="B17" s="14" t="n">
        <v>13</v>
      </c>
      <c r="C17" s="15" t="inlineStr"/>
      <c r="D17" s="15" t="inlineStr">
        <is>
          <t>Student — Mechanical Assoc. President</t>
        </is>
      </c>
      <c r="E17" s="14" t="inlineStr">
        <is>
          <t>Mech. DA President</t>
        </is>
      </c>
      <c r="F17" s="16" t="inlineStr">
        <is>
          <t>Mechanical Student Voice</t>
        </is>
      </c>
      <c r="G17" s="15" t="inlineStr"/>
      <c r="H17" s="16" t="inlineStr"/>
      <c r="I17" s="16" t="inlineStr"/>
    </row>
    <row r="18" ht="22" customHeight="1">
      <c r="B18" s="8" t="n">
        <v>14</v>
      </c>
      <c r="C18" s="9" t="inlineStr"/>
      <c r="D18" s="9" t="inlineStr">
        <is>
          <t>Student — MBA Association President</t>
        </is>
      </c>
      <c r="E18" s="8" t="inlineStr">
        <is>
          <t>MBA DA President</t>
        </is>
      </c>
      <c r="F18" s="10" t="inlineStr">
        <is>
          <t>MBA Student Voice</t>
        </is>
      </c>
      <c r="G18" s="9" t="inlineStr"/>
      <c r="H18" s="10" t="inlineStr"/>
      <c r="I18" s="10" t="inlineStr"/>
    </row>
    <row r="19" ht="22" customHeight="1">
      <c r="B19" s="14" t="n">
        <v>15</v>
      </c>
      <c r="C19" s="15" t="inlineStr"/>
      <c r="D19" s="15" t="inlineStr">
        <is>
          <t>Student Council — Academic / DA Secretary</t>
        </is>
      </c>
      <c r="E19" s="14" t="inlineStr">
        <is>
          <t>DACC Student Secretary</t>
        </is>
      </c>
      <c r="F19" s="16" t="inlineStr">
        <is>
          <t>Cross-DA Coordination</t>
        </is>
      </c>
      <c r="G19" s="15" t="inlineStr"/>
      <c r="H19" s="16" t="inlineStr"/>
      <c r="I19" s="16" t="inlineStr"/>
    </row>
    <row r="20" ht="22" customHeight="1">
      <c r="B20" s="8" t="n">
        <v>16</v>
      </c>
      <c r="C20" s="9" t="inlineStr"/>
      <c r="D20" s="9" t="inlineStr">
        <is>
          <t>Finance Officer</t>
        </is>
      </c>
      <c r="E20" s="8" t="inlineStr">
        <is>
          <t>Finance Officer (Ex-off.)</t>
        </is>
      </c>
      <c r="F20" s="10" t="inlineStr">
        <is>
          <t>DA Budget &amp; Finance</t>
        </is>
      </c>
      <c r="G20" s="9" t="inlineStr"/>
      <c r="H20" s="10" t="inlineStr"/>
      <c r="I20" s="10" t="inlineStr"/>
    </row>
    <row r="21" ht="22" customHeight="1">
      <c r="B21" s="14" t="n">
        <v>17</v>
      </c>
      <c r="C21" s="15" t="inlineStr"/>
      <c r="D21" s="15" t="inlineStr">
        <is>
          <t>IQAC In-charge</t>
        </is>
      </c>
      <c r="E21" s="14" t="inlineStr">
        <is>
          <t>IQAC Coordinator (Ex-off.)</t>
        </is>
      </c>
      <c r="F21" s="16" t="inlineStr">
        <is>
          <t>Quality &amp; Accreditation</t>
        </is>
      </c>
      <c r="G21" s="15" t="inlineStr"/>
      <c r="H21" s="16" t="inlineStr"/>
      <c r="I21" s="16" t="inlineStr"/>
    </row>
    <row r="22" ht="22" customHeight="1"/>
    <row r="23" ht="20" customHeight="1">
      <c r="B23" s="17" t="inlineStr">
        <is>
          <t>DACC meets monthly. All HoDs are core members as DA oversight is part of departmental responsibility. DA presidents attend monthly to represent their associations and raise inter-department coordination issues.</t>
        </is>
      </c>
    </row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</sheetData>
  <mergeCells count="3">
    <mergeCell ref="B23:I23"/>
    <mergeCell ref="B3:I3"/>
    <mergeCell ref="B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3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44" customWidth="1" min="3" max="3"/>
    <col width="22" customWidth="1" min="4" max="4"/>
    <col width="18" customWidth="1" min="5" max="5"/>
    <col width="3" customWidth="1" min="6" max="6"/>
  </cols>
  <sheetData>
    <row r="1" ht="10" customHeight="1"/>
    <row r="2" ht="48" customHeight="1">
      <c r="B2" s="18" t="inlineStr">
        <is>
          <t>DACC: MEETING NOTICE &amp; AGENDA</t>
        </is>
      </c>
    </row>
    <row r="3" ht="22" customHeight="1">
      <c r="B3" s="19" t="inlineStr">
        <is>
          <t>Meeting No.:</t>
        </is>
      </c>
      <c r="C3" s="9" t="n"/>
    </row>
    <row r="4" ht="22" customHeight="1">
      <c r="B4" s="19" t="inlineStr">
        <is>
          <t>Academic Year:</t>
        </is>
      </c>
      <c r="C4" s="9" t="n"/>
    </row>
    <row r="5" ht="22" customHeight="1">
      <c r="B5" s="19" t="inlineStr">
        <is>
          <t>Date:</t>
        </is>
      </c>
      <c r="C5" s="9" t="n"/>
    </row>
    <row r="6" ht="22" customHeight="1">
      <c r="B6" s="19" t="inlineStr">
        <is>
          <t>Time:</t>
        </is>
      </c>
      <c r="C6" s="9" t="n"/>
    </row>
    <row r="7" ht="22" customHeight="1">
      <c r="B7" s="19" t="inlineStr">
        <is>
          <t>Venue:</t>
        </is>
      </c>
      <c r="C7" s="9" t="n"/>
    </row>
    <row r="8" ht="22" customHeight="1">
      <c r="B8" s="19" t="inlineStr">
        <is>
          <t>Mode:</t>
        </is>
      </c>
      <c r="C8" s="9" t="n"/>
    </row>
    <row r="9" ht="22" customHeight="1">
      <c r="B9" s="19" t="inlineStr">
        <is>
          <t>Notice by:</t>
        </is>
      </c>
      <c r="C9" s="9" t="n"/>
    </row>
    <row r="10" ht="22" customHeight="1">
      <c r="B10" s="19" t="inlineStr">
        <is>
          <t>Notice Date:</t>
        </is>
      </c>
      <c r="C10" s="9" t="n"/>
    </row>
    <row r="11" ht="24" customHeight="1">
      <c r="B11" s="20" t="inlineStr">
        <is>
          <t>AGENDA ITEMS</t>
        </is>
      </c>
    </row>
    <row r="12" ht="24" customHeight="1">
      <c r="B12" s="13" t="inlineStr">
        <is>
          <t>Item
No.</t>
        </is>
      </c>
      <c r="C12" s="13" t="inlineStr">
        <is>
          <t>Agenda Item</t>
        </is>
      </c>
      <c r="D12" s="13" t="inlineStr">
        <is>
          <t>Lead</t>
        </is>
      </c>
      <c r="E12" s="13" t="inlineStr">
        <is>
          <t>Duration (Min)</t>
        </is>
      </c>
    </row>
    <row r="13" ht="24" customHeight="1">
      <c r="B13" s="14" t="n">
        <v>1</v>
      </c>
      <c r="C13" s="15" t="inlineStr">
        <is>
          <t>Confirmation of minutes of previous DACC meeting</t>
        </is>
      </c>
      <c r="D13" s="16" t="inlineStr"/>
      <c r="E13" s="16" t="inlineStr"/>
    </row>
    <row r="14" ht="24" customHeight="1">
      <c r="B14" s="8" t="n">
        <v>2</v>
      </c>
      <c r="C14" s="9" t="inlineStr">
        <is>
          <t>Action Taken Report on previous resolutions</t>
        </is>
      </c>
      <c r="D14" s="10" t="inlineStr"/>
      <c r="E14" s="10" t="inlineStr"/>
    </row>
    <row r="15" ht="24" customHeight="1">
      <c r="B15" s="14" t="n">
        <v>3</v>
      </c>
      <c r="C15" s="15" t="inlineStr">
        <is>
          <t>DA registration renewals — status and compliance</t>
        </is>
      </c>
      <c r="D15" s="16" t="inlineStr"/>
      <c r="E15" s="16" t="inlineStr"/>
    </row>
    <row r="16" ht="24" customHeight="1">
      <c r="B16" s="8" t="n">
        <v>4</v>
      </c>
      <c r="C16" s="9" t="inlineStr">
        <is>
          <t>DA annual activity plans — submission and review</t>
        </is>
      </c>
      <c r="D16" s="10" t="inlineStr"/>
      <c r="E16" s="10" t="inlineStr"/>
    </row>
    <row r="17" ht="24" customHeight="1">
      <c r="B17" s="14" t="n">
        <v>5</v>
      </c>
      <c r="C17" s="15" t="inlineStr">
        <is>
          <t>Upcoming events — each DA president's brief (round table)</t>
        </is>
      </c>
      <c r="D17" s="16" t="inlineStr"/>
      <c r="E17" s="16" t="inlineStr"/>
    </row>
    <row r="18" ht="24" customHeight="1">
      <c r="B18" s="8" t="n">
        <v>6</v>
      </c>
      <c r="C18" s="9" t="inlineStr">
        <is>
          <t>Event approvals — pending requests from DAs</t>
        </is>
      </c>
      <c r="D18" s="10" t="inlineStr"/>
      <c r="E18" s="10" t="inlineStr"/>
    </row>
    <row r="19" ht="24" customHeight="1">
      <c r="B19" s="14" t="n">
        <v>7</v>
      </c>
      <c r="C19" s="15" t="inlineStr">
        <is>
          <t>Post-event reports review — compliance check</t>
        </is>
      </c>
      <c r="D19" s="16" t="inlineStr"/>
      <c r="E19" s="16" t="inlineStr"/>
    </row>
    <row r="20" ht="24" customHeight="1">
      <c r="B20" s="8" t="n">
        <v>8</v>
      </c>
      <c r="C20" s="9" t="inlineStr">
        <is>
          <t>Inter-department event / competition — planning</t>
        </is>
      </c>
      <c r="D20" s="10" t="inlineStr"/>
      <c r="E20" s="10" t="inlineStr"/>
    </row>
    <row r="21" ht="24" customHeight="1">
      <c r="B21" s="14" t="n">
        <v>9</v>
      </c>
      <c r="C21" s="15" t="inlineStr">
        <is>
          <t>Guest lectures / expert talks — upcoming schedule</t>
        </is>
      </c>
      <c r="D21" s="16" t="inlineStr"/>
      <c r="E21" s="16" t="inlineStr"/>
    </row>
    <row r="22" ht="24" customHeight="1">
      <c r="B22" s="8" t="n">
        <v>10</v>
      </c>
      <c r="C22" s="9" t="inlineStr">
        <is>
          <t>Technical symposia / annual fests — status</t>
        </is>
      </c>
      <c r="D22" s="10" t="inlineStr"/>
      <c r="E22" s="10" t="inlineStr"/>
    </row>
    <row r="23" ht="24" customHeight="1">
      <c r="B23" s="14" t="n">
        <v>11</v>
      </c>
      <c r="C23" s="15" t="inlineStr">
        <is>
          <t>DA achievements — external competitions and awards</t>
        </is>
      </c>
      <c r="D23" s="16" t="inlineStr"/>
      <c r="E23" s="16" t="inlineStr"/>
    </row>
    <row r="24" ht="24" customHeight="1">
      <c r="B24" s="8" t="n">
        <v>12</v>
      </c>
      <c r="C24" s="9" t="inlineStr">
        <is>
          <t>Publications — newsletters, magazines update</t>
        </is>
      </c>
      <c r="D24" s="10" t="inlineStr"/>
      <c r="E24" s="10" t="inlineStr"/>
    </row>
    <row r="25" ht="24" customHeight="1">
      <c r="B25" s="14" t="n">
        <v>13</v>
      </c>
      <c r="C25" s="15" t="inlineStr">
        <is>
          <t>Budget review — DA-wise expenditure tracking</t>
        </is>
      </c>
      <c r="D25" s="16" t="inlineStr"/>
      <c r="E25" s="16" t="inlineStr"/>
    </row>
    <row r="26" ht="24" customHeight="1">
      <c r="B26" s="8" t="n">
        <v>14</v>
      </c>
      <c r="C26" s="9" t="inlineStr">
        <is>
          <t>Sponsorship proposals — review and approvals</t>
        </is>
      </c>
      <c r="D26" s="10" t="inlineStr"/>
      <c r="E26" s="10" t="inlineStr"/>
    </row>
    <row r="27" ht="24" customHeight="1">
      <c r="B27" s="14" t="n">
        <v>15</v>
      </c>
      <c r="C27" s="15" t="inlineStr">
        <is>
          <t>Scheduling conflicts — overlapping events resolution</t>
        </is>
      </c>
      <c r="D27" s="16" t="inlineStr"/>
      <c r="E27" s="16" t="inlineStr"/>
    </row>
    <row r="28" ht="24" customHeight="1">
      <c r="B28" s="8" t="n">
        <v>16</v>
      </c>
      <c r="C28" s="9" t="inlineStr">
        <is>
          <t>NAAC / NIRF DA activity data — compilation status</t>
        </is>
      </c>
      <c r="D28" s="10" t="inlineStr"/>
      <c r="E28" s="10" t="inlineStr"/>
    </row>
    <row r="29" ht="24" customHeight="1">
      <c r="B29" s="14" t="n">
        <v>17</v>
      </c>
      <c r="C29" s="15" t="inlineStr">
        <is>
          <t>Best DA award — nomination process</t>
        </is>
      </c>
      <c r="D29" s="16" t="inlineStr"/>
      <c r="E29" s="16" t="inlineStr"/>
    </row>
    <row r="30" ht="24" customHeight="1">
      <c r="B30" s="8" t="n">
        <v>18</v>
      </c>
      <c r="C30" s="9" t="inlineStr">
        <is>
          <t>Any Other Matter with Permission of Chairperson (AOMPC)</t>
        </is>
      </c>
      <c r="D30" s="10" t="inlineStr"/>
      <c r="E30" s="10" t="inlineStr"/>
    </row>
    <row r="31" ht="24" customHeight="1"/>
    <row r="32" ht="24" customHeight="1">
      <c r="B32" s="21" t="inlineStr">
        <is>
          <t>DISPATCH RECORD</t>
        </is>
      </c>
    </row>
    <row r="33" ht="24" customHeight="1">
      <c r="B33" s="22" t="inlineStr">
        <is>
          <t>Sl.</t>
        </is>
      </c>
      <c r="C33" s="22" t="inlineStr">
        <is>
          <t>Member Name &amp; Role</t>
        </is>
      </c>
      <c r="D33" s="22" t="inlineStr">
        <is>
          <t>Mode</t>
        </is>
      </c>
      <c r="E33" s="22" t="inlineStr">
        <is>
          <t>Date &amp; Acknowledgement</t>
        </is>
      </c>
    </row>
    <row r="34" ht="22" customHeight="1">
      <c r="B34" s="23" t="n"/>
      <c r="C34" s="23" t="n"/>
      <c r="D34" s="23" t="n"/>
      <c r="E34" s="23" t="n"/>
    </row>
    <row r="35" ht="22" customHeight="1">
      <c r="B35" s="10" t="n"/>
      <c r="C35" s="10" t="n"/>
      <c r="D35" s="10" t="n"/>
      <c r="E35" s="10" t="n"/>
    </row>
    <row r="36" ht="22" customHeight="1">
      <c r="B36" s="23" t="n"/>
      <c r="C36" s="23" t="n"/>
      <c r="D36" s="23" t="n"/>
      <c r="E36" s="23" t="n"/>
    </row>
    <row r="37" ht="22" customHeight="1">
      <c r="B37" s="10" t="n"/>
      <c r="C37" s="10" t="n"/>
      <c r="D37" s="10" t="n"/>
      <c r="E37" s="10" t="n"/>
    </row>
  </sheetData>
  <mergeCells count="11">
    <mergeCell ref="C5:E5"/>
    <mergeCell ref="C8:E8"/>
    <mergeCell ref="C9:E9"/>
    <mergeCell ref="C4:E4"/>
    <mergeCell ref="B32:E32"/>
    <mergeCell ref="C3:E3"/>
    <mergeCell ref="B11:E11"/>
    <mergeCell ref="B2:E2"/>
    <mergeCell ref="C7:E7"/>
    <mergeCell ref="C6:E6"/>
    <mergeCell ref="C10:E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I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6" customWidth="1" min="3" max="3"/>
    <col width="20" customWidth="1" min="4" max="4"/>
    <col width="14" customWidth="1" min="5" max="5"/>
    <col width="12" customWidth="1" min="6" max="6"/>
    <col width="12" customWidth="1" min="7" max="7"/>
    <col width="16" customWidth="1" min="8" max="8"/>
    <col width="14" customWidth="1" min="9" max="9"/>
    <col width="3" customWidth="1" min="10" max="10"/>
  </cols>
  <sheetData>
    <row r="1" ht="10" customHeight="1"/>
    <row r="2" ht="48" customHeight="1">
      <c r="B2" s="18" t="inlineStr">
        <is>
          <t>DACC: ATTENDANCE &amp; QUORUM REGISTER</t>
        </is>
      </c>
    </row>
    <row r="3" ht="25" customHeight="1">
      <c r="B3" s="2" t="inlineStr">
        <is>
          <t>Meeting No.: _______  Date: _______  Total Strength: _______  Quorum Required (50%): _______</t>
        </is>
      </c>
    </row>
    <row r="4" ht="25" customHeight="1">
      <c r="B4" s="13" t="inlineStr">
        <is>
          <t>Sl.</t>
        </is>
      </c>
      <c r="C4" s="13" t="inlineStr">
        <is>
          <t>Name</t>
        </is>
      </c>
      <c r="D4" s="13" t="inlineStr">
        <is>
          <t>Role / Dept.</t>
        </is>
      </c>
      <c r="E4" s="13" t="inlineStr">
        <is>
          <t>Mode
(Physical/VC)</t>
        </is>
      </c>
      <c r="F4" s="13" t="inlineStr">
        <is>
          <t>Present
(P/A)</t>
        </is>
      </c>
      <c r="G4" s="13" t="inlineStr">
        <is>
          <t>Proxy
(Y/N)</t>
        </is>
      </c>
      <c r="H4" s="13" t="inlineStr">
        <is>
          <t>Proxy Holder</t>
        </is>
      </c>
      <c r="I4" s="13" t="inlineStr">
        <is>
          <t>Signature</t>
        </is>
      </c>
    </row>
    <row r="5" ht="22" customHeight="1">
      <c r="B5" s="14" t="n">
        <v>1</v>
      </c>
      <c r="C5" s="15" t="inlineStr"/>
      <c r="D5" s="15" t="inlineStr"/>
      <c r="E5" s="16" t="inlineStr">
        <is>
          <t>Physical</t>
        </is>
      </c>
      <c r="F5" s="16" t="inlineStr"/>
      <c r="G5" s="16" t="inlineStr">
        <is>
          <t>N</t>
        </is>
      </c>
      <c r="H5" s="16" t="inlineStr"/>
      <c r="I5" s="16" t="inlineStr"/>
    </row>
    <row r="6" ht="22" customHeight="1">
      <c r="B6" s="8" t="n">
        <v>2</v>
      </c>
      <c r="C6" s="9" t="inlineStr"/>
      <c r="D6" s="9" t="inlineStr"/>
      <c r="E6" s="10" t="inlineStr">
        <is>
          <t>Physical</t>
        </is>
      </c>
      <c r="F6" s="10" t="inlineStr"/>
      <c r="G6" s="10" t="inlineStr">
        <is>
          <t>N</t>
        </is>
      </c>
      <c r="H6" s="10" t="inlineStr"/>
      <c r="I6" s="10" t="inlineStr"/>
    </row>
    <row r="7" ht="22" customHeight="1">
      <c r="B7" s="14" t="n">
        <v>3</v>
      </c>
      <c r="C7" s="15" t="inlineStr"/>
      <c r="D7" s="15" t="inlineStr"/>
      <c r="E7" s="16" t="inlineStr">
        <is>
          <t>Physical</t>
        </is>
      </c>
      <c r="F7" s="16" t="inlineStr"/>
      <c r="G7" s="16" t="inlineStr">
        <is>
          <t>N</t>
        </is>
      </c>
      <c r="H7" s="16" t="inlineStr"/>
      <c r="I7" s="16" t="inlineStr"/>
    </row>
    <row r="8" ht="22" customHeight="1">
      <c r="B8" s="8" t="n">
        <v>4</v>
      </c>
      <c r="C8" s="9" t="inlineStr"/>
      <c r="D8" s="9" t="inlineStr"/>
      <c r="E8" s="10" t="inlineStr">
        <is>
          <t>Physical</t>
        </is>
      </c>
      <c r="F8" s="10" t="inlineStr"/>
      <c r="G8" s="10" t="inlineStr">
        <is>
          <t>N</t>
        </is>
      </c>
      <c r="H8" s="10" t="inlineStr"/>
      <c r="I8" s="10" t="inlineStr"/>
    </row>
    <row r="9" ht="22" customHeight="1">
      <c r="B9" s="14" t="n">
        <v>5</v>
      </c>
      <c r="C9" s="15" t="inlineStr"/>
      <c r="D9" s="15" t="inlineStr"/>
      <c r="E9" s="16" t="inlineStr">
        <is>
          <t>Physical</t>
        </is>
      </c>
      <c r="F9" s="16" t="inlineStr"/>
      <c r="G9" s="16" t="inlineStr">
        <is>
          <t>N</t>
        </is>
      </c>
      <c r="H9" s="16" t="inlineStr"/>
      <c r="I9" s="16" t="inlineStr"/>
    </row>
    <row r="10" ht="22" customHeight="1">
      <c r="B10" s="8" t="n">
        <v>6</v>
      </c>
      <c r="C10" s="9" t="inlineStr"/>
      <c r="D10" s="9" t="inlineStr"/>
      <c r="E10" s="10" t="inlineStr">
        <is>
          <t>Physical</t>
        </is>
      </c>
      <c r="F10" s="10" t="inlineStr"/>
      <c r="G10" s="10" t="inlineStr">
        <is>
          <t>N</t>
        </is>
      </c>
      <c r="H10" s="10" t="inlineStr"/>
      <c r="I10" s="10" t="inlineStr"/>
    </row>
    <row r="11" ht="22" customHeight="1">
      <c r="B11" s="14" t="n">
        <v>7</v>
      </c>
      <c r="C11" s="15" t="inlineStr"/>
      <c r="D11" s="15" t="inlineStr"/>
      <c r="E11" s="16" t="inlineStr">
        <is>
          <t>Physical</t>
        </is>
      </c>
      <c r="F11" s="16" t="inlineStr"/>
      <c r="G11" s="16" t="inlineStr">
        <is>
          <t>N</t>
        </is>
      </c>
      <c r="H11" s="16" t="inlineStr"/>
      <c r="I11" s="16" t="inlineStr"/>
    </row>
    <row r="12" ht="22" customHeight="1">
      <c r="B12" s="8" t="n">
        <v>8</v>
      </c>
      <c r="C12" s="9" t="inlineStr"/>
      <c r="D12" s="9" t="inlineStr"/>
      <c r="E12" s="10" t="inlineStr">
        <is>
          <t>Physical</t>
        </is>
      </c>
      <c r="F12" s="10" t="inlineStr"/>
      <c r="G12" s="10" t="inlineStr">
        <is>
          <t>N</t>
        </is>
      </c>
      <c r="H12" s="10" t="inlineStr"/>
      <c r="I12" s="10" t="inlineStr"/>
    </row>
    <row r="13" ht="22" customHeight="1">
      <c r="B13" s="14" t="n">
        <v>9</v>
      </c>
      <c r="C13" s="15" t="inlineStr"/>
      <c r="D13" s="15" t="inlineStr"/>
      <c r="E13" s="16" t="inlineStr">
        <is>
          <t>Physical</t>
        </is>
      </c>
      <c r="F13" s="16" t="inlineStr"/>
      <c r="G13" s="16" t="inlineStr">
        <is>
          <t>N</t>
        </is>
      </c>
      <c r="H13" s="16" t="inlineStr"/>
      <c r="I13" s="16" t="inlineStr"/>
    </row>
    <row r="14" ht="22" customHeight="1">
      <c r="B14" s="8" t="n">
        <v>10</v>
      </c>
      <c r="C14" s="9" t="inlineStr"/>
      <c r="D14" s="9" t="inlineStr"/>
      <c r="E14" s="10" t="inlineStr">
        <is>
          <t>Physical</t>
        </is>
      </c>
      <c r="F14" s="10" t="inlineStr"/>
      <c r="G14" s="10" t="inlineStr">
        <is>
          <t>N</t>
        </is>
      </c>
      <c r="H14" s="10" t="inlineStr"/>
      <c r="I14" s="10" t="inlineStr"/>
    </row>
    <row r="15" ht="22" customHeight="1">
      <c r="B15" s="14" t="n">
        <v>11</v>
      </c>
      <c r="C15" s="15" t="inlineStr"/>
      <c r="D15" s="15" t="inlineStr"/>
      <c r="E15" s="16" t="inlineStr">
        <is>
          <t>Physical</t>
        </is>
      </c>
      <c r="F15" s="16" t="inlineStr"/>
      <c r="G15" s="16" t="inlineStr">
        <is>
          <t>N</t>
        </is>
      </c>
      <c r="H15" s="16" t="inlineStr"/>
      <c r="I15" s="16" t="inlineStr"/>
    </row>
    <row r="16" ht="22" customHeight="1">
      <c r="B16" s="8" t="n">
        <v>12</v>
      </c>
      <c r="C16" s="9" t="inlineStr"/>
      <c r="D16" s="9" t="inlineStr"/>
      <c r="E16" s="10" t="inlineStr">
        <is>
          <t>Physical</t>
        </is>
      </c>
      <c r="F16" s="10" t="inlineStr"/>
      <c r="G16" s="10" t="inlineStr">
        <is>
          <t>N</t>
        </is>
      </c>
      <c r="H16" s="10" t="inlineStr"/>
      <c r="I16" s="10" t="inlineStr"/>
    </row>
    <row r="17" ht="22" customHeight="1">
      <c r="B17" s="14" t="n">
        <v>13</v>
      </c>
      <c r="C17" s="15" t="inlineStr"/>
      <c r="D17" s="15" t="inlineStr"/>
      <c r="E17" s="16" t="inlineStr">
        <is>
          <t>Physical</t>
        </is>
      </c>
      <c r="F17" s="16" t="inlineStr"/>
      <c r="G17" s="16" t="inlineStr">
        <is>
          <t>N</t>
        </is>
      </c>
      <c r="H17" s="16" t="inlineStr"/>
      <c r="I17" s="16" t="inlineStr"/>
    </row>
    <row r="18" ht="22" customHeight="1">
      <c r="B18" s="8" t="n">
        <v>14</v>
      </c>
      <c r="C18" s="9" t="inlineStr"/>
      <c r="D18" s="9" t="inlineStr"/>
      <c r="E18" s="10" t="inlineStr">
        <is>
          <t>Physical</t>
        </is>
      </c>
      <c r="F18" s="10" t="inlineStr"/>
      <c r="G18" s="10" t="inlineStr">
        <is>
          <t>N</t>
        </is>
      </c>
      <c r="H18" s="10" t="inlineStr"/>
      <c r="I18" s="10" t="inlineStr"/>
    </row>
    <row r="19" ht="22" customHeight="1">
      <c r="B19" s="14" t="n">
        <v>15</v>
      </c>
      <c r="C19" s="15" t="inlineStr"/>
      <c r="D19" s="15" t="inlineStr"/>
      <c r="E19" s="16" t="inlineStr">
        <is>
          <t>Physical</t>
        </is>
      </c>
      <c r="F19" s="16" t="inlineStr"/>
      <c r="G19" s="16" t="inlineStr">
        <is>
          <t>N</t>
        </is>
      </c>
      <c r="H19" s="16" t="inlineStr"/>
      <c r="I19" s="16" t="inlineStr"/>
    </row>
    <row r="20" ht="22" customHeight="1">
      <c r="B20" s="8" t="n">
        <v>16</v>
      </c>
      <c r="C20" s="9" t="inlineStr"/>
      <c r="D20" s="9" t="inlineStr"/>
      <c r="E20" s="10" t="inlineStr">
        <is>
          <t>Physical</t>
        </is>
      </c>
      <c r="F20" s="10" t="inlineStr"/>
      <c r="G20" s="10" t="inlineStr">
        <is>
          <t>N</t>
        </is>
      </c>
      <c r="H20" s="10" t="inlineStr"/>
      <c r="I20" s="10" t="inlineStr"/>
    </row>
    <row r="21" ht="22" customHeight="1">
      <c r="B21" s="14" t="n">
        <v>17</v>
      </c>
      <c r="C21" s="15" t="inlineStr"/>
      <c r="D21" s="15" t="inlineStr"/>
      <c r="E21" s="16" t="inlineStr">
        <is>
          <t>Physical</t>
        </is>
      </c>
      <c r="F21" s="16" t="inlineStr"/>
      <c r="G21" s="16" t="inlineStr">
        <is>
          <t>N</t>
        </is>
      </c>
      <c r="H21" s="16" t="inlineStr"/>
      <c r="I21" s="16" t="inlineStr"/>
    </row>
    <row r="22" ht="22" customHeight="1">
      <c r="B22" s="8" t="n">
        <v>18</v>
      </c>
      <c r="C22" s="9" t="inlineStr"/>
      <c r="D22" s="9" t="inlineStr"/>
      <c r="E22" s="10" t="inlineStr">
        <is>
          <t>Physical</t>
        </is>
      </c>
      <c r="F22" s="10" t="inlineStr"/>
      <c r="G22" s="10" t="inlineStr">
        <is>
          <t>N</t>
        </is>
      </c>
      <c r="H22" s="10" t="inlineStr"/>
      <c r="I22" s="10" t="inlineStr"/>
    </row>
    <row r="23" ht="22" customHeight="1">
      <c r="B23" s="14" t="n">
        <v>19</v>
      </c>
      <c r="C23" s="15" t="inlineStr"/>
      <c r="D23" s="15" t="inlineStr"/>
      <c r="E23" s="16" t="inlineStr">
        <is>
          <t>Physical</t>
        </is>
      </c>
      <c r="F23" s="16" t="inlineStr"/>
      <c r="G23" s="16" t="inlineStr">
        <is>
          <t>N</t>
        </is>
      </c>
      <c r="H23" s="16" t="inlineStr"/>
      <c r="I23" s="16" t="inlineStr"/>
    </row>
    <row r="24" ht="22" customHeight="1"/>
    <row r="25" ht="24" customHeight="1">
      <c r="B25" s="21" t="inlineStr">
        <is>
          <t>QUORUM VERIFICATION</t>
        </is>
      </c>
    </row>
    <row r="26" ht="22" customHeight="1">
      <c r="B26" s="24" t="inlineStr">
        <is>
          <t>Total DACC Members</t>
        </is>
      </c>
      <c r="G26" s="25" t="inlineStr"/>
    </row>
    <row r="27" ht="22" customHeight="1">
      <c r="B27" s="26" t="inlineStr">
        <is>
          <t>Present (Physical)</t>
        </is>
      </c>
      <c r="G27" s="25">
        <f>COUNTIF(F5:F23,"P")</f>
        <v/>
      </c>
    </row>
    <row r="28" ht="22" customHeight="1">
      <c r="B28" s="24" t="inlineStr">
        <is>
          <t>Present (VC)</t>
        </is>
      </c>
      <c r="G28" s="25" t="inlineStr"/>
    </row>
    <row r="29" ht="22" customHeight="1">
      <c r="B29" s="26" t="inlineStr">
        <is>
          <t>Total Effective</t>
        </is>
      </c>
      <c r="G29" s="25">
        <f>IFERROR(C27+C28,"")</f>
        <v/>
      </c>
    </row>
    <row r="30">
      <c r="B30" s="24" t="inlineStr">
        <is>
          <t>Quorum Required (50%)</t>
        </is>
      </c>
      <c r="G30" s="25" t="inlineStr"/>
    </row>
    <row r="31">
      <c r="B31" s="26" t="inlineStr">
        <is>
          <t>Quorum Achieved?</t>
        </is>
      </c>
      <c r="G31" s="27">
        <f>IFERROR(IF(C29&gt;=C30,"YES — Meeting Valid","NO — Adjourned"),"")</f>
        <v/>
      </c>
    </row>
  </sheetData>
  <mergeCells count="15">
    <mergeCell ref="B30:F30"/>
    <mergeCell ref="B29:F29"/>
    <mergeCell ref="G28:I28"/>
    <mergeCell ref="G27:I27"/>
    <mergeCell ref="B25:I25"/>
    <mergeCell ref="B2:I2"/>
    <mergeCell ref="B28:F28"/>
    <mergeCell ref="G31:I31"/>
    <mergeCell ref="B3:I3"/>
    <mergeCell ref="B31:F31"/>
    <mergeCell ref="G26:I26"/>
    <mergeCell ref="G29:I29"/>
    <mergeCell ref="G30:I30"/>
    <mergeCell ref="B26:F26"/>
    <mergeCell ref="B27:F2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G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38" customWidth="1" min="3" max="3"/>
    <col width="18" customWidth="1" min="4" max="4"/>
    <col width="12" customWidth="1" min="5" max="5"/>
    <col width="14" customWidth="1" min="6" max="6"/>
    <col width="14" customWidth="1" min="7" max="7"/>
    <col width="3" customWidth="1" min="8" max="8"/>
  </cols>
  <sheetData>
    <row r="1" ht="10" customHeight="1"/>
    <row r="2" ht="48" customHeight="1">
      <c r="B2" s="18" t="inlineStr">
        <is>
          <t>DACC: MEETING MINUTES &amp; RESOLUTIONS</t>
        </is>
      </c>
    </row>
    <row r="3" ht="25" customHeight="1">
      <c r="B3" s="2" t="inlineStr">
        <is>
          <t>Meeting No.: _______  Date: _______  Venue: _______  Chairperson: ___________________</t>
        </is>
      </c>
    </row>
    <row r="4" ht="24" customHeight="1">
      <c r="B4" s="28" t="inlineStr">
        <is>
          <t>DISCUSSION &amp; RESOLUTIONS</t>
        </is>
      </c>
    </row>
    <row r="5" ht="30" customHeight="1">
      <c r="B5" s="29" t="inlineStr">
        <is>
          <t>Resolution
No.</t>
        </is>
      </c>
      <c r="C5" s="29" t="inlineStr">
        <is>
          <t>Discussion &amp; Resolution</t>
        </is>
      </c>
      <c r="D5" s="29" t="inlineStr">
        <is>
          <t>Responsible</t>
        </is>
      </c>
      <c r="E5" s="29" t="inlineStr">
        <is>
          <t>Voting</t>
        </is>
      </c>
      <c r="F5" s="29" t="inlineStr">
        <is>
          <t>Target
Date</t>
        </is>
      </c>
      <c r="G5" s="29" t="inlineStr">
        <is>
          <t>Status</t>
        </is>
      </c>
    </row>
    <row r="6" ht="30" customHeight="1">
      <c r="B6" s="14" t="inlineStr">
        <is>
          <t>DACC/RES/001</t>
        </is>
      </c>
      <c r="C6" s="15" t="inlineStr"/>
      <c r="D6" s="16" t="inlineStr"/>
      <c r="E6" s="16" t="inlineStr"/>
      <c r="F6" s="16" t="inlineStr"/>
      <c r="G6" s="16" t="inlineStr">
        <is>
          <t>Pending</t>
        </is>
      </c>
    </row>
    <row r="7" ht="30" customHeight="1">
      <c r="B7" s="8" t="inlineStr">
        <is>
          <t>DACC/RES/002</t>
        </is>
      </c>
      <c r="C7" s="9" t="inlineStr"/>
      <c r="D7" s="10" t="inlineStr"/>
      <c r="E7" s="10" t="inlineStr"/>
      <c r="F7" s="10" t="inlineStr"/>
      <c r="G7" s="10" t="inlineStr">
        <is>
          <t>Pending</t>
        </is>
      </c>
    </row>
    <row r="8" ht="30" customHeight="1">
      <c r="B8" s="14" t="inlineStr">
        <is>
          <t>DACC/RES/003</t>
        </is>
      </c>
      <c r="C8" s="15" t="inlineStr"/>
      <c r="D8" s="16" t="inlineStr"/>
      <c r="E8" s="16" t="inlineStr"/>
      <c r="F8" s="16" t="inlineStr"/>
      <c r="G8" s="16" t="inlineStr">
        <is>
          <t>Pending</t>
        </is>
      </c>
    </row>
    <row r="9" ht="30" customHeight="1">
      <c r="B9" s="8" t="inlineStr">
        <is>
          <t>DACC/RES/004</t>
        </is>
      </c>
      <c r="C9" s="9" t="inlineStr"/>
      <c r="D9" s="10" t="inlineStr"/>
      <c r="E9" s="10" t="inlineStr"/>
      <c r="F9" s="10" t="inlineStr"/>
      <c r="G9" s="10" t="inlineStr">
        <is>
          <t>Pending</t>
        </is>
      </c>
    </row>
    <row r="10" ht="30" customHeight="1">
      <c r="B10" s="14" t="inlineStr">
        <is>
          <t>DACC/RES/005</t>
        </is>
      </c>
      <c r="C10" s="15" t="inlineStr"/>
      <c r="D10" s="16" t="inlineStr"/>
      <c r="E10" s="16" t="inlineStr"/>
      <c r="F10" s="16" t="inlineStr"/>
      <c r="G10" s="16" t="inlineStr">
        <is>
          <t>Pending</t>
        </is>
      </c>
    </row>
    <row r="11" ht="30" customHeight="1">
      <c r="B11" s="8" t="inlineStr">
        <is>
          <t>DACC/RES/006</t>
        </is>
      </c>
      <c r="C11" s="9" t="inlineStr"/>
      <c r="D11" s="10" t="inlineStr"/>
      <c r="E11" s="10" t="inlineStr"/>
      <c r="F11" s="10" t="inlineStr"/>
      <c r="G11" s="10" t="inlineStr">
        <is>
          <t>Pending</t>
        </is>
      </c>
    </row>
    <row r="12" ht="30" customHeight="1">
      <c r="B12" s="14" t="inlineStr">
        <is>
          <t>DACC/RES/007</t>
        </is>
      </c>
      <c r="C12" s="15" t="inlineStr"/>
      <c r="D12" s="16" t="inlineStr"/>
      <c r="E12" s="16" t="inlineStr"/>
      <c r="F12" s="16" t="inlineStr"/>
      <c r="G12" s="16" t="inlineStr">
        <is>
          <t>Pending</t>
        </is>
      </c>
    </row>
    <row r="13" ht="30" customHeight="1">
      <c r="B13" s="8" t="inlineStr">
        <is>
          <t>DACC/RES/008</t>
        </is>
      </c>
      <c r="C13" s="9" t="inlineStr"/>
      <c r="D13" s="10" t="inlineStr"/>
      <c r="E13" s="10" t="inlineStr"/>
      <c r="F13" s="10" t="inlineStr"/>
      <c r="G13" s="10" t="inlineStr">
        <is>
          <t>Pending</t>
        </is>
      </c>
    </row>
    <row r="14" ht="30" customHeight="1">
      <c r="B14" s="14" t="inlineStr">
        <is>
          <t>DACC/RES/009</t>
        </is>
      </c>
      <c r="C14" s="15" t="inlineStr"/>
      <c r="D14" s="16" t="inlineStr"/>
      <c r="E14" s="16" t="inlineStr"/>
      <c r="F14" s="16" t="inlineStr"/>
      <c r="G14" s="16" t="inlineStr">
        <is>
          <t>Pending</t>
        </is>
      </c>
    </row>
    <row r="15" ht="30" customHeight="1">
      <c r="B15" s="8" t="inlineStr">
        <is>
          <t>DACC/RES/010</t>
        </is>
      </c>
      <c r="C15" s="9" t="inlineStr"/>
      <c r="D15" s="10" t="inlineStr"/>
      <c r="E15" s="10" t="inlineStr"/>
      <c r="F15" s="10" t="inlineStr"/>
      <c r="G15" s="10" t="inlineStr">
        <is>
          <t>Pending</t>
        </is>
      </c>
    </row>
    <row r="16" ht="30" customHeight="1">
      <c r="B16" s="14" t="inlineStr">
        <is>
          <t>DACC/RES/011</t>
        </is>
      </c>
      <c r="C16" s="15" t="inlineStr"/>
      <c r="D16" s="16" t="inlineStr"/>
      <c r="E16" s="16" t="inlineStr"/>
      <c r="F16" s="16" t="inlineStr"/>
      <c r="G16" s="16" t="inlineStr">
        <is>
          <t>Pending</t>
        </is>
      </c>
    </row>
    <row r="17" ht="30" customHeight="1">
      <c r="B17" s="8" t="inlineStr">
        <is>
          <t>DACC/RES/012</t>
        </is>
      </c>
      <c r="C17" s="9" t="inlineStr"/>
      <c r="D17" s="10" t="inlineStr"/>
      <c r="E17" s="10" t="inlineStr"/>
      <c r="F17" s="10" t="inlineStr"/>
      <c r="G17" s="10" t="inlineStr">
        <is>
          <t>Pending</t>
        </is>
      </c>
    </row>
    <row r="18" ht="30" customHeight="1"/>
    <row r="19" ht="30" customHeight="1">
      <c r="B19" s="30" t="inlineStr">
        <is>
          <t>Next Meeting: _______    Chairperson: ___________________    DACC Coordinator: ___________________</t>
        </is>
      </c>
    </row>
    <row r="20" ht="30" customHeight="1"/>
    <row r="21" ht="30" customHeight="1"/>
  </sheetData>
  <mergeCells count="4">
    <mergeCell ref="B3:G3"/>
    <mergeCell ref="B2:G2"/>
    <mergeCell ref="B4:G4"/>
    <mergeCell ref="B19:G1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H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32" customWidth="1" min="3" max="3"/>
    <col width="20" customWidth="1" min="4" max="4"/>
    <col width="16" customWidth="1" min="5" max="5"/>
    <col width="13" customWidth="1" min="6" max="6"/>
    <col width="13" customWidth="1" min="7" max="7"/>
    <col width="16" customWidth="1" min="8" max="8"/>
    <col width="3" customWidth="1" min="9" max="9"/>
  </cols>
  <sheetData>
    <row r="1" ht="10" customHeight="1"/>
    <row r="2" ht="48" customHeight="1">
      <c r="B2" s="18" t="inlineStr">
        <is>
          <t>DACC: ACTION TAKEN REPORT (ATR)</t>
        </is>
      </c>
    </row>
    <row r="3" ht="25" customHeight="1">
      <c r="B3" s="2" t="inlineStr">
        <is>
          <t>Current Meeting No.: _______  Date: _______  Previous Meeting Ref.: _______</t>
        </is>
      </c>
    </row>
    <row r="4" ht="25" customHeight="1">
      <c r="B4" s="31" t="inlineStr">
        <is>
          <t>Resolution
No.</t>
        </is>
      </c>
      <c r="C4" s="31" t="inlineStr">
        <is>
          <t>Resolution / Decision</t>
        </is>
      </c>
      <c r="D4" s="31" t="inlineStr">
        <is>
          <t>Action Required</t>
        </is>
      </c>
      <c r="E4" s="31" t="inlineStr">
        <is>
          <t>Responsible</t>
        </is>
      </c>
      <c r="F4" s="31" t="inlineStr">
        <is>
          <t>Target
Date</t>
        </is>
      </c>
      <c r="G4" s="31" t="inlineStr">
        <is>
          <t>Completion
Date</t>
        </is>
      </c>
      <c r="H4" s="31" t="inlineStr">
        <is>
          <t>Status</t>
        </is>
      </c>
    </row>
    <row r="5" ht="26" customHeight="1">
      <c r="B5" s="32" t="inlineStr">
        <is>
          <t>DACC/RES/001</t>
        </is>
      </c>
      <c r="C5" s="33" t="inlineStr"/>
      <c r="D5" s="33" t="inlineStr"/>
      <c r="E5" s="34" t="inlineStr"/>
      <c r="F5" s="34" t="inlineStr"/>
      <c r="G5" s="34" t="inlineStr"/>
      <c r="H5" s="33" t="inlineStr">
        <is>
          <t>In Progress</t>
        </is>
      </c>
    </row>
    <row r="6" ht="26" customHeight="1">
      <c r="B6" s="8" t="inlineStr">
        <is>
          <t>DACC/RES/002</t>
        </is>
      </c>
      <c r="C6" s="9" t="inlineStr"/>
      <c r="D6" s="9" t="inlineStr"/>
      <c r="E6" s="10" t="inlineStr"/>
      <c r="F6" s="10" t="inlineStr"/>
      <c r="G6" s="10" t="inlineStr"/>
      <c r="H6" s="9" t="inlineStr">
        <is>
          <t>In Progress</t>
        </is>
      </c>
    </row>
    <row r="7" ht="26" customHeight="1">
      <c r="B7" s="32" t="inlineStr">
        <is>
          <t>DACC/RES/003</t>
        </is>
      </c>
      <c r="C7" s="33" t="inlineStr"/>
      <c r="D7" s="33" t="inlineStr"/>
      <c r="E7" s="34" t="inlineStr"/>
      <c r="F7" s="34" t="inlineStr"/>
      <c r="G7" s="34" t="inlineStr"/>
      <c r="H7" s="33" t="inlineStr">
        <is>
          <t>In Progress</t>
        </is>
      </c>
    </row>
    <row r="8" ht="26" customHeight="1">
      <c r="B8" s="8" t="inlineStr">
        <is>
          <t>DACC/RES/004</t>
        </is>
      </c>
      <c r="C8" s="9" t="inlineStr"/>
      <c r="D8" s="9" t="inlineStr"/>
      <c r="E8" s="10" t="inlineStr"/>
      <c r="F8" s="10" t="inlineStr"/>
      <c r="G8" s="10" t="inlineStr"/>
      <c r="H8" s="9" t="inlineStr">
        <is>
          <t>In Progress</t>
        </is>
      </c>
    </row>
    <row r="9" ht="26" customHeight="1">
      <c r="B9" s="32" t="inlineStr">
        <is>
          <t>DACC/RES/005</t>
        </is>
      </c>
      <c r="C9" s="33" t="inlineStr"/>
      <c r="D9" s="33" t="inlineStr"/>
      <c r="E9" s="34" t="inlineStr"/>
      <c r="F9" s="34" t="inlineStr"/>
      <c r="G9" s="34" t="inlineStr"/>
      <c r="H9" s="33" t="inlineStr">
        <is>
          <t>In Progress</t>
        </is>
      </c>
    </row>
    <row r="10" ht="26" customHeight="1">
      <c r="B10" s="8" t="inlineStr">
        <is>
          <t>DACC/RES/006</t>
        </is>
      </c>
      <c r="C10" s="9" t="inlineStr"/>
      <c r="D10" s="9" t="inlineStr"/>
      <c r="E10" s="10" t="inlineStr"/>
      <c r="F10" s="10" t="inlineStr"/>
      <c r="G10" s="10" t="inlineStr"/>
      <c r="H10" s="9" t="inlineStr">
        <is>
          <t>In Progress</t>
        </is>
      </c>
    </row>
    <row r="11" ht="26" customHeight="1">
      <c r="B11" s="32" t="inlineStr">
        <is>
          <t>DACC/RES/007</t>
        </is>
      </c>
      <c r="C11" s="33" t="inlineStr"/>
      <c r="D11" s="33" t="inlineStr"/>
      <c r="E11" s="34" t="inlineStr"/>
      <c r="F11" s="34" t="inlineStr"/>
      <c r="G11" s="34" t="inlineStr"/>
      <c r="H11" s="33" t="inlineStr">
        <is>
          <t>In Progress</t>
        </is>
      </c>
    </row>
    <row r="12" ht="26" customHeight="1">
      <c r="B12" s="8" t="inlineStr">
        <is>
          <t>DACC/RES/008</t>
        </is>
      </c>
      <c r="C12" s="9" t="inlineStr"/>
      <c r="D12" s="9" t="inlineStr"/>
      <c r="E12" s="10" t="inlineStr"/>
      <c r="F12" s="10" t="inlineStr"/>
      <c r="G12" s="10" t="inlineStr"/>
      <c r="H12" s="9" t="inlineStr">
        <is>
          <t>In Progress</t>
        </is>
      </c>
    </row>
    <row r="13" ht="26" customHeight="1">
      <c r="B13" s="32" t="inlineStr">
        <is>
          <t>DACC/RES/009</t>
        </is>
      </c>
      <c r="C13" s="33" t="inlineStr"/>
      <c r="D13" s="33" t="inlineStr"/>
      <c r="E13" s="34" t="inlineStr"/>
      <c r="F13" s="34" t="inlineStr"/>
      <c r="G13" s="34" t="inlineStr"/>
      <c r="H13" s="33" t="inlineStr">
        <is>
          <t>In Progress</t>
        </is>
      </c>
    </row>
    <row r="14" ht="26" customHeight="1">
      <c r="B14" s="8" t="inlineStr">
        <is>
          <t>DACC/RES/010</t>
        </is>
      </c>
      <c r="C14" s="9" t="inlineStr"/>
      <c r="D14" s="9" t="inlineStr"/>
      <c r="E14" s="10" t="inlineStr"/>
      <c r="F14" s="10" t="inlineStr"/>
      <c r="G14" s="10" t="inlineStr"/>
      <c r="H14" s="9" t="inlineStr">
        <is>
          <t>In Progress</t>
        </is>
      </c>
    </row>
    <row r="15" ht="26" customHeight="1">
      <c r="B15" s="32" t="inlineStr">
        <is>
          <t>DACC/RES/011</t>
        </is>
      </c>
      <c r="C15" s="33" t="inlineStr"/>
      <c r="D15" s="33" t="inlineStr"/>
      <c r="E15" s="34" t="inlineStr"/>
      <c r="F15" s="34" t="inlineStr"/>
      <c r="G15" s="34" t="inlineStr"/>
      <c r="H15" s="33" t="inlineStr">
        <is>
          <t>In Progress</t>
        </is>
      </c>
    </row>
    <row r="16" ht="26" customHeight="1">
      <c r="B16" s="8" t="inlineStr">
        <is>
          <t>DACC/RES/012</t>
        </is>
      </c>
      <c r="C16" s="9" t="inlineStr"/>
      <c r="D16" s="9" t="inlineStr"/>
      <c r="E16" s="10" t="inlineStr"/>
      <c r="F16" s="10" t="inlineStr"/>
      <c r="G16" s="10" t="inlineStr"/>
      <c r="H16" s="9" t="inlineStr">
        <is>
          <t>In Progress</t>
        </is>
      </c>
    </row>
    <row r="17" ht="26" customHeight="1"/>
    <row r="18" ht="24" customHeight="1">
      <c r="B18" s="35" t="inlineStr">
        <is>
          <t>ATR SUMMARY</t>
        </is>
      </c>
    </row>
    <row r="19" ht="26" customHeight="1">
      <c r="B19" s="36" t="inlineStr">
        <is>
          <t>Total Resolutions Under Review</t>
        </is>
      </c>
      <c r="F19" s="37">
        <f>COUNTA(B5:B16)</f>
        <v/>
      </c>
    </row>
    <row r="20" ht="26" customHeight="1">
      <c r="B20" s="26" t="inlineStr">
        <is>
          <t>Implemented</t>
        </is>
      </c>
      <c r="F20" s="38">
        <f>COUNTIF(H5:H16,"Implemented")</f>
        <v/>
      </c>
    </row>
    <row r="21" ht="26" customHeight="1">
      <c r="B21" s="36" t="inlineStr">
        <is>
          <t>In Progress</t>
        </is>
      </c>
      <c r="F21" s="37">
        <f>COUNTIF(H5:H16,"In Progress")</f>
        <v/>
      </c>
    </row>
    <row r="22">
      <c r="B22" s="26" t="inlineStr">
        <is>
          <t>Pending</t>
        </is>
      </c>
      <c r="F22" s="38">
        <f>COUNTIF(H5:H16,"Pending")</f>
        <v/>
      </c>
    </row>
    <row r="23">
      <c r="B23" s="36" t="inlineStr">
        <is>
          <t>Deferred</t>
        </is>
      </c>
      <c r="F23" s="37">
        <f>COUNTIF(H5:H16,"Deferred")</f>
        <v/>
      </c>
    </row>
    <row r="24">
      <c r="B24" s="26" t="inlineStr">
        <is>
          <t>Implementation Rate (%)</t>
        </is>
      </c>
      <c r="F24" s="38">
        <f>IFERROR(ROUND(C20/C19*100,1),"")</f>
        <v/>
      </c>
    </row>
  </sheetData>
  <mergeCells count="15">
    <mergeCell ref="F20:H20"/>
    <mergeCell ref="F23:H23"/>
    <mergeCell ref="B23:E23"/>
    <mergeCell ref="F19:H19"/>
    <mergeCell ref="B18:H18"/>
    <mergeCell ref="F22:H22"/>
    <mergeCell ref="B21:E21"/>
    <mergeCell ref="B2:H2"/>
    <mergeCell ref="B24:E24"/>
    <mergeCell ref="B19:E19"/>
    <mergeCell ref="B20:E20"/>
    <mergeCell ref="B3:H3"/>
    <mergeCell ref="F21:H21"/>
    <mergeCell ref="B22:E22"/>
    <mergeCell ref="F24:H2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K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0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3" customWidth="1" min="12" max="12"/>
  </cols>
  <sheetData>
    <row r="1" ht="10" customHeight="1"/>
    <row r="2" ht="48" customHeight="1">
      <c r="B2" s="18" t="inlineStr">
        <is>
          <t>DA-02: DEPARTMENT ASSOCIATION MASTER REGISTER — ALL ACTIVE DAs</t>
        </is>
      </c>
    </row>
    <row r="3" ht="25" customHeight="1">
      <c r="B3" s="2" t="inlineStr">
        <is>
          <t>A.Y.: _______  DACC Coordinator: ___________________  Total Active DAs: _______</t>
        </is>
      </c>
    </row>
    <row r="4" ht="25" customHeight="1">
      <c r="B4" s="13" t="inlineStr">
        <is>
          <t>DA
Ref.</t>
        </is>
      </c>
      <c r="C4" s="13" t="inlineStr">
        <is>
          <t>Association Name</t>
        </is>
      </c>
      <c r="D4" s="13" t="inlineStr">
        <is>
          <t>Department</t>
        </is>
      </c>
      <c r="E4" s="13" t="inlineStr">
        <is>
          <t>Faculty
Advisor</t>
        </is>
      </c>
      <c r="F4" s="13" t="inlineStr">
        <is>
          <t>DA President</t>
        </is>
      </c>
      <c r="G4" s="13" t="inlineStr">
        <is>
          <t>Student
Members</t>
        </is>
      </c>
      <c r="H4" s="13" t="inlineStr">
        <is>
          <t>Registration
Date</t>
        </is>
      </c>
      <c r="I4" s="13" t="inlineStr">
        <is>
          <t>Activities
Planned</t>
        </is>
      </c>
      <c r="J4" s="13" t="inlineStr">
        <is>
          <t>Activities
Completed</t>
        </is>
      </c>
      <c r="K4" s="13" t="inlineStr">
        <is>
          <t>Status</t>
        </is>
      </c>
    </row>
    <row r="5" ht="22" customHeight="1">
      <c r="B5" s="14" t="inlineStr">
        <is>
          <t>DA/001</t>
        </is>
      </c>
      <c r="C5" s="15" t="inlineStr">
        <is>
          <t>CSE Association (CSEA / CompSoc)</t>
        </is>
      </c>
      <c r="D5" s="15" t="inlineStr">
        <is>
          <t>Computer Science &amp; Engineering</t>
        </is>
      </c>
      <c r="E5" s="15" t="inlineStr"/>
      <c r="F5" s="15" t="inlineStr"/>
      <c r="G5" s="16" t="inlineStr"/>
      <c r="H5" s="16" t="inlineStr"/>
      <c r="I5" s="16" t="inlineStr"/>
      <c r="J5" s="16" t="inlineStr"/>
      <c r="K5" s="16" t="inlineStr">
        <is>
          <t>Active</t>
        </is>
      </c>
    </row>
    <row r="6" ht="22" customHeight="1">
      <c r="B6" s="32" t="inlineStr">
        <is>
          <t>DA/002</t>
        </is>
      </c>
      <c r="C6" s="33" t="inlineStr">
        <is>
          <t>ECE Association (ECHOES / ElecSoc)</t>
        </is>
      </c>
      <c r="D6" s="33" t="inlineStr">
        <is>
          <t>Electronics &amp; Communication Engineering</t>
        </is>
      </c>
      <c r="E6" s="33" t="inlineStr"/>
      <c r="F6" s="33" t="inlineStr"/>
      <c r="G6" s="34" t="inlineStr"/>
      <c r="H6" s="34" t="inlineStr"/>
      <c r="I6" s="34" t="inlineStr"/>
      <c r="J6" s="34" t="inlineStr"/>
      <c r="K6" s="34" t="inlineStr">
        <is>
          <t>Active</t>
        </is>
      </c>
    </row>
    <row r="7" ht="22" customHeight="1">
      <c r="B7" s="39" t="inlineStr">
        <is>
          <t>DA/003</t>
        </is>
      </c>
      <c r="C7" s="40" t="inlineStr">
        <is>
          <t>EEE Association (SPARK / ElecSoc)</t>
        </is>
      </c>
      <c r="D7" s="40" t="inlineStr">
        <is>
          <t>Electrical &amp; Electronics Engineering</t>
        </is>
      </c>
      <c r="E7" s="40" t="inlineStr"/>
      <c r="F7" s="40" t="inlineStr"/>
      <c r="G7" s="41" t="inlineStr"/>
      <c r="H7" s="41" t="inlineStr"/>
      <c r="I7" s="41" t="inlineStr"/>
      <c r="J7" s="41" t="inlineStr"/>
      <c r="K7" s="41" t="inlineStr">
        <is>
          <t>Active</t>
        </is>
      </c>
    </row>
    <row r="8" ht="22" customHeight="1">
      <c r="B8" s="42" t="inlineStr">
        <is>
          <t>DA/004</t>
        </is>
      </c>
      <c r="C8" s="43" t="inlineStr">
        <is>
          <t>Mechanical Association (MECHSOC)</t>
        </is>
      </c>
      <c r="D8" s="43" t="inlineStr">
        <is>
          <t>Mechanical Engineering</t>
        </is>
      </c>
      <c r="E8" s="43" t="inlineStr"/>
      <c r="F8" s="43" t="inlineStr"/>
      <c r="G8" s="44" t="inlineStr"/>
      <c r="H8" s="44" t="inlineStr"/>
      <c r="I8" s="44" t="inlineStr"/>
      <c r="J8" s="44" t="inlineStr"/>
      <c r="K8" s="44" t="inlineStr">
        <is>
          <t>Active</t>
        </is>
      </c>
    </row>
    <row r="9" ht="22" customHeight="1">
      <c r="B9" s="45" t="inlineStr">
        <is>
          <t>DA/005</t>
        </is>
      </c>
      <c r="C9" s="46" t="inlineStr">
        <is>
          <t>Civil Association (STRUCTA / CIVILS)</t>
        </is>
      </c>
      <c r="D9" s="46" t="inlineStr">
        <is>
          <t>Civil Engineering</t>
        </is>
      </c>
      <c r="E9" s="46" t="inlineStr"/>
      <c r="F9" s="46" t="inlineStr"/>
      <c r="G9" s="47" t="inlineStr"/>
      <c r="H9" s="47" t="inlineStr"/>
      <c r="I9" s="47" t="inlineStr"/>
      <c r="J9" s="47" t="inlineStr"/>
      <c r="K9" s="47" t="inlineStr">
        <is>
          <t>Active</t>
        </is>
      </c>
    </row>
    <row r="10" ht="22" customHeight="1">
      <c r="B10" s="48" t="inlineStr">
        <is>
          <t>DA/006</t>
        </is>
      </c>
      <c r="C10" s="49" t="inlineStr">
        <is>
          <t>IT Association (ITSOC)</t>
        </is>
      </c>
      <c r="D10" s="49" t="inlineStr">
        <is>
          <t>Information Technology</t>
        </is>
      </c>
      <c r="E10" s="49" t="inlineStr"/>
      <c r="F10" s="49" t="inlineStr"/>
      <c r="G10" s="50" t="inlineStr"/>
      <c r="H10" s="50" t="inlineStr"/>
      <c r="I10" s="50" t="inlineStr"/>
      <c r="J10" s="50" t="inlineStr"/>
      <c r="K10" s="50" t="inlineStr">
        <is>
          <t>Active</t>
        </is>
      </c>
    </row>
    <row r="11" ht="22" customHeight="1">
      <c r="B11" s="51" t="inlineStr">
        <is>
          <t>DA/007</t>
        </is>
      </c>
      <c r="C11" s="52" t="inlineStr">
        <is>
          <t>Chemical Engineering Association</t>
        </is>
      </c>
      <c r="D11" s="52" t="inlineStr">
        <is>
          <t>Chemical Engineering</t>
        </is>
      </c>
      <c r="E11" s="52" t="inlineStr"/>
      <c r="F11" s="52" t="inlineStr"/>
      <c r="G11" s="53" t="inlineStr"/>
      <c r="H11" s="53" t="inlineStr"/>
      <c r="I11" s="53" t="inlineStr"/>
      <c r="J11" s="53" t="inlineStr"/>
      <c r="K11" s="53" t="inlineStr">
        <is>
          <t>Active</t>
        </is>
      </c>
    </row>
    <row r="12" ht="22" customHeight="1">
      <c r="B12" s="54" t="inlineStr">
        <is>
          <t>DA/008</t>
        </is>
      </c>
      <c r="C12" s="55" t="inlineStr">
        <is>
          <t>Biotechnology Association</t>
        </is>
      </c>
      <c r="D12" s="55" t="inlineStr">
        <is>
          <t>Biotechnology / Bioinformatics</t>
        </is>
      </c>
      <c r="E12" s="55" t="inlineStr"/>
      <c r="F12" s="55" t="inlineStr"/>
      <c r="G12" s="56" t="inlineStr"/>
      <c r="H12" s="56" t="inlineStr"/>
      <c r="I12" s="56" t="inlineStr"/>
      <c r="J12" s="56" t="inlineStr"/>
      <c r="K12" s="56" t="inlineStr">
        <is>
          <t>Active</t>
        </is>
      </c>
    </row>
    <row r="13" ht="22" customHeight="1">
      <c r="B13" s="57" t="inlineStr">
        <is>
          <t>DA/009</t>
        </is>
      </c>
      <c r="C13" s="58" t="inlineStr">
        <is>
          <t>MBA Association (LEXICON / MGMT)</t>
        </is>
      </c>
      <c r="D13" s="58" t="inlineStr">
        <is>
          <t>Management Studies</t>
        </is>
      </c>
      <c r="E13" s="58" t="inlineStr"/>
      <c r="F13" s="58" t="inlineStr"/>
      <c r="G13" s="23" t="inlineStr"/>
      <c r="H13" s="23" t="inlineStr"/>
      <c r="I13" s="23" t="inlineStr"/>
      <c r="J13" s="23" t="inlineStr"/>
      <c r="K13" s="23" t="inlineStr">
        <is>
          <t>Active</t>
        </is>
      </c>
    </row>
    <row r="14" ht="22" customHeight="1">
      <c r="B14" s="59" t="inlineStr">
        <is>
          <t>DA/010</t>
        </is>
      </c>
      <c r="C14" s="60" t="inlineStr">
        <is>
          <t>MCA Association (CODERS)</t>
        </is>
      </c>
      <c r="D14" s="60" t="inlineStr">
        <is>
          <t>Computer Applications</t>
        </is>
      </c>
      <c r="E14" s="60" t="inlineStr"/>
      <c r="F14" s="60" t="inlineStr"/>
      <c r="G14" s="61" t="inlineStr"/>
      <c r="H14" s="61" t="inlineStr"/>
      <c r="I14" s="61" t="inlineStr"/>
      <c r="J14" s="61" t="inlineStr"/>
      <c r="K14" s="61" t="inlineStr">
        <is>
          <t>Active</t>
        </is>
      </c>
    </row>
    <row r="15" ht="22" customHeight="1">
      <c r="B15" s="14" t="inlineStr">
        <is>
          <t>DA/011</t>
        </is>
      </c>
      <c r="C15" s="15" t="inlineStr">
        <is>
          <t>Sciences &amp; Humanities Association</t>
        </is>
      </c>
      <c r="D15" s="15" t="inlineStr">
        <is>
          <t>Sciences &amp; Humanities</t>
        </is>
      </c>
      <c r="E15" s="15" t="inlineStr"/>
      <c r="F15" s="15" t="inlineStr"/>
      <c r="G15" s="16" t="inlineStr"/>
      <c r="H15" s="16" t="inlineStr"/>
      <c r="I15" s="16" t="inlineStr"/>
      <c r="J15" s="16" t="inlineStr"/>
      <c r="K15" s="16" t="inlineStr">
        <is>
          <t>Active</t>
        </is>
      </c>
    </row>
    <row r="16" ht="22" customHeight="1">
      <c r="B16" s="32" t="inlineStr">
        <is>
          <t>DA/012</t>
        </is>
      </c>
      <c r="C16" s="33" t="inlineStr">
        <is>
          <t>Pharmacy Association</t>
        </is>
      </c>
      <c r="D16" s="33" t="inlineStr">
        <is>
          <t>Pharmacy</t>
        </is>
      </c>
      <c r="E16" s="33" t="inlineStr"/>
      <c r="F16" s="33" t="inlineStr"/>
      <c r="G16" s="34" t="inlineStr"/>
      <c r="H16" s="34" t="inlineStr"/>
      <c r="I16" s="34" t="inlineStr"/>
      <c r="J16" s="34" t="inlineStr"/>
      <c r="K16" s="34" t="inlineStr">
        <is>
          <t>Active</t>
        </is>
      </c>
    </row>
    <row r="17" ht="22" customHeight="1">
      <c r="B17" s="39" t="inlineStr">
        <is>
          <t>DA/013</t>
        </is>
      </c>
      <c r="C17" s="40" t="inlineStr">
        <is>
          <t>Architecture Association (ARCH)</t>
        </is>
      </c>
      <c r="D17" s="40" t="inlineStr">
        <is>
          <t>Architecture / Planning</t>
        </is>
      </c>
      <c r="E17" s="40" t="inlineStr"/>
      <c r="F17" s="40" t="inlineStr"/>
      <c r="G17" s="41" t="inlineStr"/>
      <c r="H17" s="41" t="inlineStr"/>
      <c r="I17" s="41" t="inlineStr"/>
      <c r="J17" s="41" t="inlineStr"/>
      <c r="K17" s="41" t="inlineStr">
        <is>
          <t>Active</t>
        </is>
      </c>
    </row>
    <row r="18" ht="22" customHeight="1">
      <c r="B18" s="42" t="inlineStr">
        <is>
          <t>DA/014</t>
        </is>
      </c>
      <c r="C18" s="43" t="inlineStr">
        <is>
          <t>Physics Society</t>
        </is>
      </c>
      <c r="D18" s="43" t="inlineStr">
        <is>
          <t>Physics / Applied Sciences</t>
        </is>
      </c>
      <c r="E18" s="43" t="inlineStr"/>
      <c r="F18" s="43" t="inlineStr"/>
      <c r="G18" s="44" t="inlineStr"/>
      <c r="H18" s="44" t="inlineStr"/>
      <c r="I18" s="44" t="inlineStr"/>
      <c r="J18" s="44" t="inlineStr"/>
      <c r="K18" s="44" t="inlineStr">
        <is>
          <t>Active</t>
        </is>
      </c>
    </row>
    <row r="19" ht="22" customHeight="1">
      <c r="B19" s="45" t="inlineStr">
        <is>
          <t>DA/015</t>
        </is>
      </c>
      <c r="C19" s="46" t="inlineStr">
        <is>
          <t>Mathematics Association</t>
        </is>
      </c>
      <c r="D19" s="46" t="inlineStr">
        <is>
          <t>Mathematics / Statistics</t>
        </is>
      </c>
      <c r="E19" s="46" t="inlineStr"/>
      <c r="F19" s="46" t="inlineStr"/>
      <c r="G19" s="47" t="inlineStr"/>
      <c r="H19" s="47" t="inlineStr"/>
      <c r="I19" s="47" t="inlineStr"/>
      <c r="J19" s="47" t="inlineStr"/>
      <c r="K19" s="47" t="inlineStr">
        <is>
          <t>Active</t>
        </is>
      </c>
    </row>
    <row r="20" ht="22" customHeight="1">
      <c r="B20" s="48" t="inlineStr">
        <is>
          <t>DA/016</t>
        </is>
      </c>
      <c r="C20" s="49" t="inlineStr">
        <is>
          <t>Environmental Engineering Assoc.</t>
        </is>
      </c>
      <c r="D20" s="49" t="inlineStr">
        <is>
          <t>Environmental Engineering</t>
        </is>
      </c>
      <c r="E20" s="49" t="inlineStr"/>
      <c r="F20" s="49" t="inlineStr"/>
      <c r="G20" s="50" t="inlineStr"/>
      <c r="H20" s="50" t="inlineStr"/>
      <c r="I20" s="50" t="inlineStr"/>
      <c r="J20" s="50" t="inlineStr"/>
      <c r="K20" s="50" t="inlineStr">
        <is>
          <t>Active</t>
        </is>
      </c>
    </row>
    <row r="21" ht="22" customHeight="1"/>
    <row r="22" ht="24" customHeight="1">
      <c r="B22" s="35" t="inlineStr">
        <is>
          <t>DA ECOSYSTEM SUMMARY</t>
        </is>
      </c>
    </row>
    <row r="23" ht="22" customHeight="1">
      <c r="B23" s="31" t="inlineStr">
        <is>
          <t>Metric</t>
        </is>
      </c>
      <c r="C23" s="31" t="inlineStr">
        <is>
          <t>Value</t>
        </is>
      </c>
      <c r="F23" s="31" t="inlineStr">
        <is>
          <t>Metric</t>
        </is>
      </c>
      <c r="G23" s="31" t="inlineStr">
        <is>
          <t>Value</t>
        </is>
      </c>
    </row>
    <row r="24" ht="22" customHeight="1">
      <c r="B24" s="36" t="inlineStr">
        <is>
          <t>Total Active DAs</t>
        </is>
      </c>
      <c r="C24" s="34">
        <f>COUNTIF(K5:K20,"Active")</f>
        <v/>
      </c>
      <c r="D24" s="62" t="n"/>
      <c r="E24" s="62" t="n"/>
      <c r="F24" s="36" t="inlineStr">
        <is>
          <t>Total Student Members (all DAs)</t>
        </is>
      </c>
      <c r="G24" s="34">
        <f>IFERROR(SUM(G5:G20),"")</f>
        <v/>
      </c>
      <c r="H24" s="62" t="n"/>
      <c r="I24" s="62" t="n"/>
      <c r="J24" s="62" t="n"/>
      <c r="K24" s="62" t="n"/>
    </row>
    <row r="25" ht="22" customHeight="1">
      <c r="B25" s="26" t="inlineStr">
        <is>
          <t>DAs with ≥6 Activities</t>
        </is>
      </c>
      <c r="C25" s="10" t="inlineStr"/>
      <c r="D25" s="63" t="n"/>
      <c r="E25" s="63" t="n"/>
      <c r="F25" s="26" t="inlineStr">
        <is>
          <t>DAs with Annual Fest</t>
        </is>
      </c>
      <c r="G25" s="10" t="inlineStr"/>
      <c r="H25" s="63" t="n"/>
      <c r="I25" s="63" t="n"/>
      <c r="J25" s="63" t="n"/>
      <c r="K25" s="63" t="n"/>
    </row>
    <row r="26" ht="22" customHeight="1">
      <c r="B26" s="36" t="inlineStr">
        <is>
          <t>Best Performing DA</t>
        </is>
      </c>
      <c r="C26" s="34" t="inlineStr"/>
      <c r="D26" s="62" t="n"/>
      <c r="E26" s="62" t="n"/>
      <c r="F26" s="36" t="inlineStr">
        <is>
          <t>DA with Most Members</t>
        </is>
      </c>
      <c r="G26" s="34" t="inlineStr"/>
      <c r="H26" s="62" t="n"/>
      <c r="I26" s="62" t="n"/>
      <c r="J26" s="62" t="n"/>
      <c r="K26" s="62" t="n"/>
    </row>
    <row r="27" ht="22" customHeight="1"/>
  </sheetData>
  <mergeCells count="3">
    <mergeCell ref="B22:K22"/>
    <mergeCell ref="B3:K3"/>
    <mergeCell ref="B2:K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E5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2" customWidth="1" min="3" max="3"/>
    <col width="20" customWidth="1" min="4" max="4"/>
    <col width="20" customWidth="1" min="5" max="5"/>
    <col width="3" customWidth="1" min="6" max="6"/>
  </cols>
  <sheetData>
    <row r="1" ht="10" customHeight="1"/>
    <row r="2" ht="52" customHeight="1">
      <c r="B2" s="18" t="inlineStr">
        <is>
          <t>DA-01: DEPARTMENT ASSOCIATION REGISTRATION FORM</t>
        </is>
      </c>
    </row>
    <row r="3" ht="25" customHeight="1">
      <c r="B3" s="2" t="inlineStr">
        <is>
          <t>Registration Ref.: DACC/DA/______/______   Registration Date: _______   A.Y.: _______</t>
        </is>
      </c>
    </row>
    <row r="4" ht="24" customHeight="1">
      <c r="B4" s="20" t="inlineStr">
        <is>
          <t>SECTION A — ASSOCIATION DETAILS</t>
        </is>
      </c>
    </row>
    <row r="5" ht="26" customHeight="1">
      <c r="B5" s="64" t="inlineStr">
        <is>
          <t>Association Name:</t>
        </is>
      </c>
      <c r="C5" s="9" t="n"/>
    </row>
    <row r="6" ht="26" customHeight="1">
      <c r="B6" s="64" t="inlineStr">
        <is>
          <t>Department:</t>
        </is>
      </c>
      <c r="C6" s="9" t="n"/>
    </row>
    <row r="7" ht="26" customHeight="1">
      <c r="B7" s="64" t="inlineStr">
        <is>
          <t>Year of Establishment:</t>
        </is>
      </c>
      <c r="C7" s="9" t="n"/>
    </row>
    <row r="8" ht="26" customHeight="1">
      <c r="B8" s="64" t="inlineStr">
        <is>
          <t>Type:</t>
        </is>
      </c>
      <c r="C8" s="65" t="inlineStr">
        <is>
          <t>[ ] Technical  [ ] Management  [ ] Science  [ ] Arts / Literary  [ ] Combined</t>
        </is>
      </c>
    </row>
    <row r="9" ht="26" customHeight="1">
      <c r="B9" s="64" t="inlineStr">
        <is>
          <t>Previous Year's Registration Ref.:</t>
        </is>
      </c>
      <c r="C9" s="9" t="n"/>
    </row>
    <row r="10" ht="26" customHeight="1">
      <c r="B10" s="64" t="inlineStr">
        <is>
          <t>Association Logo / Motto (if any):</t>
        </is>
      </c>
      <c r="C10" s="9" t="n"/>
    </row>
    <row r="11" ht="26" customHeight="1">
      <c r="B11" s="64" t="inlineStr">
        <is>
          <t>Social Media Handle(s):</t>
        </is>
      </c>
      <c r="C11" s="9" t="n"/>
    </row>
    <row r="12" ht="26" customHeight="1">
      <c r="B12" s="64" t="inlineStr">
        <is>
          <t>Association Email:</t>
        </is>
      </c>
      <c r="C12" s="9" t="n"/>
    </row>
    <row r="13" ht="28" customHeight="1"/>
    <row r="14" ht="24" customHeight="1">
      <c r="B14" s="35" t="inlineStr">
        <is>
          <t>SECTION B — CORE TEAM</t>
        </is>
      </c>
    </row>
    <row r="15" ht="28" customHeight="1">
      <c r="B15" s="31" t="inlineStr">
        <is>
          <t>Role</t>
        </is>
      </c>
      <c r="C15" s="31" t="inlineStr">
        <is>
          <t>Student Name</t>
        </is>
      </c>
      <c r="D15" s="31" t="inlineStr">
        <is>
          <t>Roll No. / Year</t>
        </is>
      </c>
      <c r="E15" s="31" t="inlineStr">
        <is>
          <t>Contact / Email</t>
        </is>
      </c>
    </row>
    <row r="16" ht="28" customHeight="1">
      <c r="B16" s="36" t="inlineStr">
        <is>
          <t>President</t>
        </is>
      </c>
      <c r="C16" s="33" t="inlineStr"/>
      <c r="D16" s="34" t="inlineStr"/>
      <c r="E16" s="33" t="inlineStr"/>
    </row>
    <row r="17" ht="28" customHeight="1">
      <c r="B17" s="26" t="inlineStr">
        <is>
          <t>Vice-President</t>
        </is>
      </c>
      <c r="C17" s="9" t="inlineStr"/>
      <c r="D17" s="10" t="inlineStr"/>
      <c r="E17" s="9" t="inlineStr"/>
    </row>
    <row r="18" ht="28" customHeight="1">
      <c r="B18" s="36" t="inlineStr">
        <is>
          <t>Secretary</t>
        </is>
      </c>
      <c r="C18" s="33" t="inlineStr"/>
      <c r="D18" s="34" t="inlineStr"/>
      <c r="E18" s="33" t="inlineStr"/>
    </row>
    <row r="19" ht="28" customHeight="1">
      <c r="B19" s="26" t="inlineStr">
        <is>
          <t>Joint Secretary</t>
        </is>
      </c>
      <c r="C19" s="9" t="inlineStr"/>
      <c r="D19" s="10" t="inlineStr"/>
      <c r="E19" s="9" t="inlineStr"/>
    </row>
    <row r="20" ht="28" customHeight="1">
      <c r="B20" s="36" t="inlineStr">
        <is>
          <t>Treasurer</t>
        </is>
      </c>
      <c r="C20" s="33" t="inlineStr"/>
      <c r="D20" s="34" t="inlineStr"/>
      <c r="E20" s="33" t="inlineStr"/>
    </row>
    <row r="21" ht="28" customHeight="1">
      <c r="B21" s="26" t="inlineStr">
        <is>
          <t>Technical Head</t>
        </is>
      </c>
      <c r="C21" s="9" t="inlineStr"/>
      <c r="D21" s="10" t="inlineStr"/>
      <c r="E21" s="9" t="inlineStr"/>
    </row>
    <row r="22" ht="28" customHeight="1">
      <c r="B22" s="36" t="inlineStr">
        <is>
          <t>Events Coordinator</t>
        </is>
      </c>
      <c r="C22" s="33" t="inlineStr"/>
      <c r="D22" s="34" t="inlineStr"/>
      <c r="E22" s="33" t="inlineStr"/>
    </row>
    <row r="23" ht="28" customHeight="1">
      <c r="B23" s="26" t="inlineStr">
        <is>
          <t>Publicity / Media Head</t>
        </is>
      </c>
      <c r="C23" s="9" t="inlineStr"/>
      <c r="D23" s="10" t="inlineStr"/>
      <c r="E23" s="9" t="inlineStr"/>
    </row>
    <row r="24" ht="28" customHeight="1">
      <c r="B24" s="36" t="inlineStr">
        <is>
          <t>Research / Publications Head</t>
        </is>
      </c>
      <c r="C24" s="33" t="inlineStr"/>
      <c r="D24" s="34" t="inlineStr"/>
      <c r="E24" s="33" t="inlineStr"/>
    </row>
    <row r="25" ht="28" customHeight="1">
      <c r="B25" s="26" t="inlineStr">
        <is>
          <t>Industry Liaison</t>
        </is>
      </c>
      <c r="C25" s="9" t="inlineStr"/>
      <c r="D25" s="10" t="inlineStr"/>
      <c r="E25" s="9" t="inlineStr"/>
    </row>
    <row r="26" ht="28" customHeight="1">
      <c r="B26" s="36" t="inlineStr">
        <is>
          <t>Women's Representative</t>
        </is>
      </c>
      <c r="C26" s="33" t="inlineStr"/>
      <c r="D26" s="34" t="inlineStr"/>
      <c r="E26" s="33" t="inlineStr"/>
    </row>
    <row r="27" ht="28" customHeight="1">
      <c r="B27" s="26" t="inlineStr">
        <is>
          <t>Faculty Advisor</t>
        </is>
      </c>
      <c r="C27" s="9" t="inlineStr"/>
      <c r="D27" s="10" t="inlineStr"/>
      <c r="E27" s="9" t="inlineStr"/>
    </row>
    <row r="28" ht="28" customHeight="1">
      <c r="B28" s="36" t="inlineStr">
        <is>
          <t>Faculty Co-Advisor</t>
        </is>
      </c>
      <c r="C28" s="33" t="inlineStr"/>
      <c r="D28" s="34" t="inlineStr"/>
      <c r="E28" s="33" t="inlineStr"/>
    </row>
    <row r="29" ht="28" customHeight="1"/>
    <row r="30" ht="24" customHeight="1">
      <c r="B30" s="21" t="inlineStr">
        <is>
          <t>SECTION C — ANNUAL ACTIVITY PLAN</t>
        </is>
      </c>
    </row>
    <row r="31" ht="28" customHeight="1">
      <c r="B31" s="22" t="inlineStr">
        <is>
          <t>Sl.</t>
        </is>
      </c>
      <c r="C31" s="22" t="inlineStr">
        <is>
          <t>Activity / Event Planned</t>
        </is>
      </c>
      <c r="D31" s="22" t="inlineStr">
        <is>
          <t>Target Month</t>
        </is>
      </c>
      <c r="E31" s="22" t="inlineStr">
        <is>
          <t>Expected Participants</t>
        </is>
      </c>
    </row>
    <row r="32" ht="28" customHeight="1">
      <c r="B32" s="57" t="n">
        <v>1</v>
      </c>
      <c r="C32" s="58" t="inlineStr"/>
      <c r="D32" s="23" t="inlineStr"/>
      <c r="E32" s="23" t="inlineStr"/>
    </row>
    <row r="33" ht="28" customHeight="1">
      <c r="B33" s="8" t="n">
        <v>2</v>
      </c>
      <c r="C33" s="9" t="inlineStr"/>
      <c r="D33" s="10" t="inlineStr"/>
      <c r="E33" s="10" t="inlineStr"/>
    </row>
    <row r="34" ht="28" customHeight="1">
      <c r="B34" s="57" t="n">
        <v>3</v>
      </c>
      <c r="C34" s="58" t="inlineStr"/>
      <c r="D34" s="23" t="inlineStr"/>
      <c r="E34" s="23" t="inlineStr"/>
    </row>
    <row r="35" ht="28" customHeight="1">
      <c r="B35" s="8" t="n">
        <v>4</v>
      </c>
      <c r="C35" s="9" t="inlineStr"/>
      <c r="D35" s="10" t="inlineStr"/>
      <c r="E35" s="10" t="inlineStr"/>
    </row>
    <row r="36" ht="28" customHeight="1">
      <c r="B36" s="57" t="n">
        <v>5</v>
      </c>
      <c r="C36" s="58" t="inlineStr"/>
      <c r="D36" s="23" t="inlineStr"/>
      <c r="E36" s="23" t="inlineStr"/>
    </row>
    <row r="37" ht="28" customHeight="1">
      <c r="B37" s="8" t="n">
        <v>6</v>
      </c>
      <c r="C37" s="9" t="inlineStr"/>
      <c r="D37" s="10" t="inlineStr"/>
      <c r="E37" s="10" t="inlineStr"/>
    </row>
    <row r="38" ht="28" customHeight="1">
      <c r="B38" s="57" t="n">
        <v>7</v>
      </c>
      <c r="C38" s="58" t="inlineStr"/>
      <c r="D38" s="23" t="inlineStr"/>
      <c r="E38" s="23" t="inlineStr"/>
    </row>
    <row r="39" ht="28" customHeight="1">
      <c r="B39" s="8" t="n">
        <v>8</v>
      </c>
      <c r="C39" s="9" t="inlineStr"/>
      <c r="D39" s="10" t="inlineStr"/>
      <c r="E39" s="10" t="inlineStr"/>
    </row>
    <row r="40" ht="28" customHeight="1">
      <c r="B40" s="57" t="n">
        <v>9</v>
      </c>
      <c r="C40" s="58" t="inlineStr"/>
      <c r="D40" s="23" t="inlineStr"/>
      <c r="E40" s="23" t="inlineStr"/>
    </row>
    <row r="41" ht="28" customHeight="1">
      <c r="B41" s="8" t="n">
        <v>10</v>
      </c>
      <c r="C41" s="9" t="inlineStr"/>
      <c r="D41" s="10" t="inlineStr"/>
      <c r="E41" s="10" t="inlineStr"/>
    </row>
    <row r="42" ht="28" customHeight="1">
      <c r="B42" s="57" t="n">
        <v>11</v>
      </c>
      <c r="C42" s="58" t="inlineStr"/>
      <c r="D42" s="23" t="inlineStr"/>
      <c r="E42" s="23" t="inlineStr"/>
    </row>
    <row r="43" ht="28" customHeight="1">
      <c r="B43" s="8" t="n">
        <v>12</v>
      </c>
      <c r="C43" s="9" t="inlineStr"/>
      <c r="D43" s="10" t="inlineStr"/>
      <c r="E43" s="10" t="inlineStr"/>
    </row>
    <row r="44" ht="28" customHeight="1">
      <c r="B44" s="57" t="n">
        <v>13</v>
      </c>
      <c r="C44" s="58" t="inlineStr"/>
      <c r="D44" s="23" t="inlineStr"/>
      <c r="E44" s="23" t="inlineStr"/>
    </row>
    <row r="45" ht="28" customHeight="1">
      <c r="B45" s="8" t="n">
        <v>14</v>
      </c>
      <c r="C45" s="9" t="inlineStr"/>
      <c r="D45" s="10" t="inlineStr"/>
      <c r="E45" s="10" t="inlineStr"/>
    </row>
    <row r="46" ht="28" customHeight="1"/>
    <row r="47" ht="24" customHeight="1">
      <c r="B47" s="20" t="inlineStr">
        <is>
          <t>SECTION D — APPROVAL</t>
        </is>
      </c>
    </row>
    <row r="48" ht="26" customHeight="1">
      <c r="B48" s="19" t="inlineStr">
        <is>
          <t>HoD Approval:</t>
        </is>
      </c>
      <c r="C48" s="65" t="inlineStr">
        <is>
          <t>[ ] Approved   [ ] Modifications Required   [ ] Rejected</t>
        </is>
      </c>
    </row>
    <row r="49" ht="26" customHeight="1">
      <c r="B49" s="19" t="inlineStr">
        <is>
          <t>DACC Coordinator Approval:</t>
        </is>
      </c>
      <c r="C49" s="65" t="inlineStr">
        <is>
          <t>[ ] Approved   [ ] Approved with Conditions: _______</t>
        </is>
      </c>
    </row>
    <row r="50" ht="26" customHeight="1">
      <c r="B50" s="19" t="inlineStr">
        <is>
          <t>Principal Approval:</t>
        </is>
      </c>
      <c r="C50" s="65" t="inlineStr">
        <is>
          <t>[ ] Approved   [ ] Pending</t>
        </is>
      </c>
    </row>
    <row r="51" ht="26" customHeight="1">
      <c r="B51" s="19" t="inlineStr">
        <is>
          <t>Budget Allocated (₹):</t>
        </is>
      </c>
      <c r="C51" s="9" t="n"/>
    </row>
    <row r="53">
      <c r="B53" s="30" t="inlineStr">
        <is>
          <t>DA President: ___________________    Faculty Advisor: ___________________    HoD: ___________________    DACC Coordinator: ___________________    Date: ___________________</t>
        </is>
      </c>
    </row>
  </sheetData>
  <mergeCells count="19">
    <mergeCell ref="C50:E50"/>
    <mergeCell ref="B30:E30"/>
    <mergeCell ref="C9:E9"/>
    <mergeCell ref="C12:E12"/>
    <mergeCell ref="C51:E51"/>
    <mergeCell ref="C11:E11"/>
    <mergeCell ref="B4:E4"/>
    <mergeCell ref="C8:E8"/>
    <mergeCell ref="C48:E48"/>
    <mergeCell ref="B3:E3"/>
    <mergeCell ref="B47:E47"/>
    <mergeCell ref="C7:E7"/>
    <mergeCell ref="C49:E49"/>
    <mergeCell ref="B2:E2"/>
    <mergeCell ref="B14:E14"/>
    <mergeCell ref="C6:E6"/>
    <mergeCell ref="C5:E5"/>
    <mergeCell ref="B53:E53"/>
    <mergeCell ref="C10:E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J4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3" customWidth="1" min="11" max="11"/>
  </cols>
  <sheetData>
    <row r="1" ht="10" customHeight="1"/>
    <row r="2" ht="48" customHeight="1">
      <c r="B2" s="18" t="inlineStr">
        <is>
          <t>DA-04: DEPARTMENT ASSOCIATION MEMBERSHIP REGISTER</t>
        </is>
      </c>
    </row>
    <row r="3" ht="25" customHeight="1">
      <c r="B3" s="2" t="inlineStr">
        <is>
          <t>Association Name: _______  Dept.: _______  Faculty Advisor: ___________________  A.Y.: _______</t>
        </is>
      </c>
    </row>
    <row r="4" ht="25" customHeight="1">
      <c r="B4" s="13" t="inlineStr">
        <is>
          <t>Member
Ref.</t>
        </is>
      </c>
      <c r="C4" s="13" t="inlineStr">
        <is>
          <t>Student Name</t>
        </is>
      </c>
      <c r="D4" s="13" t="inlineStr">
        <is>
          <t>Roll No.</t>
        </is>
      </c>
      <c r="E4" s="13" t="inlineStr">
        <is>
          <t>Programme
&amp; Year</t>
        </is>
      </c>
      <c r="F4" s="13" t="inlineStr">
        <is>
          <t>Gender</t>
        </is>
      </c>
      <c r="G4" s="13" t="inlineStr">
        <is>
          <t>Contact
No.</t>
        </is>
      </c>
      <c r="H4" s="13" t="inlineStr">
        <is>
          <t>Role in
DA</t>
        </is>
      </c>
      <c r="I4" s="13" t="inlineStr">
        <is>
          <t>Date of
Joining</t>
        </is>
      </c>
      <c r="J4" s="13" t="inlineStr">
        <is>
          <t>Status</t>
        </is>
      </c>
    </row>
    <row r="5" ht="22" customHeight="1">
      <c r="B5" s="14" t="inlineStr">
        <is>
          <t>MEM/0001</t>
        </is>
      </c>
      <c r="C5" s="15" t="inlineStr"/>
      <c r="D5" s="16" t="inlineStr"/>
      <c r="E5" s="16" t="inlineStr"/>
      <c r="F5" s="16" t="inlineStr">
        <is>
          <t>M</t>
        </is>
      </c>
      <c r="G5" s="16" t="inlineStr"/>
      <c r="H5" s="16" t="inlineStr">
        <is>
          <t>President</t>
        </is>
      </c>
      <c r="I5" s="16" t="inlineStr"/>
      <c r="J5" s="16" t="inlineStr">
        <is>
          <t>Active</t>
        </is>
      </c>
    </row>
    <row r="6" ht="22" customHeight="1">
      <c r="B6" s="8" t="inlineStr">
        <is>
          <t>MEM/0002</t>
        </is>
      </c>
      <c r="C6" s="9" t="inlineStr"/>
      <c r="D6" s="10" t="inlineStr"/>
      <c r="E6" s="10" t="inlineStr"/>
      <c r="F6" s="10" t="inlineStr">
        <is>
          <t>F</t>
        </is>
      </c>
      <c r="G6" s="10" t="inlineStr"/>
      <c r="H6" s="10" t="inlineStr">
        <is>
          <t>Vice-President</t>
        </is>
      </c>
      <c r="I6" s="10" t="inlineStr"/>
      <c r="J6" s="10" t="inlineStr">
        <is>
          <t>Active</t>
        </is>
      </c>
    </row>
    <row r="7" ht="22" customHeight="1">
      <c r="B7" s="14" t="inlineStr">
        <is>
          <t>MEM/0003</t>
        </is>
      </c>
      <c r="C7" s="15" t="inlineStr"/>
      <c r="D7" s="16" t="inlineStr"/>
      <c r="E7" s="16" t="inlineStr"/>
      <c r="F7" s="16" t="inlineStr">
        <is>
          <t>M</t>
        </is>
      </c>
      <c r="G7" s="16" t="inlineStr"/>
      <c r="H7" s="16" t="inlineStr">
        <is>
          <t>Secretary</t>
        </is>
      </c>
      <c r="I7" s="16" t="inlineStr"/>
      <c r="J7" s="16" t="inlineStr">
        <is>
          <t>Active</t>
        </is>
      </c>
    </row>
    <row r="8" ht="22" customHeight="1">
      <c r="B8" s="8" t="inlineStr">
        <is>
          <t>MEM/0004</t>
        </is>
      </c>
      <c r="C8" s="9" t="inlineStr"/>
      <c r="D8" s="10" t="inlineStr"/>
      <c r="E8" s="10" t="inlineStr"/>
      <c r="F8" s="10" t="inlineStr">
        <is>
          <t>M</t>
        </is>
      </c>
      <c r="G8" s="10" t="inlineStr"/>
      <c r="H8" s="10" t="inlineStr">
        <is>
          <t>Treasurer</t>
        </is>
      </c>
      <c r="I8" s="10" t="inlineStr"/>
      <c r="J8" s="10" t="inlineStr">
        <is>
          <t>Active</t>
        </is>
      </c>
    </row>
    <row r="9" ht="22" customHeight="1">
      <c r="B9" s="14" t="inlineStr">
        <is>
          <t>MEM/0005</t>
        </is>
      </c>
      <c r="C9" s="15" t="inlineStr"/>
      <c r="D9" s="16" t="inlineStr"/>
      <c r="E9" s="16" t="inlineStr"/>
      <c r="F9" s="16" t="inlineStr">
        <is>
          <t>F</t>
        </is>
      </c>
      <c r="G9" s="16" t="inlineStr"/>
      <c r="H9" s="16" t="inlineStr">
        <is>
          <t>Technical Head</t>
        </is>
      </c>
      <c r="I9" s="16" t="inlineStr"/>
      <c r="J9" s="16" t="inlineStr">
        <is>
          <t>Active</t>
        </is>
      </c>
    </row>
    <row r="10" ht="22" customHeight="1">
      <c r="B10" s="8" t="inlineStr">
        <is>
          <t>MEM/0006</t>
        </is>
      </c>
      <c r="C10" s="9" t="inlineStr"/>
      <c r="D10" s="10" t="inlineStr"/>
      <c r="E10" s="10" t="inlineStr"/>
      <c r="F10" s="10" t="inlineStr">
        <is>
          <t>M</t>
        </is>
      </c>
      <c r="G10" s="10" t="inlineStr"/>
      <c r="H10" s="10" t="inlineStr">
        <is>
          <t>Events Head</t>
        </is>
      </c>
      <c r="I10" s="10" t="inlineStr"/>
      <c r="J10" s="10" t="inlineStr">
        <is>
          <t>Active</t>
        </is>
      </c>
    </row>
    <row r="11" ht="22" customHeight="1">
      <c r="B11" s="14" t="inlineStr">
        <is>
          <t>MEM/0007</t>
        </is>
      </c>
      <c r="C11" s="15" t="inlineStr"/>
      <c r="D11" s="16" t="inlineStr"/>
      <c r="E11" s="16" t="inlineStr"/>
      <c r="F11" s="16" t="inlineStr">
        <is>
          <t>M</t>
        </is>
      </c>
      <c r="G11" s="16" t="inlineStr"/>
      <c r="H11" s="16" t="inlineStr">
        <is>
          <t>Media Head</t>
        </is>
      </c>
      <c r="I11" s="16" t="inlineStr"/>
      <c r="J11" s="16" t="inlineStr">
        <is>
          <t>Active</t>
        </is>
      </c>
    </row>
    <row r="12" ht="22" customHeight="1">
      <c r="B12" s="8" t="inlineStr">
        <is>
          <t>MEM/0008</t>
        </is>
      </c>
      <c r="C12" s="9" t="inlineStr"/>
      <c r="D12" s="10" t="inlineStr"/>
      <c r="E12" s="10" t="inlineStr"/>
      <c r="F12" s="10" t="inlineStr">
        <is>
          <t>F</t>
        </is>
      </c>
      <c r="G12" s="10" t="inlineStr"/>
      <c r="H12" s="10" t="inlineStr">
        <is>
          <t>Research Head</t>
        </is>
      </c>
      <c r="I12" s="10" t="inlineStr"/>
      <c r="J12" s="10" t="inlineStr">
        <is>
          <t>Active</t>
        </is>
      </c>
    </row>
    <row r="13" ht="22" customHeight="1">
      <c r="B13" s="14" t="inlineStr">
        <is>
          <t>MEM/0009</t>
        </is>
      </c>
      <c r="C13" s="15" t="inlineStr"/>
      <c r="D13" s="16" t="inlineStr"/>
      <c r="E13" s="16" t="inlineStr"/>
      <c r="F13" s="16" t="inlineStr">
        <is>
          <t>M</t>
        </is>
      </c>
      <c r="G13" s="16" t="inlineStr"/>
      <c r="H13" s="16" t="inlineStr">
        <is>
          <t>Core Member</t>
        </is>
      </c>
      <c r="I13" s="16" t="inlineStr"/>
      <c r="J13" s="16" t="inlineStr">
        <is>
          <t>Active</t>
        </is>
      </c>
    </row>
    <row r="14" ht="22" customHeight="1">
      <c r="B14" s="8" t="inlineStr">
        <is>
          <t>MEM/0010</t>
        </is>
      </c>
      <c r="C14" s="9" t="inlineStr"/>
      <c r="D14" s="10" t="inlineStr"/>
      <c r="E14" s="10" t="inlineStr"/>
      <c r="F14" s="10" t="inlineStr">
        <is>
          <t>M</t>
        </is>
      </c>
      <c r="G14" s="10" t="inlineStr"/>
      <c r="H14" s="10" t="inlineStr">
        <is>
          <t>General Member</t>
        </is>
      </c>
      <c r="I14" s="10" t="inlineStr"/>
      <c r="J14" s="10" t="inlineStr">
        <is>
          <t>Active</t>
        </is>
      </c>
    </row>
    <row r="15" ht="22" customHeight="1">
      <c r="B15" s="14" t="inlineStr">
        <is>
          <t>MEM/0011</t>
        </is>
      </c>
      <c r="C15" s="15" t="inlineStr"/>
      <c r="D15" s="16" t="inlineStr"/>
      <c r="E15" s="16" t="inlineStr"/>
      <c r="F15" s="16" t="inlineStr">
        <is>
          <t>F</t>
        </is>
      </c>
      <c r="G15" s="16" t="inlineStr"/>
      <c r="H15" s="16" t="inlineStr">
        <is>
          <t>Volunteer Member</t>
        </is>
      </c>
      <c r="I15" s="16" t="inlineStr"/>
      <c r="J15" s="16" t="inlineStr">
        <is>
          <t>Active</t>
        </is>
      </c>
    </row>
    <row r="16" ht="22" customHeight="1">
      <c r="B16" s="8" t="inlineStr">
        <is>
          <t>MEM/0012</t>
        </is>
      </c>
      <c r="C16" s="9" t="inlineStr"/>
      <c r="D16" s="10" t="inlineStr"/>
      <c r="E16" s="10" t="inlineStr"/>
      <c r="F16" s="10" t="inlineStr">
        <is>
          <t>M</t>
        </is>
      </c>
      <c r="G16" s="10" t="inlineStr"/>
      <c r="H16" s="10" t="inlineStr">
        <is>
          <t>President</t>
        </is>
      </c>
      <c r="I16" s="10" t="inlineStr"/>
      <c r="J16" s="10" t="inlineStr">
        <is>
          <t>Active</t>
        </is>
      </c>
    </row>
    <row r="17" ht="22" customHeight="1">
      <c r="B17" s="14" t="inlineStr">
        <is>
          <t>MEM/0013</t>
        </is>
      </c>
      <c r="C17" s="15" t="inlineStr"/>
      <c r="D17" s="16" t="inlineStr"/>
      <c r="E17" s="16" t="inlineStr"/>
      <c r="F17" s="16" t="inlineStr">
        <is>
          <t>M</t>
        </is>
      </c>
      <c r="G17" s="16" t="inlineStr"/>
      <c r="H17" s="16" t="inlineStr">
        <is>
          <t>Vice-President</t>
        </is>
      </c>
      <c r="I17" s="16" t="inlineStr"/>
      <c r="J17" s="16" t="inlineStr">
        <is>
          <t>Active</t>
        </is>
      </c>
    </row>
    <row r="18" ht="22" customHeight="1">
      <c r="B18" s="8" t="inlineStr">
        <is>
          <t>MEM/0014</t>
        </is>
      </c>
      <c r="C18" s="9" t="inlineStr"/>
      <c r="D18" s="10" t="inlineStr"/>
      <c r="E18" s="10" t="inlineStr"/>
      <c r="F18" s="10" t="inlineStr">
        <is>
          <t>F</t>
        </is>
      </c>
      <c r="G18" s="10" t="inlineStr"/>
      <c r="H18" s="10" t="inlineStr">
        <is>
          <t>Secretary</t>
        </is>
      </c>
      <c r="I18" s="10" t="inlineStr"/>
      <c r="J18" s="10" t="inlineStr">
        <is>
          <t>Active</t>
        </is>
      </c>
    </row>
    <row r="19" ht="22" customHeight="1">
      <c r="B19" s="14" t="inlineStr">
        <is>
          <t>MEM/0015</t>
        </is>
      </c>
      <c r="C19" s="15" t="inlineStr"/>
      <c r="D19" s="16" t="inlineStr"/>
      <c r="E19" s="16" t="inlineStr"/>
      <c r="F19" s="16" t="inlineStr">
        <is>
          <t>M</t>
        </is>
      </c>
      <c r="G19" s="16" t="inlineStr"/>
      <c r="H19" s="16" t="inlineStr">
        <is>
          <t>Treasurer</t>
        </is>
      </c>
      <c r="I19" s="16" t="inlineStr"/>
      <c r="J19" s="16" t="inlineStr">
        <is>
          <t>Active</t>
        </is>
      </c>
    </row>
    <row r="20" ht="22" customHeight="1">
      <c r="B20" s="8" t="inlineStr">
        <is>
          <t>MEM/0016</t>
        </is>
      </c>
      <c r="C20" s="9" t="inlineStr"/>
      <c r="D20" s="10" t="inlineStr"/>
      <c r="E20" s="10" t="inlineStr"/>
      <c r="F20" s="10" t="inlineStr">
        <is>
          <t>M</t>
        </is>
      </c>
      <c r="G20" s="10" t="inlineStr"/>
      <c r="H20" s="10" t="inlineStr">
        <is>
          <t>Technical Head</t>
        </is>
      </c>
      <c r="I20" s="10" t="inlineStr"/>
      <c r="J20" s="10" t="inlineStr">
        <is>
          <t>Active</t>
        </is>
      </c>
    </row>
    <row r="21" ht="22" customHeight="1">
      <c r="B21" s="14" t="inlineStr">
        <is>
          <t>MEM/0017</t>
        </is>
      </c>
      <c r="C21" s="15" t="inlineStr"/>
      <c r="D21" s="16" t="inlineStr"/>
      <c r="E21" s="16" t="inlineStr"/>
      <c r="F21" s="16" t="inlineStr">
        <is>
          <t>F</t>
        </is>
      </c>
      <c r="G21" s="16" t="inlineStr"/>
      <c r="H21" s="16" t="inlineStr">
        <is>
          <t>Events Head</t>
        </is>
      </c>
      <c r="I21" s="16" t="inlineStr"/>
      <c r="J21" s="16" t="inlineStr">
        <is>
          <t>Active</t>
        </is>
      </c>
    </row>
    <row r="22" ht="22" customHeight="1">
      <c r="B22" s="8" t="inlineStr">
        <is>
          <t>MEM/0018</t>
        </is>
      </c>
      <c r="C22" s="9" t="inlineStr"/>
      <c r="D22" s="10" t="inlineStr"/>
      <c r="E22" s="10" t="inlineStr"/>
      <c r="F22" s="10" t="inlineStr">
        <is>
          <t>M</t>
        </is>
      </c>
      <c r="G22" s="10" t="inlineStr"/>
      <c r="H22" s="10" t="inlineStr">
        <is>
          <t>Media Head</t>
        </is>
      </c>
      <c r="I22" s="10" t="inlineStr"/>
      <c r="J22" s="10" t="inlineStr">
        <is>
          <t>Active</t>
        </is>
      </c>
    </row>
    <row r="23" ht="22" customHeight="1">
      <c r="B23" s="14" t="inlineStr">
        <is>
          <t>MEM/0019</t>
        </is>
      </c>
      <c r="C23" s="15" t="inlineStr"/>
      <c r="D23" s="16" t="inlineStr"/>
      <c r="E23" s="16" t="inlineStr"/>
      <c r="F23" s="16" t="inlineStr">
        <is>
          <t>M</t>
        </is>
      </c>
      <c r="G23" s="16" t="inlineStr"/>
      <c r="H23" s="16" t="inlineStr">
        <is>
          <t>Research Head</t>
        </is>
      </c>
      <c r="I23" s="16" t="inlineStr"/>
      <c r="J23" s="16" t="inlineStr">
        <is>
          <t>Active</t>
        </is>
      </c>
    </row>
    <row r="24" ht="22" customHeight="1">
      <c r="B24" s="8" t="inlineStr">
        <is>
          <t>MEM/0020</t>
        </is>
      </c>
      <c r="C24" s="9" t="inlineStr"/>
      <c r="D24" s="10" t="inlineStr"/>
      <c r="E24" s="10" t="inlineStr"/>
      <c r="F24" s="10" t="inlineStr">
        <is>
          <t>F</t>
        </is>
      </c>
      <c r="G24" s="10" t="inlineStr"/>
      <c r="H24" s="10" t="inlineStr">
        <is>
          <t>Core Member</t>
        </is>
      </c>
      <c r="I24" s="10" t="inlineStr"/>
      <c r="J24" s="10" t="inlineStr">
        <is>
          <t>Active</t>
        </is>
      </c>
    </row>
    <row r="25" ht="22" customHeight="1">
      <c r="B25" s="14" t="inlineStr">
        <is>
          <t>MEM/0021</t>
        </is>
      </c>
      <c r="C25" s="15" t="inlineStr"/>
      <c r="D25" s="16" t="inlineStr"/>
      <c r="E25" s="16" t="inlineStr"/>
      <c r="F25" s="16" t="inlineStr">
        <is>
          <t>M</t>
        </is>
      </c>
      <c r="G25" s="16" t="inlineStr"/>
      <c r="H25" s="16" t="inlineStr">
        <is>
          <t>General Member</t>
        </is>
      </c>
      <c r="I25" s="16" t="inlineStr"/>
      <c r="J25" s="16" t="inlineStr">
        <is>
          <t>Active</t>
        </is>
      </c>
    </row>
    <row r="26" ht="22" customHeight="1">
      <c r="B26" s="8" t="inlineStr">
        <is>
          <t>MEM/0022</t>
        </is>
      </c>
      <c r="C26" s="9" t="inlineStr"/>
      <c r="D26" s="10" t="inlineStr"/>
      <c r="E26" s="10" t="inlineStr"/>
      <c r="F26" s="10" t="inlineStr">
        <is>
          <t>M</t>
        </is>
      </c>
      <c r="G26" s="10" t="inlineStr"/>
      <c r="H26" s="10" t="inlineStr">
        <is>
          <t>Volunteer Member</t>
        </is>
      </c>
      <c r="I26" s="10" t="inlineStr"/>
      <c r="J26" s="10" t="inlineStr">
        <is>
          <t>Active</t>
        </is>
      </c>
    </row>
    <row r="27" ht="22" customHeight="1">
      <c r="B27" s="14" t="inlineStr">
        <is>
          <t>MEM/0023</t>
        </is>
      </c>
      <c r="C27" s="15" t="inlineStr"/>
      <c r="D27" s="16" t="inlineStr"/>
      <c r="E27" s="16" t="inlineStr"/>
      <c r="F27" s="16" t="inlineStr">
        <is>
          <t>F</t>
        </is>
      </c>
      <c r="G27" s="16" t="inlineStr"/>
      <c r="H27" s="16" t="inlineStr">
        <is>
          <t>President</t>
        </is>
      </c>
      <c r="I27" s="16" t="inlineStr"/>
      <c r="J27" s="16" t="inlineStr">
        <is>
          <t>Active</t>
        </is>
      </c>
    </row>
    <row r="28" ht="22" customHeight="1">
      <c r="B28" s="8" t="inlineStr">
        <is>
          <t>MEM/0024</t>
        </is>
      </c>
      <c r="C28" s="9" t="inlineStr"/>
      <c r="D28" s="10" t="inlineStr"/>
      <c r="E28" s="10" t="inlineStr"/>
      <c r="F28" s="10" t="inlineStr">
        <is>
          <t>M</t>
        </is>
      </c>
      <c r="G28" s="10" t="inlineStr"/>
      <c r="H28" s="10" t="inlineStr">
        <is>
          <t>Vice-President</t>
        </is>
      </c>
      <c r="I28" s="10" t="inlineStr"/>
      <c r="J28" s="10" t="inlineStr">
        <is>
          <t>Active</t>
        </is>
      </c>
    </row>
    <row r="29" ht="22" customHeight="1">
      <c r="B29" s="14" t="inlineStr">
        <is>
          <t>MEM/0025</t>
        </is>
      </c>
      <c r="C29" s="15" t="inlineStr"/>
      <c r="D29" s="16" t="inlineStr"/>
      <c r="E29" s="16" t="inlineStr"/>
      <c r="F29" s="16" t="inlineStr">
        <is>
          <t>M</t>
        </is>
      </c>
      <c r="G29" s="16" t="inlineStr"/>
      <c r="H29" s="16" t="inlineStr">
        <is>
          <t>Secretary</t>
        </is>
      </c>
      <c r="I29" s="16" t="inlineStr"/>
      <c r="J29" s="16" t="inlineStr">
        <is>
          <t>Active</t>
        </is>
      </c>
    </row>
    <row r="30" ht="22" customHeight="1">
      <c r="B30" s="8" t="inlineStr">
        <is>
          <t>MEM/0026</t>
        </is>
      </c>
      <c r="C30" s="9" t="inlineStr"/>
      <c r="D30" s="10" t="inlineStr"/>
      <c r="E30" s="10" t="inlineStr"/>
      <c r="F30" s="10" t="inlineStr">
        <is>
          <t>F</t>
        </is>
      </c>
      <c r="G30" s="10" t="inlineStr"/>
      <c r="H30" s="10" t="inlineStr">
        <is>
          <t>Treasurer</t>
        </is>
      </c>
      <c r="I30" s="10" t="inlineStr"/>
      <c r="J30" s="10" t="inlineStr">
        <is>
          <t>Active</t>
        </is>
      </c>
    </row>
    <row r="31" ht="22" customHeight="1">
      <c r="B31" s="14" t="inlineStr">
        <is>
          <t>MEM/0027</t>
        </is>
      </c>
      <c r="C31" s="15" t="inlineStr"/>
      <c r="D31" s="16" t="inlineStr"/>
      <c r="E31" s="16" t="inlineStr"/>
      <c r="F31" s="16" t="inlineStr">
        <is>
          <t>M</t>
        </is>
      </c>
      <c r="G31" s="16" t="inlineStr"/>
      <c r="H31" s="16" t="inlineStr">
        <is>
          <t>Technical Head</t>
        </is>
      </c>
      <c r="I31" s="16" t="inlineStr"/>
      <c r="J31" s="16" t="inlineStr">
        <is>
          <t>Active</t>
        </is>
      </c>
    </row>
    <row r="32" ht="22" customHeight="1">
      <c r="B32" s="8" t="inlineStr">
        <is>
          <t>MEM/0028</t>
        </is>
      </c>
      <c r="C32" s="9" t="inlineStr"/>
      <c r="D32" s="10" t="inlineStr"/>
      <c r="E32" s="10" t="inlineStr"/>
      <c r="F32" s="10" t="inlineStr">
        <is>
          <t>M</t>
        </is>
      </c>
      <c r="G32" s="10" t="inlineStr"/>
      <c r="H32" s="10" t="inlineStr">
        <is>
          <t>Events Head</t>
        </is>
      </c>
      <c r="I32" s="10" t="inlineStr"/>
      <c r="J32" s="10" t="inlineStr">
        <is>
          <t>Active</t>
        </is>
      </c>
    </row>
    <row r="33" ht="22" customHeight="1">
      <c r="B33" s="14" t="inlineStr">
        <is>
          <t>MEM/0029</t>
        </is>
      </c>
      <c r="C33" s="15" t="inlineStr"/>
      <c r="D33" s="16" t="inlineStr"/>
      <c r="E33" s="16" t="inlineStr"/>
      <c r="F33" s="16" t="inlineStr">
        <is>
          <t>F</t>
        </is>
      </c>
      <c r="G33" s="16" t="inlineStr"/>
      <c r="H33" s="16" t="inlineStr">
        <is>
          <t>Media Head</t>
        </is>
      </c>
      <c r="I33" s="16" t="inlineStr"/>
      <c r="J33" s="16" t="inlineStr">
        <is>
          <t>Active</t>
        </is>
      </c>
    </row>
    <row r="34" ht="22" customHeight="1">
      <c r="B34" s="8" t="inlineStr">
        <is>
          <t>MEM/0030</t>
        </is>
      </c>
      <c r="C34" s="9" t="inlineStr"/>
      <c r="D34" s="10" t="inlineStr"/>
      <c r="E34" s="10" t="inlineStr"/>
      <c r="F34" s="10" t="inlineStr">
        <is>
          <t>M</t>
        </is>
      </c>
      <c r="G34" s="10" t="inlineStr"/>
      <c r="H34" s="10" t="inlineStr">
        <is>
          <t>Research Head</t>
        </is>
      </c>
      <c r="I34" s="10" t="inlineStr"/>
      <c r="J34" s="10" t="inlineStr">
        <is>
          <t>Active</t>
        </is>
      </c>
    </row>
    <row r="35" ht="22" customHeight="1">
      <c r="B35" s="14" t="inlineStr">
        <is>
          <t>MEM/0031</t>
        </is>
      </c>
      <c r="C35" s="15" t="inlineStr"/>
      <c r="D35" s="16" t="inlineStr"/>
      <c r="E35" s="16" t="inlineStr"/>
      <c r="F35" s="16" t="inlineStr">
        <is>
          <t>M</t>
        </is>
      </c>
      <c r="G35" s="16" t="inlineStr"/>
      <c r="H35" s="16" t="inlineStr">
        <is>
          <t>Core Member</t>
        </is>
      </c>
      <c r="I35" s="16" t="inlineStr"/>
      <c r="J35" s="16" t="inlineStr">
        <is>
          <t>Active</t>
        </is>
      </c>
    </row>
    <row r="36" ht="22" customHeight="1">
      <c r="B36" s="8" t="inlineStr">
        <is>
          <t>MEM/0032</t>
        </is>
      </c>
      <c r="C36" s="9" t="inlineStr"/>
      <c r="D36" s="10" t="inlineStr"/>
      <c r="E36" s="10" t="inlineStr"/>
      <c r="F36" s="10" t="inlineStr">
        <is>
          <t>F</t>
        </is>
      </c>
      <c r="G36" s="10" t="inlineStr"/>
      <c r="H36" s="10" t="inlineStr">
        <is>
          <t>General Member</t>
        </is>
      </c>
      <c r="I36" s="10" t="inlineStr"/>
      <c r="J36" s="10" t="inlineStr">
        <is>
          <t>Active</t>
        </is>
      </c>
    </row>
    <row r="37" ht="22" customHeight="1">
      <c r="B37" s="14" t="inlineStr">
        <is>
          <t>MEM/0033</t>
        </is>
      </c>
      <c r="C37" s="15" t="inlineStr"/>
      <c r="D37" s="16" t="inlineStr"/>
      <c r="E37" s="16" t="inlineStr"/>
      <c r="F37" s="16" t="inlineStr">
        <is>
          <t>M</t>
        </is>
      </c>
      <c r="G37" s="16" t="inlineStr"/>
      <c r="H37" s="16" t="inlineStr">
        <is>
          <t>Volunteer Member</t>
        </is>
      </c>
      <c r="I37" s="16" t="inlineStr"/>
      <c r="J37" s="16" t="inlineStr">
        <is>
          <t>Active</t>
        </is>
      </c>
    </row>
    <row r="38" ht="22" customHeight="1">
      <c r="B38" s="8" t="inlineStr">
        <is>
          <t>MEM/0034</t>
        </is>
      </c>
      <c r="C38" s="9" t="inlineStr"/>
      <c r="D38" s="10" t="inlineStr"/>
      <c r="E38" s="10" t="inlineStr"/>
      <c r="F38" s="10" t="inlineStr">
        <is>
          <t>M</t>
        </is>
      </c>
      <c r="G38" s="10" t="inlineStr"/>
      <c r="H38" s="10" t="inlineStr">
        <is>
          <t>President</t>
        </is>
      </c>
      <c r="I38" s="10" t="inlineStr"/>
      <c r="J38" s="10" t="inlineStr">
        <is>
          <t>Active</t>
        </is>
      </c>
    </row>
    <row r="39" ht="22" customHeight="1"/>
    <row r="40" ht="24" customHeight="1">
      <c r="B40" s="35" t="inlineStr">
        <is>
          <t>MEMBERSHIP SUMMARY</t>
        </is>
      </c>
    </row>
    <row r="41">
      <c r="B41" s="66" t="inlineStr">
        <is>
          <t>Total Members</t>
        </is>
      </c>
      <c r="F41" s="37">
        <f>COUNTA(B5:B38)</f>
        <v/>
      </c>
    </row>
    <row r="42">
      <c r="B42" s="26" t="inlineStr">
        <is>
          <t>Male Members</t>
        </is>
      </c>
      <c r="F42" s="38">
        <f>COUNTIF(F5:F38,"M")</f>
        <v/>
      </c>
    </row>
    <row r="43">
      <c r="B43" s="66" t="inlineStr">
        <is>
          <t>Female Members</t>
        </is>
      </c>
      <c r="F43" s="37">
        <f>COUNTIF(F5:F38,"F")</f>
        <v/>
      </c>
    </row>
    <row r="44">
      <c r="B44" s="26" t="inlineStr">
        <is>
          <t>Core Team Members (Officers)</t>
        </is>
      </c>
      <c r="F44" s="38" t="inlineStr"/>
    </row>
    <row r="45">
      <c r="B45" s="66" t="inlineStr">
        <is>
          <t>Year-wise — I Year</t>
        </is>
      </c>
      <c r="F45" s="37" t="inlineStr"/>
    </row>
    <row r="46">
      <c r="B46" s="26" t="inlineStr">
        <is>
          <t>Year-wise — Final Year</t>
        </is>
      </c>
      <c r="F46" s="38" t="inlineStr"/>
    </row>
  </sheetData>
  <mergeCells count="15">
    <mergeCell ref="B45:E45"/>
    <mergeCell ref="F44:J44"/>
    <mergeCell ref="B41:E41"/>
    <mergeCell ref="B3:J3"/>
    <mergeCell ref="F43:J43"/>
    <mergeCell ref="B43:E43"/>
    <mergeCell ref="B44:E44"/>
    <mergeCell ref="B40:J40"/>
    <mergeCell ref="F42:J42"/>
    <mergeCell ref="F45:J45"/>
    <mergeCell ref="F46:J46"/>
    <mergeCell ref="F41:J41"/>
    <mergeCell ref="B42:E42"/>
    <mergeCell ref="B46:E46"/>
    <mergeCell ref="B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E4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2" customWidth="1" min="3" max="3"/>
    <col width="20" customWidth="1" min="4" max="4"/>
    <col width="20" customWidth="1" min="5" max="5"/>
    <col width="3" customWidth="1" min="6" max="6"/>
  </cols>
  <sheetData>
    <row r="1" ht="10" customHeight="1"/>
    <row r="2" ht="52" customHeight="1">
      <c r="B2" s="18" t="inlineStr">
        <is>
          <t>ACT-01: DEPARTMENT ASSOCIATION EVENT / ACTIVITY PLANNING FORM</t>
        </is>
      </c>
    </row>
    <row r="3" ht="25" customHeight="1">
      <c r="B3" s="2" t="inlineStr">
        <is>
          <t>Event Ref.: DACC/EVT/______/______   Submitted by: _______   Date: _______</t>
        </is>
      </c>
    </row>
    <row r="4" ht="24" customHeight="1">
      <c r="B4" s="20" t="inlineStr">
        <is>
          <t>SECTION A — EVENT DETAILS</t>
        </is>
      </c>
    </row>
    <row r="5" ht="26" customHeight="1">
      <c r="B5" s="64" t="inlineStr">
        <is>
          <t>Event / Activity Title:</t>
        </is>
      </c>
      <c r="C5" s="9" t="n"/>
    </row>
    <row r="6" ht="26" customHeight="1">
      <c r="B6" s="64" t="inlineStr">
        <is>
          <t>Organising DA:</t>
        </is>
      </c>
      <c r="C6" s="9" t="n"/>
    </row>
    <row r="7" ht="26" customHeight="1">
      <c r="B7" s="64" t="inlineStr">
        <is>
          <t>Type:</t>
        </is>
      </c>
      <c r="C7" s="65" t="inlineStr">
        <is>
          <t>[ ] Technical  [ ] Non-Technical  [ ] Workshop  [ ] Guest Lecture  [ ] Competition  [ ] Fest / Symposium  [ ] Social / Cultural  [ ] Other</t>
        </is>
      </c>
    </row>
    <row r="8" ht="26" customHeight="1">
      <c r="B8" s="64" t="inlineStr">
        <is>
          <t>Proposed Date(s):</t>
        </is>
      </c>
      <c r="C8" s="9" t="n"/>
    </row>
    <row r="9" ht="26" customHeight="1">
      <c r="B9" s="64" t="inlineStr">
        <is>
          <t>Proposed Venue:</t>
        </is>
      </c>
      <c r="C9" s="65" t="inlineStr">
        <is>
          <t>[ ] On Campus — Room/Hall: _______   [ ] Off Campus: _______</t>
        </is>
      </c>
    </row>
    <row r="10" ht="26" customHeight="1">
      <c r="B10" s="64" t="inlineStr">
        <is>
          <t>Level:</t>
        </is>
      </c>
      <c r="C10" s="65" t="inlineStr">
        <is>
          <t>[ ] Departmental  [ ] Inter-Departmental  [ ] Intercollegiate  [ ] National</t>
        </is>
      </c>
    </row>
    <row r="11" ht="26" customHeight="1">
      <c r="B11" s="64" t="inlineStr">
        <is>
          <t>Expected Participants:</t>
        </is>
      </c>
      <c r="C11" s="9" t="n"/>
    </row>
    <row r="12" ht="26" customHeight="1">
      <c r="B12" s="64" t="inlineStr">
        <is>
          <t>Resource Persons / Guests (if any):</t>
        </is>
      </c>
      <c r="C12" s="9" t="n"/>
    </row>
    <row r="13" ht="26" customHeight="1">
      <c r="B13" s="64" t="inlineStr">
        <is>
          <t>Is this part of the Annual Symposium / Fest?</t>
        </is>
      </c>
      <c r="C13" s="65" t="inlineStr">
        <is>
          <t>[ ] Yes  [ ] No — Standalone event</t>
        </is>
      </c>
    </row>
    <row r="14" ht="28" customHeight="1"/>
    <row r="15" ht="24" customHeight="1">
      <c r="B15" s="35" t="inlineStr">
        <is>
          <t>SECTION B — RESOURCE REQUIREMENTS</t>
        </is>
      </c>
    </row>
    <row r="16" ht="26" customHeight="1">
      <c r="B16" s="67" t="inlineStr">
        <is>
          <t>Venue / Hall:</t>
        </is>
      </c>
      <c r="C16" s="65" t="inlineStr">
        <is>
          <t>[ ] Auditorium  [ ] Seminar Hall  [ ] Classroom  [ ] Open Area  [ ] External Venue</t>
        </is>
      </c>
    </row>
    <row r="17" ht="26" customHeight="1">
      <c r="B17" s="67" t="inlineStr">
        <is>
          <t>AV / Sound / Projector:</t>
        </is>
      </c>
      <c r="C17" s="65" t="inlineStr">
        <is>
          <t>[ ] Yes — Spec: _______   [ ] No</t>
        </is>
      </c>
    </row>
    <row r="18" ht="26" customHeight="1">
      <c r="B18" s="67" t="inlineStr">
        <is>
          <t>Banners / Flex / Printing:</t>
        </is>
      </c>
      <c r="C18" s="65" t="inlineStr">
        <is>
          <t>[ ] Yes   [ ] No</t>
        </is>
      </c>
    </row>
    <row r="19" ht="26" customHeight="1">
      <c r="B19" s="67" t="inlineStr">
        <is>
          <t>Catering / Refreshments:</t>
        </is>
      </c>
      <c r="C19" s="65" t="inlineStr">
        <is>
          <t>[ ] Yes — Budget: ₹ _______   [ ] No</t>
        </is>
      </c>
    </row>
    <row r="20" ht="26" customHeight="1">
      <c r="B20" s="67" t="inlineStr">
        <is>
          <t>Volunteers Required:</t>
        </is>
      </c>
      <c r="C20" s="65" t="inlineStr">
        <is>
          <t>No.: _______   From: [ ] DA Members  [ ] NSS / NCC  [ ] General</t>
        </is>
      </c>
    </row>
    <row r="21" ht="26" customHeight="1">
      <c r="B21" s="67" t="inlineStr">
        <is>
          <t>Photography / Videography:</t>
        </is>
      </c>
      <c r="C21" s="65" t="inlineStr">
        <is>
          <t>[ ] Internal  [ ] External  [ ] Not Required</t>
        </is>
      </c>
    </row>
    <row r="22" ht="28" customHeight="1"/>
    <row r="23" ht="24" customHeight="1">
      <c r="B23" s="21" t="inlineStr">
        <is>
          <t>SECTION C — BUDGET</t>
        </is>
      </c>
    </row>
    <row r="24" ht="26" customHeight="1">
      <c r="B24" s="68" t="inlineStr">
        <is>
          <t>Estimated Expenditure (₹):</t>
        </is>
      </c>
      <c r="C24" s="9" t="n"/>
    </row>
    <row r="25" ht="26" customHeight="1">
      <c r="B25" s="68" t="inlineStr">
        <is>
          <t>Expected Revenue (Registrations / Stalls) (₹):</t>
        </is>
      </c>
      <c r="C25" s="9" t="n"/>
    </row>
    <row r="26" ht="26" customHeight="1">
      <c r="B26" s="68" t="inlineStr">
        <is>
          <t>Sponsorship Being Sought?</t>
        </is>
      </c>
      <c r="C26" s="65" t="inlineStr">
        <is>
          <t>[ ] Yes — Amount: ₹ _______   [ ] No</t>
        </is>
      </c>
    </row>
    <row r="27" ht="26" customHeight="1">
      <c r="B27" s="68" t="inlineStr">
        <is>
          <t>Net Budget Required from Institution (₹):</t>
        </is>
      </c>
      <c r="C27" s="9" t="n"/>
    </row>
    <row r="28" ht="26" customHeight="1">
      <c r="B28" s="68" t="inlineStr">
        <is>
          <t>Budget Approved by Finance / HoD:</t>
        </is>
      </c>
      <c r="C28" s="65" t="inlineStr">
        <is>
          <t>[ ] Yes   [ ] Pending</t>
        </is>
      </c>
    </row>
    <row r="29" ht="28" customHeight="1"/>
    <row r="30" ht="24" customHeight="1">
      <c r="B30" s="20" t="inlineStr">
        <is>
          <t>SECTION D — APPROVAL CHAIN</t>
        </is>
      </c>
    </row>
    <row r="31" ht="26" customHeight="1">
      <c r="B31" s="19" t="inlineStr">
        <is>
          <t>Faculty Advisor Approval:</t>
        </is>
      </c>
      <c r="C31" s="65" t="inlineStr">
        <is>
          <t>[ ] Approved   [ ] Modifications Required</t>
        </is>
      </c>
    </row>
    <row r="32" ht="26" customHeight="1">
      <c r="B32" s="19" t="inlineStr">
        <is>
          <t>HoD Approval:</t>
        </is>
      </c>
      <c r="C32" s="65" t="inlineStr">
        <is>
          <t>[ ] Approved   [ ] Approved with Conditions: _______</t>
        </is>
      </c>
    </row>
    <row r="33" ht="26" customHeight="1">
      <c r="B33" s="19" t="inlineStr">
        <is>
          <t>DACC Coordinator Approval:</t>
        </is>
      </c>
      <c r="C33" s="65" t="inlineStr">
        <is>
          <t>[ ] Approved   [ ] Pending</t>
        </is>
      </c>
    </row>
    <row r="34" ht="26" customHeight="1">
      <c r="B34" s="19" t="inlineStr">
        <is>
          <t>Principal Approval (if Intercollegiate / Large):</t>
        </is>
      </c>
      <c r="C34" s="65" t="inlineStr">
        <is>
          <t>[ ] Approved   [ ] Not Required for Departmental Events</t>
        </is>
      </c>
    </row>
    <row r="35" ht="28" customHeight="1"/>
    <row r="36" ht="24" customHeight="1">
      <c r="B36" s="69" t="inlineStr">
        <is>
          <t>SECTION E — POST-EVENT DOCUMENTATION CHECKLIST</t>
        </is>
      </c>
    </row>
    <row r="37" ht="22" customHeight="1">
      <c r="B37" s="70" t="inlineStr">
        <is>
          <t>[ ]  Event report submitted within 7 days</t>
        </is>
      </c>
    </row>
    <row r="38" ht="22" customHeight="1">
      <c r="B38" s="71" t="inlineStr">
        <is>
          <t>[ ]  Participant / attendance list submitted</t>
        </is>
      </c>
    </row>
    <row r="39" ht="22" customHeight="1">
      <c r="B39" s="70" t="inlineStr">
        <is>
          <t>[ ]  Photographs archived (min. 20 photos)</t>
        </is>
      </c>
    </row>
    <row r="40" ht="22" customHeight="1">
      <c r="B40" s="71" t="inlineStr">
        <is>
          <t>[ ]  Video highlights uploaded</t>
        </is>
      </c>
    </row>
    <row r="41" ht="22" customHeight="1">
      <c r="B41" s="70" t="inlineStr">
        <is>
          <t>[ ]  Feedback forms collected</t>
        </is>
      </c>
    </row>
    <row r="42" ht="22" customHeight="1">
      <c r="B42" s="71" t="inlineStr">
        <is>
          <t>[ ]  Financial bills submitted to Finance</t>
        </is>
      </c>
    </row>
    <row r="43" ht="22" customHeight="1">
      <c r="B43" s="70" t="inlineStr">
        <is>
          <t>[ ]  Media / press clippings archived</t>
        </is>
      </c>
    </row>
    <row r="44" ht="22" customHeight="1">
      <c r="B44" s="71" t="inlineStr">
        <is>
          <t>[ ]  NAAC / DACC data updated</t>
        </is>
      </c>
    </row>
    <row r="45" ht="22" customHeight="1">
      <c r="B45" s="70" t="inlineStr">
        <is>
          <t>[ ]  Social media posts done</t>
        </is>
      </c>
    </row>
    <row r="46" ht="28" customHeight="1"/>
    <row r="47" ht="28" customHeight="1">
      <c r="B47" s="30" t="inlineStr">
        <is>
          <t>DA President: ___________________    Faculty Advisor: ___________________    HoD: ___________________    Date: ___________________</t>
        </is>
      </c>
    </row>
  </sheetData>
  <mergeCells count="41">
    <mergeCell ref="C16:E16"/>
    <mergeCell ref="B40:E40"/>
    <mergeCell ref="C31:E31"/>
    <mergeCell ref="B30:E30"/>
    <mergeCell ref="C9:E9"/>
    <mergeCell ref="B15:E15"/>
    <mergeCell ref="C21:E21"/>
    <mergeCell ref="C12:E12"/>
    <mergeCell ref="B36:E36"/>
    <mergeCell ref="B45:E45"/>
    <mergeCell ref="B41:E41"/>
    <mergeCell ref="C11:E11"/>
    <mergeCell ref="C27:E27"/>
    <mergeCell ref="B4:E4"/>
    <mergeCell ref="C8:E8"/>
    <mergeCell ref="C17:E17"/>
    <mergeCell ref="B3:E3"/>
    <mergeCell ref="B47:E47"/>
    <mergeCell ref="C7:E7"/>
    <mergeCell ref="C32:E32"/>
    <mergeCell ref="C28:E28"/>
    <mergeCell ref="C13:E13"/>
    <mergeCell ref="C19:E19"/>
    <mergeCell ref="B43:E43"/>
    <mergeCell ref="C18:E18"/>
    <mergeCell ref="B39:E39"/>
    <mergeCell ref="B2:E2"/>
    <mergeCell ref="C34:E34"/>
    <mergeCell ref="B42:E42"/>
    <mergeCell ref="C6:E6"/>
    <mergeCell ref="C24:E24"/>
    <mergeCell ref="B23:E23"/>
    <mergeCell ref="C33:E33"/>
    <mergeCell ref="C5:E5"/>
    <mergeCell ref="B38:E38"/>
    <mergeCell ref="B44:E44"/>
    <mergeCell ref="C26:E26"/>
    <mergeCell ref="B37:E37"/>
    <mergeCell ref="C20:E20"/>
    <mergeCell ref="C25:E25"/>
    <mergeCell ref="C10:E1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K6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3" customWidth="1" min="12" max="12"/>
  </cols>
  <sheetData>
    <row r="1" ht="10" customHeight="1"/>
    <row r="2" ht="48" customHeight="1">
      <c r="B2" s="18" t="inlineStr">
        <is>
          <t>CONSOLIDATED DA ACTIVITY LOG — ALL DEPARTMENT ASSOCIATIONS</t>
        </is>
      </c>
    </row>
    <row r="3" ht="25" customHeight="1">
      <c r="B3" s="2" t="inlineStr">
        <is>
          <t>A.Y.: _______  DACC Coordinator: ___________________  Updated: Monthly</t>
        </is>
      </c>
    </row>
    <row r="4" ht="25" customHeight="1">
      <c r="B4" s="13" t="inlineStr">
        <is>
          <t>Activity
Ref.</t>
        </is>
      </c>
      <c r="C4" s="13" t="inlineStr">
        <is>
          <t>Department
Association</t>
        </is>
      </c>
      <c r="D4" s="13" t="inlineStr">
        <is>
          <t>Activity / Event Title</t>
        </is>
      </c>
      <c r="E4" s="13" t="inlineStr">
        <is>
          <t>Category</t>
        </is>
      </c>
      <c r="F4" s="13" t="inlineStr">
        <is>
          <t>Date</t>
        </is>
      </c>
      <c r="G4" s="13" t="inlineStr">
        <is>
          <t>Mode</t>
        </is>
      </c>
      <c r="H4" s="13" t="inlineStr">
        <is>
          <t>Participants</t>
        </is>
      </c>
      <c r="I4" s="13" t="inlineStr">
        <is>
          <t>Audience
/ Reach</t>
        </is>
      </c>
      <c r="J4" s="13" t="inlineStr">
        <is>
          <t>Award /
Outcome</t>
        </is>
      </c>
      <c r="K4" s="13" t="inlineStr">
        <is>
          <t>Status</t>
        </is>
      </c>
    </row>
    <row r="5" ht="22" customHeight="1">
      <c r="B5" s="14" t="inlineStr">
        <is>
          <t>DACT/2024/0001</t>
        </is>
      </c>
      <c r="C5" s="66" t="inlineStr">
        <is>
          <t>CSE Association (CSEA / CompSoc)</t>
        </is>
      </c>
      <c r="D5" s="15" t="inlineStr"/>
      <c r="E5" s="16" t="inlineStr">
        <is>
          <t>Technical Workshop</t>
        </is>
      </c>
      <c r="F5" s="16" t="inlineStr"/>
      <c r="G5" s="16" t="inlineStr">
        <is>
          <t>Physical</t>
        </is>
      </c>
      <c r="H5" s="16" t="inlineStr"/>
      <c r="I5" s="16" t="inlineStr"/>
      <c r="J5" s="15" t="inlineStr"/>
      <c r="K5" s="16" t="inlineStr">
        <is>
          <t>Completed</t>
        </is>
      </c>
    </row>
    <row r="6" ht="22" customHeight="1">
      <c r="B6" s="32" t="inlineStr">
        <is>
          <t>DACT/2024/0002</t>
        </is>
      </c>
      <c r="C6" s="36" t="inlineStr">
        <is>
          <t>ECE Association (ECHOES / ElecSoc)</t>
        </is>
      </c>
      <c r="D6" s="33" t="inlineStr"/>
      <c r="E6" s="34" t="inlineStr">
        <is>
          <t>Guest Lecture / Expert Talk</t>
        </is>
      </c>
      <c r="F6" s="34" t="inlineStr"/>
      <c r="G6" s="34" t="inlineStr">
        <is>
          <t>Physical</t>
        </is>
      </c>
      <c r="H6" s="34" t="inlineStr"/>
      <c r="I6" s="34" t="inlineStr"/>
      <c r="J6" s="33" t="inlineStr"/>
      <c r="K6" s="34" t="inlineStr">
        <is>
          <t>Completed</t>
        </is>
      </c>
    </row>
    <row r="7" ht="22" customHeight="1">
      <c r="B7" s="39" t="inlineStr">
        <is>
          <t>DACT/2024/0003</t>
        </is>
      </c>
      <c r="C7" s="72" t="inlineStr">
        <is>
          <t>EEE Association (SPARK / ElecSoc)</t>
        </is>
      </c>
      <c r="D7" s="40" t="inlineStr"/>
      <c r="E7" s="41" t="inlineStr">
        <is>
          <t>Technical Competition</t>
        </is>
      </c>
      <c r="F7" s="41" t="inlineStr"/>
      <c r="G7" s="41" t="inlineStr">
        <is>
          <t>Physical</t>
        </is>
      </c>
      <c r="H7" s="41" t="inlineStr"/>
      <c r="I7" s="41" t="inlineStr"/>
      <c r="J7" s="40" t="inlineStr"/>
      <c r="K7" s="41" t="inlineStr">
        <is>
          <t>Completed</t>
        </is>
      </c>
    </row>
    <row r="8" ht="22" customHeight="1">
      <c r="B8" s="42" t="inlineStr">
        <is>
          <t>DACT/2024/0004</t>
        </is>
      </c>
      <c r="C8" s="73" t="inlineStr">
        <is>
          <t>Mechanical Association (MECHSOC)</t>
        </is>
      </c>
      <c r="D8" s="43" t="inlineStr"/>
      <c r="E8" s="44" t="inlineStr">
        <is>
          <t>Paper Presentation</t>
        </is>
      </c>
      <c r="F8" s="44" t="inlineStr"/>
      <c r="G8" s="44" t="inlineStr">
        <is>
          <t>Physical</t>
        </is>
      </c>
      <c r="H8" s="44" t="inlineStr"/>
      <c r="I8" s="44" t="inlineStr"/>
      <c r="J8" s="43" t="inlineStr"/>
      <c r="K8" s="44" t="inlineStr">
        <is>
          <t>Completed</t>
        </is>
      </c>
    </row>
    <row r="9" ht="22" customHeight="1">
      <c r="B9" s="45" t="inlineStr">
        <is>
          <t>DACT/2024/0005</t>
        </is>
      </c>
      <c r="C9" s="74" t="inlineStr">
        <is>
          <t>Civil Association (STRUCTA / CIVILS)</t>
        </is>
      </c>
      <c r="D9" s="46" t="inlineStr"/>
      <c r="E9" s="47" t="inlineStr">
        <is>
          <t>Project Exhibition</t>
        </is>
      </c>
      <c r="F9" s="47" t="inlineStr"/>
      <c r="G9" s="47" t="inlineStr">
        <is>
          <t>Physical</t>
        </is>
      </c>
      <c r="H9" s="47" t="inlineStr"/>
      <c r="I9" s="47" t="inlineStr"/>
      <c r="J9" s="46" t="inlineStr"/>
      <c r="K9" s="47" t="inlineStr">
        <is>
          <t>Completed</t>
        </is>
      </c>
    </row>
    <row r="10" ht="22" customHeight="1">
      <c r="B10" s="48" t="inlineStr">
        <is>
          <t>DACT/2024/0006</t>
        </is>
      </c>
      <c r="C10" s="75" t="inlineStr">
        <is>
          <t>IT Association (ITSOC)</t>
        </is>
      </c>
      <c r="D10" s="49" t="inlineStr"/>
      <c r="E10" s="50" t="inlineStr">
        <is>
          <t>Annual Symposium / Fest</t>
        </is>
      </c>
      <c r="F10" s="50" t="inlineStr"/>
      <c r="G10" s="50" t="inlineStr">
        <is>
          <t>Physical</t>
        </is>
      </c>
      <c r="H10" s="50" t="inlineStr"/>
      <c r="I10" s="50" t="inlineStr"/>
      <c r="J10" s="49" t="inlineStr"/>
      <c r="K10" s="50" t="inlineStr">
        <is>
          <t>Completed</t>
        </is>
      </c>
    </row>
    <row r="11" ht="22" customHeight="1">
      <c r="B11" s="51" t="inlineStr">
        <is>
          <t>DACT/2024/0007</t>
        </is>
      </c>
      <c r="C11" s="76" t="inlineStr">
        <is>
          <t>Chemical Engineering Association</t>
        </is>
      </c>
      <c r="D11" s="52" t="inlineStr"/>
      <c r="E11" s="53" t="inlineStr">
        <is>
          <t>Industrial Visit</t>
        </is>
      </c>
      <c r="F11" s="53" t="inlineStr"/>
      <c r="G11" s="53" t="inlineStr">
        <is>
          <t>Physical</t>
        </is>
      </c>
      <c r="H11" s="53" t="inlineStr"/>
      <c r="I11" s="53" t="inlineStr"/>
      <c r="J11" s="52" t="inlineStr"/>
      <c r="K11" s="53" t="inlineStr">
        <is>
          <t>Completed</t>
        </is>
      </c>
    </row>
    <row r="12" ht="22" customHeight="1">
      <c r="B12" s="54" t="inlineStr">
        <is>
          <t>DACT/2024/0008</t>
        </is>
      </c>
      <c r="C12" s="77" t="inlineStr">
        <is>
          <t>Biotechnology Association</t>
        </is>
      </c>
      <c r="D12" s="55" t="inlineStr"/>
      <c r="E12" s="56" t="inlineStr">
        <is>
          <t>Cultural / Social Event</t>
        </is>
      </c>
      <c r="F12" s="56" t="inlineStr"/>
      <c r="G12" s="56" t="inlineStr">
        <is>
          <t>Physical</t>
        </is>
      </c>
      <c r="H12" s="56" t="inlineStr"/>
      <c r="I12" s="56" t="inlineStr"/>
      <c r="J12" s="55" t="inlineStr"/>
      <c r="K12" s="56" t="inlineStr">
        <is>
          <t>Completed</t>
        </is>
      </c>
    </row>
    <row r="13" ht="22" customHeight="1">
      <c r="B13" s="57" t="inlineStr">
        <is>
          <t>DACT/2024/0009</t>
        </is>
      </c>
      <c r="C13" s="24" t="inlineStr">
        <is>
          <t>MBA Association (LEXICON / MGMT)</t>
        </is>
      </c>
      <c r="D13" s="58" t="inlineStr"/>
      <c r="E13" s="23" t="inlineStr">
        <is>
          <t>Sports Event</t>
        </is>
      </c>
      <c r="F13" s="23" t="inlineStr"/>
      <c r="G13" s="23" t="inlineStr">
        <is>
          <t>Physical</t>
        </is>
      </c>
      <c r="H13" s="23" t="inlineStr"/>
      <c r="I13" s="23" t="inlineStr"/>
      <c r="J13" s="58" t="inlineStr"/>
      <c r="K13" s="23" t="inlineStr">
        <is>
          <t>Completed</t>
        </is>
      </c>
    </row>
    <row r="14" ht="22" customHeight="1">
      <c r="B14" s="59" t="inlineStr">
        <is>
          <t>DACT/2024/0010</t>
        </is>
      </c>
      <c r="C14" s="78" t="inlineStr">
        <is>
          <t>MCA Association (CODERS)</t>
        </is>
      </c>
      <c r="D14" s="60" t="inlineStr"/>
      <c r="E14" s="61" t="inlineStr">
        <is>
          <t>Publication</t>
        </is>
      </c>
      <c r="F14" s="61" t="inlineStr"/>
      <c r="G14" s="61" t="inlineStr">
        <is>
          <t>Physical</t>
        </is>
      </c>
      <c r="H14" s="61" t="inlineStr"/>
      <c r="I14" s="61" t="inlineStr"/>
      <c r="J14" s="60" t="inlineStr"/>
      <c r="K14" s="61" t="inlineStr">
        <is>
          <t>Completed</t>
        </is>
      </c>
    </row>
    <row r="15" ht="22" customHeight="1">
      <c r="B15" s="14" t="inlineStr">
        <is>
          <t>DACT/2024/0011</t>
        </is>
      </c>
      <c r="C15" s="66" t="inlineStr">
        <is>
          <t>CSE Association (CSEA / CompSoc)</t>
        </is>
      </c>
      <c r="D15" s="15" t="inlineStr"/>
      <c r="E15" s="16" t="inlineStr">
        <is>
          <t>Community Service</t>
        </is>
      </c>
      <c r="F15" s="16" t="inlineStr"/>
      <c r="G15" s="16" t="inlineStr">
        <is>
          <t>Physical</t>
        </is>
      </c>
      <c r="H15" s="16" t="inlineStr"/>
      <c r="I15" s="16" t="inlineStr"/>
      <c r="J15" s="15" t="inlineStr"/>
      <c r="K15" s="16" t="inlineStr">
        <is>
          <t>Completed</t>
        </is>
      </c>
    </row>
    <row r="16" ht="22" customHeight="1">
      <c r="B16" s="32" t="inlineStr">
        <is>
          <t>DACT/2024/0012</t>
        </is>
      </c>
      <c r="C16" s="36" t="inlineStr">
        <is>
          <t>ECE Association (ECHOES / ElecSoc)</t>
        </is>
      </c>
      <c r="D16" s="33" t="inlineStr"/>
      <c r="E16" s="34" t="inlineStr">
        <is>
          <t>Training / Certification</t>
        </is>
      </c>
      <c r="F16" s="34" t="inlineStr"/>
      <c r="G16" s="34" t="inlineStr">
        <is>
          <t>Physical</t>
        </is>
      </c>
      <c r="H16" s="34" t="inlineStr"/>
      <c r="I16" s="34" t="inlineStr"/>
      <c r="J16" s="33" t="inlineStr"/>
      <c r="K16" s="34" t="inlineStr">
        <is>
          <t>Completed</t>
        </is>
      </c>
    </row>
    <row r="17" ht="22" customHeight="1">
      <c r="B17" s="39" t="inlineStr">
        <is>
          <t>DACT/2024/0013</t>
        </is>
      </c>
      <c r="C17" s="72" t="inlineStr">
        <is>
          <t>EEE Association (SPARK / ElecSoc)</t>
        </is>
      </c>
      <c r="D17" s="40" t="inlineStr"/>
      <c r="E17" s="41" t="inlineStr">
        <is>
          <t>Inter-Dept. Competition</t>
        </is>
      </c>
      <c r="F17" s="41" t="inlineStr"/>
      <c r="G17" s="41" t="inlineStr">
        <is>
          <t>Physical</t>
        </is>
      </c>
      <c r="H17" s="41" t="inlineStr"/>
      <c r="I17" s="41" t="inlineStr"/>
      <c r="J17" s="40" t="inlineStr"/>
      <c r="K17" s="41" t="inlineStr">
        <is>
          <t>Completed</t>
        </is>
      </c>
    </row>
    <row r="18" ht="22" customHeight="1">
      <c r="B18" s="42" t="inlineStr">
        <is>
          <t>DACT/2024/0014</t>
        </is>
      </c>
      <c r="C18" s="73" t="inlineStr">
        <is>
          <t>Mechanical Association (MECHSOC)</t>
        </is>
      </c>
      <c r="D18" s="43" t="inlineStr"/>
      <c r="E18" s="44" t="inlineStr">
        <is>
          <t>Online / Webinar</t>
        </is>
      </c>
      <c r="F18" s="44" t="inlineStr"/>
      <c r="G18" s="44" t="inlineStr">
        <is>
          <t>Physical</t>
        </is>
      </c>
      <c r="H18" s="44" t="inlineStr"/>
      <c r="I18" s="44" t="inlineStr"/>
      <c r="J18" s="43" t="inlineStr"/>
      <c r="K18" s="44" t="inlineStr">
        <is>
          <t>Completed</t>
        </is>
      </c>
    </row>
    <row r="19" ht="22" customHeight="1">
      <c r="B19" s="45" t="inlineStr">
        <is>
          <t>DACT/2024/0015</t>
        </is>
      </c>
      <c r="C19" s="74" t="inlineStr">
        <is>
          <t>Civil Association (STRUCTA / CIVILS)</t>
        </is>
      </c>
      <c r="D19" s="46" t="inlineStr"/>
      <c r="E19" s="47" t="inlineStr">
        <is>
          <t>Other</t>
        </is>
      </c>
      <c r="F19" s="47" t="inlineStr"/>
      <c r="G19" s="47" t="inlineStr">
        <is>
          <t>Physical</t>
        </is>
      </c>
      <c r="H19" s="47" t="inlineStr"/>
      <c r="I19" s="47" t="inlineStr"/>
      <c r="J19" s="46" t="inlineStr"/>
      <c r="K19" s="47" t="inlineStr">
        <is>
          <t>Completed</t>
        </is>
      </c>
    </row>
    <row r="20" ht="22" customHeight="1">
      <c r="B20" s="48" t="inlineStr">
        <is>
          <t>DACT/2024/0016</t>
        </is>
      </c>
      <c r="C20" s="75" t="inlineStr">
        <is>
          <t>IT Association (ITSOC)</t>
        </is>
      </c>
      <c r="D20" s="49" t="inlineStr"/>
      <c r="E20" s="50" t="inlineStr">
        <is>
          <t>Technical Workshop</t>
        </is>
      </c>
      <c r="F20" s="50" t="inlineStr"/>
      <c r="G20" s="50" t="inlineStr">
        <is>
          <t>Physical</t>
        </is>
      </c>
      <c r="H20" s="50" t="inlineStr"/>
      <c r="I20" s="50" t="inlineStr"/>
      <c r="J20" s="49" t="inlineStr"/>
      <c r="K20" s="50" t="inlineStr">
        <is>
          <t>Completed</t>
        </is>
      </c>
    </row>
    <row r="21" ht="22" customHeight="1">
      <c r="B21" s="51" t="inlineStr">
        <is>
          <t>DACT/2024/0017</t>
        </is>
      </c>
      <c r="C21" s="76" t="inlineStr">
        <is>
          <t>Chemical Engineering Association</t>
        </is>
      </c>
      <c r="D21" s="52" t="inlineStr"/>
      <c r="E21" s="53" t="inlineStr">
        <is>
          <t>Guest Lecture / Expert Talk</t>
        </is>
      </c>
      <c r="F21" s="53" t="inlineStr"/>
      <c r="G21" s="53" t="inlineStr">
        <is>
          <t>Physical</t>
        </is>
      </c>
      <c r="H21" s="53" t="inlineStr"/>
      <c r="I21" s="53" t="inlineStr"/>
      <c r="J21" s="52" t="inlineStr"/>
      <c r="K21" s="53" t="inlineStr">
        <is>
          <t>Completed</t>
        </is>
      </c>
    </row>
    <row r="22" ht="22" customHeight="1">
      <c r="B22" s="54" t="inlineStr">
        <is>
          <t>DACT/2024/0018</t>
        </is>
      </c>
      <c r="C22" s="77" t="inlineStr">
        <is>
          <t>Biotechnology Association</t>
        </is>
      </c>
      <c r="D22" s="55" t="inlineStr"/>
      <c r="E22" s="56" t="inlineStr">
        <is>
          <t>Technical Competition</t>
        </is>
      </c>
      <c r="F22" s="56" t="inlineStr"/>
      <c r="G22" s="56" t="inlineStr">
        <is>
          <t>Physical</t>
        </is>
      </c>
      <c r="H22" s="56" t="inlineStr"/>
      <c r="I22" s="56" t="inlineStr"/>
      <c r="J22" s="55" t="inlineStr"/>
      <c r="K22" s="56" t="inlineStr">
        <is>
          <t>Completed</t>
        </is>
      </c>
    </row>
    <row r="23" ht="22" customHeight="1">
      <c r="B23" s="57" t="inlineStr">
        <is>
          <t>DACT/2024/0019</t>
        </is>
      </c>
      <c r="C23" s="24" t="inlineStr">
        <is>
          <t>MBA Association (LEXICON / MGMT)</t>
        </is>
      </c>
      <c r="D23" s="58" t="inlineStr"/>
      <c r="E23" s="23" t="inlineStr">
        <is>
          <t>Paper Presentation</t>
        </is>
      </c>
      <c r="F23" s="23" t="inlineStr"/>
      <c r="G23" s="23" t="inlineStr">
        <is>
          <t>Physical</t>
        </is>
      </c>
      <c r="H23" s="23" t="inlineStr"/>
      <c r="I23" s="23" t="inlineStr"/>
      <c r="J23" s="58" t="inlineStr"/>
      <c r="K23" s="23" t="inlineStr">
        <is>
          <t>Completed</t>
        </is>
      </c>
    </row>
    <row r="24" ht="22" customHeight="1">
      <c r="B24" s="59" t="inlineStr">
        <is>
          <t>DACT/2024/0020</t>
        </is>
      </c>
      <c r="C24" s="78" t="inlineStr">
        <is>
          <t>MCA Association (CODERS)</t>
        </is>
      </c>
      <c r="D24" s="60" t="inlineStr"/>
      <c r="E24" s="61" t="inlineStr">
        <is>
          <t>Project Exhibition</t>
        </is>
      </c>
      <c r="F24" s="61" t="inlineStr"/>
      <c r="G24" s="61" t="inlineStr">
        <is>
          <t>Physical</t>
        </is>
      </c>
      <c r="H24" s="61" t="inlineStr"/>
      <c r="I24" s="61" t="inlineStr"/>
      <c r="J24" s="60" t="inlineStr"/>
      <c r="K24" s="61" t="inlineStr">
        <is>
          <t>Completed</t>
        </is>
      </c>
    </row>
    <row r="25" ht="22" customHeight="1">
      <c r="B25" s="14" t="inlineStr">
        <is>
          <t>DACT/2024/0021</t>
        </is>
      </c>
      <c r="C25" s="66" t="inlineStr">
        <is>
          <t>CSE Association (CSEA / CompSoc)</t>
        </is>
      </c>
      <c r="D25" s="15" t="inlineStr"/>
      <c r="E25" s="16" t="inlineStr">
        <is>
          <t>Annual Symposium / Fest</t>
        </is>
      </c>
      <c r="F25" s="16" t="inlineStr"/>
      <c r="G25" s="16" t="inlineStr">
        <is>
          <t>Physical</t>
        </is>
      </c>
      <c r="H25" s="16" t="inlineStr"/>
      <c r="I25" s="16" t="inlineStr"/>
      <c r="J25" s="15" t="inlineStr"/>
      <c r="K25" s="16" t="inlineStr">
        <is>
          <t>Completed</t>
        </is>
      </c>
    </row>
    <row r="26" ht="22" customHeight="1">
      <c r="B26" s="32" t="inlineStr">
        <is>
          <t>DACT/2024/0022</t>
        </is>
      </c>
      <c r="C26" s="36" t="inlineStr">
        <is>
          <t>ECE Association (ECHOES / ElecSoc)</t>
        </is>
      </c>
      <c r="D26" s="33" t="inlineStr"/>
      <c r="E26" s="34" t="inlineStr">
        <is>
          <t>Industrial Visit</t>
        </is>
      </c>
      <c r="F26" s="34" t="inlineStr"/>
      <c r="G26" s="34" t="inlineStr">
        <is>
          <t>Physical</t>
        </is>
      </c>
      <c r="H26" s="34" t="inlineStr"/>
      <c r="I26" s="34" t="inlineStr"/>
      <c r="J26" s="33" t="inlineStr"/>
      <c r="K26" s="34" t="inlineStr">
        <is>
          <t>Completed</t>
        </is>
      </c>
    </row>
    <row r="27" ht="22" customHeight="1">
      <c r="B27" s="39" t="inlineStr">
        <is>
          <t>DACT/2025/0023</t>
        </is>
      </c>
      <c r="C27" s="72" t="inlineStr">
        <is>
          <t>EEE Association (SPARK / ElecSoc)</t>
        </is>
      </c>
      <c r="D27" s="40" t="inlineStr"/>
      <c r="E27" s="41" t="inlineStr">
        <is>
          <t>Cultural / Social Event</t>
        </is>
      </c>
      <c r="F27" s="41" t="inlineStr"/>
      <c r="G27" s="41" t="inlineStr">
        <is>
          <t>Physical</t>
        </is>
      </c>
      <c r="H27" s="41" t="inlineStr"/>
      <c r="I27" s="41" t="inlineStr"/>
      <c r="J27" s="40" t="inlineStr"/>
      <c r="K27" s="41" t="inlineStr">
        <is>
          <t>Completed</t>
        </is>
      </c>
    </row>
    <row r="28" ht="22" customHeight="1">
      <c r="B28" s="42" t="inlineStr">
        <is>
          <t>DACT/2025/0024</t>
        </is>
      </c>
      <c r="C28" s="73" t="inlineStr">
        <is>
          <t>Mechanical Association (MECHSOC)</t>
        </is>
      </c>
      <c r="D28" s="43" t="inlineStr"/>
      <c r="E28" s="44" t="inlineStr">
        <is>
          <t>Sports Event</t>
        </is>
      </c>
      <c r="F28" s="44" t="inlineStr"/>
      <c r="G28" s="44" t="inlineStr">
        <is>
          <t>Physical</t>
        </is>
      </c>
      <c r="H28" s="44" t="inlineStr"/>
      <c r="I28" s="44" t="inlineStr"/>
      <c r="J28" s="43" t="inlineStr"/>
      <c r="K28" s="44" t="inlineStr">
        <is>
          <t>Completed</t>
        </is>
      </c>
    </row>
    <row r="29" ht="22" customHeight="1">
      <c r="B29" s="45" t="inlineStr">
        <is>
          <t>DACT/2025/0025</t>
        </is>
      </c>
      <c r="C29" s="74" t="inlineStr">
        <is>
          <t>Civil Association (STRUCTA / CIVILS)</t>
        </is>
      </c>
      <c r="D29" s="46" t="inlineStr"/>
      <c r="E29" s="47" t="inlineStr">
        <is>
          <t>Publication</t>
        </is>
      </c>
      <c r="F29" s="47" t="inlineStr"/>
      <c r="G29" s="47" t="inlineStr">
        <is>
          <t>Physical</t>
        </is>
      </c>
      <c r="H29" s="47" t="inlineStr"/>
      <c r="I29" s="47" t="inlineStr"/>
      <c r="J29" s="46" t="inlineStr"/>
      <c r="K29" s="47" t="inlineStr">
        <is>
          <t>Completed</t>
        </is>
      </c>
    </row>
    <row r="30" ht="22" customHeight="1">
      <c r="B30" s="48" t="inlineStr">
        <is>
          <t>DACT/2025/0026</t>
        </is>
      </c>
      <c r="C30" s="75" t="inlineStr">
        <is>
          <t>IT Association (ITSOC)</t>
        </is>
      </c>
      <c r="D30" s="49" t="inlineStr"/>
      <c r="E30" s="50" t="inlineStr">
        <is>
          <t>Community Service</t>
        </is>
      </c>
      <c r="F30" s="50" t="inlineStr"/>
      <c r="G30" s="50" t="inlineStr">
        <is>
          <t>Physical</t>
        </is>
      </c>
      <c r="H30" s="50" t="inlineStr"/>
      <c r="I30" s="50" t="inlineStr"/>
      <c r="J30" s="49" t="inlineStr"/>
      <c r="K30" s="50" t="inlineStr">
        <is>
          <t>Completed</t>
        </is>
      </c>
    </row>
    <row r="31" ht="22" customHeight="1">
      <c r="B31" s="51" t="inlineStr">
        <is>
          <t>DACT/2025/0027</t>
        </is>
      </c>
      <c r="C31" s="76" t="inlineStr">
        <is>
          <t>Chemical Engineering Association</t>
        </is>
      </c>
      <c r="D31" s="52" t="inlineStr"/>
      <c r="E31" s="53" t="inlineStr">
        <is>
          <t>Training / Certification</t>
        </is>
      </c>
      <c r="F31" s="53" t="inlineStr"/>
      <c r="G31" s="53" t="inlineStr">
        <is>
          <t>Physical</t>
        </is>
      </c>
      <c r="H31" s="53" t="inlineStr"/>
      <c r="I31" s="53" t="inlineStr"/>
      <c r="J31" s="52" t="inlineStr"/>
      <c r="K31" s="53" t="inlineStr">
        <is>
          <t>Completed</t>
        </is>
      </c>
    </row>
    <row r="32" ht="22" customHeight="1">
      <c r="B32" s="54" t="inlineStr">
        <is>
          <t>DACT/2025/0028</t>
        </is>
      </c>
      <c r="C32" s="77" t="inlineStr">
        <is>
          <t>Biotechnology Association</t>
        </is>
      </c>
      <c r="D32" s="55" t="inlineStr"/>
      <c r="E32" s="56" t="inlineStr">
        <is>
          <t>Inter-Dept. Competition</t>
        </is>
      </c>
      <c r="F32" s="56" t="inlineStr"/>
      <c r="G32" s="56" t="inlineStr">
        <is>
          <t>Physical</t>
        </is>
      </c>
      <c r="H32" s="56" t="inlineStr"/>
      <c r="I32" s="56" t="inlineStr"/>
      <c r="J32" s="55" t="inlineStr"/>
      <c r="K32" s="56" t="inlineStr">
        <is>
          <t>Completed</t>
        </is>
      </c>
    </row>
    <row r="33" ht="22" customHeight="1">
      <c r="B33" s="57" t="inlineStr">
        <is>
          <t>DACT/2025/0029</t>
        </is>
      </c>
      <c r="C33" s="24" t="inlineStr">
        <is>
          <t>MBA Association (LEXICON / MGMT)</t>
        </is>
      </c>
      <c r="D33" s="58" t="inlineStr"/>
      <c r="E33" s="23" t="inlineStr">
        <is>
          <t>Online / Webinar</t>
        </is>
      </c>
      <c r="F33" s="23" t="inlineStr"/>
      <c r="G33" s="23" t="inlineStr">
        <is>
          <t>Physical</t>
        </is>
      </c>
      <c r="H33" s="23" t="inlineStr"/>
      <c r="I33" s="23" t="inlineStr"/>
      <c r="J33" s="58" t="inlineStr"/>
      <c r="K33" s="23" t="inlineStr">
        <is>
          <t>Completed</t>
        </is>
      </c>
    </row>
    <row r="34" ht="22" customHeight="1">
      <c r="B34" s="59" t="inlineStr">
        <is>
          <t>DACT/2025/0030</t>
        </is>
      </c>
      <c r="C34" s="78" t="inlineStr">
        <is>
          <t>MCA Association (CODERS)</t>
        </is>
      </c>
      <c r="D34" s="60" t="inlineStr"/>
      <c r="E34" s="61" t="inlineStr">
        <is>
          <t>Other</t>
        </is>
      </c>
      <c r="F34" s="61" t="inlineStr"/>
      <c r="G34" s="61" t="inlineStr">
        <is>
          <t>Physical</t>
        </is>
      </c>
      <c r="H34" s="61" t="inlineStr"/>
      <c r="I34" s="61" t="inlineStr"/>
      <c r="J34" s="60" t="inlineStr"/>
      <c r="K34" s="61" t="inlineStr">
        <is>
          <t>Completed</t>
        </is>
      </c>
    </row>
    <row r="35" ht="22" customHeight="1">
      <c r="B35" s="14" t="inlineStr">
        <is>
          <t>DACT/2025/0031</t>
        </is>
      </c>
      <c r="C35" s="66" t="inlineStr">
        <is>
          <t>CSE Association (CSEA / CompSoc)</t>
        </is>
      </c>
      <c r="D35" s="15" t="inlineStr"/>
      <c r="E35" s="16" t="inlineStr">
        <is>
          <t>Technical Workshop</t>
        </is>
      </c>
      <c r="F35" s="16" t="inlineStr"/>
      <c r="G35" s="16" t="inlineStr">
        <is>
          <t>Physical</t>
        </is>
      </c>
      <c r="H35" s="16" t="inlineStr"/>
      <c r="I35" s="16" t="inlineStr"/>
      <c r="J35" s="15" t="inlineStr"/>
      <c r="K35" s="16" t="inlineStr">
        <is>
          <t>Completed</t>
        </is>
      </c>
    </row>
    <row r="36" ht="22" customHeight="1">
      <c r="B36" s="32" t="inlineStr">
        <is>
          <t>DACT/2025/0032</t>
        </is>
      </c>
      <c r="C36" s="36" t="inlineStr">
        <is>
          <t>ECE Association (ECHOES / ElecSoc)</t>
        </is>
      </c>
      <c r="D36" s="33" t="inlineStr"/>
      <c r="E36" s="34" t="inlineStr">
        <is>
          <t>Guest Lecture / Expert Talk</t>
        </is>
      </c>
      <c r="F36" s="34" t="inlineStr"/>
      <c r="G36" s="34" t="inlineStr">
        <is>
          <t>Physical</t>
        </is>
      </c>
      <c r="H36" s="34" t="inlineStr"/>
      <c r="I36" s="34" t="inlineStr"/>
      <c r="J36" s="33" t="inlineStr"/>
      <c r="K36" s="34" t="inlineStr">
        <is>
          <t>Completed</t>
        </is>
      </c>
    </row>
    <row r="37" ht="22" customHeight="1">
      <c r="B37" s="39" t="inlineStr">
        <is>
          <t>DACT/2025/0033</t>
        </is>
      </c>
      <c r="C37" s="72" t="inlineStr">
        <is>
          <t>EEE Association (SPARK / ElecSoc)</t>
        </is>
      </c>
      <c r="D37" s="40" t="inlineStr"/>
      <c r="E37" s="41" t="inlineStr">
        <is>
          <t>Technical Competition</t>
        </is>
      </c>
      <c r="F37" s="41" t="inlineStr"/>
      <c r="G37" s="41" t="inlineStr">
        <is>
          <t>Physical</t>
        </is>
      </c>
      <c r="H37" s="41" t="inlineStr"/>
      <c r="I37" s="41" t="inlineStr"/>
      <c r="J37" s="40" t="inlineStr"/>
      <c r="K37" s="41" t="inlineStr">
        <is>
          <t>Completed</t>
        </is>
      </c>
    </row>
    <row r="38" ht="22" customHeight="1">
      <c r="B38" s="42" t="inlineStr">
        <is>
          <t>DACT/2025/0034</t>
        </is>
      </c>
      <c r="C38" s="73" t="inlineStr">
        <is>
          <t>Mechanical Association (MECHSOC)</t>
        </is>
      </c>
      <c r="D38" s="43" t="inlineStr"/>
      <c r="E38" s="44" t="inlineStr">
        <is>
          <t>Paper Presentation</t>
        </is>
      </c>
      <c r="F38" s="44" t="inlineStr"/>
      <c r="G38" s="44" t="inlineStr">
        <is>
          <t>Physical</t>
        </is>
      </c>
      <c r="H38" s="44" t="inlineStr"/>
      <c r="I38" s="44" t="inlineStr"/>
      <c r="J38" s="43" t="inlineStr"/>
      <c r="K38" s="44" t="inlineStr">
        <is>
          <t>Completed</t>
        </is>
      </c>
    </row>
    <row r="39" ht="22" customHeight="1">
      <c r="B39" s="45" t="inlineStr">
        <is>
          <t>DACT/2025/0035</t>
        </is>
      </c>
      <c r="C39" s="74" t="inlineStr">
        <is>
          <t>Civil Association (STRUCTA / CIVILS)</t>
        </is>
      </c>
      <c r="D39" s="46" t="inlineStr"/>
      <c r="E39" s="47" t="inlineStr">
        <is>
          <t>Project Exhibition</t>
        </is>
      </c>
      <c r="F39" s="47" t="inlineStr"/>
      <c r="G39" s="47" t="inlineStr">
        <is>
          <t>Physical</t>
        </is>
      </c>
      <c r="H39" s="47" t="inlineStr"/>
      <c r="I39" s="47" t="inlineStr"/>
      <c r="J39" s="46" t="inlineStr"/>
      <c r="K39" s="47" t="inlineStr">
        <is>
          <t>Completed</t>
        </is>
      </c>
    </row>
    <row r="40" ht="22" customHeight="1">
      <c r="B40" s="48" t="inlineStr">
        <is>
          <t>DACT/2025/0036</t>
        </is>
      </c>
      <c r="C40" s="75" t="inlineStr">
        <is>
          <t>IT Association (ITSOC)</t>
        </is>
      </c>
      <c r="D40" s="49" t="inlineStr"/>
      <c r="E40" s="50" t="inlineStr">
        <is>
          <t>Annual Symposium / Fest</t>
        </is>
      </c>
      <c r="F40" s="50" t="inlineStr"/>
      <c r="G40" s="50" t="inlineStr">
        <is>
          <t>Physical</t>
        </is>
      </c>
      <c r="H40" s="50" t="inlineStr"/>
      <c r="I40" s="50" t="inlineStr"/>
      <c r="J40" s="49" t="inlineStr"/>
      <c r="K40" s="50" t="inlineStr">
        <is>
          <t>Completed</t>
        </is>
      </c>
    </row>
    <row r="41" ht="22" customHeight="1">
      <c r="B41" s="51" t="inlineStr">
        <is>
          <t>DACT/2025/0037</t>
        </is>
      </c>
      <c r="C41" s="76" t="inlineStr">
        <is>
          <t>Chemical Engineering Association</t>
        </is>
      </c>
      <c r="D41" s="52" t="inlineStr"/>
      <c r="E41" s="53" t="inlineStr">
        <is>
          <t>Industrial Visit</t>
        </is>
      </c>
      <c r="F41" s="53" t="inlineStr"/>
      <c r="G41" s="53" t="inlineStr">
        <is>
          <t>Physical</t>
        </is>
      </c>
      <c r="H41" s="53" t="inlineStr"/>
      <c r="I41" s="53" t="inlineStr"/>
      <c r="J41" s="52" t="inlineStr"/>
      <c r="K41" s="53" t="inlineStr">
        <is>
          <t>Completed</t>
        </is>
      </c>
    </row>
    <row r="42" ht="22" customHeight="1">
      <c r="B42" s="54" t="inlineStr">
        <is>
          <t>DACT/2025/0038</t>
        </is>
      </c>
      <c r="C42" s="77" t="inlineStr">
        <is>
          <t>Biotechnology Association</t>
        </is>
      </c>
      <c r="D42" s="55" t="inlineStr"/>
      <c r="E42" s="56" t="inlineStr">
        <is>
          <t>Cultural / Social Event</t>
        </is>
      </c>
      <c r="F42" s="56" t="inlineStr"/>
      <c r="G42" s="56" t="inlineStr">
        <is>
          <t>Physical</t>
        </is>
      </c>
      <c r="H42" s="56" t="inlineStr"/>
      <c r="I42" s="56" t="inlineStr"/>
      <c r="J42" s="55" t="inlineStr"/>
      <c r="K42" s="56" t="inlineStr">
        <is>
          <t>Completed</t>
        </is>
      </c>
    </row>
    <row r="43" ht="22" customHeight="1">
      <c r="B43" s="57" t="inlineStr">
        <is>
          <t>DACT/2025/0039</t>
        </is>
      </c>
      <c r="C43" s="24" t="inlineStr">
        <is>
          <t>MBA Association (LEXICON / MGMT)</t>
        </is>
      </c>
      <c r="D43" s="58" t="inlineStr"/>
      <c r="E43" s="23" t="inlineStr">
        <is>
          <t>Sports Event</t>
        </is>
      </c>
      <c r="F43" s="23" t="inlineStr"/>
      <c r="G43" s="23" t="inlineStr">
        <is>
          <t>Physical</t>
        </is>
      </c>
      <c r="H43" s="23" t="inlineStr"/>
      <c r="I43" s="23" t="inlineStr"/>
      <c r="J43" s="58" t="inlineStr"/>
      <c r="K43" s="23" t="inlineStr">
        <is>
          <t>Completed</t>
        </is>
      </c>
    </row>
    <row r="44" ht="22" customHeight="1">
      <c r="B44" s="59" t="inlineStr">
        <is>
          <t>DACT/2025/0040</t>
        </is>
      </c>
      <c r="C44" s="78" t="inlineStr">
        <is>
          <t>MCA Association (CODERS)</t>
        </is>
      </c>
      <c r="D44" s="60" t="inlineStr"/>
      <c r="E44" s="61" t="inlineStr">
        <is>
          <t>Publication</t>
        </is>
      </c>
      <c r="F44" s="61" t="inlineStr"/>
      <c r="G44" s="61" t="inlineStr">
        <is>
          <t>Physical</t>
        </is>
      </c>
      <c r="H44" s="61" t="inlineStr"/>
      <c r="I44" s="61" t="inlineStr"/>
      <c r="J44" s="60" t="inlineStr"/>
      <c r="K44" s="61" t="inlineStr">
        <is>
          <t>Completed</t>
        </is>
      </c>
    </row>
    <row r="45" ht="22" customHeight="1">
      <c r="B45" s="14" t="inlineStr">
        <is>
          <t>DACT/2025/0041</t>
        </is>
      </c>
      <c r="C45" s="66" t="inlineStr">
        <is>
          <t>CSE Association (CSEA / CompSoc)</t>
        </is>
      </c>
      <c r="D45" s="15" t="inlineStr"/>
      <c r="E45" s="16" t="inlineStr">
        <is>
          <t>Community Service</t>
        </is>
      </c>
      <c r="F45" s="16" t="inlineStr"/>
      <c r="G45" s="16" t="inlineStr">
        <is>
          <t>Physical</t>
        </is>
      </c>
      <c r="H45" s="16" t="inlineStr"/>
      <c r="I45" s="16" t="inlineStr"/>
      <c r="J45" s="15" t="inlineStr"/>
      <c r="K45" s="16" t="inlineStr">
        <is>
          <t>Completed</t>
        </is>
      </c>
    </row>
    <row r="46" ht="22" customHeight="1">
      <c r="B46" s="32" t="inlineStr">
        <is>
          <t>DACT/2025/0042</t>
        </is>
      </c>
      <c r="C46" s="36" t="inlineStr">
        <is>
          <t>ECE Association (ECHOES / ElecSoc)</t>
        </is>
      </c>
      <c r="D46" s="33" t="inlineStr"/>
      <c r="E46" s="34" t="inlineStr">
        <is>
          <t>Training / Certification</t>
        </is>
      </c>
      <c r="F46" s="34" t="inlineStr"/>
      <c r="G46" s="34" t="inlineStr">
        <is>
          <t>Physical</t>
        </is>
      </c>
      <c r="H46" s="34" t="inlineStr"/>
      <c r="I46" s="34" t="inlineStr"/>
      <c r="J46" s="33" t="inlineStr"/>
      <c r="K46" s="34" t="inlineStr">
        <is>
          <t>Completed</t>
        </is>
      </c>
    </row>
    <row r="47" ht="22" customHeight="1">
      <c r="B47" s="39" t="inlineStr">
        <is>
          <t>DACT/2025/0043</t>
        </is>
      </c>
      <c r="C47" s="72" t="inlineStr">
        <is>
          <t>EEE Association (SPARK / ElecSoc)</t>
        </is>
      </c>
      <c r="D47" s="40" t="inlineStr"/>
      <c r="E47" s="41" t="inlineStr">
        <is>
          <t>Inter-Dept. Competition</t>
        </is>
      </c>
      <c r="F47" s="41" t="inlineStr"/>
      <c r="G47" s="41" t="inlineStr">
        <is>
          <t>Physical</t>
        </is>
      </c>
      <c r="H47" s="41" t="inlineStr"/>
      <c r="I47" s="41" t="inlineStr"/>
      <c r="J47" s="40" t="inlineStr"/>
      <c r="K47" s="41" t="inlineStr">
        <is>
          <t>Completed</t>
        </is>
      </c>
    </row>
    <row r="48" ht="22" customHeight="1">
      <c r="B48" s="42" t="inlineStr">
        <is>
          <t>DACT/2025/0044</t>
        </is>
      </c>
      <c r="C48" s="73" t="inlineStr">
        <is>
          <t>Mechanical Association (MECHSOC)</t>
        </is>
      </c>
      <c r="D48" s="43" t="inlineStr"/>
      <c r="E48" s="44" t="inlineStr">
        <is>
          <t>Online / Webinar</t>
        </is>
      </c>
      <c r="F48" s="44" t="inlineStr"/>
      <c r="G48" s="44" t="inlineStr">
        <is>
          <t>Physical</t>
        </is>
      </c>
      <c r="H48" s="44" t="inlineStr"/>
      <c r="I48" s="44" t="inlineStr"/>
      <c r="J48" s="43" t="inlineStr"/>
      <c r="K48" s="44" t="inlineStr">
        <is>
          <t>Completed</t>
        </is>
      </c>
    </row>
    <row r="49" ht="22" customHeight="1"/>
    <row r="50" ht="24" customHeight="1">
      <c r="B50" s="35" t="inlineStr">
        <is>
          <t>ANNUAL ACTIVITY SUMMARY — DA-WISE</t>
        </is>
      </c>
    </row>
    <row r="51" ht="22" customHeight="1">
      <c r="B51" s="31" t="inlineStr">
        <is>
          <t>Department Association</t>
        </is>
      </c>
      <c r="C51" s="31" t="inlineStr">
        <is>
          <t>Total
Activities</t>
        </is>
      </c>
      <c r="D51" s="31" t="inlineStr">
        <is>
          <t>Technical</t>
        </is>
      </c>
      <c r="E51" s="31" t="inlineStr">
        <is>
          <t>Workshops</t>
        </is>
      </c>
      <c r="F51" s="31" t="inlineStr">
        <is>
          <t>Guest
Lectures</t>
        </is>
      </c>
      <c r="G51" s="31" t="inlineStr">
        <is>
          <t>Fests</t>
        </is>
      </c>
      <c r="H51" s="31" t="inlineStr">
        <is>
          <t>Total
Participants</t>
        </is>
      </c>
      <c r="I51" s="31" t="inlineStr">
        <is>
          <t>Awards
Won</t>
        </is>
      </c>
      <c r="J51" s="31" t="inlineStr">
        <is>
          <t>Best
Activity</t>
        </is>
      </c>
    </row>
    <row r="52">
      <c r="B52" s="15" t="inlineStr">
        <is>
          <t>CSE Association (CSEA / CompSoc)</t>
        </is>
      </c>
      <c r="C52" s="16" t="inlineStr"/>
      <c r="D52" s="16" t="inlineStr"/>
      <c r="E52" s="16" t="inlineStr"/>
      <c r="F52" s="16" t="inlineStr"/>
      <c r="G52" s="16" t="inlineStr"/>
      <c r="H52" s="16" t="inlineStr"/>
      <c r="I52" s="16" t="inlineStr"/>
      <c r="J52" s="15" t="inlineStr"/>
      <c r="K52" s="79" t="n"/>
    </row>
    <row r="53">
      <c r="B53" s="33" t="inlineStr">
        <is>
          <t>ECE Association (ECHOES / ElecSoc)</t>
        </is>
      </c>
      <c r="C53" s="34" t="inlineStr"/>
      <c r="D53" s="34" t="inlineStr"/>
      <c r="E53" s="34" t="inlineStr"/>
      <c r="F53" s="34" t="inlineStr"/>
      <c r="G53" s="34" t="inlineStr"/>
      <c r="H53" s="34" t="inlineStr"/>
      <c r="I53" s="34" t="inlineStr"/>
      <c r="J53" s="33" t="inlineStr"/>
      <c r="K53" s="62" t="n"/>
    </row>
    <row r="54">
      <c r="B54" s="40" t="inlineStr">
        <is>
          <t>EEE Association (SPARK / ElecSoc)</t>
        </is>
      </c>
      <c r="C54" s="41" t="inlineStr"/>
      <c r="D54" s="41" t="inlineStr"/>
      <c r="E54" s="41" t="inlineStr"/>
      <c r="F54" s="41" t="inlineStr"/>
      <c r="G54" s="41" t="inlineStr"/>
      <c r="H54" s="41" t="inlineStr"/>
      <c r="I54" s="41" t="inlineStr"/>
      <c r="J54" s="40" t="inlineStr"/>
      <c r="K54" s="80" t="n"/>
    </row>
    <row r="55">
      <c r="B55" s="43" t="inlineStr">
        <is>
          <t>Mechanical Association (MECHSOC)</t>
        </is>
      </c>
      <c r="C55" s="44" t="inlineStr"/>
      <c r="D55" s="44" t="inlineStr"/>
      <c r="E55" s="44" t="inlineStr"/>
      <c r="F55" s="44" t="inlineStr"/>
      <c r="G55" s="44" t="inlineStr"/>
      <c r="H55" s="44" t="inlineStr"/>
      <c r="I55" s="44" t="inlineStr"/>
      <c r="J55" s="43" t="inlineStr"/>
      <c r="K55" s="81" t="n"/>
    </row>
    <row r="56">
      <c r="B56" s="46" t="inlineStr">
        <is>
          <t>Civil Association (STRUCTA / CIVILS)</t>
        </is>
      </c>
      <c r="C56" s="47" t="inlineStr"/>
      <c r="D56" s="47" t="inlineStr"/>
      <c r="E56" s="47" t="inlineStr"/>
      <c r="F56" s="47" t="inlineStr"/>
      <c r="G56" s="47" t="inlineStr"/>
      <c r="H56" s="47" t="inlineStr"/>
      <c r="I56" s="47" t="inlineStr"/>
      <c r="J56" s="46" t="inlineStr"/>
      <c r="K56" s="82" t="n"/>
    </row>
    <row r="57">
      <c r="B57" s="49" t="inlineStr">
        <is>
          <t>IT Association (ITSOC)</t>
        </is>
      </c>
      <c r="C57" s="50" t="inlineStr"/>
      <c r="D57" s="50" t="inlineStr"/>
      <c r="E57" s="50" t="inlineStr"/>
      <c r="F57" s="50" t="inlineStr"/>
      <c r="G57" s="50" t="inlineStr"/>
      <c r="H57" s="50" t="inlineStr"/>
      <c r="I57" s="50" t="inlineStr"/>
      <c r="J57" s="49" t="inlineStr"/>
      <c r="K57" s="83" t="n"/>
    </row>
    <row r="58">
      <c r="B58" s="52" t="inlineStr">
        <is>
          <t>Chemical Engineering Association</t>
        </is>
      </c>
      <c r="C58" s="53" t="inlineStr"/>
      <c r="D58" s="53" t="inlineStr"/>
      <c r="E58" s="53" t="inlineStr"/>
      <c r="F58" s="53" t="inlineStr"/>
      <c r="G58" s="53" t="inlineStr"/>
      <c r="H58" s="53" t="inlineStr"/>
      <c r="I58" s="53" t="inlineStr"/>
      <c r="J58" s="52" t="inlineStr"/>
      <c r="K58" s="84" t="n"/>
    </row>
    <row r="59">
      <c r="B59" s="55" t="inlineStr">
        <is>
          <t>Biotechnology Association</t>
        </is>
      </c>
      <c r="C59" s="56" t="inlineStr"/>
      <c r="D59" s="56" t="inlineStr"/>
      <c r="E59" s="56" t="inlineStr"/>
      <c r="F59" s="56" t="inlineStr"/>
      <c r="G59" s="56" t="inlineStr"/>
      <c r="H59" s="56" t="inlineStr"/>
      <c r="I59" s="56" t="inlineStr"/>
      <c r="J59" s="55" t="inlineStr"/>
      <c r="K59" s="85" t="n"/>
    </row>
    <row r="60">
      <c r="B60" s="24" t="inlineStr">
        <is>
          <t>TOTAL</t>
        </is>
      </c>
      <c r="C60" s="57" t="inlineStr"/>
      <c r="D60" s="57" t="inlineStr"/>
      <c r="E60" s="57" t="inlineStr"/>
      <c r="F60" s="57" t="inlineStr"/>
      <c r="G60" s="57" t="inlineStr"/>
      <c r="H60" s="57" t="inlineStr"/>
      <c r="I60" s="57" t="inlineStr"/>
      <c r="J60" s="24" t="inlineStr"/>
      <c r="K60" s="86" t="n"/>
    </row>
  </sheetData>
  <mergeCells count="3">
    <mergeCell ref="B50:K50"/>
    <mergeCell ref="B3:K3"/>
    <mergeCell ref="B2:K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K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12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3" customWidth="1" min="12" max="12"/>
  </cols>
  <sheetData>
    <row r="1" ht="10" customHeight="1"/>
    <row r="2" ht="48" customHeight="1">
      <c r="B2" s="18" t="inlineStr">
        <is>
          <t>ACT-03: DEPARTMENT ANNUAL SYMPOSIUM / TECHNICAL FEST REGISTER</t>
        </is>
      </c>
    </row>
    <row r="3" ht="25" customHeight="1">
      <c r="B3" s="2" t="inlineStr">
        <is>
          <t>A.Y.: _______  DACC Coordinator: ___________________</t>
        </is>
      </c>
    </row>
    <row r="4" ht="25" customHeight="1">
      <c r="B4" s="13" t="inlineStr">
        <is>
          <t>DA
Ref.</t>
        </is>
      </c>
      <c r="C4" s="13" t="inlineStr">
        <is>
          <t>Department Assoc.</t>
        </is>
      </c>
      <c r="D4" s="13" t="inlineStr">
        <is>
          <t>Symposium /
Fest Name</t>
        </is>
      </c>
      <c r="E4" s="13" t="inlineStr">
        <is>
          <t>Date(s)</t>
        </is>
      </c>
      <c r="F4" s="13" t="inlineStr">
        <is>
          <t>Chief
Guest</t>
        </is>
      </c>
      <c r="G4" s="13" t="inlineStr">
        <is>
          <t>External
Colleges</t>
        </is>
      </c>
      <c r="H4" s="13" t="inlineStr">
        <is>
          <t>Events
Conducted</t>
        </is>
      </c>
      <c r="I4" s="13" t="inlineStr">
        <is>
          <t>Total
Participants</t>
        </is>
      </c>
      <c r="J4" s="13" t="inlineStr">
        <is>
          <t>Sponsorship
(₹L)</t>
        </is>
      </c>
      <c r="K4" s="13" t="inlineStr">
        <is>
          <t>Outcome</t>
        </is>
      </c>
    </row>
    <row r="5" ht="22" customHeight="1">
      <c r="B5" s="14" t="inlineStr">
        <is>
          <t>DA/001</t>
        </is>
      </c>
      <c r="C5" s="15" t="inlineStr">
        <is>
          <t>CSE Association (CSEA / CompSoc)</t>
        </is>
      </c>
      <c r="D5" s="15" t="inlineStr"/>
      <c r="E5" s="16" t="inlineStr"/>
      <c r="F5" s="15" t="inlineStr"/>
      <c r="G5" s="16" t="inlineStr"/>
      <c r="H5" s="16" t="inlineStr"/>
      <c r="I5" s="16" t="inlineStr"/>
      <c r="J5" s="16" t="inlineStr"/>
      <c r="K5" s="16" t="inlineStr">
        <is>
          <t>Planned</t>
        </is>
      </c>
    </row>
    <row r="6" ht="22" customHeight="1">
      <c r="B6" s="32" t="inlineStr">
        <is>
          <t>DA/002</t>
        </is>
      </c>
      <c r="C6" s="33" t="inlineStr">
        <is>
          <t>ECE Association (ECHOES / ElecSoc)</t>
        </is>
      </c>
      <c r="D6" s="33" t="inlineStr"/>
      <c r="E6" s="34" t="inlineStr"/>
      <c r="F6" s="33" t="inlineStr"/>
      <c r="G6" s="34" t="inlineStr"/>
      <c r="H6" s="34" t="inlineStr"/>
      <c r="I6" s="34" t="inlineStr"/>
      <c r="J6" s="34" t="inlineStr"/>
      <c r="K6" s="34" t="inlineStr">
        <is>
          <t>Planned</t>
        </is>
      </c>
    </row>
    <row r="7" ht="22" customHeight="1">
      <c r="B7" s="39" t="inlineStr">
        <is>
          <t>DA/003</t>
        </is>
      </c>
      <c r="C7" s="40" t="inlineStr">
        <is>
          <t>EEE Association (SPARK / ElecSoc)</t>
        </is>
      </c>
      <c r="D7" s="40" t="inlineStr"/>
      <c r="E7" s="41" t="inlineStr"/>
      <c r="F7" s="40" t="inlineStr"/>
      <c r="G7" s="41" t="inlineStr"/>
      <c r="H7" s="41" t="inlineStr"/>
      <c r="I7" s="41" t="inlineStr"/>
      <c r="J7" s="41" t="inlineStr"/>
      <c r="K7" s="41" t="inlineStr">
        <is>
          <t>Planned</t>
        </is>
      </c>
    </row>
    <row r="8" ht="22" customHeight="1">
      <c r="B8" s="42" t="inlineStr">
        <is>
          <t>DA/004</t>
        </is>
      </c>
      <c r="C8" s="43" t="inlineStr">
        <is>
          <t>Mechanical Association (MECHSOC)</t>
        </is>
      </c>
      <c r="D8" s="43" t="inlineStr"/>
      <c r="E8" s="44" t="inlineStr"/>
      <c r="F8" s="43" t="inlineStr"/>
      <c r="G8" s="44" t="inlineStr"/>
      <c r="H8" s="44" t="inlineStr"/>
      <c r="I8" s="44" t="inlineStr"/>
      <c r="J8" s="44" t="inlineStr"/>
      <c r="K8" s="44" t="inlineStr">
        <is>
          <t>Planned</t>
        </is>
      </c>
    </row>
    <row r="9" ht="22" customHeight="1">
      <c r="B9" s="45" t="inlineStr">
        <is>
          <t>DA/005</t>
        </is>
      </c>
      <c r="C9" s="46" t="inlineStr">
        <is>
          <t>Civil Association (STRUCTA / CIVILS)</t>
        </is>
      </c>
      <c r="D9" s="46" t="inlineStr"/>
      <c r="E9" s="47" t="inlineStr"/>
      <c r="F9" s="46" t="inlineStr"/>
      <c r="G9" s="47" t="inlineStr"/>
      <c r="H9" s="47" t="inlineStr"/>
      <c r="I9" s="47" t="inlineStr"/>
      <c r="J9" s="47" t="inlineStr"/>
      <c r="K9" s="47" t="inlineStr">
        <is>
          <t>Planned</t>
        </is>
      </c>
    </row>
    <row r="10" ht="22" customHeight="1">
      <c r="B10" s="48" t="inlineStr">
        <is>
          <t>DA/006</t>
        </is>
      </c>
      <c r="C10" s="49" t="inlineStr">
        <is>
          <t>IT Association (ITSOC)</t>
        </is>
      </c>
      <c r="D10" s="49" t="inlineStr"/>
      <c r="E10" s="50" t="inlineStr"/>
      <c r="F10" s="49" t="inlineStr"/>
      <c r="G10" s="50" t="inlineStr"/>
      <c r="H10" s="50" t="inlineStr"/>
      <c r="I10" s="50" t="inlineStr"/>
      <c r="J10" s="50" t="inlineStr"/>
      <c r="K10" s="50" t="inlineStr">
        <is>
          <t>Planned</t>
        </is>
      </c>
    </row>
    <row r="11" ht="22" customHeight="1">
      <c r="B11" s="51" t="inlineStr">
        <is>
          <t>DA/007</t>
        </is>
      </c>
      <c r="C11" s="52" t="inlineStr">
        <is>
          <t>Chemical Engineering Association</t>
        </is>
      </c>
      <c r="D11" s="52" t="inlineStr"/>
      <c r="E11" s="53" t="inlineStr"/>
      <c r="F11" s="52" t="inlineStr"/>
      <c r="G11" s="53" t="inlineStr"/>
      <c r="H11" s="53" t="inlineStr"/>
      <c r="I11" s="53" t="inlineStr"/>
      <c r="J11" s="53" t="inlineStr"/>
      <c r="K11" s="53" t="inlineStr">
        <is>
          <t>Planned</t>
        </is>
      </c>
    </row>
    <row r="12" ht="22" customHeight="1">
      <c r="B12" s="54" t="inlineStr">
        <is>
          <t>DA/008</t>
        </is>
      </c>
      <c r="C12" s="55" t="inlineStr">
        <is>
          <t>Biotechnology Association</t>
        </is>
      </c>
      <c r="D12" s="55" t="inlineStr"/>
      <c r="E12" s="56" t="inlineStr"/>
      <c r="F12" s="55" t="inlineStr"/>
      <c r="G12" s="56" t="inlineStr"/>
      <c r="H12" s="56" t="inlineStr"/>
      <c r="I12" s="56" t="inlineStr"/>
      <c r="J12" s="56" t="inlineStr"/>
      <c r="K12" s="56" t="inlineStr">
        <is>
          <t>Planned</t>
        </is>
      </c>
    </row>
    <row r="13" ht="22" customHeight="1">
      <c r="B13" s="57" t="inlineStr">
        <is>
          <t>DA/009</t>
        </is>
      </c>
      <c r="C13" s="58" t="inlineStr">
        <is>
          <t>MBA Association (LEXICON / MGMT)</t>
        </is>
      </c>
      <c r="D13" s="58" t="inlineStr"/>
      <c r="E13" s="23" t="inlineStr"/>
      <c r="F13" s="58" t="inlineStr"/>
      <c r="G13" s="23" t="inlineStr"/>
      <c r="H13" s="23" t="inlineStr"/>
      <c r="I13" s="23" t="inlineStr"/>
      <c r="J13" s="23" t="inlineStr"/>
      <c r="K13" s="23" t="inlineStr">
        <is>
          <t>Planned</t>
        </is>
      </c>
    </row>
    <row r="14" ht="22" customHeight="1">
      <c r="B14" s="59" t="inlineStr">
        <is>
          <t>DA/010</t>
        </is>
      </c>
      <c r="C14" s="60" t="inlineStr">
        <is>
          <t>MCA Association (CODERS)</t>
        </is>
      </c>
      <c r="D14" s="60" t="inlineStr"/>
      <c r="E14" s="61" t="inlineStr"/>
      <c r="F14" s="60" t="inlineStr"/>
      <c r="G14" s="61" t="inlineStr"/>
      <c r="H14" s="61" t="inlineStr"/>
      <c r="I14" s="61" t="inlineStr"/>
      <c r="J14" s="61" t="inlineStr"/>
      <c r="K14" s="61" t="inlineStr">
        <is>
          <t>Planned</t>
        </is>
      </c>
    </row>
    <row r="15" ht="22" customHeight="1">
      <c r="B15" s="14" t="inlineStr">
        <is>
          <t>DA/011</t>
        </is>
      </c>
      <c r="C15" s="15" t="inlineStr">
        <is>
          <t>Sciences &amp; Humanities Association</t>
        </is>
      </c>
      <c r="D15" s="15" t="inlineStr"/>
      <c r="E15" s="16" t="inlineStr"/>
      <c r="F15" s="15" t="inlineStr"/>
      <c r="G15" s="16" t="inlineStr"/>
      <c r="H15" s="16" t="inlineStr"/>
      <c r="I15" s="16" t="inlineStr"/>
      <c r="J15" s="16" t="inlineStr"/>
      <c r="K15" s="16" t="inlineStr">
        <is>
          <t>Planned</t>
        </is>
      </c>
    </row>
    <row r="16" ht="22" customHeight="1">
      <c r="B16" s="32" t="inlineStr">
        <is>
          <t>DA/012</t>
        </is>
      </c>
      <c r="C16" s="33" t="inlineStr">
        <is>
          <t>Pharmacy Association</t>
        </is>
      </c>
      <c r="D16" s="33" t="inlineStr"/>
      <c r="E16" s="34" t="inlineStr"/>
      <c r="F16" s="33" t="inlineStr"/>
      <c r="G16" s="34" t="inlineStr"/>
      <c r="H16" s="34" t="inlineStr"/>
      <c r="I16" s="34" t="inlineStr"/>
      <c r="J16" s="34" t="inlineStr"/>
      <c r="K16" s="34" t="inlineStr">
        <is>
          <t>Planned</t>
        </is>
      </c>
    </row>
    <row r="17" ht="22" customHeight="1">
      <c r="B17" s="39" t="inlineStr">
        <is>
          <t>DA/013</t>
        </is>
      </c>
      <c r="C17" s="40" t="inlineStr">
        <is>
          <t>Architecture Association (ARCH)</t>
        </is>
      </c>
      <c r="D17" s="40" t="inlineStr"/>
      <c r="E17" s="41" t="inlineStr"/>
      <c r="F17" s="40" t="inlineStr"/>
      <c r="G17" s="41" t="inlineStr"/>
      <c r="H17" s="41" t="inlineStr"/>
      <c r="I17" s="41" t="inlineStr"/>
      <c r="J17" s="41" t="inlineStr"/>
      <c r="K17" s="41" t="inlineStr">
        <is>
          <t>Planned</t>
        </is>
      </c>
    </row>
    <row r="18" ht="22" customHeight="1">
      <c r="B18" s="42" t="inlineStr">
        <is>
          <t>DA/014</t>
        </is>
      </c>
      <c r="C18" s="43" t="inlineStr">
        <is>
          <t>Physics Society</t>
        </is>
      </c>
      <c r="D18" s="43" t="inlineStr"/>
      <c r="E18" s="44" t="inlineStr"/>
      <c r="F18" s="43" t="inlineStr"/>
      <c r="G18" s="44" t="inlineStr"/>
      <c r="H18" s="44" t="inlineStr"/>
      <c r="I18" s="44" t="inlineStr"/>
      <c r="J18" s="44" t="inlineStr"/>
      <c r="K18" s="44" t="inlineStr">
        <is>
          <t>Planned</t>
        </is>
      </c>
    </row>
    <row r="19" ht="22" customHeight="1"/>
    <row r="20" ht="24" customHeight="1">
      <c r="B20" s="35" t="inlineStr">
        <is>
          <t>SYMPOSIUM SUMMARY</t>
        </is>
      </c>
    </row>
    <row r="21" ht="22" customHeight="1">
      <c r="B21" s="66" t="inlineStr">
        <is>
          <t>Total Symposia / Fests</t>
        </is>
      </c>
      <c r="F21" s="37">
        <f>COUNTA(B5:B18)</f>
        <v/>
      </c>
    </row>
    <row r="22" ht="22" customHeight="1">
      <c r="B22" s="26" t="inlineStr">
        <is>
          <t>Total External Colleges Participated</t>
        </is>
      </c>
      <c r="F22" s="38">
        <f>IFERROR(SUM(G5:G18),"")</f>
        <v/>
      </c>
    </row>
    <row r="23" ht="22" customHeight="1">
      <c r="B23" s="66" t="inlineStr">
        <is>
          <t>Total Participants (all fests)</t>
        </is>
      </c>
      <c r="F23" s="37">
        <f>IFERROR(SUM(I5:I18),"")</f>
        <v/>
      </c>
    </row>
    <row r="24" ht="22" customHeight="1">
      <c r="B24" s="26" t="inlineStr">
        <is>
          <t>Total Sponsorship Mobilised (₹L)</t>
        </is>
      </c>
      <c r="F24" s="38">
        <f>IFERROR(SUM(J5:J18),"")</f>
        <v/>
      </c>
    </row>
    <row r="25" ht="22" customHeight="1">
      <c r="B25" s="66" t="inlineStr">
        <is>
          <t>Most Popular Event / DA</t>
        </is>
      </c>
      <c r="F25" s="37" t="inlineStr"/>
    </row>
    <row r="26" ht="22" customHeight="1">
      <c r="B26" s="26" t="inlineStr">
        <is>
          <t>Avg. Colleges per Symposium</t>
        </is>
      </c>
      <c r="F26" s="38">
        <f>IFERROR(ROUND(AVERAGE(G5:G18),0),"")</f>
        <v/>
      </c>
    </row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</sheetData>
  <mergeCells count="15">
    <mergeCell ref="B23:E23"/>
    <mergeCell ref="B22:E22"/>
    <mergeCell ref="F23:K23"/>
    <mergeCell ref="F24:K24"/>
    <mergeCell ref="F25:K25"/>
    <mergeCell ref="B26:E26"/>
    <mergeCell ref="F22:K22"/>
    <mergeCell ref="B21:E21"/>
    <mergeCell ref="F26:K26"/>
    <mergeCell ref="B25:E25"/>
    <mergeCell ref="B24:E24"/>
    <mergeCell ref="B2:K2"/>
    <mergeCell ref="B20:K20"/>
    <mergeCell ref="B3:K3"/>
    <mergeCell ref="F21:K2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J4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14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4" customWidth="1" min="10" max="10"/>
    <col width="3" customWidth="1" min="11" max="11"/>
  </cols>
  <sheetData>
    <row r="1" ht="10" customHeight="1"/>
    <row r="2" ht="48" customHeight="1">
      <c r="B2" s="18" t="inlineStr">
        <is>
          <t>ACT-04: INTERCOLLEGIATE / EXTERNAL COMPETITION REGISTER</t>
        </is>
      </c>
    </row>
    <row r="3" ht="25" customHeight="1">
      <c r="B3" s="2" t="inlineStr">
        <is>
          <t>A.Y.: _______  DACC Coordinator: ___________________  NAAC Ref.: Criterion V.3</t>
        </is>
      </c>
    </row>
    <row r="4" ht="25" customHeight="1">
      <c r="B4" s="13" t="inlineStr">
        <is>
          <t>Comp.
Ref.</t>
        </is>
      </c>
      <c r="C4" s="13" t="inlineStr">
        <is>
          <t>Competition / Event</t>
        </is>
      </c>
      <c r="D4" s="13" t="inlineStr">
        <is>
          <t>Organising
Institution</t>
        </is>
      </c>
      <c r="E4" s="13" t="inlineStr">
        <is>
          <t>DA /
Dept.</t>
        </is>
      </c>
      <c r="F4" s="13" t="inlineStr">
        <is>
          <t>Date</t>
        </is>
      </c>
      <c r="G4" s="13" t="inlineStr">
        <is>
          <t>Level</t>
        </is>
      </c>
      <c r="H4" s="13" t="inlineStr">
        <is>
          <t>Students
Participated</t>
        </is>
      </c>
      <c r="I4" s="13" t="inlineStr">
        <is>
          <t>Position /
Award</t>
        </is>
      </c>
      <c r="J4" s="13" t="inlineStr">
        <is>
          <t>Certificate
Received</t>
        </is>
      </c>
    </row>
    <row r="5" ht="22" customHeight="1">
      <c r="B5" s="14" t="inlineStr">
        <is>
          <t>EXT/2024/001</t>
        </is>
      </c>
      <c r="C5" s="15" t="inlineStr"/>
      <c r="D5" s="15" t="inlineStr"/>
      <c r="E5" s="16" t="inlineStr">
        <is>
          <t>CSE Association (CSEA / CompSoc)</t>
        </is>
      </c>
      <c r="F5" s="16" t="inlineStr"/>
      <c r="G5" s="16" t="inlineStr">
        <is>
          <t>Institutional</t>
        </is>
      </c>
      <c r="H5" s="16" t="inlineStr"/>
      <c r="I5" s="14" t="inlineStr">
        <is>
          <t>1st Prize</t>
        </is>
      </c>
      <c r="J5" s="16" t="inlineStr">
        <is>
          <t>Y</t>
        </is>
      </c>
    </row>
    <row r="6" ht="22" customHeight="1">
      <c r="B6" s="32" t="inlineStr">
        <is>
          <t>EXT/2024/002</t>
        </is>
      </c>
      <c r="C6" s="33" t="inlineStr"/>
      <c r="D6" s="33" t="inlineStr"/>
      <c r="E6" s="34" t="inlineStr">
        <is>
          <t>ECE Association (ECHOES / ElecSoc)</t>
        </is>
      </c>
      <c r="F6" s="34" t="inlineStr"/>
      <c r="G6" s="34" t="inlineStr">
        <is>
          <t>Inter-College</t>
        </is>
      </c>
      <c r="H6" s="34" t="inlineStr"/>
      <c r="I6" s="32" t="inlineStr">
        <is>
          <t>2nd Prize</t>
        </is>
      </c>
      <c r="J6" s="34" t="inlineStr">
        <is>
          <t>Y</t>
        </is>
      </c>
    </row>
    <row r="7" ht="22" customHeight="1">
      <c r="B7" s="39" t="inlineStr">
        <is>
          <t>EXT/2024/003</t>
        </is>
      </c>
      <c r="C7" s="40" t="inlineStr"/>
      <c r="D7" s="40" t="inlineStr"/>
      <c r="E7" s="41" t="inlineStr">
        <is>
          <t>EEE Association (SPARK / ElecSoc)</t>
        </is>
      </c>
      <c r="F7" s="41" t="inlineStr"/>
      <c r="G7" s="41" t="inlineStr">
        <is>
          <t>State</t>
        </is>
      </c>
      <c r="H7" s="41" t="inlineStr"/>
      <c r="I7" s="39" t="inlineStr">
        <is>
          <t>3rd Prize</t>
        </is>
      </c>
      <c r="J7" s="41" t="inlineStr">
        <is>
          <t>Y</t>
        </is>
      </c>
    </row>
    <row r="8" ht="22" customHeight="1">
      <c r="B8" s="42" t="inlineStr">
        <is>
          <t>EXT/2024/004</t>
        </is>
      </c>
      <c r="C8" s="43" t="inlineStr"/>
      <c r="D8" s="43" t="inlineStr"/>
      <c r="E8" s="44" t="inlineStr">
        <is>
          <t>Mechanical Association (MECHSOC)</t>
        </is>
      </c>
      <c r="F8" s="44" t="inlineStr"/>
      <c r="G8" s="44" t="inlineStr">
        <is>
          <t>National</t>
        </is>
      </c>
      <c r="H8" s="44" t="inlineStr"/>
      <c r="I8" s="42" t="inlineStr">
        <is>
          <t>Consolation</t>
        </is>
      </c>
      <c r="J8" s="44" t="inlineStr">
        <is>
          <t>Y</t>
        </is>
      </c>
    </row>
    <row r="9" ht="22" customHeight="1">
      <c r="B9" s="45" t="inlineStr">
        <is>
          <t>EXT/2024/005</t>
        </is>
      </c>
      <c r="C9" s="46" t="inlineStr"/>
      <c r="D9" s="46" t="inlineStr"/>
      <c r="E9" s="47" t="inlineStr">
        <is>
          <t>Civil Association (STRUCTA / CIVILS)</t>
        </is>
      </c>
      <c r="F9" s="47" t="inlineStr"/>
      <c r="G9" s="47" t="inlineStr">
        <is>
          <t>International</t>
        </is>
      </c>
      <c r="H9" s="47" t="inlineStr"/>
      <c r="I9" s="45" t="inlineStr">
        <is>
          <t>Finalist</t>
        </is>
      </c>
      <c r="J9" s="47" t="inlineStr">
        <is>
          <t>Y</t>
        </is>
      </c>
    </row>
    <row r="10" ht="22" customHeight="1">
      <c r="B10" s="48" t="inlineStr">
        <is>
          <t>EXT/2024/006</t>
        </is>
      </c>
      <c r="C10" s="49" t="inlineStr"/>
      <c r="D10" s="49" t="inlineStr"/>
      <c r="E10" s="50" t="inlineStr">
        <is>
          <t>IT Association (ITSOC)</t>
        </is>
      </c>
      <c r="F10" s="50" t="inlineStr"/>
      <c r="G10" s="50" t="inlineStr">
        <is>
          <t>Institutional</t>
        </is>
      </c>
      <c r="H10" s="50" t="inlineStr"/>
      <c r="I10" s="48" t="inlineStr">
        <is>
          <t>Participant</t>
        </is>
      </c>
      <c r="J10" s="50" t="inlineStr">
        <is>
          <t>Y</t>
        </is>
      </c>
    </row>
    <row r="11" ht="22" customHeight="1">
      <c r="B11" s="51" t="inlineStr">
        <is>
          <t>EXT/2024/007</t>
        </is>
      </c>
      <c r="C11" s="52" t="inlineStr"/>
      <c r="D11" s="52" t="inlineStr"/>
      <c r="E11" s="53" t="inlineStr">
        <is>
          <t>Chemical Engineering Association</t>
        </is>
      </c>
      <c r="F11" s="53" t="inlineStr"/>
      <c r="G11" s="53" t="inlineStr">
        <is>
          <t>Inter-College</t>
        </is>
      </c>
      <c r="H11" s="53" t="inlineStr"/>
      <c r="I11" s="51" t="inlineStr">
        <is>
          <t>Best Paper</t>
        </is>
      </c>
      <c r="J11" s="53" t="inlineStr">
        <is>
          <t>Y</t>
        </is>
      </c>
    </row>
    <row r="12" ht="22" customHeight="1">
      <c r="B12" s="54" t="inlineStr">
        <is>
          <t>EXT/2024/008</t>
        </is>
      </c>
      <c r="C12" s="55" t="inlineStr"/>
      <c r="D12" s="55" t="inlineStr"/>
      <c r="E12" s="56" t="inlineStr">
        <is>
          <t>Biotechnology Association</t>
        </is>
      </c>
      <c r="F12" s="56" t="inlineStr"/>
      <c r="G12" s="56" t="inlineStr">
        <is>
          <t>State</t>
        </is>
      </c>
      <c r="H12" s="56" t="inlineStr"/>
      <c r="I12" s="54" t="inlineStr">
        <is>
          <t>Best Project</t>
        </is>
      </c>
      <c r="J12" s="56" t="inlineStr">
        <is>
          <t>Y</t>
        </is>
      </c>
    </row>
    <row r="13" ht="22" customHeight="1">
      <c r="B13" s="57" t="inlineStr">
        <is>
          <t>EXT/2024/009</t>
        </is>
      </c>
      <c r="C13" s="58" t="inlineStr"/>
      <c r="D13" s="58" t="inlineStr"/>
      <c r="E13" s="23" t="inlineStr">
        <is>
          <t>MBA Association (LEXICON / MGMT)</t>
        </is>
      </c>
      <c r="F13" s="23" t="inlineStr"/>
      <c r="G13" s="23" t="inlineStr">
        <is>
          <t>National</t>
        </is>
      </c>
      <c r="H13" s="23" t="inlineStr"/>
      <c r="I13" s="57" t="inlineStr">
        <is>
          <t>Special Award</t>
        </is>
      </c>
      <c r="J13" s="23" t="inlineStr">
        <is>
          <t>Y</t>
        </is>
      </c>
    </row>
    <row r="14" ht="22" customHeight="1">
      <c r="B14" s="59" t="inlineStr">
        <is>
          <t>EXT/2024/010</t>
        </is>
      </c>
      <c r="C14" s="60" t="inlineStr"/>
      <c r="D14" s="60" t="inlineStr"/>
      <c r="E14" s="61" t="inlineStr">
        <is>
          <t>MCA Association (CODERS)</t>
        </is>
      </c>
      <c r="F14" s="61" t="inlineStr"/>
      <c r="G14" s="61" t="inlineStr">
        <is>
          <t>International</t>
        </is>
      </c>
      <c r="H14" s="61" t="inlineStr"/>
      <c r="I14" s="59" t="inlineStr">
        <is>
          <t>1st Prize</t>
        </is>
      </c>
      <c r="J14" s="61" t="inlineStr">
        <is>
          <t>Y</t>
        </is>
      </c>
    </row>
    <row r="15" ht="22" customHeight="1">
      <c r="B15" s="14" t="inlineStr">
        <is>
          <t>EXT/2024/011</t>
        </is>
      </c>
      <c r="C15" s="15" t="inlineStr"/>
      <c r="D15" s="15" t="inlineStr"/>
      <c r="E15" s="16" t="inlineStr">
        <is>
          <t>CSE Association (CSEA / CompSoc)</t>
        </is>
      </c>
      <c r="F15" s="16" t="inlineStr"/>
      <c r="G15" s="16" t="inlineStr">
        <is>
          <t>Institutional</t>
        </is>
      </c>
      <c r="H15" s="16" t="inlineStr"/>
      <c r="I15" s="14" t="inlineStr">
        <is>
          <t>2nd Prize</t>
        </is>
      </c>
      <c r="J15" s="16" t="inlineStr">
        <is>
          <t>Y</t>
        </is>
      </c>
    </row>
    <row r="16" ht="22" customHeight="1">
      <c r="B16" s="32" t="inlineStr">
        <is>
          <t>EXT/2024/012</t>
        </is>
      </c>
      <c r="C16" s="33" t="inlineStr"/>
      <c r="D16" s="33" t="inlineStr"/>
      <c r="E16" s="34" t="inlineStr">
        <is>
          <t>ECE Association (ECHOES / ElecSoc)</t>
        </is>
      </c>
      <c r="F16" s="34" t="inlineStr"/>
      <c r="G16" s="34" t="inlineStr">
        <is>
          <t>Inter-College</t>
        </is>
      </c>
      <c r="H16" s="34" t="inlineStr"/>
      <c r="I16" s="32" t="inlineStr">
        <is>
          <t>3rd Prize</t>
        </is>
      </c>
      <c r="J16" s="34" t="inlineStr">
        <is>
          <t>Y</t>
        </is>
      </c>
    </row>
    <row r="17" ht="22" customHeight="1">
      <c r="B17" s="39" t="inlineStr">
        <is>
          <t>EXT/2024/013</t>
        </is>
      </c>
      <c r="C17" s="40" t="inlineStr"/>
      <c r="D17" s="40" t="inlineStr"/>
      <c r="E17" s="41" t="inlineStr">
        <is>
          <t>EEE Association (SPARK / ElecSoc)</t>
        </is>
      </c>
      <c r="F17" s="41" t="inlineStr"/>
      <c r="G17" s="41" t="inlineStr">
        <is>
          <t>State</t>
        </is>
      </c>
      <c r="H17" s="41" t="inlineStr"/>
      <c r="I17" s="39" t="inlineStr">
        <is>
          <t>Consolation</t>
        </is>
      </c>
      <c r="J17" s="41" t="inlineStr">
        <is>
          <t>Y</t>
        </is>
      </c>
    </row>
    <row r="18" ht="22" customHeight="1">
      <c r="B18" s="42" t="inlineStr">
        <is>
          <t>EXT/2024/014</t>
        </is>
      </c>
      <c r="C18" s="43" t="inlineStr"/>
      <c r="D18" s="43" t="inlineStr"/>
      <c r="E18" s="44" t="inlineStr">
        <is>
          <t>Mechanical Association (MECHSOC)</t>
        </is>
      </c>
      <c r="F18" s="44" t="inlineStr"/>
      <c r="G18" s="44" t="inlineStr">
        <is>
          <t>National</t>
        </is>
      </c>
      <c r="H18" s="44" t="inlineStr"/>
      <c r="I18" s="42" t="inlineStr">
        <is>
          <t>Finalist</t>
        </is>
      </c>
      <c r="J18" s="44" t="inlineStr">
        <is>
          <t>Y</t>
        </is>
      </c>
    </row>
    <row r="19" ht="22" customHeight="1">
      <c r="B19" s="45" t="inlineStr">
        <is>
          <t>EXT/2025/015</t>
        </is>
      </c>
      <c r="C19" s="46" t="inlineStr"/>
      <c r="D19" s="46" t="inlineStr"/>
      <c r="E19" s="47" t="inlineStr">
        <is>
          <t>Civil Association (STRUCTA / CIVILS)</t>
        </is>
      </c>
      <c r="F19" s="47" t="inlineStr"/>
      <c r="G19" s="47" t="inlineStr">
        <is>
          <t>International</t>
        </is>
      </c>
      <c r="H19" s="47" t="inlineStr"/>
      <c r="I19" s="45" t="inlineStr">
        <is>
          <t>Participant</t>
        </is>
      </c>
      <c r="J19" s="47" t="inlineStr">
        <is>
          <t>Y</t>
        </is>
      </c>
    </row>
    <row r="20" ht="22" customHeight="1">
      <c r="B20" s="48" t="inlineStr">
        <is>
          <t>EXT/2025/016</t>
        </is>
      </c>
      <c r="C20" s="49" t="inlineStr"/>
      <c r="D20" s="49" t="inlineStr"/>
      <c r="E20" s="50" t="inlineStr">
        <is>
          <t>IT Association (ITSOC)</t>
        </is>
      </c>
      <c r="F20" s="50" t="inlineStr"/>
      <c r="G20" s="50" t="inlineStr">
        <is>
          <t>Institutional</t>
        </is>
      </c>
      <c r="H20" s="50" t="inlineStr"/>
      <c r="I20" s="48" t="inlineStr">
        <is>
          <t>Best Paper</t>
        </is>
      </c>
      <c r="J20" s="50" t="inlineStr">
        <is>
          <t>Y</t>
        </is>
      </c>
    </row>
    <row r="21" ht="22" customHeight="1">
      <c r="B21" s="51" t="inlineStr">
        <is>
          <t>EXT/2025/017</t>
        </is>
      </c>
      <c r="C21" s="52" t="inlineStr"/>
      <c r="D21" s="52" t="inlineStr"/>
      <c r="E21" s="53" t="inlineStr">
        <is>
          <t>Chemical Engineering Association</t>
        </is>
      </c>
      <c r="F21" s="53" t="inlineStr"/>
      <c r="G21" s="53" t="inlineStr">
        <is>
          <t>Inter-College</t>
        </is>
      </c>
      <c r="H21" s="53" t="inlineStr"/>
      <c r="I21" s="51" t="inlineStr">
        <is>
          <t>Best Project</t>
        </is>
      </c>
      <c r="J21" s="53" t="inlineStr">
        <is>
          <t>Y</t>
        </is>
      </c>
    </row>
    <row r="22" ht="22" customHeight="1">
      <c r="B22" s="54" t="inlineStr">
        <is>
          <t>EXT/2025/018</t>
        </is>
      </c>
      <c r="C22" s="55" t="inlineStr"/>
      <c r="D22" s="55" t="inlineStr"/>
      <c r="E22" s="56" t="inlineStr">
        <is>
          <t>Biotechnology Association</t>
        </is>
      </c>
      <c r="F22" s="56" t="inlineStr"/>
      <c r="G22" s="56" t="inlineStr">
        <is>
          <t>State</t>
        </is>
      </c>
      <c r="H22" s="56" t="inlineStr"/>
      <c r="I22" s="54" t="inlineStr">
        <is>
          <t>Special Award</t>
        </is>
      </c>
      <c r="J22" s="56" t="inlineStr">
        <is>
          <t>Y</t>
        </is>
      </c>
    </row>
    <row r="23" ht="22" customHeight="1">
      <c r="B23" s="57" t="inlineStr">
        <is>
          <t>EXT/2025/019</t>
        </is>
      </c>
      <c r="C23" s="58" t="inlineStr"/>
      <c r="D23" s="58" t="inlineStr"/>
      <c r="E23" s="23" t="inlineStr">
        <is>
          <t>MBA Association (LEXICON / MGMT)</t>
        </is>
      </c>
      <c r="F23" s="23" t="inlineStr"/>
      <c r="G23" s="23" t="inlineStr">
        <is>
          <t>National</t>
        </is>
      </c>
      <c r="H23" s="23" t="inlineStr"/>
      <c r="I23" s="57" t="inlineStr">
        <is>
          <t>1st Prize</t>
        </is>
      </c>
      <c r="J23" s="23" t="inlineStr">
        <is>
          <t>Y</t>
        </is>
      </c>
    </row>
    <row r="24" ht="22" customHeight="1">
      <c r="B24" s="59" t="inlineStr">
        <is>
          <t>EXT/2025/020</t>
        </is>
      </c>
      <c r="C24" s="60" t="inlineStr"/>
      <c r="D24" s="60" t="inlineStr"/>
      <c r="E24" s="61" t="inlineStr">
        <is>
          <t>MCA Association (CODERS)</t>
        </is>
      </c>
      <c r="F24" s="61" t="inlineStr"/>
      <c r="G24" s="61" t="inlineStr">
        <is>
          <t>International</t>
        </is>
      </c>
      <c r="H24" s="61" t="inlineStr"/>
      <c r="I24" s="59" t="inlineStr">
        <is>
          <t>2nd Prize</t>
        </is>
      </c>
      <c r="J24" s="61" t="inlineStr">
        <is>
          <t>Y</t>
        </is>
      </c>
    </row>
    <row r="25" ht="22" customHeight="1">
      <c r="B25" s="14" t="inlineStr">
        <is>
          <t>EXT/2025/021</t>
        </is>
      </c>
      <c r="C25" s="15" t="inlineStr"/>
      <c r="D25" s="15" t="inlineStr"/>
      <c r="E25" s="16" t="inlineStr">
        <is>
          <t>CSE Association (CSEA / CompSoc)</t>
        </is>
      </c>
      <c r="F25" s="16" t="inlineStr"/>
      <c r="G25" s="16" t="inlineStr">
        <is>
          <t>Institutional</t>
        </is>
      </c>
      <c r="H25" s="16" t="inlineStr"/>
      <c r="I25" s="14" t="inlineStr">
        <is>
          <t>3rd Prize</t>
        </is>
      </c>
      <c r="J25" s="16" t="inlineStr">
        <is>
          <t>Y</t>
        </is>
      </c>
    </row>
    <row r="26" ht="22" customHeight="1">
      <c r="B26" s="32" t="inlineStr">
        <is>
          <t>EXT/2025/022</t>
        </is>
      </c>
      <c r="C26" s="33" t="inlineStr"/>
      <c r="D26" s="33" t="inlineStr"/>
      <c r="E26" s="34" t="inlineStr">
        <is>
          <t>ECE Association (ECHOES / ElecSoc)</t>
        </is>
      </c>
      <c r="F26" s="34" t="inlineStr"/>
      <c r="G26" s="34" t="inlineStr">
        <is>
          <t>Inter-College</t>
        </is>
      </c>
      <c r="H26" s="34" t="inlineStr"/>
      <c r="I26" s="32" t="inlineStr">
        <is>
          <t>Consolation</t>
        </is>
      </c>
      <c r="J26" s="34" t="inlineStr">
        <is>
          <t>Y</t>
        </is>
      </c>
    </row>
    <row r="27" ht="22" customHeight="1">
      <c r="B27" s="39" t="inlineStr">
        <is>
          <t>EXT/2025/023</t>
        </is>
      </c>
      <c r="C27" s="40" t="inlineStr"/>
      <c r="D27" s="40" t="inlineStr"/>
      <c r="E27" s="41" t="inlineStr">
        <is>
          <t>EEE Association (SPARK / ElecSoc)</t>
        </is>
      </c>
      <c r="F27" s="41" t="inlineStr"/>
      <c r="G27" s="41" t="inlineStr">
        <is>
          <t>State</t>
        </is>
      </c>
      <c r="H27" s="41" t="inlineStr"/>
      <c r="I27" s="39" t="inlineStr">
        <is>
          <t>Finalist</t>
        </is>
      </c>
      <c r="J27" s="41" t="inlineStr">
        <is>
          <t>Y</t>
        </is>
      </c>
    </row>
    <row r="28" ht="22" customHeight="1">
      <c r="B28" s="42" t="inlineStr">
        <is>
          <t>EXT/2025/024</t>
        </is>
      </c>
      <c r="C28" s="43" t="inlineStr"/>
      <c r="D28" s="43" t="inlineStr"/>
      <c r="E28" s="44" t="inlineStr">
        <is>
          <t>Mechanical Association (MECHSOC)</t>
        </is>
      </c>
      <c r="F28" s="44" t="inlineStr"/>
      <c r="G28" s="44" t="inlineStr">
        <is>
          <t>National</t>
        </is>
      </c>
      <c r="H28" s="44" t="inlineStr"/>
      <c r="I28" s="42" t="inlineStr">
        <is>
          <t>Participant</t>
        </is>
      </c>
      <c r="J28" s="44" t="inlineStr">
        <is>
          <t>Y</t>
        </is>
      </c>
    </row>
    <row r="29" ht="22" customHeight="1">
      <c r="B29" s="45" t="inlineStr">
        <is>
          <t>EXT/2025/025</t>
        </is>
      </c>
      <c r="C29" s="46" t="inlineStr"/>
      <c r="D29" s="46" t="inlineStr"/>
      <c r="E29" s="47" t="inlineStr">
        <is>
          <t>Civil Association (STRUCTA / CIVILS)</t>
        </is>
      </c>
      <c r="F29" s="47" t="inlineStr"/>
      <c r="G29" s="47" t="inlineStr">
        <is>
          <t>International</t>
        </is>
      </c>
      <c r="H29" s="47" t="inlineStr"/>
      <c r="I29" s="45" t="inlineStr">
        <is>
          <t>Best Paper</t>
        </is>
      </c>
      <c r="J29" s="47" t="inlineStr">
        <is>
          <t>Y</t>
        </is>
      </c>
    </row>
    <row r="30" ht="22" customHeight="1">
      <c r="B30" s="48" t="inlineStr">
        <is>
          <t>EXT/2025/026</t>
        </is>
      </c>
      <c r="C30" s="49" t="inlineStr"/>
      <c r="D30" s="49" t="inlineStr"/>
      <c r="E30" s="50" t="inlineStr">
        <is>
          <t>IT Association (ITSOC)</t>
        </is>
      </c>
      <c r="F30" s="50" t="inlineStr"/>
      <c r="G30" s="50" t="inlineStr">
        <is>
          <t>Institutional</t>
        </is>
      </c>
      <c r="H30" s="50" t="inlineStr"/>
      <c r="I30" s="48" t="inlineStr">
        <is>
          <t>Best Project</t>
        </is>
      </c>
      <c r="J30" s="50" t="inlineStr">
        <is>
          <t>Y</t>
        </is>
      </c>
    </row>
    <row r="31" ht="22" customHeight="1">
      <c r="B31" s="51" t="inlineStr">
        <is>
          <t>EXT/2025/027</t>
        </is>
      </c>
      <c r="C31" s="52" t="inlineStr"/>
      <c r="D31" s="52" t="inlineStr"/>
      <c r="E31" s="53" t="inlineStr">
        <is>
          <t>Chemical Engineering Association</t>
        </is>
      </c>
      <c r="F31" s="53" t="inlineStr"/>
      <c r="G31" s="53" t="inlineStr">
        <is>
          <t>Inter-College</t>
        </is>
      </c>
      <c r="H31" s="53" t="inlineStr"/>
      <c r="I31" s="51" t="inlineStr">
        <is>
          <t>Special Award</t>
        </is>
      </c>
      <c r="J31" s="53" t="inlineStr">
        <is>
          <t>Y</t>
        </is>
      </c>
    </row>
    <row r="32" ht="22" customHeight="1">
      <c r="B32" s="54" t="inlineStr">
        <is>
          <t>EXT/2025/028</t>
        </is>
      </c>
      <c r="C32" s="55" t="inlineStr"/>
      <c r="D32" s="55" t="inlineStr"/>
      <c r="E32" s="56" t="inlineStr">
        <is>
          <t>Biotechnology Association</t>
        </is>
      </c>
      <c r="F32" s="56" t="inlineStr"/>
      <c r="G32" s="56" t="inlineStr">
        <is>
          <t>State</t>
        </is>
      </c>
      <c r="H32" s="56" t="inlineStr"/>
      <c r="I32" s="54" t="inlineStr">
        <is>
          <t>1st Prize</t>
        </is>
      </c>
      <c r="J32" s="56" t="inlineStr">
        <is>
          <t>Y</t>
        </is>
      </c>
    </row>
    <row r="33" ht="22" customHeight="1"/>
    <row r="34" ht="24" customHeight="1">
      <c r="B34" s="35" t="inlineStr">
        <is>
          <t>COMPETITION ACHIEVEMENT SUMMARY</t>
        </is>
      </c>
    </row>
    <row r="35">
      <c r="B35" s="66" t="inlineStr">
        <is>
          <t>Total Competitions Participated</t>
        </is>
      </c>
      <c r="F35" s="37">
        <f>COUNTA(B5:B32)</f>
        <v/>
      </c>
    </row>
    <row r="36">
      <c r="B36" s="26" t="inlineStr">
        <is>
          <t>1st Prizes Won</t>
        </is>
      </c>
      <c r="F36" s="38">
        <f>COUNTIF(I5:I32,"1st Prize")</f>
        <v/>
      </c>
    </row>
    <row r="37">
      <c r="B37" s="66" t="inlineStr">
        <is>
          <t>2nd Prizes Won</t>
        </is>
      </c>
      <c r="F37" s="37">
        <f>COUNTIF(I5:I32,"2nd Prize")</f>
        <v/>
      </c>
    </row>
    <row r="38">
      <c r="B38" s="26" t="inlineStr">
        <is>
          <t>3rd Prizes Won</t>
        </is>
      </c>
      <c r="F38" s="38">
        <f>COUNTIF(I5:I32,"3rd Prize")</f>
        <v/>
      </c>
    </row>
    <row r="39">
      <c r="B39" s="66" t="inlineStr">
        <is>
          <t>State / National Level</t>
        </is>
      </c>
      <c r="F39" s="37">
        <f>COUNTIF(G5:G32,"State")+COUNTIF(G5:G32,"National")</f>
        <v/>
      </c>
    </row>
    <row r="40">
      <c r="B40" s="26" t="inlineStr">
        <is>
          <t>Students Represented</t>
        </is>
      </c>
      <c r="F40" s="38">
        <f>IFERROR(SUM(H5:H32),"")</f>
        <v/>
      </c>
    </row>
  </sheetData>
  <mergeCells count="15">
    <mergeCell ref="B40:E40"/>
    <mergeCell ref="B3:J3"/>
    <mergeCell ref="B34:J34"/>
    <mergeCell ref="B35:E35"/>
    <mergeCell ref="F37:J37"/>
    <mergeCell ref="F39:J39"/>
    <mergeCell ref="F40:J40"/>
    <mergeCell ref="F38:J38"/>
    <mergeCell ref="B38:E38"/>
    <mergeCell ref="F36:J36"/>
    <mergeCell ref="B39:E39"/>
    <mergeCell ref="B37:E37"/>
    <mergeCell ref="F35:J35"/>
    <mergeCell ref="B36:E36"/>
    <mergeCell ref="B2:J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J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4" customWidth="1" min="3" max="3"/>
    <col width="16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3" customWidth="1" min="11" max="11"/>
  </cols>
  <sheetData>
    <row r="1" ht="10" customHeight="1"/>
    <row r="2" ht="48" customHeight="1">
      <c r="B2" s="18" t="inlineStr">
        <is>
          <t>ACT-05: DA GUEST LECTURE &amp; EXPERT TALK REGISTER</t>
        </is>
      </c>
    </row>
    <row r="3" ht="25" customHeight="1">
      <c r="B3" s="2" t="inlineStr">
        <is>
          <t>A.Y.: _______  DACC Coordinator: ___________________  NAAC Ref.: Criterion II.4 / V.1</t>
        </is>
      </c>
    </row>
    <row r="4" ht="25" customHeight="1">
      <c r="B4" s="13" t="inlineStr">
        <is>
          <t>Event
Ref.</t>
        </is>
      </c>
      <c r="C4" s="13" t="inlineStr">
        <is>
          <t>Expert / Speaker Name</t>
        </is>
      </c>
      <c r="D4" s="13" t="inlineStr">
        <is>
          <t>Organisation &amp;
Designation</t>
        </is>
      </c>
      <c r="E4" s="13" t="inlineStr">
        <is>
          <t>Topic</t>
        </is>
      </c>
      <c r="F4" s="13" t="inlineStr">
        <is>
          <t>Organising
DA</t>
        </is>
      </c>
      <c r="G4" s="13" t="inlineStr">
        <is>
          <t>Date</t>
        </is>
      </c>
      <c r="H4" s="13" t="inlineStr">
        <is>
          <t>Mode</t>
        </is>
      </c>
      <c r="I4" s="13" t="inlineStr">
        <is>
          <t>Students
Attended</t>
        </is>
      </c>
      <c r="J4" s="13" t="inlineStr">
        <is>
          <t>Feedback
Score (/5)</t>
        </is>
      </c>
    </row>
    <row r="5" ht="22" customHeight="1">
      <c r="B5" s="14" t="inlineStr">
        <is>
          <t>LECT/2024/001</t>
        </is>
      </c>
      <c r="C5" s="15" t="inlineStr"/>
      <c r="D5" s="15" t="inlineStr"/>
      <c r="E5" s="15" t="inlineStr">
        <is>
          <t>AI &amp; Machine Learning in Industry</t>
        </is>
      </c>
      <c r="F5" s="16" t="inlineStr">
        <is>
          <t>CSE Association (CSEA / CompSoc)</t>
        </is>
      </c>
      <c r="G5" s="16" t="inlineStr"/>
      <c r="H5" s="16" t="inlineStr">
        <is>
          <t>Physical</t>
        </is>
      </c>
      <c r="I5" s="16" t="inlineStr"/>
      <c r="J5" s="16" t="inlineStr"/>
    </row>
    <row r="6" ht="22" customHeight="1">
      <c r="B6" s="32" t="inlineStr">
        <is>
          <t>LECT/2024/002</t>
        </is>
      </c>
      <c r="C6" s="33" t="inlineStr"/>
      <c r="D6" s="33" t="inlineStr"/>
      <c r="E6" s="33" t="inlineStr">
        <is>
          <t>IoT &amp; Smart Systems</t>
        </is>
      </c>
      <c r="F6" s="34" t="inlineStr">
        <is>
          <t>ECE Association (ECHOES / ElecSoc)</t>
        </is>
      </c>
      <c r="G6" s="34" t="inlineStr"/>
      <c r="H6" s="34" t="inlineStr">
        <is>
          <t>Physical</t>
        </is>
      </c>
      <c r="I6" s="34" t="inlineStr"/>
      <c r="J6" s="34" t="inlineStr"/>
    </row>
    <row r="7" ht="22" customHeight="1">
      <c r="B7" s="39" t="inlineStr">
        <is>
          <t>LECT/2024/003</t>
        </is>
      </c>
      <c r="C7" s="40" t="inlineStr"/>
      <c r="D7" s="40" t="inlineStr"/>
      <c r="E7" s="40" t="inlineStr">
        <is>
          <t>Blockchain &amp; Fintech</t>
        </is>
      </c>
      <c r="F7" s="41" t="inlineStr">
        <is>
          <t>EEE Association (SPARK / ElecSoc)</t>
        </is>
      </c>
      <c r="G7" s="41" t="inlineStr"/>
      <c r="H7" s="41" t="inlineStr">
        <is>
          <t>Physical</t>
        </is>
      </c>
      <c r="I7" s="41" t="inlineStr"/>
      <c r="J7" s="41" t="inlineStr"/>
    </row>
    <row r="8" ht="22" customHeight="1">
      <c r="B8" s="42" t="inlineStr">
        <is>
          <t>LECT/2024/004</t>
        </is>
      </c>
      <c r="C8" s="43" t="inlineStr"/>
      <c r="D8" s="43" t="inlineStr"/>
      <c r="E8" s="43" t="inlineStr">
        <is>
          <t>Sustainable Engineering</t>
        </is>
      </c>
      <c r="F8" s="44" t="inlineStr">
        <is>
          <t>Mechanical Association (MECHSOC)</t>
        </is>
      </c>
      <c r="G8" s="44" t="inlineStr"/>
      <c r="H8" s="44" t="inlineStr">
        <is>
          <t>Physical</t>
        </is>
      </c>
      <c r="I8" s="44" t="inlineStr"/>
      <c r="J8" s="44" t="inlineStr"/>
    </row>
    <row r="9" ht="22" customHeight="1">
      <c r="B9" s="45" t="inlineStr">
        <is>
          <t>LECT/2024/005</t>
        </is>
      </c>
      <c r="C9" s="46" t="inlineStr"/>
      <c r="D9" s="46" t="inlineStr"/>
      <c r="E9" s="46" t="inlineStr">
        <is>
          <t>Advanced Manufacturing</t>
        </is>
      </c>
      <c r="F9" s="47" t="inlineStr">
        <is>
          <t>Civil Association (STRUCTA / CIVILS)</t>
        </is>
      </c>
      <c r="G9" s="47" t="inlineStr"/>
      <c r="H9" s="47" t="inlineStr">
        <is>
          <t>Physical</t>
        </is>
      </c>
      <c r="I9" s="47" t="inlineStr"/>
      <c r="J9" s="47" t="inlineStr"/>
    </row>
    <row r="10" ht="22" customHeight="1">
      <c r="B10" s="48" t="inlineStr">
        <is>
          <t>LECT/2024/006</t>
        </is>
      </c>
      <c r="C10" s="49" t="inlineStr"/>
      <c r="D10" s="49" t="inlineStr"/>
      <c r="E10" s="49" t="inlineStr">
        <is>
          <t>Digital Marketing &amp; Analytics</t>
        </is>
      </c>
      <c r="F10" s="50" t="inlineStr">
        <is>
          <t>IT Association (ITSOC)</t>
        </is>
      </c>
      <c r="G10" s="50" t="inlineStr"/>
      <c r="H10" s="50" t="inlineStr">
        <is>
          <t>Physical</t>
        </is>
      </c>
      <c r="I10" s="50" t="inlineStr"/>
      <c r="J10" s="50" t="inlineStr"/>
    </row>
    <row r="11" ht="22" customHeight="1">
      <c r="B11" s="51" t="inlineStr">
        <is>
          <t>LECT/2024/007</t>
        </is>
      </c>
      <c r="C11" s="52" t="inlineStr"/>
      <c r="D11" s="52" t="inlineStr"/>
      <c r="E11" s="52" t="inlineStr">
        <is>
          <t>Financial Modelling</t>
        </is>
      </c>
      <c r="F11" s="53" t="inlineStr">
        <is>
          <t>Chemical Engineering Association</t>
        </is>
      </c>
      <c r="G11" s="53" t="inlineStr"/>
      <c r="H11" s="53" t="inlineStr">
        <is>
          <t>Physical</t>
        </is>
      </c>
      <c r="I11" s="53" t="inlineStr"/>
      <c r="J11" s="53" t="inlineStr"/>
    </row>
    <row r="12" ht="22" customHeight="1">
      <c r="B12" s="54" t="inlineStr">
        <is>
          <t>LECT/2024/008</t>
        </is>
      </c>
      <c r="C12" s="55" t="inlineStr"/>
      <c r="D12" s="55" t="inlineStr"/>
      <c r="E12" s="55" t="inlineStr">
        <is>
          <t>Startup Ecosystem &amp; Funding</t>
        </is>
      </c>
      <c r="F12" s="56" t="inlineStr">
        <is>
          <t>Biotechnology Association</t>
        </is>
      </c>
      <c r="G12" s="56" t="inlineStr"/>
      <c r="H12" s="56" t="inlineStr">
        <is>
          <t>Physical</t>
        </is>
      </c>
      <c r="I12" s="56" t="inlineStr"/>
      <c r="J12" s="56" t="inlineStr"/>
    </row>
    <row r="13" ht="22" customHeight="1">
      <c r="B13" s="57" t="inlineStr">
        <is>
          <t>LECT/2024/009</t>
        </is>
      </c>
      <c r="C13" s="58" t="inlineStr"/>
      <c r="D13" s="58" t="inlineStr"/>
      <c r="E13" s="58" t="inlineStr">
        <is>
          <t>Patent Filing &amp; IPR</t>
        </is>
      </c>
      <c r="F13" s="23" t="inlineStr">
        <is>
          <t>MBA Association (LEXICON / MGMT)</t>
        </is>
      </c>
      <c r="G13" s="23" t="inlineStr"/>
      <c r="H13" s="23" t="inlineStr">
        <is>
          <t>Physical</t>
        </is>
      </c>
      <c r="I13" s="23" t="inlineStr"/>
      <c r="J13" s="23" t="inlineStr"/>
    </row>
    <row r="14" ht="22" customHeight="1">
      <c r="B14" s="59" t="inlineStr">
        <is>
          <t>LECT/2024/010</t>
        </is>
      </c>
      <c r="C14" s="60" t="inlineStr"/>
      <c r="D14" s="60" t="inlineStr"/>
      <c r="E14" s="60" t="inlineStr">
        <is>
          <t>Research Methodology</t>
        </is>
      </c>
      <c r="F14" s="61" t="inlineStr">
        <is>
          <t>MCA Association (CODERS)</t>
        </is>
      </c>
      <c r="G14" s="61" t="inlineStr"/>
      <c r="H14" s="61" t="inlineStr">
        <is>
          <t>Physical</t>
        </is>
      </c>
      <c r="I14" s="61" t="inlineStr"/>
      <c r="J14" s="61" t="inlineStr"/>
    </row>
    <row r="15" ht="22" customHeight="1">
      <c r="B15" s="14" t="inlineStr">
        <is>
          <t>LECT/2024/011</t>
        </is>
      </c>
      <c r="C15" s="15" t="inlineStr"/>
      <c r="D15" s="15" t="inlineStr"/>
      <c r="E15" s="15" t="inlineStr">
        <is>
          <t>Cloud Architecture</t>
        </is>
      </c>
      <c r="F15" s="16" t="inlineStr">
        <is>
          <t>CSE Association (CSEA / CompSoc)</t>
        </is>
      </c>
      <c r="G15" s="16" t="inlineStr"/>
      <c r="H15" s="16" t="inlineStr">
        <is>
          <t>Physical</t>
        </is>
      </c>
      <c r="I15" s="16" t="inlineStr"/>
      <c r="J15" s="16" t="inlineStr"/>
    </row>
    <row r="16" ht="22" customHeight="1">
      <c r="B16" s="32" t="inlineStr">
        <is>
          <t>LECT/2024/012</t>
        </is>
      </c>
      <c r="C16" s="33" t="inlineStr"/>
      <c r="D16" s="33" t="inlineStr"/>
      <c r="E16" s="33" t="inlineStr">
        <is>
          <t>Embedded Systems</t>
        </is>
      </c>
      <c r="F16" s="34" t="inlineStr">
        <is>
          <t>ECE Association (ECHOES / ElecSoc)</t>
        </is>
      </c>
      <c r="G16" s="34" t="inlineStr"/>
      <c r="H16" s="34" t="inlineStr">
        <is>
          <t>Physical</t>
        </is>
      </c>
      <c r="I16" s="34" t="inlineStr"/>
      <c r="J16" s="34" t="inlineStr"/>
    </row>
    <row r="17" ht="22" customHeight="1">
      <c r="B17" s="39" t="inlineStr">
        <is>
          <t>LECT/2024/013</t>
        </is>
      </c>
      <c r="C17" s="40" t="inlineStr"/>
      <c r="D17" s="40" t="inlineStr"/>
      <c r="E17" s="40" t="inlineStr">
        <is>
          <t>Data Science</t>
        </is>
      </c>
      <c r="F17" s="41" t="inlineStr">
        <is>
          <t>EEE Association (SPARK / ElecSoc)</t>
        </is>
      </c>
      <c r="G17" s="41" t="inlineStr"/>
      <c r="H17" s="41" t="inlineStr">
        <is>
          <t>Physical</t>
        </is>
      </c>
      <c r="I17" s="41" t="inlineStr"/>
      <c r="J17" s="41" t="inlineStr"/>
    </row>
    <row r="18" ht="22" customHeight="1">
      <c r="B18" s="42" t="inlineStr">
        <is>
          <t>LECT/2025/014</t>
        </is>
      </c>
      <c r="C18" s="43" t="inlineStr"/>
      <c r="D18" s="43" t="inlineStr"/>
      <c r="E18" s="43" t="inlineStr">
        <is>
          <t>Project Management</t>
        </is>
      </c>
      <c r="F18" s="44" t="inlineStr">
        <is>
          <t>Mechanical Association (MECHSOC)</t>
        </is>
      </c>
      <c r="G18" s="44" t="inlineStr"/>
      <c r="H18" s="44" t="inlineStr">
        <is>
          <t>Physical</t>
        </is>
      </c>
      <c r="I18" s="44" t="inlineStr"/>
      <c r="J18" s="44" t="inlineStr"/>
    </row>
    <row r="19" ht="22" customHeight="1">
      <c r="B19" s="45" t="inlineStr">
        <is>
          <t>LECT/2025/015</t>
        </is>
      </c>
      <c r="C19" s="46" t="inlineStr"/>
      <c r="D19" s="46" t="inlineStr"/>
      <c r="E19" s="46" t="inlineStr">
        <is>
          <t>Robotics &amp; Automation</t>
        </is>
      </c>
      <c r="F19" s="47" t="inlineStr">
        <is>
          <t>Civil Association (STRUCTA / CIVILS)</t>
        </is>
      </c>
      <c r="G19" s="47" t="inlineStr"/>
      <c r="H19" s="47" t="inlineStr">
        <is>
          <t>Physical</t>
        </is>
      </c>
      <c r="I19" s="47" t="inlineStr"/>
      <c r="J19" s="47" t="inlineStr"/>
    </row>
    <row r="20" ht="22" customHeight="1">
      <c r="B20" s="48" t="inlineStr">
        <is>
          <t>LECT/2025/016</t>
        </is>
      </c>
      <c r="C20" s="49" t="inlineStr"/>
      <c r="D20" s="49" t="inlineStr"/>
      <c r="E20" s="49" t="inlineStr">
        <is>
          <t>Green Building Design</t>
        </is>
      </c>
      <c r="F20" s="50" t="inlineStr">
        <is>
          <t>IT Association (ITSOC)</t>
        </is>
      </c>
      <c r="G20" s="50" t="inlineStr"/>
      <c r="H20" s="50" t="inlineStr">
        <is>
          <t>Physical</t>
        </is>
      </c>
      <c r="I20" s="50" t="inlineStr"/>
      <c r="J20" s="50" t="inlineStr"/>
    </row>
    <row r="21" ht="22" customHeight="1">
      <c r="B21" s="51" t="inlineStr">
        <is>
          <t>LECT/2025/017</t>
        </is>
      </c>
      <c r="C21" s="52" t="inlineStr"/>
      <c r="D21" s="52" t="inlineStr"/>
      <c r="E21" s="52" t="inlineStr">
        <is>
          <t>Supply Chain Management</t>
        </is>
      </c>
      <c r="F21" s="53" t="inlineStr">
        <is>
          <t>Chemical Engineering Association</t>
        </is>
      </c>
      <c r="G21" s="53" t="inlineStr"/>
      <c r="H21" s="53" t="inlineStr">
        <is>
          <t>Physical</t>
        </is>
      </c>
      <c r="I21" s="53" t="inlineStr"/>
      <c r="J21" s="53" t="inlineStr"/>
    </row>
    <row r="22" ht="22" customHeight="1">
      <c r="B22" s="54" t="inlineStr">
        <is>
          <t>LECT/2025/018</t>
        </is>
      </c>
      <c r="C22" s="55" t="inlineStr"/>
      <c r="D22" s="55" t="inlineStr"/>
      <c r="E22" s="55" t="inlineStr">
        <is>
          <t>HR Analytics</t>
        </is>
      </c>
      <c r="F22" s="56" t="inlineStr">
        <is>
          <t>Biotechnology Association</t>
        </is>
      </c>
      <c r="G22" s="56" t="inlineStr"/>
      <c r="H22" s="56" t="inlineStr">
        <is>
          <t>Physical</t>
        </is>
      </c>
      <c r="I22" s="56" t="inlineStr"/>
      <c r="J22" s="56" t="inlineStr"/>
    </row>
    <row r="23" ht="22" customHeight="1">
      <c r="B23" s="57" t="inlineStr">
        <is>
          <t>LECT/2025/019</t>
        </is>
      </c>
      <c r="C23" s="58" t="inlineStr"/>
      <c r="D23" s="58" t="inlineStr"/>
      <c r="E23" s="58" t="inlineStr">
        <is>
          <t>Entrepreneurship Journey</t>
        </is>
      </c>
      <c r="F23" s="23" t="inlineStr">
        <is>
          <t>MBA Association (LEXICON / MGMT)</t>
        </is>
      </c>
      <c r="G23" s="23" t="inlineStr"/>
      <c r="H23" s="23" t="inlineStr">
        <is>
          <t>Physical</t>
        </is>
      </c>
      <c r="I23" s="23" t="inlineStr"/>
      <c r="J23" s="23" t="inlineStr"/>
    </row>
    <row r="24" ht="22" customHeight="1">
      <c r="B24" s="59" t="inlineStr">
        <is>
          <t>LECT/2025/020</t>
        </is>
      </c>
      <c r="C24" s="60" t="inlineStr"/>
      <c r="D24" s="60" t="inlineStr"/>
      <c r="E24" s="60" t="inlineStr">
        <is>
          <t>Cybersecurity Trends</t>
        </is>
      </c>
      <c r="F24" s="61" t="inlineStr">
        <is>
          <t>MCA Association (CODERS)</t>
        </is>
      </c>
      <c r="G24" s="61" t="inlineStr"/>
      <c r="H24" s="61" t="inlineStr">
        <is>
          <t>Physical</t>
        </is>
      </c>
      <c r="I24" s="61" t="inlineStr"/>
      <c r="J24" s="61" t="inlineStr"/>
    </row>
    <row r="25" ht="22" customHeight="1">
      <c r="B25" s="14" t="inlineStr">
        <is>
          <t>LECT/2025/021</t>
        </is>
      </c>
      <c r="C25" s="15" t="inlineStr"/>
      <c r="D25" s="15" t="inlineStr"/>
      <c r="E25" s="15" t="inlineStr">
        <is>
          <t>AI &amp; Machine Learning in Industry</t>
        </is>
      </c>
      <c r="F25" s="16" t="inlineStr">
        <is>
          <t>CSE Association (CSEA / CompSoc)</t>
        </is>
      </c>
      <c r="G25" s="16" t="inlineStr"/>
      <c r="H25" s="16" t="inlineStr">
        <is>
          <t>Physical</t>
        </is>
      </c>
      <c r="I25" s="16" t="inlineStr"/>
      <c r="J25" s="16" t="inlineStr"/>
    </row>
    <row r="26" ht="22" customHeight="1">
      <c r="B26" s="32" t="inlineStr">
        <is>
          <t>LECT/2025/022</t>
        </is>
      </c>
      <c r="C26" s="33" t="inlineStr"/>
      <c r="D26" s="33" t="inlineStr"/>
      <c r="E26" s="33" t="inlineStr">
        <is>
          <t>IoT &amp; Smart Systems</t>
        </is>
      </c>
      <c r="F26" s="34" t="inlineStr">
        <is>
          <t>ECE Association (ECHOES / ElecSoc)</t>
        </is>
      </c>
      <c r="G26" s="34" t="inlineStr"/>
      <c r="H26" s="34" t="inlineStr">
        <is>
          <t>Physical</t>
        </is>
      </c>
      <c r="I26" s="34" t="inlineStr"/>
      <c r="J26" s="34" t="inlineStr"/>
    </row>
    <row r="27" ht="22" customHeight="1">
      <c r="B27" s="39" t="inlineStr">
        <is>
          <t>LECT/2025/023</t>
        </is>
      </c>
      <c r="C27" s="40" t="inlineStr"/>
      <c r="D27" s="40" t="inlineStr"/>
      <c r="E27" s="40" t="inlineStr">
        <is>
          <t>Blockchain &amp; Fintech</t>
        </is>
      </c>
      <c r="F27" s="41" t="inlineStr">
        <is>
          <t>EEE Association (SPARK / ElecSoc)</t>
        </is>
      </c>
      <c r="G27" s="41" t="inlineStr"/>
      <c r="H27" s="41" t="inlineStr">
        <is>
          <t>Physical</t>
        </is>
      </c>
      <c r="I27" s="41" t="inlineStr"/>
      <c r="J27" s="41" t="inlineStr"/>
    </row>
    <row r="28" ht="22" customHeight="1">
      <c r="B28" s="42" t="inlineStr">
        <is>
          <t>LECT/2025/024</t>
        </is>
      </c>
      <c r="C28" s="43" t="inlineStr"/>
      <c r="D28" s="43" t="inlineStr"/>
      <c r="E28" s="43" t="inlineStr">
        <is>
          <t>Sustainable Engineering</t>
        </is>
      </c>
      <c r="F28" s="44" t="inlineStr">
        <is>
          <t>Mechanical Association (MECHSOC)</t>
        </is>
      </c>
      <c r="G28" s="44" t="inlineStr"/>
      <c r="H28" s="44" t="inlineStr">
        <is>
          <t>Physical</t>
        </is>
      </c>
      <c r="I28" s="44" t="inlineStr"/>
      <c r="J28" s="44" t="inlineStr"/>
    </row>
    <row r="29" ht="22" customHeight="1">
      <c r="B29" s="45" t="inlineStr">
        <is>
          <t>LECT/2025/025</t>
        </is>
      </c>
      <c r="C29" s="46" t="inlineStr"/>
      <c r="D29" s="46" t="inlineStr"/>
      <c r="E29" s="46" t="inlineStr">
        <is>
          <t>Advanced Manufacturing</t>
        </is>
      </c>
      <c r="F29" s="47" t="inlineStr">
        <is>
          <t>Civil Association (STRUCTA / CIVILS)</t>
        </is>
      </c>
      <c r="G29" s="47" t="inlineStr"/>
      <c r="H29" s="47" t="inlineStr">
        <is>
          <t>Physical</t>
        </is>
      </c>
      <c r="I29" s="47" t="inlineStr"/>
      <c r="J29" s="47" t="inlineStr"/>
    </row>
    <row r="30" ht="22" customHeight="1">
      <c r="B30" s="48" t="inlineStr">
        <is>
          <t>LECT/2025/026</t>
        </is>
      </c>
      <c r="C30" s="49" t="inlineStr"/>
      <c r="D30" s="49" t="inlineStr"/>
      <c r="E30" s="49" t="inlineStr">
        <is>
          <t>Digital Marketing &amp; Analytics</t>
        </is>
      </c>
      <c r="F30" s="50" t="inlineStr">
        <is>
          <t>IT Association (ITSOC)</t>
        </is>
      </c>
      <c r="G30" s="50" t="inlineStr"/>
      <c r="H30" s="50" t="inlineStr">
        <is>
          <t>Physical</t>
        </is>
      </c>
      <c r="I30" s="50" t="inlineStr"/>
      <c r="J30" s="50" t="inlineStr"/>
    </row>
    <row r="31" ht="22" customHeight="1"/>
    <row r="32" ht="24" customHeight="1">
      <c r="B32" s="35" t="inlineStr">
        <is>
          <t>GUEST LECTURE IMPACT SUMMARY</t>
        </is>
      </c>
    </row>
    <row r="33">
      <c r="B33" s="66" t="inlineStr">
        <is>
          <t>Total Expert Talks Conducted</t>
        </is>
      </c>
      <c r="F33" s="37">
        <f>COUNTA(B5:B30)</f>
        <v/>
      </c>
    </row>
    <row r="34">
      <c r="B34" s="26" t="inlineStr">
        <is>
          <t>Total Students Reached</t>
        </is>
      </c>
      <c r="F34" s="38">
        <f>IFERROR(SUM(I5:I30),"")</f>
        <v/>
      </c>
    </row>
    <row r="35">
      <c r="B35" s="66" t="inlineStr">
        <is>
          <t>Average Feedback Score (/5)</t>
        </is>
      </c>
      <c r="F35" s="37">
        <f>IFERROR(ROUND(AVERAGE(J5:J30),2),"")</f>
        <v/>
      </c>
    </row>
    <row r="36">
      <c r="B36" s="26" t="inlineStr">
        <is>
          <t>Industry Experts Engaged</t>
        </is>
      </c>
      <c r="F36" s="38" t="inlineStr"/>
    </row>
    <row r="37">
      <c r="B37" s="66" t="inlineStr">
        <is>
          <t>DA with Most Guest Talks</t>
        </is>
      </c>
      <c r="F37" s="37" t="inlineStr"/>
    </row>
    <row r="38">
      <c r="B38" s="26" t="inlineStr">
        <is>
          <t>Talks with Score &lt; 3.5</t>
        </is>
      </c>
      <c r="F38" s="38">
        <f>COUNTIF(J5:J30,"&lt;"&amp;3.5)</f>
        <v/>
      </c>
    </row>
  </sheetData>
  <mergeCells count="15">
    <mergeCell ref="B3:J3"/>
    <mergeCell ref="B35:E35"/>
    <mergeCell ref="F37:J37"/>
    <mergeCell ref="F34:J34"/>
    <mergeCell ref="B37:E37"/>
    <mergeCell ref="F38:J38"/>
    <mergeCell ref="B32:J32"/>
    <mergeCell ref="B38:E38"/>
    <mergeCell ref="F36:J36"/>
    <mergeCell ref="B33:E33"/>
    <mergeCell ref="F33:J33"/>
    <mergeCell ref="B34:E34"/>
    <mergeCell ref="F35:J35"/>
    <mergeCell ref="B36:E36"/>
    <mergeCell ref="B2:J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K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3" customWidth="1" min="12" max="12"/>
  </cols>
  <sheetData>
    <row r="1" ht="10" customHeight="1"/>
    <row r="2" ht="48" customHeight="1">
      <c r="B2" s="18" t="inlineStr">
        <is>
          <t>FIN-01: DA BUDGET ALLOCATION &amp; EXPENDITURE REGISTER</t>
        </is>
      </c>
    </row>
    <row r="3" ht="25" customHeight="1">
      <c r="B3" s="2" t="inlineStr">
        <is>
          <t>Semester: _______  A.Y.: _______  Finance Officer: ___________________  DACC Coordinator: ___________________</t>
        </is>
      </c>
    </row>
    <row r="4" ht="25" customHeight="1">
      <c r="B4" s="22" t="inlineStr">
        <is>
          <t>DA
Ref.</t>
        </is>
      </c>
      <c r="C4" s="22" t="inlineStr">
        <is>
          <t>Department Assoc.</t>
        </is>
      </c>
      <c r="D4" s="22" t="inlineStr">
        <is>
          <t>Budget
Allocated (₹)</t>
        </is>
      </c>
      <c r="E4" s="22" t="inlineStr">
        <is>
          <t>Events
Budget (₹)</t>
        </is>
      </c>
      <c r="F4" s="22" t="inlineStr">
        <is>
          <t>Printing /
Media (₹)</t>
        </is>
      </c>
      <c r="G4" s="22" t="inlineStr">
        <is>
          <t>Hospitality
(₹)</t>
        </is>
      </c>
      <c r="H4" s="22" t="inlineStr">
        <is>
          <t>Misc.
(₹)</t>
        </is>
      </c>
      <c r="I4" s="22" t="inlineStr">
        <is>
          <t>Total
Spent (₹)</t>
        </is>
      </c>
      <c r="J4" s="22" t="inlineStr">
        <is>
          <t>Surplus /
Deficit (₹)</t>
        </is>
      </c>
      <c r="K4" s="22" t="inlineStr">
        <is>
          <t>Utilisation
%</t>
        </is>
      </c>
    </row>
    <row r="5" ht="22" customHeight="1">
      <c r="B5" s="87" t="inlineStr">
        <is>
          <t>DA/001</t>
        </is>
      </c>
      <c r="C5" s="58" t="inlineStr">
        <is>
          <t>CSE Association (CSEA / CompSoc)</t>
        </is>
      </c>
      <c r="D5" s="23" t="inlineStr"/>
      <c r="E5" s="23" t="inlineStr"/>
      <c r="F5" s="23" t="inlineStr"/>
      <c r="G5" s="23" t="inlineStr"/>
      <c r="H5" s="23" t="inlineStr"/>
      <c r="I5" s="87">
        <f>IFERROR(E5+F5+G5+H5+I5,"")</f>
        <v/>
      </c>
      <c r="J5" s="23">
        <f>IFERROR(D5-J5,"")</f>
        <v/>
      </c>
      <c r="K5" s="87">
        <f>IFERROR(ROUND(J5/D5*100,1),"")</f>
        <v/>
      </c>
    </row>
    <row r="6" ht="22" customHeight="1">
      <c r="B6" s="88" t="inlineStr">
        <is>
          <t>DA/002</t>
        </is>
      </c>
      <c r="C6" s="9" t="inlineStr">
        <is>
          <t>ECE Association (ECHOES / ElecSoc)</t>
        </is>
      </c>
      <c r="D6" s="10" t="inlineStr"/>
      <c r="E6" s="10" t="inlineStr"/>
      <c r="F6" s="10" t="inlineStr"/>
      <c r="G6" s="10" t="inlineStr"/>
      <c r="H6" s="10" t="inlineStr"/>
      <c r="I6" s="88">
        <f>IFERROR(E6+F6+G6+H6+I6,"")</f>
        <v/>
      </c>
      <c r="J6" s="10">
        <f>IFERROR(D6-J6,"")</f>
        <v/>
      </c>
      <c r="K6" s="88">
        <f>IFERROR(ROUND(J6/D6*100,1),"")</f>
        <v/>
      </c>
    </row>
    <row r="7" ht="22" customHeight="1">
      <c r="B7" s="87" t="inlineStr">
        <is>
          <t>DA/003</t>
        </is>
      </c>
      <c r="C7" s="58" t="inlineStr">
        <is>
          <t>EEE Association (SPARK / ElecSoc)</t>
        </is>
      </c>
      <c r="D7" s="23" t="inlineStr"/>
      <c r="E7" s="23" t="inlineStr"/>
      <c r="F7" s="23" t="inlineStr"/>
      <c r="G7" s="23" t="inlineStr"/>
      <c r="H7" s="23" t="inlineStr"/>
      <c r="I7" s="87">
        <f>IFERROR(E7+F7+G7+H7+I7,"")</f>
        <v/>
      </c>
      <c r="J7" s="23">
        <f>IFERROR(D7-J7,"")</f>
        <v/>
      </c>
      <c r="K7" s="87">
        <f>IFERROR(ROUND(J7/D7*100,1),"")</f>
        <v/>
      </c>
    </row>
    <row r="8" ht="22" customHeight="1">
      <c r="B8" s="88" t="inlineStr">
        <is>
          <t>DA/004</t>
        </is>
      </c>
      <c r="C8" s="9" t="inlineStr">
        <is>
          <t>Mechanical Association (MECHSOC)</t>
        </is>
      </c>
      <c r="D8" s="10" t="inlineStr"/>
      <c r="E8" s="10" t="inlineStr"/>
      <c r="F8" s="10" t="inlineStr"/>
      <c r="G8" s="10" t="inlineStr"/>
      <c r="H8" s="10" t="inlineStr"/>
      <c r="I8" s="88">
        <f>IFERROR(E8+F8+G8+H8+I8,"")</f>
        <v/>
      </c>
      <c r="J8" s="10">
        <f>IFERROR(D8-J8,"")</f>
        <v/>
      </c>
      <c r="K8" s="88">
        <f>IFERROR(ROUND(J8/D8*100,1),"")</f>
        <v/>
      </c>
    </row>
    <row r="9" ht="22" customHeight="1">
      <c r="B9" s="87" t="inlineStr">
        <is>
          <t>DA/005</t>
        </is>
      </c>
      <c r="C9" s="58" t="inlineStr">
        <is>
          <t>Civil Association (STRUCTA / CIVILS)</t>
        </is>
      </c>
      <c r="D9" s="23" t="inlineStr"/>
      <c r="E9" s="23" t="inlineStr"/>
      <c r="F9" s="23" t="inlineStr"/>
      <c r="G9" s="23" t="inlineStr"/>
      <c r="H9" s="23" t="inlineStr"/>
      <c r="I9" s="87">
        <f>IFERROR(E9+F9+G9+H9+I9,"")</f>
        <v/>
      </c>
      <c r="J9" s="23">
        <f>IFERROR(D9-J9,"")</f>
        <v/>
      </c>
      <c r="K9" s="87">
        <f>IFERROR(ROUND(J9/D9*100,1),"")</f>
        <v/>
      </c>
    </row>
    <row r="10" ht="22" customHeight="1">
      <c r="B10" s="88" t="inlineStr">
        <is>
          <t>DA/006</t>
        </is>
      </c>
      <c r="C10" s="9" t="inlineStr">
        <is>
          <t>IT Association (ITSOC)</t>
        </is>
      </c>
      <c r="D10" s="10" t="inlineStr"/>
      <c r="E10" s="10" t="inlineStr"/>
      <c r="F10" s="10" t="inlineStr"/>
      <c r="G10" s="10" t="inlineStr"/>
      <c r="H10" s="10" t="inlineStr"/>
      <c r="I10" s="88">
        <f>IFERROR(E10+F10+G10+H10+I10,"")</f>
        <v/>
      </c>
      <c r="J10" s="10">
        <f>IFERROR(D10-J10,"")</f>
        <v/>
      </c>
      <c r="K10" s="88">
        <f>IFERROR(ROUND(J10/D10*100,1),"")</f>
        <v/>
      </c>
    </row>
    <row r="11" ht="22" customHeight="1">
      <c r="B11" s="87" t="inlineStr">
        <is>
          <t>DA/007</t>
        </is>
      </c>
      <c r="C11" s="58" t="inlineStr">
        <is>
          <t>Chemical Engineering Association</t>
        </is>
      </c>
      <c r="D11" s="23" t="inlineStr"/>
      <c r="E11" s="23" t="inlineStr"/>
      <c r="F11" s="23" t="inlineStr"/>
      <c r="G11" s="23" t="inlineStr"/>
      <c r="H11" s="23" t="inlineStr"/>
      <c r="I11" s="87">
        <f>IFERROR(E11+F11+G11+H11+I11,"")</f>
        <v/>
      </c>
      <c r="J11" s="23">
        <f>IFERROR(D11-J11,"")</f>
        <v/>
      </c>
      <c r="K11" s="87">
        <f>IFERROR(ROUND(J11/D11*100,1),"")</f>
        <v/>
      </c>
    </row>
    <row r="12" ht="22" customHeight="1">
      <c r="B12" s="88" t="inlineStr">
        <is>
          <t>DA/008</t>
        </is>
      </c>
      <c r="C12" s="9" t="inlineStr">
        <is>
          <t>Biotechnology Association</t>
        </is>
      </c>
      <c r="D12" s="10" t="inlineStr"/>
      <c r="E12" s="10" t="inlineStr"/>
      <c r="F12" s="10" t="inlineStr"/>
      <c r="G12" s="10" t="inlineStr"/>
      <c r="H12" s="10" t="inlineStr"/>
      <c r="I12" s="88">
        <f>IFERROR(E12+F12+G12+H12+I12,"")</f>
        <v/>
      </c>
      <c r="J12" s="10">
        <f>IFERROR(D12-J12,"")</f>
        <v/>
      </c>
      <c r="K12" s="88">
        <f>IFERROR(ROUND(J12/D12*100,1),"")</f>
        <v/>
      </c>
    </row>
    <row r="13" ht="22" customHeight="1">
      <c r="B13" s="87" t="inlineStr">
        <is>
          <t>DA/009</t>
        </is>
      </c>
      <c r="C13" s="58" t="inlineStr">
        <is>
          <t>MBA Association (LEXICON / MGMT)</t>
        </is>
      </c>
      <c r="D13" s="23" t="inlineStr"/>
      <c r="E13" s="23" t="inlineStr"/>
      <c r="F13" s="23" t="inlineStr"/>
      <c r="G13" s="23" t="inlineStr"/>
      <c r="H13" s="23" t="inlineStr"/>
      <c r="I13" s="87">
        <f>IFERROR(E13+F13+G13+H13+I13,"")</f>
        <v/>
      </c>
      <c r="J13" s="23">
        <f>IFERROR(D13-J13,"")</f>
        <v/>
      </c>
      <c r="K13" s="87">
        <f>IFERROR(ROUND(J13/D13*100,1),"")</f>
        <v/>
      </c>
    </row>
    <row r="14" ht="22" customHeight="1">
      <c r="B14" s="88" t="inlineStr">
        <is>
          <t>DA/010</t>
        </is>
      </c>
      <c r="C14" s="9" t="inlineStr">
        <is>
          <t>MCA Association (CODERS)</t>
        </is>
      </c>
      <c r="D14" s="10" t="inlineStr"/>
      <c r="E14" s="10" t="inlineStr"/>
      <c r="F14" s="10" t="inlineStr"/>
      <c r="G14" s="10" t="inlineStr"/>
      <c r="H14" s="10" t="inlineStr"/>
      <c r="I14" s="88">
        <f>IFERROR(E14+F14+G14+H14+I14,"")</f>
        <v/>
      </c>
      <c r="J14" s="10">
        <f>IFERROR(D14-J14,"")</f>
        <v/>
      </c>
      <c r="K14" s="88">
        <f>IFERROR(ROUND(J14/D14*100,1),"")</f>
        <v/>
      </c>
    </row>
    <row r="15" ht="22" customHeight="1">
      <c r="B15" s="87" t="inlineStr">
        <is>
          <t>DA/011</t>
        </is>
      </c>
      <c r="C15" s="58" t="inlineStr">
        <is>
          <t>Sciences &amp; Humanities Association</t>
        </is>
      </c>
      <c r="D15" s="23" t="inlineStr"/>
      <c r="E15" s="23" t="inlineStr"/>
      <c r="F15" s="23" t="inlineStr"/>
      <c r="G15" s="23" t="inlineStr"/>
      <c r="H15" s="23" t="inlineStr"/>
      <c r="I15" s="87">
        <f>IFERROR(E15+F15+G15+H15+I15,"")</f>
        <v/>
      </c>
      <c r="J15" s="23">
        <f>IFERROR(D15-J15,"")</f>
        <v/>
      </c>
      <c r="K15" s="87">
        <f>IFERROR(ROUND(J15/D15*100,1),"")</f>
        <v/>
      </c>
    </row>
    <row r="16" ht="22" customHeight="1">
      <c r="B16" s="88" t="inlineStr">
        <is>
          <t>DA/012</t>
        </is>
      </c>
      <c r="C16" s="9" t="inlineStr">
        <is>
          <t>Pharmacy Association</t>
        </is>
      </c>
      <c r="D16" s="10" t="inlineStr"/>
      <c r="E16" s="10" t="inlineStr"/>
      <c r="F16" s="10" t="inlineStr"/>
      <c r="G16" s="10" t="inlineStr"/>
      <c r="H16" s="10" t="inlineStr"/>
      <c r="I16" s="88">
        <f>IFERROR(E16+F16+G16+H16+I16,"")</f>
        <v/>
      </c>
      <c r="J16" s="10">
        <f>IFERROR(D16-J16,"")</f>
        <v/>
      </c>
      <c r="K16" s="88">
        <f>IFERROR(ROUND(J16/D16*100,1),"")</f>
        <v/>
      </c>
    </row>
    <row r="17" ht="22" customHeight="1">
      <c r="B17" s="87" t="inlineStr">
        <is>
          <t>DA/013</t>
        </is>
      </c>
      <c r="C17" s="58" t="inlineStr">
        <is>
          <t>Architecture Association (ARCH)</t>
        </is>
      </c>
      <c r="D17" s="23" t="inlineStr"/>
      <c r="E17" s="23" t="inlineStr"/>
      <c r="F17" s="23" t="inlineStr"/>
      <c r="G17" s="23" t="inlineStr"/>
      <c r="H17" s="23" t="inlineStr"/>
      <c r="I17" s="87">
        <f>IFERROR(E17+F17+G17+H17+I17,"")</f>
        <v/>
      </c>
      <c r="J17" s="23">
        <f>IFERROR(D17-J17,"")</f>
        <v/>
      </c>
      <c r="K17" s="87">
        <f>IFERROR(ROUND(J17/D17*100,1),"")</f>
        <v/>
      </c>
    </row>
    <row r="18" ht="22" customHeight="1">
      <c r="B18" s="88" t="inlineStr">
        <is>
          <t>DA/014</t>
        </is>
      </c>
      <c r="C18" s="9" t="inlineStr">
        <is>
          <t>Physics Society</t>
        </is>
      </c>
      <c r="D18" s="10" t="inlineStr"/>
      <c r="E18" s="10" t="inlineStr"/>
      <c r="F18" s="10" t="inlineStr"/>
      <c r="G18" s="10" t="inlineStr"/>
      <c r="H18" s="10" t="inlineStr"/>
      <c r="I18" s="88">
        <f>IFERROR(E18+F18+G18+H18+I18,"")</f>
        <v/>
      </c>
      <c r="J18" s="10">
        <f>IFERROR(D18-J18,"")</f>
        <v/>
      </c>
      <c r="K18" s="88">
        <f>IFERROR(ROUND(J18/D18*100,1),"")</f>
        <v/>
      </c>
    </row>
    <row r="19" ht="22" customHeight="1"/>
    <row r="20" ht="26" customHeight="1">
      <c r="B20" s="89" t="inlineStr">
        <is>
          <t>INSTITUTION TOTAL</t>
        </is>
      </c>
      <c r="C20" s="86" t="n"/>
      <c r="D20" s="90">
        <f>IFERROR(SUM(D5:D18),"")</f>
        <v/>
      </c>
      <c r="E20" s="90">
        <f>IFERROR(SUM(E5:E18),"")</f>
        <v/>
      </c>
      <c r="F20" s="90">
        <f>IFERROR(SUM(F5:F18),"")</f>
        <v/>
      </c>
      <c r="G20" s="90">
        <f>IFERROR(SUM(G5:G18),"")</f>
        <v/>
      </c>
      <c r="H20" s="90">
        <f>IFERROR(SUM(H5:H18),"")</f>
        <v/>
      </c>
      <c r="I20" s="90">
        <f>IFERROR(SUM(I5:I18),"")</f>
        <v/>
      </c>
      <c r="J20" s="86" t="n"/>
      <c r="K20" s="86" t="n"/>
    </row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</sheetData>
  <mergeCells count="2">
    <mergeCell ref="B3:K3"/>
    <mergeCell ref="B2:K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J4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0" customWidth="1" min="3" max="3"/>
    <col width="12" customWidth="1" min="4" max="4"/>
    <col width="14" customWidth="1" min="5" max="5"/>
    <col width="14" customWidth="1" min="6" max="6"/>
    <col width="12" customWidth="1" min="7" max="7"/>
    <col width="12" customWidth="1" min="8" max="8"/>
    <col width="12" customWidth="1" min="9" max="9"/>
    <col width="14" customWidth="1" min="10" max="10"/>
    <col width="3" customWidth="1" min="11" max="11"/>
  </cols>
  <sheetData>
    <row r="1" ht="10" customHeight="1"/>
    <row r="2" ht="48" customHeight="1">
      <c r="B2" s="18" t="inlineStr">
        <is>
          <t>AWD-01: STUDENT ACHIEVEMENT REGISTER — THROUGH DA ACTIVITIES</t>
        </is>
      </c>
    </row>
    <row r="3" ht="25" customHeight="1">
      <c r="B3" s="2" t="inlineStr">
        <is>
          <t>A.Y.: _______  DACC Coordinator: ___________________  NAAC Ref.: Criterion V.3 / NIRF</t>
        </is>
      </c>
    </row>
    <row r="4" ht="25" customHeight="1">
      <c r="B4" s="13" t="inlineStr">
        <is>
          <t>Achievement
Ref.</t>
        </is>
      </c>
      <c r="C4" s="13" t="inlineStr">
        <is>
          <t>Student Name</t>
        </is>
      </c>
      <c r="D4" s="13" t="inlineStr">
        <is>
          <t>Roll No. /
Programme</t>
        </is>
      </c>
      <c r="E4" s="13" t="inlineStr">
        <is>
          <t>DA /
Dept.</t>
        </is>
      </c>
      <c r="F4" s="13" t="inlineStr">
        <is>
          <t>Event /
Competition</t>
        </is>
      </c>
      <c r="G4" s="13" t="inlineStr">
        <is>
          <t>Level</t>
        </is>
      </c>
      <c r="H4" s="13" t="inlineStr">
        <is>
          <t>Award /
Position</t>
        </is>
      </c>
      <c r="I4" s="13" t="inlineStr">
        <is>
          <t>Date</t>
        </is>
      </c>
      <c r="J4" s="13" t="inlineStr">
        <is>
          <t>Certificate /
Recognition</t>
        </is>
      </c>
    </row>
    <row r="5" ht="22" customHeight="1">
      <c r="B5" s="14" t="inlineStr">
        <is>
          <t>ACH/2024/0001</t>
        </is>
      </c>
      <c r="C5" s="15" t="inlineStr"/>
      <c r="D5" s="16" t="inlineStr"/>
      <c r="E5" s="16" t="inlineStr">
        <is>
          <t>CSE Association (CSEA / CompSoc)</t>
        </is>
      </c>
      <c r="F5" s="15" t="inlineStr"/>
      <c r="G5" s="16" t="inlineStr">
        <is>
          <t>Institutional</t>
        </is>
      </c>
      <c r="H5" s="14" t="inlineStr">
        <is>
          <t>1st Prize</t>
        </is>
      </c>
      <c r="I5" s="16" t="inlineStr"/>
      <c r="J5" s="16" t="inlineStr">
        <is>
          <t>Y</t>
        </is>
      </c>
    </row>
    <row r="6" ht="22" customHeight="1">
      <c r="B6" s="32" t="inlineStr">
        <is>
          <t>ACH/2024/0002</t>
        </is>
      </c>
      <c r="C6" s="33" t="inlineStr"/>
      <c r="D6" s="34" t="inlineStr"/>
      <c r="E6" s="34" t="inlineStr">
        <is>
          <t>ECE Association (ECHOES / ElecSoc)</t>
        </is>
      </c>
      <c r="F6" s="33" t="inlineStr"/>
      <c r="G6" s="34" t="inlineStr">
        <is>
          <t>Inter-College</t>
        </is>
      </c>
      <c r="H6" s="32" t="inlineStr">
        <is>
          <t>2nd Prize</t>
        </is>
      </c>
      <c r="I6" s="34" t="inlineStr"/>
      <c r="J6" s="34" t="inlineStr">
        <is>
          <t>Y</t>
        </is>
      </c>
    </row>
    <row r="7" ht="22" customHeight="1">
      <c r="B7" s="39" t="inlineStr">
        <is>
          <t>ACH/2024/0003</t>
        </is>
      </c>
      <c r="C7" s="40" t="inlineStr"/>
      <c r="D7" s="41" t="inlineStr"/>
      <c r="E7" s="41" t="inlineStr">
        <is>
          <t>EEE Association (SPARK / ElecSoc)</t>
        </is>
      </c>
      <c r="F7" s="40" t="inlineStr"/>
      <c r="G7" s="41" t="inlineStr">
        <is>
          <t>State</t>
        </is>
      </c>
      <c r="H7" s="39" t="inlineStr">
        <is>
          <t>3rd Prize</t>
        </is>
      </c>
      <c r="I7" s="41" t="inlineStr"/>
      <c r="J7" s="41" t="inlineStr">
        <is>
          <t>Y</t>
        </is>
      </c>
    </row>
    <row r="8" ht="22" customHeight="1">
      <c r="B8" s="42" t="inlineStr">
        <is>
          <t>ACH/2024/0004</t>
        </is>
      </c>
      <c r="C8" s="43" t="inlineStr"/>
      <c r="D8" s="44" t="inlineStr"/>
      <c r="E8" s="44" t="inlineStr">
        <is>
          <t>Mechanical Association (MECHSOC)</t>
        </is>
      </c>
      <c r="F8" s="43" t="inlineStr"/>
      <c r="G8" s="44" t="inlineStr">
        <is>
          <t>National</t>
        </is>
      </c>
      <c r="H8" s="42" t="inlineStr">
        <is>
          <t>Consolation</t>
        </is>
      </c>
      <c r="I8" s="44" t="inlineStr"/>
      <c r="J8" s="44" t="inlineStr">
        <is>
          <t>Y</t>
        </is>
      </c>
    </row>
    <row r="9" ht="22" customHeight="1">
      <c r="B9" s="45" t="inlineStr">
        <is>
          <t>ACH/2024/0005</t>
        </is>
      </c>
      <c r="C9" s="46" t="inlineStr"/>
      <c r="D9" s="47" t="inlineStr"/>
      <c r="E9" s="47" t="inlineStr">
        <is>
          <t>Civil Association (STRUCTA / CIVILS)</t>
        </is>
      </c>
      <c r="F9" s="46" t="inlineStr"/>
      <c r="G9" s="47" t="inlineStr">
        <is>
          <t>International</t>
        </is>
      </c>
      <c r="H9" s="45" t="inlineStr">
        <is>
          <t>Finalist</t>
        </is>
      </c>
      <c r="I9" s="47" t="inlineStr"/>
      <c r="J9" s="47" t="inlineStr">
        <is>
          <t>Y</t>
        </is>
      </c>
    </row>
    <row r="10" ht="22" customHeight="1">
      <c r="B10" s="48" t="inlineStr">
        <is>
          <t>ACH/2024/0006</t>
        </is>
      </c>
      <c r="C10" s="49" t="inlineStr"/>
      <c r="D10" s="50" t="inlineStr"/>
      <c r="E10" s="50" t="inlineStr">
        <is>
          <t>IT Association (ITSOC)</t>
        </is>
      </c>
      <c r="F10" s="49" t="inlineStr"/>
      <c r="G10" s="50" t="inlineStr">
        <is>
          <t>Institutional</t>
        </is>
      </c>
      <c r="H10" s="48" t="inlineStr">
        <is>
          <t>Participant</t>
        </is>
      </c>
      <c r="I10" s="50" t="inlineStr"/>
      <c r="J10" s="50" t="inlineStr">
        <is>
          <t>Y</t>
        </is>
      </c>
    </row>
    <row r="11" ht="22" customHeight="1">
      <c r="B11" s="51" t="inlineStr">
        <is>
          <t>ACH/2024/0007</t>
        </is>
      </c>
      <c r="C11" s="52" t="inlineStr"/>
      <c r="D11" s="53" t="inlineStr"/>
      <c r="E11" s="53" t="inlineStr">
        <is>
          <t>Chemical Engineering Association</t>
        </is>
      </c>
      <c r="F11" s="52" t="inlineStr"/>
      <c r="G11" s="53" t="inlineStr">
        <is>
          <t>Inter-College</t>
        </is>
      </c>
      <c r="H11" s="51" t="inlineStr">
        <is>
          <t>Best Paper</t>
        </is>
      </c>
      <c r="I11" s="53" t="inlineStr"/>
      <c r="J11" s="53" t="inlineStr">
        <is>
          <t>Y</t>
        </is>
      </c>
    </row>
    <row r="12" ht="22" customHeight="1">
      <c r="B12" s="54" t="inlineStr">
        <is>
          <t>ACH/2024/0008</t>
        </is>
      </c>
      <c r="C12" s="55" t="inlineStr"/>
      <c r="D12" s="56" t="inlineStr"/>
      <c r="E12" s="56" t="inlineStr">
        <is>
          <t>Biotechnology Association</t>
        </is>
      </c>
      <c r="F12" s="55" t="inlineStr"/>
      <c r="G12" s="56" t="inlineStr">
        <is>
          <t>State</t>
        </is>
      </c>
      <c r="H12" s="54" t="inlineStr">
        <is>
          <t>Best Project</t>
        </is>
      </c>
      <c r="I12" s="56" t="inlineStr"/>
      <c r="J12" s="56" t="inlineStr">
        <is>
          <t>Y</t>
        </is>
      </c>
    </row>
    <row r="13" ht="22" customHeight="1">
      <c r="B13" s="57" t="inlineStr">
        <is>
          <t>ACH/2024/0009</t>
        </is>
      </c>
      <c r="C13" s="58" t="inlineStr"/>
      <c r="D13" s="23" t="inlineStr"/>
      <c r="E13" s="23" t="inlineStr">
        <is>
          <t>MBA Association (LEXICON / MGMT)</t>
        </is>
      </c>
      <c r="F13" s="58" t="inlineStr"/>
      <c r="G13" s="23" t="inlineStr">
        <is>
          <t>National</t>
        </is>
      </c>
      <c r="H13" s="57" t="inlineStr">
        <is>
          <t>Special Award</t>
        </is>
      </c>
      <c r="I13" s="23" t="inlineStr"/>
      <c r="J13" s="23" t="inlineStr">
        <is>
          <t>Y</t>
        </is>
      </c>
    </row>
    <row r="14" ht="22" customHeight="1">
      <c r="B14" s="59" t="inlineStr">
        <is>
          <t>ACH/2024/0010</t>
        </is>
      </c>
      <c r="C14" s="60" t="inlineStr"/>
      <c r="D14" s="61" t="inlineStr"/>
      <c r="E14" s="61" t="inlineStr">
        <is>
          <t>MCA Association (CODERS)</t>
        </is>
      </c>
      <c r="F14" s="60" t="inlineStr"/>
      <c r="G14" s="61" t="inlineStr">
        <is>
          <t>International</t>
        </is>
      </c>
      <c r="H14" s="59" t="inlineStr">
        <is>
          <t>1st Prize</t>
        </is>
      </c>
      <c r="I14" s="61" t="inlineStr"/>
      <c r="J14" s="61" t="inlineStr">
        <is>
          <t>Y</t>
        </is>
      </c>
    </row>
    <row r="15" ht="22" customHeight="1">
      <c r="B15" s="14" t="inlineStr">
        <is>
          <t>ACH/2024/0011</t>
        </is>
      </c>
      <c r="C15" s="15" t="inlineStr"/>
      <c r="D15" s="16" t="inlineStr"/>
      <c r="E15" s="16" t="inlineStr">
        <is>
          <t>CSE Association (CSEA / CompSoc)</t>
        </is>
      </c>
      <c r="F15" s="15" t="inlineStr"/>
      <c r="G15" s="16" t="inlineStr">
        <is>
          <t>Institutional</t>
        </is>
      </c>
      <c r="H15" s="14" t="inlineStr">
        <is>
          <t>2nd Prize</t>
        </is>
      </c>
      <c r="I15" s="16" t="inlineStr"/>
      <c r="J15" s="16" t="inlineStr">
        <is>
          <t>Y</t>
        </is>
      </c>
    </row>
    <row r="16" ht="22" customHeight="1">
      <c r="B16" s="32" t="inlineStr">
        <is>
          <t>ACH/2024/0012</t>
        </is>
      </c>
      <c r="C16" s="33" t="inlineStr"/>
      <c r="D16" s="34" t="inlineStr"/>
      <c r="E16" s="34" t="inlineStr">
        <is>
          <t>ECE Association (ECHOES / ElecSoc)</t>
        </is>
      </c>
      <c r="F16" s="33" t="inlineStr"/>
      <c r="G16" s="34" t="inlineStr">
        <is>
          <t>Inter-College</t>
        </is>
      </c>
      <c r="H16" s="32" t="inlineStr">
        <is>
          <t>3rd Prize</t>
        </is>
      </c>
      <c r="I16" s="34" t="inlineStr"/>
      <c r="J16" s="34" t="inlineStr">
        <is>
          <t>Y</t>
        </is>
      </c>
    </row>
    <row r="17" ht="22" customHeight="1">
      <c r="B17" s="39" t="inlineStr">
        <is>
          <t>ACH/2024/0013</t>
        </is>
      </c>
      <c r="C17" s="40" t="inlineStr"/>
      <c r="D17" s="41" t="inlineStr"/>
      <c r="E17" s="41" t="inlineStr">
        <is>
          <t>EEE Association (SPARK / ElecSoc)</t>
        </is>
      </c>
      <c r="F17" s="40" t="inlineStr"/>
      <c r="G17" s="41" t="inlineStr">
        <is>
          <t>State</t>
        </is>
      </c>
      <c r="H17" s="39" t="inlineStr">
        <is>
          <t>Consolation</t>
        </is>
      </c>
      <c r="I17" s="41" t="inlineStr"/>
      <c r="J17" s="41" t="inlineStr">
        <is>
          <t>Y</t>
        </is>
      </c>
    </row>
    <row r="18" ht="22" customHeight="1">
      <c r="B18" s="42" t="inlineStr">
        <is>
          <t>ACH/2024/0014</t>
        </is>
      </c>
      <c r="C18" s="43" t="inlineStr"/>
      <c r="D18" s="44" t="inlineStr"/>
      <c r="E18" s="44" t="inlineStr">
        <is>
          <t>Mechanical Association (MECHSOC)</t>
        </is>
      </c>
      <c r="F18" s="43" t="inlineStr"/>
      <c r="G18" s="44" t="inlineStr">
        <is>
          <t>National</t>
        </is>
      </c>
      <c r="H18" s="42" t="inlineStr">
        <is>
          <t>Finalist</t>
        </is>
      </c>
      <c r="I18" s="44" t="inlineStr"/>
      <c r="J18" s="44" t="inlineStr">
        <is>
          <t>Y</t>
        </is>
      </c>
    </row>
    <row r="19" ht="22" customHeight="1">
      <c r="B19" s="45" t="inlineStr">
        <is>
          <t>ACH/2025/0015</t>
        </is>
      </c>
      <c r="C19" s="46" t="inlineStr"/>
      <c r="D19" s="47" t="inlineStr"/>
      <c r="E19" s="47" t="inlineStr">
        <is>
          <t>Civil Association (STRUCTA / CIVILS)</t>
        </is>
      </c>
      <c r="F19" s="46" t="inlineStr"/>
      <c r="G19" s="47" t="inlineStr">
        <is>
          <t>International</t>
        </is>
      </c>
      <c r="H19" s="45" t="inlineStr">
        <is>
          <t>Participant</t>
        </is>
      </c>
      <c r="I19" s="47" t="inlineStr"/>
      <c r="J19" s="47" t="inlineStr">
        <is>
          <t>Y</t>
        </is>
      </c>
    </row>
    <row r="20" ht="22" customHeight="1">
      <c r="B20" s="48" t="inlineStr">
        <is>
          <t>ACH/2025/0016</t>
        </is>
      </c>
      <c r="C20" s="49" t="inlineStr"/>
      <c r="D20" s="50" t="inlineStr"/>
      <c r="E20" s="50" t="inlineStr">
        <is>
          <t>IT Association (ITSOC)</t>
        </is>
      </c>
      <c r="F20" s="49" t="inlineStr"/>
      <c r="G20" s="50" t="inlineStr">
        <is>
          <t>Institutional</t>
        </is>
      </c>
      <c r="H20" s="48" t="inlineStr">
        <is>
          <t>Best Paper</t>
        </is>
      </c>
      <c r="I20" s="50" t="inlineStr"/>
      <c r="J20" s="50" t="inlineStr">
        <is>
          <t>Y</t>
        </is>
      </c>
    </row>
    <row r="21" ht="22" customHeight="1">
      <c r="B21" s="51" t="inlineStr">
        <is>
          <t>ACH/2025/0017</t>
        </is>
      </c>
      <c r="C21" s="52" t="inlineStr"/>
      <c r="D21" s="53" t="inlineStr"/>
      <c r="E21" s="53" t="inlineStr">
        <is>
          <t>Chemical Engineering Association</t>
        </is>
      </c>
      <c r="F21" s="52" t="inlineStr"/>
      <c r="G21" s="53" t="inlineStr">
        <is>
          <t>Inter-College</t>
        </is>
      </c>
      <c r="H21" s="51" t="inlineStr">
        <is>
          <t>Best Project</t>
        </is>
      </c>
      <c r="I21" s="53" t="inlineStr"/>
      <c r="J21" s="53" t="inlineStr">
        <is>
          <t>Y</t>
        </is>
      </c>
    </row>
    <row r="22" ht="22" customHeight="1">
      <c r="B22" s="54" t="inlineStr">
        <is>
          <t>ACH/2025/0018</t>
        </is>
      </c>
      <c r="C22" s="55" t="inlineStr"/>
      <c r="D22" s="56" t="inlineStr"/>
      <c r="E22" s="56" t="inlineStr">
        <is>
          <t>Biotechnology Association</t>
        </is>
      </c>
      <c r="F22" s="55" t="inlineStr"/>
      <c r="G22" s="56" t="inlineStr">
        <is>
          <t>State</t>
        </is>
      </c>
      <c r="H22" s="54" t="inlineStr">
        <is>
          <t>Special Award</t>
        </is>
      </c>
      <c r="I22" s="56" t="inlineStr"/>
      <c r="J22" s="56" t="inlineStr">
        <is>
          <t>Y</t>
        </is>
      </c>
    </row>
    <row r="23" ht="22" customHeight="1">
      <c r="B23" s="57" t="inlineStr">
        <is>
          <t>ACH/2025/0019</t>
        </is>
      </c>
      <c r="C23" s="58" t="inlineStr"/>
      <c r="D23" s="23" t="inlineStr"/>
      <c r="E23" s="23" t="inlineStr">
        <is>
          <t>MBA Association (LEXICON / MGMT)</t>
        </is>
      </c>
      <c r="F23" s="58" t="inlineStr"/>
      <c r="G23" s="23" t="inlineStr">
        <is>
          <t>National</t>
        </is>
      </c>
      <c r="H23" s="57" t="inlineStr">
        <is>
          <t>1st Prize</t>
        </is>
      </c>
      <c r="I23" s="23" t="inlineStr"/>
      <c r="J23" s="23" t="inlineStr">
        <is>
          <t>Y</t>
        </is>
      </c>
    </row>
    <row r="24" ht="22" customHeight="1">
      <c r="B24" s="59" t="inlineStr">
        <is>
          <t>ACH/2025/0020</t>
        </is>
      </c>
      <c r="C24" s="60" t="inlineStr"/>
      <c r="D24" s="61" t="inlineStr"/>
      <c r="E24" s="61" t="inlineStr">
        <is>
          <t>MCA Association (CODERS)</t>
        </is>
      </c>
      <c r="F24" s="60" t="inlineStr"/>
      <c r="G24" s="61" t="inlineStr">
        <is>
          <t>International</t>
        </is>
      </c>
      <c r="H24" s="59" t="inlineStr">
        <is>
          <t>2nd Prize</t>
        </is>
      </c>
      <c r="I24" s="61" t="inlineStr"/>
      <c r="J24" s="61" t="inlineStr">
        <is>
          <t>Y</t>
        </is>
      </c>
    </row>
    <row r="25" ht="22" customHeight="1">
      <c r="B25" s="14" t="inlineStr">
        <is>
          <t>ACH/2025/0021</t>
        </is>
      </c>
      <c r="C25" s="15" t="inlineStr"/>
      <c r="D25" s="16" t="inlineStr"/>
      <c r="E25" s="16" t="inlineStr">
        <is>
          <t>CSE Association (CSEA / CompSoc)</t>
        </is>
      </c>
      <c r="F25" s="15" t="inlineStr"/>
      <c r="G25" s="16" t="inlineStr">
        <is>
          <t>Institutional</t>
        </is>
      </c>
      <c r="H25" s="14" t="inlineStr">
        <is>
          <t>3rd Prize</t>
        </is>
      </c>
      <c r="I25" s="16" t="inlineStr"/>
      <c r="J25" s="16" t="inlineStr">
        <is>
          <t>Y</t>
        </is>
      </c>
    </row>
    <row r="26" ht="22" customHeight="1">
      <c r="B26" s="32" t="inlineStr">
        <is>
          <t>ACH/2025/0022</t>
        </is>
      </c>
      <c r="C26" s="33" t="inlineStr"/>
      <c r="D26" s="34" t="inlineStr"/>
      <c r="E26" s="34" t="inlineStr">
        <is>
          <t>ECE Association (ECHOES / ElecSoc)</t>
        </is>
      </c>
      <c r="F26" s="33" t="inlineStr"/>
      <c r="G26" s="34" t="inlineStr">
        <is>
          <t>Inter-College</t>
        </is>
      </c>
      <c r="H26" s="32" t="inlineStr">
        <is>
          <t>Consolation</t>
        </is>
      </c>
      <c r="I26" s="34" t="inlineStr"/>
      <c r="J26" s="34" t="inlineStr">
        <is>
          <t>Y</t>
        </is>
      </c>
    </row>
    <row r="27" ht="22" customHeight="1">
      <c r="B27" s="39" t="inlineStr">
        <is>
          <t>ACH/2025/0023</t>
        </is>
      </c>
      <c r="C27" s="40" t="inlineStr"/>
      <c r="D27" s="41" t="inlineStr"/>
      <c r="E27" s="41" t="inlineStr">
        <is>
          <t>EEE Association (SPARK / ElecSoc)</t>
        </is>
      </c>
      <c r="F27" s="40" t="inlineStr"/>
      <c r="G27" s="41" t="inlineStr">
        <is>
          <t>State</t>
        </is>
      </c>
      <c r="H27" s="39" t="inlineStr">
        <is>
          <t>Finalist</t>
        </is>
      </c>
      <c r="I27" s="41" t="inlineStr"/>
      <c r="J27" s="41" t="inlineStr">
        <is>
          <t>Y</t>
        </is>
      </c>
    </row>
    <row r="28" ht="22" customHeight="1">
      <c r="B28" s="42" t="inlineStr">
        <is>
          <t>ACH/2025/0024</t>
        </is>
      </c>
      <c r="C28" s="43" t="inlineStr"/>
      <c r="D28" s="44" t="inlineStr"/>
      <c r="E28" s="44" t="inlineStr">
        <is>
          <t>Mechanical Association (MECHSOC)</t>
        </is>
      </c>
      <c r="F28" s="43" t="inlineStr"/>
      <c r="G28" s="44" t="inlineStr">
        <is>
          <t>National</t>
        </is>
      </c>
      <c r="H28" s="42" t="inlineStr">
        <is>
          <t>Participant</t>
        </is>
      </c>
      <c r="I28" s="44" t="inlineStr"/>
      <c r="J28" s="44" t="inlineStr">
        <is>
          <t>Y</t>
        </is>
      </c>
    </row>
    <row r="29" ht="22" customHeight="1">
      <c r="B29" s="45" t="inlineStr">
        <is>
          <t>ACH/2025/0025</t>
        </is>
      </c>
      <c r="C29" s="46" t="inlineStr"/>
      <c r="D29" s="47" t="inlineStr"/>
      <c r="E29" s="47" t="inlineStr">
        <is>
          <t>Civil Association (STRUCTA / CIVILS)</t>
        </is>
      </c>
      <c r="F29" s="46" t="inlineStr"/>
      <c r="G29" s="47" t="inlineStr">
        <is>
          <t>International</t>
        </is>
      </c>
      <c r="H29" s="45" t="inlineStr">
        <is>
          <t>Best Paper</t>
        </is>
      </c>
      <c r="I29" s="47" t="inlineStr"/>
      <c r="J29" s="47" t="inlineStr">
        <is>
          <t>Y</t>
        </is>
      </c>
    </row>
    <row r="30" ht="22" customHeight="1">
      <c r="B30" s="48" t="inlineStr">
        <is>
          <t>ACH/2025/0026</t>
        </is>
      </c>
      <c r="C30" s="49" t="inlineStr"/>
      <c r="D30" s="50" t="inlineStr"/>
      <c r="E30" s="50" t="inlineStr">
        <is>
          <t>IT Association (ITSOC)</t>
        </is>
      </c>
      <c r="F30" s="49" t="inlineStr"/>
      <c r="G30" s="50" t="inlineStr">
        <is>
          <t>Institutional</t>
        </is>
      </c>
      <c r="H30" s="48" t="inlineStr">
        <is>
          <t>Best Project</t>
        </is>
      </c>
      <c r="I30" s="50" t="inlineStr"/>
      <c r="J30" s="50" t="inlineStr">
        <is>
          <t>Y</t>
        </is>
      </c>
    </row>
    <row r="31" ht="22" customHeight="1">
      <c r="B31" s="51" t="inlineStr">
        <is>
          <t>ACH/2025/0027</t>
        </is>
      </c>
      <c r="C31" s="52" t="inlineStr"/>
      <c r="D31" s="53" t="inlineStr"/>
      <c r="E31" s="53" t="inlineStr">
        <is>
          <t>Chemical Engineering Association</t>
        </is>
      </c>
      <c r="F31" s="52" t="inlineStr"/>
      <c r="G31" s="53" t="inlineStr">
        <is>
          <t>Inter-College</t>
        </is>
      </c>
      <c r="H31" s="51" t="inlineStr">
        <is>
          <t>Special Award</t>
        </is>
      </c>
      <c r="I31" s="53" t="inlineStr"/>
      <c r="J31" s="53" t="inlineStr">
        <is>
          <t>Y</t>
        </is>
      </c>
    </row>
    <row r="32" ht="22" customHeight="1">
      <c r="B32" s="54" t="inlineStr">
        <is>
          <t>ACH/2025/0028</t>
        </is>
      </c>
      <c r="C32" s="55" t="inlineStr"/>
      <c r="D32" s="56" t="inlineStr"/>
      <c r="E32" s="56" t="inlineStr">
        <is>
          <t>Biotechnology Association</t>
        </is>
      </c>
      <c r="F32" s="55" t="inlineStr"/>
      <c r="G32" s="56" t="inlineStr">
        <is>
          <t>State</t>
        </is>
      </c>
      <c r="H32" s="54" t="inlineStr">
        <is>
          <t>1st Prize</t>
        </is>
      </c>
      <c r="I32" s="56" t="inlineStr"/>
      <c r="J32" s="56" t="inlineStr">
        <is>
          <t>Y</t>
        </is>
      </c>
    </row>
    <row r="33" ht="22" customHeight="1"/>
    <row r="34" ht="24" customHeight="1">
      <c r="B34" s="35" t="inlineStr">
        <is>
          <t>ACHIEVEMENT SUMMARY — DA-WISE</t>
        </is>
      </c>
    </row>
    <row r="35" ht="22" customHeight="1">
      <c r="B35" s="31" t="inlineStr">
        <is>
          <t>Department Assoc.</t>
        </is>
      </c>
      <c r="C35" s="31" t="inlineStr">
        <is>
          <t>1st Prize</t>
        </is>
      </c>
      <c r="D35" s="31" t="inlineStr">
        <is>
          <t>2nd Prize</t>
        </is>
      </c>
      <c r="E35" s="31" t="inlineStr">
        <is>
          <t>3rd Prize</t>
        </is>
      </c>
      <c r="F35" s="31" t="inlineStr">
        <is>
          <t>Total Awards</t>
        </is>
      </c>
      <c r="G35" s="31" t="inlineStr">
        <is>
          <t>State / Natl.</t>
        </is>
      </c>
      <c r="H35" s="31" t="inlineStr">
        <is>
          <t>Total Students
Recognised</t>
        </is>
      </c>
      <c r="I35" s="31" t="inlineStr">
        <is>
          <t>Best Performer</t>
        </is>
      </c>
    </row>
    <row r="36">
      <c r="B36" s="15" t="inlineStr">
        <is>
          <t>CSE Association (CSEA / CompSoc)</t>
        </is>
      </c>
      <c r="C36" s="16" t="inlineStr"/>
      <c r="D36" s="16" t="inlineStr"/>
      <c r="E36" s="16" t="inlineStr"/>
      <c r="F36" s="16">
        <f>IFERROR(C36+D36+E36,"")</f>
        <v/>
      </c>
      <c r="G36" s="16" t="inlineStr"/>
      <c r="H36" s="16" t="inlineStr"/>
      <c r="I36" s="15" t="inlineStr"/>
      <c r="J36" s="79" t="n"/>
    </row>
    <row r="37">
      <c r="B37" s="33" t="inlineStr">
        <is>
          <t>ECE Association (ECHOES / ElecSoc)</t>
        </is>
      </c>
      <c r="C37" s="34" t="inlineStr"/>
      <c r="D37" s="34" t="inlineStr"/>
      <c r="E37" s="34" t="inlineStr"/>
      <c r="F37" s="34">
        <f>IFERROR(C37+D37+E37,"")</f>
        <v/>
      </c>
      <c r="G37" s="34" t="inlineStr"/>
      <c r="H37" s="34" t="inlineStr"/>
      <c r="I37" s="33" t="inlineStr"/>
      <c r="J37" s="62" t="n"/>
    </row>
    <row r="38">
      <c r="B38" s="40" t="inlineStr">
        <is>
          <t>EEE Association (SPARK / ElecSoc)</t>
        </is>
      </c>
      <c r="C38" s="41" t="inlineStr"/>
      <c r="D38" s="41" t="inlineStr"/>
      <c r="E38" s="41" t="inlineStr"/>
      <c r="F38" s="41">
        <f>IFERROR(C38+D38+E38,"")</f>
        <v/>
      </c>
      <c r="G38" s="41" t="inlineStr"/>
      <c r="H38" s="41" t="inlineStr"/>
      <c r="I38" s="40" t="inlineStr"/>
      <c r="J38" s="80" t="n"/>
    </row>
    <row r="39">
      <c r="B39" s="43" t="inlineStr">
        <is>
          <t>Mechanical Association (MECHSOC)</t>
        </is>
      </c>
      <c r="C39" s="44" t="inlineStr"/>
      <c r="D39" s="44" t="inlineStr"/>
      <c r="E39" s="44" t="inlineStr"/>
      <c r="F39" s="44">
        <f>IFERROR(C39+D39+E39,"")</f>
        <v/>
      </c>
      <c r="G39" s="44" t="inlineStr"/>
      <c r="H39" s="44" t="inlineStr"/>
      <c r="I39" s="43" t="inlineStr"/>
      <c r="J39" s="81" t="n"/>
    </row>
    <row r="40">
      <c r="B40" s="46" t="inlineStr">
        <is>
          <t>Civil Association (STRUCTA / CIVILS)</t>
        </is>
      </c>
      <c r="C40" s="47" t="inlineStr"/>
      <c r="D40" s="47" t="inlineStr"/>
      <c r="E40" s="47" t="inlineStr"/>
      <c r="F40" s="47">
        <f>IFERROR(C40+D40+E40,"")</f>
        <v/>
      </c>
      <c r="G40" s="47" t="inlineStr"/>
      <c r="H40" s="47" t="inlineStr"/>
      <c r="I40" s="46" t="inlineStr"/>
      <c r="J40" s="82" t="n"/>
    </row>
    <row r="41">
      <c r="B41" s="49" t="inlineStr">
        <is>
          <t>IT Association (ITSOC)</t>
        </is>
      </c>
      <c r="C41" s="50" t="inlineStr"/>
      <c r="D41" s="50" t="inlineStr"/>
      <c r="E41" s="50" t="inlineStr"/>
      <c r="F41" s="50">
        <f>IFERROR(C41+D41+E41,"")</f>
        <v/>
      </c>
      <c r="G41" s="50" t="inlineStr"/>
      <c r="H41" s="50" t="inlineStr"/>
      <c r="I41" s="49" t="inlineStr"/>
      <c r="J41" s="83" t="n"/>
    </row>
    <row r="42">
      <c r="B42" s="52" t="inlineStr">
        <is>
          <t>Chemical Engineering Association</t>
        </is>
      </c>
      <c r="C42" s="53" t="inlineStr"/>
      <c r="D42" s="53" t="inlineStr"/>
      <c r="E42" s="53" t="inlineStr"/>
      <c r="F42" s="53">
        <f>IFERROR(C42+D42+E42,"")</f>
        <v/>
      </c>
      <c r="G42" s="53" t="inlineStr"/>
      <c r="H42" s="53" t="inlineStr"/>
      <c r="I42" s="52" t="inlineStr"/>
      <c r="J42" s="84" t="n"/>
    </row>
    <row r="43">
      <c r="B43" s="55" t="inlineStr">
        <is>
          <t>Biotechnology Association</t>
        </is>
      </c>
      <c r="C43" s="56" t="inlineStr"/>
      <c r="D43" s="56" t="inlineStr"/>
      <c r="E43" s="56" t="inlineStr"/>
      <c r="F43" s="56">
        <f>IFERROR(C43+D43+E43,"")</f>
        <v/>
      </c>
      <c r="G43" s="56" t="inlineStr"/>
      <c r="H43" s="56" t="inlineStr"/>
      <c r="I43" s="55" t="inlineStr"/>
      <c r="J43" s="85" t="n"/>
    </row>
    <row r="44">
      <c r="B44" s="24" t="inlineStr">
        <is>
          <t>TOTAL</t>
        </is>
      </c>
      <c r="C44" s="57" t="inlineStr"/>
      <c r="D44" s="57" t="inlineStr"/>
      <c r="E44" s="57" t="inlineStr"/>
      <c r="F44" s="57">
        <f>IFERROR(C44+D44+E44,"")</f>
        <v/>
      </c>
      <c r="G44" s="57" t="inlineStr"/>
      <c r="H44" s="57" t="inlineStr"/>
      <c r="I44" s="24" t="inlineStr"/>
      <c r="J44" s="86" t="n"/>
    </row>
  </sheetData>
  <mergeCells count="3">
    <mergeCell ref="B34:J34"/>
    <mergeCell ref="B3:J3"/>
    <mergeCell ref="B2:J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I4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3" customWidth="1" min="10" max="10"/>
  </cols>
  <sheetData>
    <row r="1" ht="10" customHeight="1"/>
    <row r="2" ht="48" customHeight="1">
      <c r="B2" s="18" t="inlineStr">
        <is>
          <t>DACC-20: STUDENT SATISFACTION SURVEY — DEPARTMENT ASSOCIATIONS</t>
        </is>
      </c>
    </row>
    <row r="3" ht="25" customHeight="1">
      <c r="B3" s="2" t="inlineStr">
        <is>
          <t>A.Y.: _______  Respondents: _______  Date: _______  NAAC Ref.: Criterion V.3</t>
        </is>
      </c>
    </row>
    <row r="4" ht="22" customHeight="1">
      <c r="B4" s="91" t="inlineStr">
        <is>
          <t>Scale: 1 = Very Poor  |  2 = Poor  |  3 = Average  |  4 = Good  |  5 = Excellent</t>
        </is>
      </c>
    </row>
    <row r="5" ht="24" customHeight="1">
      <c r="B5" s="20" t="inlineStr">
        <is>
          <t>A. DA RELEVANCE &amp; MEMBERSHIP</t>
        </is>
      </c>
    </row>
    <row r="6" ht="22" customHeight="1">
      <c r="B6" s="13" t="inlineStr">
        <is>
          <t>Q.</t>
        </is>
      </c>
      <c r="C6" s="13" t="inlineStr">
        <is>
          <t>Survey Statement</t>
        </is>
      </c>
      <c r="D6" s="13" t="inlineStr">
        <is>
          <t>Excellent
(5)</t>
        </is>
      </c>
      <c r="E6" s="13" t="inlineStr">
        <is>
          <t>Good
(4)</t>
        </is>
      </c>
      <c r="F6" s="13" t="inlineStr">
        <is>
          <t>Average
(3)</t>
        </is>
      </c>
      <c r="G6" s="13" t="inlineStr">
        <is>
          <t>Poor
(2)</t>
        </is>
      </c>
      <c r="H6" s="13" t="inlineStr">
        <is>
          <t>Very Poor
(1)</t>
        </is>
      </c>
      <c r="I6" s="13" t="inlineStr">
        <is>
          <t>Avg Score</t>
        </is>
      </c>
    </row>
    <row r="7" ht="22" customHeight="1">
      <c r="B7" s="14" t="inlineStr">
        <is>
          <t>Q1</t>
        </is>
      </c>
      <c r="C7" s="15" t="inlineStr">
        <is>
          <t>Variety and relevance of DA activities for your department</t>
        </is>
      </c>
      <c r="D7" s="16" t="inlineStr"/>
      <c r="E7" s="16" t="inlineStr"/>
      <c r="F7" s="16" t="inlineStr"/>
      <c r="G7" s="16" t="inlineStr"/>
      <c r="H7" s="16" t="inlineStr"/>
      <c r="I7" s="92">
        <f>IFERROR(ROUND((D7*5+E7*4+F7*3+G7*2+H7)/SUM(D7:H7),2),"")</f>
        <v/>
      </c>
    </row>
    <row r="8" ht="22" customHeight="1">
      <c r="B8" s="8" t="inlineStr">
        <is>
          <t>Q2</t>
        </is>
      </c>
      <c r="C8" s="9" t="inlineStr">
        <is>
          <t>Ease of joining and participating in your DA</t>
        </is>
      </c>
      <c r="D8" s="10" t="inlineStr"/>
      <c r="E8" s="10" t="inlineStr"/>
      <c r="F8" s="10" t="inlineStr"/>
      <c r="G8" s="10" t="inlineStr"/>
      <c r="H8" s="10" t="inlineStr"/>
      <c r="I8" s="38">
        <f>IFERROR(ROUND((D8*5+E8*4+F8*3+G8*2+H8)/SUM(D8:H8),2),"")</f>
        <v/>
      </c>
    </row>
    <row r="9" ht="22" customHeight="1">
      <c r="B9" s="14" t="inlineStr">
        <is>
          <t>Q3</t>
        </is>
      </c>
      <c r="C9" s="15" t="inlineStr">
        <is>
          <t>Inclusivity — all students feel welcome to participate</t>
        </is>
      </c>
      <c r="D9" s="16" t="inlineStr"/>
      <c r="E9" s="16" t="inlineStr"/>
      <c r="F9" s="16" t="inlineStr"/>
      <c r="G9" s="16" t="inlineStr"/>
      <c r="H9" s="16" t="inlineStr"/>
      <c r="I9" s="92">
        <f>IFERROR(ROUND((D9*5+E9*4+F9*3+G9*2+H9)/SUM(D9:H9),2),"")</f>
        <v/>
      </c>
    </row>
    <row r="10" ht="22" customHeight="1">
      <c r="B10" s="8" t="inlineStr">
        <is>
          <t>Q4</t>
        </is>
      </c>
      <c r="C10" s="9" t="inlineStr">
        <is>
          <t>DA leadership (president, secretary) quality and approachability</t>
        </is>
      </c>
      <c r="D10" s="10" t="inlineStr"/>
      <c r="E10" s="10" t="inlineStr"/>
      <c r="F10" s="10" t="inlineStr"/>
      <c r="G10" s="10" t="inlineStr"/>
      <c r="H10" s="10" t="inlineStr"/>
      <c r="I10" s="38">
        <f>IFERROR(ROUND((D10*5+E10*4+F10*3+G10*2+H10)/SUM(D10:H10),2),"")</f>
        <v/>
      </c>
    </row>
    <row r="11" ht="22" customHeight="1">
      <c r="B11" s="14" t="inlineStr">
        <is>
          <t>Q5</t>
        </is>
      </c>
      <c r="C11" s="15" t="inlineStr">
        <is>
          <t>Awareness of DA activities among students</t>
        </is>
      </c>
      <c r="D11" s="16" t="inlineStr"/>
      <c r="E11" s="16" t="inlineStr"/>
      <c r="F11" s="16" t="inlineStr"/>
      <c r="G11" s="16" t="inlineStr"/>
      <c r="H11" s="16" t="inlineStr"/>
      <c r="I11" s="92">
        <f>IFERROR(ROUND((D11*5+E11*4+F11*3+G11*2+H11)/SUM(D11:H11),2),"")</f>
        <v/>
      </c>
    </row>
    <row r="12" ht="22" customHeight="1"/>
    <row r="13" ht="24" customHeight="1">
      <c r="B13" s="35" t="inlineStr">
        <is>
          <t>B. EVENTS &amp; TECHNICAL ACTIVITIES</t>
        </is>
      </c>
    </row>
    <row r="14" ht="22" customHeight="1">
      <c r="B14" s="31" t="inlineStr">
        <is>
          <t>Q.</t>
        </is>
      </c>
      <c r="C14" s="31" t="inlineStr">
        <is>
          <t>Survey Statement</t>
        </is>
      </c>
      <c r="D14" s="31" t="inlineStr">
        <is>
          <t>Excellent
(5)</t>
        </is>
      </c>
      <c r="E14" s="31" t="inlineStr">
        <is>
          <t>Good
(4)</t>
        </is>
      </c>
      <c r="F14" s="31" t="inlineStr">
        <is>
          <t>Average
(3)</t>
        </is>
      </c>
      <c r="G14" s="31" t="inlineStr">
        <is>
          <t>Poor
(2)</t>
        </is>
      </c>
      <c r="H14" s="31" t="inlineStr">
        <is>
          <t>Very Poor
(1)</t>
        </is>
      </c>
      <c r="I14" s="31" t="inlineStr">
        <is>
          <t>Avg Score</t>
        </is>
      </c>
    </row>
    <row r="15" ht="22" customHeight="1">
      <c r="B15" s="32" t="inlineStr">
        <is>
          <t>Q6</t>
        </is>
      </c>
      <c r="C15" s="33" t="inlineStr">
        <is>
          <t>Quality and technical depth of events organised</t>
        </is>
      </c>
      <c r="D15" s="34" t="inlineStr"/>
      <c r="E15" s="34" t="inlineStr"/>
      <c r="F15" s="34" t="inlineStr"/>
      <c r="G15" s="34" t="inlineStr"/>
      <c r="H15" s="34" t="inlineStr"/>
      <c r="I15" s="93">
        <f>IFERROR(ROUND((D15*5+E15*4+F15*3+G15*2+H15)/SUM(D15:H15),2),"")</f>
        <v/>
      </c>
    </row>
    <row r="16" ht="22" customHeight="1">
      <c r="B16" s="8" t="inlineStr">
        <is>
          <t>Q7</t>
        </is>
      </c>
      <c r="C16" s="9" t="inlineStr">
        <is>
          <t>Relevance of guest lectures to current industry trends</t>
        </is>
      </c>
      <c r="D16" s="10" t="inlineStr"/>
      <c r="E16" s="10" t="inlineStr"/>
      <c r="F16" s="10" t="inlineStr"/>
      <c r="G16" s="10" t="inlineStr"/>
      <c r="H16" s="10" t="inlineStr"/>
      <c r="I16" s="38">
        <f>IFERROR(ROUND((D16*5+E16*4+F16*3+G16*2+H16)/SUM(D16:H16),2),"")</f>
        <v/>
      </c>
    </row>
    <row r="17" ht="22" customHeight="1">
      <c r="B17" s="32" t="inlineStr">
        <is>
          <t>Q8</t>
        </is>
      </c>
      <c r="C17" s="33" t="inlineStr">
        <is>
          <t>Quality of workshops and skill-building sessions</t>
        </is>
      </c>
      <c r="D17" s="34" t="inlineStr"/>
      <c r="E17" s="34" t="inlineStr"/>
      <c r="F17" s="34" t="inlineStr"/>
      <c r="G17" s="34" t="inlineStr"/>
      <c r="H17" s="34" t="inlineStr"/>
      <c r="I17" s="93">
        <f>IFERROR(ROUND((D17*5+E17*4+F17*3+G17*2+H17)/SUM(D17:H17),2),"")</f>
        <v/>
      </c>
    </row>
    <row r="18" ht="22" customHeight="1">
      <c r="B18" s="8" t="inlineStr">
        <is>
          <t>Q9</t>
        </is>
      </c>
      <c r="C18" s="9" t="inlineStr">
        <is>
          <t>Intercollegiate competition opportunities through DA</t>
        </is>
      </c>
      <c r="D18" s="10" t="inlineStr"/>
      <c r="E18" s="10" t="inlineStr"/>
      <c r="F18" s="10" t="inlineStr"/>
      <c r="G18" s="10" t="inlineStr"/>
      <c r="H18" s="10" t="inlineStr"/>
      <c r="I18" s="38">
        <f>IFERROR(ROUND((D18*5+E18*4+F18*3+G18*2+H18)/SUM(D18:H18),2),"")</f>
        <v/>
      </c>
    </row>
    <row r="19" ht="22" customHeight="1">
      <c r="B19" s="32" t="inlineStr">
        <is>
          <t>Q10</t>
        </is>
      </c>
      <c r="C19" s="33" t="inlineStr">
        <is>
          <t>Annual symposium / technical fest quality and organisation</t>
        </is>
      </c>
      <c r="D19" s="34" t="inlineStr"/>
      <c r="E19" s="34" t="inlineStr"/>
      <c r="F19" s="34" t="inlineStr"/>
      <c r="G19" s="34" t="inlineStr"/>
      <c r="H19" s="34" t="inlineStr"/>
      <c r="I19" s="93">
        <f>IFERROR(ROUND((D19*5+E19*4+F19*3+G19*2+H19)/SUM(D19:H19),2),"")</f>
        <v/>
      </c>
    </row>
    <row r="20" ht="22" customHeight="1">
      <c r="B20" s="8" t="inlineStr">
        <is>
          <t>Q11</t>
        </is>
      </c>
      <c r="C20" s="9" t="inlineStr">
        <is>
          <t>Industrial visit quality and learning value</t>
        </is>
      </c>
      <c r="D20" s="10" t="inlineStr"/>
      <c r="E20" s="10" t="inlineStr"/>
      <c r="F20" s="10" t="inlineStr"/>
      <c r="G20" s="10" t="inlineStr"/>
      <c r="H20" s="10" t="inlineStr"/>
      <c r="I20" s="38">
        <f>IFERROR(ROUND((D20*5+E20*4+F20*3+G20*2+H20)/SUM(D20:H20),2),"")</f>
        <v/>
      </c>
    </row>
    <row r="21" ht="22" customHeight="1"/>
    <row r="22" ht="24" customHeight="1">
      <c r="B22" s="94" t="inlineStr">
        <is>
          <t>C. ACADEMIC &amp; CAREER IMPACT</t>
        </is>
      </c>
    </row>
    <row r="23" ht="22" customHeight="1">
      <c r="B23" s="95" t="inlineStr">
        <is>
          <t>Q.</t>
        </is>
      </c>
      <c r="C23" s="95" t="inlineStr">
        <is>
          <t>Survey Statement</t>
        </is>
      </c>
      <c r="D23" s="95" t="inlineStr">
        <is>
          <t>Excellent
(5)</t>
        </is>
      </c>
      <c r="E23" s="95" t="inlineStr">
        <is>
          <t>Good
(4)</t>
        </is>
      </c>
      <c r="F23" s="95" t="inlineStr">
        <is>
          <t>Average
(3)</t>
        </is>
      </c>
      <c r="G23" s="95" t="inlineStr">
        <is>
          <t>Poor
(2)</t>
        </is>
      </c>
      <c r="H23" s="95" t="inlineStr">
        <is>
          <t>Very Poor
(1)</t>
        </is>
      </c>
      <c r="I23" s="95" t="inlineStr">
        <is>
          <t>Avg Score</t>
        </is>
      </c>
    </row>
    <row r="24" ht="22" customHeight="1">
      <c r="B24" s="39" t="inlineStr">
        <is>
          <t>Q12</t>
        </is>
      </c>
      <c r="C24" s="40" t="inlineStr">
        <is>
          <t>DA activities contributing to technical knowledge</t>
        </is>
      </c>
      <c r="D24" s="41" t="inlineStr"/>
      <c r="E24" s="41" t="inlineStr"/>
      <c r="F24" s="41" t="inlineStr"/>
      <c r="G24" s="41" t="inlineStr"/>
      <c r="H24" s="41" t="inlineStr"/>
      <c r="I24" s="96">
        <f>IFERROR(ROUND((D24*5+E24*4+F24*3+G24*2+H24)/SUM(D24:H24),2),"")</f>
        <v/>
      </c>
    </row>
    <row r="25" ht="22" customHeight="1">
      <c r="B25" s="8" t="inlineStr">
        <is>
          <t>Q13</t>
        </is>
      </c>
      <c r="C25" s="9" t="inlineStr">
        <is>
          <t>Networking opportunities with industry through DA</t>
        </is>
      </c>
      <c r="D25" s="10" t="inlineStr"/>
      <c r="E25" s="10" t="inlineStr"/>
      <c r="F25" s="10" t="inlineStr"/>
      <c r="G25" s="10" t="inlineStr"/>
      <c r="H25" s="10" t="inlineStr"/>
      <c r="I25" s="38">
        <f>IFERROR(ROUND((D25*5+E25*4+F25*3+G25*2+H25)/SUM(D25:H25),2),"")</f>
        <v/>
      </c>
    </row>
    <row r="26" ht="22" customHeight="1">
      <c r="B26" s="39" t="inlineStr">
        <is>
          <t>Q14</t>
        </is>
      </c>
      <c r="C26" s="40" t="inlineStr">
        <is>
          <t>Support for research and project activities</t>
        </is>
      </c>
      <c r="D26" s="41" t="inlineStr"/>
      <c r="E26" s="41" t="inlineStr"/>
      <c r="F26" s="41" t="inlineStr"/>
      <c r="G26" s="41" t="inlineStr"/>
      <c r="H26" s="41" t="inlineStr"/>
      <c r="I26" s="96">
        <f>IFERROR(ROUND((D26*5+E26*4+F26*3+G26*2+H26)/SUM(D26:H26),2),"")</f>
        <v/>
      </c>
    </row>
    <row r="27" ht="22" customHeight="1">
      <c r="B27" s="8" t="inlineStr">
        <is>
          <t>Q15</t>
        </is>
      </c>
      <c r="C27" s="9" t="inlineStr">
        <is>
          <t>Certification and skill development opportunities</t>
        </is>
      </c>
      <c r="D27" s="10" t="inlineStr"/>
      <c r="E27" s="10" t="inlineStr"/>
      <c r="F27" s="10" t="inlineStr"/>
      <c r="G27" s="10" t="inlineStr"/>
      <c r="H27" s="10" t="inlineStr"/>
      <c r="I27" s="38">
        <f>IFERROR(ROUND((D27*5+E27*4+F27*3+G27*2+H27)/SUM(D27:H27),2),"")</f>
        <v/>
      </c>
    </row>
    <row r="28" ht="22" customHeight="1">
      <c r="B28" s="39" t="inlineStr">
        <is>
          <t>Q16</t>
        </is>
      </c>
      <c r="C28" s="40" t="inlineStr">
        <is>
          <t>DA's role in placement / career readiness</t>
        </is>
      </c>
      <c r="D28" s="41" t="inlineStr"/>
      <c r="E28" s="41" t="inlineStr"/>
      <c r="F28" s="41" t="inlineStr"/>
      <c r="G28" s="41" t="inlineStr"/>
      <c r="H28" s="41" t="inlineStr"/>
      <c r="I28" s="96">
        <f>IFERROR(ROUND((D28*5+E28*4+F28*3+G28*2+H28)/SUM(D28:H28),2),"")</f>
        <v/>
      </c>
    </row>
    <row r="29" ht="22" customHeight="1">
      <c r="B29" s="8" t="inlineStr">
        <is>
          <t>Q17</t>
        </is>
      </c>
      <c r="C29" s="9" t="inlineStr">
        <is>
          <t>Publications and media activities quality</t>
        </is>
      </c>
      <c r="D29" s="10" t="inlineStr"/>
      <c r="E29" s="10" t="inlineStr"/>
      <c r="F29" s="10" t="inlineStr"/>
      <c r="G29" s="10" t="inlineStr"/>
      <c r="H29" s="10" t="inlineStr"/>
      <c r="I29" s="38">
        <f>IFERROR(ROUND((D29*5+E29*4+F29*3+G29*2+H29)/SUM(D29:H29),2),"")</f>
        <v/>
      </c>
    </row>
    <row r="30" ht="22" customHeight="1"/>
    <row r="31" ht="24" customHeight="1">
      <c r="B31" s="97" t="inlineStr">
        <is>
          <t>D. SUPPORT &amp; INFRASTRUCTURE</t>
        </is>
      </c>
    </row>
    <row r="32" ht="22" customHeight="1">
      <c r="B32" s="98" t="inlineStr">
        <is>
          <t>Q.</t>
        </is>
      </c>
      <c r="C32" s="98" t="inlineStr">
        <is>
          <t>Survey Statement</t>
        </is>
      </c>
      <c r="D32" s="98" t="inlineStr">
        <is>
          <t>Excellent
(5)</t>
        </is>
      </c>
      <c r="E32" s="98" t="inlineStr">
        <is>
          <t>Good
(4)</t>
        </is>
      </c>
      <c r="F32" s="98" t="inlineStr">
        <is>
          <t>Average
(3)</t>
        </is>
      </c>
      <c r="G32" s="98" t="inlineStr">
        <is>
          <t>Poor
(2)</t>
        </is>
      </c>
      <c r="H32" s="98" t="inlineStr">
        <is>
          <t>Very Poor
(1)</t>
        </is>
      </c>
      <c r="I32" s="98" t="inlineStr">
        <is>
          <t>Avg Score</t>
        </is>
      </c>
    </row>
    <row r="33" ht="22" customHeight="1">
      <c r="B33" s="42" t="inlineStr">
        <is>
          <t>Q18</t>
        </is>
      </c>
      <c r="C33" s="43" t="inlineStr">
        <is>
          <t>Faculty advisor support and mentoring quality</t>
        </is>
      </c>
      <c r="D33" s="44" t="inlineStr"/>
      <c r="E33" s="44" t="inlineStr"/>
      <c r="F33" s="44" t="inlineStr"/>
      <c r="G33" s="44" t="inlineStr"/>
      <c r="H33" s="44" t="inlineStr"/>
      <c r="I33" s="99">
        <f>IFERROR(ROUND((D33*5+E33*4+F33*3+G33*2+H33)/SUM(D33:H33),2),"")</f>
        <v/>
      </c>
    </row>
    <row r="34" ht="22" customHeight="1">
      <c r="B34" s="8" t="inlineStr">
        <is>
          <t>Q19</t>
        </is>
      </c>
      <c r="C34" s="9" t="inlineStr">
        <is>
          <t>Institutional support (budget, venue, resources)</t>
        </is>
      </c>
      <c r="D34" s="10" t="inlineStr"/>
      <c r="E34" s="10" t="inlineStr"/>
      <c r="F34" s="10" t="inlineStr"/>
      <c r="G34" s="10" t="inlineStr"/>
      <c r="H34" s="10" t="inlineStr"/>
      <c r="I34" s="38">
        <f>IFERROR(ROUND((D34*5+E34*4+F34*3+G34*2+H34)/SUM(D34:H34),2),"")</f>
        <v/>
      </c>
    </row>
    <row r="35" ht="22" customHeight="1">
      <c r="B35" s="42" t="inlineStr">
        <is>
          <t>Q20</t>
        </is>
      </c>
      <c r="C35" s="43" t="inlineStr">
        <is>
          <t>Transparency in DA budget and expenditure</t>
        </is>
      </c>
      <c r="D35" s="44" t="inlineStr"/>
      <c r="E35" s="44" t="inlineStr"/>
      <c r="F35" s="44" t="inlineStr"/>
      <c r="G35" s="44" t="inlineStr"/>
      <c r="H35" s="44" t="inlineStr"/>
      <c r="I35" s="99">
        <f>IFERROR(ROUND((D35*5+E35*4+F35*3+G35*2+H35)/SUM(D35:H35),2),"")</f>
        <v/>
      </c>
    </row>
    <row r="36" ht="22" customHeight="1">
      <c r="B36" s="8" t="inlineStr">
        <is>
          <t>Q21</t>
        </is>
      </c>
      <c r="C36" s="9" t="inlineStr">
        <is>
          <t>Recognition of student achievements through DA</t>
        </is>
      </c>
      <c r="D36" s="10" t="inlineStr"/>
      <c r="E36" s="10" t="inlineStr"/>
      <c r="F36" s="10" t="inlineStr"/>
      <c r="G36" s="10" t="inlineStr"/>
      <c r="H36" s="10" t="inlineStr"/>
      <c r="I36" s="38">
        <f>IFERROR(ROUND((D36*5+E36*4+F36*3+G36*2+H36)/SUM(D36:H36),2),"")</f>
        <v/>
      </c>
    </row>
    <row r="37" ht="22" customHeight="1">
      <c r="B37" s="42" t="inlineStr">
        <is>
          <t>Q22</t>
        </is>
      </c>
      <c r="C37" s="43" t="inlineStr">
        <is>
          <t>Overall satisfaction with your Department Association</t>
        </is>
      </c>
      <c r="D37" s="44" t="inlineStr"/>
      <c r="E37" s="44" t="inlineStr"/>
      <c r="F37" s="44" t="inlineStr"/>
      <c r="G37" s="44" t="inlineStr"/>
      <c r="H37" s="44" t="inlineStr"/>
      <c r="I37" s="99">
        <f>IFERROR(ROUND((D37*5+E37*4+F37*3+G37*2+H37)/SUM(D37:H37),2),"")</f>
        <v/>
      </c>
    </row>
    <row r="38" ht="22" customHeight="1"/>
    <row r="39" ht="24" customHeight="1">
      <c r="B39" s="28" t="inlineStr">
        <is>
          <t>SURVEY SUMMARY &amp; ACTION PLAN</t>
        </is>
      </c>
    </row>
    <row r="40" ht="22" customHeight="1">
      <c r="B40" s="29" t="inlineStr">
        <is>
          <t>Section</t>
        </is>
      </c>
      <c r="C40" s="29" t="inlineStr">
        <is>
          <t>Avg Score (/5)</t>
        </is>
      </c>
      <c r="D40" s="29" t="inlineStr">
        <is>
          <t>Satisfaction %</t>
        </is>
      </c>
      <c r="E40" s="29" t="inlineStr">
        <is>
          <t>Benchmark
(≥3.5)</t>
        </is>
      </c>
      <c r="F40" s="29" t="inlineStr">
        <is>
          <t>Gap</t>
        </is>
      </c>
      <c r="G40" s="29" t="inlineStr">
        <is>
          <t>Status</t>
        </is>
      </c>
      <c r="H40" s="29" t="inlineStr">
        <is>
          <t>Priority Action</t>
        </is>
      </c>
    </row>
    <row r="41" ht="22" customHeight="1">
      <c r="B41" s="66" t="inlineStr">
        <is>
          <t>DA RELEVANCE &amp; MEMBERSHIP</t>
        </is>
      </c>
      <c r="C41" s="16" t="inlineStr"/>
      <c r="D41" s="16">
        <f>IFERROR(ROUND(C41/5*100,1),"")</f>
        <v/>
      </c>
      <c r="E41" s="16" t="n">
        <v>3.5</v>
      </c>
      <c r="F41" s="16">
        <f>IFERROR(ROUND(C41-E41,2),"")</f>
        <v/>
      </c>
      <c r="G41" s="16">
        <f>IFERROR(IF(C41&gt;=3.5,"Satisfactory","Needs Attention"),"")</f>
        <v/>
      </c>
      <c r="H41" s="15" t="inlineStr"/>
      <c r="I41" s="79" t="n"/>
    </row>
    <row r="42" ht="22" customHeight="1">
      <c r="B42" s="26" t="inlineStr">
        <is>
          <t>EVENTS &amp; TECHNICAL ACTIVITIES</t>
        </is>
      </c>
      <c r="C42" s="10" t="inlineStr"/>
      <c r="D42" s="10">
        <f>IFERROR(ROUND(C42/5*100,1),"")</f>
        <v/>
      </c>
      <c r="E42" s="10" t="n">
        <v>3.5</v>
      </c>
      <c r="F42" s="10">
        <f>IFERROR(ROUND(C42-E42,2),"")</f>
        <v/>
      </c>
      <c r="G42" s="10">
        <f>IFERROR(IF(C42&gt;=3.5,"Satisfactory","Needs Attention"),"")</f>
        <v/>
      </c>
      <c r="H42" s="9" t="inlineStr"/>
      <c r="I42" s="63" t="n"/>
    </row>
    <row r="43" ht="22" customHeight="1">
      <c r="B43" s="66" t="inlineStr">
        <is>
          <t>ACADEMIC &amp; CAREER IMPACT</t>
        </is>
      </c>
      <c r="C43" s="16" t="inlineStr"/>
      <c r="D43" s="16">
        <f>IFERROR(ROUND(C43/5*100,1),"")</f>
        <v/>
      </c>
      <c r="E43" s="16" t="n">
        <v>3.5</v>
      </c>
      <c r="F43" s="16">
        <f>IFERROR(ROUND(C43-E43,2),"")</f>
        <v/>
      </c>
      <c r="G43" s="16">
        <f>IFERROR(IF(C43&gt;=3.5,"Satisfactory","Needs Attention"),"")</f>
        <v/>
      </c>
      <c r="H43" s="15" t="inlineStr"/>
      <c r="I43" s="79" t="n"/>
    </row>
    <row r="44" ht="22" customHeight="1">
      <c r="B44" s="26" t="inlineStr">
        <is>
          <t>SUPPORT &amp; INFRASTRUCTURE</t>
        </is>
      </c>
      <c r="C44" s="10" t="inlineStr"/>
      <c r="D44" s="10">
        <f>IFERROR(ROUND(C44/5*100,1),"")</f>
        <v/>
      </c>
      <c r="E44" s="10" t="n">
        <v>3.5</v>
      </c>
      <c r="F44" s="10">
        <f>IFERROR(ROUND(C44-E44,2),"")</f>
        <v/>
      </c>
      <c r="G44" s="10">
        <f>IFERROR(IF(C44&gt;=3.5,"Satisfactory","Needs Attention"),"")</f>
        <v/>
      </c>
      <c r="H44" s="9" t="inlineStr"/>
      <c r="I44" s="63" t="n"/>
    </row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</sheetData>
  <mergeCells count="8">
    <mergeCell ref="B13:I13"/>
    <mergeCell ref="B39:I39"/>
    <mergeCell ref="B2:I2"/>
    <mergeCell ref="B3:I3"/>
    <mergeCell ref="B5:I5"/>
    <mergeCell ref="B22:I22"/>
    <mergeCell ref="B31:I31"/>
    <mergeCell ref="B4:I4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2:I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2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3" customWidth="1" min="10" max="10"/>
  </cols>
  <sheetData>
    <row r="1" ht="10" customHeight="1"/>
    <row r="2" ht="48" customHeight="1">
      <c r="B2" s="18" t="inlineStr">
        <is>
          <t>DACC-30: DEPARTMENT ASSOCIATION COORDINATION COMMITTEE KPI DASHBOARD</t>
        </is>
      </c>
    </row>
    <row r="3" ht="25" customHeight="1">
      <c r="B3" s="2" t="inlineStr">
        <is>
          <t>A.Y.: _______  Quarter: Q1/Q2/Q3/Q4  DACC Coordinator: ___________________  Date: _______</t>
        </is>
      </c>
    </row>
    <row r="4" ht="24" customHeight="1">
      <c r="B4" s="20" t="inlineStr">
        <is>
          <t>DA ECOSYSTEM KPIs</t>
        </is>
      </c>
    </row>
    <row r="5" ht="22" customHeight="1">
      <c r="B5" s="13" t="inlineStr">
        <is>
          <t>Sl.</t>
        </is>
      </c>
      <c r="C5" s="13" t="inlineStr">
        <is>
          <t>Key Performance Indicator</t>
        </is>
      </c>
      <c r="D5" s="13" t="inlineStr">
        <is>
          <t>Unit</t>
        </is>
      </c>
      <c r="E5" s="13" t="inlineStr">
        <is>
          <t>Annual Target</t>
        </is>
      </c>
      <c r="F5" s="13" t="inlineStr">
        <is>
          <t>Prev. Year Actual</t>
        </is>
      </c>
      <c r="G5" s="13" t="inlineStr">
        <is>
          <t>Current Year Actual</t>
        </is>
      </c>
      <c r="H5" s="13" t="inlineStr">
        <is>
          <t>Status</t>
        </is>
      </c>
      <c r="I5" s="13" t="inlineStr">
        <is>
          <t>Action Required</t>
        </is>
      </c>
    </row>
    <row r="6" ht="22" customHeight="1">
      <c r="B6" s="14" t="n">
        <v>1</v>
      </c>
      <c r="C6" s="15" t="inlineStr">
        <is>
          <t>Total active DAs registered with DACC</t>
        </is>
      </c>
      <c r="D6" s="16" t="inlineStr">
        <is>
          <t>No.</t>
        </is>
      </c>
      <c r="E6" s="16" t="inlineStr">
        <is>
          <t>≥8</t>
        </is>
      </c>
      <c r="F6" s="16" t="inlineStr"/>
      <c r="G6" s="16" t="inlineStr"/>
      <c r="H6" s="16" t="inlineStr">
        <is>
          <t>On Track</t>
        </is>
      </c>
      <c r="I6" s="15" t="inlineStr"/>
    </row>
    <row r="7" ht="22" customHeight="1">
      <c r="B7" s="8" t="n">
        <v>2</v>
      </c>
      <c r="C7" s="9" t="inlineStr">
        <is>
          <t>DAs with annual activity plan submitted</t>
        </is>
      </c>
      <c r="D7" s="10" t="inlineStr">
        <is>
          <t>% of DAs</t>
        </is>
      </c>
      <c r="E7" s="10" t="inlineStr">
        <is>
          <t>100%</t>
        </is>
      </c>
      <c r="F7" s="10" t="inlineStr"/>
      <c r="G7" s="10" t="inlineStr"/>
      <c r="H7" s="10" t="inlineStr">
        <is>
          <t>On Track</t>
        </is>
      </c>
      <c r="I7" s="9" t="inlineStr"/>
    </row>
    <row r="8" ht="22" customHeight="1">
      <c r="B8" s="14" t="n">
        <v>3</v>
      </c>
      <c r="C8" s="15" t="inlineStr">
        <is>
          <t>DAs with faculty advisor assigned</t>
        </is>
      </c>
      <c r="D8" s="16" t="inlineStr">
        <is>
          <t>% of DAs</t>
        </is>
      </c>
      <c r="E8" s="16" t="inlineStr">
        <is>
          <t>100%</t>
        </is>
      </c>
      <c r="F8" s="16" t="inlineStr"/>
      <c r="G8" s="16" t="inlineStr"/>
      <c r="H8" s="16" t="inlineStr">
        <is>
          <t>On Track</t>
        </is>
      </c>
      <c r="I8" s="15" t="inlineStr"/>
    </row>
    <row r="9" ht="22" customHeight="1">
      <c r="B9" s="8" t="n">
        <v>4</v>
      </c>
      <c r="C9" s="9" t="inlineStr">
        <is>
          <t>Total student DA membership (% of enrolled)</t>
        </is>
      </c>
      <c r="D9" s="10" t="inlineStr">
        <is>
          <t>% enrolled</t>
        </is>
      </c>
      <c r="E9" s="10" t="inlineStr">
        <is>
          <t>≥35% of students</t>
        </is>
      </c>
      <c r="F9" s="10" t="inlineStr"/>
      <c r="G9" s="10" t="inlineStr"/>
      <c r="H9" s="10" t="inlineStr">
        <is>
          <t>On Track</t>
        </is>
      </c>
      <c r="I9" s="9" t="inlineStr"/>
    </row>
    <row r="10" ht="22" customHeight="1">
      <c r="B10" s="14" t="n">
        <v>5</v>
      </c>
      <c r="C10" s="15" t="inlineStr">
        <is>
          <t>DAs with ≥6 activities per year</t>
        </is>
      </c>
      <c r="D10" s="16" t="inlineStr">
        <is>
          <t>% of DAs</t>
        </is>
      </c>
      <c r="E10" s="16" t="inlineStr">
        <is>
          <t>≥80%</t>
        </is>
      </c>
      <c r="F10" s="16" t="inlineStr"/>
      <c r="G10" s="16" t="inlineStr"/>
      <c r="H10" s="16" t="inlineStr">
        <is>
          <t>On Track</t>
        </is>
      </c>
      <c r="I10" s="15" t="inlineStr"/>
    </row>
    <row r="11" ht="22" customHeight="1">
      <c r="B11" s="8" t="n">
        <v>6</v>
      </c>
      <c r="C11" s="9" t="inlineStr">
        <is>
          <t>DAs with post-event reports compliant</t>
        </is>
      </c>
      <c r="D11" s="10" t="inlineStr">
        <is>
          <t>% on time</t>
        </is>
      </c>
      <c r="E11" s="10" t="inlineStr">
        <is>
          <t>≥90%</t>
        </is>
      </c>
      <c r="F11" s="10" t="inlineStr"/>
      <c r="G11" s="10" t="inlineStr"/>
      <c r="H11" s="10" t="inlineStr">
        <is>
          <t>On Track</t>
        </is>
      </c>
      <c r="I11" s="9" t="inlineStr"/>
    </row>
    <row r="12" ht="22" customHeight="1">
      <c r="B12" s="14" t="n">
        <v>7</v>
      </c>
      <c r="C12" s="15" t="inlineStr">
        <is>
          <t>Best DA Award nominations submitted</t>
        </is>
      </c>
      <c r="D12" s="16" t="inlineStr">
        <is>
          <t>Y/N</t>
        </is>
      </c>
      <c r="E12" s="16" t="inlineStr">
        <is>
          <t>Yes annually</t>
        </is>
      </c>
      <c r="F12" s="16" t="inlineStr"/>
      <c r="G12" s="16" t="inlineStr"/>
      <c r="H12" s="16" t="inlineStr">
        <is>
          <t>On Track</t>
        </is>
      </c>
      <c r="I12" s="15" t="inlineStr"/>
    </row>
    <row r="13" ht="22" customHeight="1"/>
    <row r="14" ht="24" customHeight="1">
      <c r="B14" s="35" t="inlineStr">
        <is>
          <t>EVENTS &amp; ACTIVITIES KPIs</t>
        </is>
      </c>
    </row>
    <row r="15" ht="22" customHeight="1">
      <c r="B15" s="31" t="inlineStr">
        <is>
          <t>Sl.</t>
        </is>
      </c>
      <c r="C15" s="31" t="inlineStr">
        <is>
          <t>Key Performance Indicator</t>
        </is>
      </c>
      <c r="D15" s="31" t="inlineStr">
        <is>
          <t>Unit</t>
        </is>
      </c>
      <c r="E15" s="31" t="inlineStr">
        <is>
          <t>Annual Target</t>
        </is>
      </c>
      <c r="F15" s="31" t="inlineStr">
        <is>
          <t>Prev. Year Actual</t>
        </is>
      </c>
      <c r="G15" s="31" t="inlineStr">
        <is>
          <t>Current Year Actual</t>
        </is>
      </c>
      <c r="H15" s="31" t="inlineStr">
        <is>
          <t>Status</t>
        </is>
      </c>
      <c r="I15" s="31" t="inlineStr">
        <is>
          <t>Action Required</t>
        </is>
      </c>
    </row>
    <row r="16" ht="22" customHeight="1">
      <c r="B16" s="32" t="n">
        <v>1</v>
      </c>
      <c r="C16" s="33" t="inlineStr">
        <is>
          <t>Total DA events conducted institution-wide</t>
        </is>
      </c>
      <c r="D16" s="34" t="inlineStr">
        <is>
          <t>No. per year</t>
        </is>
      </c>
      <c r="E16" s="34" t="inlineStr">
        <is>
          <t>≥60</t>
        </is>
      </c>
      <c r="F16" s="34" t="inlineStr"/>
      <c r="G16" s="34" t="inlineStr"/>
      <c r="H16" s="34" t="inlineStr">
        <is>
          <t>On Track</t>
        </is>
      </c>
      <c r="I16" s="33" t="inlineStr"/>
    </row>
    <row r="17" ht="22" customHeight="1">
      <c r="B17" s="8" t="n">
        <v>2</v>
      </c>
      <c r="C17" s="9" t="inlineStr">
        <is>
          <t>Guest lectures across all DAs</t>
        </is>
      </c>
      <c r="D17" s="10" t="inlineStr">
        <is>
          <t>No. per year</t>
        </is>
      </c>
      <c r="E17" s="10" t="inlineStr">
        <is>
          <t>≥20</t>
        </is>
      </c>
      <c r="F17" s="10" t="inlineStr"/>
      <c r="G17" s="10" t="inlineStr"/>
      <c r="H17" s="10" t="inlineStr">
        <is>
          <t>On Track</t>
        </is>
      </c>
      <c r="I17" s="9" t="inlineStr"/>
    </row>
    <row r="18" ht="22" customHeight="1">
      <c r="B18" s="32" t="n">
        <v>3</v>
      </c>
      <c r="C18" s="33" t="inlineStr">
        <is>
          <t>Technical workshops across all DAs</t>
        </is>
      </c>
      <c r="D18" s="34" t="inlineStr">
        <is>
          <t>No. per year</t>
        </is>
      </c>
      <c r="E18" s="34" t="inlineStr">
        <is>
          <t>≥16</t>
        </is>
      </c>
      <c r="F18" s="34" t="inlineStr"/>
      <c r="G18" s="34" t="inlineStr"/>
      <c r="H18" s="34" t="inlineStr">
        <is>
          <t>On Track</t>
        </is>
      </c>
      <c r="I18" s="33" t="inlineStr"/>
    </row>
    <row r="19" ht="22" customHeight="1">
      <c r="B19" s="8" t="n">
        <v>4</v>
      </c>
      <c r="C19" s="9" t="inlineStr">
        <is>
          <t>Annual symposia / technical fests</t>
        </is>
      </c>
      <c r="D19" s="10" t="inlineStr">
        <is>
          <t>No.</t>
        </is>
      </c>
      <c r="E19" s="10" t="inlineStr">
        <is>
          <t>1 per DA per year</t>
        </is>
      </c>
      <c r="F19" s="10" t="inlineStr"/>
      <c r="G19" s="10" t="inlineStr"/>
      <c r="H19" s="10" t="inlineStr">
        <is>
          <t>On Track</t>
        </is>
      </c>
      <c r="I19" s="9" t="inlineStr"/>
    </row>
    <row r="20" ht="22" customHeight="1">
      <c r="B20" s="32" t="n">
        <v>5</v>
      </c>
      <c r="C20" s="33" t="inlineStr">
        <is>
          <t>Industrial visits organised by DAs</t>
        </is>
      </c>
      <c r="D20" s="34" t="inlineStr">
        <is>
          <t>No. per year</t>
        </is>
      </c>
      <c r="E20" s="34" t="inlineStr">
        <is>
          <t>≥8</t>
        </is>
      </c>
      <c r="F20" s="34" t="inlineStr"/>
      <c r="G20" s="34" t="inlineStr"/>
      <c r="H20" s="34" t="inlineStr">
        <is>
          <t>On Track</t>
        </is>
      </c>
      <c r="I20" s="33" t="inlineStr"/>
    </row>
    <row r="21" ht="22" customHeight="1">
      <c r="B21" s="8" t="n">
        <v>6</v>
      </c>
      <c r="C21" s="9" t="inlineStr">
        <is>
          <t>External competitions participated</t>
        </is>
      </c>
      <c r="D21" s="10" t="inlineStr">
        <is>
          <t>No. per year</t>
        </is>
      </c>
      <c r="E21" s="10" t="inlineStr">
        <is>
          <t>≥30</t>
        </is>
      </c>
      <c r="F21" s="10" t="inlineStr"/>
      <c r="G21" s="10" t="inlineStr"/>
      <c r="H21" s="10" t="inlineStr">
        <is>
          <t>On Track</t>
        </is>
      </c>
      <c r="I21" s="9" t="inlineStr"/>
    </row>
    <row r="22" ht="22" customHeight="1">
      <c r="B22" s="32" t="n">
        <v>7</v>
      </c>
      <c r="C22" s="33" t="inlineStr">
        <is>
          <t>Inter-department events organised by DACC</t>
        </is>
      </c>
      <c r="D22" s="34" t="inlineStr">
        <is>
          <t>No. per year</t>
        </is>
      </c>
      <c r="E22" s="34" t="inlineStr">
        <is>
          <t>≥4</t>
        </is>
      </c>
      <c r="F22" s="34" t="inlineStr"/>
      <c r="G22" s="34" t="inlineStr"/>
      <c r="H22" s="34" t="inlineStr">
        <is>
          <t>On Track</t>
        </is>
      </c>
      <c r="I22" s="33" t="inlineStr"/>
    </row>
    <row r="23" ht="22" customHeight="1"/>
    <row r="24" ht="24" customHeight="1">
      <c r="B24" s="94" t="inlineStr">
        <is>
          <t>ACHIEVEMENTS KPIs</t>
        </is>
      </c>
    </row>
    <row r="25" ht="22" customHeight="1">
      <c r="B25" s="95" t="inlineStr">
        <is>
          <t>Sl.</t>
        </is>
      </c>
      <c r="C25" s="95" t="inlineStr">
        <is>
          <t>Key Performance Indicator</t>
        </is>
      </c>
      <c r="D25" s="95" t="inlineStr">
        <is>
          <t>Unit</t>
        </is>
      </c>
      <c r="E25" s="95" t="inlineStr">
        <is>
          <t>Annual Target</t>
        </is>
      </c>
      <c r="F25" s="95" t="inlineStr">
        <is>
          <t>Prev. Year Actual</t>
        </is>
      </c>
      <c r="G25" s="95" t="inlineStr">
        <is>
          <t>Current Year Actual</t>
        </is>
      </c>
      <c r="H25" s="95" t="inlineStr">
        <is>
          <t>Status</t>
        </is>
      </c>
      <c r="I25" s="95" t="inlineStr">
        <is>
          <t>Action Required</t>
        </is>
      </c>
    </row>
    <row r="26" ht="22" customHeight="1">
      <c r="B26" s="39" t="n">
        <v>1</v>
      </c>
      <c r="C26" s="40" t="inlineStr">
        <is>
          <t>Student achievements through DA activities</t>
        </is>
      </c>
      <c r="D26" s="41" t="inlineStr">
        <is>
          <t>No. per year</t>
        </is>
      </c>
      <c r="E26" s="41" t="inlineStr">
        <is>
          <t>≥30</t>
        </is>
      </c>
      <c r="F26" s="41" t="inlineStr"/>
      <c r="G26" s="41" t="inlineStr"/>
      <c r="H26" s="41" t="inlineStr">
        <is>
          <t>On Track</t>
        </is>
      </c>
      <c r="I26" s="40" t="inlineStr"/>
    </row>
    <row r="27" ht="22" customHeight="1">
      <c r="B27" s="8" t="n">
        <v>2</v>
      </c>
      <c r="C27" s="9" t="inlineStr">
        <is>
          <t>National / international level awards</t>
        </is>
      </c>
      <c r="D27" s="10" t="inlineStr">
        <is>
          <t>No.</t>
        </is>
      </c>
      <c r="E27" s="10" t="inlineStr">
        <is>
          <t>≥4</t>
        </is>
      </c>
      <c r="F27" s="10" t="inlineStr"/>
      <c r="G27" s="10" t="inlineStr"/>
      <c r="H27" s="10" t="inlineStr">
        <is>
          <t>On Track</t>
        </is>
      </c>
      <c r="I27" s="9" t="inlineStr"/>
    </row>
    <row r="28" ht="22" customHeight="1">
      <c r="B28" s="39" t="n">
        <v>3</v>
      </c>
      <c r="C28" s="40" t="inlineStr">
        <is>
          <t>Best paper / project awards</t>
        </is>
      </c>
      <c r="D28" s="41" t="inlineStr">
        <is>
          <t>No.</t>
        </is>
      </c>
      <c r="E28" s="41" t="inlineStr">
        <is>
          <t>≥5</t>
        </is>
      </c>
      <c r="F28" s="41" t="inlineStr"/>
      <c r="G28" s="41" t="inlineStr"/>
      <c r="H28" s="41" t="inlineStr">
        <is>
          <t>On Track</t>
        </is>
      </c>
      <c r="I28" s="40" t="inlineStr"/>
    </row>
    <row r="29" ht="22" customHeight="1">
      <c r="B29" s="8" t="n">
        <v>4</v>
      </c>
      <c r="C29" s="9" t="inlineStr">
        <is>
          <t>External sponsorship mobilised (₹L)</t>
        </is>
      </c>
      <c r="D29" s="10" t="inlineStr">
        <is>
          <t>₹L</t>
        </is>
      </c>
      <c r="E29" s="10" t="inlineStr">
        <is>
          <t>Increasing</t>
        </is>
      </c>
      <c r="F29" s="10" t="inlineStr"/>
      <c r="G29" s="10" t="inlineStr"/>
      <c r="H29" s="10" t="inlineStr">
        <is>
          <t>On Track</t>
        </is>
      </c>
      <c r="I29" s="9" t="inlineStr"/>
    </row>
    <row r="30" ht="22" customHeight="1">
      <c r="B30" s="39" t="n">
        <v>5</v>
      </c>
      <c r="C30" s="40" t="inlineStr">
        <is>
          <t>Publications — newsletters / magazines</t>
        </is>
      </c>
      <c r="D30" s="41" t="inlineStr">
        <is>
          <t>No. per year</t>
        </is>
      </c>
      <c r="E30" s="41" t="inlineStr">
        <is>
          <t>≥8</t>
        </is>
      </c>
      <c r="F30" s="41" t="inlineStr"/>
      <c r="G30" s="41" t="inlineStr"/>
      <c r="H30" s="41" t="inlineStr">
        <is>
          <t>On Track</t>
        </is>
      </c>
      <c r="I30" s="40" t="inlineStr"/>
    </row>
    <row r="31" ht="22" customHeight="1"/>
    <row r="32" ht="24" customHeight="1">
      <c r="B32" s="97" t="inlineStr">
        <is>
          <t>QUALITY &amp; SATISFACTION KPIs</t>
        </is>
      </c>
    </row>
    <row r="33" ht="22" customHeight="1">
      <c r="B33" s="98" t="inlineStr">
        <is>
          <t>Sl.</t>
        </is>
      </c>
      <c r="C33" s="98" t="inlineStr">
        <is>
          <t>Key Performance Indicator</t>
        </is>
      </c>
      <c r="D33" s="98" t="inlineStr">
        <is>
          <t>Unit</t>
        </is>
      </c>
      <c r="E33" s="98" t="inlineStr">
        <is>
          <t>Annual Target</t>
        </is>
      </c>
      <c r="F33" s="98" t="inlineStr">
        <is>
          <t>Prev. Year Actual</t>
        </is>
      </c>
      <c r="G33" s="98" t="inlineStr">
        <is>
          <t>Current Year Actual</t>
        </is>
      </c>
      <c r="H33" s="98" t="inlineStr">
        <is>
          <t>Status</t>
        </is>
      </c>
      <c r="I33" s="98" t="inlineStr">
        <is>
          <t>Action Required</t>
        </is>
      </c>
    </row>
    <row r="34" ht="22" customHeight="1">
      <c r="B34" s="42" t="n">
        <v>1</v>
      </c>
      <c r="C34" s="43" t="inlineStr">
        <is>
          <t>Student satisfaction score (/5)</t>
        </is>
      </c>
      <c r="D34" s="44" t="inlineStr">
        <is>
          <t>Score</t>
        </is>
      </c>
      <c r="E34" s="44" t="inlineStr">
        <is>
          <t>≥3.5</t>
        </is>
      </c>
      <c r="F34" s="44" t="inlineStr"/>
      <c r="G34" s="44" t="inlineStr"/>
      <c r="H34" s="44" t="inlineStr">
        <is>
          <t>On Track</t>
        </is>
      </c>
      <c r="I34" s="43" t="inlineStr"/>
    </row>
    <row r="35" ht="22" customHeight="1">
      <c r="B35" s="8" t="n">
        <v>2</v>
      </c>
      <c r="C35" s="9" t="inlineStr">
        <is>
          <t>Event reports submitted on time (%)</t>
        </is>
      </c>
      <c r="D35" s="10" t="inlineStr">
        <is>
          <t>% on time</t>
        </is>
      </c>
      <c r="E35" s="10" t="inlineStr">
        <is>
          <t>≥90%</t>
        </is>
      </c>
      <c r="F35" s="10" t="inlineStr"/>
      <c r="G35" s="10" t="inlineStr"/>
      <c r="H35" s="10" t="inlineStr">
        <is>
          <t>On Track</t>
        </is>
      </c>
      <c r="I35" s="9" t="inlineStr"/>
    </row>
    <row r="36" ht="22" customHeight="1">
      <c r="B36" s="42" t="n">
        <v>3</v>
      </c>
      <c r="C36" s="43" t="inlineStr">
        <is>
          <t>NAAC DA activity data compiled</t>
        </is>
      </c>
      <c r="D36" s="44" t="inlineStr">
        <is>
          <t>Y/N</t>
        </is>
      </c>
      <c r="E36" s="44" t="inlineStr">
        <is>
          <t>Yes annually</t>
        </is>
      </c>
      <c r="F36" s="44" t="inlineStr"/>
      <c r="G36" s="44" t="inlineStr"/>
      <c r="H36" s="44" t="inlineStr">
        <is>
          <t>On Track</t>
        </is>
      </c>
      <c r="I36" s="43" t="inlineStr"/>
    </row>
    <row r="37" ht="22" customHeight="1">
      <c r="B37" s="8" t="n">
        <v>4</v>
      </c>
      <c r="C37" s="9" t="inlineStr">
        <is>
          <t>NIRF student activities data submitted</t>
        </is>
      </c>
      <c r="D37" s="10" t="inlineStr">
        <is>
          <t>Y/N</t>
        </is>
      </c>
      <c r="E37" s="10" t="inlineStr">
        <is>
          <t>Yes annually</t>
        </is>
      </c>
      <c r="F37" s="10" t="inlineStr"/>
      <c r="G37" s="10" t="inlineStr"/>
      <c r="H37" s="10" t="inlineStr">
        <is>
          <t>On Track</t>
        </is>
      </c>
      <c r="I37" s="9" t="inlineStr"/>
    </row>
    <row r="38" ht="22" customHeight="1">
      <c r="B38" s="42" t="n">
        <v>5</v>
      </c>
      <c r="C38" s="43" t="inlineStr">
        <is>
          <t>DACC meetings held per year</t>
        </is>
      </c>
      <c r="D38" s="44" t="inlineStr">
        <is>
          <t>No.</t>
        </is>
      </c>
      <c r="E38" s="44" t="inlineStr">
        <is>
          <t>≥10 (monthly)</t>
        </is>
      </c>
      <c r="F38" s="44" t="inlineStr"/>
      <c r="G38" s="44" t="inlineStr"/>
      <c r="H38" s="44" t="inlineStr">
        <is>
          <t>On Track</t>
        </is>
      </c>
      <c r="I38" s="43" t="inlineStr"/>
    </row>
    <row r="39" ht="22" customHeight="1">
      <c r="B39" s="8" t="n">
        <v>6</v>
      </c>
      <c r="C39" s="9" t="inlineStr">
        <is>
          <t>Budget utilisation across DAs (%)</t>
        </is>
      </c>
      <c r="D39" s="10" t="inlineStr">
        <is>
          <t>% utilised</t>
        </is>
      </c>
      <c r="E39" s="10" t="inlineStr">
        <is>
          <t>85–100%</t>
        </is>
      </c>
      <c r="F39" s="10" t="inlineStr"/>
      <c r="G39" s="10" t="inlineStr"/>
      <c r="H39" s="10" t="inlineStr">
        <is>
          <t>On Track</t>
        </is>
      </c>
      <c r="I39" s="9" t="inlineStr"/>
    </row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  <row r="58" ht="22" customHeight="1"/>
    <row r="59" ht="22" customHeight="1"/>
  </sheetData>
  <mergeCells count="6">
    <mergeCell ref="B24:I24"/>
    <mergeCell ref="B2:I2"/>
    <mergeCell ref="B3:I3"/>
    <mergeCell ref="B14:I14"/>
    <mergeCell ref="B32:I32"/>
    <mergeCell ref="B4:I4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2:H4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0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3" customWidth="1" min="9" max="9"/>
  </cols>
  <sheetData>
    <row r="1" ht="10" customHeight="1"/>
    <row r="2" ht="48" customHeight="1">
      <c r="B2" s="18" t="inlineStr">
        <is>
          <t>DACC-31: DEPARTMENT ASSOCIATIONS ANNUAL REPORT COMPILATION FORM</t>
        </is>
      </c>
    </row>
    <row r="3" ht="25" customHeight="1">
      <c r="B3" s="2" t="inlineStr">
        <is>
          <t>A.Y.: _______  DACC Coordinator: ___________________  Submitted to: Management / IQAC / NAAC  Date: _______</t>
        </is>
      </c>
    </row>
    <row r="4" ht="24" customHeight="1">
      <c r="B4" s="20" t="inlineStr">
        <is>
          <t>SECTION 1 — DA ECOSYSTEM</t>
        </is>
      </c>
    </row>
    <row r="5" ht="22" customHeight="1">
      <c r="B5" s="13" t="inlineStr">
        <is>
          <t>Sl.</t>
        </is>
      </c>
      <c r="C5" s="13" t="inlineStr">
        <is>
          <t>Performance Metric</t>
        </is>
      </c>
      <c r="D5" s="13" t="inlineStr">
        <is>
          <t>Unit</t>
        </is>
      </c>
      <c r="E5" s="13" t="inlineStr">
        <is>
          <t>Current A.Y.</t>
        </is>
      </c>
      <c r="F5" s="13" t="inlineStr">
        <is>
          <t>Previous A.Y.</t>
        </is>
      </c>
      <c r="G5" s="13" t="inlineStr">
        <is>
          <t>Growth %</t>
        </is>
      </c>
      <c r="H5" s="13" t="inlineStr">
        <is>
          <t>Target Next Year</t>
        </is>
      </c>
    </row>
    <row r="6" ht="22" customHeight="1">
      <c r="B6" s="14" t="n">
        <v>1</v>
      </c>
      <c r="C6" s="15" t="inlineStr">
        <is>
          <t>Total active DAs</t>
        </is>
      </c>
      <c r="D6" s="16" t="inlineStr">
        <is>
          <t>No.</t>
        </is>
      </c>
      <c r="E6" s="16" t="inlineStr"/>
      <c r="F6" s="16" t="inlineStr"/>
      <c r="G6" s="16">
        <f>IFERROR(ROUND((E6-F6)/IF(F6=0,1,F6)*100,1),"")</f>
        <v/>
      </c>
      <c r="H6" s="16" t="inlineStr"/>
    </row>
    <row r="7" ht="22" customHeight="1">
      <c r="B7" s="8" t="n">
        <v>2</v>
      </c>
      <c r="C7" s="9" t="inlineStr">
        <is>
          <t>Total student DA membership</t>
        </is>
      </c>
      <c r="D7" s="10" t="inlineStr">
        <is>
          <t>No.</t>
        </is>
      </c>
      <c r="E7" s="10" t="inlineStr"/>
      <c r="F7" s="10" t="inlineStr"/>
      <c r="G7" s="10">
        <f>IFERROR(ROUND((E7-F7)/IF(F7=0,1,F7)*100,1),"")</f>
        <v/>
      </c>
      <c r="H7" s="10" t="inlineStr"/>
    </row>
    <row r="8" ht="22" customHeight="1">
      <c r="B8" s="14" t="n">
        <v>3</v>
      </c>
      <c r="C8" s="15" t="inlineStr">
        <is>
          <t>Student membership as % of enrolled</t>
        </is>
      </c>
      <c r="D8" s="16" t="inlineStr">
        <is>
          <t>% enrolled</t>
        </is>
      </c>
      <c r="E8" s="16" t="inlineStr"/>
      <c r="F8" s="16" t="inlineStr"/>
      <c r="G8" s="16">
        <f>IFERROR(ROUND((E8-F8)/IF(F8=0,1,F8)*100,1),"")</f>
        <v/>
      </c>
      <c r="H8" s="16" t="inlineStr"/>
    </row>
    <row r="9" ht="22" customHeight="1">
      <c r="B9" s="8" t="n">
        <v>4</v>
      </c>
      <c r="C9" s="9" t="inlineStr">
        <is>
          <t>New DAs formed this year</t>
        </is>
      </c>
      <c r="D9" s="10" t="inlineStr">
        <is>
          <t>No.</t>
        </is>
      </c>
      <c r="E9" s="10" t="inlineStr"/>
      <c r="F9" s="10" t="inlineStr"/>
      <c r="G9" s="10">
        <f>IFERROR(ROUND((E9-F9)/IF(F9=0,1,F9)*100,1),"")</f>
        <v/>
      </c>
      <c r="H9" s="10" t="inlineStr"/>
    </row>
    <row r="10" ht="22" customHeight="1">
      <c r="B10" s="14" t="n">
        <v>5</v>
      </c>
      <c r="C10" s="15" t="inlineStr">
        <is>
          <t>DAs with annual activity plan</t>
        </is>
      </c>
      <c r="D10" s="16" t="inlineStr">
        <is>
          <t>No. / %</t>
        </is>
      </c>
      <c r="E10" s="16" t="inlineStr"/>
      <c r="F10" s="16" t="inlineStr"/>
      <c r="G10" s="16">
        <f>IFERROR(ROUND((E10-F10)/IF(F10=0,1,F10)*100,1),"")</f>
        <v/>
      </c>
      <c r="H10" s="16" t="inlineStr"/>
    </row>
    <row r="11" ht="22" customHeight="1">
      <c r="B11" s="8" t="n">
        <v>6</v>
      </c>
      <c r="C11" s="9" t="inlineStr">
        <is>
          <t>DAs compliant with DACC norms</t>
        </is>
      </c>
      <c r="D11" s="10" t="inlineStr">
        <is>
          <t>% compliant</t>
        </is>
      </c>
      <c r="E11" s="10" t="inlineStr"/>
      <c r="F11" s="10" t="inlineStr"/>
      <c r="G11" s="10">
        <f>IFERROR(ROUND((E11-F11)/IF(F11=0,1,F11)*100,1),"")</f>
        <v/>
      </c>
      <c r="H11" s="10" t="inlineStr"/>
    </row>
    <row r="12" ht="22" customHeight="1"/>
    <row r="13" ht="24" customHeight="1">
      <c r="B13" s="35" t="inlineStr">
        <is>
          <t>SECTION 2 — EVENTS &amp; ACTIVITIES</t>
        </is>
      </c>
    </row>
    <row r="14" ht="22" customHeight="1">
      <c r="B14" s="31" t="inlineStr">
        <is>
          <t>Sl.</t>
        </is>
      </c>
      <c r="C14" s="31" t="inlineStr">
        <is>
          <t>Performance Metric</t>
        </is>
      </c>
      <c r="D14" s="31" t="inlineStr">
        <is>
          <t>Unit</t>
        </is>
      </c>
      <c r="E14" s="31" t="inlineStr">
        <is>
          <t>Current A.Y.</t>
        </is>
      </c>
      <c r="F14" s="31" t="inlineStr">
        <is>
          <t>Previous A.Y.</t>
        </is>
      </c>
      <c r="G14" s="31" t="inlineStr">
        <is>
          <t>Growth %</t>
        </is>
      </c>
      <c r="H14" s="31" t="inlineStr">
        <is>
          <t>Target Next Year</t>
        </is>
      </c>
    </row>
    <row r="15" ht="22" customHeight="1">
      <c r="B15" s="32" t="n">
        <v>1</v>
      </c>
      <c r="C15" s="33" t="inlineStr">
        <is>
          <t>Total DA events conducted</t>
        </is>
      </c>
      <c r="D15" s="34" t="inlineStr">
        <is>
          <t>No.</t>
        </is>
      </c>
      <c r="E15" s="34" t="inlineStr"/>
      <c r="F15" s="34" t="inlineStr"/>
      <c r="G15" s="34">
        <f>IFERROR(ROUND((E15-F15)/IF(F15=0,1,F15)*100,1),"")</f>
        <v/>
      </c>
      <c r="H15" s="34" t="inlineStr"/>
    </row>
    <row r="16" ht="22" customHeight="1">
      <c r="B16" s="8" t="n">
        <v>2</v>
      </c>
      <c r="C16" s="9" t="inlineStr">
        <is>
          <t>Guest lectures organised</t>
        </is>
      </c>
      <c r="D16" s="10" t="inlineStr">
        <is>
          <t>No.</t>
        </is>
      </c>
      <c r="E16" s="10" t="inlineStr"/>
      <c r="F16" s="10" t="inlineStr"/>
      <c r="G16" s="10">
        <f>IFERROR(ROUND((E16-F16)/IF(F16=0,1,F16)*100,1),"")</f>
        <v/>
      </c>
      <c r="H16" s="10" t="inlineStr"/>
    </row>
    <row r="17" ht="22" customHeight="1">
      <c r="B17" s="32" t="n">
        <v>3</v>
      </c>
      <c r="C17" s="33" t="inlineStr">
        <is>
          <t>Technical workshops conducted</t>
        </is>
      </c>
      <c r="D17" s="34" t="inlineStr">
        <is>
          <t>No.</t>
        </is>
      </c>
      <c r="E17" s="34" t="inlineStr"/>
      <c r="F17" s="34" t="inlineStr"/>
      <c r="G17" s="34">
        <f>IFERROR(ROUND((E17-F17)/IF(F17=0,1,F17)*100,1),"")</f>
        <v/>
      </c>
      <c r="H17" s="34" t="inlineStr"/>
    </row>
    <row r="18" ht="22" customHeight="1">
      <c r="B18" s="8" t="n">
        <v>4</v>
      </c>
      <c r="C18" s="9" t="inlineStr">
        <is>
          <t>Annual symposia / fests held</t>
        </is>
      </c>
      <c r="D18" s="10" t="inlineStr">
        <is>
          <t>No.</t>
        </is>
      </c>
      <c r="E18" s="10" t="inlineStr"/>
      <c r="F18" s="10" t="inlineStr"/>
      <c r="G18" s="10">
        <f>IFERROR(ROUND((E18-F18)/IF(F18=0,1,F18)*100,1),"")</f>
        <v/>
      </c>
      <c r="H18" s="10" t="inlineStr"/>
    </row>
    <row r="19" ht="22" customHeight="1">
      <c r="B19" s="32" t="n">
        <v>5</v>
      </c>
      <c r="C19" s="33" t="inlineStr">
        <is>
          <t>Industrial visits organised</t>
        </is>
      </c>
      <c r="D19" s="34" t="inlineStr">
        <is>
          <t>No.</t>
        </is>
      </c>
      <c r="E19" s="34" t="inlineStr"/>
      <c r="F19" s="34" t="inlineStr"/>
      <c r="G19" s="34">
        <f>IFERROR(ROUND((E19-F19)/IF(F19=0,1,F19)*100,1),"")</f>
        <v/>
      </c>
      <c r="H19" s="34" t="inlineStr"/>
    </row>
    <row r="20" ht="22" customHeight="1">
      <c r="B20" s="8" t="n">
        <v>6</v>
      </c>
      <c r="C20" s="9" t="inlineStr">
        <is>
          <t>Inter-department events</t>
        </is>
      </c>
      <c r="D20" s="10" t="inlineStr">
        <is>
          <t>No.</t>
        </is>
      </c>
      <c r="E20" s="10" t="inlineStr"/>
      <c r="F20" s="10" t="inlineStr"/>
      <c r="G20" s="10">
        <f>IFERROR(ROUND((E20-F20)/IF(F20=0,1,F20)*100,1),"")</f>
        <v/>
      </c>
      <c r="H20" s="10" t="inlineStr"/>
    </row>
    <row r="21" ht="22" customHeight="1"/>
    <row r="22" ht="24" customHeight="1">
      <c r="B22" s="94" t="inlineStr">
        <is>
          <t>SECTION 3 — EXTERNAL COMPETITIONS</t>
        </is>
      </c>
    </row>
    <row r="23" ht="22" customHeight="1">
      <c r="B23" s="95" t="inlineStr">
        <is>
          <t>Sl.</t>
        </is>
      </c>
      <c r="C23" s="95" t="inlineStr">
        <is>
          <t>Performance Metric</t>
        </is>
      </c>
      <c r="D23" s="95" t="inlineStr">
        <is>
          <t>Unit</t>
        </is>
      </c>
      <c r="E23" s="95" t="inlineStr">
        <is>
          <t>Current A.Y.</t>
        </is>
      </c>
      <c r="F23" s="95" t="inlineStr">
        <is>
          <t>Previous A.Y.</t>
        </is>
      </c>
      <c r="G23" s="95" t="inlineStr">
        <is>
          <t>Growth %</t>
        </is>
      </c>
      <c r="H23" s="95" t="inlineStr">
        <is>
          <t>Target Next Year</t>
        </is>
      </c>
    </row>
    <row r="24" ht="22" customHeight="1">
      <c r="B24" s="39" t="n">
        <v>1</v>
      </c>
      <c r="C24" s="40" t="inlineStr">
        <is>
          <t>External competitions participated</t>
        </is>
      </c>
      <c r="D24" s="41" t="inlineStr">
        <is>
          <t>No.</t>
        </is>
      </c>
      <c r="E24" s="41" t="inlineStr"/>
      <c r="F24" s="41" t="inlineStr"/>
      <c r="G24" s="41">
        <f>IFERROR(ROUND((E24-F24)/IF(F24=0,1,F24)*100,1),"")</f>
        <v/>
      </c>
      <c r="H24" s="41" t="inlineStr"/>
    </row>
    <row r="25" ht="22" customHeight="1">
      <c r="B25" s="8" t="n">
        <v>2</v>
      </c>
      <c r="C25" s="9" t="inlineStr">
        <is>
          <t>1st prizes won</t>
        </is>
      </c>
      <c r="D25" s="10" t="inlineStr">
        <is>
          <t>No.</t>
        </is>
      </c>
      <c r="E25" s="10" t="inlineStr"/>
      <c r="F25" s="10" t="inlineStr"/>
      <c r="G25" s="10">
        <f>IFERROR(ROUND((E25-F25)/IF(F25=0,1,F25)*100,1),"")</f>
        <v/>
      </c>
      <c r="H25" s="10" t="inlineStr"/>
    </row>
    <row r="26" ht="22" customHeight="1">
      <c r="B26" s="39" t="n">
        <v>3</v>
      </c>
      <c r="C26" s="40" t="inlineStr">
        <is>
          <t>2nd and 3rd prizes</t>
        </is>
      </c>
      <c r="D26" s="41" t="inlineStr">
        <is>
          <t>No.</t>
        </is>
      </c>
      <c r="E26" s="41" t="inlineStr"/>
      <c r="F26" s="41" t="inlineStr"/>
      <c r="G26" s="41">
        <f>IFERROR(ROUND((E26-F26)/IF(F26=0,1,F26)*100,1),"")</f>
        <v/>
      </c>
      <c r="H26" s="41" t="inlineStr"/>
    </row>
    <row r="27" ht="22" customHeight="1">
      <c r="B27" s="8" t="n">
        <v>4</v>
      </c>
      <c r="C27" s="9" t="inlineStr">
        <is>
          <t>National / international level</t>
        </is>
      </c>
      <c r="D27" s="10" t="inlineStr">
        <is>
          <t>No.</t>
        </is>
      </c>
      <c r="E27" s="10" t="inlineStr"/>
      <c r="F27" s="10" t="inlineStr"/>
      <c r="G27" s="10">
        <f>IFERROR(ROUND((E27-F27)/IF(F27=0,1,F27)*100,1),"")</f>
        <v/>
      </c>
      <c r="H27" s="10" t="inlineStr"/>
    </row>
    <row r="28" ht="22" customHeight="1">
      <c r="B28" s="39" t="n">
        <v>5</v>
      </c>
      <c r="C28" s="40" t="inlineStr">
        <is>
          <t>Total students representing institution</t>
        </is>
      </c>
      <c r="D28" s="41" t="inlineStr">
        <is>
          <t>No.</t>
        </is>
      </c>
      <c r="E28" s="41" t="inlineStr"/>
      <c r="F28" s="41" t="inlineStr"/>
      <c r="G28" s="41">
        <f>IFERROR(ROUND((E28-F28)/IF(F28=0,1,F28)*100,1),"")</f>
        <v/>
      </c>
      <c r="H28" s="41" t="inlineStr"/>
    </row>
    <row r="29" ht="22" customHeight="1">
      <c r="B29" s="8" t="n">
        <v>6</v>
      </c>
      <c r="C29" s="9" t="inlineStr">
        <is>
          <t>Total external sponsorship (₹L)</t>
        </is>
      </c>
      <c r="D29" s="10" t="inlineStr">
        <is>
          <t>₹L</t>
        </is>
      </c>
      <c r="E29" s="10" t="inlineStr"/>
      <c r="F29" s="10" t="inlineStr"/>
      <c r="G29" s="10">
        <f>IFERROR(ROUND((E29-F29)/IF(F29=0,1,F29)*100,1),"")</f>
        <v/>
      </c>
      <c r="H29" s="10" t="inlineStr"/>
    </row>
    <row r="30" ht="22" customHeight="1"/>
    <row r="31" ht="24" customHeight="1">
      <c r="B31" s="97" t="inlineStr">
        <is>
          <t>SECTION 4 — QUALITY &amp; SATISFACTION</t>
        </is>
      </c>
    </row>
    <row r="32" ht="22" customHeight="1">
      <c r="B32" s="98" t="inlineStr">
        <is>
          <t>Sl.</t>
        </is>
      </c>
      <c r="C32" s="98" t="inlineStr">
        <is>
          <t>Performance Metric</t>
        </is>
      </c>
      <c r="D32" s="98" t="inlineStr">
        <is>
          <t>Unit</t>
        </is>
      </c>
      <c r="E32" s="98" t="inlineStr">
        <is>
          <t>Current A.Y.</t>
        </is>
      </c>
      <c r="F32" s="98" t="inlineStr">
        <is>
          <t>Previous A.Y.</t>
        </is>
      </c>
      <c r="G32" s="98" t="inlineStr">
        <is>
          <t>Growth %</t>
        </is>
      </c>
      <c r="H32" s="98" t="inlineStr">
        <is>
          <t>Target Next Year</t>
        </is>
      </c>
    </row>
    <row r="33" ht="22" customHeight="1">
      <c r="B33" s="42" t="n">
        <v>1</v>
      </c>
      <c r="C33" s="43" t="inlineStr">
        <is>
          <t>Student satisfaction score (/5)</t>
        </is>
      </c>
      <c r="D33" s="44" t="inlineStr">
        <is>
          <t>Score</t>
        </is>
      </c>
      <c r="E33" s="44" t="inlineStr"/>
      <c r="F33" s="44" t="inlineStr"/>
      <c r="G33" s="44">
        <f>IFERROR(ROUND((E33-F33)/IF(F33=0,1,F33)*100,1),"")</f>
        <v/>
      </c>
      <c r="H33" s="44" t="inlineStr"/>
    </row>
    <row r="34" ht="22" customHeight="1">
      <c r="B34" s="8" t="n">
        <v>2</v>
      </c>
      <c r="C34" s="9" t="inlineStr">
        <is>
          <t>Event reports submitted on time (%)</t>
        </is>
      </c>
      <c r="D34" s="10" t="inlineStr">
        <is>
          <t>% on time</t>
        </is>
      </c>
      <c r="E34" s="10" t="inlineStr"/>
      <c r="F34" s="10" t="inlineStr"/>
      <c r="G34" s="10">
        <f>IFERROR(ROUND((E34-F34)/IF(F34=0,1,F34)*100,1),"")</f>
        <v/>
      </c>
      <c r="H34" s="10" t="inlineStr"/>
    </row>
    <row r="35" ht="22" customHeight="1">
      <c r="B35" s="42" t="n">
        <v>3</v>
      </c>
      <c r="C35" s="43" t="inlineStr">
        <is>
          <t>Publications — newsletters / magazines</t>
        </is>
      </c>
      <c r="D35" s="44" t="inlineStr">
        <is>
          <t>No.</t>
        </is>
      </c>
      <c r="E35" s="44" t="inlineStr"/>
      <c r="F35" s="44" t="inlineStr"/>
      <c r="G35" s="44">
        <f>IFERROR(ROUND((E35-F35)/IF(F35=0,1,F35)*100,1),"")</f>
        <v/>
      </c>
      <c r="H35" s="44" t="inlineStr"/>
    </row>
    <row r="36" ht="22" customHeight="1">
      <c r="B36" s="8" t="n">
        <v>4</v>
      </c>
      <c r="C36" s="9" t="inlineStr">
        <is>
          <t>Social media reach (followers)</t>
        </is>
      </c>
      <c r="D36" s="10" t="inlineStr">
        <is>
          <t>No.</t>
        </is>
      </c>
      <c r="E36" s="10" t="inlineStr"/>
      <c r="F36" s="10" t="inlineStr"/>
      <c r="G36" s="10">
        <f>IFERROR(ROUND((E36-F36)/IF(F36=0,1,F36)*100,1),"")</f>
        <v/>
      </c>
      <c r="H36" s="10" t="inlineStr"/>
    </row>
    <row r="37" ht="22" customHeight="1">
      <c r="B37" s="42" t="n">
        <v>5</v>
      </c>
      <c r="C37" s="43" t="inlineStr">
        <is>
          <t>NAAC data submitted</t>
        </is>
      </c>
      <c r="D37" s="44" t="inlineStr">
        <is>
          <t>Y/N</t>
        </is>
      </c>
      <c r="E37" s="44" t="inlineStr"/>
      <c r="F37" s="44" t="inlineStr"/>
      <c r="G37" s="44">
        <f>IFERROR(ROUND((E37-F37)/IF(F37=0,1,F37)*100,1),"")</f>
        <v/>
      </c>
      <c r="H37" s="44" t="inlineStr"/>
    </row>
    <row r="38" ht="22" customHeight="1">
      <c r="B38" s="8" t="n">
        <v>6</v>
      </c>
      <c r="C38" s="9" t="inlineStr">
        <is>
          <t>Budget utilisation (%)</t>
        </is>
      </c>
      <c r="D38" s="10" t="inlineStr">
        <is>
          <t>% utilised</t>
        </is>
      </c>
      <c r="E38" s="10" t="inlineStr"/>
      <c r="F38" s="10" t="inlineStr"/>
      <c r="G38" s="10">
        <f>IFERROR(ROUND((E38-F38)/IF(F38=0,1,F38)*100,1),"")</f>
        <v/>
      </c>
      <c r="H38" s="10" t="inlineStr"/>
    </row>
    <row r="39" ht="22" customHeight="1"/>
    <row r="40" ht="20" customHeight="1">
      <c r="B40" s="17" t="inlineStr">
        <is>
          <t>Annual Report submitted to: Management, IQAC (NAAC AQAR Criterion V.3 — Student Activities, V.1 — Student Support), NAAC SSR, NIRF, NBA SAR, Governing Body. DA activity data also feeds into departmental AQAR contributions.</t>
        </is>
      </c>
    </row>
    <row r="41" ht="22" customHeight="1">
      <c r="B41" s="30" t="inlineStr">
        <is>
          <t>DACC Coordinator: ___________________    Chairperson: ___________________    IQAC Coordinator: ___________________    Date: ___________________</t>
        </is>
      </c>
    </row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</sheetData>
  <mergeCells count="8">
    <mergeCell ref="B22:H22"/>
    <mergeCell ref="B40:H40"/>
    <mergeCell ref="B41:H41"/>
    <mergeCell ref="B13:H13"/>
    <mergeCell ref="B4:H4"/>
    <mergeCell ref="B2:H2"/>
    <mergeCell ref="B3:H3"/>
    <mergeCell ref="B31:H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2026-04-26T09:03:03Z</dcterms:created>
  <dcterms:modified xmlns:dcterms="http://purl.org/dc/terms/" xmlns:xsi="http://www.w3.org/2001/XMLSchema-instance" xsi:type="dcterms:W3CDTF">2026-04-26T09:03:04Z</dcterms:modified>
</cp:coreProperties>
</file>