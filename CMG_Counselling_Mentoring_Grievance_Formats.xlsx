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MG-00 Composition" sheetId="2" state="visible" r:id="rId2"/>
    <sheet xmlns:r="http://schemas.openxmlformats.org/officeDocument/2006/relationships" name="CMG-NA Notice &amp; Agenda" sheetId="3" state="visible" r:id="rId3"/>
    <sheet xmlns:r="http://schemas.openxmlformats.org/officeDocument/2006/relationships" name="CMG-AT Attendance" sheetId="4" state="visible" r:id="rId4"/>
    <sheet xmlns:r="http://schemas.openxmlformats.org/officeDocument/2006/relationships" name="CMG-MM Minutes" sheetId="5" state="visible" r:id="rId5"/>
    <sheet xmlns:r="http://schemas.openxmlformats.org/officeDocument/2006/relationships" name="CMG-ATR Action Report" sheetId="6" state="visible" r:id="rId6"/>
    <sheet xmlns:r="http://schemas.openxmlformats.org/officeDocument/2006/relationships" name="CMG-02 Counselling Reg Form" sheetId="7" state="visible" r:id="rId7"/>
    <sheet xmlns:r="http://schemas.openxmlformats.org/officeDocument/2006/relationships" name="CMG-03 Session Log" sheetId="8" state="visible" r:id="rId8"/>
    <sheet xmlns:r="http://schemas.openxmlformats.org/officeDocument/2006/relationships" name="CMG-04 Group Counselling" sheetId="9" state="visible" r:id="rId9"/>
    <sheet xmlns:r="http://schemas.openxmlformats.org/officeDocument/2006/relationships" name="CMG-05 Crisis Register" sheetId="10" state="visible" r:id="rId10"/>
    <sheet xmlns:r="http://schemas.openxmlformats.org/officeDocument/2006/relationships" name="CMG-06 External Referrals" sheetId="11" state="visible" r:id="rId11"/>
    <sheet xmlns:r="http://schemas.openxmlformats.org/officeDocument/2006/relationships" name="CMG-09 Mentor Assignment" sheetId="12" state="visible" r:id="rId12"/>
    <sheet xmlns:r="http://schemas.openxmlformats.org/officeDocument/2006/relationships" name="CMG-10 Mentoring Log" sheetId="13" state="visible" r:id="rId13"/>
    <sheet xmlns:r="http://schemas.openxmlformats.org/officeDocument/2006/relationships" name="CMG-11 Student Progress" sheetId="14" state="visible" r:id="rId14"/>
    <sheet xmlns:r="http://schemas.openxmlformats.org/officeDocument/2006/relationships" name="CMG-17 Grievance Form" sheetId="15" state="visible" r:id="rId15"/>
    <sheet xmlns:r="http://schemas.openxmlformats.org/officeDocument/2006/relationships" name="CMG-18 Grievance Register" sheetId="16" state="visible" r:id="rId16"/>
    <sheet xmlns:r="http://schemas.openxmlformats.org/officeDocument/2006/relationships" name="CMG-19 Investigation Log" sheetId="17" state="visible" r:id="rId17"/>
    <sheet xmlns:r="http://schemas.openxmlformats.org/officeDocument/2006/relationships" name="CMG-20 Grievance Decision" sheetId="18" state="visible" r:id="rId18"/>
    <sheet xmlns:r="http://schemas.openxmlformats.org/officeDocument/2006/relationships" name="CMG-23 At-Risk Students" sheetId="19" state="visible" r:id="rId19"/>
    <sheet xmlns:r="http://schemas.openxmlformats.org/officeDocument/2006/relationships" name="CMG-31 Wellbeing Survey" sheetId="20" state="visible" r:id="rId20"/>
    <sheet xmlns:r="http://schemas.openxmlformats.org/officeDocument/2006/relationships" name="CMG-32 KPI Dashboard" sheetId="21" state="visible" r:id="rId21"/>
    <sheet xmlns:r="http://schemas.openxmlformats.org/officeDocument/2006/relationships" name="CMG-33 Annual Repor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A5276"/>
      <sz val="9"/>
    </font>
    <font>
      <name val="Arial"/>
      <b val="1"/>
      <color rgb="000C2D4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1A5276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B2545"/>
      <sz val="10"/>
    </font>
    <font>
      <name val="Arial"/>
      <b val="1"/>
      <color rgb="000E3D3D"/>
      <sz val="10"/>
    </font>
    <font>
      <name val="Arial"/>
      <b val="1"/>
      <color rgb="001A3A2A"/>
      <sz val="10"/>
    </font>
    <font>
      <name val="Arial"/>
      <b val="1"/>
      <color rgb="000D9488"/>
      <sz val="9"/>
    </font>
    <font>
      <name val="Arial"/>
      <color rgb="00991B1B"/>
      <sz val="9"/>
    </font>
    <font>
      <name val="Arial"/>
      <b val="1"/>
      <color rgb="007C3AED"/>
      <sz val="9"/>
    </font>
    <font>
      <name val="Arial"/>
      <b val="1"/>
      <color rgb="003F2000"/>
      <sz val="10"/>
    </font>
    <font>
      <name val="Arial"/>
      <color rgb="002D6A4F"/>
      <sz val="9"/>
    </font>
  </fonts>
  <fills count="23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D6EAF8"/>
      </patternFill>
    </fill>
    <fill>
      <patternFill patternType="solid">
        <fgColor rgb="00F0F9FF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A5276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EE2E2"/>
      </patternFill>
    </fill>
    <fill>
      <patternFill patternType="solid">
        <fgColor rgb="00BE123C"/>
      </patternFill>
    </fill>
    <fill>
      <patternFill patternType="solid">
        <fgColor rgb="00FFE4E6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4" fillId="16" borderId="0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9" fillId="15" borderId="0" applyAlignment="1" pivotButton="0" quotePrefix="0" xfId="0">
      <alignment horizontal="left" vertical="center" wrapText="1"/>
    </xf>
    <xf numFmtId="0" fontId="20" fillId="18" borderId="0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0" fillId="7" borderId="1" pivotButton="0" quotePrefix="0" xfId="0"/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10" borderId="1" pivotButton="0" quotePrefix="0" xfId="0"/>
    <xf numFmtId="0" fontId="0" fillId="20" borderId="1" pivotButton="0" quotePrefix="0" xfId="0"/>
    <xf numFmtId="0" fontId="4" fillId="21" borderId="0" applyAlignment="1" pivotButton="0" quotePrefix="0" xfId="0">
      <alignment horizontal="center" vertical="center" wrapText="1"/>
    </xf>
    <xf numFmtId="0" fontId="21" fillId="22" borderId="0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23" fillId="17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STUDENTS COUNSELLING, MENTORING &amp;
GRIEVANCE REDRESSAL COMMITTEE
Data Collection Formats — Master Workbook</t>
        </is>
      </c>
    </row>
    <row r="3" ht="28" customHeight="1">
      <c r="B3" s="2" t="inlineStr">
        <is>
          <t>Institution: _________________________  Coordinator: _____________  A.Y.: _______  Version: _____</t>
        </is>
      </c>
    </row>
    <row r="4" ht="20" customHeight="1">
      <c r="B4" s="3" t="inlineStr">
        <is>
          <t>🔒  CONFIDENTIAL — Student records handled per institutional privacy policy. Access restricted to authorised committee members only.</t>
        </is>
      </c>
    </row>
    <row r="5" ht="21" customHeight="1">
      <c r="B5" s="4" t="inlineStr">
        <is>
          <t>Form No.</t>
        </is>
      </c>
      <c r="C5" s="4" t="inlineStr">
        <is>
          <t>Format / Form Title</t>
        </is>
      </c>
      <c r="D5" s="4" t="inlineStr">
        <is>
          <t>Purpose / Usage</t>
        </is>
      </c>
      <c r="E5" s="4" t="inlineStr">
        <is>
          <t>Frequency / Stage</t>
        </is>
      </c>
    </row>
    <row r="6" ht="20" customHeight="1">
      <c r="B6" s="5" t="inlineStr">
        <is>
          <t>── GOVERNANCE &amp; ADMINISTRATION ──</t>
        </is>
      </c>
    </row>
    <row r="7" ht="20" customHeight="1">
      <c r="B7" s="6" t="inlineStr">
        <is>
          <t>CMG-00</t>
        </is>
      </c>
      <c r="C7" s="7" t="inlineStr">
        <is>
          <t>Committee Composition &amp; Members Register</t>
        </is>
      </c>
      <c r="D7" s="7" t="inlineStr">
        <is>
          <t>Record members, counsellors, mentors &amp; roles</t>
        </is>
      </c>
      <c r="E7" s="8" t="inlineStr">
        <is>
          <t>Annual</t>
        </is>
      </c>
    </row>
    <row r="8" ht="20" customHeight="1">
      <c r="B8" s="9" t="inlineStr">
        <is>
          <t>CMG-NA</t>
        </is>
      </c>
      <c r="C8" s="10" t="inlineStr">
        <is>
          <t>Meeting Notice, Agenda &amp; Dispatch Record</t>
        </is>
      </c>
      <c r="D8" s="10" t="inlineStr">
        <is>
          <t>Formal notice and agenda for committee meetings</t>
        </is>
      </c>
      <c r="E8" s="11" t="inlineStr">
        <is>
          <t>Each Meeting</t>
        </is>
      </c>
    </row>
    <row r="9" ht="20" customHeight="1">
      <c r="B9" s="6" t="inlineStr">
        <is>
          <t>CMG-AT</t>
        </is>
      </c>
      <c r="C9" s="7" t="inlineStr">
        <is>
          <t>Attendance &amp; Quorum Register</t>
        </is>
      </c>
      <c r="D9" s="7" t="inlineStr">
        <is>
          <t>Confirm attendance and quorum validity</t>
        </is>
      </c>
      <c r="E9" s="8" t="inlineStr">
        <is>
          <t>Each Meeting</t>
        </is>
      </c>
    </row>
    <row r="10" ht="20" customHeight="1">
      <c r="B10" s="9" t="inlineStr">
        <is>
          <t>CMG-MM</t>
        </is>
      </c>
      <c r="C10" s="10" t="inlineStr">
        <is>
          <t>Meeting Minutes &amp; Resolutions</t>
        </is>
      </c>
      <c r="D10" s="10" t="inlineStr">
        <is>
          <t>Record discussions, resolutions &amp; directives</t>
        </is>
      </c>
      <c r="E10" s="11" t="inlineStr">
        <is>
          <t>Each Meeting</t>
        </is>
      </c>
    </row>
    <row r="11" ht="20" customHeight="1">
      <c r="B11" s="6" t="inlineStr">
        <is>
          <t>CMG-ATR</t>
        </is>
      </c>
      <c r="C11" s="7" t="inlineStr">
        <is>
          <t>Action Taken Report</t>
        </is>
      </c>
      <c r="D11" s="7" t="inlineStr">
        <is>
          <t>Track implementation of committee resolutions</t>
        </is>
      </c>
      <c r="E11" s="8" t="inlineStr">
        <is>
          <t>Each Meeting</t>
        </is>
      </c>
    </row>
    <row r="12" ht="20" customHeight="1">
      <c r="B12" s="5" t="inlineStr">
        <is>
          <t>── STUDENT COUNSELLING ──</t>
        </is>
      </c>
    </row>
    <row r="13" ht="20" customHeight="1">
      <c r="B13" s="6" t="inlineStr">
        <is>
          <t>CMG-01</t>
        </is>
      </c>
      <c r="C13" s="7" t="inlineStr">
        <is>
          <t>Counselling Policy &amp; Framework Register</t>
        </is>
      </c>
      <c r="D13" s="7" t="inlineStr">
        <is>
          <t>Document counselling policy, SOPs &amp; ethical guidelines</t>
        </is>
      </c>
      <c r="E13" s="8" t="inlineStr">
        <is>
          <t>Annual</t>
        </is>
      </c>
    </row>
    <row r="14" ht="20" customHeight="1">
      <c r="B14" s="9" t="inlineStr">
        <is>
          <t>CMG-02</t>
        </is>
      </c>
      <c r="C14" s="10" t="inlineStr">
        <is>
          <t>Student Counselling Registration Form</t>
        </is>
      </c>
      <c r="D14" s="10" t="inlineStr">
        <is>
          <t>Register students who approach / are referred for counselling</t>
        </is>
      </c>
      <c r="E14" s="11" t="inlineStr">
        <is>
          <t>Per Student</t>
        </is>
      </c>
    </row>
    <row r="15" ht="20" customHeight="1">
      <c r="B15" s="6" t="inlineStr">
        <is>
          <t>CMG-03</t>
        </is>
      </c>
      <c r="C15" s="7" t="inlineStr">
        <is>
          <t>Individual Counselling Session Log</t>
        </is>
      </c>
      <c r="D15" s="7" t="inlineStr">
        <is>
          <t>Record each counselling session — issues, progress, actions</t>
        </is>
      </c>
      <c r="E15" s="8" t="inlineStr">
        <is>
          <t>Per Session</t>
        </is>
      </c>
    </row>
    <row r="16" ht="20" customHeight="1">
      <c r="B16" s="9" t="inlineStr">
        <is>
          <t>CMG-04</t>
        </is>
      </c>
      <c r="C16" s="10" t="inlineStr">
        <is>
          <t>Group / Workshop Counselling Register</t>
        </is>
      </c>
      <c r="D16" s="10" t="inlineStr">
        <is>
          <t>Track group sessions, workshops and awareness programmes</t>
        </is>
      </c>
      <c r="E16" s="11" t="inlineStr">
        <is>
          <t>Per Programme</t>
        </is>
      </c>
    </row>
    <row r="17" ht="20" customHeight="1">
      <c r="B17" s="6" t="inlineStr">
        <is>
          <t>CMG-05</t>
        </is>
      </c>
      <c r="C17" s="7" t="inlineStr">
        <is>
          <t>Psychological First Aid &amp; Crisis Register</t>
        </is>
      </c>
      <c r="D17" s="7" t="inlineStr">
        <is>
          <t>Log students in acute distress or crisis — response log</t>
        </is>
      </c>
      <c r="E17" s="8" t="inlineStr">
        <is>
          <t>Per Incident</t>
        </is>
      </c>
    </row>
    <row r="18" ht="20" customHeight="1">
      <c r="B18" s="9" t="inlineStr">
        <is>
          <t>CMG-06</t>
        </is>
      </c>
      <c r="C18" s="10" t="inlineStr">
        <is>
          <t>External Referral &amp; Follow-up Register</t>
        </is>
      </c>
      <c r="D18" s="10" t="inlineStr">
        <is>
          <t>Track students referred to external psychiatrists/NGOs</t>
        </is>
      </c>
      <c r="E18" s="11" t="inlineStr">
        <is>
          <t>Per Referral</t>
        </is>
      </c>
    </row>
    <row r="19" ht="20" customHeight="1">
      <c r="B19" s="6" t="inlineStr">
        <is>
          <t>CMG-07</t>
        </is>
      </c>
      <c r="C19" s="7" t="inlineStr">
        <is>
          <t>Counsellor Performance &amp; Caseload Register</t>
        </is>
      </c>
      <c r="D19" s="7" t="inlineStr">
        <is>
          <t>Monitor counsellor activity, caseload &amp; CPD</t>
        </is>
      </c>
      <c r="E19" s="8" t="inlineStr">
        <is>
          <t>Monthly / Annual</t>
        </is>
      </c>
    </row>
    <row r="20" ht="20" customHeight="1">
      <c r="B20" s="9" t="inlineStr">
        <is>
          <t>CMG-08</t>
        </is>
      </c>
      <c r="C20" s="10" t="inlineStr">
        <is>
          <t>Counselling Outcome &amp; Wellbeing Tracker</t>
        </is>
      </c>
      <c r="D20" s="10" t="inlineStr">
        <is>
          <t>Measure improvement in student wellbeing over time</t>
        </is>
      </c>
      <c r="E20" s="11" t="inlineStr">
        <is>
          <t>Per Student / Quarterly</t>
        </is>
      </c>
    </row>
    <row r="21" ht="20" customHeight="1">
      <c r="B21" s="5" t="inlineStr">
        <is>
          <t>── STUDENT MENTORING ──</t>
        </is>
      </c>
    </row>
    <row r="22" ht="20" customHeight="1">
      <c r="B22" s="9" t="inlineStr">
        <is>
          <t>CMG-09</t>
        </is>
      </c>
      <c r="C22" s="10" t="inlineStr">
        <is>
          <t>Mentor–Mentee Assignment Register</t>
        </is>
      </c>
      <c r="D22" s="10" t="inlineStr">
        <is>
          <t>Assign faculty mentors to student mentees by batch/dept.</t>
        </is>
      </c>
      <c r="E22" s="11" t="inlineStr">
        <is>
          <t>Each Semester</t>
        </is>
      </c>
    </row>
    <row r="23" ht="20" customHeight="1">
      <c r="B23" s="6" t="inlineStr">
        <is>
          <t>CMG-10</t>
        </is>
      </c>
      <c r="C23" s="7" t="inlineStr">
        <is>
          <t>Mentoring Session Log</t>
        </is>
      </c>
      <c r="D23" s="7" t="inlineStr">
        <is>
          <t>Record each mentor-mentee interaction, issues &amp; action</t>
        </is>
      </c>
      <c r="E23" s="8" t="inlineStr">
        <is>
          <t>Per Session</t>
        </is>
      </c>
    </row>
    <row r="24" ht="20" customHeight="1">
      <c r="B24" s="9" t="inlineStr">
        <is>
          <t>CMG-11</t>
        </is>
      </c>
      <c r="C24" s="10" t="inlineStr">
        <is>
          <t>Student Academic &amp; Personal Progress Tracker</t>
        </is>
      </c>
      <c r="D24" s="10" t="inlineStr">
        <is>
          <t>Monitor mentee academic, attendance &amp; personal progress</t>
        </is>
      </c>
      <c r="E24" s="11" t="inlineStr">
        <is>
          <t>Each Semester</t>
        </is>
      </c>
    </row>
    <row r="25" ht="20" customHeight="1">
      <c r="B25" s="6" t="inlineStr">
        <is>
          <t>CMG-12</t>
        </is>
      </c>
      <c r="C25" s="7" t="inlineStr">
        <is>
          <t>Mentoring Programme Review Form</t>
        </is>
      </c>
      <c r="D25" s="7" t="inlineStr">
        <is>
          <t>Evaluate mentoring effectiveness at programme level</t>
        </is>
      </c>
      <c r="E25" s="8" t="inlineStr">
        <is>
          <t>Each Semester / Annual</t>
        </is>
      </c>
    </row>
    <row r="26" ht="20" customHeight="1">
      <c r="B26" s="9" t="inlineStr">
        <is>
          <t>CMG-13</t>
        </is>
      </c>
      <c r="C26" s="10" t="inlineStr">
        <is>
          <t>Mentor Faculty Workload &amp; Performance Register</t>
        </is>
      </c>
      <c r="D26" s="10" t="inlineStr">
        <is>
          <t>Track mentor assignments, sessions &amp; recognition</t>
        </is>
      </c>
      <c r="E26" s="11" t="inlineStr">
        <is>
          <t>Annual</t>
        </is>
      </c>
    </row>
    <row r="27" ht="20" customHeight="1">
      <c r="B27" s="6" t="inlineStr">
        <is>
          <t>CMG-14</t>
        </is>
      </c>
      <c r="C27" s="7" t="inlineStr">
        <is>
          <t>Peer Mentoring Programme Register</t>
        </is>
      </c>
      <c r="D27" s="7" t="inlineStr">
        <is>
          <t>Track senior-junior peer mentoring interactions</t>
        </is>
      </c>
      <c r="E27" s="8" t="inlineStr">
        <is>
          <t>Each Semester</t>
        </is>
      </c>
    </row>
    <row r="28" ht="20" customHeight="1">
      <c r="B28" s="9" t="inlineStr">
        <is>
          <t>CMG-15</t>
        </is>
      </c>
      <c r="C28" s="10" t="inlineStr">
        <is>
          <t>Industry / Alumni Mentoring Register</t>
        </is>
      </c>
      <c r="D28" s="10" t="inlineStr">
        <is>
          <t>Track external mentor (industry/alumni) assignments</t>
        </is>
      </c>
      <c r="E28" s="11" t="inlineStr">
        <is>
          <t>Each Semester</t>
        </is>
      </c>
    </row>
    <row r="29" ht="20" customHeight="1">
      <c r="B29" s="5" t="inlineStr">
        <is>
          <t>── STUDENT GRIEVANCE REDRESSAL ──</t>
        </is>
      </c>
    </row>
    <row r="30" ht="20" customHeight="1">
      <c r="B30" s="9" t="inlineStr">
        <is>
          <t>CMG-16</t>
        </is>
      </c>
      <c r="C30" s="10" t="inlineStr">
        <is>
          <t>Grievance Policy &amp; Escalation Framework</t>
        </is>
      </c>
      <c r="D30" s="10" t="inlineStr">
        <is>
          <t>Document grievance policy, categories &amp; escalation matrix</t>
        </is>
      </c>
      <c r="E30" s="11" t="inlineStr">
        <is>
          <t>Annual</t>
        </is>
      </c>
    </row>
    <row r="31" ht="20" customHeight="1">
      <c r="B31" s="6" t="inlineStr">
        <is>
          <t>CMG-17</t>
        </is>
      </c>
      <c r="C31" s="7" t="inlineStr">
        <is>
          <t>Student Grievance Submission Form</t>
        </is>
      </c>
      <c r="D31" s="7" t="inlineStr">
        <is>
          <t>Formal written grievance submission by student</t>
        </is>
      </c>
      <c r="E31" s="8" t="inlineStr">
        <is>
          <t>Per Grievance</t>
        </is>
      </c>
    </row>
    <row r="32" ht="20" customHeight="1">
      <c r="B32" s="9" t="inlineStr">
        <is>
          <t>CMG-18</t>
        </is>
      </c>
      <c r="C32" s="10" t="inlineStr">
        <is>
          <t>Grievance Registration &amp; Acknowledgement</t>
        </is>
      </c>
      <c r="D32" s="10" t="inlineStr">
        <is>
          <t>Register, acknowledge &amp; assign each grievance</t>
        </is>
      </c>
      <c r="E32" s="11" t="inlineStr">
        <is>
          <t>Per Grievance</t>
        </is>
      </c>
    </row>
    <row r="33" ht="20" customHeight="1">
      <c r="B33" s="6" t="inlineStr">
        <is>
          <t>CMG-19</t>
        </is>
      </c>
      <c r="C33" s="7" t="inlineStr">
        <is>
          <t>Grievance Investigation &amp; Proceedings Log</t>
        </is>
      </c>
      <c r="D33" s="7" t="inlineStr">
        <is>
          <t>Record investigation steps, hearings &amp; evidence</t>
        </is>
      </c>
      <c r="E33" s="8" t="inlineStr">
        <is>
          <t>Per Grievance</t>
        </is>
      </c>
    </row>
    <row r="34" ht="20" customHeight="1">
      <c r="B34" s="9" t="inlineStr">
        <is>
          <t>CMG-20</t>
        </is>
      </c>
      <c r="C34" s="10" t="inlineStr">
        <is>
          <t>Grievance Decision &amp; Resolution Register</t>
        </is>
      </c>
      <c r="D34" s="10" t="inlineStr">
        <is>
          <t>Document decision, relief granted and communication</t>
        </is>
      </c>
      <c r="E34" s="11" t="inlineStr">
        <is>
          <t>Per Grievance</t>
        </is>
      </c>
    </row>
    <row r="35" ht="20" customHeight="1">
      <c r="B35" s="6" t="inlineStr">
        <is>
          <t>CMG-21</t>
        </is>
      </c>
      <c r="C35" s="7" t="inlineStr">
        <is>
          <t>Grievance Appeal Register</t>
        </is>
      </c>
      <c r="D35" s="7" t="inlineStr">
        <is>
          <t>Track appeals against committee decisions</t>
        </is>
      </c>
      <c r="E35" s="8" t="inlineStr">
        <is>
          <t>Per Appeal</t>
        </is>
      </c>
    </row>
    <row r="36" ht="20" customHeight="1">
      <c r="B36" s="9" t="inlineStr">
        <is>
          <t>CMG-22</t>
        </is>
      </c>
      <c r="C36" s="10" t="inlineStr">
        <is>
          <t>Grievance Closure &amp; Archive Register</t>
        </is>
      </c>
      <c r="D36" s="10" t="inlineStr">
        <is>
          <t>Formally close and archive resolved grievances</t>
        </is>
      </c>
      <c r="E36" s="11" t="inlineStr">
        <is>
          <t>Per Grievance</t>
        </is>
      </c>
    </row>
    <row r="37" ht="20" customHeight="1">
      <c r="B37" s="5" t="inlineStr">
        <is>
          <t>── SPECIAL POPULATIONS &amp; WELFARE ──</t>
        </is>
      </c>
    </row>
    <row r="38" ht="20" customHeight="1">
      <c r="B38" s="9" t="inlineStr">
        <is>
          <t>CMG-23</t>
        </is>
      </c>
      <c r="C38" s="10" t="inlineStr">
        <is>
          <t>At-Risk Student Identification Register</t>
        </is>
      </c>
      <c r="D38" s="10" t="inlineStr">
        <is>
          <t>Identify and monitor students at academic/personal risk</t>
        </is>
      </c>
      <c r="E38" s="11" t="inlineStr">
        <is>
          <t>Each Semester</t>
        </is>
      </c>
    </row>
    <row r="39" ht="20" customHeight="1">
      <c r="B39" s="6" t="inlineStr">
        <is>
          <t>CMG-24</t>
        </is>
      </c>
      <c r="C39" s="7" t="inlineStr">
        <is>
          <t>Student Welfare Intervention Tracker</t>
        </is>
      </c>
      <c r="D39" s="7" t="inlineStr">
        <is>
          <t>Track welfare interventions — financial, academic, personal</t>
        </is>
      </c>
      <c r="E39" s="8" t="inlineStr">
        <is>
          <t>Per Student</t>
        </is>
      </c>
    </row>
    <row r="40" ht="20" customHeight="1">
      <c r="B40" s="9" t="inlineStr">
        <is>
          <t>CMG-25</t>
        </is>
      </c>
      <c r="C40" s="10" t="inlineStr">
        <is>
          <t>Differently Abled (Divyangjan) Student Register</t>
        </is>
      </c>
      <c r="D40" s="10" t="inlineStr">
        <is>
          <t>Monitor support, accommodations &amp; inclusion measures</t>
        </is>
      </c>
      <c r="E40" s="11" t="inlineStr">
        <is>
          <t>Annual / Continuous</t>
        </is>
      </c>
    </row>
    <row r="41" ht="20" customHeight="1">
      <c r="B41" s="6" t="inlineStr">
        <is>
          <t>CMG-26</t>
        </is>
      </c>
      <c r="C41" s="7" t="inlineStr">
        <is>
          <t>First-Generation Learner Support Register</t>
        </is>
      </c>
      <c r="D41" s="7" t="inlineStr">
        <is>
          <t>Track special support for first-gen college students</t>
        </is>
      </c>
      <c r="E41" s="8" t="inlineStr">
        <is>
          <t>Annual</t>
        </is>
      </c>
    </row>
    <row r="42" ht="20" customHeight="1">
      <c r="B42" s="9" t="inlineStr">
        <is>
          <t>CMG-27</t>
        </is>
      </c>
      <c r="C42" s="10" t="inlineStr">
        <is>
          <t>SC/ST/OBC Cell Student Support Register</t>
        </is>
      </c>
      <c r="D42" s="10" t="inlineStr">
        <is>
          <t>Track welfare activities for reserved category students</t>
        </is>
      </c>
      <c r="E42" s="11" t="inlineStr">
        <is>
          <t>Annual</t>
        </is>
      </c>
    </row>
    <row r="43" ht="20" customHeight="1">
      <c r="B43" s="6" t="inlineStr">
        <is>
          <t>CMG-28</t>
        </is>
      </c>
      <c r="C43" s="7" t="inlineStr">
        <is>
          <t>Women Student Welfare &amp; Safety Register</t>
        </is>
      </c>
      <c r="D43" s="7" t="inlineStr">
        <is>
          <t>Monitor women student welfare, safety &amp; support measures</t>
        </is>
      </c>
      <c r="E43" s="8" t="inlineStr">
        <is>
          <t>Annual / Continuous</t>
        </is>
      </c>
    </row>
    <row r="44" ht="20" customHeight="1">
      <c r="B44" s="5" t="inlineStr">
        <is>
          <t>── AWARENESS &amp; TRAINING ──</t>
        </is>
      </c>
    </row>
    <row r="45" ht="20" customHeight="1">
      <c r="B45" s="6" t="inlineStr">
        <is>
          <t>CMG-29</t>
        </is>
      </c>
      <c r="C45" s="7" t="inlineStr">
        <is>
          <t>Student Awareness Programme Register</t>
        </is>
      </c>
      <c r="D45" s="7" t="inlineStr">
        <is>
          <t>Log all mental health, rights &amp; wellness awareness events</t>
        </is>
      </c>
      <c r="E45" s="8" t="inlineStr">
        <is>
          <t>Continuous</t>
        </is>
      </c>
    </row>
    <row r="46" ht="20" customHeight="1">
      <c r="B46" s="9" t="inlineStr">
        <is>
          <t>CMG-30</t>
        </is>
      </c>
      <c r="C46" s="10" t="inlineStr">
        <is>
          <t>Counsellor / Mentor Training &amp; CPD Register</t>
        </is>
      </c>
      <c r="D46" s="10" t="inlineStr">
        <is>
          <t>Track training of counsellors &amp; mentor faculty</t>
        </is>
      </c>
      <c r="E46" s="11" t="inlineStr">
        <is>
          <t>Annual</t>
        </is>
      </c>
    </row>
    <row r="47" ht="20" customHeight="1">
      <c r="B47" s="5" t="inlineStr">
        <is>
          <t>── MONITORING &amp; REPORTING ──</t>
        </is>
      </c>
    </row>
    <row r="48" ht="20" customHeight="1">
      <c r="B48" s="9" t="inlineStr">
        <is>
          <t>CMG-31</t>
        </is>
      </c>
      <c r="C48" s="10" t="inlineStr">
        <is>
          <t>Student Wellbeing Survey</t>
        </is>
      </c>
      <c r="D48" s="10" t="inlineStr">
        <is>
          <t>Annual survey on student mental health, satisfaction &amp; safety</t>
        </is>
      </c>
      <c r="E48" s="11" t="inlineStr">
        <is>
          <t>Annual / Semester</t>
        </is>
      </c>
    </row>
    <row r="49" ht="20" customHeight="1">
      <c r="B49" s="6" t="inlineStr">
        <is>
          <t>CMG-32</t>
        </is>
      </c>
      <c r="C49" s="7" t="inlineStr">
        <is>
          <t>CMG KPI Dashboard</t>
        </is>
      </c>
      <c r="D49" s="7" t="inlineStr">
        <is>
          <t>Track all KPIs — counselling, mentoring &amp; grievance</t>
        </is>
      </c>
      <c r="E49" s="8" t="inlineStr">
        <is>
          <t>Monthly / Quarterly</t>
        </is>
      </c>
    </row>
    <row r="50" ht="20" customHeight="1">
      <c r="B50" s="9" t="inlineStr">
        <is>
          <t>CMG-33</t>
        </is>
      </c>
      <c r="C50" s="10" t="inlineStr">
        <is>
          <t>CMG Annual Report Compilation Form</t>
        </is>
      </c>
      <c r="D50" s="10" t="inlineStr">
        <is>
          <t>Year-end report for management, IQAC &amp; accreditation</t>
        </is>
      </c>
      <c r="E50" s="11" t="inlineStr">
        <is>
          <t>Annual</t>
        </is>
      </c>
    </row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104">
      <c r="B104" s="12" t="inlineStr">
        <is>
          <t>• This committee combines: Student Counselling, Faculty Mentoring &amp; Student Grievance Redressal in an integrated student support system.</t>
        </is>
      </c>
    </row>
    <row r="105">
      <c r="B105" s="12" t="inlineStr">
        <is>
          <t>• ALL student counselling records are STRICTLY CONFIDENTIAL — access restricted to the student, counsellor and committee head.</t>
        </is>
      </c>
    </row>
    <row r="106">
      <c r="B106" s="12" t="inlineStr">
        <is>
          <t>• Grievance records are also confidential; decisions and resolutions must be communicated to student within 30 working days.</t>
        </is>
      </c>
    </row>
    <row r="107">
      <c r="B107" s="12" t="inlineStr">
        <is>
          <t>• Data feeds into: NAAC AQAR Criterion V (Student Support &amp; Progression), NIRF, NBA SAR, IQAC annual report.</t>
        </is>
      </c>
    </row>
    <row r="108">
      <c r="B108" s="12" t="inlineStr">
        <is>
          <t>• Mentoring is mandatory for all students — every student must have a designated faculty mentor per semester.</t>
        </is>
      </c>
    </row>
    <row r="109">
      <c r="B109" s="12" t="inlineStr">
        <is>
          <t>• Grievances must be acknowledged within 3 working days and resolved within 30 working days of receipt.</t>
        </is>
      </c>
    </row>
    <row r="110">
      <c r="B110" s="12" t="inlineStr">
        <is>
          <t>• Anti-ragging, POSH, and SC/ST complaints are handled separately under their respective committees (refer ICC / Anti-Ragging Cell).</t>
        </is>
      </c>
    </row>
    <row r="111">
      <c r="B111" s="12" t="inlineStr">
        <is>
          <t>• Mental health referrals to external professionals must be handled with student consent and follow-up.</t>
        </is>
      </c>
    </row>
  </sheetData>
  <mergeCells count="18">
    <mergeCell ref="B108:E108"/>
    <mergeCell ref="B110:E110"/>
    <mergeCell ref="B4:E4"/>
    <mergeCell ref="B105:E105"/>
    <mergeCell ref="B106:E106"/>
    <mergeCell ref="B12:E12"/>
    <mergeCell ref="B111:E111"/>
    <mergeCell ref="B6:E6"/>
    <mergeCell ref="B21:E21"/>
    <mergeCell ref="B44:E44"/>
    <mergeCell ref="B29:E29"/>
    <mergeCell ref="B109:E109"/>
    <mergeCell ref="B104:E104"/>
    <mergeCell ref="B3:E3"/>
    <mergeCell ref="B2:E2"/>
    <mergeCell ref="B37:E37"/>
    <mergeCell ref="B47:E47"/>
    <mergeCell ref="B107:E1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3" t="inlineStr">
        <is>
          <t>CMG-00: STUDENTS COUNSELLING, MENTORING &amp; GRIEVANCE REDRESSAL COMMITTEE — COMPOSITION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4" t="inlineStr">
        <is>
          <t>Sl.</t>
        </is>
      </c>
      <c r="C4" s="14" t="inlineStr">
        <is>
          <t>Name</t>
        </is>
      </c>
      <c r="D4" s="14" t="inlineStr">
        <is>
          <t>Designation</t>
        </is>
      </c>
      <c r="E4" s="14" t="inlineStr">
        <is>
          <t>Role in Committee</t>
        </is>
      </c>
      <c r="F4" s="14" t="inlineStr">
        <is>
          <t>Specialisation</t>
        </is>
      </c>
      <c r="G4" s="14" t="inlineStr">
        <is>
          <t>Email / Phone</t>
        </is>
      </c>
      <c r="H4" s="14" t="inlineStr">
        <is>
          <t>Term</t>
        </is>
      </c>
      <c r="I4" s="14" t="inlineStr">
        <is>
          <t>Signature</t>
        </is>
      </c>
    </row>
    <row r="5" ht="22" customHeight="1">
      <c r="B5" s="15" t="n">
        <v>1</v>
      </c>
      <c r="C5" s="16" t="inlineStr"/>
      <c r="D5" s="16" t="inlineStr">
        <is>
          <t>Principal / Dean Student Affairs</t>
        </is>
      </c>
      <c r="E5" s="15" t="inlineStr">
        <is>
          <t>Chairperson</t>
        </is>
      </c>
      <c r="F5" s="17" t="inlineStr">
        <is>
          <t>Student Welfare Leadership</t>
        </is>
      </c>
      <c r="G5" s="16" t="inlineStr"/>
      <c r="H5" s="17" t="inlineStr"/>
      <c r="I5" s="17" t="inlineStr"/>
    </row>
    <row r="6" ht="22" customHeight="1">
      <c r="B6" s="6" t="n">
        <v>2</v>
      </c>
      <c r="C6" s="7" t="inlineStr"/>
      <c r="D6" s="7" t="inlineStr">
        <is>
          <t>Senior Faculty (Counselling In-charge)</t>
        </is>
      </c>
      <c r="E6" s="6" t="inlineStr">
        <is>
          <t>CMG Coordinator</t>
        </is>
      </c>
      <c r="F6" s="8" t="inlineStr">
        <is>
          <t>Counselling Coordination</t>
        </is>
      </c>
      <c r="G6" s="7" t="inlineStr"/>
      <c r="H6" s="8" t="inlineStr"/>
      <c r="I6" s="8" t="inlineStr"/>
    </row>
    <row r="7" ht="22" customHeight="1">
      <c r="B7" s="15" t="n">
        <v>3</v>
      </c>
      <c r="C7" s="16" t="inlineStr"/>
      <c r="D7" s="16" t="inlineStr">
        <is>
          <t>Trained Counsellor / Psychologist</t>
        </is>
      </c>
      <c r="E7" s="15" t="inlineStr">
        <is>
          <t>Professional Counsellor – 1</t>
        </is>
      </c>
      <c r="F7" s="17" t="inlineStr">
        <is>
          <t>Individual Counselling</t>
        </is>
      </c>
      <c r="G7" s="16" t="inlineStr"/>
      <c r="H7" s="17" t="inlineStr"/>
      <c r="I7" s="17" t="inlineStr"/>
    </row>
    <row r="8" ht="22" customHeight="1">
      <c r="B8" s="6" t="n">
        <v>4</v>
      </c>
      <c r="C8" s="7" t="inlineStr"/>
      <c r="D8" s="7" t="inlineStr">
        <is>
          <t>Trained Counsellor (if available)</t>
        </is>
      </c>
      <c r="E8" s="6" t="inlineStr">
        <is>
          <t>Professional Counsellor – 2</t>
        </is>
      </c>
      <c r="F8" s="8" t="inlineStr">
        <is>
          <t>Group Counselling &amp; Therapy</t>
        </is>
      </c>
      <c r="G8" s="7" t="inlineStr"/>
      <c r="H8" s="8" t="inlineStr"/>
      <c r="I8" s="8" t="inlineStr"/>
    </row>
    <row r="9" ht="22" customHeight="1">
      <c r="B9" s="15" t="n">
        <v>5</v>
      </c>
      <c r="C9" s="16" t="inlineStr"/>
      <c r="D9" s="16" t="inlineStr">
        <is>
          <t>Faculty — Mentoring Cell In-charge</t>
        </is>
      </c>
      <c r="E9" s="15" t="inlineStr">
        <is>
          <t>Mentoring Coordinator</t>
        </is>
      </c>
      <c r="F9" s="17" t="inlineStr">
        <is>
          <t>Mentoring Programme Management</t>
        </is>
      </c>
      <c r="G9" s="16" t="inlineStr"/>
      <c r="H9" s="17" t="inlineStr"/>
      <c r="I9" s="17" t="inlineStr"/>
    </row>
    <row r="10" ht="22" customHeight="1">
      <c r="B10" s="6" t="n">
        <v>6</v>
      </c>
      <c r="C10" s="7" t="inlineStr"/>
      <c r="D10" s="7" t="inlineStr">
        <is>
          <t>Registrar / Senior Faculty</t>
        </is>
      </c>
      <c r="E10" s="6" t="inlineStr">
        <is>
          <t>Grievance Officer</t>
        </is>
      </c>
      <c r="F10" s="8" t="inlineStr">
        <is>
          <t>Grievance Investigation</t>
        </is>
      </c>
      <c r="G10" s="7" t="inlineStr"/>
      <c r="H10" s="8" t="inlineStr"/>
      <c r="I10" s="8" t="inlineStr"/>
    </row>
    <row r="11" ht="22" customHeight="1">
      <c r="B11" s="15" t="n">
        <v>7</v>
      </c>
      <c r="C11" s="16" t="inlineStr"/>
      <c r="D11" s="16" t="inlineStr">
        <is>
          <t>Senior Faculty (Engineering)</t>
        </is>
      </c>
      <c r="E11" s="15" t="inlineStr">
        <is>
          <t>Faculty Representative – 1</t>
        </is>
      </c>
      <c r="F11" s="17" t="inlineStr">
        <is>
          <t>Academic Mentoring</t>
        </is>
      </c>
      <c r="G11" s="16" t="inlineStr"/>
      <c r="H11" s="17" t="inlineStr"/>
      <c r="I11" s="17" t="inlineStr"/>
    </row>
    <row r="12" ht="22" customHeight="1">
      <c r="B12" s="6" t="n">
        <v>8</v>
      </c>
      <c r="C12" s="7" t="inlineStr"/>
      <c r="D12" s="7" t="inlineStr">
        <is>
          <t>Senior Faculty (Management / Science)</t>
        </is>
      </c>
      <c r="E12" s="6" t="inlineStr">
        <is>
          <t>Faculty Representative – 2</t>
        </is>
      </c>
      <c r="F12" s="8" t="inlineStr">
        <is>
          <t>Career &amp; Personal Mentoring</t>
        </is>
      </c>
      <c r="G12" s="7" t="inlineStr"/>
      <c r="H12" s="8" t="inlineStr"/>
      <c r="I12" s="8" t="inlineStr"/>
    </row>
    <row r="13" ht="22" customHeight="1">
      <c r="B13" s="15" t="n">
        <v>9</v>
      </c>
      <c r="C13" s="16" t="inlineStr"/>
      <c r="D13" s="16" t="inlineStr">
        <is>
          <t>Hostel Warden</t>
        </is>
      </c>
      <c r="E13" s="15" t="inlineStr">
        <is>
          <t>Hostel Warden (Ex-officio)</t>
        </is>
      </c>
      <c r="F13" s="17" t="inlineStr">
        <is>
          <t>Residential Student Welfare</t>
        </is>
      </c>
      <c r="G13" s="16" t="inlineStr"/>
      <c r="H13" s="17" t="inlineStr"/>
      <c r="I13" s="17" t="inlineStr"/>
    </row>
    <row r="14" ht="22" customHeight="1">
      <c r="B14" s="6" t="n">
        <v>10</v>
      </c>
      <c r="C14" s="7" t="inlineStr"/>
      <c r="D14" s="7" t="inlineStr">
        <is>
          <t>Training &amp; Placement Officer</t>
        </is>
      </c>
      <c r="E14" s="6" t="inlineStr">
        <is>
          <t>T&amp;P Officer (Ex-officio)</t>
        </is>
      </c>
      <c r="F14" s="8" t="inlineStr">
        <is>
          <t>Career Guidance</t>
        </is>
      </c>
      <c r="G14" s="7" t="inlineStr"/>
      <c r="H14" s="8" t="inlineStr"/>
      <c r="I14" s="8" t="inlineStr"/>
    </row>
    <row r="15" ht="22" customHeight="1">
      <c r="B15" s="15" t="n">
        <v>11</v>
      </c>
      <c r="C15" s="16" t="inlineStr"/>
      <c r="D15" s="16" t="inlineStr">
        <is>
          <t>SC/ST Cell In-charge</t>
        </is>
      </c>
      <c r="E15" s="15" t="inlineStr">
        <is>
          <t>SC/ST Cell Coordinator</t>
        </is>
      </c>
      <c r="F15" s="17" t="inlineStr">
        <is>
          <t>Marginalised Student Support</t>
        </is>
      </c>
      <c r="G15" s="16" t="inlineStr"/>
      <c r="H15" s="17" t="inlineStr"/>
      <c r="I15" s="17" t="inlineStr"/>
    </row>
    <row r="16" ht="22" customHeight="1">
      <c r="B16" s="6" t="n">
        <v>12</v>
      </c>
      <c r="C16" s="7" t="inlineStr"/>
      <c r="D16" s="7" t="inlineStr">
        <is>
          <t>Women's Cell / ICC Member</t>
        </is>
      </c>
      <c r="E16" s="6" t="inlineStr">
        <is>
          <t>Women's Cell Coordinator</t>
        </is>
      </c>
      <c r="F16" s="8" t="inlineStr">
        <is>
          <t>Women Student Safety &amp; Welfare</t>
        </is>
      </c>
      <c r="G16" s="7" t="inlineStr"/>
      <c r="H16" s="8" t="inlineStr"/>
      <c r="I16" s="8" t="inlineStr"/>
    </row>
    <row r="17" ht="22" customHeight="1">
      <c r="B17" s="15" t="n">
        <v>13</v>
      </c>
      <c r="C17" s="16" t="inlineStr"/>
      <c r="D17" s="16" t="inlineStr">
        <is>
          <t>Student Council Member (UG)</t>
        </is>
      </c>
      <c r="E17" s="15" t="inlineStr">
        <is>
          <t>Student Representative – UG</t>
        </is>
      </c>
      <c r="F17" s="17" t="inlineStr">
        <is>
          <t>Student Voice</t>
        </is>
      </c>
      <c r="G17" s="16" t="inlineStr"/>
      <c r="H17" s="17" t="inlineStr"/>
      <c r="I17" s="17" t="inlineStr"/>
    </row>
    <row r="18" ht="22" customHeight="1">
      <c r="B18" s="6" t="n">
        <v>14</v>
      </c>
      <c r="C18" s="7" t="inlineStr"/>
      <c r="D18" s="7" t="inlineStr">
        <is>
          <t>Student Council Member (PG)</t>
        </is>
      </c>
      <c r="E18" s="6" t="inlineStr">
        <is>
          <t>Student Representative – PG</t>
        </is>
      </c>
      <c r="F18" s="8" t="inlineStr">
        <is>
          <t>PG Student Welfare</t>
        </is>
      </c>
      <c r="G18" s="7" t="inlineStr"/>
      <c r="H18" s="8" t="inlineStr"/>
      <c r="I18" s="8" t="inlineStr"/>
    </row>
    <row r="19" ht="22" customHeight="1">
      <c r="B19" s="15" t="n">
        <v>15</v>
      </c>
      <c r="C19" s="16" t="inlineStr"/>
      <c r="D19" s="16" t="inlineStr">
        <is>
          <t>External Mental Health Expert / NGO</t>
        </is>
      </c>
      <c r="E19" s="15" t="inlineStr">
        <is>
          <t>External Counsellor / NGO</t>
        </is>
      </c>
      <c r="F19" s="17" t="inlineStr">
        <is>
          <t>Specialist Referral &amp; Support</t>
        </is>
      </c>
      <c r="G19" s="16" t="inlineStr"/>
      <c r="H19" s="17" t="inlineStr"/>
      <c r="I19" s="17" t="inlineStr"/>
    </row>
    <row r="20" ht="22" customHeight="1">
      <c r="B20" s="6" t="n">
        <v>16</v>
      </c>
      <c r="C20" s="7" t="inlineStr"/>
      <c r="D20" s="7" t="inlineStr">
        <is>
          <t>IQAC In-charge</t>
        </is>
      </c>
      <c r="E20" s="6" t="inlineStr">
        <is>
          <t>IQAC Coordinator (Ex-officio)</t>
        </is>
      </c>
      <c r="F20" s="8" t="inlineStr">
        <is>
          <t>Quality &amp; Accreditation</t>
        </is>
      </c>
      <c r="G20" s="7" t="inlineStr"/>
      <c r="H20" s="8" t="inlineStr"/>
      <c r="I20" s="8" t="inlineStr"/>
    </row>
    <row r="21" ht="22" customHeight="1"/>
    <row r="22" ht="20" customHeight="1">
      <c r="B22" s="18" t="inlineStr">
        <is>
          <t>Professional counsellors must hold a recognised qualification in counselling / clinical psychology. External mental health expert mandatory for referral linkage.</t>
        </is>
      </c>
    </row>
    <row r="23" ht="22" customHeight="1"/>
    <row r="24" ht="22" customHeight="1"/>
    <row r="25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9" t="inlineStr">
        <is>
          <t>CMG: MEETING NOTICE &amp; AGENDA</t>
        </is>
      </c>
    </row>
    <row r="3" ht="22" customHeight="1">
      <c r="B3" s="20" t="inlineStr">
        <is>
          <t>Meeting No.:</t>
        </is>
      </c>
      <c r="C3" s="7" t="n"/>
    </row>
    <row r="4" ht="22" customHeight="1">
      <c r="B4" s="20" t="inlineStr">
        <is>
          <t>Academic Year:</t>
        </is>
      </c>
      <c r="C4" s="7" t="n"/>
    </row>
    <row r="5" ht="22" customHeight="1">
      <c r="B5" s="20" t="inlineStr">
        <is>
          <t>Date:</t>
        </is>
      </c>
      <c r="C5" s="7" t="n"/>
    </row>
    <row r="6" ht="22" customHeight="1">
      <c r="B6" s="20" t="inlineStr">
        <is>
          <t>Time:</t>
        </is>
      </c>
      <c r="C6" s="7" t="n"/>
    </row>
    <row r="7" ht="22" customHeight="1">
      <c r="B7" s="20" t="inlineStr">
        <is>
          <t>Venue:</t>
        </is>
      </c>
      <c r="C7" s="7" t="n"/>
    </row>
    <row r="8" ht="22" customHeight="1">
      <c r="B8" s="20" t="inlineStr">
        <is>
          <t>Mode:</t>
        </is>
      </c>
      <c r="C8" s="7" t="n"/>
    </row>
    <row r="9" ht="22" customHeight="1">
      <c r="B9" s="20" t="inlineStr">
        <is>
          <t>Notice by:</t>
        </is>
      </c>
      <c r="C9" s="7" t="n"/>
    </row>
    <row r="10" ht="22" customHeight="1">
      <c r="B10" s="20" t="inlineStr">
        <is>
          <t>Notice Date:</t>
        </is>
      </c>
      <c r="C10" s="7" t="n"/>
    </row>
    <row r="11" ht="24" customHeight="1">
      <c r="B11" s="21" t="inlineStr">
        <is>
          <t>AGENDA ITEMS</t>
        </is>
      </c>
    </row>
    <row r="12" ht="24" customHeight="1">
      <c r="B12" s="14" t="inlineStr">
        <is>
          <t>Item
No.</t>
        </is>
      </c>
      <c r="C12" s="14" t="inlineStr">
        <is>
          <t>Agenda Item / Discussion</t>
        </is>
      </c>
      <c r="D12" s="14" t="inlineStr">
        <is>
          <t>Lead</t>
        </is>
      </c>
      <c r="E12" s="14" t="inlineStr">
        <is>
          <t>Duration (Min)</t>
        </is>
      </c>
    </row>
    <row r="13" ht="24" customHeight="1">
      <c r="B13" s="15" t="n">
        <v>1</v>
      </c>
      <c r="C13" s="16" t="inlineStr">
        <is>
          <t>Confirmation of minutes of previous CMG meeting</t>
        </is>
      </c>
      <c r="D13" s="17" t="inlineStr"/>
      <c r="E13" s="17" t="inlineStr"/>
    </row>
    <row r="14" ht="24" customHeight="1">
      <c r="B14" s="6" t="n">
        <v>2</v>
      </c>
      <c r="C14" s="7" t="inlineStr">
        <is>
          <t>Action Taken Report on previous resolutions</t>
        </is>
      </c>
      <c r="D14" s="8" t="inlineStr"/>
      <c r="E14" s="8" t="inlineStr"/>
    </row>
    <row r="15" ht="24" customHeight="1">
      <c r="B15" s="15" t="n">
        <v>3</v>
      </c>
      <c r="C15" s="16" t="inlineStr">
        <is>
          <t>Counselling — caseload summary (anonymised data only)</t>
        </is>
      </c>
      <c r="D15" s="17" t="inlineStr"/>
      <c r="E15" s="17" t="inlineStr"/>
    </row>
    <row r="16" ht="24" customHeight="1">
      <c r="B16" s="6" t="n">
        <v>4</v>
      </c>
      <c r="C16" s="7" t="inlineStr">
        <is>
          <t>Counselling — new cases, crisis incidents &amp; referrals</t>
        </is>
      </c>
      <c r="D16" s="8" t="inlineStr"/>
      <c r="E16" s="8" t="inlineStr"/>
    </row>
    <row r="17" ht="24" customHeight="1">
      <c r="B17" s="15" t="n">
        <v>5</v>
      </c>
      <c r="C17" s="16" t="inlineStr">
        <is>
          <t>Group counselling / workshop sessions — report</t>
        </is>
      </c>
      <c r="D17" s="17" t="inlineStr"/>
      <c r="E17" s="17" t="inlineStr"/>
    </row>
    <row r="18" ht="24" customHeight="1">
      <c r="B18" s="6" t="n">
        <v>6</v>
      </c>
      <c r="C18" s="7" t="inlineStr">
        <is>
          <t>At-risk students — identification and intervention update</t>
        </is>
      </c>
      <c r="D18" s="8" t="inlineStr"/>
      <c r="E18" s="8" t="inlineStr"/>
    </row>
    <row r="19" ht="24" customHeight="1">
      <c r="B19" s="15" t="n">
        <v>7</v>
      </c>
      <c r="C19" s="16" t="inlineStr">
        <is>
          <t>Mentoring programme — assignment status and session logs</t>
        </is>
      </c>
      <c r="D19" s="17" t="inlineStr"/>
      <c r="E19" s="17" t="inlineStr"/>
    </row>
    <row r="20" ht="24" customHeight="1">
      <c r="B20" s="6" t="n">
        <v>8</v>
      </c>
      <c r="C20" s="7" t="inlineStr">
        <is>
          <t>Mentee academic progress review — flagged students</t>
        </is>
      </c>
      <c r="D20" s="8" t="inlineStr"/>
      <c r="E20" s="8" t="inlineStr"/>
    </row>
    <row r="21" ht="24" customHeight="1">
      <c r="B21" s="15" t="n">
        <v>9</v>
      </c>
      <c r="C21" s="16" t="inlineStr">
        <is>
          <t>Peer mentoring programme — update</t>
        </is>
      </c>
      <c r="D21" s="17" t="inlineStr"/>
      <c r="E21" s="17" t="inlineStr"/>
    </row>
    <row r="22" ht="24" customHeight="1">
      <c r="B22" s="6" t="n">
        <v>10</v>
      </c>
      <c r="C22" s="7" t="inlineStr">
        <is>
          <t>Industry / alumni mentoring — update</t>
        </is>
      </c>
      <c r="D22" s="8" t="inlineStr"/>
      <c r="E22" s="8" t="inlineStr"/>
    </row>
    <row r="23" ht="24" customHeight="1">
      <c r="B23" s="15" t="n">
        <v>11</v>
      </c>
      <c r="C23" s="16" t="inlineStr">
        <is>
          <t>Grievances received — status dashboard (ref. nos. only)</t>
        </is>
      </c>
      <c r="D23" s="17" t="inlineStr"/>
      <c r="E23" s="17" t="inlineStr"/>
    </row>
    <row r="24" ht="24" customHeight="1">
      <c r="B24" s="6" t="n">
        <v>12</v>
      </c>
      <c r="C24" s="7" t="inlineStr">
        <is>
          <t>Grievances pending beyond 30 days — review</t>
        </is>
      </c>
      <c r="D24" s="8" t="inlineStr"/>
      <c r="E24" s="8" t="inlineStr"/>
    </row>
    <row r="25" ht="24" customHeight="1">
      <c r="B25" s="15" t="n">
        <v>13</v>
      </c>
      <c r="C25" s="16" t="inlineStr">
        <is>
          <t>Special welfare — SC/ST, Divyangjan, women students</t>
        </is>
      </c>
      <c r="D25" s="17" t="inlineStr"/>
      <c r="E25" s="17" t="inlineStr"/>
    </row>
    <row r="26" ht="24" customHeight="1">
      <c r="B26" s="6" t="n">
        <v>14</v>
      </c>
      <c r="C26" s="7" t="inlineStr">
        <is>
          <t>First-generation learner support — update</t>
        </is>
      </c>
      <c r="D26" s="8" t="inlineStr"/>
      <c r="E26" s="8" t="inlineStr"/>
    </row>
    <row r="27" ht="24" customHeight="1">
      <c r="B27" s="15" t="n">
        <v>15</v>
      </c>
      <c r="C27" s="16" t="inlineStr">
        <is>
          <t>Awareness programmes — upcoming calendar &amp; past reports</t>
        </is>
      </c>
      <c r="D27" s="17" t="inlineStr"/>
      <c r="E27" s="17" t="inlineStr"/>
    </row>
    <row r="28" ht="24" customHeight="1">
      <c r="B28" s="6" t="n">
        <v>16</v>
      </c>
      <c r="C28" s="7" t="inlineStr">
        <is>
          <t>Counsellor / mentor training — schedule</t>
        </is>
      </c>
      <c r="D28" s="8" t="inlineStr"/>
      <c r="E28" s="8" t="inlineStr"/>
    </row>
    <row r="29" ht="24" customHeight="1">
      <c r="B29" s="15" t="n">
        <v>17</v>
      </c>
      <c r="C29" s="16" t="inlineStr">
        <is>
          <t>Student wellbeing survey — results and action plan</t>
        </is>
      </c>
      <c r="D29" s="17" t="inlineStr"/>
      <c r="E29" s="17" t="inlineStr"/>
    </row>
    <row r="30" ht="24" customHeight="1">
      <c r="B30" s="6" t="n">
        <v>18</v>
      </c>
      <c r="C30" s="7" t="inlineStr">
        <is>
          <t>CMG KPI dashboard — quarterly review</t>
        </is>
      </c>
      <c r="D30" s="8" t="inlineStr"/>
      <c r="E30" s="8" t="inlineStr"/>
    </row>
    <row r="31" ht="24" customHeight="1">
      <c r="B31" s="15" t="n">
        <v>19</v>
      </c>
      <c r="C31" s="16" t="inlineStr">
        <is>
          <t>Any Other Matter with Permission of Chairperson (AOMPC)</t>
        </is>
      </c>
      <c r="D31" s="17" t="inlineStr"/>
      <c r="E31" s="17" t="inlineStr"/>
    </row>
    <row r="32" ht="24" customHeight="1"/>
    <row r="33" ht="24" customHeight="1">
      <c r="B33" s="22" t="inlineStr">
        <is>
          <t>DISPATCH RECORD</t>
        </is>
      </c>
    </row>
    <row r="34" ht="24" customHeight="1">
      <c r="B34" s="23" t="inlineStr">
        <is>
          <t>Sl.</t>
        </is>
      </c>
      <c r="C34" s="23" t="inlineStr">
        <is>
          <t>Member Name &amp; Role</t>
        </is>
      </c>
      <c r="D34" s="23" t="inlineStr">
        <is>
          <t>Mode</t>
        </is>
      </c>
      <c r="E34" s="23" t="inlineStr">
        <is>
          <t>Date &amp; Acknowledgement</t>
        </is>
      </c>
    </row>
    <row r="35" ht="22" customHeight="1">
      <c r="B35" s="24" t="n"/>
      <c r="C35" s="24" t="n"/>
      <c r="D35" s="24" t="n"/>
      <c r="E35" s="24" t="n"/>
    </row>
    <row r="36" ht="22" customHeight="1">
      <c r="B36" s="8" t="n"/>
      <c r="C36" s="8" t="n"/>
      <c r="D36" s="8" t="n"/>
      <c r="E36" s="8" t="n"/>
    </row>
    <row r="37" ht="22" customHeight="1">
      <c r="B37" s="24" t="n"/>
      <c r="C37" s="24" t="n"/>
      <c r="D37" s="24" t="n"/>
      <c r="E37" s="24" t="n"/>
    </row>
    <row r="38" ht="22" customHeight="1">
      <c r="B38" s="8" t="n"/>
      <c r="C38" s="8" t="n"/>
      <c r="D38" s="8" t="n"/>
      <c r="E38" s="8" t="n"/>
    </row>
  </sheetData>
  <mergeCells count="11">
    <mergeCell ref="C5:E5"/>
    <mergeCell ref="C8:E8"/>
    <mergeCell ref="C9:E9"/>
    <mergeCell ref="C4:E4"/>
    <mergeCell ref="B33:E33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9" t="inlineStr">
        <is>
          <t>CMG: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4" t="inlineStr">
        <is>
          <t>Sl.</t>
        </is>
      </c>
      <c r="C4" s="14" t="inlineStr">
        <is>
          <t>Name</t>
        </is>
      </c>
      <c r="D4" s="14" t="inlineStr">
        <is>
          <t>Role</t>
        </is>
      </c>
      <c r="E4" s="14" t="inlineStr">
        <is>
          <t>Mode
(Physical/VC)</t>
        </is>
      </c>
      <c r="F4" s="14" t="inlineStr">
        <is>
          <t>Present
(P/A)</t>
        </is>
      </c>
      <c r="G4" s="14" t="inlineStr">
        <is>
          <t>Proxy
(Y/N)</t>
        </is>
      </c>
      <c r="H4" s="14" t="inlineStr">
        <is>
          <t>Proxy Holder</t>
        </is>
      </c>
      <c r="I4" s="14" t="inlineStr">
        <is>
          <t>Signature</t>
        </is>
      </c>
    </row>
    <row r="5" ht="22" customHeight="1">
      <c r="B5" s="15" t="n">
        <v>1</v>
      </c>
      <c r="C5" s="16" t="inlineStr"/>
      <c r="D5" s="16" t="inlineStr"/>
      <c r="E5" s="17" t="inlineStr">
        <is>
          <t>Physical</t>
        </is>
      </c>
      <c r="F5" s="17" t="inlineStr"/>
      <c r="G5" s="17" t="inlineStr">
        <is>
          <t>N</t>
        </is>
      </c>
      <c r="H5" s="17" t="inlineStr"/>
      <c r="I5" s="17" t="inlineStr"/>
    </row>
    <row r="6" ht="22" customHeight="1">
      <c r="B6" s="6" t="n">
        <v>2</v>
      </c>
      <c r="C6" s="7" t="inlineStr"/>
      <c r="D6" s="7" t="inlineStr"/>
      <c r="E6" s="8" t="inlineStr">
        <is>
          <t>Physical</t>
        </is>
      </c>
      <c r="F6" s="8" t="inlineStr"/>
      <c r="G6" s="8" t="inlineStr">
        <is>
          <t>N</t>
        </is>
      </c>
      <c r="H6" s="8" t="inlineStr"/>
      <c r="I6" s="8" t="inlineStr"/>
    </row>
    <row r="7" ht="22" customHeight="1">
      <c r="B7" s="15" t="n">
        <v>3</v>
      </c>
      <c r="C7" s="16" t="inlineStr"/>
      <c r="D7" s="16" t="inlineStr"/>
      <c r="E7" s="17" t="inlineStr">
        <is>
          <t>Physical</t>
        </is>
      </c>
      <c r="F7" s="17" t="inlineStr"/>
      <c r="G7" s="17" t="inlineStr">
        <is>
          <t>N</t>
        </is>
      </c>
      <c r="H7" s="17" t="inlineStr"/>
      <c r="I7" s="17" t="inlineStr"/>
    </row>
    <row r="8" ht="22" customHeight="1">
      <c r="B8" s="6" t="n">
        <v>4</v>
      </c>
      <c r="C8" s="7" t="inlineStr"/>
      <c r="D8" s="7" t="inlineStr"/>
      <c r="E8" s="8" t="inlineStr">
        <is>
          <t>Physical</t>
        </is>
      </c>
      <c r="F8" s="8" t="inlineStr"/>
      <c r="G8" s="8" t="inlineStr">
        <is>
          <t>N</t>
        </is>
      </c>
      <c r="H8" s="8" t="inlineStr"/>
      <c r="I8" s="8" t="inlineStr"/>
    </row>
    <row r="9" ht="22" customHeight="1">
      <c r="B9" s="15" t="n">
        <v>5</v>
      </c>
      <c r="C9" s="16" t="inlineStr"/>
      <c r="D9" s="16" t="inlineStr"/>
      <c r="E9" s="17" t="inlineStr">
        <is>
          <t>Physical</t>
        </is>
      </c>
      <c r="F9" s="17" t="inlineStr"/>
      <c r="G9" s="17" t="inlineStr">
        <is>
          <t>N</t>
        </is>
      </c>
      <c r="H9" s="17" t="inlineStr"/>
      <c r="I9" s="17" t="inlineStr"/>
    </row>
    <row r="10" ht="22" customHeight="1">
      <c r="B10" s="6" t="n">
        <v>6</v>
      </c>
      <c r="C10" s="7" t="inlineStr"/>
      <c r="D10" s="7" t="inlineStr"/>
      <c r="E10" s="8" t="inlineStr">
        <is>
          <t>Physical</t>
        </is>
      </c>
      <c r="F10" s="8" t="inlineStr"/>
      <c r="G10" s="8" t="inlineStr">
        <is>
          <t>N</t>
        </is>
      </c>
      <c r="H10" s="8" t="inlineStr"/>
      <c r="I10" s="8" t="inlineStr"/>
    </row>
    <row r="11" ht="22" customHeight="1">
      <c r="B11" s="15" t="n">
        <v>7</v>
      </c>
      <c r="C11" s="16" t="inlineStr"/>
      <c r="D11" s="16" t="inlineStr"/>
      <c r="E11" s="17" t="inlineStr">
        <is>
          <t>Physical</t>
        </is>
      </c>
      <c r="F11" s="17" t="inlineStr"/>
      <c r="G11" s="17" t="inlineStr">
        <is>
          <t>N</t>
        </is>
      </c>
      <c r="H11" s="17" t="inlineStr"/>
      <c r="I11" s="17" t="inlineStr"/>
    </row>
    <row r="12" ht="22" customHeight="1">
      <c r="B12" s="6" t="n">
        <v>8</v>
      </c>
      <c r="C12" s="7" t="inlineStr"/>
      <c r="D12" s="7" t="inlineStr"/>
      <c r="E12" s="8" t="inlineStr">
        <is>
          <t>Physical</t>
        </is>
      </c>
      <c r="F12" s="8" t="inlineStr"/>
      <c r="G12" s="8" t="inlineStr">
        <is>
          <t>N</t>
        </is>
      </c>
      <c r="H12" s="8" t="inlineStr"/>
      <c r="I12" s="8" t="inlineStr"/>
    </row>
    <row r="13" ht="22" customHeight="1">
      <c r="B13" s="15" t="n">
        <v>9</v>
      </c>
      <c r="C13" s="16" t="inlineStr"/>
      <c r="D13" s="16" t="inlineStr"/>
      <c r="E13" s="17" t="inlineStr">
        <is>
          <t>Physical</t>
        </is>
      </c>
      <c r="F13" s="17" t="inlineStr"/>
      <c r="G13" s="17" t="inlineStr">
        <is>
          <t>N</t>
        </is>
      </c>
      <c r="H13" s="17" t="inlineStr"/>
      <c r="I13" s="17" t="inlineStr"/>
    </row>
    <row r="14" ht="22" customHeight="1">
      <c r="B14" s="6" t="n">
        <v>10</v>
      </c>
      <c r="C14" s="7" t="inlineStr"/>
      <c r="D14" s="7" t="inlineStr"/>
      <c r="E14" s="8" t="inlineStr">
        <is>
          <t>Physical</t>
        </is>
      </c>
      <c r="F14" s="8" t="inlineStr"/>
      <c r="G14" s="8" t="inlineStr">
        <is>
          <t>N</t>
        </is>
      </c>
      <c r="H14" s="8" t="inlineStr"/>
      <c r="I14" s="8" t="inlineStr"/>
    </row>
    <row r="15" ht="22" customHeight="1">
      <c r="B15" s="15" t="n">
        <v>11</v>
      </c>
      <c r="C15" s="16" t="inlineStr"/>
      <c r="D15" s="16" t="inlineStr"/>
      <c r="E15" s="17" t="inlineStr">
        <is>
          <t>Physical</t>
        </is>
      </c>
      <c r="F15" s="17" t="inlineStr"/>
      <c r="G15" s="17" t="inlineStr">
        <is>
          <t>N</t>
        </is>
      </c>
      <c r="H15" s="17" t="inlineStr"/>
      <c r="I15" s="17" t="inlineStr"/>
    </row>
    <row r="16" ht="22" customHeight="1">
      <c r="B16" s="6" t="n">
        <v>12</v>
      </c>
      <c r="C16" s="7" t="inlineStr"/>
      <c r="D16" s="7" t="inlineStr"/>
      <c r="E16" s="8" t="inlineStr">
        <is>
          <t>Physical</t>
        </is>
      </c>
      <c r="F16" s="8" t="inlineStr"/>
      <c r="G16" s="8" t="inlineStr">
        <is>
          <t>N</t>
        </is>
      </c>
      <c r="H16" s="8" t="inlineStr"/>
      <c r="I16" s="8" t="inlineStr"/>
    </row>
    <row r="17" ht="22" customHeight="1">
      <c r="B17" s="15" t="n">
        <v>13</v>
      </c>
      <c r="C17" s="16" t="inlineStr"/>
      <c r="D17" s="16" t="inlineStr"/>
      <c r="E17" s="17" t="inlineStr">
        <is>
          <t>Physical</t>
        </is>
      </c>
      <c r="F17" s="17" t="inlineStr"/>
      <c r="G17" s="17" t="inlineStr">
        <is>
          <t>N</t>
        </is>
      </c>
      <c r="H17" s="17" t="inlineStr"/>
      <c r="I17" s="17" t="inlineStr"/>
    </row>
    <row r="18" ht="22" customHeight="1">
      <c r="B18" s="6" t="n">
        <v>14</v>
      </c>
      <c r="C18" s="7" t="inlineStr"/>
      <c r="D18" s="7" t="inlineStr"/>
      <c r="E18" s="8" t="inlineStr">
        <is>
          <t>Physical</t>
        </is>
      </c>
      <c r="F18" s="8" t="inlineStr"/>
      <c r="G18" s="8" t="inlineStr">
        <is>
          <t>N</t>
        </is>
      </c>
      <c r="H18" s="8" t="inlineStr"/>
      <c r="I18" s="8" t="inlineStr"/>
    </row>
    <row r="19" ht="22" customHeight="1">
      <c r="B19" s="15" t="n">
        <v>15</v>
      </c>
      <c r="C19" s="16" t="inlineStr"/>
      <c r="D19" s="16" t="inlineStr"/>
      <c r="E19" s="17" t="inlineStr">
        <is>
          <t>Physical</t>
        </is>
      </c>
      <c r="F19" s="17" t="inlineStr"/>
      <c r="G19" s="17" t="inlineStr">
        <is>
          <t>N</t>
        </is>
      </c>
      <c r="H19" s="17" t="inlineStr"/>
      <c r="I19" s="17" t="inlineStr"/>
    </row>
    <row r="20" ht="22" customHeight="1">
      <c r="B20" s="6" t="n">
        <v>16</v>
      </c>
      <c r="C20" s="7" t="inlineStr"/>
      <c r="D20" s="7" t="inlineStr"/>
      <c r="E20" s="8" t="inlineStr">
        <is>
          <t>Physical</t>
        </is>
      </c>
      <c r="F20" s="8" t="inlineStr"/>
      <c r="G20" s="8" t="inlineStr">
        <is>
          <t>N</t>
        </is>
      </c>
      <c r="H20" s="8" t="inlineStr"/>
      <c r="I20" s="8" t="inlineStr"/>
    </row>
    <row r="21" ht="22" customHeight="1">
      <c r="B21" s="15" t="n">
        <v>17</v>
      </c>
      <c r="C21" s="16" t="inlineStr"/>
      <c r="D21" s="16" t="inlineStr"/>
      <c r="E21" s="17" t="inlineStr">
        <is>
          <t>Physical</t>
        </is>
      </c>
      <c r="F21" s="17" t="inlineStr"/>
      <c r="G21" s="17" t="inlineStr">
        <is>
          <t>N</t>
        </is>
      </c>
      <c r="H21" s="17" t="inlineStr"/>
      <c r="I21" s="17" t="inlineStr"/>
    </row>
    <row r="22" ht="22" customHeight="1">
      <c r="B22" s="6" t="n">
        <v>18</v>
      </c>
      <c r="C22" s="7" t="inlineStr"/>
      <c r="D22" s="7" t="inlineStr"/>
      <c r="E22" s="8" t="inlineStr">
        <is>
          <t>Physical</t>
        </is>
      </c>
      <c r="F22" s="8" t="inlineStr"/>
      <c r="G22" s="8" t="inlineStr">
        <is>
          <t>N</t>
        </is>
      </c>
      <c r="H22" s="8" t="inlineStr"/>
      <c r="I22" s="8" t="inlineStr"/>
    </row>
    <row r="23" ht="22" customHeight="1"/>
    <row r="24" ht="24" customHeight="1">
      <c r="B24" s="22" t="inlineStr">
        <is>
          <t>QUORUM VERIFICATION</t>
        </is>
      </c>
    </row>
    <row r="25" ht="22" customHeight="1">
      <c r="B25" s="25" t="inlineStr">
        <is>
          <t>Total Members</t>
        </is>
      </c>
      <c r="G25" s="26" t="inlineStr"/>
    </row>
    <row r="26" ht="22" customHeight="1">
      <c r="B26" s="27" t="inlineStr">
        <is>
          <t>Present (Physical)</t>
        </is>
      </c>
      <c r="G26" s="26">
        <f>COUNTIF(F5:F22,"P")</f>
        <v/>
      </c>
    </row>
    <row r="27" ht="22" customHeight="1">
      <c r="B27" s="25" t="inlineStr">
        <is>
          <t>Present (VC)</t>
        </is>
      </c>
      <c r="G27" s="26" t="inlineStr"/>
    </row>
    <row r="28" ht="22" customHeight="1">
      <c r="B28" s="27" t="inlineStr">
        <is>
          <t>Total Effective</t>
        </is>
      </c>
      <c r="G28" s="26">
        <f>IFERROR(C26+C27,"")</f>
        <v/>
      </c>
    </row>
    <row r="29" ht="22" customHeight="1">
      <c r="B29" s="25" t="inlineStr">
        <is>
          <t>Quorum Required (50%)</t>
        </is>
      </c>
      <c r="G29" s="26" t="inlineStr"/>
    </row>
    <row r="30">
      <c r="B30" s="27" t="inlineStr">
        <is>
          <t>Quorum Achieved?</t>
        </is>
      </c>
      <c r="G30" s="28">
        <f>IFERROR(IF(C28&gt;=C29,"YES — Valid","NO — Adjourned"),"")</f>
        <v/>
      </c>
    </row>
  </sheetData>
  <mergeCells count="15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9" t="inlineStr">
        <is>
          <t>CMG: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9" t="inlineStr">
        <is>
          <t>DISCUSSION &amp; RESOLUTIONS</t>
        </is>
      </c>
    </row>
    <row r="5" ht="30" customHeight="1">
      <c r="B5" s="30" t="inlineStr">
        <is>
          <t>Resolution
No.</t>
        </is>
      </c>
      <c r="C5" s="30" t="inlineStr">
        <is>
          <t>Discussion &amp; Resolution</t>
        </is>
      </c>
      <c r="D5" s="30" t="inlineStr">
        <is>
          <t>Responsible</t>
        </is>
      </c>
      <c r="E5" s="30" t="inlineStr">
        <is>
          <t>Voting</t>
        </is>
      </c>
      <c r="F5" s="30" t="inlineStr">
        <is>
          <t>Target
Date</t>
        </is>
      </c>
      <c r="G5" s="30" t="inlineStr">
        <is>
          <t>Status</t>
        </is>
      </c>
    </row>
    <row r="6" ht="32" customHeight="1">
      <c r="B6" s="15" t="inlineStr">
        <is>
          <t>CMG/RES/001</t>
        </is>
      </c>
      <c r="C6" s="16" t="inlineStr"/>
      <c r="D6" s="17" t="inlineStr"/>
      <c r="E6" s="17" t="inlineStr"/>
      <c r="F6" s="17" t="inlineStr"/>
      <c r="G6" s="17" t="inlineStr">
        <is>
          <t>Pending</t>
        </is>
      </c>
    </row>
    <row r="7" ht="32" customHeight="1">
      <c r="B7" s="6" t="inlineStr">
        <is>
          <t>CMG/RES/002</t>
        </is>
      </c>
      <c r="C7" s="7" t="inlineStr"/>
      <c r="D7" s="8" t="inlineStr"/>
      <c r="E7" s="8" t="inlineStr"/>
      <c r="F7" s="8" t="inlineStr"/>
      <c r="G7" s="8" t="inlineStr">
        <is>
          <t>Pending</t>
        </is>
      </c>
    </row>
    <row r="8" ht="32" customHeight="1">
      <c r="B8" s="15" t="inlineStr">
        <is>
          <t>CMG/RES/003</t>
        </is>
      </c>
      <c r="C8" s="16" t="inlineStr"/>
      <c r="D8" s="17" t="inlineStr"/>
      <c r="E8" s="17" t="inlineStr"/>
      <c r="F8" s="17" t="inlineStr"/>
      <c r="G8" s="17" t="inlineStr">
        <is>
          <t>Pending</t>
        </is>
      </c>
    </row>
    <row r="9" ht="32" customHeight="1">
      <c r="B9" s="6" t="inlineStr">
        <is>
          <t>CMG/RES/004</t>
        </is>
      </c>
      <c r="C9" s="7" t="inlineStr"/>
      <c r="D9" s="8" t="inlineStr"/>
      <c r="E9" s="8" t="inlineStr"/>
      <c r="F9" s="8" t="inlineStr"/>
      <c r="G9" s="8" t="inlineStr">
        <is>
          <t>Pending</t>
        </is>
      </c>
    </row>
    <row r="10" ht="32" customHeight="1">
      <c r="B10" s="15" t="inlineStr">
        <is>
          <t>CMG/RES/005</t>
        </is>
      </c>
      <c r="C10" s="16" t="inlineStr"/>
      <c r="D10" s="17" t="inlineStr"/>
      <c r="E10" s="17" t="inlineStr"/>
      <c r="F10" s="17" t="inlineStr"/>
      <c r="G10" s="17" t="inlineStr">
        <is>
          <t>Pending</t>
        </is>
      </c>
    </row>
    <row r="11" ht="32" customHeight="1">
      <c r="B11" s="6" t="inlineStr">
        <is>
          <t>CMG/RES/006</t>
        </is>
      </c>
      <c r="C11" s="7" t="inlineStr"/>
      <c r="D11" s="8" t="inlineStr"/>
      <c r="E11" s="8" t="inlineStr"/>
      <c r="F11" s="8" t="inlineStr"/>
      <c r="G11" s="8" t="inlineStr">
        <is>
          <t>Pending</t>
        </is>
      </c>
    </row>
    <row r="12" ht="32" customHeight="1">
      <c r="B12" s="15" t="inlineStr">
        <is>
          <t>CMG/RES/007</t>
        </is>
      </c>
      <c r="C12" s="16" t="inlineStr"/>
      <c r="D12" s="17" t="inlineStr"/>
      <c r="E12" s="17" t="inlineStr"/>
      <c r="F12" s="17" t="inlineStr"/>
      <c r="G12" s="17" t="inlineStr">
        <is>
          <t>Pending</t>
        </is>
      </c>
    </row>
    <row r="13" ht="32" customHeight="1">
      <c r="B13" s="6" t="inlineStr">
        <is>
          <t>CMG/RES/008</t>
        </is>
      </c>
      <c r="C13" s="7" t="inlineStr"/>
      <c r="D13" s="8" t="inlineStr"/>
      <c r="E13" s="8" t="inlineStr"/>
      <c r="F13" s="8" t="inlineStr"/>
      <c r="G13" s="8" t="inlineStr">
        <is>
          <t>Pending</t>
        </is>
      </c>
    </row>
    <row r="14" ht="32" customHeight="1">
      <c r="B14" s="15" t="inlineStr">
        <is>
          <t>CMG/RES/009</t>
        </is>
      </c>
      <c r="C14" s="16" t="inlineStr"/>
      <c r="D14" s="17" t="inlineStr"/>
      <c r="E14" s="17" t="inlineStr"/>
      <c r="F14" s="17" t="inlineStr"/>
      <c r="G14" s="17" t="inlineStr">
        <is>
          <t>Pending</t>
        </is>
      </c>
    </row>
    <row r="15" ht="32" customHeight="1">
      <c r="B15" s="6" t="inlineStr">
        <is>
          <t>CMG/RES/010</t>
        </is>
      </c>
      <c r="C15" s="7" t="inlineStr"/>
      <c r="D15" s="8" t="inlineStr"/>
      <c r="E15" s="8" t="inlineStr"/>
      <c r="F15" s="8" t="inlineStr"/>
      <c r="G15" s="8" t="inlineStr">
        <is>
          <t>Pending</t>
        </is>
      </c>
    </row>
    <row r="16" ht="32" customHeight="1">
      <c r="B16" s="15" t="inlineStr">
        <is>
          <t>CMG/RES/011</t>
        </is>
      </c>
      <c r="C16" s="16" t="inlineStr"/>
      <c r="D16" s="17" t="inlineStr"/>
      <c r="E16" s="17" t="inlineStr"/>
      <c r="F16" s="17" t="inlineStr"/>
      <c r="G16" s="17" t="inlineStr">
        <is>
          <t>Pending</t>
        </is>
      </c>
    </row>
    <row r="17" ht="32" customHeight="1">
      <c r="B17" s="6" t="inlineStr">
        <is>
          <t>CMG/RES/012</t>
        </is>
      </c>
      <c r="C17" s="7" t="inlineStr"/>
      <c r="D17" s="8" t="inlineStr"/>
      <c r="E17" s="8" t="inlineStr"/>
      <c r="F17" s="8" t="inlineStr"/>
      <c r="G17" s="8" t="inlineStr">
        <is>
          <t>Pending</t>
        </is>
      </c>
    </row>
    <row r="18" ht="32" customHeight="1">
      <c r="B18" s="15" t="inlineStr">
        <is>
          <t>CMG/RES/013</t>
        </is>
      </c>
      <c r="C18" s="16" t="inlineStr"/>
      <c r="D18" s="17" t="inlineStr"/>
      <c r="E18" s="17" t="inlineStr"/>
      <c r="F18" s="17" t="inlineStr"/>
      <c r="G18" s="17" t="inlineStr">
        <is>
          <t>Pending</t>
        </is>
      </c>
    </row>
    <row r="19" ht="32" customHeight="1">
      <c r="B19" s="6" t="inlineStr">
        <is>
          <t>CMG/RES/014</t>
        </is>
      </c>
      <c r="C19" s="7" t="inlineStr"/>
      <c r="D19" s="8" t="inlineStr"/>
      <c r="E19" s="8" t="inlineStr"/>
      <c r="F19" s="8" t="inlineStr"/>
      <c r="G19" s="8" t="inlineStr">
        <is>
          <t>Pending</t>
        </is>
      </c>
    </row>
    <row r="20" ht="30" customHeight="1"/>
    <row r="21" ht="30" customHeight="1">
      <c r="B21" s="31" t="inlineStr">
        <is>
          <t>Next Meeting: _______    Chairperson: ___________________    CMG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9" t="inlineStr">
        <is>
          <t>CMG: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2" t="inlineStr">
        <is>
          <t>Resolution
No.</t>
        </is>
      </c>
      <c r="C4" s="32" t="inlineStr">
        <is>
          <t>Resolution / Decision</t>
        </is>
      </c>
      <c r="D4" s="32" t="inlineStr">
        <is>
          <t>Action Required</t>
        </is>
      </c>
      <c r="E4" s="32" t="inlineStr">
        <is>
          <t>Responsible</t>
        </is>
      </c>
      <c r="F4" s="32" t="inlineStr">
        <is>
          <t>Target
Date</t>
        </is>
      </c>
      <c r="G4" s="32" t="inlineStr">
        <is>
          <t>Completion
Date</t>
        </is>
      </c>
      <c r="H4" s="32" t="inlineStr">
        <is>
          <t>Status</t>
        </is>
      </c>
    </row>
    <row r="5" ht="26" customHeight="1">
      <c r="B5" s="33" t="inlineStr">
        <is>
          <t>CMG/RES/001</t>
        </is>
      </c>
      <c r="C5" s="34" t="inlineStr"/>
      <c r="D5" s="34" t="inlineStr"/>
      <c r="E5" s="35" t="inlineStr"/>
      <c r="F5" s="35" t="inlineStr"/>
      <c r="G5" s="35" t="inlineStr"/>
      <c r="H5" s="34" t="inlineStr">
        <is>
          <t>In Progress</t>
        </is>
      </c>
    </row>
    <row r="6" ht="26" customHeight="1">
      <c r="B6" s="6" t="inlineStr">
        <is>
          <t>CMG/RES/002</t>
        </is>
      </c>
      <c r="C6" s="7" t="inlineStr"/>
      <c r="D6" s="7" t="inlineStr"/>
      <c r="E6" s="8" t="inlineStr"/>
      <c r="F6" s="8" t="inlineStr"/>
      <c r="G6" s="8" t="inlineStr"/>
      <c r="H6" s="7" t="inlineStr">
        <is>
          <t>In Progress</t>
        </is>
      </c>
    </row>
    <row r="7" ht="26" customHeight="1">
      <c r="B7" s="33" t="inlineStr">
        <is>
          <t>CMG/RES/003</t>
        </is>
      </c>
      <c r="C7" s="34" t="inlineStr"/>
      <c r="D7" s="34" t="inlineStr"/>
      <c r="E7" s="35" t="inlineStr"/>
      <c r="F7" s="35" t="inlineStr"/>
      <c r="G7" s="35" t="inlineStr"/>
      <c r="H7" s="34" t="inlineStr">
        <is>
          <t>In Progress</t>
        </is>
      </c>
    </row>
    <row r="8" ht="26" customHeight="1">
      <c r="B8" s="6" t="inlineStr">
        <is>
          <t>CMG/RES/004</t>
        </is>
      </c>
      <c r="C8" s="7" t="inlineStr"/>
      <c r="D8" s="7" t="inlineStr"/>
      <c r="E8" s="8" t="inlineStr"/>
      <c r="F8" s="8" t="inlineStr"/>
      <c r="G8" s="8" t="inlineStr"/>
      <c r="H8" s="7" t="inlineStr">
        <is>
          <t>In Progress</t>
        </is>
      </c>
    </row>
    <row r="9" ht="26" customHeight="1">
      <c r="B9" s="33" t="inlineStr">
        <is>
          <t>CMG/RES/005</t>
        </is>
      </c>
      <c r="C9" s="34" t="inlineStr"/>
      <c r="D9" s="34" t="inlineStr"/>
      <c r="E9" s="35" t="inlineStr"/>
      <c r="F9" s="35" t="inlineStr"/>
      <c r="G9" s="35" t="inlineStr"/>
      <c r="H9" s="34" t="inlineStr">
        <is>
          <t>In Progress</t>
        </is>
      </c>
    </row>
    <row r="10" ht="26" customHeight="1">
      <c r="B10" s="6" t="inlineStr">
        <is>
          <t>CMG/RES/006</t>
        </is>
      </c>
      <c r="C10" s="7" t="inlineStr"/>
      <c r="D10" s="7" t="inlineStr"/>
      <c r="E10" s="8" t="inlineStr"/>
      <c r="F10" s="8" t="inlineStr"/>
      <c r="G10" s="8" t="inlineStr"/>
      <c r="H10" s="7" t="inlineStr">
        <is>
          <t>In Progress</t>
        </is>
      </c>
    </row>
    <row r="11" ht="26" customHeight="1">
      <c r="B11" s="33" t="inlineStr">
        <is>
          <t>CMG/RES/007</t>
        </is>
      </c>
      <c r="C11" s="34" t="inlineStr"/>
      <c r="D11" s="34" t="inlineStr"/>
      <c r="E11" s="35" t="inlineStr"/>
      <c r="F11" s="35" t="inlineStr"/>
      <c r="G11" s="35" t="inlineStr"/>
      <c r="H11" s="34" t="inlineStr">
        <is>
          <t>In Progress</t>
        </is>
      </c>
    </row>
    <row r="12" ht="26" customHeight="1">
      <c r="B12" s="6" t="inlineStr">
        <is>
          <t>CMG/RES/008</t>
        </is>
      </c>
      <c r="C12" s="7" t="inlineStr"/>
      <c r="D12" s="7" t="inlineStr"/>
      <c r="E12" s="8" t="inlineStr"/>
      <c r="F12" s="8" t="inlineStr"/>
      <c r="G12" s="8" t="inlineStr"/>
      <c r="H12" s="7" t="inlineStr">
        <is>
          <t>In Progress</t>
        </is>
      </c>
    </row>
    <row r="13" ht="26" customHeight="1">
      <c r="B13" s="33" t="inlineStr">
        <is>
          <t>CMG/RES/009</t>
        </is>
      </c>
      <c r="C13" s="34" t="inlineStr"/>
      <c r="D13" s="34" t="inlineStr"/>
      <c r="E13" s="35" t="inlineStr"/>
      <c r="F13" s="35" t="inlineStr"/>
      <c r="G13" s="35" t="inlineStr"/>
      <c r="H13" s="34" t="inlineStr">
        <is>
          <t>In Progress</t>
        </is>
      </c>
    </row>
    <row r="14" ht="26" customHeight="1">
      <c r="B14" s="6" t="inlineStr">
        <is>
          <t>CMG/RES/010</t>
        </is>
      </c>
      <c r="C14" s="7" t="inlineStr"/>
      <c r="D14" s="7" t="inlineStr"/>
      <c r="E14" s="8" t="inlineStr"/>
      <c r="F14" s="8" t="inlineStr"/>
      <c r="G14" s="8" t="inlineStr"/>
      <c r="H14" s="7" t="inlineStr">
        <is>
          <t>In Progress</t>
        </is>
      </c>
    </row>
    <row r="15" ht="26" customHeight="1">
      <c r="B15" s="33" t="inlineStr">
        <is>
          <t>CMG/RES/011</t>
        </is>
      </c>
      <c r="C15" s="34" t="inlineStr"/>
      <c r="D15" s="34" t="inlineStr"/>
      <c r="E15" s="35" t="inlineStr"/>
      <c r="F15" s="35" t="inlineStr"/>
      <c r="G15" s="35" t="inlineStr"/>
      <c r="H15" s="34" t="inlineStr">
        <is>
          <t>In Progress</t>
        </is>
      </c>
    </row>
    <row r="16" ht="26" customHeight="1">
      <c r="B16" s="6" t="inlineStr">
        <is>
          <t>CMG/RES/012</t>
        </is>
      </c>
      <c r="C16" s="7" t="inlineStr"/>
      <c r="D16" s="7" t="inlineStr"/>
      <c r="E16" s="8" t="inlineStr"/>
      <c r="F16" s="8" t="inlineStr"/>
      <c r="G16" s="8" t="inlineStr"/>
      <c r="H16" s="7" t="inlineStr">
        <is>
          <t>In Progress</t>
        </is>
      </c>
    </row>
    <row r="17" ht="26" customHeight="1">
      <c r="B17" s="33" t="inlineStr">
        <is>
          <t>CMG/RES/013</t>
        </is>
      </c>
      <c r="C17" s="34" t="inlineStr"/>
      <c r="D17" s="34" t="inlineStr"/>
      <c r="E17" s="35" t="inlineStr"/>
      <c r="F17" s="35" t="inlineStr"/>
      <c r="G17" s="35" t="inlineStr"/>
      <c r="H17" s="34" t="inlineStr">
        <is>
          <t>In Progress</t>
        </is>
      </c>
    </row>
    <row r="18" ht="26" customHeight="1">
      <c r="B18" s="6" t="inlineStr">
        <is>
          <t>CMG/RES/014</t>
        </is>
      </c>
      <c r="C18" s="7" t="inlineStr"/>
      <c r="D18" s="7" t="inlineStr"/>
      <c r="E18" s="8" t="inlineStr"/>
      <c r="F18" s="8" t="inlineStr"/>
      <c r="G18" s="8" t="inlineStr"/>
      <c r="H18" s="7" t="inlineStr">
        <is>
          <t>In Progress</t>
        </is>
      </c>
    </row>
    <row r="19" ht="26" customHeight="1">
      <c r="B19" s="33" t="inlineStr">
        <is>
          <t>CMG/RES/015</t>
        </is>
      </c>
      <c r="C19" s="34" t="inlineStr"/>
      <c r="D19" s="34" t="inlineStr"/>
      <c r="E19" s="35" t="inlineStr"/>
      <c r="F19" s="35" t="inlineStr"/>
      <c r="G19" s="35" t="inlineStr"/>
      <c r="H19" s="34" t="inlineStr">
        <is>
          <t>In Progress</t>
        </is>
      </c>
    </row>
    <row r="20" ht="26" customHeight="1"/>
    <row r="21" ht="24" customHeight="1">
      <c r="B21" s="36" t="inlineStr">
        <is>
          <t>ATR SUMMARY</t>
        </is>
      </c>
    </row>
    <row r="22" ht="26" customHeight="1">
      <c r="B22" s="37" t="inlineStr">
        <is>
          <t>Total Resolutions Under Review</t>
        </is>
      </c>
      <c r="F22" s="38">
        <f>COUNTA(B5:B19)</f>
        <v/>
      </c>
    </row>
    <row r="23" ht="26" customHeight="1">
      <c r="B23" s="27" t="inlineStr">
        <is>
          <t>Implemented</t>
        </is>
      </c>
      <c r="F23" s="39">
        <f>COUNTIF(H5:H19,"Implemented")</f>
        <v/>
      </c>
    </row>
    <row r="24" ht="26" customHeight="1">
      <c r="B24" s="37" t="inlineStr">
        <is>
          <t>In Progress</t>
        </is>
      </c>
      <c r="F24" s="38">
        <f>COUNTIF(H5:H19,"In Progress")</f>
        <v/>
      </c>
    </row>
    <row r="25" ht="26" customHeight="1">
      <c r="B25" s="27" t="inlineStr">
        <is>
          <t>Pending</t>
        </is>
      </c>
      <c r="F25" s="39">
        <f>COUNTIF(H5:H19,"Pending")</f>
        <v/>
      </c>
    </row>
    <row r="26" ht="26" customHeight="1">
      <c r="B26" s="37" t="inlineStr">
        <is>
          <t>Deferred</t>
        </is>
      </c>
      <c r="F26" s="38">
        <f>COUNTIF(H5:H19,"Deferred")</f>
        <v/>
      </c>
    </row>
    <row r="27" ht="26" customHeight="1">
      <c r="B27" s="27" t="inlineStr">
        <is>
          <t>Implementation Rate (%)</t>
        </is>
      </c>
      <c r="F27" s="39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9" t="inlineStr">
        <is>
          <t>CMG-02: STUDENT COUNSELLING REGISTRATION FORM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Case Ref. No.: CMG/COUNS/______/______   Date of Registration: _______   Counsellor Assigned: _______</t>
        </is>
      </c>
    </row>
    <row r="5" ht="24" customHeight="1">
      <c r="B5" s="21" t="inlineStr">
        <is>
          <t>SECTION A — STUDENT DETAILS</t>
        </is>
      </c>
    </row>
    <row r="6" ht="28" customHeight="1">
      <c r="B6" s="40" t="inlineStr">
        <is>
          <t>Student Name (internal ref. / code):</t>
        </is>
      </c>
      <c r="C6" s="7" t="n"/>
    </row>
    <row r="7" ht="28" customHeight="1">
      <c r="B7" s="40" t="inlineStr">
        <is>
          <t>Roll Number / Student ID:</t>
        </is>
      </c>
      <c r="C7" s="7" t="n"/>
    </row>
    <row r="8" ht="28" customHeight="1">
      <c r="B8" s="40" t="inlineStr">
        <is>
          <t>Programme / Course:</t>
        </is>
      </c>
      <c r="C8" s="7" t="n"/>
    </row>
    <row r="9" ht="28" customHeight="1">
      <c r="B9" s="40" t="inlineStr">
        <is>
          <t>Year / Semester:</t>
        </is>
      </c>
      <c r="C9" s="7" t="n"/>
    </row>
    <row r="10" ht="28" customHeight="1">
      <c r="B10" s="40" t="inlineStr">
        <is>
          <t>Department:</t>
        </is>
      </c>
      <c r="C10" s="7" t="n"/>
    </row>
    <row r="11" ht="28" customHeight="1">
      <c r="B11" s="40" t="inlineStr">
        <is>
          <t>Date of Birth:</t>
        </is>
      </c>
      <c r="C11" s="7" t="n"/>
    </row>
    <row r="12" ht="28" customHeight="1">
      <c r="B12" s="40" t="inlineStr">
        <is>
          <t>Gender:</t>
        </is>
      </c>
      <c r="C12" s="41" t="inlineStr">
        <is>
          <t>[ ] Male   [ ] Female   [ ] Non-binary   [ ] Prefer not to say</t>
        </is>
      </c>
    </row>
    <row r="13" ht="28" customHeight="1">
      <c r="B13" s="40" t="inlineStr">
        <is>
          <t>Hostel Student?</t>
        </is>
      </c>
      <c r="C13" s="41" t="inlineStr">
        <is>
          <t>[ ] Yes — Hostel Name: _______   [ ] Day Scholar</t>
        </is>
      </c>
    </row>
    <row r="14" ht="28" customHeight="1">
      <c r="B14" s="40" t="inlineStr">
        <is>
          <t>Contact Number:</t>
        </is>
      </c>
      <c r="C14" s="7" t="n"/>
    </row>
    <row r="15" ht="28" customHeight="1">
      <c r="B15" s="40" t="inlineStr">
        <is>
          <t>Parent / Guardian Contact:</t>
        </is>
      </c>
      <c r="C15" s="7" t="n"/>
    </row>
    <row r="16" ht="28" customHeight="1">
      <c r="B16" s="40" t="inlineStr">
        <is>
          <t>Emergency Contact (if different):</t>
        </is>
      </c>
      <c r="C16" s="7" t="n"/>
    </row>
    <row r="17" ht="30" customHeight="1"/>
    <row r="18" ht="24" customHeight="1">
      <c r="B18" s="36" t="inlineStr">
        <is>
          <t>SECTION B — PRESENTING ISSUE</t>
        </is>
      </c>
    </row>
    <row r="19" ht="30" customHeight="1">
      <c r="B19" s="42" t="inlineStr">
        <is>
          <t>Mode of referral:</t>
        </is>
      </c>
      <c r="C19" s="41" t="inlineStr">
        <is>
          <t>[ ] Self-referred  [ ] Faculty mentor  [ ] Peer  [ ] Parent  [ ] Department  [ ] Anti-ragging  [ ] Other</t>
        </is>
      </c>
    </row>
    <row r="20" ht="30" customHeight="1">
      <c r="B20" s="42" t="inlineStr">
        <is>
          <t>Primary concern / presenting issue:</t>
        </is>
      </c>
      <c r="C20" s="41" t="inlineStr">
        <is>
          <t>[ ] Academic stress  [ ] Exam anxiety  [ ] Relationship issues  [ ] Family problems  [ ] Adjustment  [ ] Career confusion  [ ] Depression/Anxiety  [ ] Other</t>
        </is>
      </c>
    </row>
    <row r="21" ht="30" customHeight="1">
      <c r="B21" s="42" t="inlineStr">
        <is>
          <t>Duration of issue:</t>
        </is>
      </c>
      <c r="C21" s="41" t="inlineStr">
        <is>
          <t>[ ] &lt; 1 week  [ ] 1–4 weeks  [ ] 1–3 months  [ ] &gt; 3 months</t>
        </is>
      </c>
    </row>
    <row r="22" ht="30" customHeight="1">
      <c r="B22" s="42" t="inlineStr">
        <is>
          <t>Severity (self-reported):</t>
        </is>
      </c>
      <c r="C22" s="41" t="inlineStr">
        <is>
          <t>[ ] Mild — functioning normally  [ ] Moderate — affecting daily life  [ ] Severe — unable to function</t>
        </is>
      </c>
    </row>
    <row r="23" ht="30" customHeight="1">
      <c r="B23" s="42" t="inlineStr">
        <is>
          <t>Previous counselling experience:</t>
        </is>
      </c>
      <c r="C23" s="41" t="inlineStr">
        <is>
          <t>[ ] Yes — Where: _______   [ ] No</t>
        </is>
      </c>
    </row>
    <row r="24" ht="30" customHeight="1">
      <c r="B24" s="42" t="inlineStr">
        <is>
          <t>Previous psychiatric treatment:</t>
        </is>
      </c>
      <c r="C24" s="41" t="inlineStr">
        <is>
          <t>[ ] Yes — Details: _______   [ ] No</t>
        </is>
      </c>
    </row>
    <row r="25" ht="30" customHeight="1">
      <c r="B25" s="42" t="inlineStr">
        <is>
          <t>Any medication currently?</t>
        </is>
      </c>
      <c r="C25" s="41" t="inlineStr">
        <is>
          <t>[ ] Yes — Details: _______   [ ] No</t>
        </is>
      </c>
    </row>
    <row r="26" ht="30" customHeight="1">
      <c r="B26" s="42" t="inlineStr">
        <is>
          <t>Any safety concerns?</t>
        </is>
      </c>
      <c r="C26" s="41" t="inlineStr">
        <is>
          <t>[ ] Thoughts of self-harm  [ ] Thoughts of harm to others  [ ] None currently</t>
        </is>
      </c>
    </row>
    <row r="27" ht="30" customHeight="1">
      <c r="B27" s="42" t="inlineStr">
        <is>
          <t>Academic standing:</t>
        </is>
      </c>
      <c r="C27" s="41" t="inlineStr">
        <is>
          <t>[ ] Good  [ ] Average  [ ] Below Average  [ ] Detained / Back Papers</t>
        </is>
      </c>
    </row>
    <row r="28" ht="30" customHeight="1">
      <c r="B28" s="42" t="inlineStr">
        <is>
          <t>Attendance status:</t>
        </is>
      </c>
      <c r="C28" s="41" t="inlineStr">
        <is>
          <t>[ ] Regular (≥75%)  [ ] Low attendance (&lt; 75%)</t>
        </is>
      </c>
    </row>
    <row r="29" ht="30" customHeight="1"/>
    <row r="30" ht="24" customHeight="1">
      <c r="B30" s="43" t="inlineStr">
        <is>
          <t>SECTION C — COUNSELLOR INITIAL ASSESSMENT</t>
        </is>
      </c>
    </row>
    <row r="31" ht="30" customHeight="1">
      <c r="B31" s="44" t="inlineStr">
        <is>
          <t>Brief presenting concern (counsellor's note):</t>
        </is>
      </c>
      <c r="C31" s="7" t="n"/>
    </row>
    <row r="32" ht="30" customHeight="1">
      <c r="B32" s="44" t="inlineStr">
        <is>
          <t>Risk level assessed:</t>
        </is>
      </c>
      <c r="C32" s="41" t="inlineStr">
        <is>
          <t>[ ] Low  [ ] Moderate  [ ] High — Immediate action needed</t>
        </is>
      </c>
    </row>
    <row r="33" ht="30" customHeight="1">
      <c r="B33" s="44" t="inlineStr">
        <is>
          <t>Consent obtained for sessions?</t>
        </is>
      </c>
      <c r="C33" s="41" t="inlineStr">
        <is>
          <t>[ ] Yes — Written consent attached   [ ] No — Reason: _______</t>
        </is>
      </c>
    </row>
    <row r="34" ht="30" customHeight="1">
      <c r="B34" s="44" t="inlineStr">
        <is>
          <t>Consent for contacting parent/guardian?</t>
        </is>
      </c>
      <c r="C34" s="41" t="inlineStr">
        <is>
          <t>[ ] Yes  [ ] No (student is adult, consent at student's discretion)</t>
        </is>
      </c>
    </row>
    <row r="35" ht="30" customHeight="1">
      <c r="B35" s="44" t="inlineStr">
        <is>
          <t>Initial plan:</t>
        </is>
      </c>
      <c r="C35" s="41" t="inlineStr">
        <is>
          <t>[ ] Individual sessions  [ ] Group therapy  [ ] Referral  [ ] Crisis intervention  [ ] Academic support</t>
        </is>
      </c>
    </row>
    <row r="36" ht="30" customHeight="1">
      <c r="B36" s="44" t="inlineStr">
        <is>
          <t>Session frequency:</t>
        </is>
      </c>
      <c r="C36" s="41" t="inlineStr">
        <is>
          <t>[ ] Weekly  [ ] Fortnightly  [ ] Monthly  [ ] As needed</t>
        </is>
      </c>
    </row>
    <row r="37" ht="30" customHeight="1">
      <c r="B37" s="44" t="inlineStr">
        <is>
          <t>Estimated duration of counselling:</t>
        </is>
      </c>
      <c r="C37" s="41" t="inlineStr">
        <is>
          <t>[ ] 1–3 sessions  [ ] 4–8 sessions  [ ] Long-term</t>
        </is>
      </c>
    </row>
    <row r="38" ht="30" customHeight="1"/>
    <row r="39" ht="30" customHeight="1">
      <c r="B39" s="45" t="inlineStr">
        <is>
          <t>I consent to counselling services and understand that information shared is confidential except where there is risk to safety.</t>
        </is>
      </c>
    </row>
    <row r="40" ht="30" customHeight="1">
      <c r="B40" s="31" t="inlineStr">
        <is>
          <t>Student Signature: ___________________    Date: ___________________    Counsellor: ___________________    Supervisor: ___________________</t>
        </is>
      </c>
    </row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</sheetData>
  <mergeCells count="36">
    <mergeCell ref="C16:E16"/>
    <mergeCell ref="B40:E40"/>
    <mergeCell ref="C31:E31"/>
    <mergeCell ref="C22:E22"/>
    <mergeCell ref="B30:E30"/>
    <mergeCell ref="C9:E9"/>
    <mergeCell ref="B5:E5"/>
    <mergeCell ref="C21:E21"/>
    <mergeCell ref="C12:E12"/>
    <mergeCell ref="C36:E36"/>
    <mergeCell ref="C11:E11"/>
    <mergeCell ref="C27:E27"/>
    <mergeCell ref="B4:E4"/>
    <mergeCell ref="C23:E23"/>
    <mergeCell ref="C8:E8"/>
    <mergeCell ref="B3:E3"/>
    <mergeCell ref="C7:E7"/>
    <mergeCell ref="C32:E32"/>
    <mergeCell ref="B18:E18"/>
    <mergeCell ref="C28:E28"/>
    <mergeCell ref="C13:E13"/>
    <mergeCell ref="C19:E19"/>
    <mergeCell ref="C37:E37"/>
    <mergeCell ref="B39:E39"/>
    <mergeCell ref="B2:E2"/>
    <mergeCell ref="C34:E34"/>
    <mergeCell ref="C15:E15"/>
    <mergeCell ref="C6:E6"/>
    <mergeCell ref="C24:E24"/>
    <mergeCell ref="C33:E33"/>
    <mergeCell ref="C14:E14"/>
    <mergeCell ref="C26:E26"/>
    <mergeCell ref="C35:E35"/>
    <mergeCell ref="C20:E20"/>
    <mergeCell ref="C25:E25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9" t="inlineStr">
        <is>
          <t>CMG-03: INDIVIDUAL COUNSELLING SESSION LOG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Case Ref. No.: _______   Session No.: _______   Counsellor: _______   Supervisor Review: _______</t>
        </is>
      </c>
    </row>
    <row r="5" ht="24" customHeight="1">
      <c r="B5" s="21" t="inlineStr">
        <is>
          <t>SESSION DETAILS</t>
        </is>
      </c>
    </row>
    <row r="6" ht="28" customHeight="1">
      <c r="B6" s="40" t="inlineStr">
        <is>
          <t>Date of Session:</t>
        </is>
      </c>
      <c r="C6" s="7" t="n"/>
    </row>
    <row r="7" ht="28" customHeight="1">
      <c r="B7" s="40" t="inlineStr">
        <is>
          <t>Duration (minutes):</t>
        </is>
      </c>
      <c r="C7" s="7" t="n"/>
    </row>
    <row r="8" ht="28" customHeight="1">
      <c r="B8" s="40" t="inlineStr">
        <is>
          <t>Mode:</t>
        </is>
      </c>
      <c r="C8" s="41" t="inlineStr">
        <is>
          <t>[ ] In-person  [ ] Online / Phone  [ ] Walk-in</t>
        </is>
      </c>
    </row>
    <row r="9" ht="28" customHeight="1">
      <c r="B9" s="40" t="inlineStr">
        <is>
          <t>Student present:</t>
        </is>
      </c>
      <c r="C9" s="41" t="inlineStr">
        <is>
          <t>[ ] Yes  [ ] No — Reason: _______</t>
        </is>
      </c>
    </row>
    <row r="10" ht="28" customHeight="1">
      <c r="B10" s="40" t="inlineStr">
        <is>
          <t>Session Type:</t>
        </is>
      </c>
      <c r="C10" s="41" t="inlineStr">
        <is>
          <t>[ ] Individual  [ ] Couple  [ ] Family  [ ] Follow-up  [ ] Crisis</t>
        </is>
      </c>
    </row>
    <row r="11" ht="28" customHeight="1">
      <c r="B11" s="40" t="inlineStr">
        <is>
          <t>Current Risk Level:</t>
        </is>
      </c>
      <c r="C11" s="41" t="inlineStr">
        <is>
          <t>[ ] Low  [ ] Moderate  [ ] High</t>
        </is>
      </c>
    </row>
    <row r="12" ht="35" customHeight="1"/>
    <row r="13" ht="24" customHeight="1">
      <c r="B13" s="36" t="inlineStr">
        <is>
          <t>SESSION NOTES (CONFIDENTIAL)</t>
        </is>
      </c>
    </row>
    <row r="14" ht="35" customHeight="1">
      <c r="B14" s="46" t="inlineStr">
        <is>
          <t>Issues Discussed This Session:</t>
        </is>
      </c>
    </row>
    <row r="15" ht="200" customHeight="1">
      <c r="B15" s="45" t="inlineStr">
        <is>
          <t>(Confidential — session content record)</t>
        </is>
      </c>
    </row>
    <row r="16" ht="35" customHeight="1"/>
    <row r="17" ht="35" customHeight="1"/>
    <row r="18" ht="35" customHeight="1"/>
    <row r="19" ht="35" customHeight="1"/>
    <row r="20" ht="35" customHeight="1"/>
    <row r="21" ht="35" customHeight="1"/>
    <row r="22" ht="35" customHeight="1"/>
    <row r="23" ht="35" customHeight="1">
      <c r="B23" s="46" t="inlineStr">
        <is>
          <t>Therapeutic Techniques / Approach Used:</t>
        </is>
      </c>
    </row>
    <row r="24" ht="70" customHeight="1">
      <c r="B24" s="45" t="inlineStr"/>
    </row>
    <row r="25" ht="35" customHeight="1"/>
    <row r="26" ht="35" customHeight="1"/>
    <row r="27" ht="35" customHeight="1">
      <c r="B27" s="46" t="inlineStr">
        <is>
          <t>Student's Response &amp; Engagement (Good/Fair/Poor — brief):</t>
        </is>
      </c>
    </row>
    <row r="28" ht="50" customHeight="1">
      <c r="B28" s="45" t="inlineStr"/>
    </row>
    <row r="29" ht="35" customHeight="1"/>
    <row r="30" ht="35" customHeight="1">
      <c r="B30" s="46" t="inlineStr">
        <is>
          <t>Goals / Action Items for Student (before next session):</t>
        </is>
      </c>
    </row>
    <row r="31" ht="50" customHeight="1">
      <c r="B31" s="45" t="inlineStr"/>
    </row>
    <row r="32" ht="35" customHeight="1"/>
    <row r="33" ht="24" customHeight="1">
      <c r="B33" s="43" t="inlineStr">
        <is>
          <t>NEXT STEPS</t>
        </is>
      </c>
    </row>
    <row r="34" ht="28" customHeight="1">
      <c r="B34" s="44" t="inlineStr">
        <is>
          <t>Next session date:</t>
        </is>
      </c>
      <c r="C34" s="7" t="n"/>
    </row>
    <row r="35" ht="28" customHeight="1">
      <c r="B35" s="44" t="inlineStr">
        <is>
          <t>External referral needed?</t>
        </is>
      </c>
      <c r="C35" s="41" t="inlineStr">
        <is>
          <t>[ ] Yes — Refer to: _______   [ ] No</t>
        </is>
      </c>
    </row>
    <row r="36" ht="28" customHeight="1">
      <c r="B36" s="44" t="inlineStr">
        <is>
          <t>Escalation needed?</t>
        </is>
      </c>
      <c r="C36" s="41" t="inlineStr">
        <is>
          <t>[ ] Yes — Notify: _______   [ ] No</t>
        </is>
      </c>
    </row>
    <row r="37" ht="28" customHeight="1">
      <c r="B37" s="44" t="inlineStr">
        <is>
          <t>Case status:</t>
        </is>
      </c>
      <c r="C37" s="41" t="inlineStr">
        <is>
          <t>[ ] Active  [ ] Closed  [ ] Referred  [ ] Lost to follow-up</t>
        </is>
      </c>
    </row>
    <row r="38" ht="35" customHeight="1"/>
    <row r="39" ht="35" customHeight="1">
      <c r="B39" s="31" t="inlineStr">
        <is>
          <t>Counsellor Signature: ___________________    Date: ___________________    Supervisor Review: ___________________    Date: ___________________</t>
        </is>
      </c>
    </row>
  </sheetData>
  <mergeCells count="29">
    <mergeCell ref="B31:E32"/>
    <mergeCell ref="B30:E30"/>
    <mergeCell ref="C9:E9"/>
    <mergeCell ref="B15:E15"/>
    <mergeCell ref="B33:E33"/>
    <mergeCell ref="B24:E26"/>
    <mergeCell ref="B5:E5"/>
    <mergeCell ref="C36:E36"/>
    <mergeCell ref="C11:E11"/>
    <mergeCell ref="B4:E4"/>
    <mergeCell ref="C8:E8"/>
    <mergeCell ref="B16:E16"/>
    <mergeCell ref="B3:E3"/>
    <mergeCell ref="C7:E7"/>
    <mergeCell ref="B28:E29"/>
    <mergeCell ref="B18:E18"/>
    <mergeCell ref="B27:E27"/>
    <mergeCell ref="C37:E37"/>
    <mergeCell ref="B39:E39"/>
    <mergeCell ref="B2:E2"/>
    <mergeCell ref="C34:E34"/>
    <mergeCell ref="B14:E14"/>
    <mergeCell ref="C6:E6"/>
    <mergeCell ref="B17:E17"/>
    <mergeCell ref="B23:E23"/>
    <mergeCell ref="B13:E13"/>
    <mergeCell ref="B15:E22"/>
    <mergeCell ref="C35:E3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9" t="inlineStr">
        <is>
          <t>CMG-04: GROUP COUNSELLING &amp; WORKSHOP REGISTER</t>
        </is>
      </c>
    </row>
    <row r="3" ht="25" customHeight="1">
      <c r="B3" s="2" t="inlineStr">
        <is>
          <t>A.Y.: _______  Counsellor: ___________________</t>
        </is>
      </c>
    </row>
    <row r="4" ht="25" customHeight="1">
      <c r="B4" s="14" t="inlineStr">
        <is>
          <t>Session
Ref.</t>
        </is>
      </c>
      <c r="C4" s="14" t="inlineStr">
        <is>
          <t>Programme Title / Theme</t>
        </is>
      </c>
      <c r="D4" s="14" t="inlineStr">
        <is>
          <t>Type</t>
        </is>
      </c>
      <c r="E4" s="14" t="inlineStr">
        <is>
          <t>Date</t>
        </is>
      </c>
      <c r="F4" s="14" t="inlineStr">
        <is>
          <t>Mode</t>
        </is>
      </c>
      <c r="G4" s="14" t="inlineStr">
        <is>
          <t>Facilitator</t>
        </is>
      </c>
      <c r="H4" s="14" t="inlineStr">
        <is>
          <t>Students
Registered</t>
        </is>
      </c>
      <c r="I4" s="14" t="inlineStr">
        <is>
          <t>Students
Attended</t>
        </is>
      </c>
      <c r="J4" s="14" t="inlineStr">
        <is>
          <t>Feedback
Score (/5)</t>
        </is>
      </c>
    </row>
    <row r="5" ht="22" customHeight="1">
      <c r="B5" s="15" t="inlineStr">
        <is>
          <t>GRP/2024/001</t>
        </is>
      </c>
      <c r="C5" s="16" t="inlineStr"/>
      <c r="D5" s="17" t="inlineStr">
        <is>
          <t>Stress Management Workshop</t>
        </is>
      </c>
      <c r="E5" s="17" t="inlineStr"/>
      <c r="F5" s="17" t="inlineStr">
        <is>
          <t>Physical</t>
        </is>
      </c>
      <c r="G5" s="17" t="inlineStr"/>
      <c r="H5" s="17" t="inlineStr"/>
      <c r="I5" s="17" t="inlineStr"/>
      <c r="J5" s="17" t="inlineStr"/>
    </row>
    <row r="6" ht="22" customHeight="1">
      <c r="B6" s="6" t="inlineStr">
        <is>
          <t>GRP/2024/002</t>
        </is>
      </c>
      <c r="C6" s="7" t="inlineStr"/>
      <c r="D6" s="8" t="inlineStr">
        <is>
          <t>Exam Anxiety Group</t>
        </is>
      </c>
      <c r="E6" s="8" t="inlineStr"/>
      <c r="F6" s="8" t="inlineStr">
        <is>
          <t>Physical</t>
        </is>
      </c>
      <c r="G6" s="8" t="inlineStr"/>
      <c r="H6" s="8" t="inlineStr"/>
      <c r="I6" s="8" t="inlineStr"/>
      <c r="J6" s="8" t="inlineStr"/>
    </row>
    <row r="7" ht="22" customHeight="1">
      <c r="B7" s="15" t="inlineStr">
        <is>
          <t>GRP/2024/003</t>
        </is>
      </c>
      <c r="C7" s="16" t="inlineStr"/>
      <c r="D7" s="17" t="inlineStr">
        <is>
          <t>Social Skills Training</t>
        </is>
      </c>
      <c r="E7" s="17" t="inlineStr"/>
      <c r="F7" s="17" t="inlineStr">
        <is>
          <t>Physical</t>
        </is>
      </c>
      <c r="G7" s="17" t="inlineStr"/>
      <c r="H7" s="17" t="inlineStr"/>
      <c r="I7" s="17" t="inlineStr"/>
      <c r="J7" s="17" t="inlineStr"/>
    </row>
    <row r="8" ht="22" customHeight="1">
      <c r="B8" s="6" t="inlineStr">
        <is>
          <t>GRP/2024/004</t>
        </is>
      </c>
      <c r="C8" s="7" t="inlineStr"/>
      <c r="D8" s="8" t="inlineStr">
        <is>
          <t>Grief &amp; Loss Group</t>
        </is>
      </c>
      <c r="E8" s="8" t="inlineStr"/>
      <c r="F8" s="8" t="inlineStr">
        <is>
          <t>Physical</t>
        </is>
      </c>
      <c r="G8" s="8" t="inlineStr"/>
      <c r="H8" s="8" t="inlineStr"/>
      <c r="I8" s="8" t="inlineStr"/>
      <c r="J8" s="8" t="inlineStr"/>
    </row>
    <row r="9" ht="22" customHeight="1">
      <c r="B9" s="15" t="inlineStr">
        <is>
          <t>GRP/2024/005</t>
        </is>
      </c>
      <c r="C9" s="16" t="inlineStr"/>
      <c r="D9" s="17" t="inlineStr">
        <is>
          <t>Depression Awareness Session</t>
        </is>
      </c>
      <c r="E9" s="17" t="inlineStr"/>
      <c r="F9" s="17" t="inlineStr">
        <is>
          <t>Physical</t>
        </is>
      </c>
      <c r="G9" s="17" t="inlineStr"/>
      <c r="H9" s="17" t="inlineStr"/>
      <c r="I9" s="17" t="inlineStr"/>
      <c r="J9" s="17" t="inlineStr"/>
    </row>
    <row r="10" ht="22" customHeight="1">
      <c r="B10" s="6" t="inlineStr">
        <is>
          <t>GRP/2024/006</t>
        </is>
      </c>
      <c r="C10" s="7" t="inlineStr"/>
      <c r="D10" s="8" t="inlineStr">
        <is>
          <t>Time Management Workshop</t>
        </is>
      </c>
      <c r="E10" s="8" t="inlineStr"/>
      <c r="F10" s="8" t="inlineStr">
        <is>
          <t>Physical</t>
        </is>
      </c>
      <c r="G10" s="8" t="inlineStr"/>
      <c r="H10" s="8" t="inlineStr"/>
      <c r="I10" s="8" t="inlineStr"/>
      <c r="J10" s="8" t="inlineStr"/>
    </row>
    <row r="11" ht="22" customHeight="1">
      <c r="B11" s="15" t="inlineStr">
        <is>
          <t>GRP/2024/007</t>
        </is>
      </c>
      <c r="C11" s="16" t="inlineStr"/>
      <c r="D11" s="17" t="inlineStr">
        <is>
          <t>Relationship &amp; Communication Skills</t>
        </is>
      </c>
      <c r="E11" s="17" t="inlineStr"/>
      <c r="F11" s="17" t="inlineStr">
        <is>
          <t>Physical</t>
        </is>
      </c>
      <c r="G11" s="17" t="inlineStr"/>
      <c r="H11" s="17" t="inlineStr"/>
      <c r="I11" s="17" t="inlineStr"/>
      <c r="J11" s="17" t="inlineStr"/>
    </row>
    <row r="12" ht="22" customHeight="1">
      <c r="B12" s="6" t="inlineStr">
        <is>
          <t>GRP/2024/008</t>
        </is>
      </c>
      <c r="C12" s="7" t="inlineStr"/>
      <c r="D12" s="8" t="inlineStr">
        <is>
          <t>Career Exploration Group</t>
        </is>
      </c>
      <c r="E12" s="8" t="inlineStr"/>
      <c r="F12" s="8" t="inlineStr">
        <is>
          <t>Physical</t>
        </is>
      </c>
      <c r="G12" s="8" t="inlineStr"/>
      <c r="H12" s="8" t="inlineStr"/>
      <c r="I12" s="8" t="inlineStr"/>
      <c r="J12" s="8" t="inlineStr"/>
    </row>
    <row r="13" ht="22" customHeight="1">
      <c r="B13" s="15" t="inlineStr">
        <is>
          <t>GRP/2024/009</t>
        </is>
      </c>
      <c r="C13" s="16" t="inlineStr"/>
      <c r="D13" s="17" t="inlineStr">
        <is>
          <t>Mindfulness &amp; Meditation</t>
        </is>
      </c>
      <c r="E13" s="17" t="inlineStr"/>
      <c r="F13" s="17" t="inlineStr">
        <is>
          <t>Physical</t>
        </is>
      </c>
      <c r="G13" s="17" t="inlineStr"/>
      <c r="H13" s="17" t="inlineStr"/>
      <c r="I13" s="17" t="inlineStr"/>
      <c r="J13" s="17" t="inlineStr"/>
    </row>
    <row r="14" ht="22" customHeight="1">
      <c r="B14" s="6" t="inlineStr">
        <is>
          <t>GRP/2024/010</t>
        </is>
      </c>
      <c r="C14" s="7" t="inlineStr"/>
      <c r="D14" s="8" t="inlineStr">
        <is>
          <t>First-Year Transition Programme</t>
        </is>
      </c>
      <c r="E14" s="8" t="inlineStr"/>
      <c r="F14" s="8" t="inlineStr">
        <is>
          <t>Physical</t>
        </is>
      </c>
      <c r="G14" s="8" t="inlineStr"/>
      <c r="H14" s="8" t="inlineStr"/>
      <c r="I14" s="8" t="inlineStr"/>
      <c r="J14" s="8" t="inlineStr"/>
    </row>
    <row r="15" ht="22" customHeight="1">
      <c r="B15" s="15" t="inlineStr">
        <is>
          <t>GRP/2024/011</t>
        </is>
      </c>
      <c r="C15" s="16" t="inlineStr"/>
      <c r="D15" s="17" t="inlineStr">
        <is>
          <t>Anti-Bullying / Anti-Ragging Awareness</t>
        </is>
      </c>
      <c r="E15" s="17" t="inlineStr"/>
      <c r="F15" s="17" t="inlineStr">
        <is>
          <t>Physical</t>
        </is>
      </c>
      <c r="G15" s="17" t="inlineStr"/>
      <c r="H15" s="17" t="inlineStr"/>
      <c r="I15" s="17" t="inlineStr"/>
      <c r="J15" s="17" t="inlineStr"/>
    </row>
    <row r="16" ht="22" customHeight="1">
      <c r="B16" s="6" t="inlineStr">
        <is>
          <t>GRP/2025/012</t>
        </is>
      </c>
      <c r="C16" s="7" t="inlineStr"/>
      <c r="D16" s="8" t="inlineStr">
        <is>
          <t>Women's Safety Awareness</t>
        </is>
      </c>
      <c r="E16" s="8" t="inlineStr"/>
      <c r="F16" s="8" t="inlineStr">
        <is>
          <t>Physical</t>
        </is>
      </c>
      <c r="G16" s="8" t="inlineStr"/>
      <c r="H16" s="8" t="inlineStr"/>
      <c r="I16" s="8" t="inlineStr"/>
      <c r="J16" s="8" t="inlineStr"/>
    </row>
    <row r="17" ht="22" customHeight="1">
      <c r="B17" s="15" t="inlineStr">
        <is>
          <t>GRP/2025/013</t>
        </is>
      </c>
      <c r="C17" s="16" t="inlineStr"/>
      <c r="D17" s="17" t="inlineStr">
        <is>
          <t>Digital Wellness &amp; Screen Time</t>
        </is>
      </c>
      <c r="E17" s="17" t="inlineStr"/>
      <c r="F17" s="17" t="inlineStr">
        <is>
          <t>Physical</t>
        </is>
      </c>
      <c r="G17" s="17" t="inlineStr"/>
      <c r="H17" s="17" t="inlineStr"/>
      <c r="I17" s="17" t="inlineStr"/>
      <c r="J17" s="17" t="inlineStr"/>
    </row>
    <row r="18" ht="22" customHeight="1">
      <c r="B18" s="6" t="inlineStr">
        <is>
          <t>GRP/2025/014</t>
        </is>
      </c>
      <c r="C18" s="7" t="inlineStr"/>
      <c r="D18" s="8" t="inlineStr">
        <is>
          <t>Substance Abuse Prevention</t>
        </is>
      </c>
      <c r="E18" s="8" t="inlineStr"/>
      <c r="F18" s="8" t="inlineStr">
        <is>
          <t>Physical</t>
        </is>
      </c>
      <c r="G18" s="8" t="inlineStr"/>
      <c r="H18" s="8" t="inlineStr"/>
      <c r="I18" s="8" t="inlineStr"/>
      <c r="J18" s="8" t="inlineStr"/>
    </row>
    <row r="19" ht="22" customHeight="1">
      <c r="B19" s="15" t="inlineStr">
        <is>
          <t>GRP/2025/015</t>
        </is>
      </c>
      <c r="C19" s="16" t="inlineStr"/>
      <c r="D19" s="17" t="inlineStr">
        <is>
          <t>LGBTQIA+ Support Group</t>
        </is>
      </c>
      <c r="E19" s="17" t="inlineStr"/>
      <c r="F19" s="17" t="inlineStr">
        <is>
          <t>Physical</t>
        </is>
      </c>
      <c r="G19" s="17" t="inlineStr"/>
      <c r="H19" s="17" t="inlineStr"/>
      <c r="I19" s="17" t="inlineStr"/>
      <c r="J19" s="17" t="inlineStr"/>
    </row>
    <row r="20" ht="22" customHeight="1">
      <c r="B20" s="6" t="inlineStr">
        <is>
          <t>GRP/2025/016</t>
        </is>
      </c>
      <c r="C20" s="7" t="inlineStr"/>
      <c r="D20" s="8" t="inlineStr">
        <is>
          <t>Peer Support Training</t>
        </is>
      </c>
      <c r="E20" s="8" t="inlineStr"/>
      <c r="F20" s="8" t="inlineStr">
        <is>
          <t>Physical</t>
        </is>
      </c>
      <c r="G20" s="8" t="inlineStr"/>
      <c r="H20" s="8" t="inlineStr"/>
      <c r="I20" s="8" t="inlineStr"/>
      <c r="J20" s="8" t="inlineStr"/>
    </row>
    <row r="21" ht="22" customHeight="1">
      <c r="B21" s="15" t="inlineStr">
        <is>
          <t>GRP/2025/017</t>
        </is>
      </c>
      <c r="C21" s="16" t="inlineStr"/>
      <c r="D21" s="17" t="inlineStr">
        <is>
          <t>Stress Management Workshop</t>
        </is>
      </c>
      <c r="E21" s="17" t="inlineStr"/>
      <c r="F21" s="17" t="inlineStr">
        <is>
          <t>Physical</t>
        </is>
      </c>
      <c r="G21" s="17" t="inlineStr"/>
      <c r="H21" s="17" t="inlineStr"/>
      <c r="I21" s="17" t="inlineStr"/>
      <c r="J21" s="17" t="inlineStr"/>
    </row>
    <row r="22" ht="22" customHeight="1">
      <c r="B22" s="6" t="inlineStr">
        <is>
          <t>GRP/2025/018</t>
        </is>
      </c>
      <c r="C22" s="7" t="inlineStr"/>
      <c r="D22" s="8" t="inlineStr">
        <is>
          <t>Exam Anxiety Group</t>
        </is>
      </c>
      <c r="E22" s="8" t="inlineStr"/>
      <c r="F22" s="8" t="inlineStr">
        <is>
          <t>Physical</t>
        </is>
      </c>
      <c r="G22" s="8" t="inlineStr"/>
      <c r="H22" s="8" t="inlineStr"/>
      <c r="I22" s="8" t="inlineStr"/>
      <c r="J22" s="8" t="inlineStr"/>
    </row>
    <row r="23" ht="22" customHeight="1">
      <c r="B23" s="15" t="inlineStr">
        <is>
          <t>GRP/2025/019</t>
        </is>
      </c>
      <c r="C23" s="16" t="inlineStr"/>
      <c r="D23" s="17" t="inlineStr">
        <is>
          <t>Social Skills Training</t>
        </is>
      </c>
      <c r="E23" s="17" t="inlineStr"/>
      <c r="F23" s="17" t="inlineStr">
        <is>
          <t>Physical</t>
        </is>
      </c>
      <c r="G23" s="17" t="inlineStr"/>
      <c r="H23" s="17" t="inlineStr"/>
      <c r="I23" s="17" t="inlineStr"/>
      <c r="J23" s="17" t="inlineStr"/>
    </row>
    <row r="24" ht="22" customHeight="1">
      <c r="B24" s="6" t="inlineStr">
        <is>
          <t>GRP/2025/020</t>
        </is>
      </c>
      <c r="C24" s="7" t="inlineStr"/>
      <c r="D24" s="8" t="inlineStr">
        <is>
          <t>Grief &amp; Loss Group</t>
        </is>
      </c>
      <c r="E24" s="8" t="inlineStr"/>
      <c r="F24" s="8" t="inlineStr">
        <is>
          <t>Physical</t>
        </is>
      </c>
      <c r="G24" s="8" t="inlineStr"/>
      <c r="H24" s="8" t="inlineStr"/>
      <c r="I24" s="8" t="inlineStr"/>
      <c r="J24" s="8" t="inlineStr"/>
    </row>
    <row r="25" ht="22" customHeight="1">
      <c r="B25" s="15" t="inlineStr">
        <is>
          <t>GRP/2025/021</t>
        </is>
      </c>
      <c r="C25" s="16" t="inlineStr"/>
      <c r="D25" s="17" t="inlineStr">
        <is>
          <t>Depression Awareness Session</t>
        </is>
      </c>
      <c r="E25" s="17" t="inlineStr"/>
      <c r="F25" s="17" t="inlineStr">
        <is>
          <t>Physical</t>
        </is>
      </c>
      <c r="G25" s="17" t="inlineStr"/>
      <c r="H25" s="17" t="inlineStr"/>
      <c r="I25" s="17" t="inlineStr"/>
      <c r="J25" s="17" t="inlineStr"/>
    </row>
    <row r="26" ht="22" customHeight="1">
      <c r="B26" s="6" t="inlineStr">
        <is>
          <t>GRP/2025/022</t>
        </is>
      </c>
      <c r="C26" s="7" t="inlineStr"/>
      <c r="D26" s="8" t="inlineStr">
        <is>
          <t>Time Management Workshop</t>
        </is>
      </c>
      <c r="E26" s="8" t="inlineStr"/>
      <c r="F26" s="8" t="inlineStr">
        <is>
          <t>Physical</t>
        </is>
      </c>
      <c r="G26" s="8" t="inlineStr"/>
      <c r="H26" s="8" t="inlineStr"/>
      <c r="I26" s="8" t="inlineStr"/>
      <c r="J26" s="8" t="inlineStr"/>
    </row>
    <row r="27" ht="22" customHeight="1"/>
    <row r="28" ht="24" customHeight="1">
      <c r="B28" s="36" t="inlineStr">
        <is>
          <t>GROUP SESSION SUMMARY</t>
        </is>
      </c>
    </row>
    <row r="29" ht="22" customHeight="1">
      <c r="B29" s="37" t="inlineStr">
        <is>
          <t>Total Group Sessions / Workshops</t>
        </is>
      </c>
      <c r="F29" s="38">
        <f>COUNTA(B5:B26)</f>
        <v/>
      </c>
    </row>
    <row r="30" ht="22" customHeight="1">
      <c r="B30" s="27" t="inlineStr">
        <is>
          <t>Total Students Reached</t>
        </is>
      </c>
      <c r="F30" s="39" t="inlineStr"/>
    </row>
    <row r="31" ht="22" customHeight="1">
      <c r="B31" s="37" t="inlineStr">
        <is>
          <t>Average Attendance per Session</t>
        </is>
      </c>
      <c r="F31" s="38">
        <f>IFERROR(ROUND(AVERAGE(I5:I26),0),"")</f>
        <v/>
      </c>
    </row>
    <row r="32" ht="22" customHeight="1">
      <c r="B32" s="27" t="inlineStr">
        <is>
          <t>Average Feedback Score (/5)</t>
        </is>
      </c>
      <c r="F32" s="39">
        <f>IFERROR(ROUND(AVERAGE(J5:J26),2),"")</f>
        <v/>
      </c>
    </row>
    <row r="33" ht="22" customHeight="1">
      <c r="B33" s="37" t="inlineStr">
        <is>
          <t>Most Common Theme</t>
        </is>
      </c>
      <c r="F33" s="38" t="inlineStr"/>
    </row>
    <row r="34" ht="22" customHeight="1">
      <c r="B34" s="27" t="inlineStr">
        <is>
          <t>Sessions with Feedback Score &lt; 3</t>
        </is>
      </c>
      <c r="F34" s="39" t="inlineStr"/>
    </row>
    <row r="35" ht="22" customHeight="1"/>
    <row r="36" ht="22" customHeight="1"/>
    <row r="37" ht="22" customHeight="1"/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9" t="inlineStr">
        <is>
          <t>CMG-05: PSYCHOLOGICAL FIRST AID &amp; CRISIS RESPONSE REGISTER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47" t="inlineStr">
        <is>
          <t>RESTRICTED — For authorised CMG and institutional leadership access only. Review by qualified mental health professional mandatory.</t>
        </is>
      </c>
    </row>
    <row r="5" ht="26" customHeight="1">
      <c r="B5" s="48" t="inlineStr">
        <is>
          <t>Incident
Ref.</t>
        </is>
      </c>
      <c r="C5" s="48" t="inlineStr">
        <is>
          <t>Student
(Code / Ref.)</t>
        </is>
      </c>
      <c r="D5" s="48" t="inlineStr">
        <is>
          <t>Type of
Crisis</t>
        </is>
      </c>
      <c r="E5" s="48" t="inlineStr">
        <is>
          <t>Date /
Time</t>
        </is>
      </c>
      <c r="F5" s="48" t="inlineStr">
        <is>
          <t>Initial
Response</t>
        </is>
      </c>
      <c r="G5" s="48" t="inlineStr">
        <is>
          <t>Responder</t>
        </is>
      </c>
      <c r="H5" s="48" t="inlineStr">
        <is>
          <t>Referred
To</t>
        </is>
      </c>
      <c r="I5" s="48" t="inlineStr">
        <is>
          <t>Follow-up
Date</t>
        </is>
      </c>
      <c r="J5" s="48" t="inlineStr">
        <is>
          <t>Current
Status</t>
        </is>
      </c>
    </row>
    <row r="6" ht="26" customHeight="1">
      <c r="B6" s="49" t="inlineStr">
        <is>
          <t>CRS/2024/001</t>
        </is>
      </c>
      <c r="C6" s="50" t="inlineStr"/>
      <c r="D6" s="51" t="inlineStr">
        <is>
          <t>Suicidal ideation (passive)</t>
        </is>
      </c>
      <c r="E6" s="50" t="inlineStr"/>
      <c r="F6" s="51" t="inlineStr"/>
      <c r="G6" s="50" t="inlineStr"/>
      <c r="H6" s="51" t="inlineStr"/>
      <c r="I6" s="50" t="inlineStr"/>
      <c r="J6" s="50" t="inlineStr">
        <is>
          <t>Under monitoring</t>
        </is>
      </c>
    </row>
    <row r="7" ht="26" customHeight="1">
      <c r="B7" s="6" t="inlineStr">
        <is>
          <t>CRS/2024/002</t>
        </is>
      </c>
      <c r="C7" s="8" t="inlineStr"/>
      <c r="D7" s="7" t="inlineStr">
        <is>
          <t>Suicidal ideation (active / plan)</t>
        </is>
      </c>
      <c r="E7" s="8" t="inlineStr"/>
      <c r="F7" s="7" t="inlineStr"/>
      <c r="G7" s="8" t="inlineStr"/>
      <c r="H7" s="7" t="inlineStr"/>
      <c r="I7" s="8" t="inlineStr"/>
      <c r="J7" s="8" t="inlineStr">
        <is>
          <t>Under monitoring</t>
        </is>
      </c>
    </row>
    <row r="8" ht="26" customHeight="1">
      <c r="B8" s="49" t="inlineStr">
        <is>
          <t>CRS/2024/003</t>
        </is>
      </c>
      <c r="C8" s="50" t="inlineStr"/>
      <c r="D8" s="51" t="inlineStr">
        <is>
          <t>Self-harm</t>
        </is>
      </c>
      <c r="E8" s="50" t="inlineStr"/>
      <c r="F8" s="51" t="inlineStr"/>
      <c r="G8" s="50" t="inlineStr"/>
      <c r="H8" s="51" t="inlineStr"/>
      <c r="I8" s="50" t="inlineStr"/>
      <c r="J8" s="50" t="inlineStr">
        <is>
          <t>Under monitoring</t>
        </is>
      </c>
    </row>
    <row r="9" ht="26" customHeight="1">
      <c r="B9" s="6" t="inlineStr">
        <is>
          <t>CRS/2024/004</t>
        </is>
      </c>
      <c r="C9" s="8" t="inlineStr"/>
      <c r="D9" s="7" t="inlineStr">
        <is>
          <t>Acute panic / anxiety attack</t>
        </is>
      </c>
      <c r="E9" s="8" t="inlineStr"/>
      <c r="F9" s="7" t="inlineStr"/>
      <c r="G9" s="8" t="inlineStr"/>
      <c r="H9" s="7" t="inlineStr"/>
      <c r="I9" s="8" t="inlineStr"/>
      <c r="J9" s="8" t="inlineStr">
        <is>
          <t>Under monitoring</t>
        </is>
      </c>
    </row>
    <row r="10" ht="26" customHeight="1">
      <c r="B10" s="49" t="inlineStr">
        <is>
          <t>CRS/2024/005</t>
        </is>
      </c>
      <c r="C10" s="50" t="inlineStr"/>
      <c r="D10" s="51" t="inlineStr">
        <is>
          <t>Psychotic episode</t>
        </is>
      </c>
      <c r="E10" s="50" t="inlineStr"/>
      <c r="F10" s="51" t="inlineStr"/>
      <c r="G10" s="50" t="inlineStr"/>
      <c r="H10" s="51" t="inlineStr"/>
      <c r="I10" s="50" t="inlineStr"/>
      <c r="J10" s="50" t="inlineStr">
        <is>
          <t>Under monitoring</t>
        </is>
      </c>
    </row>
    <row r="11" ht="26" customHeight="1">
      <c r="B11" s="6" t="inlineStr">
        <is>
          <t>CRS/2024/006</t>
        </is>
      </c>
      <c r="C11" s="8" t="inlineStr"/>
      <c r="D11" s="7" t="inlineStr">
        <is>
          <t>Severe depressive episode</t>
        </is>
      </c>
      <c r="E11" s="8" t="inlineStr"/>
      <c r="F11" s="7" t="inlineStr"/>
      <c r="G11" s="8" t="inlineStr"/>
      <c r="H11" s="7" t="inlineStr"/>
      <c r="I11" s="8" t="inlineStr"/>
      <c r="J11" s="8" t="inlineStr">
        <is>
          <t>Under monitoring</t>
        </is>
      </c>
    </row>
    <row r="12" ht="26" customHeight="1">
      <c r="B12" s="49" t="inlineStr">
        <is>
          <t>CRS/2024/007</t>
        </is>
      </c>
      <c r="C12" s="50" t="inlineStr"/>
      <c r="D12" s="51" t="inlineStr">
        <is>
          <t>Substance intoxication / overdose</t>
        </is>
      </c>
      <c r="E12" s="50" t="inlineStr"/>
      <c r="F12" s="51" t="inlineStr"/>
      <c r="G12" s="50" t="inlineStr"/>
      <c r="H12" s="51" t="inlineStr"/>
      <c r="I12" s="50" t="inlineStr"/>
      <c r="J12" s="50" t="inlineStr">
        <is>
          <t>Under monitoring</t>
        </is>
      </c>
    </row>
    <row r="13" ht="26" customHeight="1">
      <c r="B13" s="6" t="inlineStr">
        <is>
          <t>CRS/2024/008</t>
        </is>
      </c>
      <c r="C13" s="8" t="inlineStr"/>
      <c r="D13" s="7" t="inlineStr">
        <is>
          <t>Victim of violence / abuse</t>
        </is>
      </c>
      <c r="E13" s="8" t="inlineStr"/>
      <c r="F13" s="7" t="inlineStr"/>
      <c r="G13" s="8" t="inlineStr"/>
      <c r="H13" s="7" t="inlineStr"/>
      <c r="I13" s="8" t="inlineStr"/>
      <c r="J13" s="8" t="inlineStr">
        <is>
          <t>Under monitoring</t>
        </is>
      </c>
    </row>
    <row r="14" ht="26" customHeight="1">
      <c r="B14" s="49" t="inlineStr">
        <is>
          <t>CRS/2025/009</t>
        </is>
      </c>
      <c r="C14" s="50" t="inlineStr"/>
      <c r="D14" s="51" t="inlineStr">
        <is>
          <t>Aggressive behaviour</t>
        </is>
      </c>
      <c r="E14" s="50" t="inlineStr"/>
      <c r="F14" s="51" t="inlineStr"/>
      <c r="G14" s="50" t="inlineStr"/>
      <c r="H14" s="51" t="inlineStr"/>
      <c r="I14" s="50" t="inlineStr"/>
      <c r="J14" s="50" t="inlineStr">
        <is>
          <t>Under monitoring</t>
        </is>
      </c>
    </row>
    <row r="15" ht="26" customHeight="1">
      <c r="B15" s="6" t="inlineStr">
        <is>
          <t>CRS/2025/010</t>
        </is>
      </c>
      <c r="C15" s="8" t="inlineStr"/>
      <c r="D15" s="7" t="inlineStr">
        <is>
          <t>Prolonged grief / bereavement</t>
        </is>
      </c>
      <c r="E15" s="8" t="inlineStr"/>
      <c r="F15" s="7" t="inlineStr"/>
      <c r="G15" s="8" t="inlineStr"/>
      <c r="H15" s="7" t="inlineStr"/>
      <c r="I15" s="8" t="inlineStr"/>
      <c r="J15" s="8" t="inlineStr">
        <is>
          <t>Under monitoring</t>
        </is>
      </c>
    </row>
    <row r="16" ht="26" customHeight="1">
      <c r="B16" s="49" t="inlineStr">
        <is>
          <t>CRS/2025/011</t>
        </is>
      </c>
      <c r="C16" s="50" t="inlineStr"/>
      <c r="D16" s="51" t="inlineStr">
        <is>
          <t>Eating disorder crisis</t>
        </is>
      </c>
      <c r="E16" s="50" t="inlineStr"/>
      <c r="F16" s="51" t="inlineStr"/>
      <c r="G16" s="50" t="inlineStr"/>
      <c r="H16" s="51" t="inlineStr"/>
      <c r="I16" s="50" t="inlineStr"/>
      <c r="J16" s="50" t="inlineStr">
        <is>
          <t>Under monitoring</t>
        </is>
      </c>
    </row>
    <row r="17" ht="26" customHeight="1">
      <c r="B17" s="6" t="inlineStr">
        <is>
          <t>CRS/2025/012</t>
        </is>
      </c>
      <c r="C17" s="8" t="inlineStr"/>
      <c r="D17" s="7" t="inlineStr">
        <is>
          <t>Other acute mental health crisis</t>
        </is>
      </c>
      <c r="E17" s="8" t="inlineStr"/>
      <c r="F17" s="7" t="inlineStr"/>
      <c r="G17" s="8" t="inlineStr"/>
      <c r="H17" s="7" t="inlineStr"/>
      <c r="I17" s="8" t="inlineStr"/>
      <c r="J17" s="8" t="inlineStr">
        <is>
          <t>Under monitoring</t>
        </is>
      </c>
    </row>
    <row r="18" ht="26" customHeight="1">
      <c r="B18" s="49" t="inlineStr">
        <is>
          <t>CRS/2025/013</t>
        </is>
      </c>
      <c r="C18" s="50" t="inlineStr"/>
      <c r="D18" s="51" t="inlineStr">
        <is>
          <t>Suicidal ideation (passive)</t>
        </is>
      </c>
      <c r="E18" s="50" t="inlineStr"/>
      <c r="F18" s="51" t="inlineStr"/>
      <c r="G18" s="50" t="inlineStr"/>
      <c r="H18" s="51" t="inlineStr"/>
      <c r="I18" s="50" t="inlineStr"/>
      <c r="J18" s="50" t="inlineStr">
        <is>
          <t>Under monitoring</t>
        </is>
      </c>
    </row>
    <row r="19" ht="26" customHeight="1">
      <c r="B19" s="6" t="inlineStr">
        <is>
          <t>CRS/2025/014</t>
        </is>
      </c>
      <c r="C19" s="8" t="inlineStr"/>
      <c r="D19" s="7" t="inlineStr">
        <is>
          <t>Suicidal ideation (active / plan)</t>
        </is>
      </c>
      <c r="E19" s="8" t="inlineStr"/>
      <c r="F19" s="7" t="inlineStr"/>
      <c r="G19" s="8" t="inlineStr"/>
      <c r="H19" s="7" t="inlineStr"/>
      <c r="I19" s="8" t="inlineStr"/>
      <c r="J19" s="8" t="inlineStr">
        <is>
          <t>Under monitoring</t>
        </is>
      </c>
    </row>
    <row r="20" ht="26" customHeight="1">
      <c r="B20" s="49" t="inlineStr">
        <is>
          <t>CRS/2025/015</t>
        </is>
      </c>
      <c r="C20" s="50" t="inlineStr"/>
      <c r="D20" s="51" t="inlineStr">
        <is>
          <t>Self-harm</t>
        </is>
      </c>
      <c r="E20" s="50" t="inlineStr"/>
      <c r="F20" s="51" t="inlineStr"/>
      <c r="G20" s="50" t="inlineStr"/>
      <c r="H20" s="51" t="inlineStr"/>
      <c r="I20" s="50" t="inlineStr"/>
      <c r="J20" s="50" t="inlineStr">
        <is>
          <t>Under monitoring</t>
        </is>
      </c>
    </row>
    <row r="21" ht="26" customHeight="1">
      <c r="B21" s="6" t="inlineStr">
        <is>
          <t>CRS/2025/016</t>
        </is>
      </c>
      <c r="C21" s="8" t="inlineStr"/>
      <c r="D21" s="7" t="inlineStr">
        <is>
          <t>Acute panic / anxiety attack</t>
        </is>
      </c>
      <c r="E21" s="8" t="inlineStr"/>
      <c r="F21" s="7" t="inlineStr"/>
      <c r="G21" s="8" t="inlineStr"/>
      <c r="H21" s="7" t="inlineStr"/>
      <c r="I21" s="8" t="inlineStr"/>
      <c r="J21" s="8" t="inlineStr">
        <is>
          <t>Under monitoring</t>
        </is>
      </c>
    </row>
    <row r="22" ht="26" customHeight="1"/>
    <row r="23" ht="24" customHeight="1">
      <c r="B23" s="52" t="inlineStr">
        <is>
          <t>CRISIS STATISTICS (Anonymised)</t>
        </is>
      </c>
    </row>
    <row r="24" ht="26" customHeight="1">
      <c r="B24" s="53" t="inlineStr">
        <is>
          <t>Total Crisis Incidents This Year</t>
        </is>
      </c>
      <c r="F24" s="38">
        <f>COUNTA(B6:B21)</f>
        <v/>
      </c>
    </row>
    <row r="25" ht="26" customHeight="1">
      <c r="B25" s="27" t="inlineStr">
        <is>
          <t>Hospitalised / Referred to External</t>
        </is>
      </c>
      <c r="F25" s="39" t="inlineStr"/>
    </row>
    <row r="26" ht="26" customHeight="1">
      <c r="B26" s="53" t="inlineStr">
        <is>
          <t>Cases Resolved / Stable</t>
        </is>
      </c>
      <c r="F26" s="38" t="inlineStr"/>
    </row>
    <row r="27" ht="26" customHeight="1">
      <c r="B27" s="27" t="inlineStr">
        <is>
          <t>Cases Ongoing / Under Monitoring</t>
        </is>
      </c>
      <c r="F27" s="39" t="inlineStr"/>
    </row>
    <row r="28" ht="26" customHeight="1">
      <c r="B28" s="53" t="inlineStr">
        <is>
          <t>Average Response Time (minutes)</t>
        </is>
      </c>
      <c r="F28" s="38" t="inlineStr"/>
    </row>
    <row r="29" ht="26" customHeight="1">
      <c r="B29" s="27" t="inlineStr">
        <is>
          <t>Cases with Parent / Guardian Notified</t>
        </is>
      </c>
      <c r="F29" s="39" t="inlineStr"/>
    </row>
    <row r="31" ht="20" customHeight="1">
      <c r="B31" s="18" t="inlineStr">
        <is>
          <t>All crisis incidents must be reviewed by CMG Chairperson within 24 hours. Records reviewed by qualified mental health professional. Maintain for 5 years minimum.</t>
        </is>
      </c>
    </row>
  </sheetData>
  <mergeCells count="17">
    <mergeCell ref="B26:E26"/>
    <mergeCell ref="B27:E27"/>
    <mergeCell ref="B3:J3"/>
    <mergeCell ref="F29:J29"/>
    <mergeCell ref="F24:J24"/>
    <mergeCell ref="B31:J31"/>
    <mergeCell ref="B23:J23"/>
    <mergeCell ref="F25:J25"/>
    <mergeCell ref="B25:E25"/>
    <mergeCell ref="F27:J27"/>
    <mergeCell ref="B24:E24"/>
    <mergeCell ref="B4:J4"/>
    <mergeCell ref="F28:J28"/>
    <mergeCell ref="B29:E29"/>
    <mergeCell ref="B28:E28"/>
    <mergeCell ref="F26:J26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9" t="inlineStr">
        <is>
          <t>CMG-06: EXTERNAL REFERRAL &amp; FOLLOW-UP REGISTER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Referral Ref.: CMG/REF/______   Case Ref.: _______   Date: _______   Referred by: _______</t>
        </is>
      </c>
    </row>
    <row r="5" ht="24" customHeight="1">
      <c r="B5" s="32" t="inlineStr">
        <is>
          <t>Referral
Ref.</t>
        </is>
      </c>
      <c r="C5" s="32" t="inlineStr">
        <is>
          <t>Student
(Code)</t>
        </is>
      </c>
      <c r="D5" s="32" t="inlineStr">
        <is>
          <t>Referral
Reason</t>
        </is>
      </c>
      <c r="E5" s="32" t="inlineStr">
        <is>
          <t>Referred To
(Agency / Doctor)</t>
        </is>
      </c>
      <c r="F5" s="32" t="inlineStr">
        <is>
          <t>Referral
Date</t>
        </is>
      </c>
      <c r="G5" s="32" t="inlineStr">
        <is>
          <t>Consent
Obtained</t>
        </is>
      </c>
      <c r="H5" s="32" t="inlineStr">
        <is>
          <t>Appointment
Date</t>
        </is>
      </c>
      <c r="I5" s="32" t="inlineStr">
        <is>
          <t>Follow-up
Status</t>
        </is>
      </c>
      <c r="J5" s="32" t="inlineStr">
        <is>
          <t>CMG
Action</t>
        </is>
      </c>
    </row>
    <row r="6" ht="24" customHeight="1">
      <c r="B6" s="33" t="inlineStr">
        <is>
          <t>REF/2024/001</t>
        </is>
      </c>
      <c r="C6" s="35" t="inlineStr"/>
      <c r="D6" s="34" t="inlineStr"/>
      <c r="E6" s="34" t="inlineStr">
        <is>
          <t>Psychiatrist (private)</t>
        </is>
      </c>
      <c r="F6" s="35" t="inlineStr"/>
      <c r="G6" s="35" t="inlineStr">
        <is>
          <t>Y</t>
        </is>
      </c>
      <c r="H6" s="35" t="inlineStr"/>
      <c r="I6" s="35" t="inlineStr">
        <is>
          <t>Pending follow-up</t>
        </is>
      </c>
      <c r="J6" s="34" t="inlineStr"/>
    </row>
    <row r="7" ht="24" customHeight="1">
      <c r="B7" s="6" t="inlineStr">
        <is>
          <t>REF/2024/002</t>
        </is>
      </c>
      <c r="C7" s="8" t="inlineStr"/>
      <c r="D7" s="7" t="inlineStr"/>
      <c r="E7" s="7" t="inlineStr">
        <is>
          <t>Psychiatrist (govt. hospital)</t>
        </is>
      </c>
      <c r="F7" s="8" t="inlineStr"/>
      <c r="G7" s="8" t="inlineStr">
        <is>
          <t>Y</t>
        </is>
      </c>
      <c r="H7" s="8" t="inlineStr"/>
      <c r="I7" s="8" t="inlineStr">
        <is>
          <t>Pending follow-up</t>
        </is>
      </c>
      <c r="J7" s="7" t="inlineStr"/>
    </row>
    <row r="8" ht="24" customHeight="1">
      <c r="B8" s="33" t="inlineStr">
        <is>
          <t>REF/2024/003</t>
        </is>
      </c>
      <c r="C8" s="35" t="inlineStr"/>
      <c r="D8" s="34" t="inlineStr"/>
      <c r="E8" s="34" t="inlineStr">
        <is>
          <t>Clinical psychologist</t>
        </is>
      </c>
      <c r="F8" s="35" t="inlineStr"/>
      <c r="G8" s="35" t="inlineStr">
        <is>
          <t>Y</t>
        </is>
      </c>
      <c r="H8" s="35" t="inlineStr"/>
      <c r="I8" s="35" t="inlineStr">
        <is>
          <t>Pending follow-up</t>
        </is>
      </c>
      <c r="J8" s="34" t="inlineStr"/>
    </row>
    <row r="9" ht="24" customHeight="1">
      <c r="B9" s="6" t="inlineStr">
        <is>
          <t>REF/2024/004</t>
        </is>
      </c>
      <c r="C9" s="8" t="inlineStr"/>
      <c r="D9" s="7" t="inlineStr"/>
      <c r="E9" s="7" t="inlineStr">
        <is>
          <t>NIMHANS / Medical college</t>
        </is>
      </c>
      <c r="F9" s="8" t="inlineStr"/>
      <c r="G9" s="8" t="inlineStr">
        <is>
          <t>Y</t>
        </is>
      </c>
      <c r="H9" s="8" t="inlineStr"/>
      <c r="I9" s="8" t="inlineStr">
        <is>
          <t>Pending follow-up</t>
        </is>
      </c>
      <c r="J9" s="7" t="inlineStr"/>
    </row>
    <row r="10" ht="24" customHeight="1">
      <c r="B10" s="33" t="inlineStr">
        <is>
          <t>REF/2024/005</t>
        </is>
      </c>
      <c r="C10" s="35" t="inlineStr"/>
      <c r="D10" s="34" t="inlineStr"/>
      <c r="E10" s="34" t="inlineStr">
        <is>
          <t>NGO mental health support</t>
        </is>
      </c>
      <c r="F10" s="35" t="inlineStr"/>
      <c r="G10" s="35" t="inlineStr">
        <is>
          <t>Y</t>
        </is>
      </c>
      <c r="H10" s="35" t="inlineStr"/>
      <c r="I10" s="35" t="inlineStr">
        <is>
          <t>Pending follow-up</t>
        </is>
      </c>
      <c r="J10" s="34" t="inlineStr"/>
    </row>
    <row r="11" ht="24" customHeight="1">
      <c r="B11" s="6" t="inlineStr">
        <is>
          <t>REF/2024/006</t>
        </is>
      </c>
      <c r="C11" s="8" t="inlineStr"/>
      <c r="D11" s="7" t="inlineStr"/>
      <c r="E11" s="7" t="inlineStr">
        <is>
          <t>De-addiction centre</t>
        </is>
      </c>
      <c r="F11" s="8" t="inlineStr"/>
      <c r="G11" s="8" t="inlineStr">
        <is>
          <t>Y</t>
        </is>
      </c>
      <c r="H11" s="8" t="inlineStr"/>
      <c r="I11" s="8" t="inlineStr">
        <is>
          <t>Pending follow-up</t>
        </is>
      </c>
      <c r="J11" s="7" t="inlineStr"/>
    </row>
    <row r="12" ht="24" customHeight="1">
      <c r="B12" s="33" t="inlineStr">
        <is>
          <t>REF/2024/007</t>
        </is>
      </c>
      <c r="C12" s="35" t="inlineStr"/>
      <c r="D12" s="34" t="inlineStr"/>
      <c r="E12" s="34" t="inlineStr">
        <is>
          <t>Women's support centre</t>
        </is>
      </c>
      <c r="F12" s="35" t="inlineStr"/>
      <c r="G12" s="35" t="inlineStr">
        <is>
          <t>Y</t>
        </is>
      </c>
      <c r="H12" s="35" t="inlineStr"/>
      <c r="I12" s="35" t="inlineStr">
        <is>
          <t>Pending follow-up</t>
        </is>
      </c>
      <c r="J12" s="34" t="inlineStr"/>
    </row>
    <row r="13" ht="24" customHeight="1">
      <c r="B13" s="6" t="inlineStr">
        <is>
          <t>REF/2024/008</t>
        </is>
      </c>
      <c r="C13" s="8" t="inlineStr"/>
      <c r="D13" s="7" t="inlineStr"/>
      <c r="E13" s="7" t="inlineStr">
        <is>
          <t>Domestic violence helpline</t>
        </is>
      </c>
      <c r="F13" s="8" t="inlineStr"/>
      <c r="G13" s="8" t="inlineStr">
        <is>
          <t>Y</t>
        </is>
      </c>
      <c r="H13" s="8" t="inlineStr"/>
      <c r="I13" s="8" t="inlineStr">
        <is>
          <t>Pending follow-up</t>
        </is>
      </c>
      <c r="J13" s="7" t="inlineStr"/>
    </row>
    <row r="14" ht="24" customHeight="1">
      <c r="B14" s="33" t="inlineStr">
        <is>
          <t>REF/2025/009</t>
        </is>
      </c>
      <c r="C14" s="35" t="inlineStr"/>
      <c r="D14" s="34" t="inlineStr"/>
      <c r="E14" s="34" t="inlineStr">
        <is>
          <t>Community mental health centre</t>
        </is>
      </c>
      <c r="F14" s="35" t="inlineStr"/>
      <c r="G14" s="35" t="inlineStr">
        <is>
          <t>Y</t>
        </is>
      </c>
      <c r="H14" s="35" t="inlineStr"/>
      <c r="I14" s="35" t="inlineStr">
        <is>
          <t>Pending follow-up</t>
        </is>
      </c>
      <c r="J14" s="34" t="inlineStr"/>
    </row>
    <row r="15" ht="24" customHeight="1">
      <c r="B15" s="6" t="inlineStr">
        <is>
          <t>REF/2025/010</t>
        </is>
      </c>
      <c r="C15" s="8" t="inlineStr"/>
      <c r="D15" s="7" t="inlineStr"/>
      <c r="E15" s="7" t="inlineStr">
        <is>
          <t>Other specialist</t>
        </is>
      </c>
      <c r="F15" s="8" t="inlineStr"/>
      <c r="G15" s="8" t="inlineStr">
        <is>
          <t>Y</t>
        </is>
      </c>
      <c r="H15" s="8" t="inlineStr"/>
      <c r="I15" s="8" t="inlineStr">
        <is>
          <t>Pending follow-up</t>
        </is>
      </c>
      <c r="J15" s="7" t="inlineStr"/>
    </row>
    <row r="16" ht="24" customHeight="1">
      <c r="B16" s="33" t="inlineStr">
        <is>
          <t>REF/2025/011</t>
        </is>
      </c>
      <c r="C16" s="35" t="inlineStr"/>
      <c r="D16" s="34" t="inlineStr"/>
      <c r="E16" s="34" t="inlineStr">
        <is>
          <t>Psychiatrist (private)</t>
        </is>
      </c>
      <c r="F16" s="35" t="inlineStr"/>
      <c r="G16" s="35" t="inlineStr">
        <is>
          <t>Y</t>
        </is>
      </c>
      <c r="H16" s="35" t="inlineStr"/>
      <c r="I16" s="35" t="inlineStr">
        <is>
          <t>Pending follow-up</t>
        </is>
      </c>
      <c r="J16" s="34" t="inlineStr"/>
    </row>
    <row r="17" ht="24" customHeight="1">
      <c r="B17" s="6" t="inlineStr">
        <is>
          <t>REF/2025/012</t>
        </is>
      </c>
      <c r="C17" s="8" t="inlineStr"/>
      <c r="D17" s="7" t="inlineStr"/>
      <c r="E17" s="7" t="inlineStr">
        <is>
          <t>Psychiatrist (govt. hospital)</t>
        </is>
      </c>
      <c r="F17" s="8" t="inlineStr"/>
      <c r="G17" s="8" t="inlineStr">
        <is>
          <t>Y</t>
        </is>
      </c>
      <c r="H17" s="8" t="inlineStr"/>
      <c r="I17" s="8" t="inlineStr">
        <is>
          <t>Pending follow-up</t>
        </is>
      </c>
      <c r="J17" s="7" t="inlineStr"/>
    </row>
    <row r="18" ht="24" customHeight="1">
      <c r="B18" s="33" t="inlineStr">
        <is>
          <t>REF/2025/013</t>
        </is>
      </c>
      <c r="C18" s="35" t="inlineStr"/>
      <c r="D18" s="34" t="inlineStr"/>
      <c r="E18" s="34" t="inlineStr">
        <is>
          <t>Clinical psychologist</t>
        </is>
      </c>
      <c r="F18" s="35" t="inlineStr"/>
      <c r="G18" s="35" t="inlineStr">
        <is>
          <t>Y</t>
        </is>
      </c>
      <c r="H18" s="35" t="inlineStr"/>
      <c r="I18" s="35" t="inlineStr">
        <is>
          <t>Pending follow-up</t>
        </is>
      </c>
      <c r="J18" s="34" t="inlineStr"/>
    </row>
    <row r="19" ht="24" customHeight="1">
      <c r="B19" s="6" t="inlineStr">
        <is>
          <t>REF/2025/014</t>
        </is>
      </c>
      <c r="C19" s="8" t="inlineStr"/>
      <c r="D19" s="7" t="inlineStr"/>
      <c r="E19" s="7" t="inlineStr">
        <is>
          <t>NIMHANS / Medical college</t>
        </is>
      </c>
      <c r="F19" s="8" t="inlineStr"/>
      <c r="G19" s="8" t="inlineStr">
        <is>
          <t>Y</t>
        </is>
      </c>
      <c r="H19" s="8" t="inlineStr"/>
      <c r="I19" s="8" t="inlineStr">
        <is>
          <t>Pending follow-up</t>
        </is>
      </c>
      <c r="J19" s="7" t="inlineStr"/>
    </row>
    <row r="20" ht="24" customHeight="1">
      <c r="B20" s="33" t="inlineStr">
        <is>
          <t>REF/2025/015</t>
        </is>
      </c>
      <c r="C20" s="35" t="inlineStr"/>
      <c r="D20" s="34" t="inlineStr"/>
      <c r="E20" s="34" t="inlineStr">
        <is>
          <t>NGO mental health support</t>
        </is>
      </c>
      <c r="F20" s="35" t="inlineStr"/>
      <c r="G20" s="35" t="inlineStr">
        <is>
          <t>Y</t>
        </is>
      </c>
      <c r="H20" s="35" t="inlineStr"/>
      <c r="I20" s="35" t="inlineStr">
        <is>
          <t>Pending follow-up</t>
        </is>
      </c>
      <c r="J20" s="34" t="inlineStr"/>
    </row>
    <row r="21" ht="24" customHeight="1">
      <c r="B21" s="6" t="inlineStr">
        <is>
          <t>REF/2025/016</t>
        </is>
      </c>
      <c r="C21" s="8" t="inlineStr"/>
      <c r="D21" s="7" t="inlineStr"/>
      <c r="E21" s="7" t="inlineStr">
        <is>
          <t>De-addiction centre</t>
        </is>
      </c>
      <c r="F21" s="8" t="inlineStr"/>
      <c r="G21" s="8" t="inlineStr">
        <is>
          <t>Y</t>
        </is>
      </c>
      <c r="H21" s="8" t="inlineStr"/>
      <c r="I21" s="8" t="inlineStr">
        <is>
          <t>Pending follow-up</t>
        </is>
      </c>
      <c r="J21" s="7" t="inlineStr"/>
    </row>
    <row r="22" ht="24" customHeight="1"/>
    <row r="23" ht="24" customHeight="1">
      <c r="B23" s="21" t="inlineStr">
        <is>
          <t>REFERRAL NETWORK — REGISTERED EXTERNAL PROVIDERS</t>
        </is>
      </c>
    </row>
    <row r="24" ht="24" customHeight="1">
      <c r="B24" s="14" t="inlineStr">
        <is>
          <t>Provider Name</t>
        </is>
      </c>
      <c r="C24" s="14" t="inlineStr">
        <is>
          <t>Type</t>
        </is>
      </c>
      <c r="D24" s="14" t="inlineStr">
        <is>
          <t>Specialisation</t>
        </is>
      </c>
      <c r="E24" s="14" t="inlineStr">
        <is>
          <t>Contact</t>
        </is>
      </c>
      <c r="F24" s="14" t="inlineStr">
        <is>
          <t>MoU / Agreement</t>
        </is>
      </c>
      <c r="G24" s="14" t="inlineStr">
        <is>
          <t>Cost to Student</t>
        </is>
      </c>
      <c r="H24" s="14" t="inlineStr">
        <is>
          <t>Distance (km)</t>
        </is>
      </c>
      <c r="I24" s="14" t="inlineStr">
        <is>
          <t>Tie-up Since</t>
        </is>
      </c>
      <c r="J24" s="14" t="inlineStr">
        <is>
          <t>Status</t>
        </is>
      </c>
    </row>
    <row r="25" ht="22" customHeight="1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 ht="22" customHeight="1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2" customHeight="1"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</row>
    <row r="28" ht="22" customHeight="1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2" customHeight="1"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</row>
    <row r="30" ht="22" customHeight="1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2" customHeight="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</row>
    <row r="32" ht="22" customHeight="1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</sheetData>
  <mergeCells count="4">
    <mergeCell ref="B23:J23"/>
    <mergeCell ref="B4:J4"/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9" t="inlineStr">
        <is>
          <t>CMG-09: MENTOR–MENTEE ASSIGNMENT REGISTER</t>
        </is>
      </c>
    </row>
    <row r="3" ht="25" customHeight="1">
      <c r="B3" s="2" t="inlineStr">
        <is>
          <t>Semester: _______  A.Y.: _______  CMG Coordinator: ___________________  NAAC Ref.: Criterion V.2</t>
        </is>
      </c>
    </row>
    <row r="4" ht="25" customHeight="1">
      <c r="B4" s="14" t="inlineStr">
        <is>
          <t>Assign.
Ref.</t>
        </is>
      </c>
      <c r="C4" s="14" t="inlineStr">
        <is>
          <t>Faculty Mentor Name</t>
        </is>
      </c>
      <c r="D4" s="14" t="inlineStr">
        <is>
          <t>Dept. /
Designation</t>
        </is>
      </c>
      <c r="E4" s="14" t="inlineStr">
        <is>
          <t>No. of
Mentees</t>
        </is>
      </c>
      <c r="F4" s="14" t="inlineStr">
        <is>
          <t>Batch
/ Year</t>
        </is>
      </c>
      <c r="G4" s="14" t="inlineStr">
        <is>
          <t>Department
of Mentees</t>
        </is>
      </c>
      <c r="H4" s="14" t="inlineStr">
        <is>
          <t>Sessions
Scheduled</t>
        </is>
      </c>
      <c r="I4" s="14" t="inlineStr">
        <is>
          <t>Sessions
Held</t>
        </is>
      </c>
      <c r="J4" s="14" t="inlineStr">
        <is>
          <t>Mentor
Rating (/5)</t>
        </is>
      </c>
    </row>
    <row r="5" ht="22" customHeight="1">
      <c r="B5" s="15" t="inlineStr">
        <is>
          <t>MNTR/001</t>
        </is>
      </c>
      <c r="C5" s="16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</row>
    <row r="6" ht="22" customHeight="1">
      <c r="B6" s="6" t="inlineStr">
        <is>
          <t>MNTR/002</t>
        </is>
      </c>
      <c r="C6" s="7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</row>
    <row r="7" ht="22" customHeight="1">
      <c r="B7" s="15" t="inlineStr">
        <is>
          <t>MNTR/003</t>
        </is>
      </c>
      <c r="C7" s="16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</row>
    <row r="8" ht="22" customHeight="1">
      <c r="B8" s="6" t="inlineStr">
        <is>
          <t>MNTR/004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 ht="22" customHeight="1">
      <c r="B9" s="15" t="inlineStr">
        <is>
          <t>MNTR/005</t>
        </is>
      </c>
      <c r="C9" s="16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</row>
    <row r="10" ht="22" customHeight="1">
      <c r="B10" s="6" t="inlineStr">
        <is>
          <t>MNTR/006</t>
        </is>
      </c>
      <c r="C10" s="7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</row>
    <row r="11" ht="22" customHeight="1">
      <c r="B11" s="15" t="inlineStr">
        <is>
          <t>MNTR/007</t>
        </is>
      </c>
      <c r="C11" s="16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</row>
    <row r="12" ht="22" customHeight="1">
      <c r="B12" s="6" t="inlineStr">
        <is>
          <t>MNTR/008</t>
        </is>
      </c>
      <c r="C12" s="7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 ht="22" customHeight="1">
      <c r="B13" s="15" t="inlineStr">
        <is>
          <t>MNTR/009</t>
        </is>
      </c>
      <c r="C13" s="16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</row>
    <row r="14" ht="22" customHeight="1">
      <c r="B14" s="6" t="inlineStr">
        <is>
          <t>MNTR/010</t>
        </is>
      </c>
      <c r="C14" s="7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 ht="22" customHeight="1">
      <c r="B15" s="15" t="inlineStr">
        <is>
          <t>MNTR/011</t>
        </is>
      </c>
      <c r="C15" s="16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</row>
    <row r="16" ht="22" customHeight="1">
      <c r="B16" s="6" t="inlineStr">
        <is>
          <t>MNTR/012</t>
        </is>
      </c>
      <c r="C16" s="7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 ht="22" customHeight="1">
      <c r="B17" s="15" t="inlineStr">
        <is>
          <t>MNTR/013</t>
        </is>
      </c>
      <c r="C17" s="16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 ht="22" customHeight="1">
      <c r="B18" s="6" t="inlineStr">
        <is>
          <t>MNTR/014</t>
        </is>
      </c>
      <c r="C18" s="7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 ht="22" customHeight="1">
      <c r="B19" s="15" t="inlineStr">
        <is>
          <t>MNTR/015</t>
        </is>
      </c>
      <c r="C19" s="16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 ht="22" customHeight="1">
      <c r="B20" s="6" t="inlineStr">
        <is>
          <t>MNTR/016</t>
        </is>
      </c>
      <c r="C20" s="7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 ht="22" customHeight="1">
      <c r="B21" s="15" t="inlineStr">
        <is>
          <t>MNTR/017</t>
        </is>
      </c>
      <c r="C21" s="16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 ht="22" customHeight="1">
      <c r="B22" s="6" t="inlineStr">
        <is>
          <t>MNTR/018</t>
        </is>
      </c>
      <c r="C22" s="7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 ht="22" customHeight="1">
      <c r="B23" s="15" t="inlineStr">
        <is>
          <t>MNTR/019</t>
        </is>
      </c>
      <c r="C23" s="16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 ht="22" customHeight="1">
      <c r="B24" s="6" t="inlineStr">
        <is>
          <t>MNTR/020</t>
        </is>
      </c>
      <c r="C24" s="7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 ht="22" customHeight="1">
      <c r="B25" s="15" t="inlineStr">
        <is>
          <t>MNTR/021</t>
        </is>
      </c>
      <c r="C25" s="16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 ht="22" customHeight="1">
      <c r="B26" s="6" t="inlineStr">
        <is>
          <t>MNTR/022</t>
        </is>
      </c>
      <c r="C26" s="7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 ht="22" customHeight="1">
      <c r="B27" s="15" t="inlineStr">
        <is>
          <t>MNTR/023</t>
        </is>
      </c>
      <c r="C27" s="16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 ht="22" customHeight="1">
      <c r="B28" s="6" t="inlineStr">
        <is>
          <t>MNTR/024</t>
        </is>
      </c>
      <c r="C28" s="7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 ht="22" customHeight="1">
      <c r="B29" s="15" t="inlineStr">
        <is>
          <t>MNTR/025</t>
        </is>
      </c>
      <c r="C29" s="16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 ht="22" customHeight="1">
      <c r="B30" s="6" t="inlineStr">
        <is>
          <t>MNTR/026</t>
        </is>
      </c>
      <c r="C30" s="7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 ht="22" customHeight="1">
      <c r="B31" s="15" t="inlineStr">
        <is>
          <t>MNTR/027</t>
        </is>
      </c>
      <c r="C31" s="16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 ht="22" customHeight="1">
      <c r="B32" s="6" t="inlineStr">
        <is>
          <t>MNTR/028</t>
        </is>
      </c>
      <c r="C32" s="7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 ht="22" customHeight="1"/>
    <row r="34" ht="24" customHeight="1">
      <c r="B34" s="36" t="inlineStr">
        <is>
          <t>DEPARTMENT-WISE MENTORING COVERAGE SUMMARY</t>
        </is>
      </c>
    </row>
    <row r="35" ht="22" customHeight="1">
      <c r="B35" s="32" t="inlineStr">
        <is>
          <t>Dept.</t>
        </is>
      </c>
      <c r="C35" s="32" t="inlineStr">
        <is>
          <t>Total
Students</t>
        </is>
      </c>
      <c r="D35" s="32" t="inlineStr">
        <is>
          <t>Mentors
Assigned</t>
        </is>
      </c>
      <c r="E35" s="32" t="inlineStr">
        <is>
          <t>Avg Mentees
per Mentor</t>
        </is>
      </c>
      <c r="F35" s="32" t="inlineStr">
        <is>
          <t>Total Sessions
Scheduled</t>
        </is>
      </c>
      <c r="G35" s="32" t="inlineStr">
        <is>
          <t>Total Sessions
Held</t>
        </is>
      </c>
      <c r="H35" s="32" t="inlineStr">
        <is>
          <t>Completion
%</t>
        </is>
      </c>
      <c r="I35" s="32" t="inlineStr">
        <is>
          <t>Students with
0 Sessions</t>
        </is>
      </c>
      <c r="J35" s="32" t="inlineStr">
        <is>
          <t>Action Needed</t>
        </is>
      </c>
    </row>
    <row r="36" ht="22" customHeight="1">
      <c r="B36" s="35" t="inlineStr">
        <is>
          <t>CSE</t>
        </is>
      </c>
      <c r="C36" s="35" t="inlineStr"/>
      <c r="D36" s="35" t="inlineStr"/>
      <c r="E36" s="35">
        <f>IFERROR(ROUND(C36/D36,1),"")</f>
        <v/>
      </c>
      <c r="F36" s="35" t="inlineStr"/>
      <c r="G36" s="35" t="inlineStr"/>
      <c r="H36" s="35">
        <f>IFERROR(ROUND(H36/G36*100,1),"")</f>
        <v/>
      </c>
      <c r="I36" s="35" t="inlineStr"/>
      <c r="J36" s="34" t="inlineStr"/>
    </row>
    <row r="37" ht="22" customHeight="1">
      <c r="B37" s="8" t="inlineStr">
        <is>
          <t>ECE</t>
        </is>
      </c>
      <c r="C37" s="8" t="inlineStr"/>
      <c r="D37" s="8" t="inlineStr"/>
      <c r="E37" s="8">
        <f>IFERROR(ROUND(C37/D37,1),"")</f>
        <v/>
      </c>
      <c r="F37" s="8" t="inlineStr"/>
      <c r="G37" s="8" t="inlineStr"/>
      <c r="H37" s="8">
        <f>IFERROR(ROUND(H37/G37*100,1),"")</f>
        <v/>
      </c>
      <c r="I37" s="8" t="inlineStr"/>
      <c r="J37" s="7" t="inlineStr"/>
    </row>
    <row r="38" ht="22" customHeight="1">
      <c r="B38" s="35" t="inlineStr">
        <is>
          <t>EEE</t>
        </is>
      </c>
      <c r="C38" s="35" t="inlineStr"/>
      <c r="D38" s="35" t="inlineStr"/>
      <c r="E38" s="35">
        <f>IFERROR(ROUND(C38/D38,1),"")</f>
        <v/>
      </c>
      <c r="F38" s="35" t="inlineStr"/>
      <c r="G38" s="35" t="inlineStr"/>
      <c r="H38" s="35">
        <f>IFERROR(ROUND(H38/G38*100,1),"")</f>
        <v/>
      </c>
      <c r="I38" s="35" t="inlineStr"/>
      <c r="J38" s="34" t="inlineStr"/>
    </row>
    <row r="39" ht="22" customHeight="1">
      <c r="B39" s="8" t="inlineStr">
        <is>
          <t>MECH</t>
        </is>
      </c>
      <c r="C39" s="8" t="inlineStr"/>
      <c r="D39" s="8" t="inlineStr"/>
      <c r="E39" s="8">
        <f>IFERROR(ROUND(C39/D39,1),"")</f>
        <v/>
      </c>
      <c r="F39" s="8" t="inlineStr"/>
      <c r="G39" s="8" t="inlineStr"/>
      <c r="H39" s="8">
        <f>IFERROR(ROUND(H39/G39*100,1),"")</f>
        <v/>
      </c>
      <c r="I39" s="8" t="inlineStr"/>
      <c r="J39" s="7" t="inlineStr"/>
    </row>
    <row r="40">
      <c r="B40" s="35" t="inlineStr">
        <is>
          <t>CIVIL</t>
        </is>
      </c>
      <c r="C40" s="35" t="inlineStr"/>
      <c r="D40" s="35" t="inlineStr"/>
      <c r="E40" s="35">
        <f>IFERROR(ROUND(C40/D40,1),"")</f>
        <v/>
      </c>
      <c r="F40" s="35" t="inlineStr"/>
      <c r="G40" s="35" t="inlineStr"/>
      <c r="H40" s="35">
        <f>IFERROR(ROUND(H40/G40*100,1),"")</f>
        <v/>
      </c>
      <c r="I40" s="35" t="inlineStr"/>
      <c r="J40" s="34" t="inlineStr"/>
    </row>
    <row r="41">
      <c r="B41" s="8" t="inlineStr">
        <is>
          <t>S&amp;H</t>
        </is>
      </c>
      <c r="C41" s="8" t="inlineStr"/>
      <c r="D41" s="8" t="inlineStr"/>
      <c r="E41" s="8">
        <f>IFERROR(ROUND(C41/D41,1),"")</f>
        <v/>
      </c>
      <c r="F41" s="8" t="inlineStr"/>
      <c r="G41" s="8" t="inlineStr"/>
      <c r="H41" s="8">
        <f>IFERROR(ROUND(H41/G41*100,1),"")</f>
        <v/>
      </c>
      <c r="I41" s="8" t="inlineStr"/>
      <c r="J41" s="7" t="inlineStr"/>
    </row>
    <row r="42">
      <c r="B42" s="35" t="inlineStr">
        <is>
          <t>MBA</t>
        </is>
      </c>
      <c r="C42" s="35" t="inlineStr"/>
      <c r="D42" s="35" t="inlineStr"/>
      <c r="E42" s="35">
        <f>IFERROR(ROUND(C42/D42,1),"")</f>
        <v/>
      </c>
      <c r="F42" s="35" t="inlineStr"/>
      <c r="G42" s="35" t="inlineStr"/>
      <c r="H42" s="35">
        <f>IFERROR(ROUND(H42/G42*100,1),"")</f>
        <v/>
      </c>
      <c r="I42" s="35" t="inlineStr"/>
      <c r="J42" s="34" t="inlineStr"/>
    </row>
    <row r="43">
      <c r="B43" s="8" t="inlineStr">
        <is>
          <t>MCA</t>
        </is>
      </c>
      <c r="C43" s="8" t="inlineStr"/>
      <c r="D43" s="8" t="inlineStr"/>
      <c r="E43" s="8">
        <f>IFERROR(ROUND(C43/D43,1),"")</f>
        <v/>
      </c>
      <c r="F43" s="8" t="inlineStr"/>
      <c r="G43" s="8" t="inlineStr"/>
      <c r="H43" s="8">
        <f>IFERROR(ROUND(H43/G43*100,1),"")</f>
        <v/>
      </c>
      <c r="I43" s="8" t="inlineStr"/>
      <c r="J43" s="7" t="inlineStr"/>
    </row>
    <row r="44">
      <c r="B44" s="54" t="inlineStr">
        <is>
          <t>INSTITUTION</t>
        </is>
      </c>
      <c r="C44" s="54" t="inlineStr"/>
      <c r="D44" s="54" t="inlineStr"/>
      <c r="E44" s="54">
        <f>IFERROR(ROUND(C44/D44,1),"")</f>
        <v/>
      </c>
      <c r="F44" s="54" t="inlineStr"/>
      <c r="G44" s="54" t="inlineStr"/>
      <c r="H44" s="54">
        <f>IFERROR(ROUND(H44/G44*100,1),"")</f>
        <v/>
      </c>
      <c r="I44" s="54" t="inlineStr"/>
      <c r="J44" s="25" t="inlineStr"/>
    </row>
  </sheetData>
  <mergeCells count="3">
    <mergeCell ref="B34:J34"/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9" t="inlineStr">
        <is>
          <t>CMG-10: MENTORING SESSION LOG</t>
        </is>
      </c>
    </row>
    <row r="3" ht="25" customHeight="1">
      <c r="B3" s="2" t="inlineStr">
        <is>
          <t>Mentor Ref.: _______  Mentor Name: ___________________  Semester: _______  A.Y.: _______</t>
        </is>
      </c>
    </row>
    <row r="4" ht="25" customHeight="1">
      <c r="B4" s="14" t="inlineStr">
        <is>
          <t>Session
No.</t>
        </is>
      </c>
      <c r="C4" s="14" t="inlineStr">
        <is>
          <t>Mentee Name
/ Roll No.</t>
        </is>
      </c>
      <c r="D4" s="14" t="inlineStr">
        <is>
          <t>Date</t>
        </is>
      </c>
      <c r="E4" s="14" t="inlineStr">
        <is>
          <t>Duration
(Min)</t>
        </is>
      </c>
      <c r="F4" s="14" t="inlineStr">
        <is>
          <t>Mode</t>
        </is>
      </c>
      <c r="G4" s="14" t="inlineStr">
        <is>
          <t>Issues / Topics
Discussed</t>
        </is>
      </c>
      <c r="H4" s="14" t="inlineStr">
        <is>
          <t>Advice /
Action Given</t>
        </is>
      </c>
      <c r="I4" s="14" t="inlineStr">
        <is>
          <t>Follow-up
Required</t>
        </is>
      </c>
      <c r="J4" s="14" t="inlineStr">
        <is>
          <t>Mentee
Rating (/5)</t>
        </is>
      </c>
    </row>
    <row r="5" ht="24" customHeight="1">
      <c r="B5" s="15" t="n">
        <v>1</v>
      </c>
      <c r="C5" s="16" t="inlineStr"/>
      <c r="D5" s="17" t="inlineStr"/>
      <c r="E5" s="17" t="inlineStr"/>
      <c r="F5" s="17" t="inlineStr">
        <is>
          <t>In-person</t>
        </is>
      </c>
      <c r="G5" s="16" t="inlineStr">
        <is>
          <t>Academic performance</t>
        </is>
      </c>
      <c r="H5" s="16" t="inlineStr"/>
      <c r="I5" s="17" t="inlineStr">
        <is>
          <t>Y</t>
        </is>
      </c>
      <c r="J5" s="17" t="inlineStr"/>
    </row>
    <row r="6" ht="24" customHeight="1">
      <c r="B6" s="6" t="n">
        <v>2</v>
      </c>
      <c r="C6" s="7" t="inlineStr"/>
      <c r="D6" s="8" t="inlineStr"/>
      <c r="E6" s="8" t="inlineStr"/>
      <c r="F6" s="8" t="inlineStr">
        <is>
          <t>In-person</t>
        </is>
      </c>
      <c r="G6" s="7" t="inlineStr">
        <is>
          <t>Attendance issues</t>
        </is>
      </c>
      <c r="H6" s="7" t="inlineStr"/>
      <c r="I6" s="8" t="inlineStr">
        <is>
          <t>Y</t>
        </is>
      </c>
      <c r="J6" s="8" t="inlineStr"/>
    </row>
    <row r="7" ht="24" customHeight="1">
      <c r="B7" s="15" t="n">
        <v>3</v>
      </c>
      <c r="C7" s="16" t="inlineStr"/>
      <c r="D7" s="17" t="inlineStr"/>
      <c r="E7" s="17" t="inlineStr"/>
      <c r="F7" s="17" t="inlineStr">
        <is>
          <t>In-person</t>
        </is>
      </c>
      <c r="G7" s="16" t="inlineStr">
        <is>
          <t>Course difficulty</t>
        </is>
      </c>
      <c r="H7" s="16" t="inlineStr"/>
      <c r="I7" s="17" t="inlineStr">
        <is>
          <t>Y</t>
        </is>
      </c>
      <c r="J7" s="17" t="inlineStr"/>
    </row>
    <row r="8" ht="24" customHeight="1">
      <c r="B8" s="6" t="n">
        <v>4</v>
      </c>
      <c r="C8" s="7" t="inlineStr"/>
      <c r="D8" s="8" t="inlineStr"/>
      <c r="E8" s="8" t="inlineStr"/>
      <c r="F8" s="8" t="inlineStr">
        <is>
          <t>In-person</t>
        </is>
      </c>
      <c r="G8" s="7" t="inlineStr">
        <is>
          <t>Exam preparation</t>
        </is>
      </c>
      <c r="H8" s="7" t="inlineStr"/>
      <c r="I8" s="8" t="inlineStr">
        <is>
          <t>Y</t>
        </is>
      </c>
      <c r="J8" s="8" t="inlineStr"/>
    </row>
    <row r="9" ht="24" customHeight="1">
      <c r="B9" s="15" t="n">
        <v>5</v>
      </c>
      <c r="C9" s="16" t="inlineStr"/>
      <c r="D9" s="17" t="inlineStr"/>
      <c r="E9" s="17" t="inlineStr"/>
      <c r="F9" s="17" t="inlineStr">
        <is>
          <t>In-person</t>
        </is>
      </c>
      <c r="G9" s="16" t="inlineStr">
        <is>
          <t>Career planning</t>
        </is>
      </c>
      <c r="H9" s="16" t="inlineStr"/>
      <c r="I9" s="17" t="inlineStr">
        <is>
          <t>Y</t>
        </is>
      </c>
      <c r="J9" s="17" t="inlineStr"/>
    </row>
    <row r="10" ht="24" customHeight="1">
      <c r="B10" s="6" t="n">
        <v>6</v>
      </c>
      <c r="C10" s="7" t="inlineStr"/>
      <c r="D10" s="8" t="inlineStr"/>
      <c r="E10" s="8" t="inlineStr"/>
      <c r="F10" s="8" t="inlineStr">
        <is>
          <t>In-person</t>
        </is>
      </c>
      <c r="G10" s="7" t="inlineStr">
        <is>
          <t>Higher studies guidance</t>
        </is>
      </c>
      <c r="H10" s="7" t="inlineStr"/>
      <c r="I10" s="8" t="inlineStr">
        <is>
          <t>Y</t>
        </is>
      </c>
      <c r="J10" s="8" t="inlineStr"/>
    </row>
    <row r="11" ht="24" customHeight="1">
      <c r="B11" s="15" t="n">
        <v>7</v>
      </c>
      <c r="C11" s="16" t="inlineStr"/>
      <c r="D11" s="17" t="inlineStr"/>
      <c r="E11" s="17" t="inlineStr"/>
      <c r="F11" s="17" t="inlineStr">
        <is>
          <t>In-person</t>
        </is>
      </c>
      <c r="G11" s="16" t="inlineStr">
        <is>
          <t>Internship / placement</t>
        </is>
      </c>
      <c r="H11" s="16" t="inlineStr"/>
      <c r="I11" s="17" t="inlineStr">
        <is>
          <t>Y</t>
        </is>
      </c>
      <c r="J11" s="17" t="inlineStr"/>
    </row>
    <row r="12" ht="24" customHeight="1">
      <c r="B12" s="6" t="n">
        <v>8</v>
      </c>
      <c r="C12" s="7" t="inlineStr"/>
      <c r="D12" s="8" t="inlineStr"/>
      <c r="E12" s="8" t="inlineStr"/>
      <c r="F12" s="8" t="inlineStr">
        <is>
          <t>In-person</t>
        </is>
      </c>
      <c r="G12" s="7" t="inlineStr">
        <is>
          <t>Personal issues (non-counselling)</t>
        </is>
      </c>
      <c r="H12" s="7" t="inlineStr"/>
      <c r="I12" s="8" t="inlineStr">
        <is>
          <t>Y</t>
        </is>
      </c>
      <c r="J12" s="8" t="inlineStr"/>
    </row>
    <row r="13" ht="24" customHeight="1">
      <c r="B13" s="15" t="n">
        <v>9</v>
      </c>
      <c r="C13" s="16" t="inlineStr"/>
      <c r="D13" s="17" t="inlineStr"/>
      <c r="E13" s="17" t="inlineStr"/>
      <c r="F13" s="17" t="inlineStr">
        <is>
          <t>In-person</t>
        </is>
      </c>
      <c r="G13" s="16" t="inlineStr">
        <is>
          <t>Family issues</t>
        </is>
      </c>
      <c r="H13" s="16" t="inlineStr"/>
      <c r="I13" s="17" t="inlineStr">
        <is>
          <t>Y</t>
        </is>
      </c>
      <c r="J13" s="17" t="inlineStr"/>
    </row>
    <row r="14" ht="24" customHeight="1">
      <c r="B14" s="6" t="n">
        <v>10</v>
      </c>
      <c r="C14" s="7" t="inlineStr"/>
      <c r="D14" s="8" t="inlineStr"/>
      <c r="E14" s="8" t="inlineStr"/>
      <c r="F14" s="8" t="inlineStr">
        <is>
          <t>In-person</t>
        </is>
      </c>
      <c r="G14" s="7" t="inlineStr">
        <is>
          <t>Financial difficulties</t>
        </is>
      </c>
      <c r="H14" s="7" t="inlineStr"/>
      <c r="I14" s="8" t="inlineStr">
        <is>
          <t>Y</t>
        </is>
      </c>
      <c r="J14" s="8" t="inlineStr"/>
    </row>
    <row r="15" ht="24" customHeight="1">
      <c r="B15" s="15" t="n">
        <v>11</v>
      </c>
      <c r="C15" s="16" t="inlineStr"/>
      <c r="D15" s="17" t="inlineStr"/>
      <c r="E15" s="17" t="inlineStr"/>
      <c r="F15" s="17" t="inlineStr">
        <is>
          <t>In-person</t>
        </is>
      </c>
      <c r="G15" s="16" t="inlineStr">
        <is>
          <t>Social adjustment</t>
        </is>
      </c>
      <c r="H15" s="16" t="inlineStr"/>
      <c r="I15" s="17" t="inlineStr">
        <is>
          <t>Y</t>
        </is>
      </c>
      <c r="J15" s="17" t="inlineStr"/>
    </row>
    <row r="16" ht="24" customHeight="1">
      <c r="B16" s="6" t="n">
        <v>12</v>
      </c>
      <c r="C16" s="7" t="inlineStr"/>
      <c r="D16" s="8" t="inlineStr"/>
      <c r="E16" s="8" t="inlineStr"/>
      <c r="F16" s="8" t="inlineStr">
        <is>
          <t>In-person</t>
        </is>
      </c>
      <c r="G16" s="7" t="inlineStr">
        <is>
          <t>Mental health referral needed</t>
        </is>
      </c>
      <c r="H16" s="7" t="inlineStr"/>
      <c r="I16" s="8" t="inlineStr">
        <is>
          <t>Y</t>
        </is>
      </c>
      <c r="J16" s="8" t="inlineStr"/>
    </row>
    <row r="17" ht="24" customHeight="1">
      <c r="B17" s="15" t="n">
        <v>13</v>
      </c>
      <c r="C17" s="16" t="inlineStr"/>
      <c r="D17" s="17" t="inlineStr"/>
      <c r="E17" s="17" t="inlineStr"/>
      <c r="F17" s="17" t="inlineStr">
        <is>
          <t>In-person</t>
        </is>
      </c>
      <c r="G17" s="16" t="inlineStr">
        <is>
          <t>Goal setting</t>
        </is>
      </c>
      <c r="H17" s="16" t="inlineStr"/>
      <c r="I17" s="17" t="inlineStr">
        <is>
          <t>Y</t>
        </is>
      </c>
      <c r="J17" s="17" t="inlineStr"/>
    </row>
    <row r="18" ht="24" customHeight="1">
      <c r="B18" s="6" t="n">
        <v>14</v>
      </c>
      <c r="C18" s="7" t="inlineStr"/>
      <c r="D18" s="8" t="inlineStr"/>
      <c r="E18" s="8" t="inlineStr"/>
      <c r="F18" s="8" t="inlineStr">
        <is>
          <t>In-person</t>
        </is>
      </c>
      <c r="G18" s="7" t="inlineStr">
        <is>
          <t>Time management</t>
        </is>
      </c>
      <c r="H18" s="7" t="inlineStr"/>
      <c r="I18" s="8" t="inlineStr">
        <is>
          <t>Y</t>
        </is>
      </c>
      <c r="J18" s="8" t="inlineStr"/>
    </row>
    <row r="19" ht="24" customHeight="1">
      <c r="B19" s="15" t="n">
        <v>15</v>
      </c>
      <c r="C19" s="16" t="inlineStr"/>
      <c r="D19" s="17" t="inlineStr"/>
      <c r="E19" s="17" t="inlineStr"/>
      <c r="F19" s="17" t="inlineStr">
        <is>
          <t>In-person</t>
        </is>
      </c>
      <c r="G19" s="16" t="inlineStr">
        <is>
          <t>Other</t>
        </is>
      </c>
      <c r="H19" s="16" t="inlineStr"/>
      <c r="I19" s="17" t="inlineStr">
        <is>
          <t>Y</t>
        </is>
      </c>
      <c r="J19" s="17" t="inlineStr"/>
    </row>
    <row r="20" ht="24" customHeight="1">
      <c r="B20" s="6" t="n">
        <v>16</v>
      </c>
      <c r="C20" s="7" t="inlineStr"/>
      <c r="D20" s="8" t="inlineStr"/>
      <c r="E20" s="8" t="inlineStr"/>
      <c r="F20" s="8" t="inlineStr">
        <is>
          <t>In-person</t>
        </is>
      </c>
      <c r="G20" s="7" t="inlineStr">
        <is>
          <t>Academic performance</t>
        </is>
      </c>
      <c r="H20" s="7" t="inlineStr"/>
      <c r="I20" s="8" t="inlineStr">
        <is>
          <t>Y</t>
        </is>
      </c>
      <c r="J20" s="8" t="inlineStr"/>
    </row>
    <row r="21" ht="24" customHeight="1">
      <c r="B21" s="15" t="n">
        <v>17</v>
      </c>
      <c r="C21" s="16" t="inlineStr"/>
      <c r="D21" s="17" t="inlineStr"/>
      <c r="E21" s="17" t="inlineStr"/>
      <c r="F21" s="17" t="inlineStr">
        <is>
          <t>In-person</t>
        </is>
      </c>
      <c r="G21" s="16" t="inlineStr">
        <is>
          <t>Attendance issues</t>
        </is>
      </c>
      <c r="H21" s="16" t="inlineStr"/>
      <c r="I21" s="17" t="inlineStr">
        <is>
          <t>Y</t>
        </is>
      </c>
      <c r="J21" s="17" t="inlineStr"/>
    </row>
    <row r="22" ht="24" customHeight="1">
      <c r="B22" s="6" t="n">
        <v>18</v>
      </c>
      <c r="C22" s="7" t="inlineStr"/>
      <c r="D22" s="8" t="inlineStr"/>
      <c r="E22" s="8" t="inlineStr"/>
      <c r="F22" s="8" t="inlineStr">
        <is>
          <t>In-person</t>
        </is>
      </c>
      <c r="G22" s="7" t="inlineStr">
        <is>
          <t>Course difficulty</t>
        </is>
      </c>
      <c r="H22" s="7" t="inlineStr"/>
      <c r="I22" s="8" t="inlineStr">
        <is>
          <t>Y</t>
        </is>
      </c>
      <c r="J22" s="8" t="inlineStr"/>
    </row>
    <row r="23" ht="24" customHeight="1">
      <c r="B23" s="15" t="n">
        <v>19</v>
      </c>
      <c r="C23" s="16" t="inlineStr"/>
      <c r="D23" s="17" t="inlineStr"/>
      <c r="E23" s="17" t="inlineStr"/>
      <c r="F23" s="17" t="inlineStr">
        <is>
          <t>In-person</t>
        </is>
      </c>
      <c r="G23" s="16" t="inlineStr">
        <is>
          <t>Exam preparation</t>
        </is>
      </c>
      <c r="H23" s="16" t="inlineStr"/>
      <c r="I23" s="17" t="inlineStr">
        <is>
          <t>Y</t>
        </is>
      </c>
      <c r="J23" s="17" t="inlineStr"/>
    </row>
    <row r="24" ht="24" customHeight="1">
      <c r="B24" s="6" t="n">
        <v>20</v>
      </c>
      <c r="C24" s="7" t="inlineStr"/>
      <c r="D24" s="8" t="inlineStr"/>
      <c r="E24" s="8" t="inlineStr"/>
      <c r="F24" s="8" t="inlineStr">
        <is>
          <t>In-person</t>
        </is>
      </c>
      <c r="G24" s="7" t="inlineStr">
        <is>
          <t>Career planning</t>
        </is>
      </c>
      <c r="H24" s="7" t="inlineStr"/>
      <c r="I24" s="8" t="inlineStr">
        <is>
          <t>Y</t>
        </is>
      </c>
      <c r="J24" s="8" t="inlineStr"/>
    </row>
    <row r="25" ht="24" customHeight="1">
      <c r="B25" s="15" t="n">
        <v>21</v>
      </c>
      <c r="C25" s="16" t="inlineStr"/>
      <c r="D25" s="17" t="inlineStr"/>
      <c r="E25" s="17" t="inlineStr"/>
      <c r="F25" s="17" t="inlineStr">
        <is>
          <t>In-person</t>
        </is>
      </c>
      <c r="G25" s="16" t="inlineStr">
        <is>
          <t>Higher studies guidance</t>
        </is>
      </c>
      <c r="H25" s="16" t="inlineStr"/>
      <c r="I25" s="17" t="inlineStr">
        <is>
          <t>Y</t>
        </is>
      </c>
      <c r="J25" s="17" t="inlineStr"/>
    </row>
    <row r="26" ht="24" customHeight="1">
      <c r="B26" s="6" t="n">
        <v>22</v>
      </c>
      <c r="C26" s="7" t="inlineStr"/>
      <c r="D26" s="8" t="inlineStr"/>
      <c r="E26" s="8" t="inlineStr"/>
      <c r="F26" s="8" t="inlineStr">
        <is>
          <t>In-person</t>
        </is>
      </c>
      <c r="G26" s="7" t="inlineStr">
        <is>
          <t>Internship / placement</t>
        </is>
      </c>
      <c r="H26" s="7" t="inlineStr"/>
      <c r="I26" s="8" t="inlineStr">
        <is>
          <t>Y</t>
        </is>
      </c>
      <c r="J26" s="8" t="inlineStr"/>
    </row>
    <row r="27" ht="24" customHeight="1">
      <c r="B27" s="15" t="n">
        <v>23</v>
      </c>
      <c r="C27" s="16" t="inlineStr"/>
      <c r="D27" s="17" t="inlineStr"/>
      <c r="E27" s="17" t="inlineStr"/>
      <c r="F27" s="17" t="inlineStr">
        <is>
          <t>In-person</t>
        </is>
      </c>
      <c r="G27" s="16" t="inlineStr">
        <is>
          <t>Personal issues (non-counselling)</t>
        </is>
      </c>
      <c r="H27" s="16" t="inlineStr"/>
      <c r="I27" s="17" t="inlineStr">
        <is>
          <t>Y</t>
        </is>
      </c>
      <c r="J27" s="17" t="inlineStr"/>
    </row>
    <row r="28" ht="24" customHeight="1">
      <c r="B28" s="6" t="n">
        <v>24</v>
      </c>
      <c r="C28" s="7" t="inlineStr"/>
      <c r="D28" s="8" t="inlineStr"/>
      <c r="E28" s="8" t="inlineStr"/>
      <c r="F28" s="8" t="inlineStr">
        <is>
          <t>In-person</t>
        </is>
      </c>
      <c r="G28" s="7" t="inlineStr">
        <is>
          <t>Family issues</t>
        </is>
      </c>
      <c r="H28" s="7" t="inlineStr"/>
      <c r="I28" s="8" t="inlineStr">
        <is>
          <t>Y</t>
        </is>
      </c>
      <c r="J28" s="8" t="inlineStr"/>
    </row>
    <row r="29" ht="24" customHeight="1"/>
    <row r="30" ht="24" customHeight="1">
      <c r="B30" s="36" t="inlineStr">
        <is>
          <t>MONTHLY SESSION SUMMARY</t>
        </is>
      </c>
    </row>
    <row r="31" ht="24" customHeight="1">
      <c r="B31" s="32" t="inlineStr">
        <is>
          <t>Month</t>
        </is>
      </c>
      <c r="C31" s="32" t="inlineStr">
        <is>
          <t>Sessions
Planned</t>
        </is>
      </c>
      <c r="D31" s="32" t="inlineStr">
        <is>
          <t>Sessions
Held</t>
        </is>
      </c>
      <c r="E31" s="32" t="inlineStr">
        <is>
          <t>Completion
%</t>
        </is>
      </c>
      <c r="F31" s="32" t="inlineStr">
        <is>
          <t>Unique
Mentees</t>
        </is>
      </c>
      <c r="G31" s="32" t="inlineStr">
        <is>
          <t>Issues
Flagged</t>
        </is>
      </c>
      <c r="H31" s="32" t="inlineStr">
        <is>
          <t>Referrals
to Counsellor</t>
        </is>
      </c>
    </row>
    <row r="32" ht="24" customHeight="1">
      <c r="B32" s="33" t="inlineStr">
        <is>
          <t>June</t>
        </is>
      </c>
      <c r="C32" s="35" t="inlineStr"/>
      <c r="D32" s="35" t="inlineStr"/>
      <c r="E32" s="35">
        <f>IFERROR(ROUND(D32/C32*100,1),"")</f>
        <v/>
      </c>
      <c r="F32" s="35" t="inlineStr"/>
      <c r="G32" s="35" t="inlineStr"/>
      <c r="H32" s="35" t="inlineStr"/>
      <c r="I32" s="55" t="n"/>
      <c r="J32" s="55" t="n"/>
    </row>
    <row r="33" ht="24" customHeight="1">
      <c r="B33" s="6" t="inlineStr">
        <is>
          <t>July</t>
        </is>
      </c>
      <c r="C33" s="8" t="inlineStr"/>
      <c r="D33" s="8" t="inlineStr"/>
      <c r="E33" s="8">
        <f>IFERROR(ROUND(D33/C33*100,1),"")</f>
        <v/>
      </c>
      <c r="F33" s="8" t="inlineStr"/>
      <c r="G33" s="8" t="inlineStr"/>
      <c r="H33" s="8" t="inlineStr"/>
      <c r="I33" s="56" t="n"/>
      <c r="J33" s="56" t="n"/>
    </row>
    <row r="34" ht="24" customHeight="1">
      <c r="B34" s="33" t="inlineStr">
        <is>
          <t>August</t>
        </is>
      </c>
      <c r="C34" s="35" t="inlineStr"/>
      <c r="D34" s="35" t="inlineStr"/>
      <c r="E34" s="35">
        <f>IFERROR(ROUND(D34/C34*100,1),"")</f>
        <v/>
      </c>
      <c r="F34" s="35" t="inlineStr"/>
      <c r="G34" s="35" t="inlineStr"/>
      <c r="H34" s="35" t="inlineStr"/>
      <c r="I34" s="55" t="n"/>
      <c r="J34" s="55" t="n"/>
    </row>
    <row r="35" ht="24" customHeight="1">
      <c r="B35" s="6" t="inlineStr">
        <is>
          <t>September</t>
        </is>
      </c>
      <c r="C35" s="8" t="inlineStr"/>
      <c r="D35" s="8" t="inlineStr"/>
      <c r="E35" s="8">
        <f>IFERROR(ROUND(D35/C35*100,1),"")</f>
        <v/>
      </c>
      <c r="F35" s="8" t="inlineStr"/>
      <c r="G35" s="8" t="inlineStr"/>
      <c r="H35" s="8" t="inlineStr"/>
      <c r="I35" s="56" t="n"/>
      <c r="J35" s="56" t="n"/>
    </row>
    <row r="36" ht="24" customHeight="1">
      <c r="B36" s="33" t="inlineStr">
        <is>
          <t>October</t>
        </is>
      </c>
      <c r="C36" s="35" t="inlineStr"/>
      <c r="D36" s="35" t="inlineStr"/>
      <c r="E36" s="35">
        <f>IFERROR(ROUND(D36/C36*100,1),"")</f>
        <v/>
      </c>
      <c r="F36" s="35" t="inlineStr"/>
      <c r="G36" s="35" t="inlineStr"/>
      <c r="H36" s="35" t="inlineStr"/>
      <c r="I36" s="55" t="n"/>
      <c r="J36" s="55" t="n"/>
    </row>
    <row r="37" ht="24" customHeight="1">
      <c r="B37" s="6" t="inlineStr">
        <is>
          <t>November</t>
        </is>
      </c>
      <c r="C37" s="8" t="inlineStr"/>
      <c r="D37" s="8" t="inlineStr"/>
      <c r="E37" s="8">
        <f>IFERROR(ROUND(D37/C37*100,1),"")</f>
        <v/>
      </c>
      <c r="F37" s="8" t="inlineStr"/>
      <c r="G37" s="8" t="inlineStr"/>
      <c r="H37" s="8" t="inlineStr"/>
      <c r="I37" s="56" t="n"/>
      <c r="J37" s="56" t="n"/>
    </row>
    <row r="38" ht="24" customHeight="1">
      <c r="B38" s="33" t="inlineStr">
        <is>
          <t>December</t>
        </is>
      </c>
      <c r="C38" s="35" t="inlineStr"/>
      <c r="D38" s="35" t="inlineStr"/>
      <c r="E38" s="35">
        <f>IFERROR(ROUND(D38/C38*100,1),"")</f>
        <v/>
      </c>
      <c r="F38" s="35" t="inlineStr"/>
      <c r="G38" s="35" t="inlineStr"/>
      <c r="H38" s="35" t="inlineStr"/>
      <c r="I38" s="55" t="n"/>
      <c r="J38" s="55" t="n"/>
    </row>
    <row r="39" ht="24" customHeight="1">
      <c r="B39" s="6" t="inlineStr">
        <is>
          <t>January</t>
        </is>
      </c>
      <c r="C39" s="8" t="inlineStr"/>
      <c r="D39" s="8" t="inlineStr"/>
      <c r="E39" s="8">
        <f>IFERROR(ROUND(D39/C39*100,1),"")</f>
        <v/>
      </c>
      <c r="F39" s="8" t="inlineStr"/>
      <c r="G39" s="8" t="inlineStr"/>
      <c r="H39" s="8" t="inlineStr"/>
      <c r="I39" s="56" t="n"/>
      <c r="J39" s="56" t="n"/>
    </row>
    <row r="40">
      <c r="B40" s="33" t="inlineStr">
        <is>
          <t>February</t>
        </is>
      </c>
      <c r="C40" s="35" t="inlineStr"/>
      <c r="D40" s="35" t="inlineStr"/>
      <c r="E40" s="35">
        <f>IFERROR(ROUND(D40/C40*100,1),"")</f>
        <v/>
      </c>
      <c r="F40" s="35" t="inlineStr"/>
      <c r="G40" s="35" t="inlineStr"/>
      <c r="H40" s="35" t="inlineStr"/>
      <c r="I40" s="55" t="n"/>
      <c r="J40" s="55" t="n"/>
    </row>
    <row r="41">
      <c r="B41" s="6" t="inlineStr">
        <is>
          <t>March</t>
        </is>
      </c>
      <c r="C41" s="8" t="inlineStr"/>
      <c r="D41" s="8" t="inlineStr"/>
      <c r="E41" s="8">
        <f>IFERROR(ROUND(D41/C41*100,1),"")</f>
        <v/>
      </c>
      <c r="F41" s="8" t="inlineStr"/>
      <c r="G41" s="8" t="inlineStr"/>
      <c r="H41" s="8" t="inlineStr"/>
      <c r="I41" s="56" t="n"/>
      <c r="J41" s="56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" customWidth="1" min="13" max="13"/>
  </cols>
  <sheetData>
    <row r="1" ht="10" customHeight="1"/>
    <row r="2" ht="48" customHeight="1">
      <c r="B2" s="19" t="inlineStr">
        <is>
          <t>CMG-11: STUDENT ACADEMIC &amp; PERSONAL PROGRESS TRACKER</t>
        </is>
      </c>
    </row>
    <row r="3" ht="25" customHeight="1">
      <c r="B3" s="2" t="inlineStr">
        <is>
          <t>Mentor Ref.: _______  Department: ___________________  Semester: _______  A.Y.: _______</t>
        </is>
      </c>
    </row>
    <row r="4" ht="30" customHeight="1">
      <c r="B4" s="14" t="inlineStr">
        <is>
          <t>Roll No.</t>
        </is>
      </c>
      <c r="C4" s="14" t="inlineStr">
        <is>
          <t>Student Name</t>
        </is>
      </c>
      <c r="D4" s="14" t="inlineStr">
        <is>
          <t>Sem 1
CGPA</t>
        </is>
      </c>
      <c r="E4" s="14" t="inlineStr">
        <is>
          <t>Sem 2
CGPA</t>
        </is>
      </c>
      <c r="F4" s="14" t="inlineStr">
        <is>
          <t>Current
CGPA</t>
        </is>
      </c>
      <c r="G4" s="14" t="inlineStr">
        <is>
          <t>Attend.
%</t>
        </is>
      </c>
      <c r="H4" s="14" t="inlineStr">
        <is>
          <t>Backlogs</t>
        </is>
      </c>
      <c r="I4" s="14" t="inlineStr">
        <is>
          <t>Financial
Difficulty</t>
        </is>
      </c>
      <c r="J4" s="14" t="inlineStr">
        <is>
          <t>Counselling
Referral</t>
        </is>
      </c>
      <c r="K4" s="14" t="inlineStr">
        <is>
          <t>Mentor
Notes</t>
        </is>
      </c>
      <c r="L4" s="14" t="inlineStr">
        <is>
          <t>Status</t>
        </is>
      </c>
    </row>
    <row r="5" ht="22" customHeight="1">
      <c r="B5" s="15" t="inlineStr">
        <is>
          <t>ROLL/0001</t>
        </is>
      </c>
      <c r="C5" s="16" t="inlineStr"/>
      <c r="D5" s="17" t="inlineStr"/>
      <c r="E5" s="17" t="inlineStr"/>
      <c r="F5" s="17" t="inlineStr"/>
      <c r="G5" s="17" t="inlineStr"/>
      <c r="H5" s="17" t="inlineStr"/>
      <c r="I5" s="17" t="inlineStr">
        <is>
          <t>N</t>
        </is>
      </c>
      <c r="J5" s="17" t="inlineStr">
        <is>
          <t>N</t>
        </is>
      </c>
      <c r="K5" s="16" t="inlineStr"/>
      <c r="L5" s="17" t="inlineStr">
        <is>
          <t>Green — On Track</t>
        </is>
      </c>
    </row>
    <row r="6" ht="22" customHeight="1">
      <c r="B6" s="6" t="inlineStr">
        <is>
          <t>ROLL/0002</t>
        </is>
      </c>
      <c r="C6" s="7" t="inlineStr"/>
      <c r="D6" s="8" t="inlineStr"/>
      <c r="E6" s="8" t="inlineStr"/>
      <c r="F6" s="8" t="inlineStr"/>
      <c r="G6" s="8" t="inlineStr"/>
      <c r="H6" s="8" t="inlineStr"/>
      <c r="I6" s="8" t="inlineStr">
        <is>
          <t>N</t>
        </is>
      </c>
      <c r="J6" s="8" t="inlineStr">
        <is>
          <t>N</t>
        </is>
      </c>
      <c r="K6" s="7" t="inlineStr"/>
      <c r="L6" s="8" t="inlineStr">
        <is>
          <t>Yellow — Needs Attention</t>
        </is>
      </c>
    </row>
    <row r="7" ht="22" customHeight="1">
      <c r="B7" s="15" t="inlineStr">
        <is>
          <t>ROLL/0003</t>
        </is>
      </c>
      <c r="C7" s="16" t="inlineStr"/>
      <c r="D7" s="17" t="inlineStr"/>
      <c r="E7" s="17" t="inlineStr"/>
      <c r="F7" s="17" t="inlineStr"/>
      <c r="G7" s="17" t="inlineStr"/>
      <c r="H7" s="17" t="inlineStr"/>
      <c r="I7" s="17" t="inlineStr">
        <is>
          <t>N</t>
        </is>
      </c>
      <c r="J7" s="17" t="inlineStr">
        <is>
          <t>N</t>
        </is>
      </c>
      <c r="K7" s="16" t="inlineStr"/>
      <c r="L7" s="17" t="inlineStr">
        <is>
          <t>Orange — At Risk</t>
        </is>
      </c>
    </row>
    <row r="8" ht="22" customHeight="1">
      <c r="B8" s="6" t="inlineStr">
        <is>
          <t>ROLL/0004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>
        <is>
          <t>N</t>
        </is>
      </c>
      <c r="J8" s="8" t="inlineStr">
        <is>
          <t>N</t>
        </is>
      </c>
      <c r="K8" s="7" t="inlineStr"/>
      <c r="L8" s="8" t="inlineStr">
        <is>
          <t>Red — Urgent Support</t>
        </is>
      </c>
    </row>
    <row r="9" ht="22" customHeight="1">
      <c r="B9" s="15" t="inlineStr">
        <is>
          <t>ROLL/0005</t>
        </is>
      </c>
      <c r="C9" s="16" t="inlineStr"/>
      <c r="D9" s="17" t="inlineStr"/>
      <c r="E9" s="17" t="inlineStr"/>
      <c r="F9" s="17" t="inlineStr"/>
      <c r="G9" s="17" t="inlineStr"/>
      <c r="H9" s="17" t="inlineStr"/>
      <c r="I9" s="17" t="inlineStr">
        <is>
          <t>N</t>
        </is>
      </c>
      <c r="J9" s="17" t="inlineStr">
        <is>
          <t>N</t>
        </is>
      </c>
      <c r="K9" s="16" t="inlineStr"/>
      <c r="L9" s="17" t="inlineStr">
        <is>
          <t>Green — On Track</t>
        </is>
      </c>
    </row>
    <row r="10" ht="22" customHeight="1">
      <c r="B10" s="6" t="inlineStr">
        <is>
          <t>ROLL/0006</t>
        </is>
      </c>
      <c r="C10" s="7" t="inlineStr"/>
      <c r="D10" s="8" t="inlineStr"/>
      <c r="E10" s="8" t="inlineStr"/>
      <c r="F10" s="8" t="inlineStr"/>
      <c r="G10" s="8" t="inlineStr"/>
      <c r="H10" s="8" t="inlineStr"/>
      <c r="I10" s="8" t="inlineStr">
        <is>
          <t>N</t>
        </is>
      </c>
      <c r="J10" s="8" t="inlineStr">
        <is>
          <t>N</t>
        </is>
      </c>
      <c r="K10" s="7" t="inlineStr"/>
      <c r="L10" s="8" t="inlineStr">
        <is>
          <t>Yellow — Needs Attention</t>
        </is>
      </c>
    </row>
    <row r="11" ht="22" customHeight="1">
      <c r="B11" s="15" t="inlineStr">
        <is>
          <t>ROLL/0007</t>
        </is>
      </c>
      <c r="C11" s="16" t="inlineStr"/>
      <c r="D11" s="17" t="inlineStr"/>
      <c r="E11" s="17" t="inlineStr"/>
      <c r="F11" s="17" t="inlineStr"/>
      <c r="G11" s="17" t="inlineStr"/>
      <c r="H11" s="17" t="inlineStr"/>
      <c r="I11" s="17" t="inlineStr">
        <is>
          <t>N</t>
        </is>
      </c>
      <c r="J11" s="17" t="inlineStr">
        <is>
          <t>N</t>
        </is>
      </c>
      <c r="K11" s="16" t="inlineStr"/>
      <c r="L11" s="17" t="inlineStr">
        <is>
          <t>Orange — At Risk</t>
        </is>
      </c>
    </row>
    <row r="12" ht="22" customHeight="1">
      <c r="B12" s="6" t="inlineStr">
        <is>
          <t>ROLL/0008</t>
        </is>
      </c>
      <c r="C12" s="7" t="inlineStr"/>
      <c r="D12" s="8" t="inlineStr"/>
      <c r="E12" s="8" t="inlineStr"/>
      <c r="F12" s="8" t="inlineStr"/>
      <c r="G12" s="8" t="inlineStr"/>
      <c r="H12" s="8" t="inlineStr"/>
      <c r="I12" s="8" t="inlineStr">
        <is>
          <t>N</t>
        </is>
      </c>
      <c r="J12" s="8" t="inlineStr">
        <is>
          <t>N</t>
        </is>
      </c>
      <c r="K12" s="7" t="inlineStr"/>
      <c r="L12" s="8" t="inlineStr">
        <is>
          <t>Red — Urgent Support</t>
        </is>
      </c>
    </row>
    <row r="13" ht="22" customHeight="1">
      <c r="B13" s="15" t="inlineStr">
        <is>
          <t>ROLL/0009</t>
        </is>
      </c>
      <c r="C13" s="16" t="inlineStr"/>
      <c r="D13" s="17" t="inlineStr"/>
      <c r="E13" s="17" t="inlineStr"/>
      <c r="F13" s="17" t="inlineStr"/>
      <c r="G13" s="17" t="inlineStr"/>
      <c r="H13" s="17" t="inlineStr"/>
      <c r="I13" s="17" t="inlineStr">
        <is>
          <t>N</t>
        </is>
      </c>
      <c r="J13" s="17" t="inlineStr">
        <is>
          <t>N</t>
        </is>
      </c>
      <c r="K13" s="16" t="inlineStr"/>
      <c r="L13" s="17" t="inlineStr">
        <is>
          <t>Green — On Track</t>
        </is>
      </c>
    </row>
    <row r="14" ht="22" customHeight="1">
      <c r="B14" s="6" t="inlineStr">
        <is>
          <t>ROLL/0010</t>
        </is>
      </c>
      <c r="C14" s="7" t="inlineStr"/>
      <c r="D14" s="8" t="inlineStr"/>
      <c r="E14" s="8" t="inlineStr"/>
      <c r="F14" s="8" t="inlineStr"/>
      <c r="G14" s="8" t="inlineStr"/>
      <c r="H14" s="8" t="inlineStr"/>
      <c r="I14" s="8" t="inlineStr">
        <is>
          <t>N</t>
        </is>
      </c>
      <c r="J14" s="8" t="inlineStr">
        <is>
          <t>N</t>
        </is>
      </c>
      <c r="K14" s="7" t="inlineStr"/>
      <c r="L14" s="8" t="inlineStr">
        <is>
          <t>Yellow — Needs Attention</t>
        </is>
      </c>
    </row>
    <row r="15" ht="22" customHeight="1">
      <c r="B15" s="15" t="inlineStr">
        <is>
          <t>ROLL/0011</t>
        </is>
      </c>
      <c r="C15" s="16" t="inlineStr"/>
      <c r="D15" s="17" t="inlineStr"/>
      <c r="E15" s="17" t="inlineStr"/>
      <c r="F15" s="17" t="inlineStr"/>
      <c r="G15" s="17" t="inlineStr"/>
      <c r="H15" s="17" t="inlineStr"/>
      <c r="I15" s="17" t="inlineStr">
        <is>
          <t>N</t>
        </is>
      </c>
      <c r="J15" s="17" t="inlineStr">
        <is>
          <t>N</t>
        </is>
      </c>
      <c r="K15" s="16" t="inlineStr"/>
      <c r="L15" s="17" t="inlineStr">
        <is>
          <t>Orange — At Risk</t>
        </is>
      </c>
    </row>
    <row r="16" ht="22" customHeight="1">
      <c r="B16" s="6" t="inlineStr">
        <is>
          <t>ROLL/0012</t>
        </is>
      </c>
      <c r="C16" s="7" t="inlineStr"/>
      <c r="D16" s="8" t="inlineStr"/>
      <c r="E16" s="8" t="inlineStr"/>
      <c r="F16" s="8" t="inlineStr"/>
      <c r="G16" s="8" t="inlineStr"/>
      <c r="H16" s="8" t="inlineStr"/>
      <c r="I16" s="8" t="inlineStr">
        <is>
          <t>N</t>
        </is>
      </c>
      <c r="J16" s="8" t="inlineStr">
        <is>
          <t>N</t>
        </is>
      </c>
      <c r="K16" s="7" t="inlineStr"/>
      <c r="L16" s="8" t="inlineStr">
        <is>
          <t>Red — Urgent Support</t>
        </is>
      </c>
    </row>
    <row r="17" ht="22" customHeight="1">
      <c r="B17" s="15" t="inlineStr">
        <is>
          <t>ROLL/0013</t>
        </is>
      </c>
      <c r="C17" s="16" t="inlineStr"/>
      <c r="D17" s="17" t="inlineStr"/>
      <c r="E17" s="17" t="inlineStr"/>
      <c r="F17" s="17" t="inlineStr"/>
      <c r="G17" s="17" t="inlineStr"/>
      <c r="H17" s="17" t="inlineStr"/>
      <c r="I17" s="17" t="inlineStr">
        <is>
          <t>N</t>
        </is>
      </c>
      <c r="J17" s="17" t="inlineStr">
        <is>
          <t>N</t>
        </is>
      </c>
      <c r="K17" s="16" t="inlineStr"/>
      <c r="L17" s="17" t="inlineStr">
        <is>
          <t>Green — On Track</t>
        </is>
      </c>
    </row>
    <row r="18" ht="22" customHeight="1">
      <c r="B18" s="6" t="inlineStr">
        <is>
          <t>ROLL/0014</t>
        </is>
      </c>
      <c r="C18" s="7" t="inlineStr"/>
      <c r="D18" s="8" t="inlineStr"/>
      <c r="E18" s="8" t="inlineStr"/>
      <c r="F18" s="8" t="inlineStr"/>
      <c r="G18" s="8" t="inlineStr"/>
      <c r="H18" s="8" t="inlineStr"/>
      <c r="I18" s="8" t="inlineStr">
        <is>
          <t>N</t>
        </is>
      </c>
      <c r="J18" s="8" t="inlineStr">
        <is>
          <t>N</t>
        </is>
      </c>
      <c r="K18" s="7" t="inlineStr"/>
      <c r="L18" s="8" t="inlineStr">
        <is>
          <t>Yellow — Needs Attention</t>
        </is>
      </c>
    </row>
    <row r="19" ht="22" customHeight="1">
      <c r="B19" s="15" t="inlineStr">
        <is>
          <t>ROLL/0015</t>
        </is>
      </c>
      <c r="C19" s="16" t="inlineStr"/>
      <c r="D19" s="17" t="inlineStr"/>
      <c r="E19" s="17" t="inlineStr"/>
      <c r="F19" s="17" t="inlineStr"/>
      <c r="G19" s="17" t="inlineStr"/>
      <c r="H19" s="17" t="inlineStr"/>
      <c r="I19" s="17" t="inlineStr">
        <is>
          <t>N</t>
        </is>
      </c>
      <c r="J19" s="17" t="inlineStr">
        <is>
          <t>N</t>
        </is>
      </c>
      <c r="K19" s="16" t="inlineStr"/>
      <c r="L19" s="17" t="inlineStr">
        <is>
          <t>Orange — At Risk</t>
        </is>
      </c>
    </row>
    <row r="20" ht="22" customHeight="1">
      <c r="B20" s="6" t="inlineStr">
        <is>
          <t>ROLL/0016</t>
        </is>
      </c>
      <c r="C20" s="7" t="inlineStr"/>
      <c r="D20" s="8" t="inlineStr"/>
      <c r="E20" s="8" t="inlineStr"/>
      <c r="F20" s="8" t="inlineStr"/>
      <c r="G20" s="8" t="inlineStr"/>
      <c r="H20" s="8" t="inlineStr"/>
      <c r="I20" s="8" t="inlineStr">
        <is>
          <t>N</t>
        </is>
      </c>
      <c r="J20" s="8" t="inlineStr">
        <is>
          <t>N</t>
        </is>
      </c>
      <c r="K20" s="7" t="inlineStr"/>
      <c r="L20" s="8" t="inlineStr">
        <is>
          <t>Red — Urgent Support</t>
        </is>
      </c>
    </row>
    <row r="21" ht="22" customHeight="1">
      <c r="B21" s="15" t="inlineStr">
        <is>
          <t>ROLL/0017</t>
        </is>
      </c>
      <c r="C21" s="16" t="inlineStr"/>
      <c r="D21" s="17" t="inlineStr"/>
      <c r="E21" s="17" t="inlineStr"/>
      <c r="F21" s="17" t="inlineStr"/>
      <c r="G21" s="17" t="inlineStr"/>
      <c r="H21" s="17" t="inlineStr"/>
      <c r="I21" s="17" t="inlineStr">
        <is>
          <t>N</t>
        </is>
      </c>
      <c r="J21" s="17" t="inlineStr">
        <is>
          <t>N</t>
        </is>
      </c>
      <c r="K21" s="16" t="inlineStr"/>
      <c r="L21" s="17" t="inlineStr">
        <is>
          <t>Green — On Track</t>
        </is>
      </c>
    </row>
    <row r="22" ht="22" customHeight="1">
      <c r="B22" s="6" t="inlineStr">
        <is>
          <t>ROLL/0018</t>
        </is>
      </c>
      <c r="C22" s="7" t="inlineStr"/>
      <c r="D22" s="8" t="inlineStr"/>
      <c r="E22" s="8" t="inlineStr"/>
      <c r="F22" s="8" t="inlineStr"/>
      <c r="G22" s="8" t="inlineStr"/>
      <c r="H22" s="8" t="inlineStr"/>
      <c r="I22" s="8" t="inlineStr">
        <is>
          <t>N</t>
        </is>
      </c>
      <c r="J22" s="8" t="inlineStr">
        <is>
          <t>N</t>
        </is>
      </c>
      <c r="K22" s="7" t="inlineStr"/>
      <c r="L22" s="8" t="inlineStr">
        <is>
          <t>Yellow — Needs Attention</t>
        </is>
      </c>
    </row>
    <row r="23" ht="22" customHeight="1">
      <c r="B23" s="15" t="inlineStr">
        <is>
          <t>ROLL/0019</t>
        </is>
      </c>
      <c r="C23" s="16" t="inlineStr"/>
      <c r="D23" s="17" t="inlineStr"/>
      <c r="E23" s="17" t="inlineStr"/>
      <c r="F23" s="17" t="inlineStr"/>
      <c r="G23" s="17" t="inlineStr"/>
      <c r="H23" s="17" t="inlineStr"/>
      <c r="I23" s="17" t="inlineStr">
        <is>
          <t>N</t>
        </is>
      </c>
      <c r="J23" s="17" t="inlineStr">
        <is>
          <t>N</t>
        </is>
      </c>
      <c r="K23" s="16" t="inlineStr"/>
      <c r="L23" s="17" t="inlineStr">
        <is>
          <t>Orange — At Risk</t>
        </is>
      </c>
    </row>
    <row r="24" ht="22" customHeight="1">
      <c r="B24" s="6" t="inlineStr">
        <is>
          <t>ROLL/0020</t>
        </is>
      </c>
      <c r="C24" s="7" t="inlineStr"/>
      <c r="D24" s="8" t="inlineStr"/>
      <c r="E24" s="8" t="inlineStr"/>
      <c r="F24" s="8" t="inlineStr"/>
      <c r="G24" s="8" t="inlineStr"/>
      <c r="H24" s="8" t="inlineStr"/>
      <c r="I24" s="8" t="inlineStr">
        <is>
          <t>N</t>
        </is>
      </c>
      <c r="J24" s="8" t="inlineStr">
        <is>
          <t>N</t>
        </is>
      </c>
      <c r="K24" s="7" t="inlineStr"/>
      <c r="L24" s="8" t="inlineStr">
        <is>
          <t>Red — Urgent Support</t>
        </is>
      </c>
    </row>
    <row r="25" ht="22" customHeight="1">
      <c r="B25" s="15" t="inlineStr">
        <is>
          <t>ROLL/0021</t>
        </is>
      </c>
      <c r="C25" s="16" t="inlineStr"/>
      <c r="D25" s="17" t="inlineStr"/>
      <c r="E25" s="17" t="inlineStr"/>
      <c r="F25" s="17" t="inlineStr"/>
      <c r="G25" s="17" t="inlineStr"/>
      <c r="H25" s="17" t="inlineStr"/>
      <c r="I25" s="17" t="inlineStr">
        <is>
          <t>N</t>
        </is>
      </c>
      <c r="J25" s="17" t="inlineStr">
        <is>
          <t>N</t>
        </is>
      </c>
      <c r="K25" s="16" t="inlineStr"/>
      <c r="L25" s="17" t="inlineStr">
        <is>
          <t>Green — On Track</t>
        </is>
      </c>
    </row>
    <row r="26" ht="22" customHeight="1">
      <c r="B26" s="6" t="inlineStr">
        <is>
          <t>ROLL/0022</t>
        </is>
      </c>
      <c r="C26" s="7" t="inlineStr"/>
      <c r="D26" s="8" t="inlineStr"/>
      <c r="E26" s="8" t="inlineStr"/>
      <c r="F26" s="8" t="inlineStr"/>
      <c r="G26" s="8" t="inlineStr"/>
      <c r="H26" s="8" t="inlineStr"/>
      <c r="I26" s="8" t="inlineStr">
        <is>
          <t>N</t>
        </is>
      </c>
      <c r="J26" s="8" t="inlineStr">
        <is>
          <t>N</t>
        </is>
      </c>
      <c r="K26" s="7" t="inlineStr"/>
      <c r="L26" s="8" t="inlineStr">
        <is>
          <t>Yellow — Needs Attention</t>
        </is>
      </c>
    </row>
    <row r="27" ht="22" customHeight="1">
      <c r="B27" s="15" t="inlineStr">
        <is>
          <t>ROLL/0023</t>
        </is>
      </c>
      <c r="C27" s="16" t="inlineStr"/>
      <c r="D27" s="17" t="inlineStr"/>
      <c r="E27" s="17" t="inlineStr"/>
      <c r="F27" s="17" t="inlineStr"/>
      <c r="G27" s="17" t="inlineStr"/>
      <c r="H27" s="17" t="inlineStr"/>
      <c r="I27" s="17" t="inlineStr">
        <is>
          <t>N</t>
        </is>
      </c>
      <c r="J27" s="17" t="inlineStr">
        <is>
          <t>N</t>
        </is>
      </c>
      <c r="K27" s="16" t="inlineStr"/>
      <c r="L27" s="17" t="inlineStr">
        <is>
          <t>Orange — At Risk</t>
        </is>
      </c>
    </row>
    <row r="28" ht="22" customHeight="1">
      <c r="B28" s="6" t="inlineStr">
        <is>
          <t>ROLL/0024</t>
        </is>
      </c>
      <c r="C28" s="7" t="inlineStr"/>
      <c r="D28" s="8" t="inlineStr"/>
      <c r="E28" s="8" t="inlineStr"/>
      <c r="F28" s="8" t="inlineStr"/>
      <c r="G28" s="8" t="inlineStr"/>
      <c r="H28" s="8" t="inlineStr"/>
      <c r="I28" s="8" t="inlineStr">
        <is>
          <t>N</t>
        </is>
      </c>
      <c r="J28" s="8" t="inlineStr">
        <is>
          <t>N</t>
        </is>
      </c>
      <c r="K28" s="7" t="inlineStr"/>
      <c r="L28" s="8" t="inlineStr">
        <is>
          <t>Red — Urgent Support</t>
        </is>
      </c>
    </row>
    <row r="29" ht="22" customHeight="1"/>
    <row r="30" ht="24" customHeight="1">
      <c r="B30" s="36" t="inlineStr">
        <is>
          <t>CLASS STATUS SUMMARY</t>
        </is>
      </c>
    </row>
    <row r="31" ht="22" customHeight="1">
      <c r="B31" s="32" t="inlineStr">
        <is>
          <t>Status</t>
        </is>
      </c>
      <c r="C31" s="32" t="inlineStr">
        <is>
          <t>Count</t>
        </is>
      </c>
      <c r="D31" s="32" t="inlineStr">
        <is>
          <t>% of Class</t>
        </is>
      </c>
      <c r="E31" s="32" t="inlineStr">
        <is>
          <t>Avg CGPA</t>
        </is>
      </c>
      <c r="F31" s="32" t="inlineStr">
        <is>
          <t>Avg Attendance</t>
        </is>
      </c>
      <c r="G31" s="32" t="inlineStr">
        <is>
          <t>Action Required</t>
        </is>
      </c>
    </row>
    <row r="32" ht="22" customHeight="1">
      <c r="B32" s="57" t="inlineStr">
        <is>
          <t>Green — On Track</t>
        </is>
      </c>
      <c r="C32" s="58">
        <f>COUNTIF(L5:L28,"Green — On Track")</f>
        <v/>
      </c>
      <c r="D32" s="59">
        <f>IFERROR(ROUND(C32/COUNTA(L5:L28)*100,1),"")</f>
        <v/>
      </c>
      <c r="E32" s="59" t="n"/>
      <c r="F32" s="59" t="n"/>
      <c r="G32" s="59" t="n"/>
      <c r="H32" s="60" t="n"/>
      <c r="I32" s="60" t="n"/>
      <c r="J32" s="60" t="n"/>
      <c r="K32" s="60" t="n"/>
      <c r="L32" s="60" t="n"/>
    </row>
    <row r="33" ht="22" customHeight="1">
      <c r="B33" s="25" t="inlineStr">
        <is>
          <t>Yellow — Needs Attention</t>
        </is>
      </c>
      <c r="C33" s="54">
        <f>COUNTIF(L5:L28,"Yellow — Needs Attention")</f>
        <v/>
      </c>
      <c r="D33" s="24">
        <f>IFERROR(ROUND(C33/COUNTA(L5:L28)*100,1),"")</f>
        <v/>
      </c>
      <c r="E33" s="24" t="n"/>
      <c r="F33" s="24" t="n"/>
      <c r="G33" s="24" t="n"/>
      <c r="H33" s="61" t="n"/>
      <c r="I33" s="61" t="n"/>
      <c r="J33" s="61" t="n"/>
      <c r="K33" s="61" t="n"/>
      <c r="L33" s="61" t="n"/>
    </row>
    <row r="34" ht="22" customHeight="1">
      <c r="B34" s="25" t="inlineStr">
        <is>
          <t>Orange — At Risk</t>
        </is>
      </c>
      <c r="C34" s="54">
        <f>COUNTIF(L5:L28,"Orange — At Risk")</f>
        <v/>
      </c>
      <c r="D34" s="24">
        <f>IFERROR(ROUND(C34/COUNTA(L5:L28)*100,1),"")</f>
        <v/>
      </c>
      <c r="E34" s="24" t="n"/>
      <c r="F34" s="24" t="n"/>
      <c r="G34" s="24" t="n"/>
      <c r="H34" s="61" t="n"/>
      <c r="I34" s="61" t="n"/>
      <c r="J34" s="61" t="n"/>
      <c r="K34" s="61" t="n"/>
      <c r="L34" s="61" t="n"/>
    </row>
    <row r="35" ht="22" customHeight="1">
      <c r="B35" s="53" t="inlineStr">
        <is>
          <t>Red — Urgent Support</t>
        </is>
      </c>
      <c r="C35" s="49">
        <f>COUNTIF(L5:L28,"Red — Urgent Support")</f>
        <v/>
      </c>
      <c r="D35" s="50">
        <f>IFERROR(ROUND(C35/COUNTA(L5:L28)*100,1),"")</f>
        <v/>
      </c>
      <c r="E35" s="50" t="n"/>
      <c r="F35" s="50" t="n"/>
      <c r="G35" s="50" t="n"/>
      <c r="H35" s="62" t="n"/>
      <c r="I35" s="62" t="n"/>
      <c r="J35" s="62" t="n"/>
      <c r="K35" s="62" t="n"/>
      <c r="L35" s="62" t="n"/>
    </row>
    <row r="36" ht="22" customHeight="1"/>
    <row r="37" ht="22" customHeight="1"/>
    <row r="38" ht="22" customHeight="1"/>
    <row r="39" ht="22" customHeight="1"/>
  </sheetData>
  <mergeCells count="3">
    <mergeCell ref="B2:L2"/>
    <mergeCell ref="B30:L30"/>
    <mergeCell ref="B3:L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9" t="inlineStr">
        <is>
          <t>CMG-17: STUDENT GRIEVANCE SUBMISSION FORM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Grievance Ref. No.: CMG/GRV/______/______   Date of Submission: _______   Received by: _______</t>
        </is>
      </c>
    </row>
    <row r="5" ht="24" customHeight="1">
      <c r="B5" s="21" t="inlineStr">
        <is>
          <t>SECTION A — COMPLAINANT DETAILS</t>
        </is>
      </c>
    </row>
    <row r="6" ht="28" customHeight="1">
      <c r="B6" s="40" t="inlineStr">
        <is>
          <t>Full Name:</t>
        </is>
      </c>
      <c r="C6" s="7" t="n"/>
    </row>
    <row r="7" ht="28" customHeight="1">
      <c r="B7" s="40" t="inlineStr">
        <is>
          <t>Roll Number / Student ID:</t>
        </is>
      </c>
      <c r="C7" s="7" t="n"/>
    </row>
    <row r="8" ht="28" customHeight="1">
      <c r="B8" s="40" t="inlineStr">
        <is>
          <t>Programme &amp; Year:</t>
        </is>
      </c>
      <c r="C8" s="7" t="n"/>
    </row>
    <row r="9" ht="28" customHeight="1">
      <c r="B9" s="40" t="inlineStr">
        <is>
          <t>Department:</t>
        </is>
      </c>
      <c r="C9" s="7" t="n"/>
    </row>
    <row r="10" ht="28" customHeight="1">
      <c r="B10" s="40" t="inlineStr">
        <is>
          <t>Contact Number:</t>
        </is>
      </c>
      <c r="C10" s="7" t="n"/>
    </row>
    <row r="11" ht="28" customHeight="1">
      <c r="B11" s="40" t="inlineStr">
        <is>
          <t>Email:</t>
        </is>
      </c>
      <c r="C11" s="7" t="n"/>
    </row>
    <row r="12" ht="28" customHeight="1">
      <c r="B12" s="40" t="inlineStr">
        <is>
          <t>Hostel Resident?</t>
        </is>
      </c>
      <c r="C12" s="41" t="inlineStr">
        <is>
          <t>[ ] Yes — Block: _______   [ ] Day Scholar</t>
        </is>
      </c>
    </row>
    <row r="13" ht="28" customHeight="1">
      <c r="B13" s="40" t="inlineStr">
        <is>
          <t>Date of Incident:</t>
        </is>
      </c>
      <c r="C13" s="7" t="n"/>
    </row>
    <row r="14" ht="28" customHeight="1">
      <c r="B14" s="40" t="inlineStr">
        <is>
          <t>Location of Incident:</t>
        </is>
      </c>
      <c r="C14" s="7" t="n"/>
    </row>
    <row r="15" ht="30" customHeight="1"/>
    <row r="16" ht="24" customHeight="1">
      <c r="B16" s="36" t="inlineStr">
        <is>
          <t>SECTION B — GRIEVANCE DETAILS</t>
        </is>
      </c>
    </row>
    <row r="17" ht="32" customHeight="1">
      <c r="B17" s="42" t="inlineStr">
        <is>
          <t>Category of Grievance:</t>
        </is>
      </c>
      <c r="C17" s="41" t="inlineStr">
        <is>
          <t>[ ] Academic (marks, exam, result)  [ ] Administrative  [ ] Faculty behaviour  [ ] Infrastructure  [ ] Hostel  [ ] Canteen  [ ] Financial / Fees  [ ] Lab / Library  [ ] Peer conflict  [ ] Sexual harassment*  [ ] Caste-based*  [ ] Other</t>
        </is>
      </c>
    </row>
    <row r="18" ht="32" customHeight="1">
      <c r="B18" s="42" t="inlineStr">
        <is>
          <t>(*) Note — special categories:</t>
        </is>
      </c>
      <c r="C18" s="41" t="inlineStr">
        <is>
          <t>Sexual harassment → ICC | Caste-based → SC/ST Cell | Anti-ragging → Anti-Ragging Cell</t>
        </is>
      </c>
    </row>
    <row r="19" ht="32" customHeight="1">
      <c r="B19" s="42" t="inlineStr">
        <is>
          <t>Persons against whom grievance is filed:</t>
        </is>
      </c>
      <c r="C19" s="41" t="inlineStr">
        <is>
          <t>[ ] Faculty  [ ] Non-teaching staff  [ ] Administrative staff  [ ] Fellow student  [ ] Management  [ ] Institution policy</t>
        </is>
      </c>
    </row>
    <row r="20" ht="32" customHeight="1">
      <c r="B20" s="42" t="inlineStr">
        <is>
          <t>Name(s) of person(s) involved (if applicable):</t>
        </is>
      </c>
      <c r="C20" s="41" t="inlineStr">
        <is>
          <t>(Optional — may be submitted anonymously)</t>
        </is>
      </c>
    </row>
    <row r="21" ht="32" customHeight="1">
      <c r="B21" s="42" t="inlineStr">
        <is>
          <t>Has this been raised informally before?</t>
        </is>
      </c>
      <c r="C21" s="41" t="inlineStr">
        <is>
          <t>[ ] Yes — With whom: _______  Outcome: _______   [ ] No</t>
        </is>
      </c>
    </row>
    <row r="22" ht="30" customHeight="1"/>
    <row r="23" ht="24" customHeight="1">
      <c r="B23" s="63" t="inlineStr">
        <is>
          <t>SECTION C — DETAILED DESCRIPTION</t>
        </is>
      </c>
    </row>
    <row r="24" ht="30" customHeight="1">
      <c r="B24" s="64" t="inlineStr">
        <is>
          <t>Describe your grievance in detail (attach additional sheets if required):</t>
        </is>
      </c>
    </row>
    <row r="25" ht="250" customHeight="1">
      <c r="B25" s="45" t="inlineStr"/>
    </row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24" customHeight="1">
      <c r="B35" s="43" t="inlineStr">
        <is>
          <t>SECTION D — RELIEF SOUGHT</t>
        </is>
      </c>
    </row>
    <row r="36" ht="24" customHeight="1">
      <c r="B36" s="65" t="inlineStr">
        <is>
          <t>[ ]  Re-evaluation of marks / paper</t>
        </is>
      </c>
    </row>
    <row r="37" ht="24" customHeight="1">
      <c r="B37" s="66" t="inlineStr">
        <is>
          <t>[ ]  Administrative correction</t>
        </is>
      </c>
    </row>
    <row r="38" ht="24" customHeight="1">
      <c r="B38" s="65" t="inlineStr">
        <is>
          <t>[ ]  Disciplinary action against respondent</t>
        </is>
      </c>
    </row>
    <row r="39" ht="24" customHeight="1">
      <c r="B39" s="66" t="inlineStr">
        <is>
          <t>[ ]  Infrastructure repair / improvement</t>
        </is>
      </c>
    </row>
    <row r="40" ht="24" customHeight="1">
      <c r="B40" s="65" t="inlineStr">
        <is>
          <t>[ ]  Policy / procedure change</t>
        </is>
      </c>
    </row>
    <row r="41" ht="24" customHeight="1">
      <c r="B41" s="66" t="inlineStr">
        <is>
          <t>[ ]  Financial remedy</t>
        </is>
      </c>
    </row>
    <row r="42" ht="24" customHeight="1">
      <c r="B42" s="65" t="inlineStr">
        <is>
          <t>[ ]  Transfer of student / respondent</t>
        </is>
      </c>
    </row>
    <row r="43" ht="24" customHeight="1">
      <c r="B43" s="66" t="inlineStr">
        <is>
          <t>[ ]  Written apology</t>
        </is>
      </c>
    </row>
    <row r="44" ht="24" customHeight="1">
      <c r="B44" s="65" t="inlineStr">
        <is>
          <t>[ ]  Any other (specify):</t>
        </is>
      </c>
    </row>
    <row r="45" ht="30" customHeight="1"/>
    <row r="46" ht="24" customHeight="1">
      <c r="B46" s="22" t="inlineStr">
        <is>
          <t>SECTION E — SUPPORTING DOCUMENTS</t>
        </is>
      </c>
    </row>
    <row r="47" ht="28" customHeight="1">
      <c r="B47" s="67" t="inlineStr">
        <is>
          <t>Documents attached (describe each):</t>
        </is>
      </c>
      <c r="C47" s="7" t="n"/>
    </row>
    <row r="48" ht="28" customHeight="1">
      <c r="B48" s="67" t="inlineStr">
        <is>
          <t>Total number of documents attached:</t>
        </is>
      </c>
      <c r="C48" s="7" t="n"/>
    </row>
    <row r="49" ht="28" customHeight="1">
      <c r="B49" s="67" t="inlineStr">
        <is>
          <t>Anonymous submission?</t>
        </is>
      </c>
      <c r="C49" s="41" t="inlineStr">
        <is>
          <t>[ ] Yes — investigate on merits   [ ] No — name disclosed</t>
        </is>
      </c>
    </row>
    <row r="50" ht="30" customHeight="1"/>
    <row r="51" ht="30" customHeight="1">
      <c r="B51" s="45" t="inlineStr">
        <is>
          <t>I declare that the information is true. I understand that filing a false grievance is subject to disciplinary action.</t>
        </is>
      </c>
    </row>
    <row r="52" ht="30" customHeight="1">
      <c r="B52" s="31" t="inlineStr">
        <is>
          <t>Student Signature: ___________________    Date: ___________________    Received by: ___________________    Date: ___________________</t>
        </is>
      </c>
    </row>
    <row r="53" ht="30" customHeight="1"/>
    <row r="54" ht="30" customHeight="1"/>
  </sheetData>
  <mergeCells count="38">
    <mergeCell ref="B40:E40"/>
    <mergeCell ref="C47:E47"/>
    <mergeCell ref="C9:E9"/>
    <mergeCell ref="B24:E24"/>
    <mergeCell ref="B5:E5"/>
    <mergeCell ref="B51:E51"/>
    <mergeCell ref="C21:E21"/>
    <mergeCell ref="C12:E12"/>
    <mergeCell ref="B36:E36"/>
    <mergeCell ref="B41:E41"/>
    <mergeCell ref="C11:E11"/>
    <mergeCell ref="B35:E35"/>
    <mergeCell ref="B4:E4"/>
    <mergeCell ref="C8:E8"/>
    <mergeCell ref="B16:E16"/>
    <mergeCell ref="C48:E48"/>
    <mergeCell ref="C17:E17"/>
    <mergeCell ref="B3:E3"/>
    <mergeCell ref="C7:E7"/>
    <mergeCell ref="B46:E46"/>
    <mergeCell ref="C13:E13"/>
    <mergeCell ref="C19:E19"/>
    <mergeCell ref="B43:E43"/>
    <mergeCell ref="B52:E52"/>
    <mergeCell ref="C18:E18"/>
    <mergeCell ref="C49:E49"/>
    <mergeCell ref="B39:E39"/>
    <mergeCell ref="B2:E2"/>
    <mergeCell ref="B25:E33"/>
    <mergeCell ref="B42:E42"/>
    <mergeCell ref="C6:E6"/>
    <mergeCell ref="B23:E23"/>
    <mergeCell ref="C14:E14"/>
    <mergeCell ref="B38:E38"/>
    <mergeCell ref="B44:E44"/>
    <mergeCell ref="B37:E37"/>
    <mergeCell ref="C20:E20"/>
    <mergeCell ref="C10:E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9" t="inlineStr">
        <is>
          <t>CMG-18: STUDENT GRIEVANCE REGISTRATION &amp; STATUS REGISTER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A.Y.: _______  CMG Grievance Officer: ___________________</t>
        </is>
      </c>
    </row>
    <row r="5" ht="24" customHeight="1">
      <c r="B5" s="14" t="inlineStr">
        <is>
          <t>Grievance
Ref.</t>
        </is>
      </c>
      <c r="C5" s="14" t="inlineStr">
        <is>
          <t>Student
(Code / Ref.)</t>
        </is>
      </c>
      <c r="D5" s="14" t="inlineStr">
        <is>
          <t>Category</t>
        </is>
      </c>
      <c r="E5" s="14" t="inlineStr">
        <is>
          <t>Date
Received</t>
        </is>
      </c>
      <c r="F5" s="14" t="inlineStr">
        <is>
          <t>Acknowledge.
Sent (Date)</t>
        </is>
      </c>
      <c r="G5" s="14" t="inlineStr">
        <is>
          <t>Assigned
Officer</t>
        </is>
      </c>
      <c r="H5" s="14" t="inlineStr">
        <is>
          <t>30-day
Deadline</t>
        </is>
      </c>
      <c r="I5" s="14" t="inlineStr">
        <is>
          <t>Status</t>
        </is>
      </c>
      <c r="J5" s="14" t="inlineStr">
        <is>
          <t>Days
Elapsed</t>
        </is>
      </c>
    </row>
    <row r="6" ht="24" customHeight="1">
      <c r="B6" s="15" t="inlineStr">
        <is>
          <t>CMG/GRV/2024/001</t>
        </is>
      </c>
      <c r="C6" s="17" t="inlineStr"/>
      <c r="D6" s="17" t="inlineStr">
        <is>
          <t>Academic — Marks/Result</t>
        </is>
      </c>
      <c r="E6" s="17" t="inlineStr"/>
      <c r="F6" s="17" t="inlineStr"/>
      <c r="G6" s="17" t="inlineStr"/>
      <c r="H6" s="17" t="inlineStr"/>
      <c r="I6" s="17" t="inlineStr">
        <is>
          <t>Open — Investigation</t>
        </is>
      </c>
      <c r="J6" s="17">
        <f>IFERROR(TODAY()-E6,"")</f>
        <v/>
      </c>
    </row>
    <row r="7" ht="24" customHeight="1">
      <c r="B7" s="6" t="inlineStr">
        <is>
          <t>CMG/GRV/2024/002</t>
        </is>
      </c>
      <c r="C7" s="8" t="inlineStr"/>
      <c r="D7" s="8" t="inlineStr">
        <is>
          <t>Academic — Exam Conduct</t>
        </is>
      </c>
      <c r="E7" s="8" t="inlineStr"/>
      <c r="F7" s="8" t="inlineStr"/>
      <c r="G7" s="8" t="inlineStr"/>
      <c r="H7" s="8" t="inlineStr"/>
      <c r="I7" s="8" t="inlineStr">
        <is>
          <t>Resolved — Accepted</t>
        </is>
      </c>
      <c r="J7" s="8">
        <f>IFERROR(TODAY()-E7,"")</f>
        <v/>
      </c>
    </row>
    <row r="8" ht="24" customHeight="1">
      <c r="B8" s="15" t="inlineStr">
        <is>
          <t>CMG/GRV/2024/003</t>
        </is>
      </c>
      <c r="C8" s="17" t="inlineStr"/>
      <c r="D8" s="17" t="inlineStr">
        <is>
          <t>Faculty Behaviour</t>
        </is>
      </c>
      <c r="E8" s="17" t="inlineStr"/>
      <c r="F8" s="17" t="inlineStr"/>
      <c r="G8" s="17" t="inlineStr"/>
      <c r="H8" s="17" t="inlineStr"/>
      <c r="I8" s="17" t="inlineStr">
        <is>
          <t>Resolved — Partially</t>
        </is>
      </c>
      <c r="J8" s="17">
        <f>IFERROR(TODAY()-E8,"")</f>
        <v/>
      </c>
    </row>
    <row r="9" ht="24" customHeight="1">
      <c r="B9" s="6" t="inlineStr">
        <is>
          <t>CMG/GRV/2024/004</t>
        </is>
      </c>
      <c r="C9" s="8" t="inlineStr"/>
      <c r="D9" s="8" t="inlineStr">
        <is>
          <t>Administrative</t>
        </is>
      </c>
      <c r="E9" s="8" t="inlineStr"/>
      <c r="F9" s="8" t="inlineStr"/>
      <c r="G9" s="8" t="inlineStr"/>
      <c r="H9" s="8" t="inlineStr"/>
      <c r="I9" s="8" t="inlineStr">
        <is>
          <t>Closed — Not Substantiated</t>
        </is>
      </c>
      <c r="J9" s="8">
        <f>IFERROR(TODAY()-E9,"")</f>
        <v/>
      </c>
    </row>
    <row r="10" ht="24" customHeight="1">
      <c r="B10" s="15" t="inlineStr">
        <is>
          <t>CMG/GRV/2024/005</t>
        </is>
      </c>
      <c r="C10" s="17" t="inlineStr"/>
      <c r="D10" s="17" t="inlineStr">
        <is>
          <t>Infrastructure / Facility</t>
        </is>
      </c>
      <c r="E10" s="17" t="inlineStr"/>
      <c r="F10" s="17" t="inlineStr"/>
      <c r="G10" s="17" t="inlineStr"/>
      <c r="H10" s="17" t="inlineStr"/>
      <c r="I10" s="17" t="inlineStr">
        <is>
          <t>Escalated</t>
        </is>
      </c>
      <c r="J10" s="17">
        <f>IFERROR(TODAY()-E10,"")</f>
        <v/>
      </c>
    </row>
    <row r="11" ht="24" customHeight="1">
      <c r="B11" s="6" t="inlineStr">
        <is>
          <t>CMG/GRV/2024/006</t>
        </is>
      </c>
      <c r="C11" s="8" t="inlineStr"/>
      <c r="D11" s="8" t="inlineStr">
        <is>
          <t>Hostel &amp; Accommodation</t>
        </is>
      </c>
      <c r="E11" s="8" t="inlineStr"/>
      <c r="F11" s="8" t="inlineStr"/>
      <c r="G11" s="8" t="inlineStr"/>
      <c r="H11" s="8" t="inlineStr"/>
      <c r="I11" s="8" t="inlineStr">
        <is>
          <t>Withdrawn</t>
        </is>
      </c>
      <c r="J11" s="8">
        <f>IFERROR(TODAY()-E11,"")</f>
        <v/>
      </c>
    </row>
    <row r="12" ht="24" customHeight="1">
      <c r="B12" s="15" t="inlineStr">
        <is>
          <t>CMG/GRV/2024/007</t>
        </is>
      </c>
      <c r="C12" s="17" t="inlineStr"/>
      <c r="D12" s="17" t="inlineStr">
        <is>
          <t>Canteen &amp; Food</t>
        </is>
      </c>
      <c r="E12" s="17" t="inlineStr"/>
      <c r="F12" s="17" t="inlineStr"/>
      <c r="G12" s="17" t="inlineStr"/>
      <c r="H12" s="17" t="inlineStr"/>
      <c r="I12" s="17" t="inlineStr">
        <is>
          <t>Open — Investigation</t>
        </is>
      </c>
      <c r="J12" s="17">
        <f>IFERROR(TODAY()-E12,"")</f>
        <v/>
      </c>
    </row>
    <row r="13" ht="24" customHeight="1">
      <c r="B13" s="6" t="inlineStr">
        <is>
          <t>CMG/GRV/2024/008</t>
        </is>
      </c>
      <c r="C13" s="8" t="inlineStr"/>
      <c r="D13" s="8" t="inlineStr">
        <is>
          <t>Financial / Fee</t>
        </is>
      </c>
      <c r="E13" s="8" t="inlineStr"/>
      <c r="F13" s="8" t="inlineStr"/>
      <c r="G13" s="8" t="inlineStr"/>
      <c r="H13" s="8" t="inlineStr"/>
      <c r="I13" s="8" t="inlineStr">
        <is>
          <t>Resolved — Accepted</t>
        </is>
      </c>
      <c r="J13" s="8">
        <f>IFERROR(TODAY()-E13,"")</f>
        <v/>
      </c>
    </row>
    <row r="14" ht="24" customHeight="1">
      <c r="B14" s="15" t="inlineStr">
        <is>
          <t>CMG/GRV/2024/009</t>
        </is>
      </c>
      <c r="C14" s="17" t="inlineStr"/>
      <c r="D14" s="17" t="inlineStr">
        <is>
          <t>Library / Lab</t>
        </is>
      </c>
      <c r="E14" s="17" t="inlineStr"/>
      <c r="F14" s="17" t="inlineStr"/>
      <c r="G14" s="17" t="inlineStr"/>
      <c r="H14" s="17" t="inlineStr"/>
      <c r="I14" s="17" t="inlineStr">
        <is>
          <t>Resolved — Partially</t>
        </is>
      </c>
      <c r="J14" s="17">
        <f>IFERROR(TODAY()-E14,"")</f>
        <v/>
      </c>
    </row>
    <row r="15" ht="24" customHeight="1">
      <c r="B15" s="6" t="inlineStr">
        <is>
          <t>CMG/GRV/2024/010</t>
        </is>
      </c>
      <c r="C15" s="8" t="inlineStr"/>
      <c r="D15" s="8" t="inlineStr">
        <is>
          <t>Peer Conflict</t>
        </is>
      </c>
      <c r="E15" s="8" t="inlineStr"/>
      <c r="F15" s="8" t="inlineStr"/>
      <c r="G15" s="8" t="inlineStr"/>
      <c r="H15" s="8" t="inlineStr"/>
      <c r="I15" s="8" t="inlineStr">
        <is>
          <t>Closed — Not Substantiated</t>
        </is>
      </c>
      <c r="J15" s="8">
        <f>IFERROR(TODAY()-E15,"")</f>
        <v/>
      </c>
    </row>
    <row r="16" ht="24" customHeight="1">
      <c r="B16" s="15" t="inlineStr">
        <is>
          <t>CMG/GRV/2024/011</t>
        </is>
      </c>
      <c r="C16" s="17" t="inlineStr"/>
      <c r="D16" s="17" t="inlineStr">
        <is>
          <t>Digital / Online Platform</t>
        </is>
      </c>
      <c r="E16" s="17" t="inlineStr"/>
      <c r="F16" s="17" t="inlineStr"/>
      <c r="G16" s="17" t="inlineStr"/>
      <c r="H16" s="17" t="inlineStr"/>
      <c r="I16" s="17" t="inlineStr">
        <is>
          <t>Escalated</t>
        </is>
      </c>
      <c r="J16" s="17">
        <f>IFERROR(TODAY()-E16,"")</f>
        <v/>
      </c>
    </row>
    <row r="17" ht="24" customHeight="1">
      <c r="B17" s="6" t="inlineStr">
        <is>
          <t>CMG/GRV/2024/012</t>
        </is>
      </c>
      <c r="C17" s="8" t="inlineStr"/>
      <c r="D17" s="8" t="inlineStr">
        <is>
          <t>Course / Curriculum</t>
        </is>
      </c>
      <c r="E17" s="8" t="inlineStr"/>
      <c r="F17" s="8" t="inlineStr"/>
      <c r="G17" s="8" t="inlineStr"/>
      <c r="H17" s="8" t="inlineStr"/>
      <c r="I17" s="8" t="inlineStr">
        <is>
          <t>Withdrawn</t>
        </is>
      </c>
      <c r="J17" s="8">
        <f>IFERROR(TODAY()-E17,"")</f>
        <v/>
      </c>
    </row>
    <row r="18" ht="24" customHeight="1">
      <c r="B18" s="15" t="inlineStr">
        <is>
          <t>CMG/GRV/2025/013</t>
        </is>
      </c>
      <c r="C18" s="17" t="inlineStr"/>
      <c r="D18" s="17" t="inlineStr">
        <is>
          <t>Other</t>
        </is>
      </c>
      <c r="E18" s="17" t="inlineStr"/>
      <c r="F18" s="17" t="inlineStr"/>
      <c r="G18" s="17" t="inlineStr"/>
      <c r="H18" s="17" t="inlineStr"/>
      <c r="I18" s="17" t="inlineStr">
        <is>
          <t>Open — Investigation</t>
        </is>
      </c>
      <c r="J18" s="17">
        <f>IFERROR(TODAY()-E18,"")</f>
        <v/>
      </c>
    </row>
    <row r="19" ht="24" customHeight="1">
      <c r="B19" s="6" t="inlineStr">
        <is>
          <t>CMG/GRV/2025/014</t>
        </is>
      </c>
      <c r="C19" s="8" t="inlineStr"/>
      <c r="D19" s="8" t="inlineStr">
        <is>
          <t>Academic — Marks/Result</t>
        </is>
      </c>
      <c r="E19" s="8" t="inlineStr"/>
      <c r="F19" s="8" t="inlineStr"/>
      <c r="G19" s="8" t="inlineStr"/>
      <c r="H19" s="8" t="inlineStr"/>
      <c r="I19" s="8" t="inlineStr">
        <is>
          <t>Resolved — Accepted</t>
        </is>
      </c>
      <c r="J19" s="8">
        <f>IFERROR(TODAY()-E19,"")</f>
        <v/>
      </c>
    </row>
    <row r="20" ht="24" customHeight="1">
      <c r="B20" s="15" t="inlineStr">
        <is>
          <t>CMG/GRV/2025/015</t>
        </is>
      </c>
      <c r="C20" s="17" t="inlineStr"/>
      <c r="D20" s="17" t="inlineStr">
        <is>
          <t>Academic — Exam Conduct</t>
        </is>
      </c>
      <c r="E20" s="17" t="inlineStr"/>
      <c r="F20" s="17" t="inlineStr"/>
      <c r="G20" s="17" t="inlineStr"/>
      <c r="H20" s="17" t="inlineStr"/>
      <c r="I20" s="17" t="inlineStr">
        <is>
          <t>Resolved — Partially</t>
        </is>
      </c>
      <c r="J20" s="17">
        <f>IFERROR(TODAY()-E20,"")</f>
        <v/>
      </c>
    </row>
    <row r="21" ht="24" customHeight="1">
      <c r="B21" s="6" t="inlineStr">
        <is>
          <t>CMG/GRV/2025/016</t>
        </is>
      </c>
      <c r="C21" s="8" t="inlineStr"/>
      <c r="D21" s="8" t="inlineStr">
        <is>
          <t>Faculty Behaviour</t>
        </is>
      </c>
      <c r="E21" s="8" t="inlineStr"/>
      <c r="F21" s="8" t="inlineStr"/>
      <c r="G21" s="8" t="inlineStr"/>
      <c r="H21" s="8" t="inlineStr"/>
      <c r="I21" s="8" t="inlineStr">
        <is>
          <t>Closed — Not Substantiated</t>
        </is>
      </c>
      <c r="J21" s="8">
        <f>IFERROR(TODAY()-E21,"")</f>
        <v/>
      </c>
    </row>
    <row r="22" ht="24" customHeight="1">
      <c r="B22" s="15" t="inlineStr">
        <is>
          <t>CMG/GRV/2025/017</t>
        </is>
      </c>
      <c r="C22" s="17" t="inlineStr"/>
      <c r="D22" s="17" t="inlineStr">
        <is>
          <t>Administrative</t>
        </is>
      </c>
      <c r="E22" s="17" t="inlineStr"/>
      <c r="F22" s="17" t="inlineStr"/>
      <c r="G22" s="17" t="inlineStr"/>
      <c r="H22" s="17" t="inlineStr"/>
      <c r="I22" s="17" t="inlineStr">
        <is>
          <t>Escalated</t>
        </is>
      </c>
      <c r="J22" s="17">
        <f>IFERROR(TODAY()-E22,"")</f>
        <v/>
      </c>
    </row>
    <row r="23" ht="24" customHeight="1">
      <c r="B23" s="6" t="inlineStr">
        <is>
          <t>CMG/GRV/2025/018</t>
        </is>
      </c>
      <c r="C23" s="8" t="inlineStr"/>
      <c r="D23" s="8" t="inlineStr">
        <is>
          <t>Infrastructure / Facility</t>
        </is>
      </c>
      <c r="E23" s="8" t="inlineStr"/>
      <c r="F23" s="8" t="inlineStr"/>
      <c r="G23" s="8" t="inlineStr"/>
      <c r="H23" s="8" t="inlineStr"/>
      <c r="I23" s="8" t="inlineStr">
        <is>
          <t>Withdrawn</t>
        </is>
      </c>
      <c r="J23" s="8">
        <f>IFERROR(TODAY()-E23,"")</f>
        <v/>
      </c>
    </row>
    <row r="24" ht="24" customHeight="1">
      <c r="B24" s="15" t="inlineStr">
        <is>
          <t>CMG/GRV/2025/019</t>
        </is>
      </c>
      <c r="C24" s="17" t="inlineStr"/>
      <c r="D24" s="17" t="inlineStr">
        <is>
          <t>Hostel &amp; Accommodation</t>
        </is>
      </c>
      <c r="E24" s="17" t="inlineStr"/>
      <c r="F24" s="17" t="inlineStr"/>
      <c r="G24" s="17" t="inlineStr"/>
      <c r="H24" s="17" t="inlineStr"/>
      <c r="I24" s="17" t="inlineStr">
        <is>
          <t>Open — Investigation</t>
        </is>
      </c>
      <c r="J24" s="17">
        <f>IFERROR(TODAY()-E24,"")</f>
        <v/>
      </c>
    </row>
    <row r="25" ht="24" customHeight="1">
      <c r="B25" s="6" t="inlineStr">
        <is>
          <t>CMG/GRV/2025/020</t>
        </is>
      </c>
      <c r="C25" s="8" t="inlineStr"/>
      <c r="D25" s="8" t="inlineStr">
        <is>
          <t>Canteen &amp; Food</t>
        </is>
      </c>
      <c r="E25" s="8" t="inlineStr"/>
      <c r="F25" s="8" t="inlineStr"/>
      <c r="G25" s="8" t="inlineStr"/>
      <c r="H25" s="8" t="inlineStr"/>
      <c r="I25" s="8" t="inlineStr">
        <is>
          <t>Resolved — Accepted</t>
        </is>
      </c>
      <c r="J25" s="8">
        <f>IFERROR(TODAY()-E25,"")</f>
        <v/>
      </c>
    </row>
    <row r="26" ht="24" customHeight="1">
      <c r="B26" s="15" t="inlineStr">
        <is>
          <t>CMG/GRV/2025/021</t>
        </is>
      </c>
      <c r="C26" s="17" t="inlineStr"/>
      <c r="D26" s="17" t="inlineStr">
        <is>
          <t>Financial / Fee</t>
        </is>
      </c>
      <c r="E26" s="17" t="inlineStr"/>
      <c r="F26" s="17" t="inlineStr"/>
      <c r="G26" s="17" t="inlineStr"/>
      <c r="H26" s="17" t="inlineStr"/>
      <c r="I26" s="17" t="inlineStr">
        <is>
          <t>Resolved — Partially</t>
        </is>
      </c>
      <c r="J26" s="17">
        <f>IFERROR(TODAY()-E26,"")</f>
        <v/>
      </c>
    </row>
    <row r="27" ht="24" customHeight="1">
      <c r="B27" s="6" t="inlineStr">
        <is>
          <t>CMG/GRV/2025/022</t>
        </is>
      </c>
      <c r="C27" s="8" t="inlineStr"/>
      <c r="D27" s="8" t="inlineStr">
        <is>
          <t>Library / Lab</t>
        </is>
      </c>
      <c r="E27" s="8" t="inlineStr"/>
      <c r="F27" s="8" t="inlineStr"/>
      <c r="G27" s="8" t="inlineStr"/>
      <c r="H27" s="8" t="inlineStr"/>
      <c r="I27" s="8" t="inlineStr">
        <is>
          <t>Closed — Not Substantiated</t>
        </is>
      </c>
      <c r="J27" s="8">
        <f>IFERROR(TODAY()-E27,"")</f>
        <v/>
      </c>
    </row>
    <row r="28" ht="24" customHeight="1">
      <c r="B28" s="15" t="inlineStr">
        <is>
          <t>CMG/GRV/2025/023</t>
        </is>
      </c>
      <c r="C28" s="17" t="inlineStr"/>
      <c r="D28" s="17" t="inlineStr">
        <is>
          <t>Peer Conflict</t>
        </is>
      </c>
      <c r="E28" s="17" t="inlineStr"/>
      <c r="F28" s="17" t="inlineStr"/>
      <c r="G28" s="17" t="inlineStr"/>
      <c r="H28" s="17" t="inlineStr"/>
      <c r="I28" s="17" t="inlineStr">
        <is>
          <t>Escalated</t>
        </is>
      </c>
      <c r="J28" s="17">
        <f>IFERROR(TODAY()-E28,"")</f>
        <v/>
      </c>
    </row>
    <row r="29" ht="24" customHeight="1">
      <c r="B29" s="6" t="inlineStr">
        <is>
          <t>CMG/GRV/2025/024</t>
        </is>
      </c>
      <c r="C29" s="8" t="inlineStr"/>
      <c r="D29" s="8" t="inlineStr">
        <is>
          <t>Digital / Online Platform</t>
        </is>
      </c>
      <c r="E29" s="8" t="inlineStr"/>
      <c r="F29" s="8" t="inlineStr"/>
      <c r="G29" s="8" t="inlineStr"/>
      <c r="H29" s="8" t="inlineStr"/>
      <c r="I29" s="8" t="inlineStr">
        <is>
          <t>Withdrawn</t>
        </is>
      </c>
      <c r="J29" s="8">
        <f>IFERROR(TODAY()-E29,"")</f>
        <v/>
      </c>
    </row>
    <row r="30" ht="24" customHeight="1"/>
    <row r="31" ht="24" customHeight="1">
      <c r="B31" s="36" t="inlineStr">
        <is>
          <t>GRIEVANCE STATISTICS DASHBOARD</t>
        </is>
      </c>
    </row>
    <row r="32" ht="24" customHeight="1">
      <c r="B32" s="37" t="inlineStr">
        <is>
          <t>Total Grievances Received</t>
        </is>
      </c>
      <c r="F32" s="38">
        <f>COUNTA(B6:B29)</f>
        <v/>
      </c>
    </row>
    <row r="33" ht="24" customHeight="1">
      <c r="B33" s="27" t="inlineStr">
        <is>
          <t>Resolved</t>
        </is>
      </c>
      <c r="F33" s="39">
        <f>COUNTIF(I6:I29,"Resolved — Accepted")</f>
        <v/>
      </c>
    </row>
    <row r="34" ht="24" customHeight="1">
      <c r="B34" s="37" t="inlineStr">
        <is>
          <t>Pending &gt; 30 Days (Overdue)</t>
        </is>
      </c>
      <c r="F34" s="38">
        <f>COUNTIF(J6:J29,"&gt;30")</f>
        <v/>
      </c>
    </row>
    <row r="35" ht="24" customHeight="1">
      <c r="B35" s="27" t="inlineStr">
        <is>
          <t>Average Resolution Days</t>
        </is>
      </c>
      <c r="F35" s="39" t="inlineStr"/>
    </row>
    <row r="36" ht="24" customHeight="1">
      <c r="B36" s="37" t="inlineStr">
        <is>
          <t>Resolution Rate (%)</t>
        </is>
      </c>
      <c r="F36" s="38">
        <f>IFERROR(ROUND((C33+C34)/C32*100,1),"")</f>
        <v/>
      </c>
    </row>
    <row r="37" ht="24" customHeight="1">
      <c r="B37" s="27" t="inlineStr">
        <is>
          <t>Category with Most Grievances</t>
        </is>
      </c>
      <c r="F37" s="39" t="inlineStr"/>
    </row>
    <row r="38">
      <c r="B38" s="37" t="inlineStr">
        <is>
          <t>Anonymous Grievances</t>
        </is>
      </c>
      <c r="F38" s="38" t="inlineStr"/>
    </row>
  </sheetData>
  <mergeCells count="18">
    <mergeCell ref="B3:J3"/>
    <mergeCell ref="B35:E35"/>
    <mergeCell ref="F37:J37"/>
    <mergeCell ref="F35:J35"/>
    <mergeCell ref="F34:J34"/>
    <mergeCell ref="B37:E37"/>
    <mergeCell ref="F38:J38"/>
    <mergeCell ref="B38:E38"/>
    <mergeCell ref="B31:J31"/>
    <mergeCell ref="F36:J36"/>
    <mergeCell ref="B33:E33"/>
    <mergeCell ref="F33:J33"/>
    <mergeCell ref="B4:J4"/>
    <mergeCell ref="B34:E34"/>
    <mergeCell ref="F32:J32"/>
    <mergeCell ref="B36:E36"/>
    <mergeCell ref="B2:J2"/>
    <mergeCell ref="B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9" t="inlineStr">
        <is>
          <t>CMG-19: GRIEVANCE INVESTIGATION &amp; PROCEEDINGS LOG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Grievance Ref.: _______  Investigating Officer: _______  Investigation Period: _______  to _______</t>
        </is>
      </c>
    </row>
    <row r="5" ht="24" customHeight="1">
      <c r="B5" s="21" t="inlineStr">
        <is>
          <t>INVESTIGATION DETAILS</t>
        </is>
      </c>
    </row>
    <row r="6" ht="30" customHeight="1">
      <c r="B6" s="40" t="inlineStr">
        <is>
          <t>Grievance summary (for record):</t>
        </is>
      </c>
      <c r="C6" s="7" t="n"/>
    </row>
    <row r="7" ht="30" customHeight="1">
      <c r="B7" s="40" t="inlineStr">
        <is>
          <t>Parties involved (complainant / respondent):</t>
        </is>
      </c>
      <c r="C7" s="7" t="n"/>
    </row>
    <row r="8" ht="30" customHeight="1">
      <c r="B8" s="40" t="inlineStr">
        <is>
          <t>Documents / evidence received:</t>
        </is>
      </c>
      <c r="C8" s="7" t="n"/>
    </row>
    <row r="9" ht="30" customHeight="1">
      <c r="B9" s="40" t="inlineStr">
        <is>
          <t>Hearings conducted:</t>
        </is>
      </c>
      <c r="C9" s="41" t="inlineStr">
        <is>
          <t>Date 1: _______  Date 2: _______  Date 3: _______</t>
        </is>
      </c>
    </row>
    <row r="10" ht="30" customHeight="1">
      <c r="B10" s="40" t="inlineStr">
        <is>
          <t>Witnesses examined:</t>
        </is>
      </c>
      <c r="C10" s="7" t="n"/>
    </row>
    <row r="11" ht="30" customHeight="1">
      <c r="B11" s="40" t="inlineStr">
        <is>
          <t>Site / facility inspection done:</t>
        </is>
      </c>
      <c r="C11" s="41" t="inlineStr">
        <is>
          <t>[ ] Yes — Date: _______   [ ] No</t>
        </is>
      </c>
    </row>
    <row r="12" ht="35" customHeight="1"/>
    <row r="13" ht="24" customHeight="1">
      <c r="B13" s="36" t="inlineStr">
        <is>
          <t>INVESTIGATION NOTES</t>
        </is>
      </c>
    </row>
    <row r="14" ht="35" customHeight="1">
      <c r="B14" s="46" t="inlineStr">
        <is>
          <t>Complainant's Statement Summary:</t>
        </is>
      </c>
    </row>
    <row r="15" ht="120" customHeight="1">
      <c r="B15" s="45" t="inlineStr"/>
    </row>
    <row r="16" ht="35" customHeight="1"/>
    <row r="17" ht="35" customHeight="1"/>
    <row r="18" ht="35" customHeight="1"/>
    <row r="19" ht="35" customHeight="1">
      <c r="B19" s="46" t="inlineStr">
        <is>
          <t>Respondent's Statement Summary:</t>
        </is>
      </c>
    </row>
    <row r="20" ht="120" customHeight="1">
      <c r="B20" s="45" t="inlineStr"/>
    </row>
    <row r="21" ht="35" customHeight="1"/>
    <row r="22" ht="35" customHeight="1"/>
    <row r="23" ht="35" customHeight="1"/>
    <row r="24" ht="35" customHeight="1">
      <c r="B24" s="46" t="inlineStr">
        <is>
          <t>Witness Statements (brief):</t>
        </is>
      </c>
    </row>
    <row r="25" ht="80" customHeight="1">
      <c r="B25" s="45" t="inlineStr"/>
    </row>
    <row r="26" ht="35" customHeight="1"/>
    <row r="27" ht="35" customHeight="1"/>
    <row r="28" ht="35" customHeight="1">
      <c r="B28" s="46" t="inlineStr">
        <is>
          <t>Evidence / Documents Examined:</t>
        </is>
      </c>
    </row>
    <row r="29" ht="60" customHeight="1">
      <c r="B29" s="45" t="inlineStr"/>
    </row>
    <row r="30" ht="35" customHeight="1"/>
    <row r="31" ht="24" customHeight="1">
      <c r="B31" s="43" t="inlineStr">
        <is>
          <t>PRELIMINARY FINDINGS</t>
        </is>
      </c>
    </row>
    <row r="32" ht="80" customHeight="1">
      <c r="B32" s="68" t="inlineStr">
        <is>
          <t>(Investigating Officer's interim assessment — to be presented to CMG for final decision)</t>
        </is>
      </c>
    </row>
    <row r="33" ht="35" customHeight="1"/>
    <row r="34" ht="35" customHeight="1"/>
    <row r="35">
      <c r="B35" s="31" t="inlineStr">
        <is>
          <t>Investigating Officer Signature: ___________________    Date: ___________________    Report Presented to CMG on: ___________________</t>
        </is>
      </c>
    </row>
  </sheetData>
  <mergeCells count="22">
    <mergeCell ref="C9:E9"/>
    <mergeCell ref="B24:E24"/>
    <mergeCell ref="B5:E5"/>
    <mergeCell ref="B29:E30"/>
    <mergeCell ref="C11:E11"/>
    <mergeCell ref="B35:E35"/>
    <mergeCell ref="B4:E4"/>
    <mergeCell ref="C8:E8"/>
    <mergeCell ref="B3:E3"/>
    <mergeCell ref="B25:E27"/>
    <mergeCell ref="C7:E7"/>
    <mergeCell ref="B32:E34"/>
    <mergeCell ref="B31:E31"/>
    <mergeCell ref="B2:E2"/>
    <mergeCell ref="B15:E18"/>
    <mergeCell ref="B14:E14"/>
    <mergeCell ref="C6:E6"/>
    <mergeCell ref="B13:E13"/>
    <mergeCell ref="B20:E23"/>
    <mergeCell ref="B19:E19"/>
    <mergeCell ref="B28:E28"/>
    <mergeCell ref="C10:E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9" t="inlineStr">
        <is>
          <t>CMG-20: GRIEVANCE DECISION &amp; RESOLUTION REGISTER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Grievance Ref.: _______  Decision Date: _______  Decision by: CMG Committee  Communication Sent: _______</t>
        </is>
      </c>
    </row>
    <row r="5" ht="24" customHeight="1">
      <c r="B5" s="21" t="inlineStr">
        <is>
          <t>DECISION DETAILS</t>
        </is>
      </c>
    </row>
    <row r="6" ht="30" customHeight="1">
      <c r="B6" s="40" t="inlineStr">
        <is>
          <t>Grievance Substantiated?</t>
        </is>
      </c>
      <c r="C6" s="41" t="inlineStr">
        <is>
          <t>[ ] Yes — Fully  [ ] Yes — Partially  [ ] No  [ ] Unable to determine</t>
        </is>
      </c>
    </row>
    <row r="7" ht="30" customHeight="1">
      <c r="B7" s="40" t="inlineStr">
        <is>
          <t>Decision / Resolution Summary:</t>
        </is>
      </c>
      <c r="C7" s="7" t="n"/>
    </row>
    <row r="8" ht="30" customHeight="1">
      <c r="B8" s="40" t="inlineStr">
        <is>
          <t>Action directed against:</t>
        </is>
      </c>
      <c r="C8" s="41" t="inlineStr">
        <is>
          <t>[ ] Faculty  [ ] Staff  [ ] Administration  [ ] Policy change  [ ] None — grievance not substantiated</t>
        </is>
      </c>
    </row>
    <row r="9" ht="30" customHeight="1">
      <c r="B9" s="40" t="inlineStr">
        <is>
          <t>Relief granted to complainant:</t>
        </is>
      </c>
      <c r="C9" s="7" t="n"/>
    </row>
    <row r="10" ht="30" customHeight="1">
      <c r="B10" s="40" t="inlineStr">
        <is>
          <t>Preventive / systemic measure ordered:</t>
        </is>
      </c>
      <c r="C10" s="7" t="n"/>
    </row>
    <row r="11" ht="30" customHeight="1">
      <c r="B11" s="40" t="inlineStr">
        <is>
          <t>Timeline for implementation:</t>
        </is>
      </c>
      <c r="C11" s="7" t="n"/>
    </row>
    <row r="12" ht="30" customHeight="1">
      <c r="B12" s="40" t="inlineStr">
        <is>
          <t>Communication sent to complainant on:</t>
        </is>
      </c>
      <c r="C12" s="7" t="n"/>
    </row>
    <row r="13" ht="30" customHeight="1">
      <c r="B13" s="40" t="inlineStr">
        <is>
          <t>Communication sent to respondent on:</t>
        </is>
      </c>
      <c r="C13" s="7" t="n"/>
    </row>
    <row r="14" ht="30" customHeight="1">
      <c r="B14" s="40" t="inlineStr">
        <is>
          <t>Decision communicated by:</t>
        </is>
      </c>
      <c r="C14" s="41" t="inlineStr">
        <is>
          <t>[ ] Written letter  [ ] Email  [ ] In-person meeting  [ ] All of above</t>
        </is>
      </c>
    </row>
    <row r="15" ht="30" customHeight="1">
      <c r="B15" s="40" t="inlineStr">
        <is>
          <t>Appeal rights informed to student?</t>
        </is>
      </c>
      <c r="C15" s="41" t="inlineStr">
        <is>
          <t>[ ] Yes  [ ] No</t>
        </is>
      </c>
    </row>
    <row r="16" ht="30" customHeight="1">
      <c r="B16" s="40" t="inlineStr">
        <is>
          <t>Days taken from receipt to resolution:</t>
        </is>
      </c>
      <c r="C16" s="7" t="n"/>
    </row>
    <row r="17" ht="30" customHeight="1">
      <c r="B17" s="40" t="inlineStr">
        <is>
          <t>Within 30-day SLA?</t>
        </is>
      </c>
      <c r="C17" s="41" t="inlineStr">
        <is>
          <t>[ ] Yes  [ ] No — Reason for delay: _______</t>
        </is>
      </c>
    </row>
    <row r="18" ht="30" customHeight="1"/>
    <row r="19" ht="24" customHeight="1">
      <c r="B19" s="36" t="inlineStr">
        <is>
          <t>IMPLEMENTATION MONITORING</t>
        </is>
      </c>
    </row>
    <row r="20" ht="28" customHeight="1">
      <c r="B20" s="42" t="inlineStr">
        <is>
          <t>Person responsible for implementing decision:</t>
        </is>
      </c>
      <c r="C20" s="7" t="n"/>
    </row>
    <row r="21" ht="28" customHeight="1">
      <c r="B21" s="42" t="inlineStr">
        <is>
          <t>Target date for implementation:</t>
        </is>
      </c>
      <c r="C21" s="7" t="n"/>
    </row>
    <row r="22" ht="28" customHeight="1">
      <c r="B22" s="42" t="inlineStr">
        <is>
          <t>Verification / confirmation of implementation:</t>
        </is>
      </c>
      <c r="C22" s="41" t="inlineStr">
        <is>
          <t>[ ] Done — Evidence: _______   [ ] Pending</t>
        </is>
      </c>
    </row>
    <row r="23" ht="28" customHeight="1">
      <c r="B23" s="42" t="inlineStr">
        <is>
          <t>Follow-up with complainant (satisfaction):</t>
        </is>
      </c>
      <c r="C23" s="41" t="inlineStr">
        <is>
          <t>[ ] Satisfied  [ ] Partially satisfied  [ ] Not satisfied</t>
        </is>
      </c>
    </row>
    <row r="24" ht="28" customHeight="1">
      <c r="B24" s="42" t="inlineStr">
        <is>
          <t>Case formally closed on:</t>
        </is>
      </c>
      <c r="C24" s="7" t="n"/>
    </row>
    <row r="25" ht="28" customHeight="1">
      <c r="B25" s="42" t="inlineStr">
        <is>
          <t>Archive reference:</t>
        </is>
      </c>
      <c r="C25" s="7" t="n"/>
    </row>
    <row r="26" ht="30" customHeight="1"/>
    <row r="27" ht="30" customHeight="1">
      <c r="B27" s="31" t="inlineStr">
        <is>
          <t>CMG Chairperson: ___________________    Grievance Officer: ___________________    Date: ___________________    Resolution communicated to student: Y / N</t>
        </is>
      </c>
    </row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</sheetData>
  <mergeCells count="24">
    <mergeCell ref="C16:E16"/>
    <mergeCell ref="C22:E22"/>
    <mergeCell ref="C9:E9"/>
    <mergeCell ref="B5:E5"/>
    <mergeCell ref="C21:E21"/>
    <mergeCell ref="C12:E12"/>
    <mergeCell ref="C11:E11"/>
    <mergeCell ref="B4:E4"/>
    <mergeCell ref="C23:E23"/>
    <mergeCell ref="C8:E8"/>
    <mergeCell ref="C17:E17"/>
    <mergeCell ref="B3:E3"/>
    <mergeCell ref="C7:E7"/>
    <mergeCell ref="B27:E27"/>
    <mergeCell ref="C13:E13"/>
    <mergeCell ref="B2:E2"/>
    <mergeCell ref="C15:E15"/>
    <mergeCell ref="C6:E6"/>
    <mergeCell ref="C24:E24"/>
    <mergeCell ref="C14:E14"/>
    <mergeCell ref="B19:E19"/>
    <mergeCell ref="C20:E20"/>
    <mergeCell ref="C25:E25"/>
    <mergeCell ref="C10:E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3" customWidth="1" min="12" max="12"/>
  </cols>
  <sheetData>
    <row r="1" ht="10" customHeight="1"/>
    <row r="2" ht="48" customHeight="1">
      <c r="B2" s="19" t="inlineStr">
        <is>
          <t>CMG-23: AT-RISK STUDENT IDENTIFICATION &amp; MONITORING REGISTER</t>
        </is>
      </c>
    </row>
    <row r="3" ht="20" customHeight="1">
      <c r="B3" s="3" t="inlineStr">
        <is>
          <t>🔒  CONFIDENTIAL — Student records handled per institutional privacy policy. Access restricted to authorised committee members only.</t>
        </is>
      </c>
    </row>
    <row r="4" ht="25" customHeight="1">
      <c r="B4" s="2" t="inlineStr">
        <is>
          <t>Semester: _______  A.Y.: _______  Reviewed by CMG on: _______</t>
        </is>
      </c>
    </row>
    <row r="5" ht="24" customHeight="1">
      <c r="B5" s="48" t="inlineStr">
        <is>
          <t>Student
(Code)</t>
        </is>
      </c>
      <c r="C5" s="48" t="inlineStr">
        <is>
          <t>Dept. / Year</t>
        </is>
      </c>
      <c r="D5" s="48" t="inlineStr">
        <is>
          <t>Risk
Category</t>
        </is>
      </c>
      <c r="E5" s="48" t="inlineStr">
        <is>
          <t>CGPA</t>
        </is>
      </c>
      <c r="F5" s="48" t="inlineStr">
        <is>
          <t>Attend.
%</t>
        </is>
      </c>
      <c r="G5" s="48" t="inlineStr">
        <is>
          <t>Backlogs</t>
        </is>
      </c>
      <c r="H5" s="48" t="inlineStr">
        <is>
          <t>Financial
Issue</t>
        </is>
      </c>
      <c r="I5" s="48" t="inlineStr">
        <is>
          <t>Personal
Issue</t>
        </is>
      </c>
      <c r="J5" s="48" t="inlineStr">
        <is>
          <t>Referred
To</t>
        </is>
      </c>
      <c r="K5" s="48" t="inlineStr">
        <is>
          <t>Current
Status</t>
        </is>
      </c>
    </row>
    <row r="6" ht="24" customHeight="1">
      <c r="B6" s="50" t="inlineStr"/>
      <c r="C6" s="50" t="inlineStr"/>
      <c r="D6" s="53" t="inlineStr">
        <is>
          <t>Academic — Low CGPA</t>
        </is>
      </c>
      <c r="E6" s="50" t="inlineStr"/>
      <c r="F6" s="50" t="inlineStr"/>
      <c r="G6" s="50" t="inlineStr"/>
      <c r="H6" s="50" t="inlineStr">
        <is>
          <t>N</t>
        </is>
      </c>
      <c r="I6" s="50" t="inlineStr">
        <is>
          <t>N</t>
        </is>
      </c>
      <c r="J6" s="51" t="inlineStr"/>
      <c r="K6" s="50" t="inlineStr">
        <is>
          <t>Counselling assigned</t>
        </is>
      </c>
    </row>
    <row r="7" ht="24" customHeight="1">
      <c r="B7" s="8" t="inlineStr"/>
      <c r="C7" s="8" t="inlineStr"/>
      <c r="D7" s="27" t="inlineStr">
        <is>
          <t>Academic — Repeated Failures</t>
        </is>
      </c>
      <c r="E7" s="8" t="inlineStr"/>
      <c r="F7" s="8" t="inlineStr"/>
      <c r="G7" s="8" t="inlineStr"/>
      <c r="H7" s="8" t="inlineStr">
        <is>
          <t>N</t>
        </is>
      </c>
      <c r="I7" s="8" t="inlineStr">
        <is>
          <t>N</t>
        </is>
      </c>
      <c r="J7" s="7" t="inlineStr"/>
      <c r="K7" s="8" t="inlineStr">
        <is>
          <t>Mentor alerted</t>
        </is>
      </c>
    </row>
    <row r="8" ht="24" customHeight="1">
      <c r="B8" s="50" t="inlineStr"/>
      <c r="C8" s="50" t="inlineStr"/>
      <c r="D8" s="53" t="inlineStr">
        <is>
          <t>Low Attendance (&lt;60%)</t>
        </is>
      </c>
      <c r="E8" s="50" t="inlineStr"/>
      <c r="F8" s="50" t="inlineStr"/>
      <c r="G8" s="50" t="inlineStr"/>
      <c r="H8" s="50" t="inlineStr">
        <is>
          <t>N</t>
        </is>
      </c>
      <c r="I8" s="50" t="inlineStr">
        <is>
          <t>N</t>
        </is>
      </c>
      <c r="J8" s="51" t="inlineStr"/>
      <c r="K8" s="50" t="inlineStr">
        <is>
          <t>Faculty contacted</t>
        </is>
      </c>
    </row>
    <row r="9" ht="24" customHeight="1">
      <c r="B9" s="8" t="inlineStr"/>
      <c r="C9" s="8" t="inlineStr"/>
      <c r="D9" s="27" t="inlineStr">
        <is>
          <t>Attendance + Academic Risk</t>
        </is>
      </c>
      <c r="E9" s="8" t="inlineStr"/>
      <c r="F9" s="8" t="inlineStr"/>
      <c r="G9" s="8" t="inlineStr"/>
      <c r="H9" s="8" t="inlineStr">
        <is>
          <t>N</t>
        </is>
      </c>
      <c r="I9" s="8" t="inlineStr">
        <is>
          <t>N</t>
        </is>
      </c>
      <c r="J9" s="7" t="inlineStr"/>
      <c r="K9" s="8" t="inlineStr">
        <is>
          <t>Parent notified</t>
        </is>
      </c>
    </row>
    <row r="10" ht="24" customHeight="1">
      <c r="B10" s="50" t="inlineStr"/>
      <c r="C10" s="50" t="inlineStr"/>
      <c r="D10" s="53" t="inlineStr">
        <is>
          <t>Financial Difficulty</t>
        </is>
      </c>
      <c r="E10" s="50" t="inlineStr"/>
      <c r="F10" s="50" t="inlineStr"/>
      <c r="G10" s="50" t="inlineStr"/>
      <c r="H10" s="50" t="inlineStr">
        <is>
          <t>N</t>
        </is>
      </c>
      <c r="I10" s="50" t="inlineStr">
        <is>
          <t>N</t>
        </is>
      </c>
      <c r="J10" s="51" t="inlineStr"/>
      <c r="K10" s="50" t="inlineStr">
        <is>
          <t>Dean referred</t>
        </is>
      </c>
    </row>
    <row r="11" ht="24" customHeight="1">
      <c r="B11" s="8" t="inlineStr"/>
      <c r="C11" s="8" t="inlineStr"/>
      <c r="D11" s="27" t="inlineStr">
        <is>
          <t>Mental Health Concern</t>
        </is>
      </c>
      <c r="E11" s="8" t="inlineStr"/>
      <c r="F11" s="8" t="inlineStr"/>
      <c r="G11" s="8" t="inlineStr"/>
      <c r="H11" s="8" t="inlineStr">
        <is>
          <t>N</t>
        </is>
      </c>
      <c r="I11" s="8" t="inlineStr">
        <is>
          <t>N</t>
        </is>
      </c>
      <c r="J11" s="7" t="inlineStr"/>
      <c r="K11" s="8" t="inlineStr">
        <is>
          <t>Financial aid applied</t>
        </is>
      </c>
    </row>
    <row r="12" ht="24" customHeight="1">
      <c r="B12" s="50" t="inlineStr"/>
      <c r="C12" s="50" t="inlineStr"/>
      <c r="D12" s="53" t="inlineStr">
        <is>
          <t>Social Isolation</t>
        </is>
      </c>
      <c r="E12" s="50" t="inlineStr"/>
      <c r="F12" s="50" t="inlineStr"/>
      <c r="G12" s="50" t="inlineStr"/>
      <c r="H12" s="50" t="inlineStr">
        <is>
          <t>N</t>
        </is>
      </c>
      <c r="I12" s="50" t="inlineStr">
        <is>
          <t>N</t>
        </is>
      </c>
      <c r="J12" s="51" t="inlineStr"/>
      <c r="K12" s="50" t="inlineStr">
        <is>
          <t>Under monitoring</t>
        </is>
      </c>
    </row>
    <row r="13" ht="24" customHeight="1">
      <c r="B13" s="8" t="inlineStr"/>
      <c r="C13" s="8" t="inlineStr"/>
      <c r="D13" s="27" t="inlineStr">
        <is>
          <t>Family Crisis</t>
        </is>
      </c>
      <c r="E13" s="8" t="inlineStr"/>
      <c r="F13" s="8" t="inlineStr"/>
      <c r="G13" s="8" t="inlineStr"/>
      <c r="H13" s="8" t="inlineStr">
        <is>
          <t>N</t>
        </is>
      </c>
      <c r="I13" s="8" t="inlineStr">
        <is>
          <t>N</t>
        </is>
      </c>
      <c r="J13" s="7" t="inlineStr"/>
      <c r="K13" s="8" t="inlineStr">
        <is>
          <t>Stabilised</t>
        </is>
      </c>
    </row>
    <row r="14" ht="24" customHeight="1">
      <c r="B14" s="50" t="inlineStr"/>
      <c r="C14" s="50" t="inlineStr"/>
      <c r="D14" s="53" t="inlineStr">
        <is>
          <t>Substance Abuse Concern</t>
        </is>
      </c>
      <c r="E14" s="50" t="inlineStr"/>
      <c r="F14" s="50" t="inlineStr"/>
      <c r="G14" s="50" t="inlineStr"/>
      <c r="H14" s="50" t="inlineStr">
        <is>
          <t>N</t>
        </is>
      </c>
      <c r="I14" s="50" t="inlineStr">
        <is>
          <t>N</t>
        </is>
      </c>
      <c r="J14" s="51" t="inlineStr"/>
      <c r="K14" s="50" t="inlineStr">
        <is>
          <t>Case closed</t>
        </is>
      </c>
    </row>
    <row r="15" ht="24" customHeight="1">
      <c r="B15" s="8" t="inlineStr"/>
      <c r="C15" s="8" t="inlineStr"/>
      <c r="D15" s="27" t="inlineStr">
        <is>
          <t>Disciplinary Risk</t>
        </is>
      </c>
      <c r="E15" s="8" t="inlineStr"/>
      <c r="F15" s="8" t="inlineStr"/>
      <c r="G15" s="8" t="inlineStr"/>
      <c r="H15" s="8" t="inlineStr">
        <is>
          <t>N</t>
        </is>
      </c>
      <c r="I15" s="8" t="inlineStr">
        <is>
          <t>N</t>
        </is>
      </c>
      <c r="J15" s="7" t="inlineStr"/>
      <c r="K15" s="8" t="inlineStr">
        <is>
          <t>Counselling assigned</t>
        </is>
      </c>
    </row>
    <row r="16" ht="24" customHeight="1">
      <c r="B16" s="50" t="inlineStr"/>
      <c r="C16" s="50" t="inlineStr"/>
      <c r="D16" s="53" t="inlineStr">
        <is>
          <t>Multiple Risks</t>
        </is>
      </c>
      <c r="E16" s="50" t="inlineStr"/>
      <c r="F16" s="50" t="inlineStr"/>
      <c r="G16" s="50" t="inlineStr"/>
      <c r="H16" s="50" t="inlineStr">
        <is>
          <t>N</t>
        </is>
      </c>
      <c r="I16" s="50" t="inlineStr">
        <is>
          <t>N</t>
        </is>
      </c>
      <c r="J16" s="51" t="inlineStr"/>
      <c r="K16" s="50" t="inlineStr">
        <is>
          <t>Mentor alerted</t>
        </is>
      </c>
    </row>
    <row r="17" ht="24" customHeight="1">
      <c r="B17" s="8" t="inlineStr"/>
      <c r="C17" s="8" t="inlineStr"/>
      <c r="D17" s="27" t="inlineStr">
        <is>
          <t>Academic — Low CGPA</t>
        </is>
      </c>
      <c r="E17" s="8" t="inlineStr"/>
      <c r="F17" s="8" t="inlineStr"/>
      <c r="G17" s="8" t="inlineStr"/>
      <c r="H17" s="8" t="inlineStr">
        <is>
          <t>N</t>
        </is>
      </c>
      <c r="I17" s="8" t="inlineStr">
        <is>
          <t>N</t>
        </is>
      </c>
      <c r="J17" s="7" t="inlineStr"/>
      <c r="K17" s="8" t="inlineStr">
        <is>
          <t>Faculty contacted</t>
        </is>
      </c>
    </row>
    <row r="18" ht="24" customHeight="1">
      <c r="B18" s="50" t="inlineStr"/>
      <c r="C18" s="50" t="inlineStr"/>
      <c r="D18" s="53" t="inlineStr">
        <is>
          <t>Academic — Repeated Failures</t>
        </is>
      </c>
      <c r="E18" s="50" t="inlineStr"/>
      <c r="F18" s="50" t="inlineStr"/>
      <c r="G18" s="50" t="inlineStr"/>
      <c r="H18" s="50" t="inlineStr">
        <is>
          <t>N</t>
        </is>
      </c>
      <c r="I18" s="50" t="inlineStr">
        <is>
          <t>N</t>
        </is>
      </c>
      <c r="J18" s="51" t="inlineStr"/>
      <c r="K18" s="50" t="inlineStr">
        <is>
          <t>Parent notified</t>
        </is>
      </c>
    </row>
    <row r="19" ht="24" customHeight="1">
      <c r="B19" s="8" t="inlineStr"/>
      <c r="C19" s="8" t="inlineStr"/>
      <c r="D19" s="27" t="inlineStr">
        <is>
          <t>Low Attendance (&lt;60%)</t>
        </is>
      </c>
      <c r="E19" s="8" t="inlineStr"/>
      <c r="F19" s="8" t="inlineStr"/>
      <c r="G19" s="8" t="inlineStr"/>
      <c r="H19" s="8" t="inlineStr">
        <is>
          <t>N</t>
        </is>
      </c>
      <c r="I19" s="8" t="inlineStr">
        <is>
          <t>N</t>
        </is>
      </c>
      <c r="J19" s="7" t="inlineStr"/>
      <c r="K19" s="8" t="inlineStr">
        <is>
          <t>Dean referred</t>
        </is>
      </c>
    </row>
    <row r="20" ht="24" customHeight="1">
      <c r="B20" s="50" t="inlineStr"/>
      <c r="C20" s="50" t="inlineStr"/>
      <c r="D20" s="53" t="inlineStr">
        <is>
          <t>Attendance + Academic Risk</t>
        </is>
      </c>
      <c r="E20" s="50" t="inlineStr"/>
      <c r="F20" s="50" t="inlineStr"/>
      <c r="G20" s="50" t="inlineStr"/>
      <c r="H20" s="50" t="inlineStr">
        <is>
          <t>N</t>
        </is>
      </c>
      <c r="I20" s="50" t="inlineStr">
        <is>
          <t>N</t>
        </is>
      </c>
      <c r="J20" s="51" t="inlineStr"/>
      <c r="K20" s="50" t="inlineStr">
        <is>
          <t>Financial aid applied</t>
        </is>
      </c>
    </row>
    <row r="21" ht="24" customHeight="1">
      <c r="B21" s="8" t="inlineStr"/>
      <c r="C21" s="8" t="inlineStr"/>
      <c r="D21" s="27" t="inlineStr">
        <is>
          <t>Financial Difficulty</t>
        </is>
      </c>
      <c r="E21" s="8" t="inlineStr"/>
      <c r="F21" s="8" t="inlineStr"/>
      <c r="G21" s="8" t="inlineStr"/>
      <c r="H21" s="8" t="inlineStr">
        <is>
          <t>N</t>
        </is>
      </c>
      <c r="I21" s="8" t="inlineStr">
        <is>
          <t>N</t>
        </is>
      </c>
      <c r="J21" s="7" t="inlineStr"/>
      <c r="K21" s="8" t="inlineStr">
        <is>
          <t>Under monitoring</t>
        </is>
      </c>
    </row>
    <row r="22" ht="24" customHeight="1">
      <c r="B22" s="50" t="inlineStr"/>
      <c r="C22" s="50" t="inlineStr"/>
      <c r="D22" s="53" t="inlineStr">
        <is>
          <t>Mental Health Concern</t>
        </is>
      </c>
      <c r="E22" s="50" t="inlineStr"/>
      <c r="F22" s="50" t="inlineStr"/>
      <c r="G22" s="50" t="inlineStr"/>
      <c r="H22" s="50" t="inlineStr">
        <is>
          <t>N</t>
        </is>
      </c>
      <c r="I22" s="50" t="inlineStr">
        <is>
          <t>N</t>
        </is>
      </c>
      <c r="J22" s="51" t="inlineStr"/>
      <c r="K22" s="50" t="inlineStr">
        <is>
          <t>Stabilised</t>
        </is>
      </c>
    </row>
    <row r="23" ht="24" customHeight="1">
      <c r="B23" s="8" t="inlineStr"/>
      <c r="C23" s="8" t="inlineStr"/>
      <c r="D23" s="27" t="inlineStr">
        <is>
          <t>Social Isolation</t>
        </is>
      </c>
      <c r="E23" s="8" t="inlineStr"/>
      <c r="F23" s="8" t="inlineStr"/>
      <c r="G23" s="8" t="inlineStr"/>
      <c r="H23" s="8" t="inlineStr">
        <is>
          <t>N</t>
        </is>
      </c>
      <c r="I23" s="8" t="inlineStr">
        <is>
          <t>N</t>
        </is>
      </c>
      <c r="J23" s="7" t="inlineStr"/>
      <c r="K23" s="8" t="inlineStr">
        <is>
          <t>Case closed</t>
        </is>
      </c>
    </row>
    <row r="24" ht="24" customHeight="1">
      <c r="B24" s="50" t="inlineStr"/>
      <c r="C24" s="50" t="inlineStr"/>
      <c r="D24" s="53" t="inlineStr">
        <is>
          <t>Family Crisis</t>
        </is>
      </c>
      <c r="E24" s="50" t="inlineStr"/>
      <c r="F24" s="50" t="inlineStr"/>
      <c r="G24" s="50" t="inlineStr"/>
      <c r="H24" s="50" t="inlineStr">
        <is>
          <t>N</t>
        </is>
      </c>
      <c r="I24" s="50" t="inlineStr">
        <is>
          <t>N</t>
        </is>
      </c>
      <c r="J24" s="51" t="inlineStr"/>
      <c r="K24" s="50" t="inlineStr">
        <is>
          <t>Counselling assigned</t>
        </is>
      </c>
    </row>
    <row r="25" ht="24" customHeight="1">
      <c r="B25" s="8" t="inlineStr"/>
      <c r="C25" s="8" t="inlineStr"/>
      <c r="D25" s="27" t="inlineStr">
        <is>
          <t>Substance Abuse Concern</t>
        </is>
      </c>
      <c r="E25" s="8" t="inlineStr"/>
      <c r="F25" s="8" t="inlineStr"/>
      <c r="G25" s="8" t="inlineStr"/>
      <c r="H25" s="8" t="inlineStr">
        <is>
          <t>N</t>
        </is>
      </c>
      <c r="I25" s="8" t="inlineStr">
        <is>
          <t>N</t>
        </is>
      </c>
      <c r="J25" s="7" t="inlineStr"/>
      <c r="K25" s="8" t="inlineStr">
        <is>
          <t>Mentor alerted</t>
        </is>
      </c>
    </row>
    <row r="26" ht="24" customHeight="1">
      <c r="B26" s="50" t="inlineStr"/>
      <c r="C26" s="50" t="inlineStr"/>
      <c r="D26" s="53" t="inlineStr">
        <is>
          <t>Disciplinary Risk</t>
        </is>
      </c>
      <c r="E26" s="50" t="inlineStr"/>
      <c r="F26" s="50" t="inlineStr"/>
      <c r="G26" s="50" t="inlineStr"/>
      <c r="H26" s="50" t="inlineStr">
        <is>
          <t>N</t>
        </is>
      </c>
      <c r="I26" s="50" t="inlineStr">
        <is>
          <t>N</t>
        </is>
      </c>
      <c r="J26" s="51" t="inlineStr"/>
      <c r="K26" s="50" t="inlineStr">
        <is>
          <t>Faculty contacted</t>
        </is>
      </c>
    </row>
    <row r="27" ht="24" customHeight="1">
      <c r="B27" s="8" t="inlineStr"/>
      <c r="C27" s="8" t="inlineStr"/>
      <c r="D27" s="27" t="inlineStr">
        <is>
          <t>Multiple Risks</t>
        </is>
      </c>
      <c r="E27" s="8" t="inlineStr"/>
      <c r="F27" s="8" t="inlineStr"/>
      <c r="G27" s="8" t="inlineStr"/>
      <c r="H27" s="8" t="inlineStr">
        <is>
          <t>N</t>
        </is>
      </c>
      <c r="I27" s="8" t="inlineStr">
        <is>
          <t>N</t>
        </is>
      </c>
      <c r="J27" s="7" t="inlineStr"/>
      <c r="K27" s="8" t="inlineStr">
        <is>
          <t>Parent notified</t>
        </is>
      </c>
    </row>
    <row r="28" ht="24" customHeight="1"/>
    <row r="29" ht="24" customHeight="1">
      <c r="B29" s="52" t="inlineStr">
        <is>
          <t>AT-RISK SUMMARY</t>
        </is>
      </c>
    </row>
    <row r="30" ht="24" customHeight="1">
      <c r="B30" s="53" t="inlineStr">
        <is>
          <t>Total At-Risk Students Identified</t>
        </is>
      </c>
      <c r="F30" s="38">
        <f>COUNTA(B6:B27)</f>
        <v/>
      </c>
    </row>
    <row r="31" ht="24" customHeight="1">
      <c r="B31" s="27" t="inlineStr">
        <is>
          <t>Academic Risk</t>
        </is>
      </c>
      <c r="F31" s="39">
        <f>COUNTIF(D6:D27,"Academic — Low CGPA")</f>
        <v/>
      </c>
    </row>
    <row r="32" ht="24" customHeight="1">
      <c r="B32" s="53" t="inlineStr">
        <is>
          <t>Attendance Risk</t>
        </is>
      </c>
      <c r="F32" s="38">
        <f>COUNTIF(D6:D27,"Low Attendance (&lt;60%)")</f>
        <v/>
      </c>
    </row>
    <row r="33" ht="24" customHeight="1">
      <c r="B33" s="27" t="inlineStr">
        <is>
          <t>Financial Risk</t>
        </is>
      </c>
      <c r="F33" s="39">
        <f>COUNTIF(H6:H27,"Y")</f>
        <v/>
      </c>
    </row>
    <row r="34" ht="24" customHeight="1">
      <c r="B34" s="53" t="inlineStr">
        <is>
          <t>Mental Health Concern</t>
        </is>
      </c>
      <c r="F34" s="38" t="inlineStr"/>
    </row>
    <row r="35" ht="24" customHeight="1">
      <c r="B35" s="27" t="inlineStr">
        <is>
          <t>Multiple Risks</t>
        </is>
      </c>
      <c r="F35" s="39">
        <f>COUNTIF(D6:D27,"Multiple Risks")</f>
        <v/>
      </c>
    </row>
    <row r="36">
      <c r="B36" s="53" t="inlineStr">
        <is>
          <t>Stabilised / Cases Closed</t>
        </is>
      </c>
      <c r="F36" s="38">
        <f>COUNTIF(K6:K27,"Stabilised")</f>
        <v/>
      </c>
    </row>
  </sheetData>
  <mergeCells count="18">
    <mergeCell ref="B31:E31"/>
    <mergeCell ref="B36:E36"/>
    <mergeCell ref="F34:K34"/>
    <mergeCell ref="F33:K33"/>
    <mergeCell ref="B35:E35"/>
    <mergeCell ref="B4:K4"/>
    <mergeCell ref="F36:K36"/>
    <mergeCell ref="F32:K32"/>
    <mergeCell ref="B34:E34"/>
    <mergeCell ref="B30:E30"/>
    <mergeCell ref="F31:K31"/>
    <mergeCell ref="B29:K29"/>
    <mergeCell ref="B33:E33"/>
    <mergeCell ref="F35:K35"/>
    <mergeCell ref="B2:K2"/>
    <mergeCell ref="F30:K30"/>
    <mergeCell ref="B3:K3"/>
    <mergeCell ref="B32:E3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9" t="inlineStr">
        <is>
          <t>CMG-31: STUDENT WELLBEING SURVEY — CONSOLIDATED ANALYSIS</t>
        </is>
      </c>
    </row>
    <row r="3" ht="25" customHeight="1">
      <c r="B3" s="2" t="inlineStr">
        <is>
          <t>A.Y.: _______  Semester: _______  Total Respondents: _______  Mode: Online / Paper  Date: _______</t>
        </is>
      </c>
    </row>
    <row r="4" ht="22" customHeight="1">
      <c r="B4" s="69" t="inlineStr">
        <is>
          <t>Scale: 1 = Strongly Disagree / Never  |  3 = Sometimes  |  5 = Strongly Agree / Always</t>
        </is>
      </c>
    </row>
    <row r="5" ht="24" customHeight="1">
      <c r="B5" s="21" t="inlineStr">
        <is>
          <t>SECTION A — ACADEMIC WELLBEING</t>
        </is>
      </c>
    </row>
    <row r="6" ht="22" customHeight="1">
      <c r="B6" s="14" t="inlineStr">
        <is>
          <t>Q.</t>
        </is>
      </c>
      <c r="C6" s="14" t="inlineStr">
        <is>
          <t>Survey Statement</t>
        </is>
      </c>
      <c r="D6" s="14" t="inlineStr">
        <is>
          <t>Strongly
Agree (5)</t>
        </is>
      </c>
      <c r="E6" s="14" t="inlineStr">
        <is>
          <t>Agree
(4)</t>
        </is>
      </c>
      <c r="F6" s="14" t="inlineStr">
        <is>
          <t>Neutral
(3)</t>
        </is>
      </c>
      <c r="G6" s="14" t="inlineStr">
        <is>
          <t>Disagree
(2)</t>
        </is>
      </c>
      <c r="H6" s="14" t="inlineStr">
        <is>
          <t>Strongly
Disagree (1)</t>
        </is>
      </c>
      <c r="I6" s="14" t="inlineStr">
        <is>
          <t>Avg Score</t>
        </is>
      </c>
    </row>
    <row r="7" ht="22" customHeight="1">
      <c r="B7" s="15" t="inlineStr">
        <is>
          <t>Q1</t>
        </is>
      </c>
      <c r="C7" s="16" t="inlineStr">
        <is>
          <t>I understand the course content and learning outcomes clearly</t>
        </is>
      </c>
      <c r="D7" s="17" t="inlineStr"/>
      <c r="E7" s="17" t="inlineStr"/>
      <c r="F7" s="17" t="inlineStr"/>
      <c r="G7" s="17" t="inlineStr"/>
      <c r="H7" s="17" t="inlineStr"/>
      <c r="I7" s="70">
        <f>IFERROR(ROUND((D7*5+E7*4+F7*3+G7*2+H7*1)/SUM(D7:H7),2),"")</f>
        <v/>
      </c>
    </row>
    <row r="8" ht="22" customHeight="1">
      <c r="B8" s="6" t="inlineStr">
        <is>
          <t>Q2</t>
        </is>
      </c>
      <c r="C8" s="7" t="inlineStr">
        <is>
          <t>I am able to manage my academic workload effectively</t>
        </is>
      </c>
      <c r="D8" s="8" t="inlineStr"/>
      <c r="E8" s="8" t="inlineStr"/>
      <c r="F8" s="8" t="inlineStr"/>
      <c r="G8" s="8" t="inlineStr"/>
      <c r="H8" s="8" t="inlineStr"/>
      <c r="I8" s="39">
        <f>IFERROR(ROUND((D8*5+E8*4+F8*3+G8*2+H8*1)/SUM(D8:H8),2),"")</f>
        <v/>
      </c>
    </row>
    <row r="9" ht="22" customHeight="1">
      <c r="B9" s="15" t="inlineStr">
        <is>
          <t>Q3</t>
        </is>
      </c>
      <c r="C9" s="16" t="inlineStr">
        <is>
          <t>I receive timely feedback from faculty on my performance</t>
        </is>
      </c>
      <c r="D9" s="17" t="inlineStr"/>
      <c r="E9" s="17" t="inlineStr"/>
      <c r="F9" s="17" t="inlineStr"/>
      <c r="G9" s="17" t="inlineStr"/>
      <c r="H9" s="17" t="inlineStr"/>
      <c r="I9" s="70">
        <f>IFERROR(ROUND((D9*5+E9*4+F9*3+G9*2+H9*1)/SUM(D9:H9),2),"")</f>
        <v/>
      </c>
    </row>
    <row r="10" ht="22" customHeight="1">
      <c r="B10" s="6" t="inlineStr">
        <is>
          <t>Q4</t>
        </is>
      </c>
      <c r="C10" s="7" t="inlineStr">
        <is>
          <t>I feel motivated and engaged in my studies</t>
        </is>
      </c>
      <c r="D10" s="8" t="inlineStr"/>
      <c r="E10" s="8" t="inlineStr"/>
      <c r="F10" s="8" t="inlineStr"/>
      <c r="G10" s="8" t="inlineStr"/>
      <c r="H10" s="8" t="inlineStr"/>
      <c r="I10" s="39">
        <f>IFERROR(ROUND((D10*5+E10*4+F10*3+G10*2+H10*1)/SUM(D10:H10),2),"")</f>
        <v/>
      </c>
    </row>
    <row r="11" ht="22" customHeight="1">
      <c r="B11" s="15" t="inlineStr">
        <is>
          <t>Q5</t>
        </is>
      </c>
      <c r="C11" s="16" t="inlineStr">
        <is>
          <t>I have access to academic support when I need it</t>
        </is>
      </c>
      <c r="D11" s="17" t="inlineStr"/>
      <c r="E11" s="17" t="inlineStr"/>
      <c r="F11" s="17" t="inlineStr"/>
      <c r="G11" s="17" t="inlineStr"/>
      <c r="H11" s="17" t="inlineStr"/>
      <c r="I11" s="70">
        <f>IFERROR(ROUND((D11*5+E11*4+F11*3+G11*2+H11*1)/SUM(D11:H11),2),"")</f>
        <v/>
      </c>
    </row>
    <row r="12" ht="22" customHeight="1">
      <c r="B12" s="6" t="inlineStr">
        <is>
          <t>Q6</t>
        </is>
      </c>
      <c r="C12" s="7" t="inlineStr">
        <is>
          <t>My attendance and academic performance are satisfactory</t>
        </is>
      </c>
      <c r="D12" s="8" t="inlineStr"/>
      <c r="E12" s="8" t="inlineStr"/>
      <c r="F12" s="8" t="inlineStr"/>
      <c r="G12" s="8" t="inlineStr"/>
      <c r="H12" s="8" t="inlineStr"/>
      <c r="I12" s="39">
        <f>IFERROR(ROUND((D12*5+E12*4+F12*3+G12*2+H12*1)/SUM(D12:H12),2),"")</f>
        <v/>
      </c>
    </row>
    <row r="13" ht="22" customHeight="1"/>
    <row r="14" ht="24" customHeight="1">
      <c r="B14" s="36" t="inlineStr">
        <is>
          <t>SECTION B — MENTAL &amp; EMOTIONAL HEALTH</t>
        </is>
      </c>
    </row>
    <row r="15" ht="22" customHeight="1">
      <c r="B15" s="32" t="inlineStr">
        <is>
          <t>Q.</t>
        </is>
      </c>
      <c r="C15" s="32" t="inlineStr">
        <is>
          <t>Survey Statement</t>
        </is>
      </c>
      <c r="D15" s="32" t="inlineStr">
        <is>
          <t>Strongly
Agree (5)</t>
        </is>
      </c>
      <c r="E15" s="32" t="inlineStr">
        <is>
          <t>Agree
(4)</t>
        </is>
      </c>
      <c r="F15" s="32" t="inlineStr">
        <is>
          <t>Neutral
(3)</t>
        </is>
      </c>
      <c r="G15" s="32" t="inlineStr">
        <is>
          <t>Disagree
(2)</t>
        </is>
      </c>
      <c r="H15" s="32" t="inlineStr">
        <is>
          <t>Strongly
Disagree (1)</t>
        </is>
      </c>
      <c r="I15" s="32" t="inlineStr">
        <is>
          <t>Avg Score</t>
        </is>
      </c>
    </row>
    <row r="16" ht="22" customHeight="1">
      <c r="B16" s="33" t="inlineStr">
        <is>
          <t>Q7</t>
        </is>
      </c>
      <c r="C16" s="34" t="inlineStr">
        <is>
          <t>I feel emotionally stable and in control of my life</t>
        </is>
      </c>
      <c r="D16" s="35" t="inlineStr"/>
      <c r="E16" s="35" t="inlineStr"/>
      <c r="F16" s="35" t="inlineStr"/>
      <c r="G16" s="35" t="inlineStr"/>
      <c r="H16" s="35" t="inlineStr"/>
      <c r="I16" s="71">
        <f>IFERROR(ROUND((D16*5+E16*4+F16*3+G16*2+H16*1)/SUM(D16:H16),2),"")</f>
        <v/>
      </c>
    </row>
    <row r="17" ht="22" customHeight="1">
      <c r="B17" s="6" t="inlineStr">
        <is>
          <t>Q8</t>
        </is>
      </c>
      <c r="C17" s="7" t="inlineStr">
        <is>
          <t>I am able to manage stress related to studies and personal life</t>
        </is>
      </c>
      <c r="D17" s="8" t="inlineStr"/>
      <c r="E17" s="8" t="inlineStr"/>
      <c r="F17" s="8" t="inlineStr"/>
      <c r="G17" s="8" t="inlineStr"/>
      <c r="H17" s="8" t="inlineStr"/>
      <c r="I17" s="39">
        <f>IFERROR(ROUND((D17*5+E17*4+F17*3+G17*2+H17*1)/SUM(D17:H17),2),"")</f>
        <v/>
      </c>
    </row>
    <row r="18" ht="22" customHeight="1">
      <c r="B18" s="33" t="inlineStr">
        <is>
          <t>Q9</t>
        </is>
      </c>
      <c r="C18" s="34" t="inlineStr">
        <is>
          <t>I sleep well and feel rested most days</t>
        </is>
      </c>
      <c r="D18" s="35" t="inlineStr"/>
      <c r="E18" s="35" t="inlineStr"/>
      <c r="F18" s="35" t="inlineStr"/>
      <c r="G18" s="35" t="inlineStr"/>
      <c r="H18" s="35" t="inlineStr"/>
      <c r="I18" s="71">
        <f>IFERROR(ROUND((D18*5+E18*4+F18*3+G18*2+H18*1)/SUM(D18:H18),2),"")</f>
        <v/>
      </c>
    </row>
    <row r="19" ht="22" customHeight="1">
      <c r="B19" s="6" t="inlineStr">
        <is>
          <t>Q10</t>
        </is>
      </c>
      <c r="C19" s="7" t="inlineStr">
        <is>
          <t>I feel connected to my peers and have meaningful friendships</t>
        </is>
      </c>
      <c r="D19" s="8" t="inlineStr"/>
      <c r="E19" s="8" t="inlineStr"/>
      <c r="F19" s="8" t="inlineStr"/>
      <c r="G19" s="8" t="inlineStr"/>
      <c r="H19" s="8" t="inlineStr"/>
      <c r="I19" s="39">
        <f>IFERROR(ROUND((D19*5+E19*4+F19*3+G19*2+H19*1)/SUM(D19:H19),2),"")</f>
        <v/>
      </c>
    </row>
    <row r="20" ht="22" customHeight="1">
      <c r="B20" s="33" t="inlineStr">
        <is>
          <t>Q11</t>
        </is>
      </c>
      <c r="C20" s="34" t="inlineStr">
        <is>
          <t>I know where to go for mental health support on campus</t>
        </is>
      </c>
      <c r="D20" s="35" t="inlineStr"/>
      <c r="E20" s="35" t="inlineStr"/>
      <c r="F20" s="35" t="inlineStr"/>
      <c r="G20" s="35" t="inlineStr"/>
      <c r="H20" s="35" t="inlineStr"/>
      <c r="I20" s="71">
        <f>IFERROR(ROUND((D20*5+E20*4+F20*3+G20*2+H20*1)/SUM(D20:H20),2),"")</f>
        <v/>
      </c>
    </row>
    <row r="21" ht="22" customHeight="1">
      <c r="B21" s="6" t="inlineStr">
        <is>
          <t>Q12</t>
        </is>
      </c>
      <c r="C21" s="7" t="inlineStr">
        <is>
          <t>I feel comfortable approaching the counsellor / mentor for help</t>
        </is>
      </c>
      <c r="D21" s="8" t="inlineStr"/>
      <c r="E21" s="8" t="inlineStr"/>
      <c r="F21" s="8" t="inlineStr"/>
      <c r="G21" s="8" t="inlineStr"/>
      <c r="H21" s="8" t="inlineStr"/>
      <c r="I21" s="39">
        <f>IFERROR(ROUND((D21*5+E21*4+F21*3+G21*2+H21*1)/SUM(D21:H21),2),"")</f>
        <v/>
      </c>
    </row>
    <row r="22" ht="22" customHeight="1"/>
    <row r="23" ht="24" customHeight="1">
      <c r="B23" s="43" t="inlineStr">
        <is>
          <t>SECTION C — CAMPUS ENVIRONMENT &amp; SAFETY</t>
        </is>
      </c>
    </row>
    <row r="24" ht="22" customHeight="1">
      <c r="B24" s="72" t="inlineStr">
        <is>
          <t>Q.</t>
        </is>
      </c>
      <c r="C24" s="72" t="inlineStr">
        <is>
          <t>Survey Statement</t>
        </is>
      </c>
      <c r="D24" s="72" t="inlineStr">
        <is>
          <t>Strongly
Agree (5)</t>
        </is>
      </c>
      <c r="E24" s="72" t="inlineStr">
        <is>
          <t>Agree
(4)</t>
        </is>
      </c>
      <c r="F24" s="72" t="inlineStr">
        <is>
          <t>Neutral
(3)</t>
        </is>
      </c>
      <c r="G24" s="72" t="inlineStr">
        <is>
          <t>Disagree
(2)</t>
        </is>
      </c>
      <c r="H24" s="72" t="inlineStr">
        <is>
          <t>Strongly
Disagree (1)</t>
        </is>
      </c>
      <c r="I24" s="72" t="inlineStr">
        <is>
          <t>Avg Score</t>
        </is>
      </c>
    </row>
    <row r="25" ht="22" customHeight="1">
      <c r="B25" s="73" t="inlineStr">
        <is>
          <t>Q13</t>
        </is>
      </c>
      <c r="C25" s="74" t="inlineStr">
        <is>
          <t>I feel safe on campus — physically and emotionally</t>
        </is>
      </c>
      <c r="D25" s="75" t="inlineStr"/>
      <c r="E25" s="75" t="inlineStr"/>
      <c r="F25" s="75" t="inlineStr"/>
      <c r="G25" s="75" t="inlineStr"/>
      <c r="H25" s="75" t="inlineStr"/>
      <c r="I25" s="76">
        <f>IFERROR(ROUND((D25*5+E25*4+F25*3+G25*2+H25*1)/SUM(D25:H25),2),"")</f>
        <v/>
      </c>
    </row>
    <row r="26" ht="22" customHeight="1">
      <c r="B26" s="6" t="inlineStr">
        <is>
          <t>Q14</t>
        </is>
      </c>
      <c r="C26" s="7" t="inlineStr">
        <is>
          <t>I have not experienced any form of ragging, bullying or harassment</t>
        </is>
      </c>
      <c r="D26" s="8" t="inlineStr"/>
      <c r="E26" s="8" t="inlineStr"/>
      <c r="F26" s="8" t="inlineStr"/>
      <c r="G26" s="8" t="inlineStr"/>
      <c r="H26" s="8" t="inlineStr"/>
      <c r="I26" s="39">
        <f>IFERROR(ROUND((D26*5+E26*4+F26*3+G26*2+H26*1)/SUM(D26:H26),2),"")</f>
        <v/>
      </c>
    </row>
    <row r="27" ht="22" customHeight="1">
      <c r="B27" s="73" t="inlineStr">
        <is>
          <t>Q15</t>
        </is>
      </c>
      <c r="C27" s="74" t="inlineStr">
        <is>
          <t>The campus environment is inclusive and free from discrimination</t>
        </is>
      </c>
      <c r="D27" s="75" t="inlineStr"/>
      <c r="E27" s="75" t="inlineStr"/>
      <c r="F27" s="75" t="inlineStr"/>
      <c r="G27" s="75" t="inlineStr"/>
      <c r="H27" s="75" t="inlineStr"/>
      <c r="I27" s="76">
        <f>IFERROR(ROUND((D27*5+E27*4+F27*3+G27*2+H27*1)/SUM(D27:H27),2),"")</f>
        <v/>
      </c>
    </row>
    <row r="28" ht="22" customHeight="1">
      <c r="B28" s="6" t="inlineStr">
        <is>
          <t>Q16</t>
        </is>
      </c>
      <c r="C28" s="7" t="inlineStr">
        <is>
          <t>Infrastructure and facilities meet my basic needs</t>
        </is>
      </c>
      <c r="D28" s="8" t="inlineStr"/>
      <c r="E28" s="8" t="inlineStr"/>
      <c r="F28" s="8" t="inlineStr"/>
      <c r="G28" s="8" t="inlineStr"/>
      <c r="H28" s="8" t="inlineStr"/>
      <c r="I28" s="39">
        <f>IFERROR(ROUND((D28*5+E28*4+F28*3+G28*2+H28*1)/SUM(D28:H28),2),"")</f>
        <v/>
      </c>
    </row>
    <row r="29" ht="22" customHeight="1">
      <c r="B29" s="73" t="inlineStr">
        <is>
          <t>Q17</t>
        </is>
      </c>
      <c r="C29" s="74" t="inlineStr">
        <is>
          <t>Hostel environment is safe and comfortable (if applicable)</t>
        </is>
      </c>
      <c r="D29" s="75" t="inlineStr"/>
      <c r="E29" s="75" t="inlineStr"/>
      <c r="F29" s="75" t="inlineStr"/>
      <c r="G29" s="75" t="inlineStr"/>
      <c r="H29" s="75" t="inlineStr"/>
      <c r="I29" s="76">
        <f>IFERROR(ROUND((D29*5+E29*4+F29*3+G29*2+H29*1)/SUM(D29:H29),2),"")</f>
        <v/>
      </c>
    </row>
    <row r="30" ht="22" customHeight="1">
      <c r="B30" s="6" t="inlineStr">
        <is>
          <t>Q18</t>
        </is>
      </c>
      <c r="C30" s="7" t="inlineStr">
        <is>
          <t>I know the grievance redressal process if I face any issue</t>
        </is>
      </c>
      <c r="D30" s="8" t="inlineStr"/>
      <c r="E30" s="8" t="inlineStr"/>
      <c r="F30" s="8" t="inlineStr"/>
      <c r="G30" s="8" t="inlineStr"/>
      <c r="H30" s="8" t="inlineStr"/>
      <c r="I30" s="39">
        <f>IFERROR(ROUND((D30*5+E30*4+F30*3+G30*2+H30*1)/SUM(D30:H30),2),"")</f>
        <v/>
      </c>
    </row>
    <row r="31" ht="22" customHeight="1"/>
    <row r="32" ht="24" customHeight="1">
      <c r="B32" s="63" t="inlineStr">
        <is>
          <t>SECTION D — SUPPORT SERVICES</t>
        </is>
      </c>
    </row>
    <row r="33" ht="22" customHeight="1">
      <c r="B33" s="77" t="inlineStr">
        <is>
          <t>Q.</t>
        </is>
      </c>
      <c r="C33" s="77" t="inlineStr">
        <is>
          <t>Survey Statement</t>
        </is>
      </c>
      <c r="D33" s="77" t="inlineStr">
        <is>
          <t>Strongly
Agree (5)</t>
        </is>
      </c>
      <c r="E33" s="77" t="inlineStr">
        <is>
          <t>Agree
(4)</t>
        </is>
      </c>
      <c r="F33" s="77" t="inlineStr">
        <is>
          <t>Neutral
(3)</t>
        </is>
      </c>
      <c r="G33" s="77" t="inlineStr">
        <is>
          <t>Disagree
(2)</t>
        </is>
      </c>
      <c r="H33" s="77" t="inlineStr">
        <is>
          <t>Strongly
Disagree (1)</t>
        </is>
      </c>
      <c r="I33" s="77" t="inlineStr">
        <is>
          <t>Avg Score</t>
        </is>
      </c>
    </row>
    <row r="34" ht="22" customHeight="1">
      <c r="B34" s="78" t="inlineStr">
        <is>
          <t>Q19</t>
        </is>
      </c>
      <c r="C34" s="79" t="inlineStr">
        <is>
          <t>The mentoring programme has been useful and supportive</t>
        </is>
      </c>
      <c r="D34" s="80" t="inlineStr"/>
      <c r="E34" s="80" t="inlineStr"/>
      <c r="F34" s="80" t="inlineStr"/>
      <c r="G34" s="80" t="inlineStr"/>
      <c r="H34" s="80" t="inlineStr"/>
      <c r="I34" s="81">
        <f>IFERROR(ROUND((D34*5+E34*4+F34*3+G34*2+H34*1)/SUM(D34:H34),2),"")</f>
        <v/>
      </c>
    </row>
    <row r="35" ht="22" customHeight="1">
      <c r="B35" s="6" t="inlineStr">
        <is>
          <t>Q20</t>
        </is>
      </c>
      <c r="C35" s="7" t="inlineStr">
        <is>
          <t>My faculty mentor is accessible and approachable</t>
        </is>
      </c>
      <c r="D35" s="8" t="inlineStr"/>
      <c r="E35" s="8" t="inlineStr"/>
      <c r="F35" s="8" t="inlineStr"/>
      <c r="G35" s="8" t="inlineStr"/>
      <c r="H35" s="8" t="inlineStr"/>
      <c r="I35" s="39">
        <f>IFERROR(ROUND((D35*5+E35*4+F35*3+G35*2+H35*1)/SUM(D35:H35),2),"")</f>
        <v/>
      </c>
    </row>
    <row r="36" ht="22" customHeight="1">
      <c r="B36" s="78" t="inlineStr">
        <is>
          <t>Q21</t>
        </is>
      </c>
      <c r="C36" s="79" t="inlineStr">
        <is>
          <t>Counselling services are available and confidential</t>
        </is>
      </c>
      <c r="D36" s="80" t="inlineStr"/>
      <c r="E36" s="80" t="inlineStr"/>
      <c r="F36" s="80" t="inlineStr"/>
      <c r="G36" s="80" t="inlineStr"/>
      <c r="H36" s="80" t="inlineStr"/>
      <c r="I36" s="81">
        <f>IFERROR(ROUND((D36*5+E36*4+F36*3+G36*2+H36*1)/SUM(D36:H36),2),"")</f>
        <v/>
      </c>
    </row>
    <row r="37" ht="22" customHeight="1">
      <c r="B37" s="6" t="inlineStr">
        <is>
          <t>Q22</t>
        </is>
      </c>
      <c r="C37" s="7" t="inlineStr">
        <is>
          <t>Financial support (scholarships, aid) is available if needed</t>
        </is>
      </c>
      <c r="D37" s="8" t="inlineStr"/>
      <c r="E37" s="8" t="inlineStr"/>
      <c r="F37" s="8" t="inlineStr"/>
      <c r="G37" s="8" t="inlineStr"/>
      <c r="H37" s="8" t="inlineStr"/>
      <c r="I37" s="39">
        <f>IFERROR(ROUND((D37*5+E37*4+F37*3+G37*2+H37*1)/SUM(D37:H37),2),"")</f>
        <v/>
      </c>
    </row>
    <row r="38" ht="22" customHeight="1">
      <c r="B38" s="78" t="inlineStr">
        <is>
          <t>Q23</t>
        </is>
      </c>
      <c r="C38" s="79" t="inlineStr">
        <is>
          <t>Career guidance services are helpful</t>
        </is>
      </c>
      <c r="D38" s="80" t="inlineStr"/>
      <c r="E38" s="80" t="inlineStr"/>
      <c r="F38" s="80" t="inlineStr"/>
      <c r="G38" s="80" t="inlineStr"/>
      <c r="H38" s="80" t="inlineStr"/>
      <c r="I38" s="81">
        <f>IFERROR(ROUND((D38*5+E38*4+F38*3+G38*2+H38*1)/SUM(D38:H38),2),"")</f>
        <v/>
      </c>
    </row>
    <row r="39" ht="22" customHeight="1">
      <c r="B39" s="6" t="inlineStr">
        <is>
          <t>Q24</t>
        </is>
      </c>
      <c r="C39" s="7" t="inlineStr">
        <is>
          <t>Student welfare services address my needs effectively</t>
        </is>
      </c>
      <c r="D39" s="8" t="inlineStr"/>
      <c r="E39" s="8" t="inlineStr"/>
      <c r="F39" s="8" t="inlineStr"/>
      <c r="G39" s="8" t="inlineStr"/>
      <c r="H39" s="8" t="inlineStr"/>
      <c r="I39" s="39">
        <f>IFERROR(ROUND((D39*5+E39*4+F39*3+G39*2+H39*1)/SUM(D39:H39),2),"")</f>
        <v/>
      </c>
    </row>
    <row r="40" ht="22" customHeight="1"/>
    <row r="41" ht="24" customHeight="1">
      <c r="B41" s="22" t="inlineStr">
        <is>
          <t>SECTION E — OVERALL SATISFACTION</t>
        </is>
      </c>
    </row>
    <row r="42" ht="22" customHeight="1">
      <c r="B42" s="23" t="inlineStr">
        <is>
          <t>Q.</t>
        </is>
      </c>
      <c r="C42" s="23" t="inlineStr">
        <is>
          <t>Survey Statement</t>
        </is>
      </c>
      <c r="D42" s="23" t="inlineStr">
        <is>
          <t>Strongly
Agree (5)</t>
        </is>
      </c>
      <c r="E42" s="23" t="inlineStr">
        <is>
          <t>Agree
(4)</t>
        </is>
      </c>
      <c r="F42" s="23" t="inlineStr">
        <is>
          <t>Neutral
(3)</t>
        </is>
      </c>
      <c r="G42" s="23" t="inlineStr">
        <is>
          <t>Disagree
(2)</t>
        </is>
      </c>
      <c r="H42" s="23" t="inlineStr">
        <is>
          <t>Strongly
Disagree (1)</t>
        </is>
      </c>
      <c r="I42" s="23" t="inlineStr">
        <is>
          <t>Avg Score</t>
        </is>
      </c>
    </row>
    <row r="43" ht="22" customHeight="1">
      <c r="B43" s="54" t="inlineStr">
        <is>
          <t>Q25</t>
        </is>
      </c>
      <c r="C43" s="82" t="inlineStr">
        <is>
          <t>Overall, I am satisfied with my experience at this institution</t>
        </is>
      </c>
      <c r="D43" s="24" t="inlineStr"/>
      <c r="E43" s="24" t="inlineStr"/>
      <c r="F43" s="24" t="inlineStr"/>
      <c r="G43" s="24" t="inlineStr"/>
      <c r="H43" s="24" t="inlineStr"/>
      <c r="I43" s="83">
        <f>IFERROR(ROUND((D43*5+E43*4+F43*3+G43*2+H43*1)/SUM(D43:H43),2),"")</f>
        <v/>
      </c>
    </row>
    <row r="44" ht="22" customHeight="1">
      <c r="B44" s="6" t="inlineStr">
        <is>
          <t>Q26</t>
        </is>
      </c>
      <c r="C44" s="7" t="inlineStr">
        <is>
          <t>I feel that the institution genuinely cares about student welfare</t>
        </is>
      </c>
      <c r="D44" s="8" t="inlineStr"/>
      <c r="E44" s="8" t="inlineStr"/>
      <c r="F44" s="8" t="inlineStr"/>
      <c r="G44" s="8" t="inlineStr"/>
      <c r="H44" s="8" t="inlineStr"/>
      <c r="I44" s="39">
        <f>IFERROR(ROUND((D44*5+E44*4+F44*3+G44*2+H44*1)/SUM(D44:H44),2),"")</f>
        <v/>
      </c>
    </row>
    <row r="45" ht="22" customHeight="1">
      <c r="B45" s="54" t="inlineStr">
        <is>
          <t>Q27</t>
        </is>
      </c>
      <c r="C45" s="82" t="inlineStr">
        <is>
          <t>I would recommend this institution to friends / family</t>
        </is>
      </c>
      <c r="D45" s="24" t="inlineStr"/>
      <c r="E45" s="24" t="inlineStr"/>
      <c r="F45" s="24" t="inlineStr"/>
      <c r="G45" s="24" t="inlineStr"/>
      <c r="H45" s="24" t="inlineStr"/>
      <c r="I45" s="83">
        <f>IFERROR(ROUND((D45*5+E45*4+F45*3+G45*2+H45*1)/SUM(D45:H45),2),"")</f>
        <v/>
      </c>
    </row>
    <row r="46" ht="22" customHeight="1"/>
    <row r="47" ht="24" customHeight="1">
      <c r="B47" s="29" t="inlineStr">
        <is>
          <t>SURVEY SUMMARY &amp; ACTION PLAN</t>
        </is>
      </c>
    </row>
    <row r="48" ht="22" customHeight="1">
      <c r="B48" s="30" t="inlineStr">
        <is>
          <t>Section</t>
        </is>
      </c>
      <c r="C48" s="30" t="inlineStr">
        <is>
          <t>Avg Score (/5)</t>
        </is>
      </c>
      <c r="D48" s="30" t="inlineStr">
        <is>
          <t>Satisfaction %</t>
        </is>
      </c>
      <c r="E48" s="30" t="inlineStr">
        <is>
          <t>Benchmark
(≥3.5)</t>
        </is>
      </c>
      <c r="F48" s="30" t="inlineStr">
        <is>
          <t>Gap</t>
        </is>
      </c>
      <c r="G48" s="30" t="inlineStr">
        <is>
          <t>Status</t>
        </is>
      </c>
      <c r="H48" s="30" t="inlineStr">
        <is>
          <t>Priority Action</t>
        </is>
      </c>
    </row>
    <row r="49" ht="22" customHeight="1">
      <c r="B49" s="84" t="inlineStr">
        <is>
          <t>SECTION A</t>
        </is>
      </c>
      <c r="C49" s="17" t="inlineStr"/>
      <c r="D49" s="17">
        <f>IFERROR(ROUND(C49/5*100,1),"")</f>
        <v/>
      </c>
      <c r="E49" s="17" t="n">
        <v>3.5</v>
      </c>
      <c r="F49" s="17">
        <f>IFERROR(ROUND(C49-E49,2),"")</f>
        <v/>
      </c>
      <c r="G49" s="17">
        <f>IFERROR(IF(C49&gt;=3.5,"Satisfactory","Needs Attention"),"")</f>
        <v/>
      </c>
      <c r="H49" s="16" t="inlineStr"/>
      <c r="I49" s="85" t="n"/>
    </row>
    <row r="50" ht="22" customHeight="1">
      <c r="B50" s="27" t="inlineStr">
        <is>
          <t>SECTION B</t>
        </is>
      </c>
      <c r="C50" s="8" t="inlineStr"/>
      <c r="D50" s="8">
        <f>IFERROR(ROUND(C50/5*100,1),"")</f>
        <v/>
      </c>
      <c r="E50" s="8" t="n">
        <v>3.5</v>
      </c>
      <c r="F50" s="8">
        <f>IFERROR(ROUND(C50-E50,2),"")</f>
        <v/>
      </c>
      <c r="G50" s="8">
        <f>IFERROR(IF(C50&gt;=3.5,"Satisfactory","Needs Attention"),"")</f>
        <v/>
      </c>
      <c r="H50" s="7" t="inlineStr"/>
      <c r="I50" s="56" t="n"/>
    </row>
    <row r="51" ht="22" customHeight="1">
      <c r="B51" s="84" t="inlineStr">
        <is>
          <t>SECTION C</t>
        </is>
      </c>
      <c r="C51" s="17" t="inlineStr"/>
      <c r="D51" s="17">
        <f>IFERROR(ROUND(C51/5*100,1),"")</f>
        <v/>
      </c>
      <c r="E51" s="17" t="n">
        <v>3.5</v>
      </c>
      <c r="F51" s="17">
        <f>IFERROR(ROUND(C51-E51,2),"")</f>
        <v/>
      </c>
      <c r="G51" s="17">
        <f>IFERROR(IF(C51&gt;=3.5,"Satisfactory","Needs Attention"),"")</f>
        <v/>
      </c>
      <c r="H51" s="16" t="inlineStr"/>
      <c r="I51" s="85" t="n"/>
    </row>
    <row r="52" ht="22" customHeight="1">
      <c r="B52" s="27" t="inlineStr">
        <is>
          <t>SECTION D</t>
        </is>
      </c>
      <c r="C52" s="8" t="inlineStr"/>
      <c r="D52" s="8">
        <f>IFERROR(ROUND(C52/5*100,1),"")</f>
        <v/>
      </c>
      <c r="E52" s="8" t="n">
        <v>3.5</v>
      </c>
      <c r="F52" s="8">
        <f>IFERROR(ROUND(C52-E52,2),"")</f>
        <v/>
      </c>
      <c r="G52" s="8">
        <f>IFERROR(IF(C52&gt;=3.5,"Satisfactory","Needs Attention"),"")</f>
        <v/>
      </c>
      <c r="H52" s="7" t="inlineStr"/>
      <c r="I52" s="56" t="n"/>
    </row>
    <row r="53" ht="22" customHeight="1">
      <c r="B53" s="84" t="inlineStr">
        <is>
          <t>SECTION E</t>
        </is>
      </c>
      <c r="C53" s="17" t="inlineStr"/>
      <c r="D53" s="17">
        <f>IFERROR(ROUND(C53/5*100,1),"")</f>
        <v/>
      </c>
      <c r="E53" s="17" t="n">
        <v>3.5</v>
      </c>
      <c r="F53" s="17">
        <f>IFERROR(ROUND(C53-E53,2),"")</f>
        <v/>
      </c>
      <c r="G53" s="17">
        <f>IFERROR(IF(C53&gt;=3.5,"Satisfactory","Needs Attention"),"")</f>
        <v/>
      </c>
      <c r="H53" s="16" t="inlineStr"/>
      <c r="I53" s="85" t="n"/>
    </row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9">
    <mergeCell ref="B47:I47"/>
    <mergeCell ref="B2:I2"/>
    <mergeCell ref="B3:I3"/>
    <mergeCell ref="B5:I5"/>
    <mergeCell ref="B14:I14"/>
    <mergeCell ref="B23:I23"/>
    <mergeCell ref="B41:I41"/>
    <mergeCell ref="B32:I32"/>
    <mergeCell ref="B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9" t="inlineStr">
        <is>
          <t>CMG-32: COUNSELLING, MENTORING &amp; GRIEVANCE REDRESSAL KPI DASHBOARD</t>
        </is>
      </c>
    </row>
    <row r="3" ht="25" customHeight="1">
      <c r="B3" s="2" t="inlineStr">
        <is>
          <t>A.Y.: _______  Quarter: Q1/Q2/Q3/Q4  CMG Coordinator: ___________________  Date: _______</t>
        </is>
      </c>
    </row>
    <row r="4" ht="24" customHeight="1">
      <c r="B4" s="21" t="inlineStr">
        <is>
          <t>COUNSELLING KPIs</t>
        </is>
      </c>
    </row>
    <row r="5" ht="22" customHeight="1">
      <c r="B5" s="14" t="inlineStr">
        <is>
          <t>Sl.</t>
        </is>
      </c>
      <c r="C5" s="14" t="inlineStr">
        <is>
          <t>Key Performance Indicator</t>
        </is>
      </c>
      <c r="D5" s="14" t="inlineStr">
        <is>
          <t>Unit</t>
        </is>
      </c>
      <c r="E5" s="14" t="inlineStr">
        <is>
          <t>Annual
Target</t>
        </is>
      </c>
      <c r="F5" s="14" t="inlineStr">
        <is>
          <t>Prev. Year
Actual</t>
        </is>
      </c>
      <c r="G5" s="14" t="inlineStr">
        <is>
          <t>Q-to-Date
Actual</t>
        </is>
      </c>
      <c r="H5" s="14" t="inlineStr">
        <is>
          <t>Status</t>
        </is>
      </c>
      <c r="I5" s="14" t="inlineStr">
        <is>
          <t>Action Required</t>
        </is>
      </c>
    </row>
    <row r="6" ht="22" customHeight="1">
      <c r="B6" s="15" t="n">
        <v>1</v>
      </c>
      <c r="C6" s="16" t="inlineStr">
        <is>
          <t>Students accessing counselling (% of total enrolled)</t>
        </is>
      </c>
      <c r="D6" s="17" t="inlineStr">
        <is>
          <t>% of students</t>
        </is>
      </c>
      <c r="E6" s="17" t="inlineStr">
        <is>
          <t>≥5%</t>
        </is>
      </c>
      <c r="F6" s="17" t="inlineStr"/>
      <c r="G6" s="17" t="inlineStr"/>
      <c r="H6" s="17" t="inlineStr">
        <is>
          <t>On Track</t>
        </is>
      </c>
      <c r="I6" s="16" t="inlineStr"/>
    </row>
    <row r="7" ht="22" customHeight="1">
      <c r="B7" s="6" t="n">
        <v>2</v>
      </c>
      <c r="C7" s="7" t="inlineStr">
        <is>
          <t>Average sessions per case</t>
        </is>
      </c>
      <c r="D7" s="8" t="inlineStr">
        <is>
          <t>No. sessions</t>
        </is>
      </c>
      <c r="E7" s="8" t="inlineStr">
        <is>
          <t>≥3</t>
        </is>
      </c>
      <c r="F7" s="8" t="inlineStr"/>
      <c r="G7" s="8" t="inlineStr"/>
      <c r="H7" s="8" t="inlineStr">
        <is>
          <t>On Track</t>
        </is>
      </c>
      <c r="I7" s="7" t="inlineStr"/>
    </row>
    <row r="8" ht="22" customHeight="1">
      <c r="B8" s="15" t="n">
        <v>3</v>
      </c>
      <c r="C8" s="16" t="inlineStr">
        <is>
          <t>Cases closed / resolved</t>
        </is>
      </c>
      <c r="D8" s="17" t="inlineStr">
        <is>
          <t>No. per semester</t>
        </is>
      </c>
      <c r="E8" s="17" t="inlineStr">
        <is>
          <t>Increasing</t>
        </is>
      </c>
      <c r="F8" s="17" t="inlineStr"/>
      <c r="G8" s="17" t="inlineStr"/>
      <c r="H8" s="17" t="inlineStr">
        <is>
          <t>On Track</t>
        </is>
      </c>
      <c r="I8" s="16" t="inlineStr"/>
    </row>
    <row r="9" ht="22" customHeight="1">
      <c r="B9" s="6" t="n">
        <v>4</v>
      </c>
      <c r="C9" s="7" t="inlineStr">
        <is>
          <t>Crisis incidents — response time</t>
        </is>
      </c>
      <c r="D9" s="8" t="inlineStr">
        <is>
          <t>Hrs to first contact</t>
        </is>
      </c>
      <c r="E9" s="8" t="inlineStr">
        <is>
          <t>&lt; 4 hours</t>
        </is>
      </c>
      <c r="F9" s="8" t="inlineStr"/>
      <c r="G9" s="8" t="inlineStr"/>
      <c r="H9" s="8" t="inlineStr">
        <is>
          <t>On Track</t>
        </is>
      </c>
      <c r="I9" s="7" t="inlineStr"/>
    </row>
    <row r="10" ht="22" customHeight="1">
      <c r="B10" s="15" t="n">
        <v>5</v>
      </c>
      <c r="C10" s="16" t="inlineStr">
        <is>
          <t>Referrals to external professionals</t>
        </is>
      </c>
      <c r="D10" s="17" t="inlineStr">
        <is>
          <t>No. per year</t>
        </is>
      </c>
      <c r="E10" s="17" t="inlineStr">
        <is>
          <t>As clinically indicated</t>
        </is>
      </c>
      <c r="F10" s="17" t="inlineStr"/>
      <c r="G10" s="17" t="inlineStr"/>
      <c r="H10" s="17" t="inlineStr">
        <is>
          <t>On Track</t>
        </is>
      </c>
      <c r="I10" s="16" t="inlineStr"/>
    </row>
    <row r="11" ht="22" customHeight="1">
      <c r="B11" s="6" t="n">
        <v>6</v>
      </c>
      <c r="C11" s="7" t="inlineStr">
        <is>
          <t>Counsellor caseload</t>
        </is>
      </c>
      <c r="D11" s="8" t="inlineStr">
        <is>
          <t>Cases per counsellor</t>
        </is>
      </c>
      <c r="E11" s="8" t="inlineStr">
        <is>
          <t>≤40 active</t>
        </is>
      </c>
      <c r="F11" s="8" t="inlineStr"/>
      <c r="G11" s="8" t="inlineStr"/>
      <c r="H11" s="8" t="inlineStr">
        <is>
          <t>On Track</t>
        </is>
      </c>
      <c r="I11" s="7" t="inlineStr"/>
    </row>
    <row r="12" ht="22" customHeight="1">
      <c r="B12" s="15" t="n">
        <v>7</v>
      </c>
      <c r="C12" s="16" t="inlineStr">
        <is>
          <t>Group counselling sessions conducted</t>
        </is>
      </c>
      <c r="D12" s="17" t="inlineStr">
        <is>
          <t>No. per semester</t>
        </is>
      </c>
      <c r="E12" s="17" t="inlineStr">
        <is>
          <t>≥6</t>
        </is>
      </c>
      <c r="F12" s="17" t="inlineStr"/>
      <c r="G12" s="17" t="inlineStr"/>
      <c r="H12" s="17" t="inlineStr">
        <is>
          <t>On Track</t>
        </is>
      </c>
      <c r="I12" s="16" t="inlineStr"/>
    </row>
    <row r="13" ht="22" customHeight="1">
      <c r="B13" s="6" t="n">
        <v>8</v>
      </c>
      <c r="C13" s="7" t="inlineStr">
        <is>
          <t>Student wellbeing score (/5)</t>
        </is>
      </c>
      <c r="D13" s="8" t="inlineStr">
        <is>
          <t>Score</t>
        </is>
      </c>
      <c r="E13" s="8" t="inlineStr">
        <is>
          <t>≥3.5</t>
        </is>
      </c>
      <c r="F13" s="8" t="inlineStr"/>
      <c r="G13" s="8" t="inlineStr"/>
      <c r="H13" s="8" t="inlineStr">
        <is>
          <t>On Track</t>
        </is>
      </c>
      <c r="I13" s="7" t="inlineStr"/>
    </row>
    <row r="14" ht="22" customHeight="1"/>
    <row r="15" ht="24" customHeight="1">
      <c r="B15" s="36" t="inlineStr">
        <is>
          <t>MENTORING KPIs</t>
        </is>
      </c>
    </row>
    <row r="16" ht="22" customHeight="1">
      <c r="B16" s="32" t="inlineStr">
        <is>
          <t>Sl.</t>
        </is>
      </c>
      <c r="C16" s="32" t="inlineStr">
        <is>
          <t>Key Performance Indicator</t>
        </is>
      </c>
      <c r="D16" s="32" t="inlineStr">
        <is>
          <t>Unit</t>
        </is>
      </c>
      <c r="E16" s="32" t="inlineStr">
        <is>
          <t>Annual
Target</t>
        </is>
      </c>
      <c r="F16" s="32" t="inlineStr">
        <is>
          <t>Prev. Year
Actual</t>
        </is>
      </c>
      <c r="G16" s="32" t="inlineStr">
        <is>
          <t>Q-to-Date
Actual</t>
        </is>
      </c>
      <c r="H16" s="32" t="inlineStr">
        <is>
          <t>Status</t>
        </is>
      </c>
      <c r="I16" s="32" t="inlineStr">
        <is>
          <t>Action Required</t>
        </is>
      </c>
    </row>
    <row r="17" ht="22" customHeight="1">
      <c r="B17" s="33" t="n">
        <v>1</v>
      </c>
      <c r="C17" s="34" t="inlineStr">
        <is>
          <t>Students with assigned mentor (%)</t>
        </is>
      </c>
      <c r="D17" s="35" t="inlineStr">
        <is>
          <t>% of enrolled</t>
        </is>
      </c>
      <c r="E17" s="35" t="inlineStr">
        <is>
          <t>100%</t>
        </is>
      </c>
      <c r="F17" s="35" t="inlineStr"/>
      <c r="G17" s="35" t="inlineStr"/>
      <c r="H17" s="35" t="inlineStr">
        <is>
          <t>On Track</t>
        </is>
      </c>
      <c r="I17" s="34" t="inlineStr"/>
    </row>
    <row r="18" ht="22" customHeight="1">
      <c r="B18" s="6" t="n">
        <v>2</v>
      </c>
      <c r="C18" s="7" t="inlineStr">
        <is>
          <t>Mentoring sessions held (% of scheduled)</t>
        </is>
      </c>
      <c r="D18" s="8" t="inlineStr">
        <is>
          <t>% completion</t>
        </is>
      </c>
      <c r="E18" s="8" t="inlineStr">
        <is>
          <t>≥80%</t>
        </is>
      </c>
      <c r="F18" s="8" t="inlineStr"/>
      <c r="G18" s="8" t="inlineStr"/>
      <c r="H18" s="8" t="inlineStr">
        <is>
          <t>On Track</t>
        </is>
      </c>
      <c r="I18" s="7" t="inlineStr"/>
    </row>
    <row r="19" ht="22" customHeight="1">
      <c r="B19" s="33" t="n">
        <v>3</v>
      </c>
      <c r="C19" s="34" t="inlineStr">
        <is>
          <t>Avg. sessions per mentor per semester</t>
        </is>
      </c>
      <c r="D19" s="35" t="inlineStr">
        <is>
          <t>No. sessions</t>
        </is>
      </c>
      <c r="E19" s="35" t="inlineStr">
        <is>
          <t>≥8</t>
        </is>
      </c>
      <c r="F19" s="35" t="inlineStr"/>
      <c r="G19" s="35" t="inlineStr"/>
      <c r="H19" s="35" t="inlineStr">
        <is>
          <t>On Track</t>
        </is>
      </c>
      <c r="I19" s="34" t="inlineStr"/>
    </row>
    <row r="20" ht="22" customHeight="1">
      <c r="B20" s="6" t="n">
        <v>4</v>
      </c>
      <c r="C20" s="7" t="inlineStr">
        <is>
          <t>Students with 0 mentoring sessions</t>
        </is>
      </c>
      <c r="D20" s="8" t="inlineStr">
        <is>
          <t>No.</t>
        </is>
      </c>
      <c r="E20" s="8" t="inlineStr">
        <is>
          <t>0 target</t>
        </is>
      </c>
      <c r="F20" s="8" t="inlineStr"/>
      <c r="G20" s="8" t="inlineStr"/>
      <c r="H20" s="8" t="inlineStr">
        <is>
          <t>On Track</t>
        </is>
      </c>
      <c r="I20" s="7" t="inlineStr"/>
    </row>
    <row r="21" ht="22" customHeight="1">
      <c r="B21" s="33" t="n">
        <v>5</v>
      </c>
      <c r="C21" s="34" t="inlineStr">
        <is>
          <t>Mentee satisfaction score (/5)</t>
        </is>
      </c>
      <c r="D21" s="35" t="inlineStr">
        <is>
          <t>Score</t>
        </is>
      </c>
      <c r="E21" s="35" t="inlineStr">
        <is>
          <t>≥3.5</t>
        </is>
      </c>
      <c r="F21" s="35" t="inlineStr"/>
      <c r="G21" s="35" t="inlineStr"/>
      <c r="H21" s="35" t="inlineStr">
        <is>
          <t>On Track</t>
        </is>
      </c>
      <c r="I21" s="34" t="inlineStr"/>
    </row>
    <row r="22" ht="22" customHeight="1">
      <c r="B22" s="6" t="n">
        <v>6</v>
      </c>
      <c r="C22" s="7" t="inlineStr">
        <is>
          <t>At-risk students identified via mentoring</t>
        </is>
      </c>
      <c r="D22" s="8" t="inlineStr">
        <is>
          <t>No. per semester</t>
        </is>
      </c>
      <c r="E22" s="8" t="inlineStr">
        <is>
          <t>Tracked</t>
        </is>
      </c>
      <c r="F22" s="8" t="inlineStr"/>
      <c r="G22" s="8" t="inlineStr"/>
      <c r="H22" s="8" t="inlineStr">
        <is>
          <t>On Track</t>
        </is>
      </c>
      <c r="I22" s="7" t="inlineStr"/>
    </row>
    <row r="23" ht="22" customHeight="1">
      <c r="B23" s="33" t="n">
        <v>7</v>
      </c>
      <c r="C23" s="34" t="inlineStr">
        <is>
          <t>Mentoring referrals to counsellor</t>
        </is>
      </c>
      <c r="D23" s="35" t="inlineStr">
        <is>
          <t>No.</t>
        </is>
      </c>
      <c r="E23" s="35" t="inlineStr">
        <is>
          <t>Tracked</t>
        </is>
      </c>
      <c r="F23" s="35" t="inlineStr"/>
      <c r="G23" s="35" t="inlineStr"/>
      <c r="H23" s="35" t="inlineStr">
        <is>
          <t>On Track</t>
        </is>
      </c>
      <c r="I23" s="34" t="inlineStr"/>
    </row>
    <row r="24" ht="22" customHeight="1">
      <c r="B24" s="6" t="n">
        <v>8</v>
      </c>
      <c r="C24" s="7" t="inlineStr">
        <is>
          <t>Faculty mentor engagement rate</t>
        </is>
      </c>
      <c r="D24" s="8" t="inlineStr">
        <is>
          <t>% active</t>
        </is>
      </c>
      <c r="E24" s="8" t="inlineStr">
        <is>
          <t>≥90%</t>
        </is>
      </c>
      <c r="F24" s="8" t="inlineStr"/>
      <c r="G24" s="8" t="inlineStr"/>
      <c r="H24" s="8" t="inlineStr">
        <is>
          <t>On Track</t>
        </is>
      </c>
      <c r="I24" s="7" t="inlineStr"/>
    </row>
    <row r="25" ht="22" customHeight="1"/>
    <row r="26" ht="24" customHeight="1">
      <c r="B26" s="43" t="inlineStr">
        <is>
          <t>GRIEVANCE REDRESSAL KPIs</t>
        </is>
      </c>
    </row>
    <row r="27" ht="22" customHeight="1">
      <c r="B27" s="72" t="inlineStr">
        <is>
          <t>Sl.</t>
        </is>
      </c>
      <c r="C27" s="72" t="inlineStr">
        <is>
          <t>Key Performance Indicator</t>
        </is>
      </c>
      <c r="D27" s="72" t="inlineStr">
        <is>
          <t>Unit</t>
        </is>
      </c>
      <c r="E27" s="72" t="inlineStr">
        <is>
          <t>Annual
Target</t>
        </is>
      </c>
      <c r="F27" s="72" t="inlineStr">
        <is>
          <t>Prev. Year
Actual</t>
        </is>
      </c>
      <c r="G27" s="72" t="inlineStr">
        <is>
          <t>Q-to-Date
Actual</t>
        </is>
      </c>
      <c r="H27" s="72" t="inlineStr">
        <is>
          <t>Status</t>
        </is>
      </c>
      <c r="I27" s="72" t="inlineStr">
        <is>
          <t>Action Required</t>
        </is>
      </c>
    </row>
    <row r="28" ht="22" customHeight="1">
      <c r="B28" s="73" t="n">
        <v>1</v>
      </c>
      <c r="C28" s="74" t="inlineStr">
        <is>
          <t>Total grievances received</t>
        </is>
      </c>
      <c r="D28" s="75" t="inlineStr">
        <is>
          <t>No. per year</t>
        </is>
      </c>
      <c r="E28" s="75" t="inlineStr">
        <is>
          <t>Tracked</t>
        </is>
      </c>
      <c r="F28" s="75" t="inlineStr"/>
      <c r="G28" s="75" t="inlineStr"/>
      <c r="H28" s="75" t="inlineStr">
        <is>
          <t>On Track</t>
        </is>
      </c>
      <c r="I28" s="74" t="inlineStr"/>
    </row>
    <row r="29" ht="22" customHeight="1">
      <c r="B29" s="6" t="n">
        <v>2</v>
      </c>
      <c r="C29" s="7" t="inlineStr">
        <is>
          <t>Grievances acknowledged within 3 days</t>
        </is>
      </c>
      <c r="D29" s="8" t="inlineStr">
        <is>
          <t>% of total</t>
        </is>
      </c>
      <c r="E29" s="8" t="inlineStr">
        <is>
          <t>100%</t>
        </is>
      </c>
      <c r="F29" s="8" t="inlineStr"/>
      <c r="G29" s="8" t="inlineStr"/>
      <c r="H29" s="8" t="inlineStr">
        <is>
          <t>On Track</t>
        </is>
      </c>
      <c r="I29" s="7" t="inlineStr"/>
    </row>
    <row r="30" ht="22" customHeight="1">
      <c r="B30" s="73" t="n">
        <v>3</v>
      </c>
      <c r="C30" s="74" t="inlineStr">
        <is>
          <t>Grievances resolved within 30 days</t>
        </is>
      </c>
      <c r="D30" s="75" t="inlineStr">
        <is>
          <t>% of total</t>
        </is>
      </c>
      <c r="E30" s="75" t="inlineStr">
        <is>
          <t>≥90%</t>
        </is>
      </c>
      <c r="F30" s="75" t="inlineStr"/>
      <c r="G30" s="75" t="inlineStr"/>
      <c r="H30" s="75" t="inlineStr">
        <is>
          <t>On Track</t>
        </is>
      </c>
      <c r="I30" s="74" t="inlineStr"/>
    </row>
    <row r="31" ht="22" customHeight="1">
      <c r="B31" s="6" t="n">
        <v>4</v>
      </c>
      <c r="C31" s="7" t="inlineStr">
        <is>
          <t>Average resolution days</t>
        </is>
      </c>
      <c r="D31" s="8" t="inlineStr">
        <is>
          <t>Days</t>
        </is>
      </c>
      <c r="E31" s="8" t="inlineStr">
        <is>
          <t>≤25 days</t>
        </is>
      </c>
      <c r="F31" s="8" t="inlineStr"/>
      <c r="G31" s="8" t="inlineStr"/>
      <c r="H31" s="8" t="inlineStr">
        <is>
          <t>On Track</t>
        </is>
      </c>
      <c r="I31" s="7" t="inlineStr"/>
    </row>
    <row r="32" ht="22" customHeight="1">
      <c r="B32" s="73" t="n">
        <v>5</v>
      </c>
      <c r="C32" s="74" t="inlineStr">
        <is>
          <t>Overdue grievances (&gt; 30 days)</t>
        </is>
      </c>
      <c r="D32" s="75" t="inlineStr">
        <is>
          <t>No.</t>
        </is>
      </c>
      <c r="E32" s="75" t="inlineStr">
        <is>
          <t>0 target</t>
        </is>
      </c>
      <c r="F32" s="75" t="inlineStr"/>
      <c r="G32" s="75" t="inlineStr"/>
      <c r="H32" s="75" t="inlineStr">
        <is>
          <t>On Track</t>
        </is>
      </c>
      <c r="I32" s="74" t="inlineStr"/>
    </row>
    <row r="33" ht="22" customHeight="1">
      <c r="B33" s="6" t="n">
        <v>6</v>
      </c>
      <c r="C33" s="7" t="inlineStr">
        <is>
          <t>Appeal rate (% of resolved)</t>
        </is>
      </c>
      <c r="D33" s="8" t="inlineStr">
        <is>
          <t>% appealed</t>
        </is>
      </c>
      <c r="E33" s="8" t="inlineStr">
        <is>
          <t>&lt; 10%</t>
        </is>
      </c>
      <c r="F33" s="8" t="inlineStr"/>
      <c r="G33" s="8" t="inlineStr"/>
      <c r="H33" s="8" t="inlineStr">
        <is>
          <t>On Track</t>
        </is>
      </c>
      <c r="I33" s="7" t="inlineStr"/>
    </row>
    <row r="34" ht="22" customHeight="1">
      <c r="B34" s="73" t="n">
        <v>7</v>
      </c>
      <c r="C34" s="74" t="inlineStr">
        <is>
          <t>Student satisfaction with resolution (/5)</t>
        </is>
      </c>
      <c r="D34" s="75" t="inlineStr">
        <is>
          <t>Score</t>
        </is>
      </c>
      <c r="E34" s="75" t="inlineStr">
        <is>
          <t>≥3.5</t>
        </is>
      </c>
      <c r="F34" s="75" t="inlineStr"/>
      <c r="G34" s="75" t="inlineStr"/>
      <c r="H34" s="75" t="inlineStr">
        <is>
          <t>On Track</t>
        </is>
      </c>
      <c r="I34" s="74" t="inlineStr"/>
    </row>
    <row r="35" ht="22" customHeight="1">
      <c r="B35" s="6" t="n">
        <v>8</v>
      </c>
      <c r="C35" s="7" t="inlineStr">
        <is>
          <t>Anonymous grievances</t>
        </is>
      </c>
      <c r="D35" s="8" t="inlineStr">
        <is>
          <t>No. &amp; %</t>
        </is>
      </c>
      <c r="E35" s="8" t="inlineStr">
        <is>
          <t>Tracked</t>
        </is>
      </c>
      <c r="F35" s="8" t="inlineStr"/>
      <c r="G35" s="8" t="inlineStr"/>
      <c r="H35" s="8" t="inlineStr">
        <is>
          <t>On Track</t>
        </is>
      </c>
      <c r="I35" s="7" t="inlineStr"/>
    </row>
    <row r="36" ht="22" customHeight="1"/>
    <row r="37" ht="24" customHeight="1">
      <c r="B37" s="63" t="inlineStr">
        <is>
          <t>SPECIAL WELFARE KPIs</t>
        </is>
      </c>
    </row>
    <row r="38" ht="22" customHeight="1">
      <c r="B38" s="77" t="inlineStr">
        <is>
          <t>Sl.</t>
        </is>
      </c>
      <c r="C38" s="77" t="inlineStr">
        <is>
          <t>Key Performance Indicator</t>
        </is>
      </c>
      <c r="D38" s="77" t="inlineStr">
        <is>
          <t>Unit</t>
        </is>
      </c>
      <c r="E38" s="77" t="inlineStr">
        <is>
          <t>Annual
Target</t>
        </is>
      </c>
      <c r="F38" s="77" t="inlineStr">
        <is>
          <t>Prev. Year
Actual</t>
        </is>
      </c>
      <c r="G38" s="77" t="inlineStr">
        <is>
          <t>Q-to-Date
Actual</t>
        </is>
      </c>
      <c r="H38" s="77" t="inlineStr">
        <is>
          <t>Status</t>
        </is>
      </c>
      <c r="I38" s="77" t="inlineStr">
        <is>
          <t>Action Required</t>
        </is>
      </c>
    </row>
    <row r="39" ht="22" customHeight="1">
      <c r="B39" s="78" t="n">
        <v>1</v>
      </c>
      <c r="C39" s="79" t="inlineStr">
        <is>
          <t>At-risk students identified &amp; monitored</t>
        </is>
      </c>
      <c r="D39" s="80" t="inlineStr">
        <is>
          <t>No.</t>
        </is>
      </c>
      <c r="E39" s="80" t="inlineStr">
        <is>
          <t>Tracked</t>
        </is>
      </c>
      <c r="F39" s="80" t="inlineStr"/>
      <c r="G39" s="80" t="inlineStr"/>
      <c r="H39" s="80" t="inlineStr">
        <is>
          <t>On Track</t>
        </is>
      </c>
      <c r="I39" s="79" t="inlineStr"/>
    </row>
    <row r="40" ht="22" customHeight="1">
      <c r="B40" s="6" t="n">
        <v>2</v>
      </c>
      <c r="C40" s="7" t="inlineStr">
        <is>
          <t>SC/ST students with welfare support</t>
        </is>
      </c>
      <c r="D40" s="8" t="inlineStr">
        <is>
          <t>No.</t>
        </is>
      </c>
      <c r="E40" s="8" t="inlineStr">
        <is>
          <t>All eligible</t>
        </is>
      </c>
      <c r="F40" s="8" t="inlineStr"/>
      <c r="G40" s="8" t="inlineStr"/>
      <c r="H40" s="8" t="inlineStr">
        <is>
          <t>On Track</t>
        </is>
      </c>
      <c r="I40" s="7" t="inlineStr"/>
    </row>
    <row r="41" ht="22" customHeight="1">
      <c r="B41" s="78" t="n">
        <v>3</v>
      </c>
      <c r="C41" s="79" t="inlineStr">
        <is>
          <t>Divyangjan students with accommodations</t>
        </is>
      </c>
      <c r="D41" s="80" t="inlineStr">
        <is>
          <t>% with support</t>
        </is>
      </c>
      <c r="E41" s="80" t="inlineStr">
        <is>
          <t>100%</t>
        </is>
      </c>
      <c r="F41" s="80" t="inlineStr"/>
      <c r="G41" s="80" t="inlineStr"/>
      <c r="H41" s="80" t="inlineStr">
        <is>
          <t>On Track</t>
        </is>
      </c>
      <c r="I41" s="79" t="inlineStr"/>
    </row>
    <row r="42" ht="22" customHeight="1">
      <c r="B42" s="6" t="n">
        <v>4</v>
      </c>
      <c r="C42" s="7" t="inlineStr">
        <is>
          <t>First-generation learner support</t>
        </is>
      </c>
      <c r="D42" s="8" t="inlineStr">
        <is>
          <t>No. benefited</t>
        </is>
      </c>
      <c r="E42" s="8" t="inlineStr">
        <is>
          <t>All enrolled</t>
        </is>
      </c>
      <c r="F42" s="8" t="inlineStr"/>
      <c r="G42" s="8" t="inlineStr"/>
      <c r="H42" s="8" t="inlineStr">
        <is>
          <t>On Track</t>
        </is>
      </c>
      <c r="I42" s="7" t="inlineStr"/>
    </row>
    <row r="43" ht="22" customHeight="1">
      <c r="B43" s="78" t="n">
        <v>5</v>
      </c>
      <c r="C43" s="79" t="inlineStr">
        <is>
          <t>Women students with safety briefing</t>
        </is>
      </c>
      <c r="D43" s="80" t="inlineStr">
        <is>
          <t>% of enrolled</t>
        </is>
      </c>
      <c r="E43" s="80" t="inlineStr">
        <is>
          <t>100%</t>
        </is>
      </c>
      <c r="F43" s="80" t="inlineStr"/>
      <c r="G43" s="80" t="inlineStr"/>
      <c r="H43" s="80" t="inlineStr">
        <is>
          <t>On Track</t>
        </is>
      </c>
      <c r="I43" s="79" t="inlineStr"/>
    </row>
    <row r="44" ht="22" customHeight="1">
      <c r="B44" s="6" t="n">
        <v>6</v>
      </c>
      <c r="C44" s="7" t="inlineStr">
        <is>
          <t>Financial aid / scholarship connected</t>
        </is>
      </c>
      <c r="D44" s="8" t="inlineStr">
        <is>
          <t>No. cases</t>
        </is>
      </c>
      <c r="E44" s="8" t="inlineStr">
        <is>
          <t>All eligible</t>
        </is>
      </c>
      <c r="F44" s="8" t="inlineStr"/>
      <c r="G44" s="8" t="inlineStr"/>
      <c r="H44" s="8" t="inlineStr">
        <is>
          <t>On Track</t>
        </is>
      </c>
      <c r="I44" s="7" t="inlineStr"/>
    </row>
    <row r="45" ht="22" customHeight="1"/>
    <row r="46" ht="24" customHeight="1">
      <c r="B46" s="22" t="inlineStr">
        <is>
          <t>AWARENESS &amp; TRAINING KPIs</t>
        </is>
      </c>
    </row>
    <row r="47" ht="22" customHeight="1">
      <c r="B47" s="23" t="inlineStr">
        <is>
          <t>Sl.</t>
        </is>
      </c>
      <c r="C47" s="23" t="inlineStr">
        <is>
          <t>Key Performance Indicator</t>
        </is>
      </c>
      <c r="D47" s="23" t="inlineStr">
        <is>
          <t>Unit</t>
        </is>
      </c>
      <c r="E47" s="23" t="inlineStr">
        <is>
          <t>Annual
Target</t>
        </is>
      </c>
      <c r="F47" s="23" t="inlineStr">
        <is>
          <t>Prev. Year
Actual</t>
        </is>
      </c>
      <c r="G47" s="23" t="inlineStr">
        <is>
          <t>Q-to-Date
Actual</t>
        </is>
      </c>
      <c r="H47" s="23" t="inlineStr">
        <is>
          <t>Status</t>
        </is>
      </c>
      <c r="I47" s="23" t="inlineStr">
        <is>
          <t>Action Required</t>
        </is>
      </c>
    </row>
    <row r="48" ht="22" customHeight="1">
      <c r="B48" s="54" t="n">
        <v>1</v>
      </c>
      <c r="C48" s="82" t="inlineStr">
        <is>
          <t>Awareness programmes conducted</t>
        </is>
      </c>
      <c r="D48" s="24" t="inlineStr">
        <is>
          <t>No. per semester</t>
        </is>
      </c>
      <c r="E48" s="24" t="inlineStr">
        <is>
          <t>≥4</t>
        </is>
      </c>
      <c r="F48" s="24" t="inlineStr"/>
      <c r="G48" s="24" t="inlineStr"/>
      <c r="H48" s="24" t="inlineStr">
        <is>
          <t>On Track</t>
        </is>
      </c>
      <c r="I48" s="82" t="inlineStr"/>
    </row>
    <row r="49" ht="22" customHeight="1">
      <c r="B49" s="6" t="n">
        <v>2</v>
      </c>
      <c r="C49" s="7" t="inlineStr">
        <is>
          <t>Students reached via awareness</t>
        </is>
      </c>
      <c r="D49" s="8" t="inlineStr">
        <is>
          <t>% of students</t>
        </is>
      </c>
      <c r="E49" s="8" t="inlineStr">
        <is>
          <t>≥60%</t>
        </is>
      </c>
      <c r="F49" s="8" t="inlineStr"/>
      <c r="G49" s="8" t="inlineStr"/>
      <c r="H49" s="8" t="inlineStr">
        <is>
          <t>On Track</t>
        </is>
      </c>
      <c r="I49" s="7" t="inlineStr"/>
    </row>
    <row r="50" ht="22" customHeight="1">
      <c r="B50" s="54" t="n">
        <v>3</v>
      </c>
      <c r="C50" s="82" t="inlineStr">
        <is>
          <t>Counsellor CPD hours</t>
        </is>
      </c>
      <c r="D50" s="24" t="inlineStr">
        <is>
          <t>Hrs per counsellor</t>
        </is>
      </c>
      <c r="E50" s="24" t="inlineStr">
        <is>
          <t>≥20 hrs/year</t>
        </is>
      </c>
      <c r="F50" s="24" t="inlineStr"/>
      <c r="G50" s="24" t="inlineStr"/>
      <c r="H50" s="24" t="inlineStr">
        <is>
          <t>On Track</t>
        </is>
      </c>
      <c r="I50" s="82" t="inlineStr"/>
    </row>
    <row r="51" ht="22" customHeight="1">
      <c r="B51" s="6" t="n">
        <v>4</v>
      </c>
      <c r="C51" s="7" t="inlineStr">
        <is>
          <t>Mentor faculty training sessions</t>
        </is>
      </c>
      <c r="D51" s="8" t="inlineStr">
        <is>
          <t>No. per year</t>
        </is>
      </c>
      <c r="E51" s="8" t="inlineStr">
        <is>
          <t>≥2</t>
        </is>
      </c>
      <c r="F51" s="8" t="inlineStr"/>
      <c r="G51" s="8" t="inlineStr"/>
      <c r="H51" s="8" t="inlineStr">
        <is>
          <t>On Track</t>
        </is>
      </c>
      <c r="I51" s="7" t="inlineStr"/>
    </row>
    <row r="52" ht="22" customHeight="1">
      <c r="B52" s="54" t="n">
        <v>5</v>
      </c>
      <c r="C52" s="82" t="inlineStr">
        <is>
          <t>Digital wellness / e-safety sessions</t>
        </is>
      </c>
      <c r="D52" s="24" t="inlineStr">
        <is>
          <t>No. per year</t>
        </is>
      </c>
      <c r="E52" s="24" t="inlineStr">
        <is>
          <t>≥2</t>
        </is>
      </c>
      <c r="F52" s="24" t="inlineStr"/>
      <c r="G52" s="24" t="inlineStr"/>
      <c r="H52" s="24" t="inlineStr">
        <is>
          <t>On Track</t>
        </is>
      </c>
      <c r="I52" s="82" t="inlineStr"/>
    </row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</sheetData>
  <mergeCells count="7">
    <mergeCell ref="B15:I15"/>
    <mergeCell ref="B2:I2"/>
    <mergeCell ref="B3:I3"/>
    <mergeCell ref="B37:I37"/>
    <mergeCell ref="B46:I46"/>
    <mergeCell ref="B4:I4"/>
    <mergeCell ref="B26:I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H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9" t="inlineStr">
        <is>
          <t>CMG-33: CMG ANNUAL REPORT COMPILATION FORM</t>
        </is>
      </c>
    </row>
    <row r="3" ht="25" customHeight="1">
      <c r="B3" s="2" t="inlineStr">
        <is>
          <t>A.Y.: _______  Compiled by: CMG Coordinator  Submitted to: IQAC / Management  Date: _______</t>
        </is>
      </c>
    </row>
    <row r="4" ht="24" customHeight="1">
      <c r="B4" s="21" t="inlineStr">
        <is>
          <t>SECTION 1 — STUDENT COUNSELLING</t>
        </is>
      </c>
    </row>
    <row r="5" ht="22" customHeight="1">
      <c r="B5" s="14" t="inlineStr">
        <is>
          <t>Sl.</t>
        </is>
      </c>
      <c r="C5" s="14" t="inlineStr">
        <is>
          <t>Performance Metric</t>
        </is>
      </c>
      <c r="D5" s="14" t="inlineStr">
        <is>
          <t>Unit</t>
        </is>
      </c>
      <c r="E5" s="14" t="inlineStr">
        <is>
          <t>Current A.Y.</t>
        </is>
      </c>
      <c r="F5" s="14" t="inlineStr">
        <is>
          <t>Previous A.Y.</t>
        </is>
      </c>
      <c r="G5" s="14" t="inlineStr">
        <is>
          <t>Growth %</t>
        </is>
      </c>
      <c r="H5" s="14" t="inlineStr">
        <is>
          <t>Target Next Year</t>
        </is>
      </c>
    </row>
    <row r="6" ht="22" customHeight="1">
      <c r="B6" s="15" t="n">
        <v>1</v>
      </c>
      <c r="C6" s="16" t="inlineStr">
        <is>
          <t>Students registered for counselling</t>
        </is>
      </c>
      <c r="D6" s="17" t="inlineStr">
        <is>
          <t>No.</t>
        </is>
      </c>
      <c r="E6" s="17" t="inlineStr"/>
      <c r="F6" s="17" t="inlineStr"/>
      <c r="G6" s="17">
        <f>IFERROR(ROUND((E6-F6)/F6*100,1),"")</f>
        <v/>
      </c>
      <c r="H6" s="17" t="inlineStr"/>
    </row>
    <row r="7" ht="22" customHeight="1">
      <c r="B7" s="6" t="n">
        <v>2</v>
      </c>
      <c r="C7" s="7" t="inlineStr">
        <is>
          <t>Total counselling sessions held</t>
        </is>
      </c>
      <c r="D7" s="8" t="inlineStr">
        <is>
          <t>No.</t>
        </is>
      </c>
      <c r="E7" s="8" t="inlineStr"/>
      <c r="F7" s="8" t="inlineStr"/>
      <c r="G7" s="8">
        <f>IFERROR(ROUND((E7-F7)/F7*100,1),"")</f>
        <v/>
      </c>
      <c r="H7" s="8" t="inlineStr"/>
    </row>
    <row r="8" ht="22" customHeight="1">
      <c r="B8" s="15" t="n">
        <v>3</v>
      </c>
      <c r="C8" s="16" t="inlineStr">
        <is>
          <t>Individual counselling cases</t>
        </is>
      </c>
      <c r="D8" s="17" t="inlineStr">
        <is>
          <t>No.</t>
        </is>
      </c>
      <c r="E8" s="17" t="inlineStr"/>
      <c r="F8" s="17" t="inlineStr"/>
      <c r="G8" s="17">
        <f>IFERROR(ROUND((E8-F8)/F8*100,1),"")</f>
        <v/>
      </c>
      <c r="H8" s="17" t="inlineStr"/>
    </row>
    <row r="9" ht="22" customHeight="1">
      <c r="B9" s="6" t="n">
        <v>4</v>
      </c>
      <c r="C9" s="7" t="inlineStr">
        <is>
          <t>Group sessions / workshops</t>
        </is>
      </c>
      <c r="D9" s="8" t="inlineStr">
        <is>
          <t>No.</t>
        </is>
      </c>
      <c r="E9" s="8" t="inlineStr"/>
      <c r="F9" s="8" t="inlineStr"/>
      <c r="G9" s="8">
        <f>IFERROR(ROUND((E9-F9)/F9*100,1),"")</f>
        <v/>
      </c>
      <c r="H9" s="8" t="inlineStr"/>
    </row>
    <row r="10" ht="22" customHeight="1">
      <c r="B10" s="15" t="n">
        <v>5</v>
      </c>
      <c r="C10" s="16" t="inlineStr">
        <is>
          <t>Crisis incidents handled</t>
        </is>
      </c>
      <c r="D10" s="17" t="inlineStr">
        <is>
          <t>No.</t>
        </is>
      </c>
      <c r="E10" s="17" t="inlineStr"/>
      <c r="F10" s="17" t="inlineStr"/>
      <c r="G10" s="17">
        <f>IFERROR(ROUND((E10-F10)/F10*100,1),"")</f>
        <v/>
      </c>
      <c r="H10" s="17" t="inlineStr"/>
    </row>
    <row r="11" ht="22" customHeight="1">
      <c r="B11" s="6" t="n">
        <v>6</v>
      </c>
      <c r="C11" s="7" t="inlineStr">
        <is>
          <t>External referrals made</t>
        </is>
      </c>
      <c r="D11" s="8" t="inlineStr">
        <is>
          <t>No.</t>
        </is>
      </c>
      <c r="E11" s="8" t="inlineStr"/>
      <c r="F11" s="8" t="inlineStr"/>
      <c r="G11" s="8">
        <f>IFERROR(ROUND((E11-F11)/F11*100,1),"")</f>
        <v/>
      </c>
      <c r="H11" s="8" t="inlineStr"/>
    </row>
    <row r="12" ht="22" customHeight="1">
      <c r="B12" s="15" t="n">
        <v>7</v>
      </c>
      <c r="C12" s="16" t="inlineStr">
        <is>
          <t>Cases closed / resolved</t>
        </is>
      </c>
      <c r="D12" s="17" t="inlineStr">
        <is>
          <t>No.</t>
        </is>
      </c>
      <c r="E12" s="17" t="inlineStr"/>
      <c r="F12" s="17" t="inlineStr"/>
      <c r="G12" s="17">
        <f>IFERROR(ROUND((E12-F12)/F12*100,1),"")</f>
        <v/>
      </c>
      <c r="H12" s="17" t="inlineStr"/>
    </row>
    <row r="13" ht="22" customHeight="1">
      <c r="B13" s="6" t="n">
        <v>8</v>
      </c>
      <c r="C13" s="7" t="inlineStr">
        <is>
          <t>Student wellbeing survey score (/5)</t>
        </is>
      </c>
      <c r="D13" s="8" t="inlineStr">
        <is>
          <t>Score</t>
        </is>
      </c>
      <c r="E13" s="8" t="inlineStr"/>
      <c r="F13" s="8" t="inlineStr"/>
      <c r="G13" s="8">
        <f>IFERROR(ROUND((E13-F13)/F13*100,1),"")</f>
        <v/>
      </c>
      <c r="H13" s="8" t="inlineStr"/>
    </row>
    <row r="14" ht="22" customHeight="1"/>
    <row r="15" ht="24" customHeight="1">
      <c r="B15" s="36" t="inlineStr">
        <is>
          <t>SECTION 2 — STUDENT MENTORING</t>
        </is>
      </c>
    </row>
    <row r="16" ht="22" customHeight="1">
      <c r="B16" s="32" t="inlineStr">
        <is>
          <t>Sl.</t>
        </is>
      </c>
      <c r="C16" s="32" t="inlineStr">
        <is>
          <t>Performance Metric</t>
        </is>
      </c>
      <c r="D16" s="32" t="inlineStr">
        <is>
          <t>Unit</t>
        </is>
      </c>
      <c r="E16" s="32" t="inlineStr">
        <is>
          <t>Current A.Y.</t>
        </is>
      </c>
      <c r="F16" s="32" t="inlineStr">
        <is>
          <t>Previous A.Y.</t>
        </is>
      </c>
      <c r="G16" s="32" t="inlineStr">
        <is>
          <t>Growth %</t>
        </is>
      </c>
      <c r="H16" s="32" t="inlineStr">
        <is>
          <t>Target Next Year</t>
        </is>
      </c>
    </row>
    <row r="17" ht="22" customHeight="1">
      <c r="B17" s="33" t="n">
        <v>1</v>
      </c>
      <c r="C17" s="34" t="inlineStr">
        <is>
          <t>Total students with mentor assigned (%)</t>
        </is>
      </c>
      <c r="D17" s="35" t="inlineStr">
        <is>
          <t>% of enrolled</t>
        </is>
      </c>
      <c r="E17" s="35" t="inlineStr"/>
      <c r="F17" s="35" t="inlineStr"/>
      <c r="G17" s="35">
        <f>IFERROR(ROUND((E17-F17)/F17*100,1),"")</f>
        <v/>
      </c>
      <c r="H17" s="35" t="inlineStr"/>
    </row>
    <row r="18" ht="22" customHeight="1">
      <c r="B18" s="6" t="n">
        <v>2</v>
      </c>
      <c r="C18" s="7" t="inlineStr">
        <is>
          <t>Total mentors engaged</t>
        </is>
      </c>
      <c r="D18" s="8" t="inlineStr">
        <is>
          <t>No.</t>
        </is>
      </c>
      <c r="E18" s="8" t="inlineStr"/>
      <c r="F18" s="8" t="inlineStr"/>
      <c r="G18" s="8">
        <f>IFERROR(ROUND((E18-F18)/F18*100,1),"")</f>
        <v/>
      </c>
      <c r="H18" s="8" t="inlineStr"/>
    </row>
    <row r="19" ht="22" customHeight="1">
      <c r="B19" s="33" t="n">
        <v>3</v>
      </c>
      <c r="C19" s="34" t="inlineStr">
        <is>
          <t>Total mentoring sessions held</t>
        </is>
      </c>
      <c r="D19" s="35" t="inlineStr">
        <is>
          <t>No.</t>
        </is>
      </c>
      <c r="E19" s="35" t="inlineStr"/>
      <c r="F19" s="35" t="inlineStr"/>
      <c r="G19" s="35">
        <f>IFERROR(ROUND((E19-F19)/F19*100,1),"")</f>
        <v/>
      </c>
      <c r="H19" s="35" t="inlineStr"/>
    </row>
    <row r="20" ht="22" customHeight="1">
      <c r="B20" s="6" t="n">
        <v>4</v>
      </c>
      <c r="C20" s="7" t="inlineStr">
        <is>
          <t>Sessions completion rate (%)</t>
        </is>
      </c>
      <c r="D20" s="8" t="inlineStr">
        <is>
          <t>% of scheduled</t>
        </is>
      </c>
      <c r="E20" s="8" t="inlineStr"/>
      <c r="F20" s="8" t="inlineStr"/>
      <c r="G20" s="8">
        <f>IFERROR(ROUND((E20-F20)/F20*100,1),"")</f>
        <v/>
      </c>
      <c r="H20" s="8" t="inlineStr"/>
    </row>
    <row r="21" ht="22" customHeight="1">
      <c r="B21" s="33" t="n">
        <v>5</v>
      </c>
      <c r="C21" s="34" t="inlineStr">
        <is>
          <t>Mentee satisfaction score (/5)</t>
        </is>
      </c>
      <c r="D21" s="35" t="inlineStr">
        <is>
          <t>Score</t>
        </is>
      </c>
      <c r="E21" s="35" t="inlineStr"/>
      <c r="F21" s="35" t="inlineStr"/>
      <c r="G21" s="35">
        <f>IFERROR(ROUND((E21-F21)/F21*100,1),"")</f>
        <v/>
      </c>
      <c r="H21" s="35" t="inlineStr"/>
    </row>
    <row r="22" ht="22" customHeight="1">
      <c r="B22" s="6" t="n">
        <v>6</v>
      </c>
      <c r="C22" s="7" t="inlineStr">
        <is>
          <t>At-risk students identified via mentoring</t>
        </is>
      </c>
      <c r="D22" s="8" t="inlineStr">
        <is>
          <t>No.</t>
        </is>
      </c>
      <c r="E22" s="8" t="inlineStr"/>
      <c r="F22" s="8" t="inlineStr"/>
      <c r="G22" s="8">
        <f>IFERROR(ROUND((E22-F22)/F22*100,1),"")</f>
        <v/>
      </c>
      <c r="H22" s="8" t="inlineStr"/>
    </row>
    <row r="23" ht="22" customHeight="1">
      <c r="B23" s="33" t="n">
        <v>7</v>
      </c>
      <c r="C23" s="34" t="inlineStr">
        <is>
          <t>Mentoring referrals to counsellor</t>
        </is>
      </c>
      <c r="D23" s="35" t="inlineStr">
        <is>
          <t>No.</t>
        </is>
      </c>
      <c r="E23" s="35" t="inlineStr"/>
      <c r="F23" s="35" t="inlineStr"/>
      <c r="G23" s="35">
        <f>IFERROR(ROUND((E23-F23)/F23*100,1),"")</f>
        <v/>
      </c>
      <c r="H23" s="35" t="inlineStr"/>
    </row>
    <row r="24" ht="22" customHeight="1">
      <c r="B24" s="6" t="n">
        <v>8</v>
      </c>
      <c r="C24" s="7" t="inlineStr">
        <is>
          <t>Peer mentoring pairs active</t>
        </is>
      </c>
      <c r="D24" s="8" t="inlineStr">
        <is>
          <t>No.</t>
        </is>
      </c>
      <c r="E24" s="8" t="inlineStr"/>
      <c r="F24" s="8" t="inlineStr"/>
      <c r="G24" s="8">
        <f>IFERROR(ROUND((E24-F24)/F24*100,1),"")</f>
        <v/>
      </c>
      <c r="H24" s="8" t="inlineStr"/>
    </row>
    <row r="25" ht="22" customHeight="1"/>
    <row r="26" ht="24" customHeight="1">
      <c r="B26" s="43" t="inlineStr">
        <is>
          <t>SECTION 3 — GRIEVANCE REDRESSAL</t>
        </is>
      </c>
    </row>
    <row r="27" ht="22" customHeight="1">
      <c r="B27" s="72" t="inlineStr">
        <is>
          <t>Sl.</t>
        </is>
      </c>
      <c r="C27" s="72" t="inlineStr">
        <is>
          <t>Performance Metric</t>
        </is>
      </c>
      <c r="D27" s="72" t="inlineStr">
        <is>
          <t>Unit</t>
        </is>
      </c>
      <c r="E27" s="72" t="inlineStr">
        <is>
          <t>Current A.Y.</t>
        </is>
      </c>
      <c r="F27" s="72" t="inlineStr">
        <is>
          <t>Previous A.Y.</t>
        </is>
      </c>
      <c r="G27" s="72" t="inlineStr">
        <is>
          <t>Growth %</t>
        </is>
      </c>
      <c r="H27" s="72" t="inlineStr">
        <is>
          <t>Target Next Year</t>
        </is>
      </c>
    </row>
    <row r="28" ht="22" customHeight="1">
      <c r="B28" s="73" t="n">
        <v>1</v>
      </c>
      <c r="C28" s="74" t="inlineStr">
        <is>
          <t>Total grievances received</t>
        </is>
      </c>
      <c r="D28" s="75" t="inlineStr">
        <is>
          <t>No.</t>
        </is>
      </c>
      <c r="E28" s="75" t="inlineStr"/>
      <c r="F28" s="75" t="inlineStr"/>
      <c r="G28" s="75">
        <f>IFERROR(ROUND((E28-F28)/F28*100,1),"")</f>
        <v/>
      </c>
      <c r="H28" s="75" t="inlineStr"/>
    </row>
    <row r="29" ht="22" customHeight="1">
      <c r="B29" s="6" t="n">
        <v>2</v>
      </c>
      <c r="C29" s="7" t="inlineStr">
        <is>
          <t>Grievances resolved within 30 days (%)</t>
        </is>
      </c>
      <c r="D29" s="8" t="inlineStr">
        <is>
          <t>% on time</t>
        </is>
      </c>
      <c r="E29" s="8" t="inlineStr"/>
      <c r="F29" s="8" t="inlineStr"/>
      <c r="G29" s="8">
        <f>IFERROR(ROUND((E29-F29)/F29*100,1),"")</f>
        <v/>
      </c>
      <c r="H29" s="8" t="inlineStr"/>
    </row>
    <row r="30" ht="22" customHeight="1">
      <c r="B30" s="73" t="n">
        <v>3</v>
      </c>
      <c r="C30" s="74" t="inlineStr">
        <is>
          <t>Average resolution days</t>
        </is>
      </c>
      <c r="D30" s="75" t="inlineStr">
        <is>
          <t>Days</t>
        </is>
      </c>
      <c r="E30" s="75" t="inlineStr"/>
      <c r="F30" s="75" t="inlineStr"/>
      <c r="G30" s="75">
        <f>IFERROR(ROUND((E30-F30)/F30*100,1),"")</f>
        <v/>
      </c>
      <c r="H30" s="75" t="inlineStr"/>
    </row>
    <row r="31" ht="22" customHeight="1">
      <c r="B31" s="6" t="n">
        <v>4</v>
      </c>
      <c r="C31" s="7" t="inlineStr">
        <is>
          <t>Cases appealed</t>
        </is>
      </c>
      <c r="D31" s="8" t="inlineStr">
        <is>
          <t>No.</t>
        </is>
      </c>
      <c r="E31" s="8" t="inlineStr"/>
      <c r="F31" s="8" t="inlineStr"/>
      <c r="G31" s="8">
        <f>IFERROR(ROUND((E31-F31)/F31*100,1),"")</f>
        <v/>
      </c>
      <c r="H31" s="8" t="inlineStr"/>
    </row>
    <row r="32" ht="22" customHeight="1">
      <c r="B32" s="73" t="n">
        <v>5</v>
      </c>
      <c r="C32" s="74" t="inlineStr">
        <is>
          <t>Systemic changes made based on grievances</t>
        </is>
      </c>
      <c r="D32" s="75" t="inlineStr">
        <is>
          <t>No.</t>
        </is>
      </c>
      <c r="E32" s="75" t="inlineStr"/>
      <c r="F32" s="75" t="inlineStr"/>
      <c r="G32" s="75">
        <f>IFERROR(ROUND((E32-F32)/F32*100,1),"")</f>
        <v/>
      </c>
      <c r="H32" s="75" t="inlineStr"/>
    </row>
    <row r="33" ht="22" customHeight="1">
      <c r="B33" s="6" t="n">
        <v>6</v>
      </c>
      <c r="C33" s="7" t="inlineStr">
        <is>
          <t>Student satisfaction with resolution (/5)</t>
        </is>
      </c>
      <c r="D33" s="8" t="inlineStr">
        <is>
          <t>Score</t>
        </is>
      </c>
      <c r="E33" s="8" t="inlineStr"/>
      <c r="F33" s="8" t="inlineStr"/>
      <c r="G33" s="8">
        <f>IFERROR(ROUND((E33-F33)/F33*100,1),"")</f>
        <v/>
      </c>
      <c r="H33" s="8" t="inlineStr"/>
    </row>
    <row r="34" ht="22" customHeight="1"/>
    <row r="35" ht="24" customHeight="1">
      <c r="B35" s="63" t="inlineStr">
        <is>
          <t>SECTION 4 — SPECIAL WELFARE</t>
        </is>
      </c>
    </row>
    <row r="36" ht="22" customHeight="1">
      <c r="B36" s="77" t="inlineStr">
        <is>
          <t>Sl.</t>
        </is>
      </c>
      <c r="C36" s="77" t="inlineStr">
        <is>
          <t>Performance Metric</t>
        </is>
      </c>
      <c r="D36" s="77" t="inlineStr">
        <is>
          <t>Unit</t>
        </is>
      </c>
      <c r="E36" s="77" t="inlineStr">
        <is>
          <t>Current A.Y.</t>
        </is>
      </c>
      <c r="F36" s="77" t="inlineStr">
        <is>
          <t>Previous A.Y.</t>
        </is>
      </c>
      <c r="G36" s="77" t="inlineStr">
        <is>
          <t>Growth %</t>
        </is>
      </c>
      <c r="H36" s="77" t="inlineStr">
        <is>
          <t>Target Next Year</t>
        </is>
      </c>
    </row>
    <row r="37" ht="22" customHeight="1">
      <c r="B37" s="78" t="n">
        <v>1</v>
      </c>
      <c r="C37" s="79" t="inlineStr">
        <is>
          <t>At-risk students monitored</t>
        </is>
      </c>
      <c r="D37" s="80" t="inlineStr">
        <is>
          <t>No.</t>
        </is>
      </c>
      <c r="E37" s="80" t="inlineStr"/>
      <c r="F37" s="80" t="inlineStr"/>
      <c r="G37" s="80">
        <f>IFERROR(ROUND((E37-F37)/F37*100,1),"")</f>
        <v/>
      </c>
      <c r="H37" s="80" t="inlineStr"/>
    </row>
    <row r="38" ht="22" customHeight="1">
      <c r="B38" s="6" t="n">
        <v>2</v>
      </c>
      <c r="C38" s="7" t="inlineStr">
        <is>
          <t>SC/ST students supported</t>
        </is>
      </c>
      <c r="D38" s="8" t="inlineStr">
        <is>
          <t>No.</t>
        </is>
      </c>
      <c r="E38" s="8" t="inlineStr"/>
      <c r="F38" s="8" t="inlineStr"/>
      <c r="G38" s="8">
        <f>IFERROR(ROUND((E38-F38)/F38*100,1),"")</f>
        <v/>
      </c>
      <c r="H38" s="8" t="inlineStr"/>
    </row>
    <row r="39" ht="22" customHeight="1">
      <c r="B39" s="78" t="n">
        <v>3</v>
      </c>
      <c r="C39" s="79" t="inlineStr">
        <is>
          <t>Divyangjan students with full accommodations</t>
        </is>
      </c>
      <c r="D39" s="80" t="inlineStr">
        <is>
          <t>No.</t>
        </is>
      </c>
      <c r="E39" s="80" t="inlineStr"/>
      <c r="F39" s="80" t="inlineStr"/>
      <c r="G39" s="80">
        <f>IFERROR(ROUND((E39-F39)/F39*100,1),"")</f>
        <v/>
      </c>
      <c r="H39" s="80" t="inlineStr"/>
    </row>
    <row r="40" ht="22" customHeight="1">
      <c r="B40" s="6" t="n">
        <v>4</v>
      </c>
      <c r="C40" s="7" t="inlineStr">
        <is>
          <t>First-generation learners supported</t>
        </is>
      </c>
      <c r="D40" s="8" t="inlineStr">
        <is>
          <t>No.</t>
        </is>
      </c>
      <c r="E40" s="8" t="inlineStr"/>
      <c r="F40" s="8" t="inlineStr"/>
      <c r="G40" s="8">
        <f>IFERROR(ROUND((E40-F40)/F40*100,1),"")</f>
        <v/>
      </c>
      <c r="H40" s="8" t="inlineStr"/>
    </row>
    <row r="41" ht="22" customHeight="1">
      <c r="B41" s="78" t="n">
        <v>5</v>
      </c>
      <c r="C41" s="79" t="inlineStr">
        <is>
          <t>Financial aid cases connected</t>
        </is>
      </c>
      <c r="D41" s="80" t="inlineStr">
        <is>
          <t>No.</t>
        </is>
      </c>
      <c r="E41" s="80" t="inlineStr"/>
      <c r="F41" s="80" t="inlineStr"/>
      <c r="G41" s="80">
        <f>IFERROR(ROUND((E41-F41)/F41*100,1),"")</f>
        <v/>
      </c>
      <c r="H41" s="80" t="inlineStr"/>
    </row>
    <row r="42" ht="22" customHeight="1">
      <c r="B42" s="6" t="n">
        <v>6</v>
      </c>
      <c r="C42" s="7" t="inlineStr">
        <is>
          <t>Women welfare programmes</t>
        </is>
      </c>
      <c r="D42" s="8" t="inlineStr">
        <is>
          <t>No.</t>
        </is>
      </c>
      <c r="E42" s="8" t="inlineStr"/>
      <c r="F42" s="8" t="inlineStr"/>
      <c r="G42" s="8">
        <f>IFERROR(ROUND((E42-F42)/F42*100,1),"")</f>
        <v/>
      </c>
      <c r="H42" s="8" t="inlineStr"/>
    </row>
    <row r="43" ht="22" customHeight="1"/>
    <row r="44" ht="24" customHeight="1">
      <c r="B44" s="22" t="inlineStr">
        <is>
          <t>SECTION 5 — AWARENESS &amp; TRAINING</t>
        </is>
      </c>
    </row>
    <row r="45" ht="22" customHeight="1">
      <c r="B45" s="23" t="inlineStr">
        <is>
          <t>Sl.</t>
        </is>
      </c>
      <c r="C45" s="23" t="inlineStr">
        <is>
          <t>Performance Metric</t>
        </is>
      </c>
      <c r="D45" s="23" t="inlineStr">
        <is>
          <t>Unit</t>
        </is>
      </c>
      <c r="E45" s="23" t="inlineStr">
        <is>
          <t>Current A.Y.</t>
        </is>
      </c>
      <c r="F45" s="23" t="inlineStr">
        <is>
          <t>Previous A.Y.</t>
        </is>
      </c>
      <c r="G45" s="23" t="inlineStr">
        <is>
          <t>Growth %</t>
        </is>
      </c>
      <c r="H45" s="23" t="inlineStr">
        <is>
          <t>Target Next Year</t>
        </is>
      </c>
    </row>
    <row r="46" ht="22" customHeight="1">
      <c r="B46" s="54" t="n">
        <v>1</v>
      </c>
      <c r="C46" s="82" t="inlineStr">
        <is>
          <t>Awareness sessions conducted</t>
        </is>
      </c>
      <c r="D46" s="24" t="inlineStr">
        <is>
          <t>No.</t>
        </is>
      </c>
      <c r="E46" s="24" t="inlineStr"/>
      <c r="F46" s="24" t="inlineStr"/>
      <c r="G46" s="24">
        <f>IFERROR(ROUND((E46-F46)/F46*100,1),"")</f>
        <v/>
      </c>
      <c r="H46" s="24" t="inlineStr"/>
    </row>
    <row r="47" ht="22" customHeight="1">
      <c r="B47" s="6" t="n">
        <v>2</v>
      </c>
      <c r="C47" s="7" t="inlineStr">
        <is>
          <t>Total students reached</t>
        </is>
      </c>
      <c r="D47" s="8" t="inlineStr">
        <is>
          <t>No.</t>
        </is>
      </c>
      <c r="E47" s="8" t="inlineStr"/>
      <c r="F47" s="8" t="inlineStr"/>
      <c r="G47" s="8">
        <f>IFERROR(ROUND((E47-F47)/F47*100,1),"")</f>
        <v/>
      </c>
      <c r="H47" s="8" t="inlineStr"/>
    </row>
    <row r="48" ht="22" customHeight="1">
      <c r="B48" s="54" t="n">
        <v>3</v>
      </c>
      <c r="C48" s="82" t="inlineStr">
        <is>
          <t>Counsellor CPD hours</t>
        </is>
      </c>
      <c r="D48" s="24" t="inlineStr">
        <is>
          <t>Hrs</t>
        </is>
      </c>
      <c r="E48" s="24" t="inlineStr"/>
      <c r="F48" s="24" t="inlineStr"/>
      <c r="G48" s="24">
        <f>IFERROR(ROUND((E48-F48)/F48*100,1),"")</f>
        <v/>
      </c>
      <c r="H48" s="24" t="inlineStr"/>
    </row>
    <row r="49" ht="22" customHeight="1">
      <c r="B49" s="6" t="n">
        <v>4</v>
      </c>
      <c r="C49" s="7" t="inlineStr">
        <is>
          <t>Mentor faculty training sessions</t>
        </is>
      </c>
      <c r="D49" s="8" t="inlineStr">
        <is>
          <t>No.</t>
        </is>
      </c>
      <c r="E49" s="8" t="inlineStr"/>
      <c r="F49" s="8" t="inlineStr"/>
      <c r="G49" s="8">
        <f>IFERROR(ROUND((E49-F49)/F49*100,1),"")</f>
        <v/>
      </c>
      <c r="H49" s="8" t="inlineStr"/>
    </row>
    <row r="50" ht="22" customHeight="1">
      <c r="B50" s="54" t="n">
        <v>5</v>
      </c>
      <c r="C50" s="82" t="inlineStr">
        <is>
          <t>Digital / e-safety sessions</t>
        </is>
      </c>
      <c r="D50" s="24" t="inlineStr">
        <is>
          <t>No.</t>
        </is>
      </c>
      <c r="E50" s="24" t="inlineStr"/>
      <c r="F50" s="24" t="inlineStr"/>
      <c r="G50" s="24">
        <f>IFERROR(ROUND((E50-F50)/F50*100,1),"")</f>
        <v/>
      </c>
      <c r="H50" s="24" t="inlineStr"/>
    </row>
    <row r="51" ht="22" customHeight="1">
      <c r="B51" s="6" t="n">
        <v>6</v>
      </c>
      <c r="C51" s="7" t="inlineStr">
        <is>
          <t>Peer support volunteers trained</t>
        </is>
      </c>
      <c r="D51" s="8" t="inlineStr">
        <is>
          <t>No.</t>
        </is>
      </c>
      <c r="E51" s="8" t="inlineStr"/>
      <c r="F51" s="8" t="inlineStr"/>
      <c r="G51" s="8">
        <f>IFERROR(ROUND((E51-F51)/F51*100,1),"")</f>
        <v/>
      </c>
      <c r="H51" s="8" t="inlineStr"/>
    </row>
    <row r="52" ht="22" customHeight="1"/>
    <row r="53" ht="20" customHeight="1">
      <c r="B53" s="18" t="inlineStr">
        <is>
          <t>Annual Report submitted to: Management, IQAC (AQAR Criterion V.2, V.3, V.4), NAAC, NBA SAR and Governing Body. Counselling data reported only in anonymised / aggregate form.</t>
        </is>
      </c>
    </row>
    <row r="54" ht="22" customHeight="1">
      <c r="B54" s="31" t="inlineStr">
        <is>
          <t>CMG Coordinator: ___________________    Chairperson: ___________________    IQAC Coordinator: ___________________    Date: ___________________</t>
        </is>
      </c>
    </row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26:H26"/>
    <mergeCell ref="B35:H35"/>
    <mergeCell ref="B4:H4"/>
    <mergeCell ref="B44:H44"/>
    <mergeCell ref="B53:H53"/>
    <mergeCell ref="B2:H2"/>
    <mergeCell ref="B54:H54"/>
    <mergeCell ref="B15:H15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2026-04-20T10:28:09Z</dcterms:created>
  <dcterms:modified xmlns:dcterms="http://purl.org/dc/terms/" xmlns:xsi="http://www.w3.org/2001/XMLSchema-instance" xsi:type="dcterms:W3CDTF">2026-04-20T10:28:09Z</dcterms:modified>
</cp:coreProperties>
</file>