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C-01 Members Register" sheetId="2" state="visible" r:id="rId2"/>
    <sheet xmlns:r="http://schemas.openxmlformats.org/officeDocument/2006/relationships" name="FC-02 Notice &amp; Agenda" sheetId="3" state="visible" r:id="rId3"/>
    <sheet xmlns:r="http://schemas.openxmlformats.org/officeDocument/2006/relationships" name="FC-03 Attendance &amp; Quorum" sheetId="4" state="visible" r:id="rId4"/>
    <sheet xmlns:r="http://schemas.openxmlformats.org/officeDocument/2006/relationships" name="FC-04 Minutes &amp; Resolutions" sheetId="5" state="visible" r:id="rId5"/>
    <sheet xmlns:r="http://schemas.openxmlformats.org/officeDocument/2006/relationships" name="FC-05 Action Taken Report" sheetId="6" state="visible" r:id="rId6"/>
    <sheet xmlns:r="http://schemas.openxmlformats.org/officeDocument/2006/relationships" name="FC-06 Annual Budget" sheetId="7" state="visible" r:id="rId7"/>
    <sheet xmlns:r="http://schemas.openxmlformats.org/officeDocument/2006/relationships" name="FC-07 Revised Estimates" sheetId="8" state="visible" r:id="rId8"/>
    <sheet xmlns:r="http://schemas.openxmlformats.org/officeDocument/2006/relationships" name="FC-08 I&amp;E Statement" sheetId="9" state="visible" r:id="rId9"/>
    <sheet xmlns:r="http://schemas.openxmlformats.org/officeDocument/2006/relationships" name="FC-09 Fee Structure" sheetId="10" state="visible" r:id="rId10"/>
    <sheet xmlns:r="http://schemas.openxmlformats.org/officeDocument/2006/relationships" name="FC-10 Grant Utilisation" sheetId="11" state="visible" r:id="rId11"/>
    <sheet xmlns:r="http://schemas.openxmlformats.org/officeDocument/2006/relationships" name="FC-11 Procurement Sanction" sheetId="12" state="visible" r:id="rId12"/>
    <sheet xmlns:r="http://schemas.openxmlformats.org/officeDocument/2006/relationships" name="FC-12 Internal Audit Review" sheetId="13" state="visible" r:id="rId13"/>
    <sheet xmlns:r="http://schemas.openxmlformats.org/officeDocument/2006/relationships" name="FC-13 Endowment &amp; Corpus" sheetId="14" state="visible" r:id="rId14"/>
    <sheet xmlns:r="http://schemas.openxmlformats.org/officeDocument/2006/relationships" name="FC-14 Salary &amp; Payroll" sheetId="15" state="visible" r:id="rId15"/>
    <sheet xmlns:r="http://schemas.openxmlformats.org/officeDocument/2006/relationships" name="FC-15 Recommendations Re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B5E35"/>
      <sz val="9"/>
    </font>
    <font>
      <name val="Arial"/>
      <b val="1"/>
      <color rgb="00FFFFFF"/>
      <sz val="11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6B7280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5C3D00"/>
      <sz val="9"/>
    </font>
    <font>
      <name val="Arial"/>
      <b val="1"/>
      <color rgb="001B5E35"/>
      <sz val="10"/>
    </font>
    <font>
      <name val="Arial"/>
      <b val="1"/>
      <color rgb="002C3E50"/>
      <sz val="10"/>
    </font>
    <font>
      <name val="Arial"/>
      <color rgb="00111827"/>
      <sz val="9"/>
    </font>
    <font>
      <name val="Arial"/>
      <b val="1"/>
      <color rgb="0078350F"/>
      <sz val="10"/>
    </font>
    <font>
      <name val="Arial"/>
      <b val="1"/>
      <color rgb="00B91C1C"/>
      <sz val="10"/>
    </font>
    <font>
      <name val="Arial"/>
      <b val="1"/>
      <color rgb="000A2E1A"/>
      <sz val="10"/>
    </font>
    <font>
      <name val="Arial"/>
      <b val="1"/>
      <color rgb="00111827"/>
      <sz val="9"/>
    </font>
  </fonts>
  <fills count="21">
    <fill>
      <patternFill/>
    </fill>
    <fill>
      <patternFill patternType="gray125"/>
    </fill>
    <fill>
      <patternFill patternType="solid">
        <fgColor rgb="000A2E1A"/>
      </patternFill>
    </fill>
    <fill>
      <patternFill patternType="solid">
        <fgColor rgb="00D4EDDA"/>
      </patternFill>
    </fill>
    <fill>
      <patternFill patternType="solid">
        <fgColor rgb="00D4A017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1B5E35"/>
      </patternFill>
    </fill>
    <fill>
      <patternFill patternType="solid">
        <fgColor rgb="00FFF8DC"/>
      </patternFill>
    </fill>
    <fill>
      <patternFill patternType="solid">
        <fgColor rgb="002C3E50"/>
      </patternFill>
    </fill>
    <fill>
      <patternFill patternType="solid">
        <fgColor rgb="00E5E7EB"/>
      </patternFill>
    </fill>
    <fill>
      <patternFill patternType="solid">
        <fgColor rgb="005C3D00"/>
      </patternFill>
    </fill>
    <fill>
      <patternFill patternType="solid">
        <fgColor rgb="00B8860B"/>
      </patternFill>
    </fill>
    <fill>
      <patternFill patternType="solid">
        <fgColor rgb="0000838F"/>
      </patternFill>
    </fill>
    <fill>
      <patternFill patternType="solid">
        <fgColor rgb="00E0F7FA"/>
      </patternFill>
    </fill>
    <fill>
      <patternFill patternType="solid">
        <fgColor rgb="00FEF3C7"/>
      </patternFill>
    </fill>
    <fill>
      <patternFill patternType="solid">
        <fgColor rgb="00D6E4F0"/>
      </patternFill>
    </fill>
    <fill>
      <patternFill patternType="solid">
        <fgColor rgb="00D5D8DC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3" fillId="19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3" fillId="20" borderId="0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4" customWidth="1" min="3" max="3"/>
    <col width="30" customWidth="1" min="4" max="4"/>
    <col width="18" customWidth="1" min="5" max="5"/>
    <col width="3" customWidth="1" min="6" max="6"/>
  </cols>
  <sheetData>
    <row r="1" ht="10" customHeight="1"/>
    <row r="2" ht="68" customHeight="1">
      <c r="B2" s="1" t="inlineStr">
        <is>
          <t>FINANCE COMMITTEE (FC)
Data Collection Formats — Master Workbook</t>
        </is>
      </c>
    </row>
    <row r="3" ht="28" customHeight="1">
      <c r="B3" s="2" t="inlineStr">
        <is>
          <t>Institution: _________________________  Prepared by: _____________  Financial Year: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2" customHeight="1">
      <c r="B5" s="4" t="inlineStr">
        <is>
          <t>FC-01</t>
        </is>
      </c>
      <c r="C5" s="5" t="inlineStr">
        <is>
          <t>FC Composition &amp; Members Register</t>
        </is>
      </c>
      <c r="D5" s="5" t="inlineStr">
        <is>
          <t>Record member details, categories, terms &amp; expertise</t>
        </is>
      </c>
      <c r="E5" s="6" t="inlineStr">
        <is>
          <t>Annual / On Change</t>
        </is>
      </c>
    </row>
    <row r="6" ht="22" customHeight="1">
      <c r="B6" s="7" t="inlineStr">
        <is>
          <t>FC-02</t>
        </is>
      </c>
      <c r="C6" s="8" t="inlineStr">
        <is>
          <t>Meeting Notice, Agenda &amp; Dispatch Record</t>
        </is>
      </c>
      <c r="D6" s="8" t="inlineStr">
        <is>
          <t>Official notice, agenda preparation &amp; dispatch log</t>
        </is>
      </c>
      <c r="E6" s="9" t="inlineStr">
        <is>
          <t>Each Meeting</t>
        </is>
      </c>
    </row>
    <row r="7" ht="22" customHeight="1">
      <c r="B7" s="4" t="inlineStr">
        <is>
          <t>FC-03</t>
        </is>
      </c>
      <c r="C7" s="5" t="inlineStr">
        <is>
          <t>Attendance, Quorum &amp; Proxy Register</t>
        </is>
      </c>
      <c r="D7" s="5" t="inlineStr">
        <is>
          <t>Confirm attendance, quorum validity &amp; proxy authorisation</t>
        </is>
      </c>
      <c r="E7" s="6" t="inlineStr">
        <is>
          <t>Each Meeting</t>
        </is>
      </c>
    </row>
    <row r="8" ht="22" customHeight="1">
      <c r="B8" s="7" t="inlineStr">
        <is>
          <t>FC-04</t>
        </is>
      </c>
      <c r="C8" s="8" t="inlineStr">
        <is>
          <t>Meeting Minutes &amp; Resolutions</t>
        </is>
      </c>
      <c r="D8" s="8" t="inlineStr">
        <is>
          <t>Formal minutes, resolutions, voting &amp; follow-up records</t>
        </is>
      </c>
      <c r="E8" s="9" t="inlineStr">
        <is>
          <t>Each Meeting</t>
        </is>
      </c>
    </row>
    <row r="9" ht="22" customHeight="1">
      <c r="B9" s="4" t="inlineStr">
        <is>
          <t>FC-05</t>
        </is>
      </c>
      <c r="C9" s="5" t="inlineStr">
        <is>
          <t>Action Taken Report (ATR)</t>
        </is>
      </c>
      <c r="D9" s="5" t="inlineStr">
        <is>
          <t>Track implementation of FC recommendations &amp; decisions</t>
        </is>
      </c>
      <c r="E9" s="6" t="inlineStr">
        <is>
          <t>Each Meeting</t>
        </is>
      </c>
    </row>
    <row r="10" ht="22" customHeight="1">
      <c r="B10" s="7" t="inlineStr">
        <is>
          <t>FC-06</t>
        </is>
      </c>
      <c r="C10" s="8" t="inlineStr">
        <is>
          <t>Annual Budget Preparation Form</t>
        </is>
      </c>
      <c r="D10" s="8" t="inlineStr">
        <is>
          <t>Department-wise budget estimates for consolidation</t>
        </is>
      </c>
      <c r="E10" s="9" t="inlineStr">
        <is>
          <t>Annual (Pre-FY)</t>
        </is>
      </c>
    </row>
    <row r="11" ht="22" customHeight="1">
      <c r="B11" s="4" t="inlineStr">
        <is>
          <t>FC-07</t>
        </is>
      </c>
      <c r="C11" s="5" t="inlineStr">
        <is>
          <t>Revised Estimates Form</t>
        </is>
      </c>
      <c r="D11" s="5" t="inlineStr">
        <is>
          <t>Mid-year budget revision &amp; re-appropriation proposal</t>
        </is>
      </c>
      <c r="E11" s="6" t="inlineStr">
        <is>
          <t>Mid-Year</t>
        </is>
      </c>
    </row>
    <row r="12" ht="22" customHeight="1">
      <c r="B12" s="7" t="inlineStr">
        <is>
          <t>FC-08</t>
        </is>
      </c>
      <c r="C12" s="8" t="inlineStr">
        <is>
          <t>Income &amp; Expenditure Statement</t>
        </is>
      </c>
      <c r="D12" s="8" t="inlineStr">
        <is>
          <t>Consolidated I&amp;E with actuals vs. budget variance</t>
        </is>
      </c>
      <c r="E12" s="9" t="inlineStr">
        <is>
          <t>Monthly / Annual</t>
        </is>
      </c>
    </row>
    <row r="13" ht="22" customHeight="1">
      <c r="B13" s="4" t="inlineStr">
        <is>
          <t>FC-09</t>
        </is>
      </c>
      <c r="C13" s="5" t="inlineStr">
        <is>
          <t>Fee Structure Proposal &amp; Approval</t>
        </is>
      </c>
      <c r="D13" s="5" t="inlineStr">
        <is>
          <t>Propose, review &amp; approve student fee structure</t>
        </is>
      </c>
      <c r="E13" s="6" t="inlineStr">
        <is>
          <t>Annual / Need-Based</t>
        </is>
      </c>
    </row>
    <row r="14" ht="22" customHeight="1">
      <c r="B14" s="7" t="inlineStr">
        <is>
          <t>FC-10</t>
        </is>
      </c>
      <c r="C14" s="8" t="inlineStr">
        <is>
          <t>Grant &amp; Fund Utilisation Register</t>
        </is>
      </c>
      <c r="D14" s="8" t="inlineStr">
        <is>
          <t>Track receipt, utilisation &amp; UC submission for all grants</t>
        </is>
      </c>
      <c r="E14" s="9" t="inlineStr">
        <is>
          <t>Continuous</t>
        </is>
      </c>
    </row>
    <row r="15" ht="22" customHeight="1">
      <c r="B15" s="4" t="inlineStr">
        <is>
          <t>FC-11</t>
        </is>
      </c>
      <c r="C15" s="5" t="inlineStr">
        <is>
          <t>Procurement &amp; Expenditure Sanction</t>
        </is>
      </c>
      <c r="D15" s="5" t="inlineStr">
        <is>
          <t>Seek FC sanction for purchases &amp; expenditure above limits</t>
        </is>
      </c>
      <c r="E15" s="6" t="inlineStr">
        <is>
          <t>Need-Based</t>
        </is>
      </c>
    </row>
    <row r="16" ht="22" customHeight="1">
      <c r="B16" s="7" t="inlineStr">
        <is>
          <t>FC-12</t>
        </is>
      </c>
      <c r="C16" s="8" t="inlineStr">
        <is>
          <t>Internal Audit Review Register</t>
        </is>
      </c>
      <c r="D16" s="8" t="inlineStr">
        <is>
          <t>Capture audit findings, management reply &amp; compliance</t>
        </is>
      </c>
      <c r="E16" s="9" t="inlineStr">
        <is>
          <t>Quarterly / Annual</t>
        </is>
      </c>
    </row>
    <row r="17" ht="22" customHeight="1">
      <c r="B17" s="4" t="inlineStr">
        <is>
          <t>FC-13</t>
        </is>
      </c>
      <c r="C17" s="5" t="inlineStr">
        <is>
          <t>Endowment &amp; Corpus Fund Register</t>
        </is>
      </c>
      <c r="D17" s="5" t="inlineStr">
        <is>
          <t>Track endowment corpus, income &amp; utilisation</t>
        </is>
      </c>
      <c r="E17" s="6" t="inlineStr">
        <is>
          <t>Annual</t>
        </is>
      </c>
    </row>
    <row r="18" ht="22" customHeight="1">
      <c r="B18" s="7" t="inlineStr">
        <is>
          <t>FC-14</t>
        </is>
      </c>
      <c r="C18" s="8" t="inlineStr">
        <is>
          <t>Salary &amp; Payroll Approval Register</t>
        </is>
      </c>
      <c r="D18" s="8" t="inlineStr">
        <is>
          <t>Verify &amp; approve payroll, arrears &amp; special payments</t>
        </is>
      </c>
      <c r="E18" s="9" t="inlineStr">
        <is>
          <t>Monthly</t>
        </is>
      </c>
    </row>
    <row r="19" ht="22" customHeight="1">
      <c r="B19" s="4" t="inlineStr">
        <is>
          <t>FC-15</t>
        </is>
      </c>
      <c r="C19" s="5" t="inlineStr">
        <is>
          <t>FC Recommendations &amp; Follow-up Register</t>
        </is>
      </c>
      <c r="D19" s="5" t="inlineStr">
        <is>
          <t>Cumulative log of all FC decisions &amp; implementation status</t>
        </is>
      </c>
      <c r="E19" s="6" t="inlineStr">
        <is>
          <t>Cumulative</t>
        </is>
      </c>
    </row>
    <row r="20" ht="22" customHeight="1"/>
    <row r="21" ht="22" customHeight="1">
      <c r="B21" s="10" t="inlineStr">
        <is>
          <t>• FC = Finance Committee — responsible for financial oversight, budget approval, audit review and fund management.</t>
        </is>
      </c>
    </row>
    <row r="22" ht="22" customHeight="1">
      <c r="B22" s="10" t="inlineStr">
        <is>
          <t>• FC recommendations are placed before the Executive Council (EC) for final ratification.</t>
        </is>
      </c>
    </row>
    <row r="23" ht="22" customHeight="1">
      <c r="B23" s="10" t="inlineStr">
        <is>
          <t>• Quorum: Minimum 50% of FC members must be present (verify against institution statutes).</t>
        </is>
      </c>
    </row>
    <row r="24" ht="22" customHeight="1">
      <c r="B24" s="10" t="inlineStr">
        <is>
          <t>• All amounts in ₹ Lakhs unless otherwise stated. Maintain separate registers for each financial year.</t>
        </is>
      </c>
    </row>
    <row r="25" ht="22" customHeight="1">
      <c r="B25" s="10" t="inlineStr">
        <is>
          <t>• Utilisation Certificates (UCs) for all grants must be submitted within the prescribed timeline.</t>
        </is>
      </c>
    </row>
    <row r="26" ht="22" customHeight="1">
      <c r="B26" s="10" t="inlineStr">
        <is>
          <t>• Procurement above the delegated financial limit must be placed before FC for approval before initiating tender.</t>
        </is>
      </c>
    </row>
  </sheetData>
  <mergeCells count="8">
    <mergeCell ref="B23:E23"/>
    <mergeCell ref="B26:E26"/>
    <mergeCell ref="B21:E21"/>
    <mergeCell ref="B25:E25"/>
    <mergeCell ref="B3:E3"/>
    <mergeCell ref="B2:E2"/>
    <mergeCell ref="B24:E24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6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FC-01: FINANCE COMMITTEE COMPOSITION &amp; MEMBERS REGISTER</t>
        </is>
      </c>
    </row>
    <row r="3" ht="25" customHeight="1">
      <c r="B3" s="2" t="inlineStr">
        <is>
          <t>Institution: _________________________  Constituted on: _______  Valid upto: _______  Total Strength: _______</t>
        </is>
      </c>
    </row>
    <row r="4" ht="25" customHeight="1">
      <c r="B4" s="12" t="inlineStr">
        <is>
          <t>Sl.</t>
        </is>
      </c>
      <c r="C4" s="12" t="inlineStr">
        <is>
          <t>Name of Member</t>
        </is>
      </c>
      <c r="D4" s="12" t="inlineStr">
        <is>
          <t>Designation / Organisation</t>
        </is>
      </c>
      <c r="E4" s="12" t="inlineStr">
        <is>
          <t>Category</t>
        </is>
      </c>
      <c r="F4" s="12" t="inlineStr">
        <is>
          <t>Financial Expertise</t>
        </is>
      </c>
      <c r="G4" s="12" t="inlineStr">
        <is>
          <t>Email / Phone</t>
        </is>
      </c>
      <c r="H4" s="12" t="inlineStr">
        <is>
          <t>Term (From–To)</t>
        </is>
      </c>
      <c r="I4" s="12" t="inlineStr">
        <is>
          <t>Signature</t>
        </is>
      </c>
    </row>
    <row r="5" ht="22" customHeight="1">
      <c r="B5" s="13" t="n">
        <v>1</v>
      </c>
      <c r="C5" s="14" t="inlineStr"/>
      <c r="D5" s="14" t="inlineStr">
        <is>
          <t>Principal / Director / Vice-Chancellor</t>
        </is>
      </c>
      <c r="E5" s="13" t="inlineStr">
        <is>
          <t>Chairperson</t>
        </is>
      </c>
      <c r="F5" s="15" t="inlineStr">
        <is>
          <t>Institutional Finance</t>
        </is>
      </c>
      <c r="G5" s="14" t="inlineStr"/>
      <c r="H5" s="15" t="inlineStr"/>
      <c r="I5" s="15" t="inlineStr"/>
    </row>
    <row r="6" ht="22" customHeight="1">
      <c r="B6" s="4" t="n">
        <v>2</v>
      </c>
      <c r="C6" s="5" t="inlineStr"/>
      <c r="D6" s="5" t="inlineStr">
        <is>
          <t>Finance Wing – Institution</t>
        </is>
      </c>
      <c r="E6" s="4" t="inlineStr">
        <is>
          <t>Finance Officer / Treasurer</t>
        </is>
      </c>
      <c r="F6" s="6" t="inlineStr">
        <is>
          <t>Accounts &amp; Audit</t>
        </is>
      </c>
      <c r="G6" s="5" t="inlineStr"/>
      <c r="H6" s="6" t="inlineStr"/>
      <c r="I6" s="6" t="inlineStr"/>
    </row>
    <row r="7" ht="22" customHeight="1">
      <c r="B7" s="13" t="n">
        <v>3</v>
      </c>
      <c r="C7" s="14" t="inlineStr"/>
      <c r="D7" s="14" t="inlineStr">
        <is>
          <t>Registrar / Administrative Head</t>
        </is>
      </c>
      <c r="E7" s="13" t="inlineStr">
        <is>
          <t>Ex-Officio Member</t>
        </is>
      </c>
      <c r="F7" s="15" t="inlineStr">
        <is>
          <t>Administration</t>
        </is>
      </c>
      <c r="G7" s="14" t="inlineStr"/>
      <c r="H7" s="15" t="inlineStr"/>
      <c r="I7" s="15" t="inlineStr"/>
    </row>
    <row r="8" ht="22" customHeight="1">
      <c r="B8" s="4" t="n">
        <v>4</v>
      </c>
      <c r="C8" s="5" t="inlineStr"/>
      <c r="D8" s="5" t="inlineStr">
        <is>
          <t>Senior EC Member / Trustee</t>
        </is>
      </c>
      <c r="E8" s="4" t="inlineStr">
        <is>
          <t>EC Nominee – 1</t>
        </is>
      </c>
      <c r="F8" s="6" t="inlineStr">
        <is>
          <t>Governance &amp; Strategy</t>
        </is>
      </c>
      <c r="G8" s="5" t="inlineStr"/>
      <c r="H8" s="6" t="inlineStr"/>
      <c r="I8" s="6" t="inlineStr"/>
    </row>
    <row r="9" ht="22" customHeight="1">
      <c r="B9" s="13" t="n">
        <v>5</v>
      </c>
      <c r="C9" s="14" t="inlineStr"/>
      <c r="D9" s="14" t="inlineStr">
        <is>
          <t>EC Member</t>
        </is>
      </c>
      <c r="E9" s="13" t="inlineStr">
        <is>
          <t>EC Nominee – 2</t>
        </is>
      </c>
      <c r="F9" s="15" t="inlineStr">
        <is>
          <t>Management</t>
        </is>
      </c>
      <c r="G9" s="14" t="inlineStr"/>
      <c r="H9" s="15" t="inlineStr"/>
      <c r="I9" s="15" t="inlineStr"/>
    </row>
    <row r="10" ht="22" customHeight="1">
      <c r="B10" s="4" t="n">
        <v>6</v>
      </c>
      <c r="C10" s="5" t="inlineStr"/>
      <c r="D10" s="5" t="inlineStr">
        <is>
          <t>Affiliating University Representative</t>
        </is>
      </c>
      <c r="E10" s="4" t="inlineStr">
        <is>
          <t>University Nominee</t>
        </is>
      </c>
      <c r="F10" s="6" t="inlineStr">
        <is>
          <t>Academic Finance</t>
        </is>
      </c>
      <c r="G10" s="5" t="inlineStr"/>
      <c r="H10" s="6" t="inlineStr"/>
      <c r="I10" s="6" t="inlineStr"/>
    </row>
    <row r="11" ht="22" customHeight="1">
      <c r="B11" s="13" t="n">
        <v>7</v>
      </c>
      <c r="C11" s="14" t="inlineStr"/>
      <c r="D11" s="14" t="inlineStr">
        <is>
          <t>State Higher Education / Finance Dept.</t>
        </is>
      </c>
      <c r="E11" s="13" t="inlineStr">
        <is>
          <t>State Govt. Nominee</t>
        </is>
      </c>
      <c r="F11" s="15" t="inlineStr">
        <is>
          <t>Govt. Finance &amp; Audit</t>
        </is>
      </c>
      <c r="G11" s="14" t="inlineStr"/>
      <c r="H11" s="15" t="inlineStr"/>
      <c r="I11" s="15" t="inlineStr"/>
    </row>
    <row r="12" ht="22" customHeight="1">
      <c r="B12" s="4" t="n">
        <v>8</v>
      </c>
      <c r="C12" s="5" t="inlineStr"/>
      <c r="D12" s="5" t="inlineStr">
        <is>
          <t>External CA / Auditor</t>
        </is>
      </c>
      <c r="E12" s="4" t="inlineStr">
        <is>
          <t>Chartered Accountant (External)</t>
        </is>
      </c>
      <c r="F12" s="6" t="inlineStr">
        <is>
          <t>Statutory Audit &amp; Tax</t>
        </is>
      </c>
      <c r="G12" s="5" t="inlineStr"/>
      <c r="H12" s="6" t="inlineStr"/>
      <c r="I12" s="6" t="inlineStr"/>
    </row>
    <row r="13" ht="22" customHeight="1">
      <c r="B13" s="13" t="n">
        <v>9</v>
      </c>
      <c r="C13" s="14" t="inlineStr"/>
      <c r="D13" s="14" t="inlineStr">
        <is>
          <t>CFO / Finance Director – Industry</t>
        </is>
      </c>
      <c r="E13" s="13" t="inlineStr">
        <is>
          <t>Industry Finance Expert</t>
        </is>
      </c>
      <c r="F13" s="15" t="inlineStr">
        <is>
          <t>Corporate Finance</t>
        </is>
      </c>
      <c r="G13" s="14" t="inlineStr"/>
      <c r="H13" s="15" t="inlineStr"/>
      <c r="I13" s="15" t="inlineStr"/>
    </row>
    <row r="14" ht="22" customHeight="1">
      <c r="B14" s="4" t="n">
        <v>10</v>
      </c>
      <c r="C14" s="5" t="inlineStr"/>
      <c r="D14" s="5" t="inlineStr">
        <is>
          <t>Legal or Senior Accounts Professional</t>
        </is>
      </c>
      <c r="E14" s="4" t="inlineStr">
        <is>
          <t>Legal / Accounts Expert</t>
        </is>
      </c>
      <c r="F14" s="6" t="inlineStr">
        <is>
          <t>Legal &amp; Compliance</t>
        </is>
      </c>
      <c r="G14" s="5" t="inlineStr"/>
      <c r="H14" s="6" t="inlineStr"/>
      <c r="I14" s="6" t="inlineStr"/>
    </row>
    <row r="15" ht="22" customHeight="1">
      <c r="B15" s="13" t="n">
        <v>11</v>
      </c>
      <c r="C15" s="14" t="inlineStr"/>
      <c r="D15" s="14" t="inlineStr">
        <is>
          <t>Internal Audit Cell</t>
        </is>
      </c>
      <c r="E15" s="13" t="inlineStr">
        <is>
          <t>Internal Audit Officer</t>
        </is>
      </c>
      <c r="F15" s="15" t="inlineStr">
        <is>
          <t>Internal Audit</t>
        </is>
      </c>
      <c r="G15" s="14" t="inlineStr"/>
      <c r="H15" s="15" t="inlineStr"/>
      <c r="I15" s="15" t="inlineStr"/>
    </row>
    <row r="16" ht="22" customHeight="1">
      <c r="B16" s="4" t="n">
        <v>12</v>
      </c>
      <c r="C16" s="5" t="inlineStr"/>
      <c r="D16" s="5" t="inlineStr">
        <is>
          <t>Senior Faculty – Commerce / Management</t>
        </is>
      </c>
      <c r="E16" s="4" t="inlineStr">
        <is>
          <t>Faculty Representative</t>
        </is>
      </c>
      <c r="F16" s="6" t="inlineStr">
        <is>
          <t>Academic &amp; Finance</t>
        </is>
      </c>
      <c r="G16" s="5" t="inlineStr"/>
      <c r="H16" s="6" t="inlineStr"/>
      <c r="I16" s="6" t="inlineStr"/>
    </row>
    <row r="17" ht="22" customHeight="1"/>
    <row r="18" ht="22" customHeight="1">
      <c r="B18" s="16" t="inlineStr">
        <is>
          <t>Note: FC must include at least one external Chartered Accountant and one nominee each from the University and State Government.</t>
        </is>
      </c>
    </row>
    <row r="19" ht="22" customHeight="1"/>
    <row r="20" ht="22" customHeight="1"/>
    <row r="21" ht="22" customHeight="1"/>
  </sheetData>
  <mergeCells count="3">
    <mergeCell ref="B18:I18"/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6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1" t="inlineStr">
        <is>
          <t>FC-02: FINANCE COMMITTEE MEETING NOTICE, AGENDA &amp; DISPATCH RECORD</t>
        </is>
      </c>
    </row>
    <row r="3" ht="22" customHeight="1">
      <c r="B3" s="17" t="inlineStr">
        <is>
          <t>FC Meeting No.:</t>
        </is>
      </c>
      <c r="C3" s="5" t="n"/>
    </row>
    <row r="4" ht="22" customHeight="1">
      <c r="B4" s="17" t="inlineStr">
        <is>
          <t>Financial Year:</t>
        </is>
      </c>
      <c r="C4" s="5" t="n"/>
    </row>
    <row r="5" ht="22" customHeight="1">
      <c r="B5" s="17" t="inlineStr">
        <is>
          <t>Date of Meeting:</t>
        </is>
      </c>
      <c r="C5" s="5" t="n"/>
    </row>
    <row r="6" ht="22" customHeight="1">
      <c r="B6" s="17" t="inlineStr">
        <is>
          <t>Time:</t>
        </is>
      </c>
      <c r="C6" s="5" t="n"/>
    </row>
    <row r="7" ht="22" customHeight="1">
      <c r="B7" s="17" t="inlineStr">
        <is>
          <t>Venue:</t>
        </is>
      </c>
      <c r="C7" s="5" t="n"/>
    </row>
    <row r="8" ht="22" customHeight="1">
      <c r="B8" s="17" t="inlineStr">
        <is>
          <t>Mode (Physical/VC/Hybrid):</t>
        </is>
      </c>
      <c r="C8" s="5" t="n"/>
    </row>
    <row r="9" ht="22" customHeight="1">
      <c r="B9" s="17" t="inlineStr">
        <is>
          <t>Notice Issued by:</t>
        </is>
      </c>
      <c r="C9" s="5" t="n"/>
    </row>
    <row r="10" ht="22" customHeight="1">
      <c r="B10" s="17" t="inlineStr">
        <is>
          <t>Notice Date:</t>
        </is>
      </c>
      <c r="C10" s="5" t="n"/>
    </row>
    <row r="11" ht="25" customHeight="1">
      <c r="B11" s="18" t="inlineStr">
        <is>
          <t>AGENDA ITEMS</t>
        </is>
      </c>
    </row>
    <row r="12" ht="25" customHeight="1">
      <c r="B12" s="19" t="inlineStr">
        <is>
          <t>Item
No.</t>
        </is>
      </c>
      <c r="C12" s="19" t="inlineStr">
        <is>
          <t>Agenda Item / Subject Matter</t>
        </is>
      </c>
      <c r="D12" s="19" t="inlineStr">
        <is>
          <t>Moved by / Presenter</t>
        </is>
      </c>
      <c r="E12" s="19" t="inlineStr">
        <is>
          <t>Time (Min)</t>
        </is>
      </c>
    </row>
    <row r="13" ht="24" customHeight="1">
      <c r="B13" s="13" t="n">
        <v>1</v>
      </c>
      <c r="C13" s="14" t="inlineStr">
        <is>
          <t>Confirmation of attendance and quorum</t>
        </is>
      </c>
      <c r="D13" s="15" t="inlineStr"/>
      <c r="E13" s="15" t="inlineStr"/>
    </row>
    <row r="14" ht="24" customHeight="1">
      <c r="B14" s="4" t="n">
        <v>2</v>
      </c>
      <c r="C14" s="5" t="inlineStr">
        <is>
          <t>Confirmation of minutes of the previous FC meeting</t>
        </is>
      </c>
      <c r="D14" s="6" t="inlineStr"/>
      <c r="E14" s="6" t="inlineStr"/>
    </row>
    <row r="15" ht="24" customHeight="1">
      <c r="B15" s="13" t="n">
        <v>3</v>
      </c>
      <c r="C15" s="14" t="inlineStr">
        <is>
          <t>Action Taken Report on previous FC resolutions</t>
        </is>
      </c>
      <c r="D15" s="15" t="inlineStr"/>
      <c r="E15" s="15" t="inlineStr"/>
    </row>
    <row r="16" ht="24" customHeight="1">
      <c r="B16" s="4" t="n">
        <v>4</v>
      </c>
      <c r="C16" s="5" t="inlineStr">
        <is>
          <t>Review of Annual Budget Estimates for upcoming Financial Year</t>
        </is>
      </c>
      <c r="D16" s="6" t="inlineStr"/>
      <c r="E16" s="6" t="inlineStr"/>
    </row>
    <row r="17" ht="24" customHeight="1">
      <c r="B17" s="13" t="n">
        <v>5</v>
      </c>
      <c r="C17" s="14" t="inlineStr">
        <is>
          <t>Review of Revised Estimates for current Financial Year</t>
        </is>
      </c>
      <c r="D17" s="15" t="inlineStr"/>
      <c r="E17" s="15" t="inlineStr"/>
    </row>
    <row r="18" ht="24" customHeight="1">
      <c r="B18" s="4" t="n">
        <v>6</v>
      </c>
      <c r="C18" s="5" t="inlineStr">
        <is>
          <t>Monthly / Quarterly Income &amp; Expenditure review</t>
        </is>
      </c>
      <c r="D18" s="6" t="inlineStr"/>
      <c r="E18" s="6" t="inlineStr"/>
    </row>
    <row r="19" ht="24" customHeight="1">
      <c r="B19" s="13" t="n">
        <v>7</v>
      </c>
      <c r="C19" s="14" t="inlineStr">
        <is>
          <t>Fee structure review and recommendation to EC</t>
        </is>
      </c>
      <c r="D19" s="15" t="inlineStr"/>
      <c r="E19" s="15" t="inlineStr"/>
    </row>
    <row r="20" ht="24" customHeight="1">
      <c r="B20" s="4" t="n">
        <v>8</v>
      </c>
      <c r="C20" s="5" t="inlineStr">
        <is>
          <t>Grant &amp; Fund utilisation status — UGC / AICTE / Research grants</t>
        </is>
      </c>
      <c r="D20" s="6" t="inlineStr"/>
      <c r="E20" s="6" t="inlineStr"/>
    </row>
    <row r="21" ht="24" customHeight="1">
      <c r="B21" s="13" t="n">
        <v>9</v>
      </c>
      <c r="C21" s="14" t="inlineStr">
        <is>
          <t>Procurement &amp; expenditure proposals above delegation limit</t>
        </is>
      </c>
      <c r="D21" s="15" t="inlineStr"/>
      <c r="E21" s="15" t="inlineStr"/>
    </row>
    <row r="22" ht="24" customHeight="1">
      <c r="B22" s="4" t="n">
        <v>10</v>
      </c>
      <c r="C22" s="5" t="inlineStr">
        <is>
          <t>Internal Audit findings review and compliance status</t>
        </is>
      </c>
      <c r="D22" s="6" t="inlineStr"/>
      <c r="E22" s="6" t="inlineStr"/>
    </row>
    <row r="23" ht="24" customHeight="1">
      <c r="B23" s="13" t="n">
        <v>11</v>
      </c>
      <c r="C23" s="14" t="inlineStr">
        <is>
          <t>Statutory Audit report review and management response</t>
        </is>
      </c>
      <c r="D23" s="15" t="inlineStr"/>
      <c r="E23" s="15" t="inlineStr"/>
    </row>
    <row r="24" ht="24" customHeight="1">
      <c r="B24" s="4" t="n">
        <v>12</v>
      </c>
      <c r="C24" s="5" t="inlineStr">
        <is>
          <t>Salary, arrears &amp; special payment approvals</t>
        </is>
      </c>
      <c r="D24" s="6" t="inlineStr"/>
      <c r="E24" s="6" t="inlineStr"/>
    </row>
    <row r="25" ht="24" customHeight="1">
      <c r="B25" s="13" t="n">
        <v>13</v>
      </c>
      <c r="C25" s="14" t="inlineStr">
        <is>
          <t>Endowment / Corpus Fund — income and utilisation review</t>
        </is>
      </c>
      <c r="D25" s="15" t="inlineStr"/>
      <c r="E25" s="15" t="inlineStr"/>
    </row>
    <row r="26" ht="24" customHeight="1">
      <c r="B26" s="4" t="n">
        <v>14</v>
      </c>
      <c r="C26" s="5" t="inlineStr">
        <is>
          <t>Scholarships &amp; financial assistance — status report</t>
        </is>
      </c>
      <c r="D26" s="6" t="inlineStr"/>
      <c r="E26" s="6" t="inlineStr"/>
    </row>
    <row r="27" ht="24" customHeight="1">
      <c r="B27" s="13" t="n">
        <v>15</v>
      </c>
      <c r="C27" s="14" t="inlineStr">
        <is>
          <t>Investment of surplus funds — review and approval</t>
        </is>
      </c>
      <c r="D27" s="15" t="inlineStr"/>
      <c r="E27" s="15" t="inlineStr"/>
    </row>
    <row r="28" ht="24" customHeight="1">
      <c r="B28" s="4" t="n">
        <v>16</v>
      </c>
      <c r="C28" s="5" t="inlineStr">
        <is>
          <t>Loans, EMI repayments &amp; liability management</t>
        </is>
      </c>
      <c r="D28" s="6" t="inlineStr"/>
      <c r="E28" s="6" t="inlineStr"/>
    </row>
    <row r="29" ht="24" customHeight="1">
      <c r="B29" s="13" t="n">
        <v>17</v>
      </c>
      <c r="C29" s="14" t="inlineStr">
        <is>
          <t>Any Other Financial Matter with Permission of Chair (AOMPC)</t>
        </is>
      </c>
      <c r="D29" s="15" t="inlineStr"/>
      <c r="E29" s="15" t="inlineStr"/>
    </row>
    <row r="30" ht="25" customHeight="1"/>
    <row r="31" ht="25" customHeight="1">
      <c r="B31" s="20" t="inlineStr">
        <is>
          <t>DISPATCH RECORD</t>
        </is>
      </c>
    </row>
    <row r="32" ht="25" customHeight="1">
      <c r="B32" s="21" t="inlineStr">
        <is>
          <t>Sl.</t>
        </is>
      </c>
      <c r="C32" s="21" t="inlineStr">
        <is>
          <t>Member Name &amp; Designation</t>
        </is>
      </c>
      <c r="D32" s="21" t="inlineStr">
        <is>
          <t>Mode of Dispatch</t>
        </is>
      </c>
      <c r="E32" s="21" t="inlineStr">
        <is>
          <t>Date Dispatched &amp; Acknowledgement</t>
        </is>
      </c>
    </row>
    <row r="33" ht="22" customHeight="1">
      <c r="B33" s="22" t="n"/>
      <c r="C33" s="22" t="n"/>
      <c r="D33" s="22" t="n"/>
      <c r="E33" s="22" t="n"/>
    </row>
    <row r="34" ht="22" customHeight="1">
      <c r="B34" s="6" t="n"/>
      <c r="C34" s="6" t="n"/>
      <c r="D34" s="6" t="n"/>
      <c r="E34" s="6" t="n"/>
    </row>
    <row r="35" ht="22" customHeight="1">
      <c r="B35" s="22" t="n"/>
      <c r="C35" s="22" t="n"/>
      <c r="D35" s="22" t="n"/>
      <c r="E35" s="22" t="n"/>
    </row>
    <row r="36" ht="22" customHeight="1">
      <c r="B36" s="6" t="n"/>
      <c r="C36" s="6" t="n"/>
      <c r="D36" s="6" t="n"/>
      <c r="E36" s="6" t="n"/>
    </row>
  </sheetData>
  <mergeCells count="11">
    <mergeCell ref="B31:E31"/>
    <mergeCell ref="C5:E5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2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FC-03: ATTENDANCE, QUORUM &amp; PROXY REGISTER</t>
        </is>
      </c>
    </row>
    <row r="3" ht="25" customHeight="1">
      <c r="B3" s="2" t="inlineStr">
        <is>
          <t>FC Meeting No.: _______  Date: _______  Total FC Strength: _______  Quorum Required (50%): _______</t>
        </is>
      </c>
    </row>
    <row r="4" ht="25" customHeight="1">
      <c r="B4" s="12" t="inlineStr">
        <is>
          <t>Sl.</t>
        </is>
      </c>
      <c r="C4" s="12" t="inlineStr">
        <is>
          <t>Name of Member</t>
        </is>
      </c>
      <c r="D4" s="12" t="inlineStr">
        <is>
          <t>Designation / Category</t>
        </is>
      </c>
      <c r="E4" s="12" t="inlineStr">
        <is>
          <t>Mode
(Physical/VC)</t>
        </is>
      </c>
      <c r="F4" s="12" t="inlineStr">
        <is>
          <t>Present
(P/A)</t>
        </is>
      </c>
      <c r="G4" s="12" t="inlineStr">
        <is>
          <t>Proxy
(Y/N)</t>
        </is>
      </c>
      <c r="H4" s="12" t="inlineStr">
        <is>
          <t>Proxy Authorised To</t>
        </is>
      </c>
      <c r="I4" s="12" t="inlineStr">
        <is>
          <t>Signature / Confirmation</t>
        </is>
      </c>
    </row>
    <row r="5" ht="22" customHeight="1">
      <c r="B5" s="13" t="n">
        <v>1</v>
      </c>
      <c r="C5" s="14" t="inlineStr"/>
      <c r="D5" s="14" t="inlineStr"/>
      <c r="E5" s="15" t="inlineStr">
        <is>
          <t>Physical</t>
        </is>
      </c>
      <c r="F5" s="15" t="inlineStr"/>
      <c r="G5" s="15" t="inlineStr">
        <is>
          <t>N</t>
        </is>
      </c>
      <c r="H5" s="15" t="inlineStr"/>
      <c r="I5" s="15" t="inlineStr"/>
    </row>
    <row r="6" ht="22" customHeight="1">
      <c r="B6" s="4" t="n">
        <v>2</v>
      </c>
      <c r="C6" s="5" t="inlineStr"/>
      <c r="D6" s="5" t="inlineStr"/>
      <c r="E6" s="6" t="inlineStr">
        <is>
          <t>Physical</t>
        </is>
      </c>
      <c r="F6" s="6" t="inlineStr"/>
      <c r="G6" s="6" t="inlineStr">
        <is>
          <t>N</t>
        </is>
      </c>
      <c r="H6" s="6" t="inlineStr"/>
      <c r="I6" s="6" t="inlineStr"/>
    </row>
    <row r="7" ht="22" customHeight="1">
      <c r="B7" s="13" t="n">
        <v>3</v>
      </c>
      <c r="C7" s="14" t="inlineStr"/>
      <c r="D7" s="14" t="inlineStr"/>
      <c r="E7" s="15" t="inlineStr">
        <is>
          <t>Physical</t>
        </is>
      </c>
      <c r="F7" s="15" t="inlineStr"/>
      <c r="G7" s="15" t="inlineStr">
        <is>
          <t>N</t>
        </is>
      </c>
      <c r="H7" s="15" t="inlineStr"/>
      <c r="I7" s="15" t="inlineStr"/>
    </row>
    <row r="8" ht="22" customHeight="1">
      <c r="B8" s="4" t="n">
        <v>4</v>
      </c>
      <c r="C8" s="5" t="inlineStr"/>
      <c r="D8" s="5" t="inlineStr"/>
      <c r="E8" s="6" t="inlineStr">
        <is>
          <t>Physical</t>
        </is>
      </c>
      <c r="F8" s="6" t="inlineStr"/>
      <c r="G8" s="6" t="inlineStr">
        <is>
          <t>N</t>
        </is>
      </c>
      <c r="H8" s="6" t="inlineStr"/>
      <c r="I8" s="6" t="inlineStr"/>
    </row>
    <row r="9" ht="22" customHeight="1">
      <c r="B9" s="13" t="n">
        <v>5</v>
      </c>
      <c r="C9" s="14" t="inlineStr"/>
      <c r="D9" s="14" t="inlineStr"/>
      <c r="E9" s="15" t="inlineStr">
        <is>
          <t>Physical</t>
        </is>
      </c>
      <c r="F9" s="15" t="inlineStr"/>
      <c r="G9" s="15" t="inlineStr">
        <is>
          <t>N</t>
        </is>
      </c>
      <c r="H9" s="15" t="inlineStr"/>
      <c r="I9" s="15" t="inlineStr"/>
    </row>
    <row r="10" ht="22" customHeight="1">
      <c r="B10" s="4" t="n">
        <v>6</v>
      </c>
      <c r="C10" s="5" t="inlineStr"/>
      <c r="D10" s="5" t="inlineStr"/>
      <c r="E10" s="6" t="inlineStr">
        <is>
          <t>Physical</t>
        </is>
      </c>
      <c r="F10" s="6" t="inlineStr"/>
      <c r="G10" s="6" t="inlineStr">
        <is>
          <t>N</t>
        </is>
      </c>
      <c r="H10" s="6" t="inlineStr"/>
      <c r="I10" s="6" t="inlineStr"/>
    </row>
    <row r="11" ht="22" customHeight="1">
      <c r="B11" s="13" t="n">
        <v>7</v>
      </c>
      <c r="C11" s="14" t="inlineStr"/>
      <c r="D11" s="14" t="inlineStr"/>
      <c r="E11" s="15" t="inlineStr">
        <is>
          <t>Physical</t>
        </is>
      </c>
      <c r="F11" s="15" t="inlineStr"/>
      <c r="G11" s="15" t="inlineStr">
        <is>
          <t>N</t>
        </is>
      </c>
      <c r="H11" s="15" t="inlineStr"/>
      <c r="I11" s="15" t="inlineStr"/>
    </row>
    <row r="12" ht="22" customHeight="1">
      <c r="B12" s="4" t="n">
        <v>8</v>
      </c>
      <c r="C12" s="5" t="inlineStr"/>
      <c r="D12" s="5" t="inlineStr"/>
      <c r="E12" s="6" t="inlineStr">
        <is>
          <t>Physical</t>
        </is>
      </c>
      <c r="F12" s="6" t="inlineStr"/>
      <c r="G12" s="6" t="inlineStr">
        <is>
          <t>N</t>
        </is>
      </c>
      <c r="H12" s="6" t="inlineStr"/>
      <c r="I12" s="6" t="inlineStr"/>
    </row>
    <row r="13" ht="22" customHeight="1">
      <c r="B13" s="13" t="n">
        <v>9</v>
      </c>
      <c r="C13" s="14" t="inlineStr"/>
      <c r="D13" s="14" t="inlineStr"/>
      <c r="E13" s="15" t="inlineStr">
        <is>
          <t>Physical</t>
        </is>
      </c>
      <c r="F13" s="15" t="inlineStr"/>
      <c r="G13" s="15" t="inlineStr">
        <is>
          <t>N</t>
        </is>
      </c>
      <c r="H13" s="15" t="inlineStr"/>
      <c r="I13" s="15" t="inlineStr"/>
    </row>
    <row r="14" ht="22" customHeight="1">
      <c r="B14" s="4" t="n">
        <v>10</v>
      </c>
      <c r="C14" s="5" t="inlineStr"/>
      <c r="D14" s="5" t="inlineStr"/>
      <c r="E14" s="6" t="inlineStr">
        <is>
          <t>Physical</t>
        </is>
      </c>
      <c r="F14" s="6" t="inlineStr"/>
      <c r="G14" s="6" t="inlineStr">
        <is>
          <t>N</t>
        </is>
      </c>
      <c r="H14" s="6" t="inlineStr"/>
      <c r="I14" s="6" t="inlineStr"/>
    </row>
    <row r="15" ht="22" customHeight="1">
      <c r="B15" s="13" t="n">
        <v>11</v>
      </c>
      <c r="C15" s="14" t="inlineStr"/>
      <c r="D15" s="14" t="inlineStr"/>
      <c r="E15" s="15" t="inlineStr">
        <is>
          <t>Physical</t>
        </is>
      </c>
      <c r="F15" s="15" t="inlineStr"/>
      <c r="G15" s="15" t="inlineStr">
        <is>
          <t>N</t>
        </is>
      </c>
      <c r="H15" s="15" t="inlineStr"/>
      <c r="I15" s="15" t="inlineStr"/>
    </row>
    <row r="16" ht="22" customHeight="1">
      <c r="B16" s="4" t="n">
        <v>12</v>
      </c>
      <c r="C16" s="5" t="inlineStr"/>
      <c r="D16" s="5" t="inlineStr"/>
      <c r="E16" s="6" t="inlineStr">
        <is>
          <t>Physical</t>
        </is>
      </c>
      <c r="F16" s="6" t="inlineStr"/>
      <c r="G16" s="6" t="inlineStr">
        <is>
          <t>N</t>
        </is>
      </c>
      <c r="H16" s="6" t="inlineStr"/>
      <c r="I16" s="6" t="inlineStr"/>
    </row>
    <row r="17" ht="22" customHeight="1">
      <c r="B17" s="13" t="n">
        <v>13</v>
      </c>
      <c r="C17" s="14" t="inlineStr"/>
      <c r="D17" s="14" t="inlineStr"/>
      <c r="E17" s="15" t="inlineStr">
        <is>
          <t>Physical</t>
        </is>
      </c>
      <c r="F17" s="15" t="inlineStr"/>
      <c r="G17" s="15" t="inlineStr">
        <is>
          <t>N</t>
        </is>
      </c>
      <c r="H17" s="15" t="inlineStr"/>
      <c r="I17" s="15" t="inlineStr"/>
    </row>
    <row r="18" ht="22" customHeight="1">
      <c r="B18" s="4" t="n">
        <v>14</v>
      </c>
      <c r="C18" s="5" t="inlineStr"/>
      <c r="D18" s="5" t="inlineStr"/>
      <c r="E18" s="6" t="inlineStr">
        <is>
          <t>Physical</t>
        </is>
      </c>
      <c r="F18" s="6" t="inlineStr"/>
      <c r="G18" s="6" t="inlineStr">
        <is>
          <t>N</t>
        </is>
      </c>
      <c r="H18" s="6" t="inlineStr"/>
      <c r="I18" s="6" t="inlineStr"/>
    </row>
    <row r="19" ht="22" customHeight="1"/>
    <row r="20" ht="22" customHeight="1">
      <c r="B20" s="20" t="inlineStr">
        <is>
          <t>QUORUM VERIFICATION</t>
        </is>
      </c>
    </row>
    <row r="21" ht="22" customHeight="1">
      <c r="B21" s="23" t="inlineStr">
        <is>
          <t>Total FC Members (Sanctioned Strength)</t>
        </is>
      </c>
      <c r="G21" s="24" t="inlineStr"/>
    </row>
    <row r="22" ht="22" customHeight="1">
      <c r="B22" s="25" t="inlineStr">
        <is>
          <t>Members Present (Physical)</t>
        </is>
      </c>
      <c r="G22" s="24">
        <f>COUNTIF(F5:F18,"P")</f>
        <v/>
      </c>
    </row>
    <row r="23" ht="22" customHeight="1">
      <c r="B23" s="23" t="inlineStr">
        <is>
          <t>Members Present (Video Conference)</t>
        </is>
      </c>
      <c r="G23" s="24" t="inlineStr"/>
    </row>
    <row r="24" ht="22" customHeight="1">
      <c r="B24" s="25" t="inlineStr">
        <is>
          <t>Total Effective Presence</t>
        </is>
      </c>
      <c r="G24" s="24">
        <f>IFERROR(C22+C23,"")</f>
        <v/>
      </c>
    </row>
    <row r="25" ht="22" customHeight="1">
      <c r="B25" s="23" t="inlineStr">
        <is>
          <t>Quorum Required (50% of Total)</t>
        </is>
      </c>
      <c r="G25" s="24" t="inlineStr"/>
    </row>
    <row r="26" ht="22" customHeight="1">
      <c r="B26" s="25" t="inlineStr">
        <is>
          <t>Quorum Achieved?</t>
        </is>
      </c>
      <c r="G26" s="26">
        <f>IFERROR(IF(C24&gt;=C25,"YES — Meeting is Valid","NO — Meeting Adjourned"),"")</f>
        <v/>
      </c>
    </row>
    <row r="27" ht="22" customHeight="1"/>
    <row r="28" ht="22" customHeight="1">
      <c r="B28" s="27" t="inlineStr">
        <is>
          <t>Certified by (Finance Officer / Secretary): ___________________    Date: ___________________</t>
        </is>
      </c>
    </row>
    <row r="29" ht="22" customHeight="1"/>
    <row r="30" ht="22" customHeight="1"/>
    <row r="31" ht="22" customHeight="1"/>
  </sheetData>
  <mergeCells count="16">
    <mergeCell ref="B21:F21"/>
    <mergeCell ref="G24:I24"/>
    <mergeCell ref="B24:F24"/>
    <mergeCell ref="G22:I22"/>
    <mergeCell ref="B2:I2"/>
    <mergeCell ref="B20:I20"/>
    <mergeCell ref="G23:I23"/>
    <mergeCell ref="B25:F25"/>
    <mergeCell ref="B28:I28"/>
    <mergeCell ref="B3:I3"/>
    <mergeCell ref="B23:F23"/>
    <mergeCell ref="G26:I26"/>
    <mergeCell ref="B22:F22"/>
    <mergeCell ref="G21:I21"/>
    <mergeCell ref="B26:F26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20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1" t="inlineStr">
        <is>
          <t>FC-04: FINANCE COMMITTEE MEETING MINUTES &amp; RESOLUTIONS</t>
        </is>
      </c>
    </row>
    <row r="3" ht="25" customHeight="1">
      <c r="B3" s="2" t="inlineStr">
        <is>
          <t>FC Meeting No.: _______  Date: _______  Venue: _______  Chaired by: ___________________</t>
        </is>
      </c>
    </row>
    <row r="4" ht="25" customHeight="1">
      <c r="B4" s="18" t="inlineStr">
        <is>
          <t>AGENDA-WISE DISCUSSION &amp; RESOLUTIONS</t>
        </is>
      </c>
    </row>
    <row r="5" ht="32" customHeight="1">
      <c r="B5" s="19" t="inlineStr">
        <is>
          <t>FC Resolution
No.</t>
        </is>
      </c>
      <c r="C5" s="19" t="inlineStr">
        <is>
          <t>Discussion Summary &amp; Resolution / Recommendation</t>
        </is>
      </c>
      <c r="D5" s="19" t="inlineStr">
        <is>
          <t>Mover / Seconder</t>
        </is>
      </c>
      <c r="E5" s="19" t="inlineStr">
        <is>
          <t>Voting
(For/Against)</t>
        </is>
      </c>
      <c r="F5" s="19" t="inlineStr">
        <is>
          <t>Effective
Date</t>
        </is>
      </c>
      <c r="G5" s="19" t="inlineStr">
        <is>
          <t>Status</t>
        </is>
      </c>
    </row>
    <row r="6" ht="32" customHeight="1">
      <c r="B6" s="13" t="inlineStr">
        <is>
          <t>FC/RES/2024/001</t>
        </is>
      </c>
      <c r="C6" s="14" t="inlineStr"/>
      <c r="D6" s="15" t="inlineStr"/>
      <c r="E6" s="15" t="inlineStr"/>
      <c r="F6" s="15" t="inlineStr"/>
      <c r="G6" s="15" t="inlineStr">
        <is>
          <t>Pending</t>
        </is>
      </c>
    </row>
    <row r="7" ht="32" customHeight="1">
      <c r="B7" s="4" t="inlineStr">
        <is>
          <t>FC/RES/2024/002</t>
        </is>
      </c>
      <c r="C7" s="5" t="inlineStr"/>
      <c r="D7" s="6" t="inlineStr"/>
      <c r="E7" s="6" t="inlineStr"/>
      <c r="F7" s="6" t="inlineStr"/>
      <c r="G7" s="6" t="inlineStr">
        <is>
          <t>Pending</t>
        </is>
      </c>
    </row>
    <row r="8" ht="32" customHeight="1">
      <c r="B8" s="13" t="inlineStr">
        <is>
          <t>FC/RES/2024/003</t>
        </is>
      </c>
      <c r="C8" s="14" t="inlineStr"/>
      <c r="D8" s="15" t="inlineStr"/>
      <c r="E8" s="15" t="inlineStr"/>
      <c r="F8" s="15" t="inlineStr"/>
      <c r="G8" s="15" t="inlineStr">
        <is>
          <t>Pending</t>
        </is>
      </c>
    </row>
    <row r="9" ht="32" customHeight="1">
      <c r="B9" s="4" t="inlineStr">
        <is>
          <t>FC/RES/2024/004</t>
        </is>
      </c>
      <c r="C9" s="5" t="inlineStr"/>
      <c r="D9" s="6" t="inlineStr"/>
      <c r="E9" s="6" t="inlineStr"/>
      <c r="F9" s="6" t="inlineStr"/>
      <c r="G9" s="6" t="inlineStr">
        <is>
          <t>Pending</t>
        </is>
      </c>
    </row>
    <row r="10" ht="32" customHeight="1">
      <c r="B10" s="13" t="inlineStr">
        <is>
          <t>FC/RES/2024/005</t>
        </is>
      </c>
      <c r="C10" s="14" t="inlineStr"/>
      <c r="D10" s="15" t="inlineStr"/>
      <c r="E10" s="15" t="inlineStr"/>
      <c r="F10" s="15" t="inlineStr"/>
      <c r="G10" s="15" t="inlineStr">
        <is>
          <t>Pending</t>
        </is>
      </c>
    </row>
    <row r="11" ht="32" customHeight="1">
      <c r="B11" s="4" t="inlineStr">
        <is>
          <t>FC/RES/2024/006</t>
        </is>
      </c>
      <c r="C11" s="5" t="inlineStr"/>
      <c r="D11" s="6" t="inlineStr"/>
      <c r="E11" s="6" t="inlineStr"/>
      <c r="F11" s="6" t="inlineStr"/>
      <c r="G11" s="6" t="inlineStr">
        <is>
          <t>Pending</t>
        </is>
      </c>
    </row>
    <row r="12" ht="32" customHeight="1">
      <c r="B12" s="13" t="inlineStr">
        <is>
          <t>FC/RES/2024/007</t>
        </is>
      </c>
      <c r="C12" s="14" t="inlineStr"/>
      <c r="D12" s="15" t="inlineStr"/>
      <c r="E12" s="15" t="inlineStr"/>
      <c r="F12" s="15" t="inlineStr"/>
      <c r="G12" s="15" t="inlineStr">
        <is>
          <t>Pending</t>
        </is>
      </c>
    </row>
    <row r="13" ht="32" customHeight="1">
      <c r="B13" s="4" t="inlineStr">
        <is>
          <t>FC/RES/2024/008</t>
        </is>
      </c>
      <c r="C13" s="5" t="inlineStr"/>
      <c r="D13" s="6" t="inlineStr"/>
      <c r="E13" s="6" t="inlineStr"/>
      <c r="F13" s="6" t="inlineStr"/>
      <c r="G13" s="6" t="inlineStr">
        <is>
          <t>Pending</t>
        </is>
      </c>
    </row>
    <row r="14" ht="32" customHeight="1">
      <c r="B14" s="13" t="inlineStr">
        <is>
          <t>FC/RES/2024/009</t>
        </is>
      </c>
      <c r="C14" s="14" t="inlineStr"/>
      <c r="D14" s="15" t="inlineStr"/>
      <c r="E14" s="15" t="inlineStr"/>
      <c r="F14" s="15" t="inlineStr"/>
      <c r="G14" s="15" t="inlineStr">
        <is>
          <t>Pending</t>
        </is>
      </c>
    </row>
    <row r="15" ht="32" customHeight="1">
      <c r="B15" s="4" t="inlineStr">
        <is>
          <t>FC/RES/2025/010</t>
        </is>
      </c>
      <c r="C15" s="5" t="inlineStr"/>
      <c r="D15" s="6" t="inlineStr"/>
      <c r="E15" s="6" t="inlineStr"/>
      <c r="F15" s="6" t="inlineStr"/>
      <c r="G15" s="6" t="inlineStr">
        <is>
          <t>Pending</t>
        </is>
      </c>
    </row>
    <row r="16" ht="32" customHeight="1">
      <c r="B16" s="13" t="inlineStr">
        <is>
          <t>FC/RES/2025/011</t>
        </is>
      </c>
      <c r="C16" s="14" t="inlineStr"/>
      <c r="D16" s="15" t="inlineStr"/>
      <c r="E16" s="15" t="inlineStr"/>
      <c r="F16" s="15" t="inlineStr"/>
      <c r="G16" s="15" t="inlineStr">
        <is>
          <t>Pending</t>
        </is>
      </c>
    </row>
    <row r="17" ht="32" customHeight="1">
      <c r="B17" s="4" t="inlineStr">
        <is>
          <t>FC/RES/2025/012</t>
        </is>
      </c>
      <c r="C17" s="5" t="inlineStr"/>
      <c r="D17" s="6" t="inlineStr"/>
      <c r="E17" s="6" t="inlineStr"/>
      <c r="F17" s="6" t="inlineStr"/>
      <c r="G17" s="6" t="inlineStr">
        <is>
          <t>Pending</t>
        </is>
      </c>
    </row>
    <row r="18" ht="32" customHeight="1">
      <c r="B18" s="13" t="inlineStr">
        <is>
          <t>FC/RES/2025/013</t>
        </is>
      </c>
      <c r="C18" s="14" t="inlineStr"/>
      <c r="D18" s="15" t="inlineStr"/>
      <c r="E18" s="15" t="inlineStr"/>
      <c r="F18" s="15" t="inlineStr"/>
      <c r="G18" s="15" t="inlineStr">
        <is>
          <t>Pending</t>
        </is>
      </c>
    </row>
    <row r="19" ht="32" customHeight="1">
      <c r="B19" s="4" t="inlineStr">
        <is>
          <t>FC/RES/2025/014</t>
        </is>
      </c>
      <c r="C19" s="5" t="inlineStr"/>
      <c r="D19" s="6" t="inlineStr"/>
      <c r="E19" s="6" t="inlineStr"/>
      <c r="F19" s="6" t="inlineStr"/>
      <c r="G19" s="6" t="inlineStr">
        <is>
          <t>Pending</t>
        </is>
      </c>
    </row>
    <row r="20" ht="32" customHeight="1">
      <c r="B20" s="13" t="inlineStr">
        <is>
          <t>FC/RES/2025/015</t>
        </is>
      </c>
      <c r="C20" s="14" t="inlineStr"/>
      <c r="D20" s="15" t="inlineStr"/>
      <c r="E20" s="15" t="inlineStr"/>
      <c r="F20" s="15" t="inlineStr"/>
      <c r="G20" s="15" t="inlineStr">
        <is>
          <t>Pending</t>
        </is>
      </c>
    </row>
    <row r="21" ht="32" customHeight="1">
      <c r="B21" s="4" t="inlineStr">
        <is>
          <t>FC/RES/2025/016</t>
        </is>
      </c>
      <c r="C21" s="5" t="inlineStr"/>
      <c r="D21" s="6" t="inlineStr"/>
      <c r="E21" s="6" t="inlineStr"/>
      <c r="F21" s="6" t="inlineStr"/>
      <c r="G21" s="6" t="inlineStr">
        <is>
          <t>Pending</t>
        </is>
      </c>
    </row>
    <row r="22" ht="32" customHeight="1">
      <c r="B22" s="13" t="inlineStr">
        <is>
          <t>FC/RES/2025/017</t>
        </is>
      </c>
      <c r="C22" s="14" t="inlineStr"/>
      <c r="D22" s="15" t="inlineStr"/>
      <c r="E22" s="15" t="inlineStr"/>
      <c r="F22" s="15" t="inlineStr"/>
      <c r="G22" s="15" t="inlineStr">
        <is>
          <t>Pending</t>
        </is>
      </c>
    </row>
    <row r="23" ht="32" customHeight="1"/>
    <row r="24" ht="32" customHeight="1">
      <c r="B24" s="28" t="inlineStr">
        <is>
          <t>RECOMMENDATIONS TO EXECUTIVE COUNCIL</t>
        </is>
      </c>
    </row>
    <row r="25" ht="32" customHeight="1">
      <c r="B25" s="29" t="inlineStr">
        <is>
          <t>Rec. No.</t>
        </is>
      </c>
      <c r="C25" s="29" t="inlineStr">
        <is>
          <t>Recommendation Subject</t>
        </is>
      </c>
      <c r="D25" s="29" t="inlineStr">
        <is>
          <t>Nature</t>
        </is>
      </c>
      <c r="E25" s="29" t="inlineStr">
        <is>
          <t>Amount (₹ L)</t>
        </is>
      </c>
      <c r="F25" s="29" t="inlineStr">
        <is>
          <t>Forwarded to EC</t>
        </is>
      </c>
      <c r="G25" s="29" t="inlineStr">
        <is>
          <t>EC Resolution</t>
        </is>
      </c>
    </row>
    <row r="26" ht="22" customHeight="1">
      <c r="B26" s="22" t="n"/>
      <c r="C26" s="22" t="n"/>
      <c r="D26" s="22" t="n"/>
      <c r="E26" s="22" t="n"/>
      <c r="F26" s="22" t="n"/>
      <c r="G26" s="22" t="n"/>
    </row>
    <row r="27" ht="22" customHeight="1">
      <c r="B27" s="6" t="n"/>
      <c r="C27" s="6" t="n"/>
      <c r="D27" s="6" t="n"/>
      <c r="E27" s="6" t="n"/>
      <c r="F27" s="6" t="n"/>
      <c r="G27" s="6" t="n"/>
    </row>
    <row r="28" ht="22" customHeight="1">
      <c r="B28" s="22" t="n"/>
      <c r="C28" s="22" t="n"/>
      <c r="D28" s="22" t="n"/>
      <c r="E28" s="22" t="n"/>
      <c r="F28" s="22" t="n"/>
      <c r="G28" s="22" t="n"/>
    </row>
    <row r="29" ht="22" customHeight="1">
      <c r="B29" s="6" t="n"/>
      <c r="C29" s="6" t="n"/>
      <c r="D29" s="6" t="n"/>
      <c r="E29" s="6" t="n"/>
      <c r="F29" s="6" t="n"/>
      <c r="G29" s="6" t="n"/>
    </row>
    <row r="30" ht="22" customHeight="1">
      <c r="B30" s="22" t="n"/>
      <c r="C30" s="22" t="n"/>
      <c r="D30" s="22" t="n"/>
      <c r="E30" s="22" t="n"/>
      <c r="F30" s="22" t="n"/>
      <c r="G30" s="22" t="n"/>
    </row>
    <row r="31" ht="32" customHeight="1"/>
    <row r="32" ht="32" customHeight="1">
      <c r="B32" s="16" t="inlineStr">
        <is>
          <t>Meeting closed at: _______    Next FC Meeting tentatively on: _______</t>
        </is>
      </c>
    </row>
    <row r="33" ht="32" customHeight="1">
      <c r="B33" s="27" t="inlineStr">
        <is>
          <t>Signature – Chairperson: ___________________    Signature – Finance Officer: ___________________</t>
        </is>
      </c>
    </row>
    <row r="34" ht="32" customHeight="1"/>
    <row r="35" ht="32" customHeight="1"/>
  </sheetData>
  <mergeCells count="6">
    <mergeCell ref="B3:G3"/>
    <mergeCell ref="B2:G2"/>
    <mergeCell ref="B24:G24"/>
    <mergeCell ref="B32:G32"/>
    <mergeCell ref="B4:G4"/>
    <mergeCell ref="B33:G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2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1" t="inlineStr">
        <is>
          <t>FC-05: ACTION TAKEN REPORT (ATR) ON FC RESOLUTIONS</t>
        </is>
      </c>
    </row>
    <row r="3" ht="25" customHeight="1">
      <c r="B3" s="2" t="inlineStr">
        <is>
          <t>Current FC Meeting No.: _______  Date: _______  Previous FC Meeting Ref.: _______  Date: _______</t>
        </is>
      </c>
    </row>
    <row r="4" ht="25" customHeight="1">
      <c r="B4" s="30" t="inlineStr">
        <is>
          <t>FC Resolution
No.</t>
        </is>
      </c>
      <c r="C4" s="30" t="inlineStr">
        <is>
          <t>Resolution / Decision (Previous Meeting)</t>
        </is>
      </c>
      <c r="D4" s="30" t="inlineStr">
        <is>
          <t>Action Required</t>
        </is>
      </c>
      <c r="E4" s="30" t="inlineStr">
        <is>
          <t>Responsible
Authority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 &amp; Supporting Evidence</t>
        </is>
      </c>
    </row>
    <row r="5" ht="28" customHeight="1">
      <c r="B5" s="31" t="inlineStr">
        <is>
          <t>FC/RES/2024/001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Implemented</t>
        </is>
      </c>
    </row>
    <row r="6" ht="28" customHeight="1">
      <c r="B6" s="4" t="inlineStr">
        <is>
          <t>FC/RES/2024/002</t>
        </is>
      </c>
      <c r="C6" s="5" t="inlineStr"/>
      <c r="D6" s="5" t="inlineStr"/>
      <c r="E6" s="6" t="inlineStr"/>
      <c r="F6" s="6" t="inlineStr"/>
      <c r="G6" s="6" t="inlineStr"/>
      <c r="H6" s="5" t="inlineStr">
        <is>
          <t>In Progress</t>
        </is>
      </c>
    </row>
    <row r="7" ht="28" customHeight="1">
      <c r="B7" s="31" t="inlineStr">
        <is>
          <t>FC/RES/2024/003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Pending</t>
        </is>
      </c>
    </row>
    <row r="8" ht="28" customHeight="1">
      <c r="B8" s="4" t="inlineStr">
        <is>
          <t>FC/RES/2024/004</t>
        </is>
      </c>
      <c r="C8" s="5" t="inlineStr"/>
      <c r="D8" s="5" t="inlineStr"/>
      <c r="E8" s="6" t="inlineStr"/>
      <c r="F8" s="6" t="inlineStr"/>
      <c r="G8" s="6" t="inlineStr"/>
      <c r="H8" s="5" t="inlineStr">
        <is>
          <t>Deferred</t>
        </is>
      </c>
    </row>
    <row r="9" ht="28" customHeight="1">
      <c r="B9" s="31" t="inlineStr">
        <is>
          <t>FC/RES/2024/005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Referred</t>
        </is>
      </c>
    </row>
    <row r="10" ht="28" customHeight="1">
      <c r="B10" s="4" t="inlineStr">
        <is>
          <t>FC/RES/2024/006</t>
        </is>
      </c>
      <c r="C10" s="5" t="inlineStr"/>
      <c r="D10" s="5" t="inlineStr"/>
      <c r="E10" s="6" t="inlineStr"/>
      <c r="F10" s="6" t="inlineStr"/>
      <c r="G10" s="6" t="inlineStr"/>
      <c r="H10" s="5" t="inlineStr">
        <is>
          <t>Implemented</t>
        </is>
      </c>
    </row>
    <row r="11" ht="28" customHeight="1">
      <c r="B11" s="31" t="inlineStr">
        <is>
          <t>FC/RES/2024/007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8" customHeight="1">
      <c r="B12" s="4" t="inlineStr">
        <is>
          <t>FC/RES/2024/008</t>
        </is>
      </c>
      <c r="C12" s="5" t="inlineStr"/>
      <c r="D12" s="5" t="inlineStr"/>
      <c r="E12" s="6" t="inlineStr"/>
      <c r="F12" s="6" t="inlineStr"/>
      <c r="G12" s="6" t="inlineStr"/>
      <c r="H12" s="5" t="inlineStr">
        <is>
          <t>Pending</t>
        </is>
      </c>
    </row>
    <row r="13" ht="28" customHeight="1">
      <c r="B13" s="31" t="inlineStr">
        <is>
          <t>FC/RES/2024/009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Deferred</t>
        </is>
      </c>
    </row>
    <row r="14" ht="28" customHeight="1">
      <c r="B14" s="4" t="inlineStr">
        <is>
          <t>FC/RES/2024/010</t>
        </is>
      </c>
      <c r="C14" s="5" t="inlineStr"/>
      <c r="D14" s="5" t="inlineStr"/>
      <c r="E14" s="6" t="inlineStr"/>
      <c r="F14" s="6" t="inlineStr"/>
      <c r="G14" s="6" t="inlineStr"/>
      <c r="H14" s="5" t="inlineStr">
        <is>
          <t>Referred</t>
        </is>
      </c>
    </row>
    <row r="15" ht="28" customHeight="1">
      <c r="B15" s="31" t="inlineStr">
        <is>
          <t>FC/RES/2024/011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Implemented</t>
        </is>
      </c>
    </row>
    <row r="16" ht="28" customHeight="1">
      <c r="B16" s="4" t="inlineStr">
        <is>
          <t>FC/RES/2024/012</t>
        </is>
      </c>
      <c r="C16" s="5" t="inlineStr"/>
      <c r="D16" s="5" t="inlineStr"/>
      <c r="E16" s="6" t="inlineStr"/>
      <c r="F16" s="6" t="inlineStr"/>
      <c r="G16" s="6" t="inlineStr"/>
      <c r="H16" s="5" t="inlineStr">
        <is>
          <t>In Progress</t>
        </is>
      </c>
    </row>
    <row r="17" ht="28" customHeight="1">
      <c r="B17" s="31" t="inlineStr">
        <is>
          <t>FC/RES/2024/013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Pending</t>
        </is>
      </c>
    </row>
    <row r="18" ht="28" customHeight="1">
      <c r="B18" s="4" t="inlineStr">
        <is>
          <t>FC/RES/2024/014</t>
        </is>
      </c>
      <c r="C18" s="5" t="inlineStr"/>
      <c r="D18" s="5" t="inlineStr"/>
      <c r="E18" s="6" t="inlineStr"/>
      <c r="F18" s="6" t="inlineStr"/>
      <c r="G18" s="6" t="inlineStr"/>
      <c r="H18" s="5" t="inlineStr">
        <is>
          <t>Deferred</t>
        </is>
      </c>
    </row>
    <row r="19" ht="28" customHeight="1">
      <c r="B19" s="31" t="inlineStr">
        <is>
          <t>FC/RES/2024/015</t>
        </is>
      </c>
      <c r="C19" s="32" t="inlineStr"/>
      <c r="D19" s="32" t="inlineStr"/>
      <c r="E19" s="33" t="inlineStr"/>
      <c r="F19" s="33" t="inlineStr"/>
      <c r="G19" s="33" t="inlineStr"/>
      <c r="H19" s="32" t="inlineStr">
        <is>
          <t>Referred</t>
        </is>
      </c>
    </row>
    <row r="20" ht="28" customHeight="1">
      <c r="B20" s="4" t="inlineStr">
        <is>
          <t>FC/RES/2024/016</t>
        </is>
      </c>
      <c r="C20" s="5" t="inlineStr"/>
      <c r="D20" s="5" t="inlineStr"/>
      <c r="E20" s="6" t="inlineStr"/>
      <c r="F20" s="6" t="inlineStr"/>
      <c r="G20" s="6" t="inlineStr"/>
      <c r="H20" s="5" t="inlineStr">
        <is>
          <t>Implemented</t>
        </is>
      </c>
    </row>
    <row r="21" ht="28" customHeight="1"/>
    <row r="22" ht="28" customHeight="1">
      <c r="B22" s="34" t="inlineStr">
        <is>
          <t>ATR SUMMARY</t>
        </is>
      </c>
    </row>
    <row r="23" ht="28" customHeight="1">
      <c r="B23" s="35" t="inlineStr">
        <is>
          <t>Total Resolutions Under Review</t>
        </is>
      </c>
      <c r="F23" s="26">
        <f>COUNTA(B5:B20)</f>
        <v/>
      </c>
    </row>
    <row r="24" ht="28" customHeight="1">
      <c r="B24" s="25" t="inlineStr">
        <is>
          <t>Fully Implemented</t>
        </is>
      </c>
      <c r="F24" s="36">
        <f>COUNTIF(H5:H20,"Implemented")</f>
        <v/>
      </c>
    </row>
    <row r="25" ht="28" customHeight="1">
      <c r="B25" s="35" t="inlineStr">
        <is>
          <t>In Progress</t>
        </is>
      </c>
      <c r="F25" s="26">
        <f>COUNTIF(H5:H20,"In Progress")</f>
        <v/>
      </c>
    </row>
    <row r="26" ht="28" customHeight="1">
      <c r="B26" s="25" t="inlineStr">
        <is>
          <t>Pending / Not Started</t>
        </is>
      </c>
      <c r="F26" s="36">
        <f>COUNTIF(H5:H20,"Pending")</f>
        <v/>
      </c>
    </row>
    <row r="27" ht="28" customHeight="1">
      <c r="B27" s="35" t="inlineStr">
        <is>
          <t>Deferred to Next Meeting</t>
        </is>
      </c>
      <c r="F27" s="26">
        <f>COUNTIF(H5:H20,"Deferred")</f>
        <v/>
      </c>
    </row>
    <row r="28" ht="28" customHeight="1">
      <c r="B28" s="25" t="inlineStr">
        <is>
          <t>Referred to Sub-Committee</t>
        </is>
      </c>
      <c r="F28" s="36">
        <f>COUNTIF(H5:H20,"Referred")</f>
        <v/>
      </c>
    </row>
    <row r="29" ht="28" customHeight="1">
      <c r="B29" s="35" t="inlineStr">
        <is>
          <t>Implementation Rate (%)</t>
        </is>
      </c>
      <c r="F29" s="26">
        <f>IFERROR(ROUND(C24/C23*100,1),"")</f>
        <v/>
      </c>
    </row>
    <row r="30" ht="28" customHeight="1"/>
    <row r="31" ht="28" customHeight="1"/>
    <row r="32" ht="28" customHeight="1"/>
    <row r="33" ht="28" customHeight="1"/>
  </sheetData>
  <mergeCells count="17">
    <mergeCell ref="F23:H23"/>
    <mergeCell ref="B22:H22"/>
    <mergeCell ref="B23:E23"/>
    <mergeCell ref="B26:E26"/>
    <mergeCell ref="B27:E27"/>
    <mergeCell ref="F28:H28"/>
    <mergeCell ref="F27:H27"/>
    <mergeCell ref="F29:H29"/>
    <mergeCell ref="B29:E29"/>
    <mergeCell ref="F26:H26"/>
    <mergeCell ref="B2:H2"/>
    <mergeCell ref="B25:E25"/>
    <mergeCell ref="B24:E24"/>
    <mergeCell ref="B3:H3"/>
    <mergeCell ref="B28:E28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8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</cols>
  <sheetData>
    <row r="1" ht="10" customHeight="1"/>
    <row r="2" ht="48" customHeight="1">
      <c r="B2" s="11" t="inlineStr">
        <is>
          <t>FC-06: ANNUAL BUDGET PREPARATION &amp; APPROVAL FORM (₹ in Lakhs)</t>
        </is>
      </c>
    </row>
    <row r="3" ht="25" customHeight="1">
      <c r="B3" s="2" t="inlineStr">
        <is>
          <t>Financial Year: _______  Prepared by: Finance Officer  Reviewed by: FC Meeting No.: _______  Date: _______</t>
        </is>
      </c>
    </row>
    <row r="4" ht="22" customHeight="1">
      <c r="B4" s="37" t="inlineStr">
        <is>
          <t>PART A — INCOME / REVENUE BUDGET</t>
        </is>
      </c>
    </row>
    <row r="5" ht="22" customHeight="1">
      <c r="B5" s="12" t="inlineStr">
        <is>
          <t>Sl.</t>
        </is>
      </c>
      <c r="C5" s="12" t="inlineStr">
        <is>
          <t>Income Head</t>
        </is>
      </c>
      <c r="D5" s="12" t="inlineStr">
        <is>
          <t>Actuals
FY-2 (₹L)</t>
        </is>
      </c>
      <c r="E5" s="12" t="inlineStr">
        <is>
          <t>Actuals
FY-1 (₹L)</t>
        </is>
      </c>
      <c r="F5" s="12" t="inlineStr">
        <is>
          <t>Budget
Current FY (₹L)</t>
        </is>
      </c>
      <c r="G5" s="12" t="inlineStr">
        <is>
          <t>Revised Est.
Current FY (₹L)</t>
        </is>
      </c>
      <c r="H5" s="12" t="inlineStr">
        <is>
          <t>Proposed
Next FY (₹L)</t>
        </is>
      </c>
      <c r="I5" s="12" t="inlineStr">
        <is>
          <t>FC
Remark</t>
        </is>
      </c>
    </row>
    <row r="6" ht="22" customHeight="1">
      <c r="B6" s="23" t="inlineStr">
        <is>
          <t>FEE INCOME</t>
        </is>
      </c>
      <c r="D6" s="38" t="n"/>
      <c r="E6" s="38" t="n"/>
      <c r="F6" s="38" t="n"/>
      <c r="G6" s="38" t="n"/>
      <c r="H6" s="38" t="n"/>
      <c r="I6" s="39" t="n"/>
    </row>
    <row r="7" ht="22" customHeight="1">
      <c r="B7" s="8" t="inlineStr">
        <is>
          <t>Tuition Fees — UG Programmes</t>
        </is>
      </c>
      <c r="D7" s="9" t="n"/>
      <c r="E7" s="9" t="n"/>
      <c r="F7" s="9" t="n"/>
      <c r="G7" s="9" t="n"/>
      <c r="H7" s="9" t="n"/>
      <c r="I7" s="8" t="n"/>
    </row>
    <row r="8" ht="22" customHeight="1">
      <c r="B8" s="8" t="inlineStr">
        <is>
          <t>Tuition Fees — PG Programmes</t>
        </is>
      </c>
      <c r="D8" s="9" t="n"/>
      <c r="E8" s="9" t="n"/>
      <c r="F8" s="9" t="n"/>
      <c r="G8" s="9" t="n"/>
      <c r="H8" s="9" t="n"/>
      <c r="I8" s="8" t="n"/>
    </row>
    <row r="9" ht="22" customHeight="1">
      <c r="B9" s="8" t="inlineStr">
        <is>
          <t>Tuition Fees — Ph.D. / Research</t>
        </is>
      </c>
      <c r="D9" s="9" t="n"/>
      <c r="E9" s="9" t="n"/>
      <c r="F9" s="9" t="n"/>
      <c r="G9" s="9" t="n"/>
      <c r="H9" s="9" t="n"/>
      <c r="I9" s="8" t="n"/>
    </row>
    <row r="10" ht="22" customHeight="1">
      <c r="B10" s="8" t="inlineStr">
        <is>
          <t>Lateral Entry Fees</t>
        </is>
      </c>
      <c r="D10" s="9" t="n"/>
      <c r="E10" s="9" t="n"/>
      <c r="F10" s="9" t="n"/>
      <c r="G10" s="9" t="n"/>
      <c r="H10" s="9" t="n"/>
      <c r="I10" s="8" t="n"/>
    </row>
    <row r="11" ht="22" customHeight="1">
      <c r="B11" s="8" t="inlineStr">
        <is>
          <t>NRI / Management Quota Premium</t>
        </is>
      </c>
      <c r="D11" s="9" t="n"/>
      <c r="E11" s="9" t="n"/>
      <c r="F11" s="9" t="n"/>
      <c r="G11" s="9" t="n"/>
      <c r="H11" s="9" t="n"/>
      <c r="I11" s="8" t="n"/>
    </row>
    <row r="12" ht="22" customHeight="1">
      <c r="B12" s="17" t="inlineStr">
        <is>
          <t>Sub-total — Tuition Fees</t>
        </is>
      </c>
      <c r="D12" s="26">
        <f>IFERROR(SUM(D7:D11),"")</f>
        <v/>
      </c>
      <c r="E12" s="26">
        <f>IFERROR(SUM(E13:E11),"")</f>
        <v/>
      </c>
      <c r="F12" s="26">
        <f>IFERROR(SUM(F13:F11),"")</f>
        <v/>
      </c>
      <c r="G12" s="26">
        <f>IFERROR(SUM(G13:G11),"")</f>
        <v/>
      </c>
      <c r="H12" s="26">
        <f>IFERROR(SUM(H13:H11),"")</f>
        <v/>
      </c>
      <c r="I12" s="14" t="n"/>
    </row>
    <row r="13" ht="22" customHeight="1">
      <c r="B13" s="23" t="inlineStr">
        <is>
          <t>OTHER STUDENT FEES</t>
        </is>
      </c>
      <c r="D13" s="38" t="n"/>
      <c r="E13" s="38" t="n"/>
      <c r="F13" s="38" t="n"/>
      <c r="G13" s="38" t="n"/>
      <c r="H13" s="38" t="n"/>
      <c r="I13" s="39" t="n"/>
    </row>
    <row r="14" ht="22" customHeight="1">
      <c r="B14" s="8" t="inlineStr">
        <is>
          <t>Examination Fees</t>
        </is>
      </c>
      <c r="D14" s="9" t="n"/>
      <c r="E14" s="9" t="n"/>
      <c r="F14" s="9" t="n"/>
      <c r="G14" s="9" t="n"/>
      <c r="H14" s="9" t="n"/>
      <c r="I14" s="8" t="n"/>
    </row>
    <row r="15" ht="22" customHeight="1">
      <c r="B15" s="8" t="inlineStr">
        <is>
          <t>Library / Lab Fees</t>
        </is>
      </c>
      <c r="D15" s="9" t="n"/>
      <c r="E15" s="9" t="n"/>
      <c r="F15" s="9" t="n"/>
      <c r="G15" s="9" t="n"/>
      <c r="H15" s="9" t="n"/>
      <c r="I15" s="8" t="n"/>
    </row>
    <row r="16" ht="22" customHeight="1">
      <c r="B16" s="8" t="inlineStr">
        <is>
          <t>Hostel Fees</t>
        </is>
      </c>
      <c r="D16" s="9" t="n"/>
      <c r="E16" s="9" t="n"/>
      <c r="F16" s="9" t="n"/>
      <c r="G16" s="9" t="n"/>
      <c r="H16" s="9" t="n"/>
      <c r="I16" s="8" t="n"/>
    </row>
    <row r="17" ht="22" customHeight="1">
      <c r="B17" s="8" t="inlineStr">
        <is>
          <t>Transport Fees</t>
        </is>
      </c>
      <c r="D17" s="9" t="n"/>
      <c r="E17" s="9" t="n"/>
      <c r="F17" s="9" t="n"/>
      <c r="G17" s="9" t="n"/>
      <c r="H17" s="9" t="n"/>
      <c r="I17" s="8" t="n"/>
    </row>
    <row r="18" ht="22" customHeight="1">
      <c r="B18" s="8" t="inlineStr">
        <is>
          <t>Sports &amp; Cultural Fees</t>
        </is>
      </c>
      <c r="D18" s="9" t="n"/>
      <c r="E18" s="9" t="n"/>
      <c r="F18" s="9" t="n"/>
      <c r="G18" s="9" t="n"/>
      <c r="H18" s="9" t="n"/>
      <c r="I18" s="8" t="n"/>
    </row>
    <row r="19" ht="22" customHeight="1">
      <c r="B19" s="17" t="inlineStr">
        <is>
          <t>Sub-total — Other Fees</t>
        </is>
      </c>
      <c r="D19" s="26">
        <f>IFERROR(SUM(D13:D18),"")</f>
        <v/>
      </c>
      <c r="E19" s="26">
        <f>IFERROR(SUM(E20:E18),"")</f>
        <v/>
      </c>
      <c r="F19" s="26">
        <f>IFERROR(SUM(F20:F18),"")</f>
        <v/>
      </c>
      <c r="G19" s="26">
        <f>IFERROR(SUM(G20:G18),"")</f>
        <v/>
      </c>
      <c r="H19" s="26">
        <f>IFERROR(SUM(H20:H18),"")</f>
        <v/>
      </c>
      <c r="I19" s="14" t="n"/>
    </row>
    <row r="20" ht="22" customHeight="1">
      <c r="B20" s="23" t="inlineStr">
        <is>
          <t>GRANTS &amp; AID</t>
        </is>
      </c>
      <c r="D20" s="38" t="n"/>
      <c r="E20" s="38" t="n"/>
      <c r="F20" s="38" t="n"/>
      <c r="G20" s="38" t="n"/>
      <c r="H20" s="38" t="n"/>
      <c r="I20" s="39" t="n"/>
    </row>
    <row r="21" ht="22" customHeight="1">
      <c r="B21" s="8" t="inlineStr">
        <is>
          <t>Central Govt. / UGC Grants</t>
        </is>
      </c>
      <c r="D21" s="9" t="n"/>
      <c r="E21" s="9" t="n"/>
      <c r="F21" s="9" t="n"/>
      <c r="G21" s="9" t="n"/>
      <c r="H21" s="9" t="n"/>
      <c r="I21" s="8" t="n"/>
    </row>
    <row r="22" ht="22" customHeight="1">
      <c r="B22" s="8" t="inlineStr">
        <is>
          <t>State Govt. Grants</t>
        </is>
      </c>
      <c r="D22" s="9" t="n"/>
      <c r="E22" s="9" t="n"/>
      <c r="F22" s="9" t="n"/>
      <c r="G22" s="9" t="n"/>
      <c r="H22" s="9" t="n"/>
      <c r="I22" s="8" t="n"/>
    </row>
    <row r="23" ht="22" customHeight="1">
      <c r="B23" s="8" t="inlineStr">
        <is>
          <t>AICTE Research / Schemes</t>
        </is>
      </c>
      <c r="D23" s="9" t="n"/>
      <c r="E23" s="9" t="n"/>
      <c r="F23" s="9" t="n"/>
      <c r="G23" s="9" t="n"/>
      <c r="H23" s="9" t="n"/>
      <c r="I23" s="8" t="n"/>
    </row>
    <row r="24" ht="22" customHeight="1">
      <c r="B24" s="8" t="inlineStr">
        <is>
          <t>RUSA / Other Scheme Grants</t>
        </is>
      </c>
      <c r="D24" s="9" t="n"/>
      <c r="E24" s="9" t="n"/>
      <c r="F24" s="9" t="n"/>
      <c r="G24" s="9" t="n"/>
      <c r="H24" s="9" t="n"/>
      <c r="I24" s="8" t="n"/>
    </row>
    <row r="25" ht="22" customHeight="1">
      <c r="B25" s="8" t="inlineStr">
        <is>
          <t>Scholarships — Passed Through</t>
        </is>
      </c>
      <c r="D25" s="9" t="n"/>
      <c r="E25" s="9" t="n"/>
      <c r="F25" s="9" t="n"/>
      <c r="G25" s="9" t="n"/>
      <c r="H25" s="9" t="n"/>
      <c r="I25" s="8" t="n"/>
    </row>
    <row r="26" ht="22" customHeight="1">
      <c r="B26" s="17" t="inlineStr">
        <is>
          <t>Sub-total — Grants</t>
        </is>
      </c>
      <c r="D26" s="26">
        <f>IFERROR(SUM(D20:D25),"")</f>
        <v/>
      </c>
      <c r="E26" s="26">
        <f>IFERROR(SUM(E27:E25),"")</f>
        <v/>
      </c>
      <c r="F26" s="26">
        <f>IFERROR(SUM(F27:F25),"")</f>
        <v/>
      </c>
      <c r="G26" s="26">
        <f>IFERROR(SUM(G27:G25),"")</f>
        <v/>
      </c>
      <c r="H26" s="26">
        <f>IFERROR(SUM(H27:H25),"")</f>
        <v/>
      </c>
      <c r="I26" s="14" t="n"/>
    </row>
    <row r="27" ht="22" customHeight="1">
      <c r="B27" s="23" t="inlineStr">
        <is>
          <t>OTHER INCOME</t>
        </is>
      </c>
      <c r="D27" s="38" t="n"/>
      <c r="E27" s="38" t="n"/>
      <c r="F27" s="38" t="n"/>
      <c r="G27" s="38" t="n"/>
      <c r="H27" s="38" t="n"/>
      <c r="I27" s="39" t="n"/>
    </row>
    <row r="28" ht="22" customHeight="1">
      <c r="B28" s="8" t="inlineStr">
        <is>
          <t>Consultancy &amp; Testing Charges</t>
        </is>
      </c>
      <c r="D28" s="9" t="n"/>
      <c r="E28" s="9" t="n"/>
      <c r="F28" s="9" t="n"/>
      <c r="G28" s="9" t="n"/>
      <c r="H28" s="9" t="n"/>
      <c r="I28" s="8" t="n"/>
    </row>
    <row r="29" ht="22" customHeight="1">
      <c r="B29" s="8" t="inlineStr">
        <is>
          <t>Industry Donations / CSR</t>
        </is>
      </c>
      <c r="D29" s="9" t="n"/>
      <c r="E29" s="9" t="n"/>
      <c r="F29" s="9" t="n"/>
      <c r="G29" s="9" t="n"/>
      <c r="H29" s="9" t="n"/>
      <c r="I29" s="8" t="n"/>
    </row>
    <row r="30" ht="22" customHeight="1">
      <c r="B30" s="8" t="inlineStr">
        <is>
          <t>Interest on Investments &amp; FDs</t>
        </is>
      </c>
      <c r="D30" s="9" t="n"/>
      <c r="E30" s="9" t="n"/>
      <c r="F30" s="9" t="n"/>
      <c r="G30" s="9" t="n"/>
      <c r="H30" s="9" t="n"/>
      <c r="I30" s="8" t="n"/>
    </row>
    <row r="31" ht="22" customHeight="1">
      <c r="B31" s="8" t="inlineStr">
        <is>
          <t>Rent / Space Utilisation</t>
        </is>
      </c>
      <c r="D31" s="9" t="n"/>
      <c r="E31" s="9" t="n"/>
      <c r="F31" s="9" t="n"/>
      <c r="G31" s="9" t="n"/>
      <c r="H31" s="9" t="n"/>
      <c r="I31" s="8" t="n"/>
    </row>
    <row r="32" ht="22" customHeight="1">
      <c r="B32" s="8" t="inlineStr">
        <is>
          <t>Miscellaneous / Other Income</t>
        </is>
      </c>
      <c r="D32" s="9" t="n"/>
      <c r="E32" s="9" t="n"/>
      <c r="F32" s="9" t="n"/>
      <c r="G32" s="9" t="n"/>
      <c r="H32" s="9" t="n"/>
      <c r="I32" s="8" t="n"/>
    </row>
    <row r="33" ht="22" customHeight="1">
      <c r="B33" s="17" t="inlineStr">
        <is>
          <t>Sub-total — Other Income</t>
        </is>
      </c>
      <c r="D33" s="26">
        <f>IFERROR(SUM(D27:D32),"")</f>
        <v/>
      </c>
      <c r="E33" s="26">
        <f>IFERROR(SUM(E34:E32),"")</f>
        <v/>
      </c>
      <c r="F33" s="26">
        <f>IFERROR(SUM(F34:F32),"")</f>
        <v/>
      </c>
      <c r="G33" s="26">
        <f>IFERROR(SUM(G34:G32),"")</f>
        <v/>
      </c>
      <c r="H33" s="26">
        <f>IFERROR(SUM(H34:H32),"")</f>
        <v/>
      </c>
      <c r="I33" s="14" t="n"/>
    </row>
    <row r="34" ht="22" customHeight="1">
      <c r="B34" s="40" t="inlineStr">
        <is>
          <t>GRAND TOTAL — INCOME</t>
        </is>
      </c>
      <c r="D34" s="41">
        <f>IFERROR(D12+D19+D26+D33,"")</f>
        <v/>
      </c>
      <c r="E34" s="41">
        <f>IFERROR(E12+E19+E26+E33,"")</f>
        <v/>
      </c>
      <c r="F34" s="41">
        <f>IFERROR(F12+F19+F26+F33,"")</f>
        <v/>
      </c>
      <c r="G34" s="41">
        <f>IFERROR(G12+G19+G26+G33,"")</f>
        <v/>
      </c>
      <c r="H34" s="41">
        <f>IFERROR(H12+H19+H26+H33,"")</f>
        <v/>
      </c>
      <c r="I34" s="42" t="n"/>
    </row>
    <row r="35" ht="22" customHeight="1"/>
    <row r="36" ht="22" customHeight="1">
      <c r="B36" s="18" t="inlineStr">
        <is>
          <t>PART B — EXPENDITURE BUDGET</t>
        </is>
      </c>
    </row>
    <row r="37" ht="22" customHeight="1">
      <c r="B37" s="19" t="inlineStr">
        <is>
          <t>Sl.</t>
        </is>
      </c>
      <c r="C37" s="19" t="inlineStr">
        <is>
          <t>Expenditure Head</t>
        </is>
      </c>
      <c r="D37" s="19" t="inlineStr">
        <is>
          <t>Actuals
FY-2 (₹L)</t>
        </is>
      </c>
      <c r="E37" s="19" t="inlineStr">
        <is>
          <t>Actuals
FY-1 (₹L)</t>
        </is>
      </c>
      <c r="F37" s="19" t="inlineStr">
        <is>
          <t>Budget
Current FY (₹L)</t>
        </is>
      </c>
      <c r="G37" s="19" t="inlineStr">
        <is>
          <t>Revised Est.
Current FY (₹L)</t>
        </is>
      </c>
      <c r="H37" s="19" t="inlineStr">
        <is>
          <t>Proposed
Next FY (₹L)</t>
        </is>
      </c>
      <c r="I37" s="19" t="inlineStr">
        <is>
          <t>FC
Remark</t>
        </is>
      </c>
    </row>
    <row r="38" ht="22" customHeight="1">
      <c r="B38" s="43" t="inlineStr">
        <is>
          <t>ESTABLISHMENT EXPENSES</t>
        </is>
      </c>
      <c r="D38" s="44" t="n"/>
      <c r="E38" s="44" t="n"/>
      <c r="F38" s="44" t="n"/>
      <c r="G38" s="44" t="n"/>
      <c r="H38" s="44" t="n"/>
      <c r="I38" s="45" t="n"/>
    </row>
    <row r="39" ht="22" customHeight="1">
      <c r="B39" s="8" t="inlineStr">
        <is>
          <t>Salaries — Teaching Staff</t>
        </is>
      </c>
      <c r="D39" s="9" t="n"/>
      <c r="E39" s="9" t="n"/>
      <c r="F39" s="9" t="n"/>
      <c r="G39" s="9" t="n"/>
      <c r="H39" s="9" t="n"/>
      <c r="I39" s="8" t="n"/>
    </row>
    <row r="40" ht="22" customHeight="1">
      <c r="B40" s="8" t="inlineStr">
        <is>
          <t>Salaries — Non-Teaching Staff</t>
        </is>
      </c>
      <c r="D40" s="9" t="n"/>
      <c r="E40" s="9" t="n"/>
      <c r="F40" s="9" t="n"/>
      <c r="G40" s="9" t="n"/>
      <c r="H40" s="9" t="n"/>
      <c r="I40" s="8" t="n"/>
    </row>
    <row r="41" ht="22" customHeight="1">
      <c r="B41" s="8" t="inlineStr">
        <is>
          <t>Salaries — Administrative Staff</t>
        </is>
      </c>
      <c r="D41" s="9" t="n"/>
      <c r="E41" s="9" t="n"/>
      <c r="F41" s="9" t="n"/>
      <c r="G41" s="9" t="n"/>
      <c r="H41" s="9" t="n"/>
      <c r="I41" s="8" t="n"/>
    </row>
    <row r="42" ht="22" customHeight="1">
      <c r="B42" s="8" t="inlineStr">
        <is>
          <t>Overtime / Part-time / Guest Faculty</t>
        </is>
      </c>
      <c r="D42" s="9" t="n"/>
      <c r="E42" s="9" t="n"/>
      <c r="F42" s="9" t="n"/>
      <c r="G42" s="9" t="n"/>
      <c r="H42" s="9" t="n"/>
      <c r="I42" s="8" t="n"/>
    </row>
    <row r="43" ht="22" customHeight="1">
      <c r="B43" s="8" t="inlineStr">
        <is>
          <t>Provident Fund Contributions</t>
        </is>
      </c>
      <c r="D43" s="9" t="n"/>
      <c r="E43" s="9" t="n"/>
      <c r="F43" s="9" t="n"/>
      <c r="G43" s="9" t="n"/>
      <c r="H43" s="9" t="n"/>
      <c r="I43" s="8" t="n"/>
    </row>
    <row r="44" ht="22" customHeight="1">
      <c r="B44" s="8" t="inlineStr">
        <is>
          <t>ESI / Insurance Contributions</t>
        </is>
      </c>
      <c r="D44" s="9" t="n"/>
      <c r="E44" s="9" t="n"/>
      <c r="F44" s="9" t="n"/>
      <c r="G44" s="9" t="n"/>
      <c r="H44" s="9" t="n"/>
      <c r="I44" s="8" t="n"/>
    </row>
    <row r="45" ht="22" customHeight="1">
      <c r="B45" s="8" t="inlineStr">
        <is>
          <t>Gratuity Fund / Leave Encashment</t>
        </is>
      </c>
      <c r="D45" s="9" t="n"/>
      <c r="E45" s="9" t="n"/>
      <c r="F45" s="9" t="n"/>
      <c r="G45" s="9" t="n"/>
      <c r="H45" s="9" t="n"/>
      <c r="I45" s="8" t="n"/>
    </row>
    <row r="46" ht="22" customHeight="1">
      <c r="B46" s="46" t="inlineStr">
        <is>
          <t>Sub-total — Establishment</t>
        </is>
      </c>
      <c r="D46" s="47">
        <f>IFERROR(SUM(D38:D45),"")</f>
        <v/>
      </c>
      <c r="E46" s="47">
        <f>IFERROR(SUM(E47:E45),"")</f>
        <v/>
      </c>
      <c r="F46" s="47">
        <f>IFERROR(SUM(F47:F45),"")</f>
        <v/>
      </c>
      <c r="G46" s="47">
        <f>IFERROR(SUM(G47:G45),"")</f>
        <v/>
      </c>
      <c r="H46" s="47">
        <f>IFERROR(SUM(H47:H45),"")</f>
        <v/>
      </c>
      <c r="I46" s="48" t="n"/>
    </row>
    <row r="47" ht="22" customHeight="1">
      <c r="B47" s="43" t="inlineStr">
        <is>
          <t>ACADEMIC EXPENSES</t>
        </is>
      </c>
      <c r="D47" s="44" t="n"/>
      <c r="E47" s="44" t="n"/>
      <c r="F47" s="44" t="n"/>
      <c r="G47" s="44" t="n"/>
      <c r="H47" s="44" t="n"/>
      <c r="I47" s="45" t="n"/>
    </row>
    <row r="48" ht="22" customHeight="1">
      <c r="B48" s="8" t="inlineStr">
        <is>
          <t>Library — Books, Journals, Databases</t>
        </is>
      </c>
      <c r="D48" s="9" t="n"/>
      <c r="E48" s="9" t="n"/>
      <c r="F48" s="9" t="n"/>
      <c r="G48" s="9" t="n"/>
      <c r="H48" s="9" t="n"/>
      <c r="I48" s="8" t="n"/>
    </row>
    <row r="49" ht="22" customHeight="1">
      <c r="B49" s="8" t="inlineStr">
        <is>
          <t>Laboratory Equipment &amp; Consumables</t>
        </is>
      </c>
      <c r="D49" s="9" t="n"/>
      <c r="E49" s="9" t="n"/>
      <c r="F49" s="9" t="n"/>
      <c r="G49" s="9" t="n"/>
      <c r="H49" s="9" t="n"/>
      <c r="I49" s="8" t="n"/>
    </row>
    <row r="50" ht="22" customHeight="1">
      <c r="B50" s="8" t="inlineStr">
        <is>
          <t>Computer Hardware &amp; Software</t>
        </is>
      </c>
      <c r="D50" s="9" t="n"/>
      <c r="E50" s="9" t="n"/>
      <c r="F50" s="9" t="n"/>
      <c r="G50" s="9" t="n"/>
      <c r="H50" s="9" t="n"/>
      <c r="I50" s="8" t="n"/>
    </row>
    <row r="51" ht="22" customHeight="1">
      <c r="B51" s="8" t="inlineStr">
        <is>
          <t>E-Learning &amp; LMS Platform</t>
        </is>
      </c>
      <c r="D51" s="9" t="n"/>
      <c r="E51" s="9" t="n"/>
      <c r="F51" s="9" t="n"/>
      <c r="G51" s="9" t="n"/>
      <c r="H51" s="9" t="n"/>
      <c r="I51" s="8" t="n"/>
    </row>
    <row r="52" ht="22" customHeight="1">
      <c r="B52" s="8" t="inlineStr">
        <is>
          <t>Examination &amp; Evaluation Costs</t>
        </is>
      </c>
      <c r="D52" s="9" t="n"/>
      <c r="E52" s="9" t="n"/>
      <c r="F52" s="9" t="n"/>
      <c r="G52" s="9" t="n"/>
      <c r="H52" s="9" t="n"/>
      <c r="I52" s="8" t="n"/>
    </row>
    <row r="53" ht="22" customHeight="1">
      <c r="B53" s="8" t="inlineStr">
        <is>
          <t>Academic Events &amp; Conferences</t>
        </is>
      </c>
      <c r="D53" s="9" t="n"/>
      <c r="E53" s="9" t="n"/>
      <c r="F53" s="9" t="n"/>
      <c r="G53" s="9" t="n"/>
      <c r="H53" s="9" t="n"/>
      <c r="I53" s="8" t="n"/>
    </row>
    <row r="54" ht="22" customHeight="1">
      <c r="B54" s="8" t="inlineStr">
        <is>
          <t>Student Activities &amp; Competitions</t>
        </is>
      </c>
      <c r="D54" s="9" t="n"/>
      <c r="E54" s="9" t="n"/>
      <c r="F54" s="9" t="n"/>
      <c r="G54" s="9" t="n"/>
      <c r="H54" s="9" t="n"/>
      <c r="I54" s="8" t="n"/>
    </row>
    <row r="55" ht="22" customHeight="1">
      <c r="B55" s="46" t="inlineStr">
        <is>
          <t>Sub-total — Academic</t>
        </is>
      </c>
      <c r="D55" s="47">
        <f>IFERROR(SUM(D47:D54),"")</f>
        <v/>
      </c>
      <c r="E55" s="47">
        <f>IFERROR(SUM(E56:E54),"")</f>
        <v/>
      </c>
      <c r="F55" s="47">
        <f>IFERROR(SUM(F56:F54),"")</f>
        <v/>
      </c>
      <c r="G55" s="47">
        <f>IFERROR(SUM(G56:G54),"")</f>
        <v/>
      </c>
      <c r="H55" s="47">
        <f>IFERROR(SUM(H56:H54),"")</f>
        <v/>
      </c>
      <c r="I55" s="48" t="n"/>
    </row>
    <row r="56" ht="22" customHeight="1">
      <c r="B56" s="43" t="inlineStr">
        <is>
          <t>INFRASTRUCTURE &amp; MAINTENANCE</t>
        </is>
      </c>
      <c r="D56" s="44" t="n"/>
      <c r="E56" s="44" t="n"/>
      <c r="F56" s="44" t="n"/>
      <c r="G56" s="44" t="n"/>
      <c r="H56" s="44" t="n"/>
      <c r="I56" s="45" t="n"/>
    </row>
    <row r="57" ht="22" customHeight="1">
      <c r="B57" s="8" t="inlineStr">
        <is>
          <t>Building Maintenance &amp; Repairs</t>
        </is>
      </c>
      <c r="D57" s="9" t="n"/>
      <c r="E57" s="9" t="n"/>
      <c r="F57" s="9" t="n"/>
      <c r="G57" s="9" t="n"/>
      <c r="H57" s="9" t="n"/>
      <c r="I57" s="8" t="n"/>
    </row>
    <row r="58" ht="22" customHeight="1">
      <c r="B58" s="8" t="inlineStr">
        <is>
          <t>Campus Utilities (Power, Water, Fuel)</t>
        </is>
      </c>
      <c r="D58" s="9" t="n"/>
      <c r="E58" s="9" t="n"/>
      <c r="F58" s="9" t="n"/>
      <c r="G58" s="9" t="n"/>
      <c r="H58" s="9" t="n"/>
      <c r="I58" s="8" t="n"/>
    </row>
    <row r="59" ht="22" customHeight="1">
      <c r="B59" s="8" t="inlineStr">
        <is>
          <t>Housekeeping &amp; Security Services</t>
        </is>
      </c>
      <c r="D59" s="9" t="n"/>
      <c r="E59" s="9" t="n"/>
      <c r="F59" s="9" t="n"/>
      <c r="G59" s="9" t="n"/>
      <c r="H59" s="9" t="n"/>
      <c r="I59" s="8" t="n"/>
    </row>
    <row r="60" ht="22" customHeight="1">
      <c r="B60" s="8" t="inlineStr">
        <is>
          <t>Hostel Maintenance</t>
        </is>
      </c>
      <c r="D60" s="9" t="n"/>
      <c r="E60" s="9" t="n"/>
      <c r="F60" s="9" t="n"/>
      <c r="G60" s="9" t="n"/>
      <c r="H60" s="9" t="n"/>
      <c r="I60" s="8" t="n"/>
    </row>
    <row r="61" ht="22" customHeight="1">
      <c r="B61" s="8" t="inlineStr">
        <is>
          <t>Transport Operations</t>
        </is>
      </c>
      <c r="D61" s="9" t="n"/>
      <c r="E61" s="9" t="n"/>
      <c r="F61" s="9" t="n"/>
      <c r="G61" s="9" t="n"/>
      <c r="H61" s="9" t="n"/>
      <c r="I61" s="8" t="n"/>
    </row>
    <row r="62" ht="22" customHeight="1">
      <c r="B62" s="8" t="inlineStr">
        <is>
          <t>IT Network &amp; Internet</t>
        </is>
      </c>
      <c r="D62" s="9" t="n"/>
      <c r="E62" s="9" t="n"/>
      <c r="F62" s="9" t="n"/>
      <c r="G62" s="9" t="n"/>
      <c r="H62" s="9" t="n"/>
      <c r="I62" s="8" t="n"/>
    </row>
    <row r="63" ht="22" customHeight="1">
      <c r="B63" s="46" t="inlineStr">
        <is>
          <t>Sub-total — Infrastructure</t>
        </is>
      </c>
      <c r="D63" s="47">
        <f>IFERROR(SUM(D56:D62),"")</f>
        <v/>
      </c>
      <c r="E63" s="47">
        <f>IFERROR(SUM(E64:E62),"")</f>
        <v/>
      </c>
      <c r="F63" s="47">
        <f>IFERROR(SUM(F64:F62),"")</f>
        <v/>
      </c>
      <c r="G63" s="47">
        <f>IFERROR(SUM(G64:G62),"")</f>
        <v/>
      </c>
      <c r="H63" s="47">
        <f>IFERROR(SUM(H64:H62),"")</f>
        <v/>
      </c>
      <c r="I63" s="48" t="n"/>
    </row>
    <row r="64" ht="22" customHeight="1">
      <c r="B64" s="43" t="inlineStr">
        <is>
          <t>ADMINISTRATIVE &amp; GENERAL</t>
        </is>
      </c>
      <c r="D64" s="44" t="n"/>
      <c r="E64" s="44" t="n"/>
      <c r="F64" s="44" t="n"/>
      <c r="G64" s="44" t="n"/>
      <c r="H64" s="44" t="n"/>
      <c r="I64" s="45" t="n"/>
    </row>
    <row r="65" ht="22" customHeight="1">
      <c r="B65" s="8" t="inlineStr">
        <is>
          <t>Office Supplies &amp; Stationery</t>
        </is>
      </c>
      <c r="D65" s="9" t="n"/>
      <c r="E65" s="9" t="n"/>
      <c r="F65" s="9" t="n"/>
      <c r="G65" s="9" t="n"/>
      <c r="H65" s="9" t="n"/>
      <c r="I65" s="8" t="n"/>
    </row>
    <row r="66" ht="22" customHeight="1">
      <c r="B66" s="8" t="inlineStr">
        <is>
          <t>Printing &amp; Publications</t>
        </is>
      </c>
      <c r="D66" s="9" t="n"/>
      <c r="E66" s="9" t="n"/>
      <c r="F66" s="9" t="n"/>
      <c r="G66" s="9" t="n"/>
      <c r="H66" s="9" t="n"/>
      <c r="I66" s="8" t="n"/>
    </row>
    <row r="67" ht="22" customHeight="1">
      <c r="B67" s="8" t="inlineStr">
        <is>
          <t>Postage, Telephone &amp; Communication</t>
        </is>
      </c>
      <c r="D67" s="9" t="n"/>
      <c r="E67" s="9" t="n"/>
      <c r="F67" s="9" t="n"/>
      <c r="G67" s="9" t="n"/>
      <c r="H67" s="9" t="n"/>
      <c r="I67" s="8" t="n"/>
    </row>
    <row r="68" ht="22" customHeight="1">
      <c r="B68" s="8" t="inlineStr">
        <is>
          <t>Legal, Audit &amp; Professional Fees</t>
        </is>
      </c>
      <c r="D68" s="9" t="n"/>
      <c r="E68" s="9" t="n"/>
      <c r="F68" s="9" t="n"/>
      <c r="G68" s="9" t="n"/>
      <c r="H68" s="9" t="n"/>
      <c r="I68" s="8" t="n"/>
    </row>
    <row r="69" ht="22" customHeight="1">
      <c r="B69" s="8" t="inlineStr">
        <is>
          <t>Marketing &amp; Admissions</t>
        </is>
      </c>
      <c r="D69" s="9" t="n"/>
      <c r="E69" s="9" t="n"/>
      <c r="F69" s="9" t="n"/>
      <c r="G69" s="9" t="n"/>
      <c r="H69" s="9" t="n"/>
      <c r="I69" s="8" t="n"/>
    </row>
    <row r="70" ht="22" customHeight="1">
      <c r="B70" s="8" t="inlineStr">
        <is>
          <t>Travelling &amp; Conveyance</t>
        </is>
      </c>
      <c r="D70" s="9" t="n"/>
      <c r="E70" s="9" t="n"/>
      <c r="F70" s="9" t="n"/>
      <c r="G70" s="9" t="n"/>
      <c r="H70" s="9" t="n"/>
      <c r="I70" s="8" t="n"/>
    </row>
    <row r="71" ht="22" customHeight="1">
      <c r="B71" s="8" t="inlineStr">
        <is>
          <t>Miscellaneous / Contingencies</t>
        </is>
      </c>
      <c r="D71" s="9" t="n"/>
      <c r="E71" s="9" t="n"/>
      <c r="F71" s="9" t="n"/>
      <c r="G71" s="9" t="n"/>
      <c r="H71" s="9" t="n"/>
      <c r="I71" s="8" t="n"/>
    </row>
    <row r="72" ht="22" customHeight="1">
      <c r="B72" s="46" t="inlineStr">
        <is>
          <t>Sub-total — Administration</t>
        </is>
      </c>
      <c r="D72" s="47">
        <f>IFERROR(SUM(D64:D71),"")</f>
        <v/>
      </c>
      <c r="E72" s="47">
        <f>IFERROR(SUM(E73:E71),"")</f>
        <v/>
      </c>
      <c r="F72" s="47">
        <f>IFERROR(SUM(F73:F71),"")</f>
        <v/>
      </c>
      <c r="G72" s="47">
        <f>IFERROR(SUM(G73:G71),"")</f>
        <v/>
      </c>
      <c r="H72" s="47">
        <f>IFERROR(SUM(H73:H71),"")</f>
        <v/>
      </c>
      <c r="I72" s="48" t="n"/>
    </row>
    <row r="73" ht="22" customHeight="1">
      <c r="B73" s="43" t="inlineStr">
        <is>
          <t>FINANCE CHARGES</t>
        </is>
      </c>
      <c r="D73" s="44" t="n"/>
      <c r="E73" s="44" t="n"/>
      <c r="F73" s="44" t="n"/>
      <c r="G73" s="44" t="n"/>
      <c r="H73" s="44" t="n"/>
      <c r="I73" s="45" t="n"/>
    </row>
    <row r="74" ht="22" customHeight="1">
      <c r="B74" s="8" t="inlineStr">
        <is>
          <t>Loan Repayment (Principal)</t>
        </is>
      </c>
      <c r="D74" s="9" t="n"/>
      <c r="E74" s="9" t="n"/>
      <c r="F74" s="9" t="n"/>
      <c r="G74" s="9" t="n"/>
      <c r="H74" s="9" t="n"/>
      <c r="I74" s="8" t="n"/>
    </row>
    <row r="75" ht="22" customHeight="1">
      <c r="B75" s="8" t="inlineStr">
        <is>
          <t>Interest on Loans</t>
        </is>
      </c>
      <c r="D75" s="9" t="n"/>
      <c r="E75" s="9" t="n"/>
      <c r="F75" s="9" t="n"/>
      <c r="G75" s="9" t="n"/>
      <c r="H75" s="9" t="n"/>
      <c r="I75" s="8" t="n"/>
    </row>
    <row r="76" ht="22" customHeight="1">
      <c r="B76" s="8" t="inlineStr">
        <is>
          <t>Bank Charges &amp; Processing Fees</t>
        </is>
      </c>
      <c r="D76" s="9" t="n"/>
      <c r="E76" s="9" t="n"/>
      <c r="F76" s="9" t="n"/>
      <c r="G76" s="9" t="n"/>
      <c r="H76" s="9" t="n"/>
      <c r="I76" s="8" t="n"/>
    </row>
    <row r="77" ht="22" customHeight="1">
      <c r="B77" s="46" t="inlineStr">
        <is>
          <t>Sub-total — Finance Charges</t>
        </is>
      </c>
      <c r="D77" s="47">
        <f>IFERROR(SUM(D73:D76),"")</f>
        <v/>
      </c>
      <c r="E77" s="47">
        <f>IFERROR(SUM(E78:E76),"")</f>
        <v/>
      </c>
      <c r="F77" s="47">
        <f>IFERROR(SUM(F78:F76),"")</f>
        <v/>
      </c>
      <c r="G77" s="47">
        <f>IFERROR(SUM(G78:G76),"")</f>
        <v/>
      </c>
      <c r="H77" s="47">
        <f>IFERROR(SUM(H78:H76),"")</f>
        <v/>
      </c>
      <c r="I77" s="48" t="n"/>
    </row>
    <row r="78" ht="22" customHeight="1">
      <c r="B78" s="49" t="inlineStr">
        <is>
          <t>GRAND TOTAL — EXPENDITURE</t>
        </is>
      </c>
      <c r="D78" s="50">
        <f>IFERROR(D46+D55+D63+D72+D77,"")</f>
        <v/>
      </c>
      <c r="E78" s="50">
        <f>IFERROR(E46+E55+E63+E72+E77,"")</f>
        <v/>
      </c>
      <c r="F78" s="50">
        <f>IFERROR(F46+F55+F63+F72+F77,"")</f>
        <v/>
      </c>
      <c r="G78" s="50">
        <f>IFERROR(G46+G55+G63+G72+G77,"")</f>
        <v/>
      </c>
      <c r="H78" s="50">
        <f>IFERROR(H46+H55+H63+H72+H77,"")</f>
        <v/>
      </c>
      <c r="I78" s="51" t="n"/>
    </row>
    <row r="80" ht="26" customHeight="1">
      <c r="B80" s="52" t="inlineStr">
        <is>
          <t>SURPLUS / (DEFICIT)</t>
        </is>
      </c>
      <c r="D80" s="41">
        <f>IFERROR(D34-D78,"")</f>
        <v/>
      </c>
      <c r="E80" s="41">
        <f>IFERROR(E34-E78,"")</f>
        <v/>
      </c>
      <c r="F80" s="41">
        <f>IFERROR(F34-F78,"")</f>
        <v/>
      </c>
      <c r="G80" s="41">
        <f>IFERROR(G34-G78,"")</f>
        <v/>
      </c>
      <c r="H80" s="41">
        <f>IFERROR(H34-H78,"")</f>
        <v/>
      </c>
    </row>
    <row r="82">
      <c r="B82" s="27" t="inlineStr">
        <is>
          <t>Approved by FC Resolution No.: _______    Finance Officer: ___________________    Chairperson: ___________________    Date: _______</t>
        </is>
      </c>
    </row>
  </sheetData>
  <mergeCells count="76">
    <mergeCell ref="B47:C47"/>
    <mergeCell ref="B16:C16"/>
    <mergeCell ref="B54:C54"/>
    <mergeCell ref="B62:C62"/>
    <mergeCell ref="B7:C7"/>
    <mergeCell ref="B25:C25"/>
    <mergeCell ref="B72:C72"/>
    <mergeCell ref="B59:C59"/>
    <mergeCell ref="B46:C46"/>
    <mergeCell ref="B3:I3"/>
    <mergeCell ref="B22:C22"/>
    <mergeCell ref="B66:C66"/>
    <mergeCell ref="B31:C31"/>
    <mergeCell ref="B18:C18"/>
    <mergeCell ref="B27:C27"/>
    <mergeCell ref="B56:C56"/>
    <mergeCell ref="B71:C71"/>
    <mergeCell ref="B43:C43"/>
    <mergeCell ref="B12:C12"/>
    <mergeCell ref="B39:C39"/>
    <mergeCell ref="B58:C58"/>
    <mergeCell ref="B52:C52"/>
    <mergeCell ref="B21:C21"/>
    <mergeCell ref="B48:C48"/>
    <mergeCell ref="B70:C70"/>
    <mergeCell ref="B77:C77"/>
    <mergeCell ref="B11:C11"/>
    <mergeCell ref="B2:I2"/>
    <mergeCell ref="B67:C67"/>
    <mergeCell ref="B42:C42"/>
    <mergeCell ref="B23:C23"/>
    <mergeCell ref="B61:C61"/>
    <mergeCell ref="B14:C14"/>
    <mergeCell ref="B60:C60"/>
    <mergeCell ref="B17:C17"/>
    <mergeCell ref="B57:C57"/>
    <mergeCell ref="B8:C8"/>
    <mergeCell ref="B53:C53"/>
    <mergeCell ref="B73:C73"/>
    <mergeCell ref="B13:C13"/>
    <mergeCell ref="B69:C69"/>
    <mergeCell ref="B38:C38"/>
    <mergeCell ref="B44:C44"/>
    <mergeCell ref="B78:C78"/>
    <mergeCell ref="B29:C29"/>
    <mergeCell ref="B82:I82"/>
    <mergeCell ref="B19:C19"/>
    <mergeCell ref="B34:C34"/>
    <mergeCell ref="B10:C10"/>
    <mergeCell ref="B28:C28"/>
    <mergeCell ref="B40:C40"/>
    <mergeCell ref="B9:C9"/>
    <mergeCell ref="B49:C49"/>
    <mergeCell ref="B65:C65"/>
    <mergeCell ref="B74:C74"/>
    <mergeCell ref="B55:C55"/>
    <mergeCell ref="B6:C6"/>
    <mergeCell ref="B24:C24"/>
    <mergeCell ref="B30:C30"/>
    <mergeCell ref="B64:C64"/>
    <mergeCell ref="B15:C15"/>
    <mergeCell ref="B33:C33"/>
    <mergeCell ref="B68:C68"/>
    <mergeCell ref="B51:C51"/>
    <mergeCell ref="B20:C20"/>
    <mergeCell ref="B76:C76"/>
    <mergeCell ref="B80:C80"/>
    <mergeCell ref="B45:C45"/>
    <mergeCell ref="B36:I36"/>
    <mergeCell ref="B32:C32"/>
    <mergeCell ref="B50:C50"/>
    <mergeCell ref="B63:C63"/>
    <mergeCell ref="B26:C26"/>
    <mergeCell ref="B41:C41"/>
    <mergeCell ref="B4:I4"/>
    <mergeCell ref="B75:C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3" customWidth="1" min="9" max="9"/>
  </cols>
  <sheetData>
    <row r="1" ht="10" customHeight="1"/>
    <row r="2" ht="48" customHeight="1">
      <c r="B2" s="11" t="inlineStr">
        <is>
          <t>FC-07: REVISED ESTIMATES FORM — MID-YEAR BUDGET REVISION (₹ in Lakhs)</t>
        </is>
      </c>
    </row>
    <row r="3" ht="25" customHeight="1">
      <c r="B3" s="2" t="inlineStr">
        <is>
          <t>Financial Year: _______  Review Period: _______  FC Meeting No.: _______  Date: _______</t>
        </is>
      </c>
    </row>
    <row r="4" ht="22" customHeight="1">
      <c r="B4" s="37" t="inlineStr">
        <is>
          <t>PART A — INCOME REVISED ESTIMATES</t>
        </is>
      </c>
    </row>
    <row r="5" ht="22" customHeight="1">
      <c r="B5" s="12" t="inlineStr">
        <is>
          <t>Sl.</t>
        </is>
      </c>
      <c r="C5" s="12" t="inlineStr">
        <is>
          <t>Income Head</t>
        </is>
      </c>
      <c r="D5" s="12" t="inlineStr">
        <is>
          <t>Original
Budget (₹L)</t>
        </is>
      </c>
      <c r="E5" s="12" t="inlineStr">
        <is>
          <t>Actuals so far
(₹L)</t>
        </is>
      </c>
      <c r="F5" s="12" t="inlineStr">
        <is>
          <t>Revised
Estimate (₹L)</t>
        </is>
      </c>
      <c r="G5" s="12" t="inlineStr">
        <is>
          <t>Variance
(Rev–Orig)</t>
        </is>
      </c>
      <c r="H5" s="12" t="inlineStr">
        <is>
          <t>Reason for Revision</t>
        </is>
      </c>
    </row>
    <row r="6" ht="22" customHeight="1">
      <c r="B6" s="15" t="n">
        <v>1</v>
      </c>
      <c r="C6" s="14" t="inlineStr">
        <is>
          <t>Tuition Fees (All Programmes)</t>
        </is>
      </c>
      <c r="D6" s="15" t="inlineStr"/>
      <c r="E6" s="15" t="inlineStr"/>
      <c r="F6" s="15" t="inlineStr"/>
      <c r="G6" s="15">
        <f>IFERROR(F6-D6,"")</f>
        <v/>
      </c>
      <c r="H6" s="14" t="inlineStr"/>
    </row>
    <row r="7" ht="22" customHeight="1">
      <c r="B7" s="6" t="n">
        <v>2</v>
      </c>
      <c r="C7" s="5" t="inlineStr">
        <is>
          <t>Examination &amp; Other Fees</t>
        </is>
      </c>
      <c r="D7" s="6" t="inlineStr"/>
      <c r="E7" s="6" t="inlineStr"/>
      <c r="F7" s="6" t="inlineStr"/>
      <c r="G7" s="6">
        <f>IFERROR(F7-D7,"")</f>
        <v/>
      </c>
      <c r="H7" s="5" t="inlineStr"/>
    </row>
    <row r="8" ht="22" customHeight="1">
      <c r="B8" s="15" t="n">
        <v>3</v>
      </c>
      <c r="C8" s="14" t="inlineStr">
        <is>
          <t>Hostel &amp; Transport Fees</t>
        </is>
      </c>
      <c r="D8" s="15" t="inlineStr"/>
      <c r="E8" s="15" t="inlineStr"/>
      <c r="F8" s="15" t="inlineStr"/>
      <c r="G8" s="15">
        <f>IFERROR(F8-D8,"")</f>
        <v/>
      </c>
      <c r="H8" s="14" t="inlineStr"/>
    </row>
    <row r="9" ht="22" customHeight="1">
      <c r="B9" s="6" t="n">
        <v>4</v>
      </c>
      <c r="C9" s="5" t="inlineStr">
        <is>
          <t>Govt. / UGC / AICTE Grants</t>
        </is>
      </c>
      <c r="D9" s="6" t="inlineStr"/>
      <c r="E9" s="6" t="inlineStr"/>
      <c r="F9" s="6" t="inlineStr"/>
      <c r="G9" s="6">
        <f>IFERROR(F9-D9,"")</f>
        <v/>
      </c>
      <c r="H9" s="5" t="inlineStr"/>
    </row>
    <row r="10" ht="22" customHeight="1">
      <c r="B10" s="15" t="n">
        <v>5</v>
      </c>
      <c r="C10" s="14" t="inlineStr">
        <is>
          <t>Consultancy &amp; Other Income</t>
        </is>
      </c>
      <c r="D10" s="15" t="inlineStr"/>
      <c r="E10" s="15" t="inlineStr"/>
      <c r="F10" s="15" t="inlineStr"/>
      <c r="G10" s="15">
        <f>IFERROR(F10-D10,"")</f>
        <v/>
      </c>
      <c r="H10" s="14" t="inlineStr"/>
    </row>
    <row r="11" ht="22" customHeight="1">
      <c r="B11" s="53" t="inlineStr"/>
      <c r="C11" s="54" t="inlineStr">
        <is>
          <t>Total Income</t>
        </is>
      </c>
      <c r="D11" s="53" t="inlineStr"/>
      <c r="E11" s="53" t="inlineStr"/>
      <c r="F11" s="53" t="inlineStr"/>
      <c r="G11" s="53">
        <f>IFERROR(F11-D11,"")</f>
        <v/>
      </c>
      <c r="H11" s="54" t="inlineStr"/>
    </row>
    <row r="12" ht="22" customHeight="1"/>
    <row r="13" ht="22" customHeight="1">
      <c r="B13" s="18" t="inlineStr">
        <is>
          <t>PART B — EXPENDITURE REVISED ESTIMATES</t>
        </is>
      </c>
    </row>
    <row r="14" ht="22" customHeight="1">
      <c r="B14" s="19" t="inlineStr">
        <is>
          <t>Sl.</t>
        </is>
      </c>
      <c r="C14" s="19" t="inlineStr">
        <is>
          <t>Expenditure Head</t>
        </is>
      </c>
      <c r="D14" s="19" t="inlineStr">
        <is>
          <t>Original
Budget (₹L)</t>
        </is>
      </c>
      <c r="E14" s="19" t="inlineStr">
        <is>
          <t>Actuals so far
(₹L)</t>
        </is>
      </c>
      <c r="F14" s="19" t="inlineStr">
        <is>
          <t>Revised
Estimate (₹L)</t>
        </is>
      </c>
      <c r="G14" s="19" t="inlineStr">
        <is>
          <t>Variance
(Rev–Orig)</t>
        </is>
      </c>
      <c r="H14" s="19" t="inlineStr">
        <is>
          <t>Reason for Revision</t>
        </is>
      </c>
    </row>
    <row r="15" ht="22" customHeight="1">
      <c r="B15" s="55" t="n">
        <v>1</v>
      </c>
      <c r="C15" s="48" t="inlineStr">
        <is>
          <t>Establishment (Salaries &amp; Benefits)</t>
        </is>
      </c>
      <c r="D15" s="55" t="inlineStr"/>
      <c r="E15" s="55" t="inlineStr"/>
      <c r="F15" s="55" t="inlineStr"/>
      <c r="G15" s="55">
        <f>IFERROR(F15-D15,"")</f>
        <v/>
      </c>
      <c r="H15" s="48" t="inlineStr"/>
    </row>
    <row r="16" ht="22" customHeight="1">
      <c r="B16" s="6" t="n">
        <v>2</v>
      </c>
      <c r="C16" s="5" t="inlineStr">
        <is>
          <t>Academic Expenses</t>
        </is>
      </c>
      <c r="D16" s="6" t="inlineStr"/>
      <c r="E16" s="6" t="inlineStr"/>
      <c r="F16" s="6" t="inlineStr"/>
      <c r="G16" s="6">
        <f>IFERROR(F16-D16,"")</f>
        <v/>
      </c>
      <c r="H16" s="5" t="inlineStr"/>
    </row>
    <row r="17" ht="22" customHeight="1">
      <c r="B17" s="55" t="n">
        <v>3</v>
      </c>
      <c r="C17" s="48" t="inlineStr">
        <is>
          <t>Infrastructure &amp; Maintenance</t>
        </is>
      </c>
      <c r="D17" s="55" t="inlineStr"/>
      <c r="E17" s="55" t="inlineStr"/>
      <c r="F17" s="55" t="inlineStr"/>
      <c r="G17" s="55">
        <f>IFERROR(F17-D17,"")</f>
        <v/>
      </c>
      <c r="H17" s="48" t="inlineStr"/>
    </row>
    <row r="18" ht="22" customHeight="1">
      <c r="B18" s="6" t="n">
        <v>4</v>
      </c>
      <c r="C18" s="5" t="inlineStr">
        <is>
          <t>Administrative &amp; General</t>
        </is>
      </c>
      <c r="D18" s="6" t="inlineStr"/>
      <c r="E18" s="6" t="inlineStr"/>
      <c r="F18" s="6" t="inlineStr"/>
      <c r="G18" s="6">
        <f>IFERROR(F18-D18,"")</f>
        <v/>
      </c>
      <c r="H18" s="5" t="inlineStr"/>
    </row>
    <row r="19" ht="22" customHeight="1">
      <c r="B19" s="55" t="n">
        <v>5</v>
      </c>
      <c r="C19" s="48" t="inlineStr">
        <is>
          <t>Finance Charges (Interest &amp; Repayment)</t>
        </is>
      </c>
      <c r="D19" s="55" t="inlineStr"/>
      <c r="E19" s="55" t="inlineStr"/>
      <c r="F19" s="55" t="inlineStr"/>
      <c r="G19" s="55">
        <f>IFERROR(F19-D19,"")</f>
        <v/>
      </c>
      <c r="H19" s="48" t="inlineStr"/>
    </row>
    <row r="20" ht="22" customHeight="1">
      <c r="B20" s="6" t="n">
        <v>6</v>
      </c>
      <c r="C20" s="5" t="inlineStr">
        <is>
          <t>Capital Expenditure</t>
        </is>
      </c>
      <c r="D20" s="6" t="inlineStr"/>
      <c r="E20" s="6" t="inlineStr"/>
      <c r="F20" s="6" t="inlineStr"/>
      <c r="G20" s="6">
        <f>IFERROR(F20-D20,"")</f>
        <v/>
      </c>
      <c r="H20" s="5" t="inlineStr"/>
    </row>
    <row r="21" ht="22" customHeight="1">
      <c r="B21" s="56" t="inlineStr"/>
      <c r="C21" s="57" t="inlineStr">
        <is>
          <t>Total Expenditure</t>
        </is>
      </c>
      <c r="D21" s="56" t="inlineStr"/>
      <c r="E21" s="56" t="inlineStr"/>
      <c r="F21" s="56" t="inlineStr"/>
      <c r="G21" s="56">
        <f>IFERROR(F21-D21,"")</f>
        <v/>
      </c>
      <c r="H21" s="57" t="inlineStr"/>
    </row>
    <row r="22" ht="22" customHeight="1"/>
    <row r="23" ht="22" customHeight="1">
      <c r="B23" s="58" t="inlineStr">
        <is>
          <t>PART C — RE-APPROPRIATION PROPOSALS</t>
        </is>
      </c>
    </row>
    <row r="24" ht="22" customHeight="1">
      <c r="B24" s="59" t="inlineStr">
        <is>
          <t>Sl.</t>
        </is>
      </c>
      <c r="C24" s="59" t="inlineStr">
        <is>
          <t>From Budget Head (Savings)</t>
        </is>
      </c>
      <c r="D24" s="59" t="inlineStr">
        <is>
          <t>Amount (₹L)</t>
        </is>
      </c>
      <c r="E24" s="59" t="inlineStr">
        <is>
          <t>To Budget Head (Additional Need)</t>
        </is>
      </c>
      <c r="F24" s="59" t="inlineStr">
        <is>
          <t>Amount (₹L)</t>
        </is>
      </c>
      <c r="G24" s="59" t="inlineStr">
        <is>
          <t>Reason / Justification</t>
        </is>
      </c>
      <c r="H24" s="59" t="inlineStr">
        <is>
          <t>FC Approval</t>
        </is>
      </c>
    </row>
    <row r="25" ht="25" customHeight="1">
      <c r="B25" s="60" t="n"/>
      <c r="C25" s="60" t="n"/>
      <c r="D25" s="60" t="n"/>
      <c r="E25" s="60" t="n"/>
      <c r="F25" s="60" t="n"/>
      <c r="G25" s="60" t="n"/>
      <c r="H25" s="60" t="n"/>
    </row>
    <row r="26" ht="25" customHeight="1">
      <c r="B26" s="6" t="n"/>
      <c r="C26" s="6" t="n"/>
      <c r="D26" s="6" t="n"/>
      <c r="E26" s="6" t="n"/>
      <c r="F26" s="6" t="n"/>
      <c r="G26" s="6" t="n"/>
      <c r="H26" s="6" t="n"/>
    </row>
    <row r="27" ht="25" customHeight="1">
      <c r="B27" s="60" t="n"/>
      <c r="C27" s="60" t="n"/>
      <c r="D27" s="60" t="n"/>
      <c r="E27" s="60" t="n"/>
      <c r="F27" s="60" t="n"/>
      <c r="G27" s="60" t="n"/>
      <c r="H27" s="60" t="n"/>
    </row>
    <row r="28" ht="25" customHeight="1">
      <c r="B28" s="6" t="n"/>
      <c r="C28" s="6" t="n"/>
      <c r="D28" s="6" t="n"/>
      <c r="E28" s="6" t="n"/>
      <c r="F28" s="6" t="n"/>
      <c r="G28" s="6" t="n"/>
      <c r="H28" s="6" t="n"/>
    </row>
    <row r="29" ht="25" customHeight="1">
      <c r="B29" s="60" t="n"/>
      <c r="C29" s="60" t="n"/>
      <c r="D29" s="60" t="n"/>
      <c r="E29" s="60" t="n"/>
      <c r="F29" s="60" t="n"/>
      <c r="G29" s="60" t="n"/>
      <c r="H29" s="60" t="n"/>
    </row>
    <row r="30" ht="25" customHeight="1">
      <c r="B30" s="6" t="n"/>
      <c r="C30" s="6" t="n"/>
      <c r="D30" s="6" t="n"/>
      <c r="E30" s="6" t="n"/>
      <c r="F30" s="6" t="n"/>
      <c r="G30" s="6" t="n"/>
      <c r="H30" s="6" t="n"/>
    </row>
    <row r="31" ht="25" customHeight="1">
      <c r="B31" s="60" t="n"/>
      <c r="C31" s="60" t="n"/>
      <c r="D31" s="60" t="n"/>
      <c r="E31" s="60" t="n"/>
      <c r="F31" s="60" t="n"/>
      <c r="G31" s="60" t="n"/>
      <c r="H31" s="60" t="n"/>
    </row>
    <row r="32" ht="25" customHeight="1">
      <c r="B32" s="6" t="n"/>
      <c r="C32" s="6" t="n"/>
      <c r="D32" s="6" t="n"/>
      <c r="E32" s="6" t="n"/>
      <c r="F32" s="6" t="n"/>
      <c r="G32" s="6" t="n"/>
      <c r="H32" s="6" t="n"/>
    </row>
    <row r="33" ht="22" customHeight="1"/>
    <row r="34" ht="22" customHeight="1">
      <c r="B34" s="2" t="inlineStr">
        <is>
          <t>FC Recommendation: [ ] Approved as presented   [ ] Approved with modifications   [ ] Referred for revision   [ ] Rejected</t>
        </is>
      </c>
    </row>
    <row r="35" ht="22" customHeight="1">
      <c r="B35" s="27" t="inlineStr">
        <is>
          <t>FC Resolution No.: _______    Date: _______    To be placed before EC: _______</t>
        </is>
      </c>
    </row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mergeCells count="7">
    <mergeCell ref="B13:H13"/>
    <mergeCell ref="B35:H35"/>
    <mergeCell ref="B4:H4"/>
    <mergeCell ref="B2:H2"/>
    <mergeCell ref="B3:H3"/>
    <mergeCell ref="B34:H34"/>
    <mergeCell ref="B23:H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1" t="inlineStr">
        <is>
          <t>FC-08: INCOME &amp; EXPENDITURE STATEMENT — ACTUALS vs. BUDGET (₹ in Lakhs)</t>
        </is>
      </c>
    </row>
    <row r="3" ht="25" customHeight="1">
      <c r="B3" s="2" t="inlineStr">
        <is>
          <t>Period: _______  Financial Year: _______  Prepared by: Finance Officer  FC Meeting No.: _______</t>
        </is>
      </c>
    </row>
    <row r="4" ht="22" customHeight="1">
      <c r="B4" s="37" t="inlineStr">
        <is>
          <t>INCOME</t>
        </is>
      </c>
    </row>
    <row r="5" ht="22" customHeight="1">
      <c r="B5" s="12" t="inlineStr">
        <is>
          <t>Sl.</t>
        </is>
      </c>
      <c r="C5" s="12" t="inlineStr">
        <is>
          <t>Income Head</t>
        </is>
      </c>
      <c r="D5" s="12" t="inlineStr">
        <is>
          <t>Budget
FY (₹L)</t>
        </is>
      </c>
      <c r="E5" s="12" t="inlineStr">
        <is>
          <t>Previous
Month (₹L)</t>
        </is>
      </c>
      <c r="F5" s="12" t="inlineStr">
        <is>
          <t>Current
Month (₹L)</t>
        </is>
      </c>
      <c r="G5" s="12" t="inlineStr">
        <is>
          <t>Cumulative
Actuals (₹L)</t>
        </is>
      </c>
      <c r="H5" s="12" t="inlineStr">
        <is>
          <t>Budget
Variance (₹L)</t>
        </is>
      </c>
    </row>
    <row r="6" ht="22" customHeight="1">
      <c r="B6" s="15" t="n">
        <v>1</v>
      </c>
      <c r="C6" s="14" t="inlineStr">
        <is>
          <t>Tuition Fees — UG</t>
        </is>
      </c>
      <c r="D6" s="15" t="inlineStr"/>
      <c r="E6" s="15" t="inlineStr"/>
      <c r="F6" s="15" t="inlineStr"/>
      <c r="G6" s="15">
        <f>IFERROR(F6+G6,"")</f>
        <v/>
      </c>
      <c r="H6" s="15">
        <f>IFERROR(H6-D6,"")</f>
        <v/>
      </c>
    </row>
    <row r="7" ht="22" customHeight="1">
      <c r="B7" s="6" t="n">
        <v>2</v>
      </c>
      <c r="C7" s="5" t="inlineStr">
        <is>
          <t>Tuition Fees — PG</t>
        </is>
      </c>
      <c r="D7" s="6" t="inlineStr"/>
      <c r="E7" s="6" t="inlineStr"/>
      <c r="F7" s="6" t="inlineStr"/>
      <c r="G7" s="6">
        <f>IFERROR(F7+G7,"")</f>
        <v/>
      </c>
      <c r="H7" s="6">
        <f>IFERROR(H7-D7,"")</f>
        <v/>
      </c>
    </row>
    <row r="8" ht="22" customHeight="1">
      <c r="B8" s="15" t="n">
        <v>3</v>
      </c>
      <c r="C8" s="14" t="inlineStr">
        <is>
          <t>Tuition Fees — Ph.D.</t>
        </is>
      </c>
      <c r="D8" s="15" t="inlineStr"/>
      <c r="E8" s="15" t="inlineStr"/>
      <c r="F8" s="15" t="inlineStr"/>
      <c r="G8" s="15">
        <f>IFERROR(F8+G8,"")</f>
        <v/>
      </c>
      <c r="H8" s="15">
        <f>IFERROR(H8-D8,"")</f>
        <v/>
      </c>
    </row>
    <row r="9" ht="22" customHeight="1">
      <c r="B9" s="6" t="n">
        <v>4</v>
      </c>
      <c r="C9" s="5" t="inlineStr">
        <is>
          <t>Examination &amp; Other Fees</t>
        </is>
      </c>
      <c r="D9" s="6" t="inlineStr"/>
      <c r="E9" s="6" t="inlineStr"/>
      <c r="F9" s="6" t="inlineStr"/>
      <c r="G9" s="6">
        <f>IFERROR(F9+G9,"")</f>
        <v/>
      </c>
      <c r="H9" s="6">
        <f>IFERROR(H9-D9,"")</f>
        <v/>
      </c>
    </row>
    <row r="10" ht="22" customHeight="1">
      <c r="B10" s="15" t="n">
        <v>5</v>
      </c>
      <c r="C10" s="14" t="inlineStr">
        <is>
          <t>Hostel &amp; Transport Fees</t>
        </is>
      </c>
      <c r="D10" s="15" t="inlineStr"/>
      <c r="E10" s="15" t="inlineStr"/>
      <c r="F10" s="15" t="inlineStr"/>
      <c r="G10" s="15">
        <f>IFERROR(F10+G10,"")</f>
        <v/>
      </c>
      <c r="H10" s="15">
        <f>IFERROR(H10-D10,"")</f>
        <v/>
      </c>
    </row>
    <row r="11" ht="22" customHeight="1">
      <c r="B11" s="6" t="n">
        <v>6</v>
      </c>
      <c r="C11" s="5" t="inlineStr">
        <is>
          <t>Grants (Govt./UGC/AICTE)</t>
        </is>
      </c>
      <c r="D11" s="6" t="inlineStr"/>
      <c r="E11" s="6" t="inlineStr"/>
      <c r="F11" s="6" t="inlineStr"/>
      <c r="G11" s="6">
        <f>IFERROR(F11+G11,"")</f>
        <v/>
      </c>
      <c r="H11" s="6">
        <f>IFERROR(H11-D11,"")</f>
        <v/>
      </c>
    </row>
    <row r="12" ht="22" customHeight="1">
      <c r="B12" s="15" t="n">
        <v>7</v>
      </c>
      <c r="C12" s="14" t="inlineStr">
        <is>
          <t>Consultancy &amp; Others</t>
        </is>
      </c>
      <c r="D12" s="15" t="inlineStr"/>
      <c r="E12" s="15" t="inlineStr"/>
      <c r="F12" s="15" t="inlineStr"/>
      <c r="G12" s="15">
        <f>IFERROR(F12+G12,"")</f>
        <v/>
      </c>
      <c r="H12" s="15">
        <f>IFERROR(H12-D12,"")</f>
        <v/>
      </c>
    </row>
    <row r="13" ht="22" customHeight="1">
      <c r="B13" s="6" t="n">
        <v>8</v>
      </c>
      <c r="C13" s="5" t="inlineStr">
        <is>
          <t>Interest Income</t>
        </is>
      </c>
      <c r="D13" s="6" t="inlineStr"/>
      <c r="E13" s="6" t="inlineStr"/>
      <c r="F13" s="6" t="inlineStr"/>
      <c r="G13" s="6">
        <f>IFERROR(F13+G13,"")</f>
        <v/>
      </c>
      <c r="H13" s="6">
        <f>IFERROR(H13-D13,"")</f>
        <v/>
      </c>
    </row>
    <row r="14" ht="22" customHeight="1">
      <c r="B14" s="15" t="n">
        <v>9</v>
      </c>
      <c r="C14" s="14" t="inlineStr">
        <is>
          <t>Miscellaneous Income</t>
        </is>
      </c>
      <c r="D14" s="15" t="inlineStr"/>
      <c r="E14" s="15" t="inlineStr"/>
      <c r="F14" s="15" t="inlineStr"/>
      <c r="G14" s="15">
        <f>IFERROR(F14+G14,"")</f>
        <v/>
      </c>
      <c r="H14" s="15">
        <f>IFERROR(H14-D14,"")</f>
        <v/>
      </c>
    </row>
    <row r="15" ht="22" customHeight="1">
      <c r="B15" s="61" t="inlineStr"/>
      <c r="C15" s="62" t="inlineStr">
        <is>
          <t>TOTAL INCOME</t>
        </is>
      </c>
      <c r="D15" s="61" t="inlineStr"/>
      <c r="E15" s="61" t="inlineStr"/>
      <c r="F15" s="61" t="inlineStr"/>
      <c r="G15" s="61">
        <f>IFERROR(F15+G15,"")</f>
        <v/>
      </c>
      <c r="H15" s="61">
        <f>IFERROR(H15-D15,"")</f>
        <v/>
      </c>
    </row>
    <row r="16" ht="22" customHeight="1"/>
    <row r="17" ht="22" customHeight="1">
      <c r="B17" s="18" t="inlineStr">
        <is>
          <t>EXPENDITURE</t>
        </is>
      </c>
    </row>
    <row r="18" ht="22" customHeight="1">
      <c r="B18" s="19" t="inlineStr">
        <is>
          <t>Sl.</t>
        </is>
      </c>
      <c r="C18" s="19" t="inlineStr">
        <is>
          <t>Expenditure Head</t>
        </is>
      </c>
      <c r="D18" s="19" t="inlineStr">
        <is>
          <t>Budget
FY (₹L)</t>
        </is>
      </c>
      <c r="E18" s="19" t="inlineStr">
        <is>
          <t>Previous
Month (₹L)</t>
        </is>
      </c>
      <c r="F18" s="19" t="inlineStr">
        <is>
          <t>Current
Month (₹L)</t>
        </is>
      </c>
      <c r="G18" s="19" t="inlineStr">
        <is>
          <t>Cumulative
Actuals (₹L)</t>
        </is>
      </c>
      <c r="H18" s="19" t="inlineStr">
        <is>
          <t>Budget
Variance (₹L)</t>
        </is>
      </c>
    </row>
    <row r="19" ht="22" customHeight="1">
      <c r="B19" s="55" t="n">
        <v>1</v>
      </c>
      <c r="C19" s="48" t="inlineStr">
        <is>
          <t>Salaries &amp; Benefits (All Staff)</t>
        </is>
      </c>
      <c r="D19" s="55" t="inlineStr"/>
      <c r="E19" s="55" t="inlineStr"/>
      <c r="F19" s="55" t="inlineStr"/>
      <c r="G19" s="55">
        <f>IFERROR(F19+G19,"")</f>
        <v/>
      </c>
      <c r="H19" s="55">
        <f>IFERROR(H19-D19,"")</f>
        <v/>
      </c>
    </row>
    <row r="20" ht="22" customHeight="1">
      <c r="B20" s="6" t="n">
        <v>2</v>
      </c>
      <c r="C20" s="5" t="inlineStr">
        <is>
          <t>Academic &amp; Library Expenses</t>
        </is>
      </c>
      <c r="D20" s="6" t="inlineStr"/>
      <c r="E20" s="6" t="inlineStr"/>
      <c r="F20" s="6" t="inlineStr"/>
      <c r="G20" s="6">
        <f>IFERROR(F20+G20,"")</f>
        <v/>
      </c>
      <c r="H20" s="6">
        <f>IFERROR(H20-D20,"")</f>
        <v/>
      </c>
    </row>
    <row r="21" ht="22" customHeight="1">
      <c r="B21" s="55" t="n">
        <v>3</v>
      </c>
      <c r="C21" s="48" t="inlineStr">
        <is>
          <t>Laboratory &amp; Equipment</t>
        </is>
      </c>
      <c r="D21" s="55" t="inlineStr"/>
      <c r="E21" s="55" t="inlineStr"/>
      <c r="F21" s="55" t="inlineStr"/>
      <c r="G21" s="55">
        <f>IFERROR(F21+G21,"")</f>
        <v/>
      </c>
      <c r="H21" s="55">
        <f>IFERROR(H21-D21,"")</f>
        <v/>
      </c>
    </row>
    <row r="22" ht="22" customHeight="1">
      <c r="B22" s="6" t="n">
        <v>4</v>
      </c>
      <c r="C22" s="5" t="inlineStr">
        <is>
          <t>Infrastructure &amp; Maintenance</t>
        </is>
      </c>
      <c r="D22" s="6" t="inlineStr"/>
      <c r="E22" s="6" t="inlineStr"/>
      <c r="F22" s="6" t="inlineStr"/>
      <c r="G22" s="6">
        <f>IFERROR(F22+G22,"")</f>
        <v/>
      </c>
      <c r="H22" s="6">
        <f>IFERROR(H22-D22,"")</f>
        <v/>
      </c>
    </row>
    <row r="23" ht="22" customHeight="1">
      <c r="B23" s="55" t="n">
        <v>5</v>
      </c>
      <c r="C23" s="48" t="inlineStr">
        <is>
          <t>Administrative &amp; General</t>
        </is>
      </c>
      <c r="D23" s="55" t="inlineStr"/>
      <c r="E23" s="55" t="inlineStr"/>
      <c r="F23" s="55" t="inlineStr"/>
      <c r="G23" s="55">
        <f>IFERROR(F23+G23,"")</f>
        <v/>
      </c>
      <c r="H23" s="55">
        <f>IFERROR(H23-D23,"")</f>
        <v/>
      </c>
    </row>
    <row r="24" ht="22" customHeight="1">
      <c r="B24" s="6" t="n">
        <v>6</v>
      </c>
      <c r="C24" s="5" t="inlineStr">
        <is>
          <t>Examination Expenses</t>
        </is>
      </c>
      <c r="D24" s="6" t="inlineStr"/>
      <c r="E24" s="6" t="inlineStr"/>
      <c r="F24" s="6" t="inlineStr"/>
      <c r="G24" s="6">
        <f>IFERROR(F24+G24,"")</f>
        <v/>
      </c>
      <c r="H24" s="6">
        <f>IFERROR(H24-D24,"")</f>
        <v/>
      </c>
    </row>
    <row r="25" ht="22" customHeight="1">
      <c r="B25" s="55" t="n">
        <v>7</v>
      </c>
      <c r="C25" s="48" t="inlineStr">
        <is>
          <t>Student Welfare</t>
        </is>
      </c>
      <c r="D25" s="55" t="inlineStr"/>
      <c r="E25" s="55" t="inlineStr"/>
      <c r="F25" s="55" t="inlineStr"/>
      <c r="G25" s="55">
        <f>IFERROR(F25+G25,"")</f>
        <v/>
      </c>
      <c r="H25" s="55">
        <f>IFERROR(H25-D25,"")</f>
        <v/>
      </c>
    </row>
    <row r="26" ht="22" customHeight="1">
      <c r="B26" s="6" t="n">
        <v>8</v>
      </c>
      <c r="C26" s="5" t="inlineStr">
        <is>
          <t>Finance Charges</t>
        </is>
      </c>
      <c r="D26" s="6" t="inlineStr"/>
      <c r="E26" s="6" t="inlineStr"/>
      <c r="F26" s="6" t="inlineStr"/>
      <c r="G26" s="6">
        <f>IFERROR(F26+G26,"")</f>
        <v/>
      </c>
      <c r="H26" s="6">
        <f>IFERROR(H26-D26,"")</f>
        <v/>
      </c>
    </row>
    <row r="27" ht="22" customHeight="1">
      <c r="B27" s="55" t="n">
        <v>9</v>
      </c>
      <c r="C27" s="48" t="inlineStr">
        <is>
          <t>Capital Expenditure</t>
        </is>
      </c>
      <c r="D27" s="55" t="inlineStr"/>
      <c r="E27" s="55" t="inlineStr"/>
      <c r="F27" s="55" t="inlineStr"/>
      <c r="G27" s="55">
        <f>IFERROR(F27+G27,"")</f>
        <v/>
      </c>
      <c r="H27" s="55">
        <f>IFERROR(H27-D27,"")</f>
        <v/>
      </c>
    </row>
    <row r="28" ht="22" customHeight="1">
      <c r="B28" s="6" t="n">
        <v>10</v>
      </c>
      <c r="C28" s="5" t="inlineStr">
        <is>
          <t>Miscellaneous</t>
        </is>
      </c>
      <c r="D28" s="6" t="inlineStr"/>
      <c r="E28" s="6" t="inlineStr"/>
      <c r="F28" s="6" t="inlineStr"/>
      <c r="G28" s="6">
        <f>IFERROR(F28+G28,"")</f>
        <v/>
      </c>
      <c r="H28" s="6">
        <f>IFERROR(H28-D28,"")</f>
        <v/>
      </c>
    </row>
    <row r="29" ht="22" customHeight="1">
      <c r="B29" s="50" t="inlineStr"/>
      <c r="C29" s="49" t="inlineStr">
        <is>
          <t>TOTAL EXPENDITURE</t>
        </is>
      </c>
      <c r="D29" s="50" t="inlineStr"/>
      <c r="E29" s="50" t="inlineStr"/>
      <c r="F29" s="50" t="inlineStr"/>
      <c r="G29" s="50">
        <f>IFERROR(F29+G29,"")</f>
        <v/>
      </c>
      <c r="H29" s="50">
        <f>IFERROR(H29-D29,"")</f>
        <v/>
      </c>
    </row>
    <row r="30" ht="22" customHeight="1"/>
    <row r="31" ht="26" customHeight="1">
      <c r="B31" s="52" t="inlineStr">
        <is>
          <t>NET SURPLUS / (DEFICIT)</t>
        </is>
      </c>
      <c r="D31" s="41">
        <f>IFERROR(D15-D29,"")</f>
        <v/>
      </c>
      <c r="E31" s="41">
        <f>IFERROR(E15-E29,"")</f>
        <v/>
      </c>
      <c r="F31" s="41">
        <f>IFERROR(F15-F29,"")</f>
        <v/>
      </c>
      <c r="G31" s="41">
        <f>IFERROR(G15-G29,"")</f>
        <v/>
      </c>
      <c r="H31" s="41">
        <f>IFERROR(H15-H29,"")</f>
        <v/>
      </c>
    </row>
    <row r="32" ht="22" customHeight="1"/>
    <row r="33" ht="22" customHeight="1">
      <c r="B33" s="20" t="inlineStr">
        <is>
          <t>KEY FINANCIAL RATIOS</t>
        </is>
      </c>
    </row>
    <row r="34" ht="22" customHeight="1">
      <c r="B34" s="21" t="inlineStr">
        <is>
          <t>Ratio</t>
        </is>
      </c>
      <c r="C34" s="21" t="inlineStr">
        <is>
          <t>Formula</t>
        </is>
      </c>
      <c r="D34" s="21" t="inlineStr">
        <is>
          <t>Budget Target</t>
        </is>
      </c>
      <c r="E34" s="21" t="inlineStr">
        <is>
          <t>Previous Month</t>
        </is>
      </c>
      <c r="F34" s="21" t="inlineStr">
        <is>
          <t>Current Month</t>
        </is>
      </c>
      <c r="G34" s="21" t="inlineStr">
        <is>
          <t>Cumulative</t>
        </is>
      </c>
      <c r="H34" s="21" t="inlineStr">
        <is>
          <t>Remarks</t>
        </is>
      </c>
    </row>
    <row r="35" ht="22" customHeight="1">
      <c r="B35" s="23" t="inlineStr">
        <is>
          <t>Staff Cost Ratio (%)</t>
        </is>
      </c>
      <c r="C35" s="39" t="inlineStr">
        <is>
          <t>Staff Cost / Total Income × 100</t>
        </is>
      </c>
      <c r="D35" s="22" t="inlineStr"/>
      <c r="E35" s="22" t="inlineStr"/>
      <c r="F35" s="22" t="inlineStr"/>
      <c r="G35" s="22" t="inlineStr"/>
      <c r="H35" s="39" t="inlineStr"/>
    </row>
    <row r="36" ht="22" customHeight="1">
      <c r="B36" s="25" t="inlineStr">
        <is>
          <t>Academic Expense Ratio (%)</t>
        </is>
      </c>
      <c r="C36" s="5" t="inlineStr">
        <is>
          <t>Academic Exp / Total Exp × 100</t>
        </is>
      </c>
      <c r="D36" s="6" t="inlineStr"/>
      <c r="E36" s="6" t="inlineStr"/>
      <c r="F36" s="6" t="inlineStr"/>
      <c r="G36" s="6" t="inlineStr"/>
      <c r="H36" s="5" t="inlineStr"/>
    </row>
    <row r="37" ht="22" customHeight="1">
      <c r="B37" s="23" t="inlineStr">
        <is>
          <t>Fee Collection Efficiency (%)</t>
        </is>
      </c>
      <c r="C37" s="39" t="inlineStr">
        <is>
          <t>Fees Collected / Fees Billed × 100</t>
        </is>
      </c>
      <c r="D37" s="22" t="inlineStr"/>
      <c r="E37" s="22" t="inlineStr"/>
      <c r="F37" s="22" t="inlineStr"/>
      <c r="G37" s="22" t="inlineStr"/>
      <c r="H37" s="39" t="inlineStr"/>
    </row>
    <row r="38" ht="22" customHeight="1">
      <c r="B38" s="25" t="inlineStr">
        <is>
          <t>Surplus Ratio (%)</t>
        </is>
      </c>
      <c r="C38" s="5" t="inlineStr">
        <is>
          <t>Net Surplus / Total Income × 100</t>
        </is>
      </c>
      <c r="D38" s="6" t="inlineStr"/>
      <c r="E38" s="6" t="inlineStr"/>
      <c r="F38" s="6" t="inlineStr"/>
      <c r="G38" s="6" t="inlineStr"/>
      <c r="H38" s="5" t="inlineStr"/>
    </row>
    <row r="39" ht="22" customHeight="1">
      <c r="B39" s="23" t="inlineStr">
        <is>
          <t>Admin Overhead Ratio (%)</t>
        </is>
      </c>
      <c r="C39" s="39" t="inlineStr">
        <is>
          <t>Admin Exp / Total Exp × 100</t>
        </is>
      </c>
      <c r="D39" s="22" t="inlineStr"/>
      <c r="E39" s="22" t="inlineStr"/>
      <c r="F39" s="22" t="inlineStr"/>
      <c r="G39" s="22" t="inlineStr"/>
      <c r="H39" s="39" t="inlineStr"/>
    </row>
    <row r="40" ht="22" customHeight="1">
      <c r="B40" s="25" t="inlineStr">
        <is>
          <t>Grant Utilisation Rate (%)</t>
        </is>
      </c>
      <c r="C40" s="5" t="inlineStr">
        <is>
          <t>Grants Used / Grants Received × 100</t>
        </is>
      </c>
      <c r="D40" s="6" t="inlineStr"/>
      <c r="E40" s="6" t="inlineStr"/>
      <c r="F40" s="6" t="inlineStr"/>
      <c r="G40" s="6" t="inlineStr"/>
      <c r="H40" s="5" t="inlineStr"/>
    </row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6">
    <mergeCell ref="B17:H17"/>
    <mergeCell ref="B4:H4"/>
    <mergeCell ref="B2:H2"/>
    <mergeCell ref="B31:C31"/>
    <mergeCell ref="B33:H33"/>
    <mergeCell ref="B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FC-09: FEE STRUCTURE PROPOSAL &amp; APPROVAL FORM</t>
        </is>
      </c>
    </row>
    <row r="3" ht="25" customHeight="1">
      <c r="B3" s="2" t="inlineStr">
        <is>
          <t>Academic Year: _______  FC Meeting No.: _______  Date: _______  Effective from: _______</t>
        </is>
      </c>
    </row>
    <row r="4" ht="22" customHeight="1">
      <c r="B4" s="37" t="inlineStr">
        <is>
          <t>PART A — PROGRAMME-WISE FEE SCHEDULE (₹ per annum)</t>
        </is>
      </c>
    </row>
    <row r="5" ht="22" customHeight="1">
      <c r="B5" s="12" t="inlineStr">
        <is>
          <t>Sl.</t>
        </is>
      </c>
      <c r="C5" s="12" t="inlineStr">
        <is>
          <t>Programme</t>
        </is>
      </c>
      <c r="D5" s="12" t="inlineStr">
        <is>
          <t>Category</t>
        </is>
      </c>
      <c r="E5" s="12" t="inlineStr">
        <is>
          <t>Current
Fee (₹)</t>
        </is>
      </c>
      <c r="F5" s="12" t="inlineStr">
        <is>
          <t>Proposed
Fee (₹)</t>
        </is>
      </c>
      <c r="G5" s="12" t="inlineStr">
        <is>
          <t>Increase
(₹)</t>
        </is>
      </c>
      <c r="H5" s="12" t="inlineStr">
        <is>
          <t>Increase
(%)</t>
        </is>
      </c>
      <c r="I5" s="12" t="inlineStr">
        <is>
          <t>Remarks</t>
        </is>
      </c>
    </row>
    <row r="6" ht="22" customHeight="1">
      <c r="B6" s="13" t="n">
        <v>1</v>
      </c>
      <c r="C6" s="14" t="inlineStr">
        <is>
          <t>B.E. / B.Tech (4-year)</t>
        </is>
      </c>
      <c r="D6" s="15" t="inlineStr">
        <is>
          <t>General</t>
        </is>
      </c>
      <c r="E6" s="15" t="inlineStr"/>
      <c r="F6" s="15" t="inlineStr"/>
      <c r="G6" s="15">
        <f>IFERROR(F6-E6,"")</f>
        <v/>
      </c>
      <c r="H6" s="15">
        <f>IFERROR(ROUND(G6/E6*100,1),"")</f>
        <v/>
      </c>
      <c r="I6" s="14" t="inlineStr"/>
    </row>
    <row r="7" ht="22" customHeight="1">
      <c r="B7" s="4" t="n">
        <v>2</v>
      </c>
      <c r="C7" s="5" t="inlineStr">
        <is>
          <t>B.E. / B.Tech (NRI)</t>
        </is>
      </c>
      <c r="D7" s="6" t="inlineStr">
        <is>
          <t>NRI/Mgmt.</t>
        </is>
      </c>
      <c r="E7" s="6" t="inlineStr"/>
      <c r="F7" s="6" t="inlineStr"/>
      <c r="G7" s="6">
        <f>IFERROR(F7-E7,"")</f>
        <v/>
      </c>
      <c r="H7" s="6">
        <f>IFERROR(ROUND(G7/E7*100,1),"")</f>
        <v/>
      </c>
      <c r="I7" s="5" t="inlineStr"/>
    </row>
    <row r="8" ht="22" customHeight="1">
      <c r="B8" s="13" t="n">
        <v>3</v>
      </c>
      <c r="C8" s="14" t="inlineStr">
        <is>
          <t>B.E. / B.Tech (Mgmt. Quota)</t>
        </is>
      </c>
      <c r="D8" s="15" t="inlineStr">
        <is>
          <t>Management</t>
        </is>
      </c>
      <c r="E8" s="15" t="inlineStr"/>
      <c r="F8" s="15" t="inlineStr"/>
      <c r="G8" s="15">
        <f>IFERROR(F8-E8,"")</f>
        <v/>
      </c>
      <c r="H8" s="15">
        <f>IFERROR(ROUND(G8/E8*100,1),"")</f>
        <v/>
      </c>
      <c r="I8" s="14" t="inlineStr"/>
    </row>
    <row r="9" ht="22" customHeight="1">
      <c r="B9" s="4" t="n">
        <v>4</v>
      </c>
      <c r="C9" s="5" t="inlineStr">
        <is>
          <t>M.E. / M.Tech (2-year)</t>
        </is>
      </c>
      <c r="D9" s="6" t="inlineStr">
        <is>
          <t>General</t>
        </is>
      </c>
      <c r="E9" s="6" t="inlineStr"/>
      <c r="F9" s="6" t="inlineStr"/>
      <c r="G9" s="6">
        <f>IFERROR(F9-E9,"")</f>
        <v/>
      </c>
      <c r="H9" s="6">
        <f>IFERROR(ROUND(G9/E9*100,1),"")</f>
        <v/>
      </c>
      <c r="I9" s="5" t="inlineStr"/>
    </row>
    <row r="10" ht="22" customHeight="1">
      <c r="B10" s="13" t="n">
        <v>5</v>
      </c>
      <c r="C10" s="14" t="inlineStr">
        <is>
          <t>MBA (2-year)</t>
        </is>
      </c>
      <c r="D10" s="15" t="inlineStr">
        <is>
          <t>General</t>
        </is>
      </c>
      <c r="E10" s="15" t="inlineStr"/>
      <c r="F10" s="15" t="inlineStr"/>
      <c r="G10" s="15">
        <f>IFERROR(F10-E10,"")</f>
        <v/>
      </c>
      <c r="H10" s="15">
        <f>IFERROR(ROUND(G10/E10*100,1),"")</f>
        <v/>
      </c>
      <c r="I10" s="14" t="inlineStr"/>
    </row>
    <row r="11" ht="22" customHeight="1">
      <c r="B11" s="4" t="n">
        <v>6</v>
      </c>
      <c r="C11" s="5" t="inlineStr">
        <is>
          <t>MCA (2-year)</t>
        </is>
      </c>
      <c r="D11" s="6" t="inlineStr">
        <is>
          <t>General</t>
        </is>
      </c>
      <c r="E11" s="6" t="inlineStr"/>
      <c r="F11" s="6" t="inlineStr"/>
      <c r="G11" s="6">
        <f>IFERROR(F11-E11,"")</f>
        <v/>
      </c>
      <c r="H11" s="6">
        <f>IFERROR(ROUND(G11/E11*100,1),"")</f>
        <v/>
      </c>
      <c r="I11" s="5" t="inlineStr"/>
    </row>
    <row r="12" ht="22" customHeight="1">
      <c r="B12" s="13" t="n">
        <v>7</v>
      </c>
      <c r="C12" s="14" t="inlineStr">
        <is>
          <t>B.Sc. (3-year)</t>
        </is>
      </c>
      <c r="D12" s="15" t="inlineStr">
        <is>
          <t>General</t>
        </is>
      </c>
      <c r="E12" s="15" t="inlineStr"/>
      <c r="F12" s="15" t="inlineStr"/>
      <c r="G12" s="15">
        <f>IFERROR(F12-E12,"")</f>
        <v/>
      </c>
      <c r="H12" s="15">
        <f>IFERROR(ROUND(G12/E12*100,1),"")</f>
        <v/>
      </c>
      <c r="I12" s="14" t="inlineStr"/>
    </row>
    <row r="13" ht="22" customHeight="1">
      <c r="B13" s="4" t="n">
        <v>8</v>
      </c>
      <c r="C13" s="5" t="inlineStr">
        <is>
          <t>B.Com. (3-year)</t>
        </is>
      </c>
      <c r="D13" s="6" t="inlineStr">
        <is>
          <t>General</t>
        </is>
      </c>
      <c r="E13" s="6" t="inlineStr"/>
      <c r="F13" s="6" t="inlineStr"/>
      <c r="G13" s="6">
        <f>IFERROR(F13-E13,"")</f>
        <v/>
      </c>
      <c r="H13" s="6">
        <f>IFERROR(ROUND(G13/E13*100,1),"")</f>
        <v/>
      </c>
      <c r="I13" s="5" t="inlineStr"/>
    </row>
    <row r="14" ht="22" customHeight="1">
      <c r="B14" s="13" t="n">
        <v>9</v>
      </c>
      <c r="C14" s="14" t="inlineStr">
        <is>
          <t>B.A. (3-year)</t>
        </is>
      </c>
      <c r="D14" s="15" t="inlineStr">
        <is>
          <t>General</t>
        </is>
      </c>
      <c r="E14" s="15" t="inlineStr"/>
      <c r="F14" s="15" t="inlineStr"/>
      <c r="G14" s="15">
        <f>IFERROR(F14-E14,"")</f>
        <v/>
      </c>
      <c r="H14" s="15">
        <f>IFERROR(ROUND(G14/E14*100,1),"")</f>
        <v/>
      </c>
      <c r="I14" s="14" t="inlineStr"/>
    </row>
    <row r="15" ht="22" customHeight="1">
      <c r="B15" s="4" t="n">
        <v>10</v>
      </c>
      <c r="C15" s="5" t="inlineStr">
        <is>
          <t>Ph.D. (Regular)</t>
        </is>
      </c>
      <c r="D15" s="6" t="inlineStr">
        <is>
          <t>General</t>
        </is>
      </c>
      <c r="E15" s="6" t="inlineStr"/>
      <c r="F15" s="6" t="inlineStr"/>
      <c r="G15" s="6">
        <f>IFERROR(F15-E15,"")</f>
        <v/>
      </c>
      <c r="H15" s="6">
        <f>IFERROR(ROUND(G15/E15*100,1),"")</f>
        <v/>
      </c>
      <c r="I15" s="5" t="inlineStr"/>
    </row>
    <row r="16" ht="22" customHeight="1">
      <c r="B16" s="13" t="n">
        <v>11</v>
      </c>
      <c r="C16" s="14" t="inlineStr">
        <is>
          <t>Ph.D. (Part-time)</t>
        </is>
      </c>
      <c r="D16" s="15" t="inlineStr">
        <is>
          <t>Part-time</t>
        </is>
      </c>
      <c r="E16" s="15" t="inlineStr"/>
      <c r="F16" s="15" t="inlineStr"/>
      <c r="G16" s="15">
        <f>IFERROR(F16-E16,"")</f>
        <v/>
      </c>
      <c r="H16" s="15">
        <f>IFERROR(ROUND(G16/E16*100,1),"")</f>
        <v/>
      </c>
      <c r="I16" s="14" t="inlineStr"/>
    </row>
    <row r="17" ht="22" customHeight="1">
      <c r="B17" s="4" t="n">
        <v>12</v>
      </c>
      <c r="C17" s="5" t="inlineStr">
        <is>
          <t>Diploma Programme</t>
        </is>
      </c>
      <c r="D17" s="6" t="inlineStr">
        <is>
          <t>General</t>
        </is>
      </c>
      <c r="E17" s="6" t="inlineStr"/>
      <c r="F17" s="6" t="inlineStr"/>
      <c r="G17" s="6">
        <f>IFERROR(F17-E17,"")</f>
        <v/>
      </c>
      <c r="H17" s="6">
        <f>IFERROR(ROUND(G17/E17*100,1),"")</f>
        <v/>
      </c>
      <c r="I17" s="5" t="inlineStr"/>
    </row>
    <row r="18" ht="22" customHeight="1"/>
    <row r="19" ht="22" customHeight="1">
      <c r="B19" s="34" t="inlineStr">
        <is>
          <t>PART B — FEE COMPONENT-WISE BREAKUP</t>
        </is>
      </c>
    </row>
    <row r="20" ht="22" customHeight="1">
      <c r="B20" s="30" t="inlineStr">
        <is>
          <t>Sl.</t>
        </is>
      </c>
      <c r="C20" s="30" t="inlineStr">
        <is>
          <t>Fee Component</t>
        </is>
      </c>
      <c r="D20" s="30" t="inlineStr">
        <is>
          <t>UG (₹)</t>
        </is>
      </c>
      <c r="E20" s="30" t="inlineStr">
        <is>
          <t>PG (₹)</t>
        </is>
      </c>
      <c r="F20" s="30" t="inlineStr">
        <is>
          <t>Ph.D. (₹)</t>
        </is>
      </c>
      <c r="G20" s="30" t="inlineStr">
        <is>
          <t>Diploma (₹)</t>
        </is>
      </c>
      <c r="H20" s="30" t="inlineStr">
        <is>
          <t>Basis / Frequency</t>
        </is>
      </c>
      <c r="I20" s="30" t="inlineStr">
        <is>
          <t>FC Approval</t>
        </is>
      </c>
    </row>
    <row r="21" ht="22" customHeight="1">
      <c r="B21" s="31" t="n">
        <v>1</v>
      </c>
      <c r="C21" s="32" t="inlineStr">
        <is>
          <t>Tuition Fee</t>
        </is>
      </c>
      <c r="D21" s="33" t="inlineStr"/>
      <c r="E21" s="33" t="inlineStr"/>
      <c r="F21" s="33" t="inlineStr"/>
      <c r="G21" s="33" t="inlineStr"/>
      <c r="H21" s="33" t="inlineStr">
        <is>
          <t>Per semester</t>
        </is>
      </c>
      <c r="I21" s="33" t="inlineStr">
        <is>
          <t>Y</t>
        </is>
      </c>
    </row>
    <row r="22" ht="22" customHeight="1">
      <c r="B22" s="4" t="n">
        <v>2</v>
      </c>
      <c r="C22" s="5" t="inlineStr">
        <is>
          <t>University Affiliation Fee</t>
        </is>
      </c>
      <c r="D22" s="6" t="inlineStr"/>
      <c r="E22" s="6" t="inlineStr"/>
      <c r="F22" s="6" t="inlineStr"/>
      <c r="G22" s="6" t="inlineStr"/>
      <c r="H22" s="6" t="inlineStr">
        <is>
          <t>Per year</t>
        </is>
      </c>
      <c r="I22" s="6" t="inlineStr">
        <is>
          <t>Y</t>
        </is>
      </c>
    </row>
    <row r="23" ht="22" customHeight="1">
      <c r="B23" s="31" t="n">
        <v>3</v>
      </c>
      <c r="C23" s="32" t="inlineStr">
        <is>
          <t>Examination Fee</t>
        </is>
      </c>
      <c r="D23" s="33" t="inlineStr"/>
      <c r="E23" s="33" t="inlineStr"/>
      <c r="F23" s="33" t="inlineStr"/>
      <c r="G23" s="33" t="inlineStr"/>
      <c r="H23" s="33" t="inlineStr">
        <is>
          <t>Per semester</t>
        </is>
      </c>
      <c r="I23" s="33" t="inlineStr">
        <is>
          <t>Y</t>
        </is>
      </c>
    </row>
    <row r="24" ht="22" customHeight="1">
      <c r="B24" s="4" t="n">
        <v>4</v>
      </c>
      <c r="C24" s="5" t="inlineStr">
        <is>
          <t>Library Fee</t>
        </is>
      </c>
      <c r="D24" s="6" t="inlineStr"/>
      <c r="E24" s="6" t="inlineStr"/>
      <c r="F24" s="6" t="inlineStr"/>
      <c r="G24" s="6" t="inlineStr"/>
      <c r="H24" s="6" t="inlineStr">
        <is>
          <t>Per year</t>
        </is>
      </c>
      <c r="I24" s="6" t="inlineStr">
        <is>
          <t>Y</t>
        </is>
      </c>
    </row>
    <row r="25" ht="22" customHeight="1">
      <c r="B25" s="31" t="n">
        <v>5</v>
      </c>
      <c r="C25" s="32" t="inlineStr">
        <is>
          <t>Laboratory / Practical Fee</t>
        </is>
      </c>
      <c r="D25" s="33" t="inlineStr"/>
      <c r="E25" s="33" t="inlineStr"/>
      <c r="F25" s="33" t="inlineStr"/>
      <c r="G25" s="33" t="inlineStr"/>
      <c r="H25" s="33" t="inlineStr">
        <is>
          <t>Per semester</t>
        </is>
      </c>
      <c r="I25" s="33" t="inlineStr">
        <is>
          <t>Y</t>
        </is>
      </c>
    </row>
    <row r="26" ht="22" customHeight="1">
      <c r="B26" s="4" t="n">
        <v>6</v>
      </c>
      <c r="C26" s="5" t="inlineStr">
        <is>
          <t>Sports &amp; Cultural Fee</t>
        </is>
      </c>
      <c r="D26" s="6" t="inlineStr"/>
      <c r="E26" s="6" t="inlineStr"/>
      <c r="F26" s="6" t="inlineStr"/>
      <c r="G26" s="6" t="inlineStr"/>
      <c r="H26" s="6" t="inlineStr">
        <is>
          <t>Per year</t>
        </is>
      </c>
      <c r="I26" s="6" t="inlineStr">
        <is>
          <t>Y</t>
        </is>
      </c>
    </row>
    <row r="27" ht="22" customHeight="1">
      <c r="B27" s="31" t="n">
        <v>7</v>
      </c>
      <c r="C27" s="32" t="inlineStr">
        <is>
          <t>Student Association Fee</t>
        </is>
      </c>
      <c r="D27" s="33" t="inlineStr"/>
      <c r="E27" s="33" t="inlineStr"/>
      <c r="F27" s="33" t="inlineStr"/>
      <c r="G27" s="33" t="inlineStr"/>
      <c r="H27" s="33" t="inlineStr">
        <is>
          <t>Per year</t>
        </is>
      </c>
      <c r="I27" s="33" t="inlineStr">
        <is>
          <t>Y</t>
        </is>
      </c>
    </row>
    <row r="28" ht="22" customHeight="1">
      <c r="B28" s="4" t="n">
        <v>8</v>
      </c>
      <c r="C28" s="5" t="inlineStr">
        <is>
          <t>IT / Software Lab Fee</t>
        </is>
      </c>
      <c r="D28" s="6" t="inlineStr"/>
      <c r="E28" s="6" t="inlineStr"/>
      <c r="F28" s="6" t="inlineStr"/>
      <c r="G28" s="6" t="inlineStr"/>
      <c r="H28" s="6" t="inlineStr">
        <is>
          <t>Per year</t>
        </is>
      </c>
      <c r="I28" s="6" t="inlineStr">
        <is>
          <t>Y</t>
        </is>
      </c>
    </row>
    <row r="29" ht="22" customHeight="1">
      <c r="B29" s="31" t="n">
        <v>9</v>
      </c>
      <c r="C29" s="32" t="inlineStr">
        <is>
          <t>Caution Deposit (Refundable)</t>
        </is>
      </c>
      <c r="D29" s="33" t="inlineStr"/>
      <c r="E29" s="33" t="inlineStr"/>
      <c r="F29" s="33" t="inlineStr"/>
      <c r="G29" s="33" t="inlineStr"/>
      <c r="H29" s="33" t="inlineStr">
        <is>
          <t>One-time</t>
        </is>
      </c>
      <c r="I29" s="33" t="inlineStr">
        <is>
          <t>Y</t>
        </is>
      </c>
    </row>
    <row r="30" ht="22" customHeight="1">
      <c r="B30" s="4" t="n">
        <v>10</v>
      </c>
      <c r="C30" s="5" t="inlineStr">
        <is>
          <t>Hostel Fee (Optional)</t>
        </is>
      </c>
      <c r="D30" s="6" t="inlineStr"/>
      <c r="E30" s="6" t="inlineStr"/>
      <c r="F30" s="6" t="inlineStr"/>
      <c r="G30" s="6" t="inlineStr"/>
      <c r="H30" s="6" t="inlineStr">
        <is>
          <t>Per semester</t>
        </is>
      </c>
      <c r="I30" s="6" t="inlineStr">
        <is>
          <t>Y</t>
        </is>
      </c>
    </row>
    <row r="31" ht="22" customHeight="1">
      <c r="B31" s="31" t="n">
        <v>11</v>
      </c>
      <c r="C31" s="32" t="inlineStr">
        <is>
          <t>Transport Fee (Optional)</t>
        </is>
      </c>
      <c r="D31" s="33" t="inlineStr"/>
      <c r="E31" s="33" t="inlineStr"/>
      <c r="F31" s="33" t="inlineStr"/>
      <c r="G31" s="33" t="inlineStr"/>
      <c r="H31" s="33" t="inlineStr">
        <is>
          <t>Per semester</t>
        </is>
      </c>
      <c r="I31" s="33" t="inlineStr">
        <is>
          <t>Y</t>
        </is>
      </c>
    </row>
    <row r="32" ht="22" customHeight="1">
      <c r="B32" s="4" t="n">
        <v>12</v>
      </c>
      <c r="C32" s="5" t="inlineStr">
        <is>
          <t>Insurance Premium</t>
        </is>
      </c>
      <c r="D32" s="6" t="inlineStr"/>
      <c r="E32" s="6" t="inlineStr"/>
      <c r="F32" s="6" t="inlineStr"/>
      <c r="G32" s="6" t="inlineStr"/>
      <c r="H32" s="6" t="inlineStr">
        <is>
          <t>Per year</t>
        </is>
      </c>
      <c r="I32" s="6" t="inlineStr">
        <is>
          <t>Y</t>
        </is>
      </c>
    </row>
    <row r="33" ht="22" customHeight="1"/>
    <row r="34" ht="22" customHeight="1">
      <c r="B34" s="20" t="inlineStr">
        <is>
          <t>PART C — FEE REVISION JUSTIFICATION</t>
        </is>
      </c>
    </row>
    <row r="35" ht="28" customHeight="1">
      <c r="B35" s="63" t="inlineStr">
        <is>
          <t>Inflation / cost escalation since last revision:</t>
        </is>
      </c>
      <c r="C35" s="5" t="n"/>
    </row>
    <row r="36" ht="28" customHeight="1">
      <c r="B36" s="64" t="inlineStr">
        <is>
          <t>Enhancement in infrastructure / facilities:</t>
        </is>
      </c>
      <c r="C36" s="5" t="n"/>
    </row>
    <row r="37" ht="28" customHeight="1">
      <c r="B37" s="63" t="inlineStr">
        <is>
          <t>Comparison with peer institutions (benchmark):</t>
        </is>
      </c>
      <c r="C37" s="5" t="n"/>
    </row>
    <row r="38" ht="28" customHeight="1">
      <c r="B38" s="64" t="inlineStr">
        <is>
          <t>Regulatory ceiling / State Govt. cap compliance:</t>
        </is>
      </c>
      <c r="C38" s="5" t="n"/>
    </row>
    <row r="39" ht="28" customHeight="1">
      <c r="B39" s="63" t="inlineStr">
        <is>
          <t>Impact on student enrolment (sensitivity analysis):</t>
        </is>
      </c>
      <c r="C39" s="5" t="n"/>
    </row>
    <row r="40" ht="28" customHeight="1">
      <c r="B40" s="64" t="inlineStr">
        <is>
          <t>Scholarship / financial aid provision (% of fee income):</t>
        </is>
      </c>
      <c r="C40" s="5" t="n"/>
    </row>
    <row r="41" ht="22" customHeight="1"/>
    <row r="42" ht="22" customHeight="1">
      <c r="B42" s="2" t="inlineStr">
        <is>
          <t>FC Recommendation:  [ ] Approved  [ ] Approved with modification  [ ] Deferred  [ ] Rejected</t>
        </is>
      </c>
    </row>
    <row r="43" ht="22" customHeight="1">
      <c r="B43" s="27" t="inlineStr">
        <is>
          <t>FC Resolution No.: _______    To be placed before EC for final approval on: _______</t>
        </is>
      </c>
    </row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13">
    <mergeCell ref="C36:I36"/>
    <mergeCell ref="C40:I40"/>
    <mergeCell ref="C39:I39"/>
    <mergeCell ref="B2:I2"/>
    <mergeCell ref="B34:I34"/>
    <mergeCell ref="C35:I35"/>
    <mergeCell ref="B42:I42"/>
    <mergeCell ref="B3:I3"/>
    <mergeCell ref="B19:I19"/>
    <mergeCell ref="C38:I38"/>
    <mergeCell ref="B4:I4"/>
    <mergeCell ref="C37:I37"/>
    <mergeCell ref="B43:I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1" t="inlineStr">
        <is>
          <t>FC-10: GRANT &amp; FUND UTILISATION REGISTER (₹ in Lakhs)</t>
        </is>
      </c>
    </row>
    <row r="3" ht="25" customHeight="1">
      <c r="B3" s="2" t="inlineStr">
        <is>
          <t>Financial Year: _______  FC Meeting No.: _______  Date: _______  Grants Officer: ___________________</t>
        </is>
      </c>
    </row>
    <row r="4" ht="25" customHeight="1">
      <c r="B4" s="12" t="inlineStr">
        <is>
          <t>Grant
Ref.</t>
        </is>
      </c>
      <c r="C4" s="12" t="inlineStr">
        <is>
          <t>Grant Scheme / Project Title</t>
        </is>
      </c>
      <c r="D4" s="12" t="inlineStr">
        <is>
          <t>Funding
Agency</t>
        </is>
      </c>
      <c r="E4" s="12" t="inlineStr">
        <is>
          <t>Total
Sanctioned
(₹L)</t>
        </is>
      </c>
      <c r="F4" s="12" t="inlineStr">
        <is>
          <t>Received
to date
(₹L)</t>
        </is>
      </c>
      <c r="G4" s="12" t="inlineStr">
        <is>
          <t>Utilised
to date
(₹L)</t>
        </is>
      </c>
      <c r="H4" s="12" t="inlineStr">
        <is>
          <t>Balance
(₹L)</t>
        </is>
      </c>
      <c r="I4" s="12" t="inlineStr">
        <is>
          <t>Utilisation
%</t>
        </is>
      </c>
      <c r="J4" s="12" t="inlineStr">
        <is>
          <t>UC Due
Date</t>
        </is>
      </c>
    </row>
    <row r="5" ht="22" customHeight="1">
      <c r="B5" s="13" t="inlineStr">
        <is>
          <t>GRT/2024/01</t>
        </is>
      </c>
      <c r="C5" s="14" t="inlineStr"/>
      <c r="D5" s="15" t="inlineStr">
        <is>
          <t>UGC Grant</t>
        </is>
      </c>
      <c r="E5" s="15" t="inlineStr"/>
      <c r="F5" s="15" t="inlineStr"/>
      <c r="G5" s="15" t="inlineStr"/>
      <c r="H5" s="15">
        <f>IFERROR(F5-G5,"")</f>
        <v/>
      </c>
      <c r="I5" s="26">
        <f>IFERROR(ROUND(G5/F5*100,1),"")</f>
        <v/>
      </c>
      <c r="J5" s="15" t="inlineStr"/>
    </row>
    <row r="6" ht="22" customHeight="1">
      <c r="B6" s="4" t="inlineStr">
        <is>
          <t>GRT/2024/02</t>
        </is>
      </c>
      <c r="C6" s="5" t="inlineStr"/>
      <c r="D6" s="6" t="inlineStr">
        <is>
          <t>AICTE MODROB</t>
        </is>
      </c>
      <c r="E6" s="6" t="inlineStr"/>
      <c r="F6" s="6" t="inlineStr"/>
      <c r="G6" s="6" t="inlineStr"/>
      <c r="H6" s="6">
        <f>IFERROR(F6-G6,"")</f>
        <v/>
      </c>
      <c r="I6" s="36">
        <f>IFERROR(ROUND(G6/F6*100,1),"")</f>
        <v/>
      </c>
      <c r="J6" s="6" t="inlineStr"/>
    </row>
    <row r="7" ht="22" customHeight="1">
      <c r="B7" s="13" t="inlineStr">
        <is>
          <t>GRT/2024/03</t>
        </is>
      </c>
      <c r="C7" s="14" t="inlineStr"/>
      <c r="D7" s="15" t="inlineStr">
        <is>
          <t>AICTE Research</t>
        </is>
      </c>
      <c r="E7" s="15" t="inlineStr"/>
      <c r="F7" s="15" t="inlineStr"/>
      <c r="G7" s="15" t="inlineStr"/>
      <c r="H7" s="15">
        <f>IFERROR(F7-G7,"")</f>
        <v/>
      </c>
      <c r="I7" s="26">
        <f>IFERROR(ROUND(G7/F7*100,1),"")</f>
        <v/>
      </c>
      <c r="J7" s="15" t="inlineStr"/>
    </row>
    <row r="8" ht="22" customHeight="1">
      <c r="B8" s="4" t="inlineStr">
        <is>
          <t>GRT/2024/04</t>
        </is>
      </c>
      <c r="C8" s="5" t="inlineStr"/>
      <c r="D8" s="6" t="inlineStr">
        <is>
          <t>State Govt. Grant</t>
        </is>
      </c>
      <c r="E8" s="6" t="inlineStr"/>
      <c r="F8" s="6" t="inlineStr"/>
      <c r="G8" s="6" t="inlineStr"/>
      <c r="H8" s="6">
        <f>IFERROR(F8-G8,"")</f>
        <v/>
      </c>
      <c r="I8" s="36">
        <f>IFERROR(ROUND(G8/F8*100,1),"")</f>
        <v/>
      </c>
      <c r="J8" s="6" t="inlineStr"/>
    </row>
    <row r="9" ht="22" customHeight="1">
      <c r="B9" s="13" t="inlineStr">
        <is>
          <t>GRT/2024/05</t>
        </is>
      </c>
      <c r="C9" s="14" t="inlineStr"/>
      <c r="D9" s="15" t="inlineStr">
        <is>
          <t>RUSA</t>
        </is>
      </c>
      <c r="E9" s="15" t="inlineStr"/>
      <c r="F9" s="15" t="inlineStr"/>
      <c r="G9" s="15" t="inlineStr"/>
      <c r="H9" s="15">
        <f>IFERROR(F9-G9,"")</f>
        <v/>
      </c>
      <c r="I9" s="26">
        <f>IFERROR(ROUND(G9/F9*100,1),"")</f>
        <v/>
      </c>
      <c r="J9" s="15" t="inlineStr"/>
    </row>
    <row r="10" ht="22" customHeight="1">
      <c r="B10" s="4" t="inlineStr">
        <is>
          <t>GRT/2024/06</t>
        </is>
      </c>
      <c r="C10" s="5" t="inlineStr"/>
      <c r="D10" s="6" t="inlineStr">
        <is>
          <t>DST-SERB</t>
        </is>
      </c>
      <c r="E10" s="6" t="inlineStr"/>
      <c r="F10" s="6" t="inlineStr"/>
      <c r="G10" s="6" t="inlineStr"/>
      <c r="H10" s="6">
        <f>IFERROR(F10-G10,"")</f>
        <v/>
      </c>
      <c r="I10" s="36">
        <f>IFERROR(ROUND(G10/F10*100,1),"")</f>
        <v/>
      </c>
      <c r="J10" s="6" t="inlineStr"/>
    </row>
    <row r="11" ht="22" customHeight="1">
      <c r="B11" s="13" t="inlineStr">
        <is>
          <t>GRT/2024/07</t>
        </is>
      </c>
      <c r="C11" s="14" t="inlineStr"/>
      <c r="D11" s="15" t="inlineStr">
        <is>
          <t>DBT</t>
        </is>
      </c>
      <c r="E11" s="15" t="inlineStr"/>
      <c r="F11" s="15" t="inlineStr"/>
      <c r="G11" s="15" t="inlineStr"/>
      <c r="H11" s="15">
        <f>IFERROR(F11-G11,"")</f>
        <v/>
      </c>
      <c r="I11" s="26">
        <f>IFERROR(ROUND(G11/F11*100,1),"")</f>
        <v/>
      </c>
      <c r="J11" s="15" t="inlineStr"/>
    </row>
    <row r="12" ht="22" customHeight="1">
      <c r="B12" s="4" t="inlineStr">
        <is>
          <t>GRT/2024/08</t>
        </is>
      </c>
      <c r="C12" s="5" t="inlineStr"/>
      <c r="D12" s="6" t="inlineStr">
        <is>
          <t>CSIR</t>
        </is>
      </c>
      <c r="E12" s="6" t="inlineStr"/>
      <c r="F12" s="6" t="inlineStr"/>
      <c r="G12" s="6" t="inlineStr"/>
      <c r="H12" s="6">
        <f>IFERROR(F12-G12,"")</f>
        <v/>
      </c>
      <c r="I12" s="36">
        <f>IFERROR(ROUND(G12/F12*100,1),"")</f>
        <v/>
      </c>
      <c r="J12" s="6" t="inlineStr"/>
    </row>
    <row r="13" ht="22" customHeight="1">
      <c r="B13" s="13" t="inlineStr">
        <is>
          <t>GRT/2025/09</t>
        </is>
      </c>
      <c r="C13" s="14" t="inlineStr"/>
      <c r="D13" s="15" t="inlineStr">
        <is>
          <t>Industry Sponsored</t>
        </is>
      </c>
      <c r="E13" s="15" t="inlineStr"/>
      <c r="F13" s="15" t="inlineStr"/>
      <c r="G13" s="15" t="inlineStr"/>
      <c r="H13" s="15">
        <f>IFERROR(F13-G13,"")</f>
        <v/>
      </c>
      <c r="I13" s="26">
        <f>IFERROR(ROUND(G13/F13*100,1),"")</f>
        <v/>
      </c>
      <c r="J13" s="15" t="inlineStr"/>
    </row>
    <row r="14" ht="22" customHeight="1">
      <c r="B14" s="4" t="inlineStr">
        <is>
          <t>GRT/2025/10</t>
        </is>
      </c>
      <c r="C14" s="5" t="inlineStr"/>
      <c r="D14" s="6" t="inlineStr">
        <is>
          <t>CSR Fund</t>
        </is>
      </c>
      <c r="E14" s="6" t="inlineStr"/>
      <c r="F14" s="6" t="inlineStr"/>
      <c r="G14" s="6" t="inlineStr"/>
      <c r="H14" s="6">
        <f>IFERROR(F14-G14,"")</f>
        <v/>
      </c>
      <c r="I14" s="36">
        <f>IFERROR(ROUND(G14/F14*100,1),"")</f>
        <v/>
      </c>
      <c r="J14" s="6" t="inlineStr"/>
    </row>
    <row r="15" ht="22" customHeight="1">
      <c r="B15" s="13" t="inlineStr">
        <is>
          <t>GRT/2025/11</t>
        </is>
      </c>
      <c r="C15" s="14" t="inlineStr"/>
      <c r="D15" s="15" t="inlineStr">
        <is>
          <t>Research Park Grant</t>
        </is>
      </c>
      <c r="E15" s="15" t="inlineStr"/>
      <c r="F15" s="15" t="inlineStr"/>
      <c r="G15" s="15" t="inlineStr"/>
      <c r="H15" s="15">
        <f>IFERROR(F15-G15,"")</f>
        <v/>
      </c>
      <c r="I15" s="26">
        <f>IFERROR(ROUND(G15/F15*100,1),"")</f>
        <v/>
      </c>
      <c r="J15" s="15" t="inlineStr"/>
    </row>
    <row r="16" ht="22" customHeight="1">
      <c r="B16" s="4" t="inlineStr">
        <is>
          <t>GRT/2025/12</t>
        </is>
      </c>
      <c r="C16" s="5" t="inlineStr"/>
      <c r="D16" s="6" t="inlineStr">
        <is>
          <t>Endowment Utilisation</t>
        </is>
      </c>
      <c r="E16" s="6" t="inlineStr"/>
      <c r="F16" s="6" t="inlineStr"/>
      <c r="G16" s="6" t="inlineStr"/>
      <c r="H16" s="6">
        <f>IFERROR(F16-G16,"")</f>
        <v/>
      </c>
      <c r="I16" s="36">
        <f>IFERROR(ROUND(G16/F16*100,1),"")</f>
        <v/>
      </c>
      <c r="J16" s="6" t="inlineStr"/>
    </row>
    <row r="17" ht="22" customHeight="1">
      <c r="B17" s="13" t="inlineStr">
        <is>
          <t>GRT/2025/13</t>
        </is>
      </c>
      <c r="C17" s="14" t="inlineStr"/>
      <c r="D17" s="15" t="inlineStr">
        <is>
          <t>International Grant</t>
        </is>
      </c>
      <c r="E17" s="15" t="inlineStr"/>
      <c r="F17" s="15" t="inlineStr"/>
      <c r="G17" s="15" t="inlineStr"/>
      <c r="H17" s="15">
        <f>IFERROR(F17-G17,"")</f>
        <v/>
      </c>
      <c r="I17" s="26">
        <f>IFERROR(ROUND(G17/F17*100,1),"")</f>
        <v/>
      </c>
      <c r="J17" s="15" t="inlineStr"/>
    </row>
    <row r="18" ht="22" customHeight="1">
      <c r="B18" s="4" t="inlineStr">
        <is>
          <t>GRT/2025/14</t>
        </is>
      </c>
      <c r="C18" s="5" t="inlineStr"/>
      <c r="D18" s="6" t="inlineStr">
        <is>
          <t>Other</t>
        </is>
      </c>
      <c r="E18" s="6" t="inlineStr"/>
      <c r="F18" s="6" t="inlineStr"/>
      <c r="G18" s="6" t="inlineStr"/>
      <c r="H18" s="6">
        <f>IFERROR(F18-G18,"")</f>
        <v/>
      </c>
      <c r="I18" s="36">
        <f>IFERROR(ROUND(G18/F18*100,1),"")</f>
        <v/>
      </c>
      <c r="J18" s="6" t="inlineStr"/>
    </row>
    <row r="19" ht="22" customHeight="1">
      <c r="B19" s="13" t="inlineStr">
        <is>
          <t>GRT/2025/15</t>
        </is>
      </c>
      <c r="C19" s="14" t="inlineStr"/>
      <c r="D19" s="15" t="inlineStr">
        <is>
          <t>UGC Grant</t>
        </is>
      </c>
      <c r="E19" s="15" t="inlineStr"/>
      <c r="F19" s="15" t="inlineStr"/>
      <c r="G19" s="15" t="inlineStr"/>
      <c r="H19" s="15">
        <f>IFERROR(F19-G19,"")</f>
        <v/>
      </c>
      <c r="I19" s="26">
        <f>IFERROR(ROUND(G19/F19*100,1),"")</f>
        <v/>
      </c>
      <c r="J19" s="15" t="inlineStr"/>
    </row>
    <row r="20" ht="22" customHeight="1">
      <c r="B20" s="4" t="inlineStr">
        <is>
          <t>GRT/2025/16</t>
        </is>
      </c>
      <c r="C20" s="5" t="inlineStr"/>
      <c r="D20" s="6" t="inlineStr">
        <is>
          <t>AICTE MODROB</t>
        </is>
      </c>
      <c r="E20" s="6" t="inlineStr"/>
      <c r="F20" s="6" t="inlineStr"/>
      <c r="G20" s="6" t="inlineStr"/>
      <c r="H20" s="6">
        <f>IFERROR(F20-G20,"")</f>
        <v/>
      </c>
      <c r="I20" s="36">
        <f>IFERROR(ROUND(G20/F20*100,1),"")</f>
        <v/>
      </c>
      <c r="J20" s="6" t="inlineStr"/>
    </row>
    <row r="21" ht="22" customHeight="1"/>
    <row r="22" ht="22" customHeight="1">
      <c r="B22" s="65" t="inlineStr">
        <is>
          <t>TOTAL</t>
        </is>
      </c>
      <c r="E22" s="41">
        <f>IFERROR(SUM(E5:E21),"")</f>
        <v/>
      </c>
      <c r="F22" s="41">
        <f>IFERROR(SUM(F5:F21),"")</f>
        <v/>
      </c>
      <c r="G22" s="41">
        <f>IFERROR(SUM(G5:G21),"")</f>
        <v/>
      </c>
      <c r="H22" s="41">
        <f>IFERROR(SUM(H5:H21),"")</f>
        <v/>
      </c>
      <c r="I22" s="41">
        <f>IFERROR(ROUND(G22/F22*100,1),"")</f>
        <v/>
      </c>
    </row>
    <row r="23" ht="22" customHeight="1"/>
    <row r="24" ht="22" customHeight="1">
      <c r="B24" s="34" t="inlineStr">
        <is>
          <t>UTILISATION CERTIFICATE (UC) SUBMISSION TRACKING</t>
        </is>
      </c>
    </row>
    <row r="25" ht="22" customHeight="1">
      <c r="B25" s="30" t="inlineStr">
        <is>
          <t>Grant Ref.</t>
        </is>
      </c>
      <c r="C25" s="30" t="inlineStr">
        <is>
          <t>UC Period / Instalment</t>
        </is>
      </c>
      <c r="D25" s="30" t="inlineStr">
        <is>
          <t>Amount (₹L)</t>
        </is>
      </c>
      <c r="E25" s="30" t="inlineStr">
        <is>
          <t>UC Submitted Date</t>
        </is>
      </c>
      <c r="F25" s="30" t="inlineStr">
        <is>
          <t>Acknowledged by Agency</t>
        </is>
      </c>
      <c r="G25" s="30" t="inlineStr">
        <is>
          <t>Acknowledgement Ref.</t>
        </is>
      </c>
      <c r="H25" s="30" t="inlineStr">
        <is>
          <t>Next UC Due</t>
        </is>
      </c>
      <c r="I25" s="30" t="inlineStr">
        <is>
          <t>Status</t>
        </is>
      </c>
      <c r="J25" s="30" t="inlineStr">
        <is>
          <t>Remarks</t>
        </is>
      </c>
    </row>
    <row r="26" ht="22" customHeight="1"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</row>
    <row r="27" ht="22" customHeight="1"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22" customHeight="1"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</row>
    <row r="29" ht="22" customHeight="1"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22" customHeight="1"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  <row r="31" ht="22" customHeight="1"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22" customHeight="1"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 ht="22" customHeight="1"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22" customHeight="1"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</row>
    <row r="35" ht="22" customHeight="1"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22" customHeight="1"/>
    <row r="37" ht="22" customHeight="1"/>
    <row r="38" ht="22" customHeight="1"/>
    <row r="39" ht="22" customHeight="1"/>
  </sheetData>
  <mergeCells count="4">
    <mergeCell ref="B22:D22"/>
    <mergeCell ref="B3:J3"/>
    <mergeCell ref="B24:J24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FC-11: PROCUREMENT &amp; EXPENDITURE SANCTION REGISTER</t>
        </is>
      </c>
    </row>
    <row r="3" ht="25" customHeight="1">
      <c r="B3" s="2" t="inlineStr">
        <is>
          <t>FC Meeting No.: _______  Date: _______  FY: _______  Finance Officer: ___________________</t>
        </is>
      </c>
    </row>
    <row r="4" ht="22" customHeight="1">
      <c r="B4" s="18" t="inlineStr">
        <is>
          <t>PROCUREMENT PROPOSALS PLACED BEFORE FC</t>
        </is>
      </c>
    </row>
    <row r="5" ht="22" customHeight="1">
      <c r="B5" s="19" t="inlineStr">
        <is>
          <t>Prop.
Ref.</t>
        </is>
      </c>
      <c r="C5" s="19" t="inlineStr">
        <is>
          <t>Item / Project Description</t>
        </is>
      </c>
      <c r="D5" s="19" t="inlineStr">
        <is>
          <t>Dept. /
User</t>
        </is>
      </c>
      <c r="E5" s="19" t="inlineStr">
        <is>
          <t>Est. Cost
(₹L)</t>
        </is>
      </c>
      <c r="F5" s="19" t="inlineStr">
        <is>
          <t>Budget
Provision</t>
        </is>
      </c>
      <c r="G5" s="19" t="inlineStr">
        <is>
          <t>Procurement
Mode</t>
        </is>
      </c>
      <c r="H5" s="19" t="inlineStr">
        <is>
          <t>FC Decision</t>
        </is>
      </c>
      <c r="I5" s="19" t="inlineStr">
        <is>
          <t>Sanction Amt.
(₹L)</t>
        </is>
      </c>
    </row>
    <row r="6" ht="22" customHeight="1">
      <c r="B6" s="66" t="inlineStr">
        <is>
          <t>PROC/001</t>
        </is>
      </c>
      <c r="C6" s="48" t="inlineStr"/>
      <c r="D6" s="55" t="inlineStr"/>
      <c r="E6" s="55" t="inlineStr"/>
      <c r="F6" s="55" t="inlineStr">
        <is>
          <t>Available</t>
        </is>
      </c>
      <c r="G6" s="55" t="inlineStr">
        <is>
          <t>Open Tender (NCB)</t>
        </is>
      </c>
      <c r="H6" s="55" t="inlineStr">
        <is>
          <t>Approved</t>
        </is>
      </c>
      <c r="I6" s="55" t="inlineStr"/>
    </row>
    <row r="7" ht="22" customHeight="1">
      <c r="B7" s="4" t="inlineStr">
        <is>
          <t>PROC/002</t>
        </is>
      </c>
      <c r="C7" s="5" t="inlineStr"/>
      <c r="D7" s="6" t="inlineStr"/>
      <c r="E7" s="6" t="inlineStr"/>
      <c r="F7" s="6" t="inlineStr">
        <is>
          <t>Available</t>
        </is>
      </c>
      <c r="G7" s="6" t="inlineStr">
        <is>
          <t>Limited Tender</t>
        </is>
      </c>
      <c r="H7" s="6" t="inlineStr">
        <is>
          <t>Approved — Modified</t>
        </is>
      </c>
      <c r="I7" s="6" t="inlineStr"/>
    </row>
    <row r="8" ht="22" customHeight="1">
      <c r="B8" s="66" t="inlineStr">
        <is>
          <t>PROC/003</t>
        </is>
      </c>
      <c r="C8" s="48" t="inlineStr"/>
      <c r="D8" s="55" t="inlineStr"/>
      <c r="E8" s="55" t="inlineStr"/>
      <c r="F8" s="55" t="inlineStr">
        <is>
          <t>Available</t>
        </is>
      </c>
      <c r="G8" s="55" t="inlineStr">
        <is>
          <t>Single Source</t>
        </is>
      </c>
      <c r="H8" s="55" t="inlineStr">
        <is>
          <t>Deferred</t>
        </is>
      </c>
      <c r="I8" s="55" t="inlineStr"/>
    </row>
    <row r="9" ht="22" customHeight="1">
      <c r="B9" s="4" t="inlineStr">
        <is>
          <t>PROC/004</t>
        </is>
      </c>
      <c r="C9" s="5" t="inlineStr"/>
      <c r="D9" s="6" t="inlineStr"/>
      <c r="E9" s="6" t="inlineStr"/>
      <c r="F9" s="6" t="inlineStr">
        <is>
          <t>Available</t>
        </is>
      </c>
      <c r="G9" s="6" t="inlineStr">
        <is>
          <t>Rate Contract</t>
        </is>
      </c>
      <c r="H9" s="6" t="inlineStr">
        <is>
          <t>Rejected</t>
        </is>
      </c>
      <c r="I9" s="6" t="inlineStr"/>
    </row>
    <row r="10" ht="22" customHeight="1">
      <c r="B10" s="66" t="inlineStr">
        <is>
          <t>PROC/005</t>
        </is>
      </c>
      <c r="C10" s="48" t="inlineStr"/>
      <c r="D10" s="55" t="inlineStr"/>
      <c r="E10" s="55" t="inlineStr"/>
      <c r="F10" s="55" t="inlineStr">
        <is>
          <t>Available</t>
        </is>
      </c>
      <c r="G10" s="55" t="inlineStr">
        <is>
          <t>Direct Purchase</t>
        </is>
      </c>
      <c r="H10" s="55" t="inlineStr">
        <is>
          <t>Referred</t>
        </is>
      </c>
      <c r="I10" s="55" t="inlineStr"/>
    </row>
    <row r="11" ht="22" customHeight="1">
      <c r="B11" s="4" t="inlineStr">
        <is>
          <t>PROC/006</t>
        </is>
      </c>
      <c r="C11" s="5" t="inlineStr"/>
      <c r="D11" s="6" t="inlineStr"/>
      <c r="E11" s="6" t="inlineStr"/>
      <c r="F11" s="6" t="inlineStr">
        <is>
          <t>Available</t>
        </is>
      </c>
      <c r="G11" s="6" t="inlineStr">
        <is>
          <t>GeM Portal</t>
        </is>
      </c>
      <c r="H11" s="6" t="inlineStr">
        <is>
          <t>Approved</t>
        </is>
      </c>
      <c r="I11" s="6" t="inlineStr"/>
    </row>
    <row r="12" ht="22" customHeight="1">
      <c r="B12" s="66" t="inlineStr">
        <is>
          <t>PROC/007</t>
        </is>
      </c>
      <c r="C12" s="48" t="inlineStr"/>
      <c r="D12" s="55" t="inlineStr"/>
      <c r="E12" s="55" t="inlineStr"/>
      <c r="F12" s="55" t="inlineStr">
        <is>
          <t>Available</t>
        </is>
      </c>
      <c r="G12" s="55" t="inlineStr">
        <is>
          <t>DGS&amp;D Rate Contract</t>
        </is>
      </c>
      <c r="H12" s="55" t="inlineStr">
        <is>
          <t>Approved — Modified</t>
        </is>
      </c>
      <c r="I12" s="55" t="inlineStr"/>
    </row>
    <row r="13" ht="22" customHeight="1">
      <c r="B13" s="4" t="inlineStr">
        <is>
          <t>PROC/008</t>
        </is>
      </c>
      <c r="C13" s="5" t="inlineStr"/>
      <c r="D13" s="6" t="inlineStr"/>
      <c r="E13" s="6" t="inlineStr"/>
      <c r="F13" s="6" t="inlineStr">
        <is>
          <t>Available</t>
        </is>
      </c>
      <c r="G13" s="6" t="inlineStr">
        <is>
          <t>Quotation</t>
        </is>
      </c>
      <c r="H13" s="6" t="inlineStr">
        <is>
          <t>Deferred</t>
        </is>
      </c>
      <c r="I13" s="6" t="inlineStr"/>
    </row>
    <row r="14" ht="22" customHeight="1">
      <c r="B14" s="66" t="inlineStr">
        <is>
          <t>PROC/009</t>
        </is>
      </c>
      <c r="C14" s="48" t="inlineStr"/>
      <c r="D14" s="55" t="inlineStr"/>
      <c r="E14" s="55" t="inlineStr"/>
      <c r="F14" s="55" t="inlineStr">
        <is>
          <t>Available</t>
        </is>
      </c>
      <c r="G14" s="55" t="inlineStr">
        <is>
          <t>Open Tender (NCB)</t>
        </is>
      </c>
      <c r="H14" s="55" t="inlineStr">
        <is>
          <t>Rejected</t>
        </is>
      </c>
      <c r="I14" s="55" t="inlineStr"/>
    </row>
    <row r="15" ht="22" customHeight="1">
      <c r="B15" s="4" t="inlineStr">
        <is>
          <t>PROC/010</t>
        </is>
      </c>
      <c r="C15" s="5" t="inlineStr"/>
      <c r="D15" s="6" t="inlineStr"/>
      <c r="E15" s="6" t="inlineStr"/>
      <c r="F15" s="6" t="inlineStr">
        <is>
          <t>Available</t>
        </is>
      </c>
      <c r="G15" s="6" t="inlineStr">
        <is>
          <t>Limited Tender</t>
        </is>
      </c>
      <c r="H15" s="6" t="inlineStr">
        <is>
          <t>Referred</t>
        </is>
      </c>
      <c r="I15" s="6" t="inlineStr"/>
    </row>
    <row r="16" ht="22" customHeight="1">
      <c r="B16" s="66" t="inlineStr">
        <is>
          <t>PROC/011</t>
        </is>
      </c>
      <c r="C16" s="48" t="inlineStr"/>
      <c r="D16" s="55" t="inlineStr"/>
      <c r="E16" s="55" t="inlineStr"/>
      <c r="F16" s="55" t="inlineStr">
        <is>
          <t>Available</t>
        </is>
      </c>
      <c r="G16" s="55" t="inlineStr">
        <is>
          <t>Single Source</t>
        </is>
      </c>
      <c r="H16" s="55" t="inlineStr">
        <is>
          <t>Approved</t>
        </is>
      </c>
      <c r="I16" s="55" t="inlineStr"/>
    </row>
    <row r="17" ht="22" customHeight="1">
      <c r="B17" s="4" t="inlineStr">
        <is>
          <t>PROC/012</t>
        </is>
      </c>
      <c r="C17" s="5" t="inlineStr"/>
      <c r="D17" s="6" t="inlineStr"/>
      <c r="E17" s="6" t="inlineStr"/>
      <c r="F17" s="6" t="inlineStr">
        <is>
          <t>Available</t>
        </is>
      </c>
      <c r="G17" s="6" t="inlineStr">
        <is>
          <t>Rate Contract</t>
        </is>
      </c>
      <c r="H17" s="6" t="inlineStr">
        <is>
          <t>Approved — Modified</t>
        </is>
      </c>
      <c r="I17" s="6" t="inlineStr"/>
    </row>
    <row r="18" ht="22" customHeight="1">
      <c r="B18" s="66" t="inlineStr">
        <is>
          <t>PROC/013</t>
        </is>
      </c>
      <c r="C18" s="48" t="inlineStr"/>
      <c r="D18" s="55" t="inlineStr"/>
      <c r="E18" s="55" t="inlineStr"/>
      <c r="F18" s="55" t="inlineStr">
        <is>
          <t>Available</t>
        </is>
      </c>
      <c r="G18" s="55" t="inlineStr">
        <is>
          <t>Direct Purchase</t>
        </is>
      </c>
      <c r="H18" s="55" t="inlineStr">
        <is>
          <t>Deferred</t>
        </is>
      </c>
      <c r="I18" s="55" t="inlineStr"/>
    </row>
    <row r="19" ht="22" customHeight="1">
      <c r="B19" s="4" t="inlineStr">
        <is>
          <t>PROC/014</t>
        </is>
      </c>
      <c r="C19" s="5" t="inlineStr"/>
      <c r="D19" s="6" t="inlineStr"/>
      <c r="E19" s="6" t="inlineStr"/>
      <c r="F19" s="6" t="inlineStr">
        <is>
          <t>Available</t>
        </is>
      </c>
      <c r="G19" s="6" t="inlineStr">
        <is>
          <t>GeM Portal</t>
        </is>
      </c>
      <c r="H19" s="6" t="inlineStr">
        <is>
          <t>Rejected</t>
        </is>
      </c>
      <c r="I19" s="6" t="inlineStr"/>
    </row>
    <row r="20" ht="22" customHeight="1">
      <c r="B20" s="66" t="inlineStr">
        <is>
          <t>PROC/015</t>
        </is>
      </c>
      <c r="C20" s="48" t="inlineStr"/>
      <c r="D20" s="55" t="inlineStr"/>
      <c r="E20" s="55" t="inlineStr"/>
      <c r="F20" s="55" t="inlineStr">
        <is>
          <t>Available</t>
        </is>
      </c>
      <c r="G20" s="55" t="inlineStr">
        <is>
          <t>DGS&amp;D Rate Contract</t>
        </is>
      </c>
      <c r="H20" s="55" t="inlineStr">
        <is>
          <t>Referred</t>
        </is>
      </c>
      <c r="I20" s="55" t="inlineStr"/>
    </row>
    <row r="21" ht="22" customHeight="1">
      <c r="B21" s="4" t="inlineStr">
        <is>
          <t>PROC/016</t>
        </is>
      </c>
      <c r="C21" s="5" t="inlineStr"/>
      <c r="D21" s="6" t="inlineStr"/>
      <c r="E21" s="6" t="inlineStr"/>
      <c r="F21" s="6" t="inlineStr">
        <is>
          <t>Available</t>
        </is>
      </c>
      <c r="G21" s="6" t="inlineStr">
        <is>
          <t>Quotation</t>
        </is>
      </c>
      <c r="H21" s="6" t="inlineStr">
        <is>
          <t>Approved</t>
        </is>
      </c>
      <c r="I21" s="6" t="inlineStr"/>
    </row>
    <row r="22" ht="22" customHeight="1">
      <c r="B22" s="66" t="inlineStr">
        <is>
          <t>PROC/017</t>
        </is>
      </c>
      <c r="C22" s="48" t="inlineStr"/>
      <c r="D22" s="55" t="inlineStr"/>
      <c r="E22" s="55" t="inlineStr"/>
      <c r="F22" s="55" t="inlineStr">
        <is>
          <t>Available</t>
        </is>
      </c>
      <c r="G22" s="55" t="inlineStr">
        <is>
          <t>Open Tender (NCB)</t>
        </is>
      </c>
      <c r="H22" s="55" t="inlineStr">
        <is>
          <t>Approved — Modified</t>
        </is>
      </c>
      <c r="I22" s="55" t="inlineStr"/>
    </row>
    <row r="23" ht="22" customHeight="1">
      <c r="B23" s="4" t="inlineStr">
        <is>
          <t>PROC/018</t>
        </is>
      </c>
      <c r="C23" s="5" t="inlineStr"/>
      <c r="D23" s="6" t="inlineStr"/>
      <c r="E23" s="6" t="inlineStr"/>
      <c r="F23" s="6" t="inlineStr">
        <is>
          <t>Available</t>
        </is>
      </c>
      <c r="G23" s="6" t="inlineStr">
        <is>
          <t>Limited Tender</t>
        </is>
      </c>
      <c r="H23" s="6" t="inlineStr">
        <is>
          <t>Deferred</t>
        </is>
      </c>
      <c r="I23" s="6" t="inlineStr"/>
    </row>
    <row r="24" ht="22" customHeight="1"/>
    <row r="25" ht="22" customHeight="1">
      <c r="B25" s="37" t="inlineStr">
        <is>
          <t>FINANCIAL DELEGATION MATRIX (Reference)</t>
        </is>
      </c>
    </row>
    <row r="26" ht="22" customHeight="1">
      <c r="B26" s="12" t="inlineStr">
        <is>
          <t>Amount Range (₹)</t>
        </is>
      </c>
      <c r="C26" s="12" t="inlineStr">
        <is>
          <t>Approving Authority</t>
        </is>
      </c>
      <c r="D26" s="12" t="inlineStr">
        <is>
          <t>Mode Required</t>
        </is>
      </c>
      <c r="E26" s="12" t="inlineStr">
        <is>
          <t>FC Approval
Required?</t>
        </is>
      </c>
      <c r="F26" s="12" t="inlineStr">
        <is>
          <t>EC Ratification?</t>
        </is>
      </c>
      <c r="G26" s="12" t="inlineStr">
        <is>
          <t>Tender Committee?</t>
        </is>
      </c>
      <c r="H26" s="12" t="inlineStr">
        <is>
          <t>No. of
Quotations</t>
        </is>
      </c>
      <c r="I26" s="12" t="inlineStr">
        <is>
          <t>Remarks</t>
        </is>
      </c>
    </row>
    <row r="27" ht="22" customHeight="1">
      <c r="B27" s="15" t="inlineStr">
        <is>
          <t>Up to ₹ 10,000</t>
        </is>
      </c>
      <c r="C27" s="14" t="inlineStr">
        <is>
          <t>Department HOD</t>
        </is>
      </c>
      <c r="D27" s="15" t="inlineStr">
        <is>
          <t>Direct Purchase</t>
        </is>
      </c>
      <c r="E27" s="15" t="inlineStr">
        <is>
          <t>No</t>
        </is>
      </c>
      <c r="F27" s="15" t="inlineStr">
        <is>
          <t>No</t>
        </is>
      </c>
      <c r="G27" s="15" t="inlineStr">
        <is>
          <t>No</t>
        </is>
      </c>
      <c r="H27" s="15" t="inlineStr">
        <is>
          <t>1</t>
        </is>
      </c>
      <c r="I27" s="14" t="inlineStr">
        <is>
          <t>Petty cash</t>
        </is>
      </c>
    </row>
    <row r="28" ht="22" customHeight="1">
      <c r="B28" s="6" t="inlineStr">
        <is>
          <t>₹ 10,001 – ₹ 50,000</t>
        </is>
      </c>
      <c r="C28" s="5" t="inlineStr">
        <is>
          <t>Principal / Director</t>
        </is>
      </c>
      <c r="D28" s="6" t="inlineStr">
        <is>
          <t>Quotation</t>
        </is>
      </c>
      <c r="E28" s="6" t="inlineStr">
        <is>
          <t>No</t>
        </is>
      </c>
      <c r="F28" s="6" t="inlineStr">
        <is>
          <t>No</t>
        </is>
      </c>
      <c r="G28" s="6" t="inlineStr">
        <is>
          <t>No</t>
        </is>
      </c>
      <c r="H28" s="6" t="inlineStr">
        <is>
          <t>3</t>
        </is>
      </c>
      <c r="I28" s="5" t="inlineStr">
        <is>
          <t>Local purchase</t>
        </is>
      </c>
    </row>
    <row r="29" ht="22" customHeight="1">
      <c r="B29" s="15" t="inlineStr">
        <is>
          <t>₹ 50,001 – ₹ 2,00,000</t>
        </is>
      </c>
      <c r="C29" s="14" t="inlineStr">
        <is>
          <t>Finance Officer</t>
        </is>
      </c>
      <c r="D29" s="15" t="inlineStr">
        <is>
          <t>Limited Tender</t>
        </is>
      </c>
      <c r="E29" s="15" t="inlineStr">
        <is>
          <t>No</t>
        </is>
      </c>
      <c r="F29" s="15" t="inlineStr">
        <is>
          <t>No</t>
        </is>
      </c>
      <c r="G29" s="15" t="inlineStr">
        <is>
          <t>No</t>
        </is>
      </c>
      <c r="H29" s="15" t="inlineStr">
        <is>
          <t>3</t>
        </is>
      </c>
      <c r="I29" s="14" t="inlineStr">
        <is>
          <t>Purchase committee</t>
        </is>
      </c>
    </row>
    <row r="30" ht="22" customHeight="1">
      <c r="B30" s="6" t="inlineStr">
        <is>
          <t>₹ 2,00,001 – ₹ 10,00,000</t>
        </is>
      </c>
      <c r="C30" s="5" t="inlineStr">
        <is>
          <t>Finance Committee</t>
        </is>
      </c>
      <c r="D30" s="6" t="inlineStr">
        <is>
          <t>Limited Tender</t>
        </is>
      </c>
      <c r="E30" s="6" t="inlineStr">
        <is>
          <t>Yes</t>
        </is>
      </c>
      <c r="F30" s="6" t="inlineStr">
        <is>
          <t>No</t>
        </is>
      </c>
      <c r="G30" s="6" t="inlineStr">
        <is>
          <t>Yes</t>
        </is>
      </c>
      <c r="H30" s="6" t="inlineStr">
        <is>
          <t>5</t>
        </is>
      </c>
      <c r="I30" s="5" t="inlineStr">
        <is>
          <t>FC approval</t>
        </is>
      </c>
    </row>
    <row r="31" ht="22" customHeight="1">
      <c r="B31" s="13" t="inlineStr">
        <is>
          <t>₹ 10,00,001 – ₹ 50,00,000</t>
        </is>
      </c>
      <c r="C31" s="67" t="inlineStr">
        <is>
          <t>EC Approval</t>
        </is>
      </c>
      <c r="D31" s="13" t="inlineStr">
        <is>
          <t>Open Tender</t>
        </is>
      </c>
      <c r="E31" s="13" t="inlineStr">
        <is>
          <t>Yes</t>
        </is>
      </c>
      <c r="F31" s="13" t="inlineStr">
        <is>
          <t>Yes</t>
        </is>
      </c>
      <c r="G31" s="13" t="inlineStr">
        <is>
          <t>Yes</t>
        </is>
      </c>
      <c r="H31" s="13" t="inlineStr">
        <is>
          <t>Open</t>
        </is>
      </c>
      <c r="I31" s="67" t="inlineStr">
        <is>
          <t>EC sanction</t>
        </is>
      </c>
    </row>
    <row r="32" ht="22" customHeight="1">
      <c r="B32" s="4" t="inlineStr">
        <is>
          <t>Above ₹ 50,00,000</t>
        </is>
      </c>
      <c r="C32" s="25" t="inlineStr">
        <is>
          <t>EC + Governing Body</t>
        </is>
      </c>
      <c r="D32" s="4" t="inlineStr">
        <is>
          <t>Open Tender (NCB)</t>
        </is>
      </c>
      <c r="E32" s="4" t="inlineStr">
        <is>
          <t>Yes</t>
        </is>
      </c>
      <c r="F32" s="4" t="inlineStr">
        <is>
          <t>Yes</t>
        </is>
      </c>
      <c r="G32" s="4" t="inlineStr">
        <is>
          <t>Yes</t>
        </is>
      </c>
      <c r="H32" s="4" t="inlineStr">
        <is>
          <t>Open</t>
        </is>
      </c>
      <c r="I32" s="25" t="inlineStr">
        <is>
          <t>Governing body</t>
        </is>
      </c>
    </row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4">
    <mergeCell ref="B25:I25"/>
    <mergeCell ref="B3:I3"/>
    <mergeCell ref="B2:I2"/>
    <mergeCell ref="B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3" customWidth="1" min="9" max="9"/>
  </cols>
  <sheetData>
    <row r="1" ht="10" customHeight="1"/>
    <row r="2" ht="48" customHeight="1">
      <c r="B2" s="11" t="inlineStr">
        <is>
          <t>FC-12: INTERNAL AUDIT REVIEW REGISTER</t>
        </is>
      </c>
    </row>
    <row r="3" ht="25" customHeight="1">
      <c r="B3" s="2" t="inlineStr">
        <is>
          <t>Audit Period: _______  FC Meeting No.: _______  Date: _______  Internal Auditor: ___________________</t>
        </is>
      </c>
    </row>
    <row r="4" ht="25" customHeight="1">
      <c r="B4" s="18" t="inlineStr">
        <is>
          <t>INTERNAL AUDIT FINDINGS &amp; FC REVIEW</t>
        </is>
      </c>
    </row>
    <row r="5" ht="25" customHeight="1">
      <c r="B5" s="19" t="inlineStr">
        <is>
          <t>Audit
Ref.</t>
        </is>
      </c>
      <c r="C5" s="19" t="inlineStr">
        <is>
          <t>Audit Observation / Finding</t>
        </is>
      </c>
      <c r="D5" s="19" t="inlineStr">
        <is>
          <t>Area / Dept.</t>
        </is>
      </c>
      <c r="E5" s="19" t="inlineStr">
        <is>
          <t>Risk
(H/M/L)</t>
        </is>
      </c>
      <c r="F5" s="19" t="inlineStr">
        <is>
          <t>Management Response</t>
        </is>
      </c>
      <c r="G5" s="19" t="inlineStr">
        <is>
          <t>FC Decision / Action</t>
        </is>
      </c>
      <c r="H5" s="19" t="inlineStr">
        <is>
          <t>Status</t>
        </is>
      </c>
    </row>
    <row r="6" ht="25" customHeight="1">
      <c r="B6" s="66" t="inlineStr">
        <is>
          <t>IA/2024/01</t>
        </is>
      </c>
      <c r="C6" s="48" t="inlineStr"/>
      <c r="D6" s="55" t="inlineStr"/>
      <c r="E6" s="68" t="inlineStr">
        <is>
          <t>H</t>
        </is>
      </c>
      <c r="F6" s="48" t="inlineStr"/>
      <c r="G6" s="48" t="inlineStr"/>
      <c r="H6" s="55" t="inlineStr">
        <is>
          <t>Pending</t>
        </is>
      </c>
    </row>
    <row r="7" ht="25" customHeight="1">
      <c r="B7" s="4" t="inlineStr">
        <is>
          <t>IA/2024/02</t>
        </is>
      </c>
      <c r="C7" s="5" t="inlineStr"/>
      <c r="D7" s="6" t="inlineStr"/>
      <c r="E7" s="69" t="inlineStr">
        <is>
          <t>M</t>
        </is>
      </c>
      <c r="F7" s="5" t="inlineStr"/>
      <c r="G7" s="5" t="inlineStr"/>
      <c r="H7" s="6" t="inlineStr">
        <is>
          <t>Pending</t>
        </is>
      </c>
    </row>
    <row r="8" ht="25" customHeight="1">
      <c r="B8" s="66" t="inlineStr">
        <is>
          <t>IA/2024/03</t>
        </is>
      </c>
      <c r="C8" s="48" t="inlineStr"/>
      <c r="D8" s="55" t="inlineStr"/>
      <c r="E8" s="70" t="inlineStr">
        <is>
          <t>L</t>
        </is>
      </c>
      <c r="F8" s="48" t="inlineStr"/>
      <c r="G8" s="48" t="inlineStr"/>
      <c r="H8" s="55" t="inlineStr">
        <is>
          <t>Pending</t>
        </is>
      </c>
    </row>
    <row r="9" ht="25" customHeight="1">
      <c r="B9" s="4" t="inlineStr">
        <is>
          <t>IA/2024/04</t>
        </is>
      </c>
      <c r="C9" s="5" t="inlineStr"/>
      <c r="D9" s="6" t="inlineStr"/>
      <c r="E9" s="71" t="inlineStr">
        <is>
          <t>H</t>
        </is>
      </c>
      <c r="F9" s="5" t="inlineStr"/>
      <c r="G9" s="5" t="inlineStr"/>
      <c r="H9" s="6" t="inlineStr">
        <is>
          <t>Pending</t>
        </is>
      </c>
    </row>
    <row r="10" ht="25" customHeight="1">
      <c r="B10" s="66" t="inlineStr">
        <is>
          <t>IA/2024/05</t>
        </is>
      </c>
      <c r="C10" s="48" t="inlineStr"/>
      <c r="D10" s="55" t="inlineStr"/>
      <c r="E10" s="72" t="inlineStr">
        <is>
          <t>M</t>
        </is>
      </c>
      <c r="F10" s="48" t="inlineStr"/>
      <c r="G10" s="48" t="inlineStr"/>
      <c r="H10" s="55" t="inlineStr">
        <is>
          <t>Pending</t>
        </is>
      </c>
    </row>
    <row r="11" ht="25" customHeight="1">
      <c r="B11" s="4" t="inlineStr">
        <is>
          <t>IA/2024/06</t>
        </is>
      </c>
      <c r="C11" s="5" t="inlineStr"/>
      <c r="D11" s="6" t="inlineStr"/>
      <c r="E11" s="71" t="inlineStr">
        <is>
          <t>H</t>
        </is>
      </c>
      <c r="F11" s="5" t="inlineStr"/>
      <c r="G11" s="5" t="inlineStr"/>
      <c r="H11" s="6" t="inlineStr">
        <is>
          <t>Pending</t>
        </is>
      </c>
    </row>
    <row r="12" ht="25" customHeight="1">
      <c r="B12" s="66" t="inlineStr">
        <is>
          <t>IA/2024/07</t>
        </is>
      </c>
      <c r="C12" s="48" t="inlineStr"/>
      <c r="D12" s="55" t="inlineStr"/>
      <c r="E12" s="72" t="inlineStr">
        <is>
          <t>M</t>
        </is>
      </c>
      <c r="F12" s="48" t="inlineStr"/>
      <c r="G12" s="48" t="inlineStr"/>
      <c r="H12" s="55" t="inlineStr">
        <is>
          <t>Pending</t>
        </is>
      </c>
    </row>
    <row r="13" ht="25" customHeight="1">
      <c r="B13" s="4" t="inlineStr">
        <is>
          <t>IA/2025/08</t>
        </is>
      </c>
      <c r="C13" s="5" t="inlineStr"/>
      <c r="D13" s="6" t="inlineStr"/>
      <c r="E13" s="36" t="inlineStr">
        <is>
          <t>L</t>
        </is>
      </c>
      <c r="F13" s="5" t="inlineStr"/>
      <c r="G13" s="5" t="inlineStr"/>
      <c r="H13" s="6" t="inlineStr">
        <is>
          <t>Pending</t>
        </is>
      </c>
    </row>
    <row r="14" ht="25" customHeight="1">
      <c r="B14" s="66" t="inlineStr">
        <is>
          <t>IA/2025/09</t>
        </is>
      </c>
      <c r="C14" s="48" t="inlineStr"/>
      <c r="D14" s="55" t="inlineStr"/>
      <c r="E14" s="68" t="inlineStr">
        <is>
          <t>H</t>
        </is>
      </c>
      <c r="F14" s="48" t="inlineStr"/>
      <c r="G14" s="48" t="inlineStr"/>
      <c r="H14" s="55" t="inlineStr">
        <is>
          <t>Pending</t>
        </is>
      </c>
    </row>
    <row r="15" ht="25" customHeight="1">
      <c r="B15" s="4" t="inlineStr">
        <is>
          <t>IA/2025/10</t>
        </is>
      </c>
      <c r="C15" s="5" t="inlineStr"/>
      <c r="D15" s="6" t="inlineStr"/>
      <c r="E15" s="69" t="inlineStr">
        <is>
          <t>M</t>
        </is>
      </c>
      <c r="F15" s="5" t="inlineStr"/>
      <c r="G15" s="5" t="inlineStr"/>
      <c r="H15" s="6" t="inlineStr">
        <is>
          <t>Pending</t>
        </is>
      </c>
    </row>
    <row r="16" ht="25" customHeight="1">
      <c r="B16" s="66" t="inlineStr">
        <is>
          <t>IA/2025/11</t>
        </is>
      </c>
      <c r="C16" s="48" t="inlineStr"/>
      <c r="D16" s="55" t="inlineStr"/>
      <c r="E16" s="68" t="inlineStr">
        <is>
          <t>H</t>
        </is>
      </c>
      <c r="F16" s="48" t="inlineStr"/>
      <c r="G16" s="48" t="inlineStr"/>
      <c r="H16" s="55" t="inlineStr">
        <is>
          <t>Pending</t>
        </is>
      </c>
    </row>
    <row r="17" ht="25" customHeight="1">
      <c r="B17" s="4" t="inlineStr">
        <is>
          <t>IA/2025/12</t>
        </is>
      </c>
      <c r="C17" s="5" t="inlineStr"/>
      <c r="D17" s="6" t="inlineStr"/>
      <c r="E17" s="69" t="inlineStr">
        <is>
          <t>M</t>
        </is>
      </c>
      <c r="F17" s="5" t="inlineStr"/>
      <c r="G17" s="5" t="inlineStr"/>
      <c r="H17" s="6" t="inlineStr">
        <is>
          <t>Pending</t>
        </is>
      </c>
    </row>
    <row r="18" ht="25" customHeight="1">
      <c r="B18" s="66" t="inlineStr">
        <is>
          <t>IA/2025/13</t>
        </is>
      </c>
      <c r="C18" s="48" t="inlineStr"/>
      <c r="D18" s="55" t="inlineStr"/>
      <c r="E18" s="70" t="inlineStr">
        <is>
          <t>L</t>
        </is>
      </c>
      <c r="F18" s="48" t="inlineStr"/>
      <c r="G18" s="48" t="inlineStr"/>
      <c r="H18" s="55" t="inlineStr">
        <is>
          <t>Pending</t>
        </is>
      </c>
    </row>
    <row r="19" ht="25" customHeight="1">
      <c r="B19" s="4" t="inlineStr">
        <is>
          <t>IA/2025/14</t>
        </is>
      </c>
      <c r="C19" s="5" t="inlineStr"/>
      <c r="D19" s="6" t="inlineStr"/>
      <c r="E19" s="71" t="inlineStr">
        <is>
          <t>H</t>
        </is>
      </c>
      <c r="F19" s="5" t="inlineStr"/>
      <c r="G19" s="5" t="inlineStr"/>
      <c r="H19" s="6" t="inlineStr">
        <is>
          <t>Pending</t>
        </is>
      </c>
    </row>
    <row r="20" ht="25" customHeight="1"/>
    <row r="21" ht="25" customHeight="1">
      <c r="B21" s="34" t="inlineStr">
        <is>
          <t>STATUTORY / EXTERNAL AUDIT OBSERVATIONS</t>
        </is>
      </c>
    </row>
    <row r="22" ht="25" customHeight="1">
      <c r="B22" s="30" t="inlineStr">
        <is>
          <t>Para
No.</t>
        </is>
      </c>
      <c r="C22" s="30" t="inlineStr">
        <is>
          <t>Audit Para / Observation</t>
        </is>
      </c>
      <c r="D22" s="30" t="inlineStr">
        <is>
          <t>Financial
Year</t>
        </is>
      </c>
      <c r="E22" s="30" t="inlineStr">
        <is>
          <t>Amount
(₹L)</t>
        </is>
      </c>
      <c r="F22" s="30" t="inlineStr">
        <is>
          <t>Management Reply</t>
        </is>
      </c>
      <c r="G22" s="30" t="inlineStr">
        <is>
          <t>FC Decision</t>
        </is>
      </c>
      <c r="H22" s="30" t="inlineStr">
        <is>
          <t>Closure Status</t>
        </is>
      </c>
    </row>
    <row r="23" ht="28" customHeight="1">
      <c r="B23" s="33" t="n"/>
      <c r="C23" s="33" t="n"/>
      <c r="D23" s="33" t="n"/>
      <c r="E23" s="33" t="n"/>
      <c r="F23" s="33" t="n"/>
      <c r="G23" s="33" t="n"/>
      <c r="H23" s="33" t="n"/>
    </row>
    <row r="24" ht="28" customHeight="1">
      <c r="B24" s="6" t="n"/>
      <c r="C24" s="6" t="n"/>
      <c r="D24" s="6" t="n"/>
      <c r="E24" s="6" t="n"/>
      <c r="F24" s="6" t="n"/>
      <c r="G24" s="6" t="n"/>
      <c r="H24" s="6" t="n"/>
    </row>
    <row r="25" ht="28" customHeight="1">
      <c r="B25" s="33" t="n"/>
      <c r="C25" s="33" t="n"/>
      <c r="D25" s="33" t="n"/>
      <c r="E25" s="33" t="n"/>
      <c r="F25" s="33" t="n"/>
      <c r="G25" s="33" t="n"/>
      <c r="H25" s="33" t="n"/>
    </row>
    <row r="26" ht="28" customHeight="1">
      <c r="B26" s="6" t="n"/>
      <c r="C26" s="6" t="n"/>
      <c r="D26" s="6" t="n"/>
      <c r="E26" s="6" t="n"/>
      <c r="F26" s="6" t="n"/>
      <c r="G26" s="6" t="n"/>
      <c r="H26" s="6" t="n"/>
    </row>
    <row r="27" ht="28" customHeight="1">
      <c r="B27" s="33" t="n"/>
      <c r="C27" s="33" t="n"/>
      <c r="D27" s="33" t="n"/>
      <c r="E27" s="33" t="n"/>
      <c r="F27" s="33" t="n"/>
      <c r="G27" s="33" t="n"/>
      <c r="H27" s="33" t="n"/>
    </row>
    <row r="28" ht="28" customHeight="1">
      <c r="B28" s="6" t="n"/>
      <c r="C28" s="6" t="n"/>
      <c r="D28" s="6" t="n"/>
      <c r="E28" s="6" t="n"/>
      <c r="F28" s="6" t="n"/>
      <c r="G28" s="6" t="n"/>
      <c r="H28" s="6" t="n"/>
    </row>
    <row r="29" ht="28" customHeight="1">
      <c r="B29" s="33" t="n"/>
      <c r="C29" s="33" t="n"/>
      <c r="D29" s="33" t="n"/>
      <c r="E29" s="33" t="n"/>
      <c r="F29" s="33" t="n"/>
      <c r="G29" s="33" t="n"/>
      <c r="H29" s="33" t="n"/>
    </row>
    <row r="30" ht="28" customHeight="1">
      <c r="B30" s="6" t="n"/>
      <c r="C30" s="6" t="n"/>
      <c r="D30" s="6" t="n"/>
      <c r="E30" s="6" t="n"/>
      <c r="F30" s="6" t="n"/>
      <c r="G30" s="6" t="n"/>
      <c r="H30" s="6" t="n"/>
    </row>
    <row r="31" ht="28" customHeight="1">
      <c r="B31" s="33" t="n"/>
      <c r="C31" s="33" t="n"/>
      <c r="D31" s="33" t="n"/>
      <c r="E31" s="33" t="n"/>
      <c r="F31" s="33" t="n"/>
      <c r="G31" s="33" t="n"/>
      <c r="H31" s="33" t="n"/>
    </row>
    <row r="32" ht="28" customHeight="1">
      <c r="B32" s="6" t="n"/>
      <c r="C32" s="6" t="n"/>
      <c r="D32" s="6" t="n"/>
      <c r="E32" s="6" t="n"/>
      <c r="F32" s="6" t="n"/>
      <c r="G32" s="6" t="n"/>
      <c r="H32" s="6" t="n"/>
    </row>
    <row r="33" ht="25" customHeight="1"/>
    <row r="34" ht="25" customHeight="1">
      <c r="B34" s="20" t="inlineStr">
        <is>
          <t>AUDIT COMPLIANCE SUMMARY</t>
        </is>
      </c>
    </row>
    <row r="35" ht="25" customHeight="1">
      <c r="B35" s="23" t="inlineStr">
        <is>
          <t>Total Internal Audit Observations</t>
        </is>
      </c>
      <c r="F35" s="26">
        <f>COUNTA(B6:B19)</f>
        <v/>
      </c>
    </row>
    <row r="36" ht="25" customHeight="1">
      <c r="B36" s="25" t="inlineStr">
        <is>
          <t>High Risk — Closed</t>
        </is>
      </c>
      <c r="F36" s="36">
        <f>COUNTIFS(E6:E19,"H",H6:H19,"Closed")</f>
        <v/>
      </c>
    </row>
    <row r="37" ht="25" customHeight="1">
      <c r="B37" s="23" t="inlineStr">
        <is>
          <t>High Risk — Pending</t>
        </is>
      </c>
      <c r="F37" s="26">
        <f>COUNTIFS(E6:E19,"H",H6:H19,"Pending")</f>
        <v/>
      </c>
    </row>
    <row r="38" ht="25" customHeight="1">
      <c r="B38" s="25" t="inlineStr">
        <is>
          <t>Medium Risk — Pending</t>
        </is>
      </c>
      <c r="F38" s="36">
        <f>COUNTIFS(E6:E19,"M",H6:H19,"Pending")</f>
        <v/>
      </c>
    </row>
    <row r="39" ht="25" customHeight="1">
      <c r="B39" s="23" t="inlineStr">
        <is>
          <t>Total Statutory Audit Paras</t>
        </is>
      </c>
      <c r="F39" s="26">
        <f>COUNTA(B23:B32)</f>
        <v/>
      </c>
    </row>
    <row r="40" ht="25" customHeight="1">
      <c r="B40" s="25" t="inlineStr">
        <is>
          <t>Statutory Audit Paras — Closed</t>
        </is>
      </c>
      <c r="F40" s="36">
        <f>COUNTIF(H23:H32,"Closed")</f>
        <v/>
      </c>
    </row>
    <row r="41" ht="25" customHeight="1">
      <c r="B41" s="23" t="inlineStr">
        <is>
          <t>Overall Audit Compliance Rate (%)</t>
        </is>
      </c>
      <c r="F41" s="26">
        <f>IFERROR(ROUND(COUNTIF(H6:H32,"Closed")/COUNTA(H6:H32)*100,1),"")</f>
        <v/>
      </c>
    </row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</sheetData>
  <mergeCells count="19">
    <mergeCell ref="B40:E40"/>
    <mergeCell ref="F36:H36"/>
    <mergeCell ref="F41:H41"/>
    <mergeCell ref="F35:H35"/>
    <mergeCell ref="B36:E36"/>
    <mergeCell ref="F38:H38"/>
    <mergeCell ref="B41:E41"/>
    <mergeCell ref="B35:E35"/>
    <mergeCell ref="B4:H4"/>
    <mergeCell ref="B3:H3"/>
    <mergeCell ref="F39:H39"/>
    <mergeCell ref="F37:H37"/>
    <mergeCell ref="B21:H21"/>
    <mergeCell ref="B39:E39"/>
    <mergeCell ref="B2:H2"/>
    <mergeCell ref="B38:E38"/>
    <mergeCell ref="F40:H40"/>
    <mergeCell ref="B37:E37"/>
    <mergeCell ref="B34:H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FC-13: ENDOWMENT &amp; CORPUS FUND REGISTER (₹ in Lakhs)</t>
        </is>
      </c>
    </row>
    <row r="3" ht="25" customHeight="1">
      <c r="B3" s="2" t="inlineStr">
        <is>
          <t>Institution: _________________________  FY: _______  FC Meeting No.: _______  Date: _______</t>
        </is>
      </c>
    </row>
    <row r="4" ht="22" customHeight="1">
      <c r="B4" s="37" t="inlineStr">
        <is>
          <t>PART A — CORPUS / ENDOWMENT FUND REGISTER</t>
        </is>
      </c>
    </row>
    <row r="5" ht="22" customHeight="1">
      <c r="B5" s="12" t="inlineStr">
        <is>
          <t>Fund
Ref.</t>
        </is>
      </c>
      <c r="C5" s="12" t="inlineStr">
        <is>
          <t>Name of Fund / Donor</t>
        </is>
      </c>
      <c r="D5" s="12" t="inlineStr">
        <is>
          <t>Purpose / Objective</t>
        </is>
      </c>
      <c r="E5" s="12" t="inlineStr">
        <is>
          <t>Corpus
Amount (₹L)</t>
        </is>
      </c>
      <c r="F5" s="12" t="inlineStr">
        <is>
          <t>Date
Received</t>
        </is>
      </c>
      <c r="G5" s="12" t="inlineStr">
        <is>
          <t>Investment
Mode</t>
        </is>
      </c>
      <c r="H5" s="12" t="inlineStr">
        <is>
          <t>Annual
Yield (₹L)</t>
        </is>
      </c>
      <c r="I5" s="12" t="inlineStr">
        <is>
          <t>Status</t>
        </is>
      </c>
    </row>
    <row r="6" ht="22" customHeight="1">
      <c r="B6" s="13" t="inlineStr">
        <is>
          <t>END/01</t>
        </is>
      </c>
      <c r="C6" s="14" t="inlineStr"/>
      <c r="D6" s="15" t="inlineStr">
        <is>
          <t>Gold Medal Endowment</t>
        </is>
      </c>
      <c r="E6" s="15" t="inlineStr"/>
      <c r="F6" s="15" t="inlineStr"/>
      <c r="G6" s="15" t="inlineStr">
        <is>
          <t>FD / Bonds</t>
        </is>
      </c>
      <c r="H6" s="15" t="inlineStr"/>
      <c r="I6" s="15" t="inlineStr">
        <is>
          <t>Active</t>
        </is>
      </c>
    </row>
    <row r="7" ht="22" customHeight="1">
      <c r="B7" s="4" t="inlineStr">
        <is>
          <t>END/02</t>
        </is>
      </c>
      <c r="C7" s="5" t="inlineStr"/>
      <c r="D7" s="6" t="inlineStr">
        <is>
          <t>Scholarship Endowment</t>
        </is>
      </c>
      <c r="E7" s="6" t="inlineStr"/>
      <c r="F7" s="6" t="inlineStr"/>
      <c r="G7" s="6" t="inlineStr">
        <is>
          <t>FD / Bonds</t>
        </is>
      </c>
      <c r="H7" s="6" t="inlineStr"/>
      <c r="I7" s="6" t="inlineStr">
        <is>
          <t>Active</t>
        </is>
      </c>
    </row>
    <row r="8" ht="22" customHeight="1">
      <c r="B8" s="13" t="inlineStr">
        <is>
          <t>END/03</t>
        </is>
      </c>
      <c r="C8" s="14" t="inlineStr"/>
      <c r="D8" s="15" t="inlineStr">
        <is>
          <t>Chair Professorship</t>
        </is>
      </c>
      <c r="E8" s="15" t="inlineStr"/>
      <c r="F8" s="15" t="inlineStr"/>
      <c r="G8" s="15" t="inlineStr">
        <is>
          <t>FD / Bonds</t>
        </is>
      </c>
      <c r="H8" s="15" t="inlineStr"/>
      <c r="I8" s="15" t="inlineStr">
        <is>
          <t>Active</t>
        </is>
      </c>
    </row>
    <row r="9" ht="22" customHeight="1">
      <c r="B9" s="4" t="inlineStr">
        <is>
          <t>END/04</t>
        </is>
      </c>
      <c r="C9" s="5" t="inlineStr"/>
      <c r="D9" s="6" t="inlineStr">
        <is>
          <t>Laboratory Fund</t>
        </is>
      </c>
      <c r="E9" s="6" t="inlineStr"/>
      <c r="F9" s="6" t="inlineStr"/>
      <c r="G9" s="6" t="inlineStr">
        <is>
          <t>FD / Bonds</t>
        </is>
      </c>
      <c r="H9" s="6" t="inlineStr"/>
      <c r="I9" s="6" t="inlineStr">
        <is>
          <t>Active</t>
        </is>
      </c>
    </row>
    <row r="10" ht="22" customHeight="1">
      <c r="B10" s="13" t="inlineStr">
        <is>
          <t>END/05</t>
        </is>
      </c>
      <c r="C10" s="14" t="inlineStr"/>
      <c r="D10" s="15" t="inlineStr">
        <is>
          <t>Library Endowment</t>
        </is>
      </c>
      <c r="E10" s="15" t="inlineStr"/>
      <c r="F10" s="15" t="inlineStr"/>
      <c r="G10" s="15" t="inlineStr">
        <is>
          <t>FD / Bonds</t>
        </is>
      </c>
      <c r="H10" s="15" t="inlineStr"/>
      <c r="I10" s="15" t="inlineStr">
        <is>
          <t>Active</t>
        </is>
      </c>
    </row>
    <row r="11" ht="22" customHeight="1">
      <c r="B11" s="4" t="inlineStr">
        <is>
          <t>END/06</t>
        </is>
      </c>
      <c r="C11" s="5" t="inlineStr"/>
      <c r="D11" s="6" t="inlineStr">
        <is>
          <t>Research Fund</t>
        </is>
      </c>
      <c r="E11" s="6" t="inlineStr"/>
      <c r="F11" s="6" t="inlineStr"/>
      <c r="G11" s="6" t="inlineStr">
        <is>
          <t>FD / Bonds</t>
        </is>
      </c>
      <c r="H11" s="6" t="inlineStr"/>
      <c r="I11" s="6" t="inlineStr">
        <is>
          <t>Active</t>
        </is>
      </c>
    </row>
    <row r="12" ht="22" customHeight="1">
      <c r="B12" s="13" t="inlineStr">
        <is>
          <t>END/07</t>
        </is>
      </c>
      <c r="C12" s="14" t="inlineStr"/>
      <c r="D12" s="15" t="inlineStr">
        <is>
          <t>Prize Endowment</t>
        </is>
      </c>
      <c r="E12" s="15" t="inlineStr"/>
      <c r="F12" s="15" t="inlineStr"/>
      <c r="G12" s="15" t="inlineStr">
        <is>
          <t>FD / Bonds</t>
        </is>
      </c>
      <c r="H12" s="15" t="inlineStr"/>
      <c r="I12" s="15" t="inlineStr">
        <is>
          <t>Active</t>
        </is>
      </c>
    </row>
    <row r="13" ht="22" customHeight="1">
      <c r="B13" s="4" t="inlineStr">
        <is>
          <t>END/08</t>
        </is>
      </c>
      <c r="C13" s="5" t="inlineStr"/>
      <c r="D13" s="6" t="inlineStr">
        <is>
          <t>General Corpus</t>
        </is>
      </c>
      <c r="E13" s="6" t="inlineStr"/>
      <c r="F13" s="6" t="inlineStr"/>
      <c r="G13" s="6" t="inlineStr">
        <is>
          <t>FD / Bonds</t>
        </is>
      </c>
      <c r="H13" s="6" t="inlineStr"/>
      <c r="I13" s="6" t="inlineStr">
        <is>
          <t>Active</t>
        </is>
      </c>
    </row>
    <row r="14" ht="22" customHeight="1">
      <c r="B14" s="13" t="inlineStr">
        <is>
          <t>END/09</t>
        </is>
      </c>
      <c r="C14" s="14" t="inlineStr"/>
      <c r="D14" s="15" t="inlineStr">
        <is>
          <t>Gold Medal Endowment</t>
        </is>
      </c>
      <c r="E14" s="15" t="inlineStr"/>
      <c r="F14" s="15" t="inlineStr"/>
      <c r="G14" s="15" t="inlineStr">
        <is>
          <t>FD / Bonds</t>
        </is>
      </c>
      <c r="H14" s="15" t="inlineStr"/>
      <c r="I14" s="15" t="inlineStr">
        <is>
          <t>Active</t>
        </is>
      </c>
    </row>
    <row r="15" ht="22" customHeight="1">
      <c r="B15" s="4" t="inlineStr">
        <is>
          <t>END/10</t>
        </is>
      </c>
      <c r="C15" s="5" t="inlineStr"/>
      <c r="D15" s="6" t="inlineStr">
        <is>
          <t>Scholarship Endowment</t>
        </is>
      </c>
      <c r="E15" s="6" t="inlineStr"/>
      <c r="F15" s="6" t="inlineStr"/>
      <c r="G15" s="6" t="inlineStr">
        <is>
          <t>FD / Bonds</t>
        </is>
      </c>
      <c r="H15" s="6" t="inlineStr"/>
      <c r="I15" s="6" t="inlineStr">
        <is>
          <t>Active</t>
        </is>
      </c>
    </row>
    <row r="16" ht="22" customHeight="1">
      <c r="B16" s="13" t="inlineStr">
        <is>
          <t>END/11</t>
        </is>
      </c>
      <c r="C16" s="14" t="inlineStr"/>
      <c r="D16" s="15" t="inlineStr">
        <is>
          <t>Chair Professorship</t>
        </is>
      </c>
      <c r="E16" s="15" t="inlineStr"/>
      <c r="F16" s="15" t="inlineStr"/>
      <c r="G16" s="15" t="inlineStr">
        <is>
          <t>FD / Bonds</t>
        </is>
      </c>
      <c r="H16" s="15" t="inlineStr"/>
      <c r="I16" s="15" t="inlineStr">
        <is>
          <t>Active</t>
        </is>
      </c>
    </row>
    <row r="17" ht="22" customHeight="1">
      <c r="B17" s="4" t="inlineStr">
        <is>
          <t>END/12</t>
        </is>
      </c>
      <c r="C17" s="5" t="inlineStr"/>
      <c r="D17" s="6" t="inlineStr">
        <is>
          <t>Laboratory Fund</t>
        </is>
      </c>
      <c r="E17" s="6" t="inlineStr"/>
      <c r="F17" s="6" t="inlineStr"/>
      <c r="G17" s="6" t="inlineStr">
        <is>
          <t>FD / Bonds</t>
        </is>
      </c>
      <c r="H17" s="6" t="inlineStr"/>
      <c r="I17" s="6" t="inlineStr">
        <is>
          <t>Active</t>
        </is>
      </c>
    </row>
    <row r="18" ht="22" customHeight="1"/>
    <row r="19" ht="22" customHeight="1">
      <c r="B19" s="40" t="inlineStr">
        <is>
          <t>TOTAL CORPUS &amp; ANNUAL INCOME</t>
        </is>
      </c>
      <c r="D19" s="41">
        <f>IFERROR(SUM(D6:D18),"")</f>
        <v/>
      </c>
      <c r="E19" s="41">
        <f>IFERROR(SUM(E6:E18),"")</f>
        <v/>
      </c>
      <c r="F19" s="41">
        <f>IFERROR(SUM(F6:F18),"")</f>
        <v/>
      </c>
      <c r="G19" s="41">
        <f>IFERROR(SUM(G6:G18),"")</f>
        <v/>
      </c>
      <c r="H19" s="41">
        <f>IFERROR(SUM(H6:H18),"")</f>
        <v/>
      </c>
      <c r="I19" s="41">
        <f>IFERROR(SUM(I6:I18),"")</f>
        <v/>
      </c>
    </row>
    <row r="20" ht="22" customHeight="1"/>
    <row r="21" ht="22" customHeight="1">
      <c r="B21" s="34" t="inlineStr">
        <is>
          <t>PART B — INVESTMENT REGISTER</t>
        </is>
      </c>
    </row>
    <row r="22" ht="22" customHeight="1">
      <c r="B22" s="30" t="inlineStr">
        <is>
          <t>Inv. Ref.</t>
        </is>
      </c>
      <c r="C22" s="30" t="inlineStr">
        <is>
          <t>Investment Instrument</t>
        </is>
      </c>
      <c r="D22" s="30" t="inlineStr">
        <is>
          <t>Bank / Institution</t>
        </is>
      </c>
      <c r="E22" s="30" t="inlineStr">
        <is>
          <t>Principal (₹L)</t>
        </is>
      </c>
      <c r="F22" s="30" t="inlineStr">
        <is>
          <t>Interest Rate %</t>
        </is>
      </c>
      <c r="G22" s="30" t="inlineStr">
        <is>
          <t>Maturity Date</t>
        </is>
      </c>
      <c r="H22" s="30" t="inlineStr">
        <is>
          <t>Maturity Amount (₹L)</t>
        </is>
      </c>
      <c r="I22" s="30" t="inlineStr">
        <is>
          <t>FC Approved</t>
        </is>
      </c>
    </row>
    <row r="23" ht="22" customHeight="1">
      <c r="B23" s="31" t="inlineStr">
        <is>
          <t>INV/01</t>
        </is>
      </c>
      <c r="C23" s="33" t="inlineStr">
        <is>
          <t>Fixed Deposit</t>
        </is>
      </c>
      <c r="D23" s="33" t="inlineStr"/>
      <c r="E23" s="33" t="inlineStr"/>
      <c r="F23" s="33" t="inlineStr"/>
      <c r="G23" s="33" t="inlineStr"/>
      <c r="H23" s="33">
        <f>IFERROR(E23*(1+F23/100),"")</f>
        <v/>
      </c>
      <c r="I23" s="33" t="inlineStr">
        <is>
          <t>Y</t>
        </is>
      </c>
    </row>
    <row r="24" ht="22" customHeight="1">
      <c r="B24" s="4" t="inlineStr">
        <is>
          <t>INV/02</t>
        </is>
      </c>
      <c r="C24" s="6" t="inlineStr">
        <is>
          <t>Fixed Deposit</t>
        </is>
      </c>
      <c r="D24" s="6" t="inlineStr"/>
      <c r="E24" s="6" t="inlineStr"/>
      <c r="F24" s="6" t="inlineStr"/>
      <c r="G24" s="6" t="inlineStr"/>
      <c r="H24" s="6">
        <f>IFERROR(E24*(1+F24/100),"")</f>
        <v/>
      </c>
      <c r="I24" s="6" t="inlineStr">
        <is>
          <t>Y</t>
        </is>
      </c>
    </row>
    <row r="25" ht="22" customHeight="1">
      <c r="B25" s="31" t="inlineStr">
        <is>
          <t>INV/03</t>
        </is>
      </c>
      <c r="C25" s="33" t="inlineStr">
        <is>
          <t>Fixed Deposit</t>
        </is>
      </c>
      <c r="D25" s="33" t="inlineStr"/>
      <c r="E25" s="33" t="inlineStr"/>
      <c r="F25" s="33" t="inlineStr"/>
      <c r="G25" s="33" t="inlineStr"/>
      <c r="H25" s="33">
        <f>IFERROR(E25*(1+F25/100),"")</f>
        <v/>
      </c>
      <c r="I25" s="33" t="inlineStr">
        <is>
          <t>Y</t>
        </is>
      </c>
    </row>
    <row r="26" ht="22" customHeight="1">
      <c r="B26" s="4" t="inlineStr">
        <is>
          <t>INV/04</t>
        </is>
      </c>
      <c r="C26" s="6" t="inlineStr">
        <is>
          <t>Fixed Deposit</t>
        </is>
      </c>
      <c r="D26" s="6" t="inlineStr"/>
      <c r="E26" s="6" t="inlineStr"/>
      <c r="F26" s="6" t="inlineStr"/>
      <c r="G26" s="6" t="inlineStr"/>
      <c r="H26" s="6">
        <f>IFERROR(E26*(1+F26/100),"")</f>
        <v/>
      </c>
      <c r="I26" s="6" t="inlineStr">
        <is>
          <t>Y</t>
        </is>
      </c>
    </row>
    <row r="27" ht="22" customHeight="1">
      <c r="B27" s="31" t="inlineStr">
        <is>
          <t>INV/05</t>
        </is>
      </c>
      <c r="C27" s="33" t="inlineStr">
        <is>
          <t>Fixed Deposit</t>
        </is>
      </c>
      <c r="D27" s="33" t="inlineStr"/>
      <c r="E27" s="33" t="inlineStr"/>
      <c r="F27" s="33" t="inlineStr"/>
      <c r="G27" s="33" t="inlineStr"/>
      <c r="H27" s="33">
        <f>IFERROR(E27*(1+F27/100),"")</f>
        <v/>
      </c>
      <c r="I27" s="33" t="inlineStr">
        <is>
          <t>Y</t>
        </is>
      </c>
    </row>
    <row r="28" ht="22" customHeight="1">
      <c r="B28" s="4" t="inlineStr">
        <is>
          <t>INV/06</t>
        </is>
      </c>
      <c r="C28" s="6" t="inlineStr">
        <is>
          <t>Fixed Deposit</t>
        </is>
      </c>
      <c r="D28" s="6" t="inlineStr"/>
      <c r="E28" s="6" t="inlineStr"/>
      <c r="F28" s="6" t="inlineStr"/>
      <c r="G28" s="6" t="inlineStr"/>
      <c r="H28" s="6">
        <f>IFERROR(E28*(1+F28/100),"")</f>
        <v/>
      </c>
      <c r="I28" s="6" t="inlineStr">
        <is>
          <t>Y</t>
        </is>
      </c>
    </row>
    <row r="29" ht="22" customHeight="1">
      <c r="B29" s="31" t="inlineStr">
        <is>
          <t>INV/07</t>
        </is>
      </c>
      <c r="C29" s="33" t="inlineStr">
        <is>
          <t>Fixed Deposit</t>
        </is>
      </c>
      <c r="D29" s="33" t="inlineStr"/>
      <c r="E29" s="33" t="inlineStr"/>
      <c r="F29" s="33" t="inlineStr"/>
      <c r="G29" s="33" t="inlineStr"/>
      <c r="H29" s="33">
        <f>IFERROR(E29*(1+F29/100),"")</f>
        <v/>
      </c>
      <c r="I29" s="33" t="inlineStr">
        <is>
          <t>Y</t>
        </is>
      </c>
    </row>
    <row r="30" ht="22" customHeight="1">
      <c r="B30" s="4" t="inlineStr">
        <is>
          <t>INV/08</t>
        </is>
      </c>
      <c r="C30" s="6" t="inlineStr">
        <is>
          <t>Fixed Deposit</t>
        </is>
      </c>
      <c r="D30" s="6" t="inlineStr"/>
      <c r="E30" s="6" t="inlineStr"/>
      <c r="F30" s="6" t="inlineStr"/>
      <c r="G30" s="6" t="inlineStr"/>
      <c r="H30" s="6">
        <f>IFERROR(E30*(1+F30/100),"")</f>
        <v/>
      </c>
      <c r="I30" s="6" t="inlineStr">
        <is>
          <t>Y</t>
        </is>
      </c>
    </row>
    <row r="31" ht="22" customHeight="1">
      <c r="B31" s="31" t="inlineStr">
        <is>
          <t>INV/09</t>
        </is>
      </c>
      <c r="C31" s="33" t="inlineStr">
        <is>
          <t>Fixed Deposit</t>
        </is>
      </c>
      <c r="D31" s="33" t="inlineStr"/>
      <c r="E31" s="33" t="inlineStr"/>
      <c r="F31" s="33" t="inlineStr"/>
      <c r="G31" s="33" t="inlineStr"/>
      <c r="H31" s="33">
        <f>IFERROR(E31*(1+F31/100),"")</f>
        <v/>
      </c>
      <c r="I31" s="33" t="inlineStr">
        <is>
          <t>Y</t>
        </is>
      </c>
    </row>
    <row r="32" ht="22" customHeight="1">
      <c r="B32" s="4" t="inlineStr">
        <is>
          <t>INV/10</t>
        </is>
      </c>
      <c r="C32" s="6" t="inlineStr">
        <is>
          <t>Fixed Deposit</t>
        </is>
      </c>
      <c r="D32" s="6" t="inlineStr"/>
      <c r="E32" s="6" t="inlineStr"/>
      <c r="F32" s="6" t="inlineStr"/>
      <c r="G32" s="6" t="inlineStr"/>
      <c r="H32" s="6">
        <f>IFERROR(E32*(1+F32/100),"")</f>
        <v/>
      </c>
      <c r="I32" s="6" t="inlineStr">
        <is>
          <t>Y</t>
        </is>
      </c>
    </row>
    <row r="33" ht="22" customHeight="1"/>
    <row r="34" ht="22" customHeight="1">
      <c r="B34" s="58" t="inlineStr">
        <is>
          <t>PART C — ENDOWMENT UTILISATION RECORD</t>
        </is>
      </c>
    </row>
    <row r="35" ht="22" customHeight="1">
      <c r="B35" s="59" t="inlineStr">
        <is>
          <t>Sl.</t>
        </is>
      </c>
      <c r="C35" s="59" t="inlineStr">
        <is>
          <t>Fund Name</t>
        </is>
      </c>
      <c r="D35" s="59" t="inlineStr">
        <is>
          <t>Purpose of Utilisation</t>
        </is>
      </c>
      <c r="E35" s="59" t="inlineStr">
        <is>
          <t>Amount Used (₹L)</t>
        </is>
      </c>
      <c r="F35" s="59" t="inlineStr">
        <is>
          <t>Beneficiary</t>
        </is>
      </c>
      <c r="G35" s="59" t="inlineStr">
        <is>
          <t>Date</t>
        </is>
      </c>
      <c r="H35" s="59" t="inlineStr">
        <is>
          <t>FC Resolution Ref.</t>
        </is>
      </c>
      <c r="I35" s="59" t="inlineStr">
        <is>
          <t>Balance Corpus (₹L)</t>
        </is>
      </c>
    </row>
    <row r="36" ht="22" customHeight="1">
      <c r="B36" s="60" t="n"/>
      <c r="C36" s="60" t="n"/>
      <c r="D36" s="60" t="n"/>
      <c r="E36" s="60" t="n"/>
      <c r="F36" s="60" t="n"/>
      <c r="G36" s="60" t="n"/>
      <c r="H36" s="60" t="n"/>
      <c r="I36" s="60" t="n"/>
    </row>
    <row r="37" ht="22" customHeight="1">
      <c r="B37" s="6" t="n"/>
      <c r="C37" s="6" t="n"/>
      <c r="D37" s="6" t="n"/>
      <c r="E37" s="6" t="n"/>
      <c r="F37" s="6" t="n"/>
      <c r="G37" s="6" t="n"/>
      <c r="H37" s="6" t="n"/>
      <c r="I37" s="6" t="n"/>
    </row>
    <row r="38" ht="22" customHeight="1">
      <c r="B38" s="60" t="n"/>
      <c r="C38" s="60" t="n"/>
      <c r="D38" s="60" t="n"/>
      <c r="E38" s="60" t="n"/>
      <c r="F38" s="60" t="n"/>
      <c r="G38" s="60" t="n"/>
      <c r="H38" s="60" t="n"/>
      <c r="I38" s="60" t="n"/>
    </row>
    <row r="39" ht="22" customHeight="1">
      <c r="B39" s="6" t="n"/>
      <c r="C39" s="6" t="n"/>
      <c r="D39" s="6" t="n"/>
      <c r="E39" s="6" t="n"/>
      <c r="F39" s="6" t="n"/>
      <c r="G39" s="6" t="n"/>
      <c r="H39" s="6" t="n"/>
      <c r="I39" s="6" t="n"/>
    </row>
    <row r="40" ht="22" customHeight="1">
      <c r="B40" s="60" t="n"/>
      <c r="C40" s="60" t="n"/>
      <c r="D40" s="60" t="n"/>
      <c r="E40" s="60" t="n"/>
      <c r="F40" s="60" t="n"/>
      <c r="G40" s="60" t="n"/>
      <c r="H40" s="60" t="n"/>
      <c r="I40" s="60" t="n"/>
    </row>
    <row r="41" ht="22" customHeight="1">
      <c r="B41" s="6" t="n"/>
      <c r="C41" s="6" t="n"/>
      <c r="D41" s="6" t="n"/>
      <c r="E41" s="6" t="n"/>
      <c r="F41" s="6" t="n"/>
      <c r="G41" s="6" t="n"/>
      <c r="H41" s="6" t="n"/>
      <c r="I41" s="6" t="n"/>
    </row>
    <row r="42" ht="22" customHeight="1">
      <c r="B42" s="60" t="n"/>
      <c r="C42" s="60" t="n"/>
      <c r="D42" s="60" t="n"/>
      <c r="E42" s="60" t="n"/>
      <c r="F42" s="60" t="n"/>
      <c r="G42" s="60" t="n"/>
      <c r="H42" s="60" t="n"/>
      <c r="I42" s="60" t="n"/>
    </row>
    <row r="43" ht="22" customHeight="1">
      <c r="B43" s="6" t="n"/>
      <c r="C43" s="6" t="n"/>
      <c r="D43" s="6" t="n"/>
      <c r="E43" s="6" t="n"/>
      <c r="F43" s="6" t="n"/>
      <c r="G43" s="6" t="n"/>
      <c r="H43" s="6" t="n"/>
      <c r="I43" s="6" t="n"/>
    </row>
    <row r="44" ht="22" customHeight="1">
      <c r="B44" s="60" t="n"/>
      <c r="C44" s="60" t="n"/>
      <c r="D44" s="60" t="n"/>
      <c r="E44" s="60" t="n"/>
      <c r="F44" s="60" t="n"/>
      <c r="G44" s="60" t="n"/>
      <c r="H44" s="60" t="n"/>
      <c r="I44" s="60" t="n"/>
    </row>
    <row r="45" ht="22" customHeight="1">
      <c r="B45" s="6" t="n"/>
      <c r="C45" s="6" t="n"/>
      <c r="D45" s="6" t="n"/>
      <c r="E45" s="6" t="n"/>
      <c r="F45" s="6" t="n"/>
      <c r="G45" s="6" t="n"/>
      <c r="H45" s="6" t="n"/>
      <c r="I45" s="6" t="n"/>
    </row>
    <row r="46" ht="22" customHeight="1"/>
    <row r="47" ht="22" customHeight="1"/>
    <row r="48" ht="22" customHeight="1"/>
    <row r="49" ht="22" customHeight="1"/>
    <row r="50" ht="22" customHeight="1"/>
    <row r="51" ht="22" customHeight="1"/>
  </sheetData>
  <mergeCells count="6">
    <mergeCell ref="B21:I21"/>
    <mergeCell ref="B19:C19"/>
    <mergeCell ref="B2:I2"/>
    <mergeCell ref="B34:I34"/>
    <mergeCell ref="B3:I3"/>
    <mergeCell ref="B4: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1" t="inlineStr">
        <is>
          <t>FC-14: SALARY, PAYROLL &amp; SPECIAL PAYMENT APPROVAL REGISTER</t>
        </is>
      </c>
    </row>
    <row r="3" ht="25" customHeight="1">
      <c r="B3" s="2" t="inlineStr">
        <is>
          <t>Month / Year: _______  FC Meeting No.: _______  Date: _______  Finance Officer: ___________________</t>
        </is>
      </c>
    </row>
    <row r="4" ht="22" customHeight="1">
      <c r="B4" s="37" t="inlineStr">
        <is>
          <t>PART A — MONTHLY PAYROLL SUMMARY (₹ in Lakhs)</t>
        </is>
      </c>
    </row>
    <row r="5" ht="22" customHeight="1">
      <c r="B5" s="12" t="inlineStr">
        <is>
          <t>Staff Category</t>
        </is>
      </c>
      <c r="C5" s="12" t="inlineStr">
        <is>
          <t>No. of
Staff</t>
        </is>
      </c>
      <c r="D5" s="12" t="inlineStr">
        <is>
          <t>Gross
Salary (₹L)</t>
        </is>
      </c>
      <c r="E5" s="12" t="inlineStr">
        <is>
          <t>PF
(₹L)</t>
        </is>
      </c>
      <c r="F5" s="12" t="inlineStr">
        <is>
          <t>ESI
(₹L)</t>
        </is>
      </c>
      <c r="G5" s="12" t="inlineStr">
        <is>
          <t>IT
Deduction (₹L)</t>
        </is>
      </c>
      <c r="H5" s="12" t="inlineStr">
        <is>
          <t>Other
Deductions (₹L)</t>
        </is>
      </c>
      <c r="I5" s="12" t="inlineStr">
        <is>
          <t>Net
Payable (₹L)</t>
        </is>
      </c>
      <c r="J5" s="12" t="inlineStr">
        <is>
          <t>FC
Approval</t>
        </is>
      </c>
    </row>
    <row r="6" ht="22" customHeight="1">
      <c r="B6" s="67" t="inlineStr">
        <is>
          <t>Professor</t>
        </is>
      </c>
      <c r="C6" s="15" t="inlineStr"/>
      <c r="D6" s="15" t="inlineStr"/>
      <c r="E6" s="15" t="inlineStr"/>
      <c r="F6" s="15" t="inlineStr"/>
      <c r="G6" s="15" t="inlineStr"/>
      <c r="H6" s="15" t="inlineStr"/>
      <c r="I6" s="15">
        <f>IFERROR(D6-E6-F6-G6-H6,"")</f>
        <v/>
      </c>
      <c r="J6" s="15" t="inlineStr">
        <is>
          <t>Y</t>
        </is>
      </c>
    </row>
    <row r="7" ht="22" customHeight="1">
      <c r="B7" s="25" t="inlineStr">
        <is>
          <t>Associate Professor</t>
        </is>
      </c>
      <c r="C7" s="6" t="inlineStr"/>
      <c r="D7" s="6" t="inlineStr"/>
      <c r="E7" s="6" t="inlineStr"/>
      <c r="F7" s="6" t="inlineStr"/>
      <c r="G7" s="6" t="inlineStr"/>
      <c r="H7" s="6" t="inlineStr"/>
      <c r="I7" s="6">
        <f>IFERROR(D7-E7-F7-G7-H7,"")</f>
        <v/>
      </c>
      <c r="J7" s="6" t="inlineStr">
        <is>
          <t>Y</t>
        </is>
      </c>
    </row>
    <row r="8" ht="22" customHeight="1">
      <c r="B8" s="67" t="inlineStr">
        <is>
          <t>Assistant Professor</t>
        </is>
      </c>
      <c r="C8" s="15" t="inlineStr"/>
      <c r="D8" s="15" t="inlineStr"/>
      <c r="E8" s="15" t="inlineStr"/>
      <c r="F8" s="15" t="inlineStr"/>
      <c r="G8" s="15" t="inlineStr"/>
      <c r="H8" s="15" t="inlineStr"/>
      <c r="I8" s="15">
        <f>IFERROR(D8-E8-F8-G8-H8,"")</f>
        <v/>
      </c>
      <c r="J8" s="15" t="inlineStr">
        <is>
          <t>Y</t>
        </is>
      </c>
    </row>
    <row r="9" ht="22" customHeight="1">
      <c r="B9" s="25" t="inlineStr">
        <is>
          <t>Lab / Technical Staff</t>
        </is>
      </c>
      <c r="C9" s="6" t="inlineStr"/>
      <c r="D9" s="6" t="inlineStr"/>
      <c r="E9" s="6" t="inlineStr"/>
      <c r="F9" s="6" t="inlineStr"/>
      <c r="G9" s="6" t="inlineStr"/>
      <c r="H9" s="6" t="inlineStr"/>
      <c r="I9" s="6">
        <f>IFERROR(D9-E9-F9-G9-H9,"")</f>
        <v/>
      </c>
      <c r="J9" s="6" t="inlineStr">
        <is>
          <t>Y</t>
        </is>
      </c>
    </row>
    <row r="10" ht="22" customHeight="1">
      <c r="B10" s="67" t="inlineStr">
        <is>
          <t>Administrative Staff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>
        <f>IFERROR(D10-E10-F10-G10-H10,"")</f>
        <v/>
      </c>
      <c r="J10" s="15" t="inlineStr">
        <is>
          <t>Y</t>
        </is>
      </c>
    </row>
    <row r="11" ht="22" customHeight="1">
      <c r="B11" s="25" t="inlineStr">
        <is>
          <t>Support Staff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>
        <f>IFERROR(D11-E11-F11-G11-H11,"")</f>
        <v/>
      </c>
      <c r="J11" s="6" t="inlineStr">
        <is>
          <t>Y</t>
        </is>
      </c>
    </row>
    <row r="12" ht="22" customHeight="1">
      <c r="B12" s="67" t="inlineStr">
        <is>
          <t>Contract / Part-time Staff</t>
        </is>
      </c>
      <c r="C12" s="15" t="inlineStr"/>
      <c r="D12" s="15" t="inlineStr"/>
      <c r="E12" s="15" t="inlineStr"/>
      <c r="F12" s="15" t="inlineStr"/>
      <c r="G12" s="15" t="inlineStr"/>
      <c r="H12" s="15" t="inlineStr"/>
      <c r="I12" s="15">
        <f>IFERROR(D12-E12-F12-G12-H12,"")</f>
        <v/>
      </c>
      <c r="J12" s="15" t="inlineStr">
        <is>
          <t>Y</t>
        </is>
      </c>
    </row>
    <row r="13" ht="22" customHeight="1">
      <c r="B13" s="25" t="inlineStr">
        <is>
          <t>Guest Faculty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>
        <f>IFERROR(D13-E13-F13-G13-H13,"")</f>
        <v/>
      </c>
      <c r="J13" s="6" t="inlineStr">
        <is>
          <t>Y</t>
        </is>
      </c>
    </row>
    <row r="14" ht="22" customHeight="1">
      <c r="B14" s="73" t="inlineStr">
        <is>
          <t>INSTITUTION TOTAL</t>
        </is>
      </c>
      <c r="C14" s="41">
        <f>IFERROR(SUM(C6:C13),)</f>
        <v/>
      </c>
      <c r="D14" s="41">
        <f>IFERROR(SUM(D6:D13),)</f>
        <v/>
      </c>
      <c r="E14" s="41">
        <f>IFERROR(SUM(E6:E13),)</f>
        <v/>
      </c>
      <c r="F14" s="41">
        <f>IFERROR(SUM(F6:F13),)</f>
        <v/>
      </c>
      <c r="G14" s="41">
        <f>IFERROR(SUM(G6:G13),)</f>
        <v/>
      </c>
      <c r="H14" s="41">
        <f>IFERROR(SUM(H6:H13),)</f>
        <v/>
      </c>
      <c r="I14" s="41">
        <f>IFERROR(SUM(I6:I13),)</f>
        <v/>
      </c>
      <c r="J14" s="41">
        <f>IFERROR(SUM(J6:J13),)</f>
        <v/>
      </c>
    </row>
    <row r="15" ht="22" customHeight="1"/>
    <row r="16" ht="22" customHeight="1">
      <c r="B16" s="34" t="inlineStr">
        <is>
          <t>PART B — ARREARS, INCREMENTS &amp; SPECIAL PAYMENTS</t>
        </is>
      </c>
    </row>
    <row r="17" ht="22" customHeight="1">
      <c r="B17" s="30" t="inlineStr">
        <is>
          <t>Sl.</t>
        </is>
      </c>
      <c r="C17" s="30" t="inlineStr">
        <is>
          <t>Nature of Payment</t>
        </is>
      </c>
      <c r="D17" s="30" t="inlineStr">
        <is>
          <t>Staff Category</t>
        </is>
      </c>
      <c r="E17" s="30" t="inlineStr">
        <is>
          <t>No. of Staff</t>
        </is>
      </c>
      <c r="F17" s="30" t="inlineStr">
        <is>
          <t>Amount per Staff (₹)</t>
        </is>
      </c>
      <c r="G17" s="30" t="inlineStr">
        <is>
          <t>Total Amount (₹L)</t>
        </is>
      </c>
      <c r="H17" s="30" t="inlineStr">
        <is>
          <t>Period Covered</t>
        </is>
      </c>
      <c r="I17" s="30" t="inlineStr">
        <is>
          <t>Approval Authority</t>
        </is>
      </c>
      <c r="J17" s="30" t="inlineStr">
        <is>
          <t>FC Resolution Ref.</t>
        </is>
      </c>
    </row>
    <row r="18" ht="22" customHeight="1">
      <c r="B18" s="31" t="n">
        <v>1</v>
      </c>
      <c r="C18" s="32" t="inlineStr">
        <is>
          <t>Annual Increment (Teaching)</t>
        </is>
      </c>
      <c r="D18" s="33" t="inlineStr"/>
      <c r="E18" s="33" t="inlineStr"/>
      <c r="F18" s="33" t="inlineStr"/>
      <c r="G18" s="33">
        <f>IFERROR(ROUND(E18*F18/100000,2),"")</f>
        <v/>
      </c>
      <c r="H18" s="33" t="inlineStr"/>
      <c r="I18" s="33" t="inlineStr"/>
      <c r="J18" s="33" t="inlineStr"/>
    </row>
    <row r="19" ht="22" customHeight="1">
      <c r="B19" s="4" t="n">
        <v>2</v>
      </c>
      <c r="C19" s="5" t="inlineStr">
        <is>
          <t>Annual Increment (Non-Teaching)</t>
        </is>
      </c>
      <c r="D19" s="6" t="inlineStr"/>
      <c r="E19" s="6" t="inlineStr"/>
      <c r="F19" s="6" t="inlineStr"/>
      <c r="G19" s="6">
        <f>IFERROR(ROUND(E19*F19/100000,2),"")</f>
        <v/>
      </c>
      <c r="H19" s="6" t="inlineStr"/>
      <c r="I19" s="6" t="inlineStr"/>
      <c r="J19" s="6" t="inlineStr"/>
    </row>
    <row r="20" ht="22" customHeight="1">
      <c r="B20" s="31" t="n">
        <v>3</v>
      </c>
      <c r="C20" s="32" t="inlineStr">
        <is>
          <t>DA Arrears</t>
        </is>
      </c>
      <c r="D20" s="33" t="inlineStr"/>
      <c r="E20" s="33" t="inlineStr"/>
      <c r="F20" s="33" t="inlineStr"/>
      <c r="G20" s="33">
        <f>IFERROR(ROUND(E20*F20/100000,2),"")</f>
        <v/>
      </c>
      <c r="H20" s="33" t="inlineStr"/>
      <c r="I20" s="33" t="inlineStr"/>
      <c r="J20" s="33" t="inlineStr"/>
    </row>
    <row r="21" ht="22" customHeight="1">
      <c r="B21" s="4" t="n">
        <v>4</v>
      </c>
      <c r="C21" s="5" t="inlineStr">
        <is>
          <t>HRA Revision Arrears</t>
        </is>
      </c>
      <c r="D21" s="6" t="inlineStr"/>
      <c r="E21" s="6" t="inlineStr"/>
      <c r="F21" s="6" t="inlineStr"/>
      <c r="G21" s="6">
        <f>IFERROR(ROUND(E21*F21/100000,2),"")</f>
        <v/>
      </c>
      <c r="H21" s="6" t="inlineStr"/>
      <c r="I21" s="6" t="inlineStr"/>
      <c r="J21" s="6" t="inlineStr"/>
    </row>
    <row r="22" ht="22" customHeight="1">
      <c r="B22" s="31" t="n">
        <v>5</v>
      </c>
      <c r="C22" s="32" t="inlineStr">
        <is>
          <t>Bonus / Ex-gratia</t>
        </is>
      </c>
      <c r="D22" s="33" t="inlineStr"/>
      <c r="E22" s="33" t="inlineStr"/>
      <c r="F22" s="33" t="inlineStr"/>
      <c r="G22" s="33">
        <f>IFERROR(ROUND(E22*F22/100000,2),"")</f>
        <v/>
      </c>
      <c r="H22" s="33" t="inlineStr"/>
      <c r="I22" s="33" t="inlineStr"/>
      <c r="J22" s="33" t="inlineStr"/>
    </row>
    <row r="23" ht="22" customHeight="1">
      <c r="B23" s="4" t="n">
        <v>6</v>
      </c>
      <c r="C23" s="5" t="inlineStr">
        <is>
          <t>Leave Encashment</t>
        </is>
      </c>
      <c r="D23" s="6" t="inlineStr"/>
      <c r="E23" s="6" t="inlineStr"/>
      <c r="F23" s="6" t="inlineStr"/>
      <c r="G23" s="6">
        <f>IFERROR(ROUND(E23*F23/100000,2),"")</f>
        <v/>
      </c>
      <c r="H23" s="6" t="inlineStr"/>
      <c r="I23" s="6" t="inlineStr"/>
      <c r="J23" s="6" t="inlineStr"/>
    </row>
    <row r="24" ht="22" customHeight="1">
      <c r="B24" s="31" t="n">
        <v>7</v>
      </c>
      <c r="C24" s="32" t="inlineStr">
        <is>
          <t>Gratuity Payment</t>
        </is>
      </c>
      <c r="D24" s="33" t="inlineStr"/>
      <c r="E24" s="33" t="inlineStr"/>
      <c r="F24" s="33" t="inlineStr"/>
      <c r="G24" s="33">
        <f>IFERROR(ROUND(E24*F24/100000,2),"")</f>
        <v/>
      </c>
      <c r="H24" s="33" t="inlineStr"/>
      <c r="I24" s="33" t="inlineStr"/>
      <c r="J24" s="33" t="inlineStr"/>
    </row>
    <row r="25" ht="22" customHeight="1">
      <c r="B25" s="4" t="n">
        <v>8</v>
      </c>
      <c r="C25" s="5" t="inlineStr">
        <is>
          <t>Retirement Benefits</t>
        </is>
      </c>
      <c r="D25" s="6" t="inlineStr"/>
      <c r="E25" s="6" t="inlineStr"/>
      <c r="F25" s="6" t="inlineStr"/>
      <c r="G25" s="6">
        <f>IFERROR(ROUND(E25*F25/100000,2),"")</f>
        <v/>
      </c>
      <c r="H25" s="6" t="inlineStr"/>
      <c r="I25" s="6" t="inlineStr"/>
      <c r="J25" s="6" t="inlineStr"/>
    </row>
    <row r="26" ht="22" customHeight="1">
      <c r="B26" s="31" t="n">
        <v>9</v>
      </c>
      <c r="C26" s="32" t="inlineStr">
        <is>
          <t>Court-directed Payment</t>
        </is>
      </c>
      <c r="D26" s="33" t="inlineStr"/>
      <c r="E26" s="33" t="inlineStr"/>
      <c r="F26" s="33" t="inlineStr"/>
      <c r="G26" s="33">
        <f>IFERROR(ROUND(E26*F26/100000,2),"")</f>
        <v/>
      </c>
      <c r="H26" s="33" t="inlineStr"/>
      <c r="I26" s="33" t="inlineStr"/>
      <c r="J26" s="33" t="inlineStr"/>
    </row>
    <row r="27" ht="22" customHeight="1">
      <c r="B27" s="4" t="n">
        <v>10</v>
      </c>
      <c r="C27" s="5" t="inlineStr">
        <is>
          <t>CAS Promotion Arrears</t>
        </is>
      </c>
      <c r="D27" s="6" t="inlineStr"/>
      <c r="E27" s="6" t="inlineStr"/>
      <c r="F27" s="6" t="inlineStr"/>
      <c r="G27" s="6">
        <f>IFERROR(ROUND(E27*F27/100000,2),"")</f>
        <v/>
      </c>
      <c r="H27" s="6" t="inlineStr"/>
      <c r="I27" s="6" t="inlineStr"/>
      <c r="J27" s="6" t="inlineStr"/>
    </row>
    <row r="28" ht="22" customHeight="1"/>
    <row r="29" ht="22" customHeight="1">
      <c r="B29" s="20" t="inlineStr">
        <is>
          <t>STATUTORY COMPLIANCE CHECKLIST — PAYROLL</t>
        </is>
      </c>
    </row>
    <row r="30" ht="22" customHeight="1">
      <c r="B30" s="21" t="inlineStr">
        <is>
          <t>Sl.</t>
        </is>
      </c>
      <c r="C30" s="21" t="inlineStr">
        <is>
          <t>Compliance Item</t>
        </is>
      </c>
      <c r="D30" s="21" t="inlineStr">
        <is>
          <t>Due Date</t>
        </is>
      </c>
      <c r="E30" s="21" t="inlineStr">
        <is>
          <t>Amount (₹L)</t>
        </is>
      </c>
      <c r="F30" s="21" t="inlineStr">
        <is>
          <t>Remitted Date</t>
        </is>
      </c>
      <c r="G30" s="21" t="inlineStr">
        <is>
          <t>Challan / Ref. No.</t>
        </is>
      </c>
      <c r="H30" s="21" t="inlineStr">
        <is>
          <t>Penalty if any (₹)</t>
        </is>
      </c>
      <c r="I30" s="21" t="inlineStr">
        <is>
          <t>Status</t>
        </is>
      </c>
      <c r="J30" s="21" t="inlineStr"/>
    </row>
    <row r="31" ht="22" customHeight="1">
      <c r="B31" s="38" t="n">
        <v>1</v>
      </c>
      <c r="C31" s="39" t="inlineStr">
        <is>
          <t>PF Remittance (Employee + Employer share)</t>
        </is>
      </c>
      <c r="D31" s="22" t="inlineStr"/>
      <c r="E31" s="22" t="inlineStr"/>
      <c r="F31" s="22" t="inlineStr"/>
      <c r="G31" s="22" t="inlineStr"/>
      <c r="H31" s="22" t="inlineStr"/>
      <c r="I31" s="22" t="inlineStr">
        <is>
          <t>Complied</t>
        </is>
      </c>
      <c r="J31" s="22" t="inlineStr"/>
    </row>
    <row r="32" ht="22" customHeight="1">
      <c r="B32" s="4" t="n">
        <v>2</v>
      </c>
      <c r="C32" s="5" t="inlineStr">
        <is>
          <t>ESI Remittance</t>
        </is>
      </c>
      <c r="D32" s="6" t="inlineStr"/>
      <c r="E32" s="6" t="inlineStr"/>
      <c r="F32" s="6" t="inlineStr"/>
      <c r="G32" s="6" t="inlineStr"/>
      <c r="H32" s="6" t="inlineStr"/>
      <c r="I32" s="6" t="inlineStr">
        <is>
          <t>Complied</t>
        </is>
      </c>
      <c r="J32" s="6" t="inlineStr"/>
    </row>
    <row r="33" ht="22" customHeight="1">
      <c r="B33" s="38" t="n">
        <v>3</v>
      </c>
      <c r="C33" s="39" t="inlineStr">
        <is>
          <t>Professional Tax Remittance</t>
        </is>
      </c>
      <c r="D33" s="22" t="inlineStr"/>
      <c r="E33" s="22" t="inlineStr"/>
      <c r="F33" s="22" t="inlineStr"/>
      <c r="G33" s="22" t="inlineStr"/>
      <c r="H33" s="22" t="inlineStr"/>
      <c r="I33" s="22" t="inlineStr">
        <is>
          <t>Complied</t>
        </is>
      </c>
      <c r="J33" s="22" t="inlineStr"/>
    </row>
    <row r="34" ht="22" customHeight="1">
      <c r="B34" s="4" t="n">
        <v>4</v>
      </c>
      <c r="C34" s="5" t="inlineStr">
        <is>
          <t>TDS (Income Tax) Remittance</t>
        </is>
      </c>
      <c r="D34" s="6" t="inlineStr"/>
      <c r="E34" s="6" t="inlineStr"/>
      <c r="F34" s="6" t="inlineStr"/>
      <c r="G34" s="6" t="inlineStr"/>
      <c r="H34" s="6" t="inlineStr"/>
      <c r="I34" s="6" t="inlineStr">
        <is>
          <t>Complied</t>
        </is>
      </c>
      <c r="J34" s="6" t="inlineStr"/>
    </row>
    <row r="35" ht="22" customHeight="1">
      <c r="B35" s="38" t="n">
        <v>5</v>
      </c>
      <c r="C35" s="39" t="inlineStr">
        <is>
          <t>Labour Welfare Fund</t>
        </is>
      </c>
      <c r="D35" s="22" t="inlineStr"/>
      <c r="E35" s="22" t="inlineStr"/>
      <c r="F35" s="22" t="inlineStr"/>
      <c r="G35" s="22" t="inlineStr"/>
      <c r="H35" s="22" t="inlineStr"/>
      <c r="I35" s="22" t="inlineStr">
        <is>
          <t>Complied</t>
        </is>
      </c>
      <c r="J35" s="22" t="inlineStr"/>
    </row>
    <row r="36" ht="22" customHeight="1">
      <c r="B36" s="4" t="n">
        <v>6</v>
      </c>
      <c r="C36" s="5" t="inlineStr">
        <is>
          <t>Monthly PF ECR Filing</t>
        </is>
      </c>
      <c r="D36" s="6" t="inlineStr"/>
      <c r="E36" s="6" t="inlineStr"/>
      <c r="F36" s="6" t="inlineStr"/>
      <c r="G36" s="6" t="inlineStr"/>
      <c r="H36" s="6" t="inlineStr"/>
      <c r="I36" s="6" t="inlineStr">
        <is>
          <t>Complied</t>
        </is>
      </c>
      <c r="J36" s="6" t="inlineStr"/>
    </row>
    <row r="37" ht="22" customHeight="1">
      <c r="B37" s="38" t="n">
        <v>7</v>
      </c>
      <c r="C37" s="39" t="inlineStr">
        <is>
          <t>ESI Monthly Return</t>
        </is>
      </c>
      <c r="D37" s="22" t="inlineStr"/>
      <c r="E37" s="22" t="inlineStr"/>
      <c r="F37" s="22" t="inlineStr"/>
      <c r="G37" s="22" t="inlineStr"/>
      <c r="H37" s="22" t="inlineStr"/>
      <c r="I37" s="22" t="inlineStr">
        <is>
          <t>Complied</t>
        </is>
      </c>
      <c r="J37" s="22" t="inlineStr"/>
    </row>
    <row r="38" ht="22" customHeight="1"/>
    <row r="39" ht="22" customHeight="1">
      <c r="B39" s="27" t="inlineStr">
        <is>
          <t>Payroll certified by Finance Officer: ___________________    Approved by FC/Principal: ___________________    Date: ___________________</t>
        </is>
      </c>
    </row>
    <row r="40" ht="22" customHeight="1"/>
    <row r="41" ht="22" customHeight="1"/>
    <row r="42" ht="22" customHeight="1"/>
    <row r="43" ht="22" customHeight="1"/>
    <row r="44" ht="22" customHeight="1"/>
    <row r="45" ht="22" customHeight="1"/>
  </sheetData>
  <mergeCells count="6">
    <mergeCell ref="B29:J29"/>
    <mergeCell ref="B3:J3"/>
    <mergeCell ref="B39:J39"/>
    <mergeCell ref="B4:J4"/>
    <mergeCell ref="B2:J2"/>
    <mergeCell ref="B16:J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I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FC-15: FINANCE COMMITTEE RECOMMENDATIONS REGISTER (CUMULATIVE)</t>
        </is>
      </c>
    </row>
    <row r="3" ht="25" customHeight="1">
      <c r="B3" s="2" t="inlineStr">
        <is>
          <t>Institution: _________________________  Maintained by: Finance Officer    Last Updated: _______</t>
        </is>
      </c>
    </row>
    <row r="4" ht="25" customHeight="1">
      <c r="B4" s="74" t="inlineStr">
        <is>
          <t>FC Resolution
No.</t>
        </is>
      </c>
      <c r="C4" s="74" t="inlineStr">
        <is>
          <t>Resolution / Recommendation (Summary)</t>
        </is>
      </c>
      <c r="D4" s="74" t="inlineStr">
        <is>
          <t>Category</t>
        </is>
      </c>
      <c r="E4" s="74" t="inlineStr">
        <is>
          <t>FC Meeting
No. &amp; Date</t>
        </is>
      </c>
      <c r="F4" s="74" t="inlineStr">
        <is>
          <t>Forwarded To
(EC / Principal)</t>
        </is>
      </c>
      <c r="G4" s="74" t="inlineStr">
        <is>
          <t>Target
Date</t>
        </is>
      </c>
      <c r="H4" s="74" t="inlineStr">
        <is>
          <t>Implemented
Date</t>
        </is>
      </c>
      <c r="I4" s="74" t="inlineStr">
        <is>
          <t>Status</t>
        </is>
      </c>
    </row>
    <row r="5" ht="25" customHeight="1">
      <c r="B5" s="13" t="inlineStr">
        <is>
          <t>FC/RES/2023/001</t>
        </is>
      </c>
      <c r="C5" s="14" t="inlineStr"/>
      <c r="D5" s="15" t="inlineStr">
        <is>
          <t>Budget</t>
        </is>
      </c>
      <c r="E5" s="15" t="inlineStr"/>
      <c r="F5" s="15" t="inlineStr"/>
      <c r="G5" s="15" t="inlineStr"/>
      <c r="H5" s="15" t="inlineStr"/>
      <c r="I5" s="15" t="inlineStr">
        <is>
          <t>Pending</t>
        </is>
      </c>
    </row>
    <row r="6" ht="25" customHeight="1">
      <c r="B6" s="4" t="inlineStr">
        <is>
          <t>FC/RES/2023/002</t>
        </is>
      </c>
      <c r="C6" s="5" t="inlineStr"/>
      <c r="D6" s="6" t="inlineStr">
        <is>
          <t>Fee Structure</t>
        </is>
      </c>
      <c r="E6" s="6" t="inlineStr"/>
      <c r="F6" s="6" t="inlineStr"/>
      <c r="G6" s="6" t="inlineStr"/>
      <c r="H6" s="6" t="inlineStr"/>
      <c r="I6" s="6" t="inlineStr">
        <is>
          <t>Pending</t>
        </is>
      </c>
    </row>
    <row r="7" ht="25" customHeight="1">
      <c r="B7" s="13" t="inlineStr">
        <is>
          <t>FC/RES/2023/003</t>
        </is>
      </c>
      <c r="C7" s="14" t="inlineStr"/>
      <c r="D7" s="15" t="inlineStr">
        <is>
          <t>Grant / Fund</t>
        </is>
      </c>
      <c r="E7" s="15" t="inlineStr"/>
      <c r="F7" s="15" t="inlineStr"/>
      <c r="G7" s="15" t="inlineStr"/>
      <c r="H7" s="15" t="inlineStr"/>
      <c r="I7" s="15" t="inlineStr">
        <is>
          <t>Pending</t>
        </is>
      </c>
    </row>
    <row r="8" ht="25" customHeight="1">
      <c r="B8" s="4" t="inlineStr">
        <is>
          <t>FC/RES/2023/004</t>
        </is>
      </c>
      <c r="C8" s="5" t="inlineStr"/>
      <c r="D8" s="6" t="inlineStr">
        <is>
          <t>Procurement</t>
        </is>
      </c>
      <c r="E8" s="6" t="inlineStr"/>
      <c r="F8" s="6" t="inlineStr"/>
      <c r="G8" s="6" t="inlineStr"/>
      <c r="H8" s="6" t="inlineStr"/>
      <c r="I8" s="6" t="inlineStr">
        <is>
          <t>Pending</t>
        </is>
      </c>
    </row>
    <row r="9" ht="25" customHeight="1">
      <c r="B9" s="13" t="inlineStr">
        <is>
          <t>FC/RES/2023/005</t>
        </is>
      </c>
      <c r="C9" s="14" t="inlineStr"/>
      <c r="D9" s="15" t="inlineStr">
        <is>
          <t>Salary / HR</t>
        </is>
      </c>
      <c r="E9" s="15" t="inlineStr"/>
      <c r="F9" s="15" t="inlineStr"/>
      <c r="G9" s="15" t="inlineStr"/>
      <c r="H9" s="15" t="inlineStr"/>
      <c r="I9" s="15" t="inlineStr">
        <is>
          <t>Pending</t>
        </is>
      </c>
    </row>
    <row r="10" ht="25" customHeight="1">
      <c r="B10" s="4" t="inlineStr">
        <is>
          <t>FC/RES/2023/006</t>
        </is>
      </c>
      <c r="C10" s="5" t="inlineStr"/>
      <c r="D10" s="6" t="inlineStr">
        <is>
          <t>Audit / Compliance</t>
        </is>
      </c>
      <c r="E10" s="6" t="inlineStr"/>
      <c r="F10" s="6" t="inlineStr"/>
      <c r="G10" s="6" t="inlineStr"/>
      <c r="H10" s="6" t="inlineStr"/>
      <c r="I10" s="6" t="inlineStr">
        <is>
          <t>Pending</t>
        </is>
      </c>
    </row>
    <row r="11" ht="25" customHeight="1">
      <c r="B11" s="13" t="inlineStr">
        <is>
          <t>FC/RES/2023/007</t>
        </is>
      </c>
      <c r="C11" s="14" t="inlineStr"/>
      <c r="D11" s="15" t="inlineStr">
        <is>
          <t>Investment</t>
        </is>
      </c>
      <c r="E11" s="15" t="inlineStr"/>
      <c r="F11" s="15" t="inlineStr"/>
      <c r="G11" s="15" t="inlineStr"/>
      <c r="H11" s="15" t="inlineStr"/>
      <c r="I11" s="15" t="inlineStr">
        <is>
          <t>Pending</t>
        </is>
      </c>
    </row>
    <row r="12" ht="25" customHeight="1">
      <c r="B12" s="4" t="inlineStr">
        <is>
          <t>FC/RES/2023/008</t>
        </is>
      </c>
      <c r="C12" s="5" t="inlineStr"/>
      <c r="D12" s="6" t="inlineStr">
        <is>
          <t>Endowment</t>
        </is>
      </c>
      <c r="E12" s="6" t="inlineStr"/>
      <c r="F12" s="6" t="inlineStr"/>
      <c r="G12" s="6" t="inlineStr"/>
      <c r="H12" s="6" t="inlineStr"/>
      <c r="I12" s="6" t="inlineStr">
        <is>
          <t>Pending</t>
        </is>
      </c>
    </row>
    <row r="13" ht="25" customHeight="1">
      <c r="B13" s="13" t="inlineStr">
        <is>
          <t>FC/RES/2023/009</t>
        </is>
      </c>
      <c r="C13" s="14" t="inlineStr"/>
      <c r="D13" s="15" t="inlineStr">
        <is>
          <t>Policy</t>
        </is>
      </c>
      <c r="E13" s="15" t="inlineStr"/>
      <c r="F13" s="15" t="inlineStr"/>
      <c r="G13" s="15" t="inlineStr"/>
      <c r="H13" s="15" t="inlineStr"/>
      <c r="I13" s="15" t="inlineStr">
        <is>
          <t>Pending</t>
        </is>
      </c>
    </row>
    <row r="14" ht="25" customHeight="1">
      <c r="B14" s="4" t="inlineStr">
        <is>
          <t>FC/RES/2023/010</t>
        </is>
      </c>
      <c r="C14" s="5" t="inlineStr"/>
      <c r="D14" s="6" t="inlineStr">
        <is>
          <t>Others</t>
        </is>
      </c>
      <c r="E14" s="6" t="inlineStr"/>
      <c r="F14" s="6" t="inlineStr"/>
      <c r="G14" s="6" t="inlineStr"/>
      <c r="H14" s="6" t="inlineStr"/>
      <c r="I14" s="6" t="inlineStr">
        <is>
          <t>Pending</t>
        </is>
      </c>
    </row>
    <row r="15" ht="25" customHeight="1">
      <c r="B15" s="13" t="inlineStr">
        <is>
          <t>FC/RES/2023/011</t>
        </is>
      </c>
      <c r="C15" s="14" t="inlineStr"/>
      <c r="D15" s="15" t="inlineStr">
        <is>
          <t>Budget</t>
        </is>
      </c>
      <c r="E15" s="15" t="inlineStr"/>
      <c r="F15" s="15" t="inlineStr"/>
      <c r="G15" s="15" t="inlineStr"/>
      <c r="H15" s="15" t="inlineStr"/>
      <c r="I15" s="15" t="inlineStr">
        <is>
          <t>Pending</t>
        </is>
      </c>
    </row>
    <row r="16" ht="25" customHeight="1">
      <c r="B16" s="4" t="inlineStr">
        <is>
          <t>FC/RES/2023/012</t>
        </is>
      </c>
      <c r="C16" s="5" t="inlineStr"/>
      <c r="D16" s="6" t="inlineStr">
        <is>
          <t>Fee Structure</t>
        </is>
      </c>
      <c r="E16" s="6" t="inlineStr"/>
      <c r="F16" s="6" t="inlineStr"/>
      <c r="G16" s="6" t="inlineStr"/>
      <c r="H16" s="6" t="inlineStr"/>
      <c r="I16" s="6" t="inlineStr">
        <is>
          <t>Pending</t>
        </is>
      </c>
    </row>
    <row r="17" ht="25" customHeight="1">
      <c r="B17" s="13" t="inlineStr">
        <is>
          <t>FC/RES/2024/013</t>
        </is>
      </c>
      <c r="C17" s="14" t="inlineStr"/>
      <c r="D17" s="15" t="inlineStr">
        <is>
          <t>Grant / Fund</t>
        </is>
      </c>
      <c r="E17" s="15" t="inlineStr"/>
      <c r="F17" s="15" t="inlineStr"/>
      <c r="G17" s="15" t="inlineStr"/>
      <c r="H17" s="15" t="inlineStr"/>
      <c r="I17" s="15" t="inlineStr">
        <is>
          <t>Pending</t>
        </is>
      </c>
    </row>
    <row r="18" ht="25" customHeight="1">
      <c r="B18" s="4" t="inlineStr">
        <is>
          <t>FC/RES/2024/014</t>
        </is>
      </c>
      <c r="C18" s="5" t="inlineStr"/>
      <c r="D18" s="6" t="inlineStr">
        <is>
          <t>Procurement</t>
        </is>
      </c>
      <c r="E18" s="6" t="inlineStr"/>
      <c r="F18" s="6" t="inlineStr"/>
      <c r="G18" s="6" t="inlineStr"/>
      <c r="H18" s="6" t="inlineStr"/>
      <c r="I18" s="6" t="inlineStr">
        <is>
          <t>Pending</t>
        </is>
      </c>
    </row>
    <row r="19" ht="25" customHeight="1">
      <c r="B19" s="13" t="inlineStr">
        <is>
          <t>FC/RES/2024/015</t>
        </is>
      </c>
      <c r="C19" s="14" t="inlineStr"/>
      <c r="D19" s="15" t="inlineStr">
        <is>
          <t>Salary / HR</t>
        </is>
      </c>
      <c r="E19" s="15" t="inlineStr"/>
      <c r="F19" s="15" t="inlineStr"/>
      <c r="G19" s="15" t="inlineStr"/>
      <c r="H19" s="15" t="inlineStr"/>
      <c r="I19" s="15" t="inlineStr">
        <is>
          <t>Pending</t>
        </is>
      </c>
    </row>
    <row r="20" ht="25" customHeight="1">
      <c r="B20" s="4" t="inlineStr">
        <is>
          <t>FC/RES/2024/016</t>
        </is>
      </c>
      <c r="C20" s="5" t="inlineStr"/>
      <c r="D20" s="6" t="inlineStr">
        <is>
          <t>Audit / Compliance</t>
        </is>
      </c>
      <c r="E20" s="6" t="inlineStr"/>
      <c r="F20" s="6" t="inlineStr"/>
      <c r="G20" s="6" t="inlineStr"/>
      <c r="H20" s="6" t="inlineStr"/>
      <c r="I20" s="6" t="inlineStr">
        <is>
          <t>Pending</t>
        </is>
      </c>
    </row>
    <row r="21" ht="25" customHeight="1">
      <c r="B21" s="13" t="inlineStr">
        <is>
          <t>FC/RES/2024/017</t>
        </is>
      </c>
      <c r="C21" s="14" t="inlineStr"/>
      <c r="D21" s="15" t="inlineStr">
        <is>
          <t>Investment</t>
        </is>
      </c>
      <c r="E21" s="15" t="inlineStr"/>
      <c r="F21" s="15" t="inlineStr"/>
      <c r="G21" s="15" t="inlineStr"/>
      <c r="H21" s="15" t="inlineStr"/>
      <c r="I21" s="15" t="inlineStr">
        <is>
          <t>Pending</t>
        </is>
      </c>
    </row>
    <row r="22" ht="25" customHeight="1">
      <c r="B22" s="4" t="inlineStr">
        <is>
          <t>FC/RES/2024/018</t>
        </is>
      </c>
      <c r="C22" s="5" t="inlineStr"/>
      <c r="D22" s="6" t="inlineStr">
        <is>
          <t>Endowment</t>
        </is>
      </c>
      <c r="E22" s="6" t="inlineStr"/>
      <c r="F22" s="6" t="inlineStr"/>
      <c r="G22" s="6" t="inlineStr"/>
      <c r="H22" s="6" t="inlineStr"/>
      <c r="I22" s="6" t="inlineStr">
        <is>
          <t>Pending</t>
        </is>
      </c>
    </row>
    <row r="23" ht="25" customHeight="1">
      <c r="B23" s="13" t="inlineStr">
        <is>
          <t>FC/RES/2024/019</t>
        </is>
      </c>
      <c r="C23" s="14" t="inlineStr"/>
      <c r="D23" s="15" t="inlineStr">
        <is>
          <t>Policy</t>
        </is>
      </c>
      <c r="E23" s="15" t="inlineStr"/>
      <c r="F23" s="15" t="inlineStr"/>
      <c r="G23" s="15" t="inlineStr"/>
      <c r="H23" s="15" t="inlineStr"/>
      <c r="I23" s="15" t="inlineStr">
        <is>
          <t>Pending</t>
        </is>
      </c>
    </row>
    <row r="24" ht="25" customHeight="1">
      <c r="B24" s="4" t="inlineStr">
        <is>
          <t>FC/RES/2024/020</t>
        </is>
      </c>
      <c r="C24" s="5" t="inlineStr"/>
      <c r="D24" s="6" t="inlineStr">
        <is>
          <t>Others</t>
        </is>
      </c>
      <c r="E24" s="6" t="inlineStr"/>
      <c r="F24" s="6" t="inlineStr"/>
      <c r="G24" s="6" t="inlineStr"/>
      <c r="H24" s="6" t="inlineStr"/>
      <c r="I24" s="6" t="inlineStr">
        <is>
          <t>Pending</t>
        </is>
      </c>
    </row>
    <row r="25" ht="25" customHeight="1">
      <c r="B25" s="13" t="inlineStr">
        <is>
          <t>FC/RES/2024/021</t>
        </is>
      </c>
      <c r="C25" s="14" t="inlineStr"/>
      <c r="D25" s="15" t="inlineStr">
        <is>
          <t>Budget</t>
        </is>
      </c>
      <c r="E25" s="15" t="inlineStr"/>
      <c r="F25" s="15" t="inlineStr"/>
      <c r="G25" s="15" t="inlineStr"/>
      <c r="H25" s="15" t="inlineStr"/>
      <c r="I25" s="15" t="inlineStr">
        <is>
          <t>Pending</t>
        </is>
      </c>
    </row>
    <row r="26" ht="25" customHeight="1">
      <c r="B26" s="4" t="inlineStr">
        <is>
          <t>FC/RES/2024/022</t>
        </is>
      </c>
      <c r="C26" s="5" t="inlineStr"/>
      <c r="D26" s="6" t="inlineStr">
        <is>
          <t>Fee Structure</t>
        </is>
      </c>
      <c r="E26" s="6" t="inlineStr"/>
      <c r="F26" s="6" t="inlineStr"/>
      <c r="G26" s="6" t="inlineStr"/>
      <c r="H26" s="6" t="inlineStr"/>
      <c r="I26" s="6" t="inlineStr">
        <is>
          <t>Pending</t>
        </is>
      </c>
    </row>
    <row r="27" ht="25" customHeight="1">
      <c r="B27" s="13" t="inlineStr">
        <is>
          <t>FC/RES/2024/023</t>
        </is>
      </c>
      <c r="C27" s="14" t="inlineStr"/>
      <c r="D27" s="15" t="inlineStr">
        <is>
          <t>Grant / Fund</t>
        </is>
      </c>
      <c r="E27" s="15" t="inlineStr"/>
      <c r="F27" s="15" t="inlineStr"/>
      <c r="G27" s="15" t="inlineStr"/>
      <c r="H27" s="15" t="inlineStr"/>
      <c r="I27" s="15" t="inlineStr">
        <is>
          <t>Pending</t>
        </is>
      </c>
    </row>
    <row r="28" ht="25" customHeight="1">
      <c r="B28" s="4" t="inlineStr">
        <is>
          <t>FC/RES/2024/024</t>
        </is>
      </c>
      <c r="C28" s="5" t="inlineStr"/>
      <c r="D28" s="6" t="inlineStr">
        <is>
          <t>Procurement</t>
        </is>
      </c>
      <c r="E28" s="6" t="inlineStr"/>
      <c r="F28" s="6" t="inlineStr"/>
      <c r="G28" s="6" t="inlineStr"/>
      <c r="H28" s="6" t="inlineStr"/>
      <c r="I28" s="6" t="inlineStr">
        <is>
          <t>Pending</t>
        </is>
      </c>
    </row>
    <row r="29" ht="25" customHeight="1">
      <c r="B29" s="13" t="inlineStr">
        <is>
          <t>FC/RES/2025/025</t>
        </is>
      </c>
      <c r="C29" s="14" t="inlineStr"/>
      <c r="D29" s="15" t="inlineStr">
        <is>
          <t>Salary / HR</t>
        </is>
      </c>
      <c r="E29" s="15" t="inlineStr"/>
      <c r="F29" s="15" t="inlineStr"/>
      <c r="G29" s="15" t="inlineStr"/>
      <c r="H29" s="15" t="inlineStr"/>
      <c r="I29" s="15" t="inlineStr">
        <is>
          <t>Pending</t>
        </is>
      </c>
    </row>
    <row r="30" ht="25" customHeight="1">
      <c r="B30" s="4" t="inlineStr">
        <is>
          <t>FC/RES/2025/026</t>
        </is>
      </c>
      <c r="C30" s="5" t="inlineStr"/>
      <c r="D30" s="6" t="inlineStr">
        <is>
          <t>Audit / Compliance</t>
        </is>
      </c>
      <c r="E30" s="6" t="inlineStr"/>
      <c r="F30" s="6" t="inlineStr"/>
      <c r="G30" s="6" t="inlineStr"/>
      <c r="H30" s="6" t="inlineStr"/>
      <c r="I30" s="6" t="inlineStr">
        <is>
          <t>Pending</t>
        </is>
      </c>
    </row>
    <row r="31" ht="25" customHeight="1">
      <c r="B31" s="13" t="inlineStr">
        <is>
          <t>FC/RES/2025/027</t>
        </is>
      </c>
      <c r="C31" s="14" t="inlineStr"/>
      <c r="D31" s="15" t="inlineStr">
        <is>
          <t>Investment</t>
        </is>
      </c>
      <c r="E31" s="15" t="inlineStr"/>
      <c r="F31" s="15" t="inlineStr"/>
      <c r="G31" s="15" t="inlineStr"/>
      <c r="H31" s="15" t="inlineStr"/>
      <c r="I31" s="15" t="inlineStr">
        <is>
          <t>Pending</t>
        </is>
      </c>
    </row>
    <row r="32" ht="25" customHeight="1">
      <c r="B32" s="4" t="inlineStr">
        <is>
          <t>FC/RES/2025/028</t>
        </is>
      </c>
      <c r="C32" s="5" t="inlineStr"/>
      <c r="D32" s="6" t="inlineStr">
        <is>
          <t>Endowment</t>
        </is>
      </c>
      <c r="E32" s="6" t="inlineStr"/>
      <c r="F32" s="6" t="inlineStr"/>
      <c r="G32" s="6" t="inlineStr"/>
      <c r="H32" s="6" t="inlineStr"/>
      <c r="I32" s="6" t="inlineStr">
        <is>
          <t>Pending</t>
        </is>
      </c>
    </row>
    <row r="33" ht="25" customHeight="1">
      <c r="B33" s="13" t="inlineStr">
        <is>
          <t>FC/RES/2025/029</t>
        </is>
      </c>
      <c r="C33" s="14" t="inlineStr"/>
      <c r="D33" s="15" t="inlineStr">
        <is>
          <t>Policy</t>
        </is>
      </c>
      <c r="E33" s="15" t="inlineStr"/>
      <c r="F33" s="15" t="inlineStr"/>
      <c r="G33" s="15" t="inlineStr"/>
      <c r="H33" s="15" t="inlineStr"/>
      <c r="I33" s="15" t="inlineStr">
        <is>
          <t>Pending</t>
        </is>
      </c>
    </row>
    <row r="34" ht="25" customHeight="1">
      <c r="B34" s="4" t="inlineStr">
        <is>
          <t>FC/RES/2025/030</t>
        </is>
      </c>
      <c r="C34" s="5" t="inlineStr"/>
      <c r="D34" s="6" t="inlineStr">
        <is>
          <t>Others</t>
        </is>
      </c>
      <c r="E34" s="6" t="inlineStr"/>
      <c r="F34" s="6" t="inlineStr"/>
      <c r="G34" s="6" t="inlineStr"/>
      <c r="H34" s="6" t="inlineStr"/>
      <c r="I34" s="6" t="inlineStr">
        <is>
          <t>Pending</t>
        </is>
      </c>
    </row>
    <row r="35" ht="25" customHeight="1">
      <c r="B35" s="13" t="inlineStr">
        <is>
          <t>FC/RES/2025/031</t>
        </is>
      </c>
      <c r="C35" s="14" t="inlineStr"/>
      <c r="D35" s="15" t="inlineStr">
        <is>
          <t>Budget</t>
        </is>
      </c>
      <c r="E35" s="15" t="inlineStr"/>
      <c r="F35" s="15" t="inlineStr"/>
      <c r="G35" s="15" t="inlineStr"/>
      <c r="H35" s="15" t="inlineStr"/>
      <c r="I35" s="15" t="inlineStr">
        <is>
          <t>Pending</t>
        </is>
      </c>
    </row>
    <row r="36" ht="25" customHeight="1">
      <c r="B36" s="4" t="inlineStr">
        <is>
          <t>FC/RES/2025/032</t>
        </is>
      </c>
      <c r="C36" s="5" t="inlineStr"/>
      <c r="D36" s="6" t="inlineStr">
        <is>
          <t>Fee Structure</t>
        </is>
      </c>
      <c r="E36" s="6" t="inlineStr"/>
      <c r="F36" s="6" t="inlineStr"/>
      <c r="G36" s="6" t="inlineStr"/>
      <c r="H36" s="6" t="inlineStr"/>
      <c r="I36" s="6" t="inlineStr">
        <is>
          <t>Pending</t>
        </is>
      </c>
    </row>
    <row r="37" ht="25" customHeight="1">
      <c r="B37" s="13" t="inlineStr">
        <is>
          <t>FC/RES/2025/033</t>
        </is>
      </c>
      <c r="C37" s="14" t="inlineStr"/>
      <c r="D37" s="15" t="inlineStr">
        <is>
          <t>Grant / Fund</t>
        </is>
      </c>
      <c r="E37" s="15" t="inlineStr"/>
      <c r="F37" s="15" t="inlineStr"/>
      <c r="G37" s="15" t="inlineStr"/>
      <c r="H37" s="15" t="inlineStr"/>
      <c r="I37" s="15" t="inlineStr">
        <is>
          <t>Pending</t>
        </is>
      </c>
    </row>
    <row r="38" ht="25" customHeight="1">
      <c r="B38" s="4" t="inlineStr">
        <is>
          <t>FC/RES/2025/034</t>
        </is>
      </c>
      <c r="C38" s="5" t="inlineStr"/>
      <c r="D38" s="6" t="inlineStr">
        <is>
          <t>Procurement</t>
        </is>
      </c>
      <c r="E38" s="6" t="inlineStr"/>
      <c r="F38" s="6" t="inlineStr"/>
      <c r="G38" s="6" t="inlineStr"/>
      <c r="H38" s="6" t="inlineStr"/>
      <c r="I38" s="6" t="inlineStr">
        <is>
          <t>Pending</t>
        </is>
      </c>
    </row>
    <row r="39" ht="25" customHeight="1">
      <c r="B39" s="13" t="inlineStr">
        <is>
          <t>FC/RES/2025/035</t>
        </is>
      </c>
      <c r="C39" s="14" t="inlineStr"/>
      <c r="D39" s="15" t="inlineStr">
        <is>
          <t>Salary / HR</t>
        </is>
      </c>
      <c r="E39" s="15" t="inlineStr"/>
      <c r="F39" s="15" t="inlineStr"/>
      <c r="G39" s="15" t="inlineStr"/>
      <c r="H39" s="15" t="inlineStr"/>
      <c r="I39" s="15" t="inlineStr">
        <is>
          <t>Pending</t>
        </is>
      </c>
    </row>
    <row r="40" ht="25" customHeight="1"/>
    <row r="41" ht="25" customHeight="1">
      <c r="B41" s="20" t="inlineStr">
        <is>
          <t>REGISTER STATISTICS</t>
        </is>
      </c>
    </row>
    <row r="42" ht="25" customHeight="1">
      <c r="B42" s="23" t="inlineStr">
        <is>
          <t>Total FC Resolutions Logged</t>
        </is>
      </c>
      <c r="F42" s="26">
        <f>COUNTA(B5:B39)</f>
        <v/>
      </c>
    </row>
    <row r="43" ht="25" customHeight="1">
      <c r="B43" s="25" t="inlineStr">
        <is>
          <t>Implemented</t>
        </is>
      </c>
      <c r="F43" s="36">
        <f>COUNTIF(I5:I39,"Implemented")</f>
        <v/>
      </c>
    </row>
    <row r="44" ht="25" customHeight="1">
      <c r="B44" s="23" t="inlineStr">
        <is>
          <t>In Progress</t>
        </is>
      </c>
      <c r="F44" s="26">
        <f>COUNTIF(I5:I39,"In Progress")</f>
        <v/>
      </c>
    </row>
    <row r="45" ht="25" customHeight="1">
      <c r="B45" s="25" t="inlineStr">
        <is>
          <t>Pending / Not Started</t>
        </is>
      </c>
      <c r="F45" s="36">
        <f>COUNTIF(I5:I39,"Pending")</f>
        <v/>
      </c>
    </row>
    <row r="46" ht="25" customHeight="1">
      <c r="B46" s="23" t="inlineStr">
        <is>
          <t>Deferred</t>
        </is>
      </c>
      <c r="F46" s="26">
        <f>COUNTIF(I5:I39,"Deferred")</f>
        <v/>
      </c>
    </row>
    <row r="47" ht="25" customHeight="1">
      <c r="B47" s="25" t="inlineStr">
        <is>
          <t>Referred to EC / Principal</t>
        </is>
      </c>
      <c r="F47" s="36">
        <f>COUNTIF(I5:I39,"Referred")</f>
        <v/>
      </c>
    </row>
    <row r="48">
      <c r="B48" s="23" t="inlineStr">
        <is>
          <t>Overall Implementation Rate (%)</t>
        </is>
      </c>
      <c r="F48" s="26">
        <f>IFERROR(ROUND(C43/C42*100,1),"")</f>
        <v/>
      </c>
    </row>
    <row r="50">
      <c r="B50" s="27" t="inlineStr">
        <is>
          <t>Register certified by: Finance Officer ___________________    Verified by: Chairperson (FC) ___________________    Date: ___________________</t>
        </is>
      </c>
    </row>
  </sheetData>
  <mergeCells count="18">
    <mergeCell ref="B45:E45"/>
    <mergeCell ref="B43:E43"/>
    <mergeCell ref="B50:I50"/>
    <mergeCell ref="F43:I43"/>
    <mergeCell ref="B2:I2"/>
    <mergeCell ref="B44:E44"/>
    <mergeCell ref="B48:E48"/>
    <mergeCell ref="F44:I44"/>
    <mergeCell ref="F47:I47"/>
    <mergeCell ref="B3:I3"/>
    <mergeCell ref="F48:I48"/>
    <mergeCell ref="B47:E47"/>
    <mergeCell ref="B41:I41"/>
    <mergeCell ref="B42:E42"/>
    <mergeCell ref="B46:E46"/>
    <mergeCell ref="F45:I45"/>
    <mergeCell ref="F46:I46"/>
    <mergeCell ref="F42:I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2026-04-19T04:40:00Z</dcterms:created>
  <dcterms:modified xmlns:dcterms="http://purl.org/dc/terms/" xmlns:xsi="http://www.w3.org/2001/XMLSchema-instance" xsi:type="dcterms:W3CDTF">2026-04-19T04:40:00Z</dcterms:modified>
</cp:coreProperties>
</file>