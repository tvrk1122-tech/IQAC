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DC-00 Composition" sheetId="2" state="visible" r:id="rId2"/>
    <sheet xmlns:r="http://schemas.openxmlformats.org/officeDocument/2006/relationships" name="RDC-NA Notice &amp; Agenda" sheetId="3" state="visible" r:id="rId3"/>
    <sheet xmlns:r="http://schemas.openxmlformats.org/officeDocument/2006/relationships" name="RDC-AT Attendance" sheetId="4" state="visible" r:id="rId4"/>
    <sheet xmlns:r="http://schemas.openxmlformats.org/officeDocument/2006/relationships" name="RDC-MM Minutes" sheetId="5" state="visible" r:id="rId5"/>
    <sheet xmlns:r="http://schemas.openxmlformats.org/officeDocument/2006/relationships" name="RDC-ATR Action Report" sheetId="6" state="visible" r:id="rId6"/>
    <sheet xmlns:r="http://schemas.openxmlformats.org/officeDocument/2006/relationships" name="SC1-NA Notice &amp; Agenda" sheetId="7" state="visible" r:id="rId7"/>
    <sheet xmlns:r="http://schemas.openxmlformats.org/officeDocument/2006/relationships" name="SC1-AT Attendance" sheetId="8" state="visible" r:id="rId8"/>
    <sheet xmlns:r="http://schemas.openxmlformats.org/officeDocument/2006/relationships" name="SC1-MM Minutes" sheetId="9" state="visible" r:id="rId9"/>
    <sheet xmlns:r="http://schemas.openxmlformats.org/officeDocument/2006/relationships" name="SC1-ATR Action Report" sheetId="10" state="visible" r:id="rId10"/>
    <sheet xmlns:r="http://schemas.openxmlformats.org/officeDocument/2006/relationships" name="SC1-01 Policy Register" sheetId="11" state="visible" r:id="rId11"/>
    <sheet xmlns:r="http://schemas.openxmlformats.org/officeDocument/2006/relationships" name="SC1-02 Priority Areas" sheetId="12" state="visible" r:id="rId12"/>
    <sheet xmlns:r="http://schemas.openxmlformats.org/officeDocument/2006/relationships" name="SC1-03 Annual Research Plan" sheetId="13" state="visible" r:id="rId13"/>
    <sheet xmlns:r="http://schemas.openxmlformats.org/officeDocument/2006/relationships" name="SC1-04 Research Culture" sheetId="14" state="visible" r:id="rId14"/>
    <sheet xmlns:r="http://schemas.openxmlformats.org/officeDocument/2006/relationships" name="SC2-NA Notice &amp; Agenda" sheetId="15" state="visible" r:id="rId15"/>
    <sheet xmlns:r="http://schemas.openxmlformats.org/officeDocument/2006/relationships" name="SC2-AT Attendance" sheetId="16" state="visible" r:id="rId16"/>
    <sheet xmlns:r="http://schemas.openxmlformats.org/officeDocument/2006/relationships" name="SC2-MM Minutes" sheetId="17" state="visible" r:id="rId17"/>
    <sheet xmlns:r="http://schemas.openxmlformats.org/officeDocument/2006/relationships" name="SC2-ATR Action Report" sheetId="18" state="visible" r:id="rId18"/>
    <sheet xmlns:r="http://schemas.openxmlformats.org/officeDocument/2006/relationships" name="SC2-01 Grant Applications" sheetId="19" state="visible" r:id="rId19"/>
    <sheet xmlns:r="http://schemas.openxmlformats.org/officeDocument/2006/relationships" name="SC2-02 Funded Projects" sheetId="20" state="visible" r:id="rId20"/>
    <sheet xmlns:r="http://schemas.openxmlformats.org/officeDocument/2006/relationships" name="SC2-03 Grant Utilisation" sheetId="21" state="visible" r:id="rId21"/>
    <sheet xmlns:r="http://schemas.openxmlformats.org/officeDocument/2006/relationships" name="SC2-04 Seed Money" sheetId="22" state="visible" r:id="rId22"/>
    <sheet xmlns:r="http://schemas.openxmlformats.org/officeDocument/2006/relationships" name="SC3-NA Notice &amp; Agenda" sheetId="23" state="visible" r:id="rId23"/>
    <sheet xmlns:r="http://schemas.openxmlformats.org/officeDocument/2006/relationships" name="SC3-AT Attendance" sheetId="24" state="visible" r:id="rId24"/>
    <sheet xmlns:r="http://schemas.openxmlformats.org/officeDocument/2006/relationships" name="SC3-MM Minutes" sheetId="25" state="visible" r:id="rId25"/>
    <sheet xmlns:r="http://schemas.openxmlformats.org/officeDocument/2006/relationships" name="SC3-ATR Action Report" sheetId="26" state="visible" r:id="rId26"/>
    <sheet xmlns:r="http://schemas.openxmlformats.org/officeDocument/2006/relationships" name="SC3-01 Ethics Protocol" sheetId="27" state="visible" r:id="rId27"/>
    <sheet xmlns:r="http://schemas.openxmlformats.org/officeDocument/2006/relationships" name="SC3-02 Plagiarism Register" sheetId="28" state="visible" r:id="rId28"/>
    <sheet xmlns:r="http://schemas.openxmlformats.org/officeDocument/2006/relationships" name="SC3-03 Ethics Cases" sheetId="29" state="visible" r:id="rId29"/>
    <sheet xmlns:r="http://schemas.openxmlformats.org/officeDocument/2006/relationships" name="SC3-04 Ethics Training" sheetId="30" state="visible" r:id="rId30"/>
    <sheet xmlns:r="http://schemas.openxmlformats.org/officeDocument/2006/relationships" name="SC4-NA Notice &amp; Agenda" sheetId="31" state="visible" r:id="rId31"/>
    <sheet xmlns:r="http://schemas.openxmlformats.org/officeDocument/2006/relationships" name="SC4-AT Attendance" sheetId="32" state="visible" r:id="rId32"/>
    <sheet xmlns:r="http://schemas.openxmlformats.org/officeDocument/2006/relationships" name="SC4-MM Minutes" sheetId="33" state="visible" r:id="rId33"/>
    <sheet xmlns:r="http://schemas.openxmlformats.org/officeDocument/2006/relationships" name="SC4-ATR Action Report" sheetId="34" state="visible" r:id="rId34"/>
    <sheet xmlns:r="http://schemas.openxmlformats.org/officeDocument/2006/relationships" name="SC4-01 Patent Register" sheetId="35" state="visible" r:id="rId35"/>
    <sheet xmlns:r="http://schemas.openxmlformats.org/officeDocument/2006/relationships" name="SC4-02 Technology Transfer" sheetId="36" state="visible" r:id="rId36"/>
    <sheet xmlns:r="http://schemas.openxmlformats.org/officeDocument/2006/relationships" name="SC4-03 Startup Register" sheetId="37" state="visible" r:id="rId37"/>
    <sheet xmlns:r="http://schemas.openxmlformats.org/officeDocument/2006/relationships" name="SC4-04 Innovation Ideas" sheetId="38" state="visible" r:id="rId38"/>
    <sheet xmlns:r="http://schemas.openxmlformats.org/officeDocument/2006/relationships" name="SC5-NA Notice &amp; Agenda" sheetId="39" state="visible" r:id="rId39"/>
    <sheet xmlns:r="http://schemas.openxmlformats.org/officeDocument/2006/relationships" name="SC5-AT Attendance" sheetId="40" state="visible" r:id="rId40"/>
    <sheet xmlns:r="http://schemas.openxmlformats.org/officeDocument/2006/relationships" name="SC5-MM Minutes" sheetId="41" state="visible" r:id="rId41"/>
    <sheet xmlns:r="http://schemas.openxmlformats.org/officeDocument/2006/relationships" name="SC5-ATR Action Report" sheetId="42" state="visible" r:id="rId42"/>
    <sheet xmlns:r="http://schemas.openxmlformats.org/officeDocument/2006/relationships" name="SC5-01 MoU Register" sheetId="43" state="visible" r:id="rId43"/>
    <sheet xmlns:r="http://schemas.openxmlformats.org/officeDocument/2006/relationships" name="SC5-02 Consultancy Register" sheetId="44" state="visible" r:id="rId44"/>
    <sheet xmlns:r="http://schemas.openxmlformats.org/officeDocument/2006/relationships" name="SC5-03 Sponsored Research" sheetId="45" state="visible" r:id="rId45"/>
    <sheet xmlns:r="http://schemas.openxmlformats.org/officeDocument/2006/relationships" name="SC5-04 Knowledge Transfer" sheetId="46" state="visible" r:id="rId46"/>
    <sheet xmlns:r="http://schemas.openxmlformats.org/officeDocument/2006/relationships" name="SC6-NA Notice &amp; Agenda" sheetId="47" state="visible" r:id="rId47"/>
    <sheet xmlns:r="http://schemas.openxmlformats.org/officeDocument/2006/relationships" name="SC6-AT Attendance" sheetId="48" state="visible" r:id="rId48"/>
    <sheet xmlns:r="http://schemas.openxmlformats.org/officeDocument/2006/relationships" name="SC6-MM Minutes" sheetId="49" state="visible" r:id="rId49"/>
    <sheet xmlns:r="http://schemas.openxmlformats.org/officeDocument/2006/relationships" name="SC6-ATR Action Report" sheetId="50" state="visible" r:id="rId50"/>
    <sheet xmlns:r="http://schemas.openxmlformats.org/officeDocument/2006/relationships" name="SC6-01 R&amp;D KPI Dashboard" sheetId="51" state="visible" r:id="rId51"/>
    <sheet xmlns:r="http://schemas.openxmlformats.org/officeDocument/2006/relationships" name="SC6-02 Impact Assessment" sheetId="52" state="visible" r:id="rId52"/>
    <sheet xmlns:r="http://schemas.openxmlformats.org/officeDocument/2006/relationships" name="SC6-03 Annual R&amp;D Report" sheetId="53" state="visible" r:id="rId53"/>
    <sheet xmlns:r="http://schemas.openxmlformats.org/officeDocument/2006/relationships" name="SC6-04 Researcher Career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5B21B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FFFFFF"/>
      <sz val="13"/>
    </font>
    <font>
      <name val="Arial"/>
      <b val="1"/>
      <color rgb="001A0533"/>
      <sz val="10"/>
    </font>
    <font>
      <name val="Arial"/>
      <color rgb="001A0533"/>
      <sz val="9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5B21B6"/>
      <sz val="10"/>
    </font>
    <font>
      <name val="Arial"/>
      <b val="1"/>
      <color rgb="00042F2E"/>
      <sz val="10"/>
    </font>
    <font>
      <name val="Arial"/>
      <color rgb="00042F2E"/>
      <sz val="9"/>
    </font>
    <font>
      <name val="Arial"/>
      <b val="1"/>
      <color rgb="000D9488"/>
      <sz val="10"/>
    </font>
    <font>
      <name val="Arial"/>
      <b val="1"/>
      <color rgb="003F2000"/>
      <sz val="10"/>
    </font>
    <font>
      <name val="Arial"/>
      <b val="1"/>
      <color rgb="004C0519"/>
      <sz val="10"/>
    </font>
    <font>
      <name val="Arial"/>
      <color rgb="004C0519"/>
      <sz val="9"/>
    </font>
    <font>
      <name val="Arial"/>
      <b val="1"/>
      <color rgb="00451A03"/>
      <sz val="10"/>
    </font>
    <font>
      <name val="Arial"/>
      <color rgb="00451A03"/>
      <sz val="9"/>
    </font>
    <font>
      <name val="Arial"/>
      <b val="1"/>
      <color rgb="00052E16"/>
      <sz val="10"/>
    </font>
    <font>
      <name val="Arial"/>
      <color rgb="00052E16"/>
      <sz val="9"/>
    </font>
    <font>
      <name val="Arial"/>
      <b val="1"/>
      <color rgb="000C1445"/>
      <sz val="10"/>
    </font>
    <font>
      <name val="Arial"/>
      <color rgb="000C1445"/>
      <sz val="9"/>
    </font>
  </fonts>
  <fills count="27">
    <fill>
      <patternFill/>
    </fill>
    <fill>
      <patternFill patternType="gray125"/>
    </fill>
    <fill>
      <patternFill patternType="solid">
        <fgColor rgb="001A0533"/>
      </patternFill>
    </fill>
    <fill>
      <patternFill patternType="solid">
        <fgColor rgb="00EDE9FE"/>
      </patternFill>
    </fill>
    <fill>
      <patternFill patternType="solid">
        <fgColor rgb="00EAB308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5B21B6"/>
      </patternFill>
    </fill>
    <fill>
      <patternFill patternType="solid">
        <fgColor rgb="00FEF9C3"/>
      </patternFill>
    </fill>
    <fill>
      <patternFill patternType="solid">
        <fgColor rgb="00CA8A04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42F2E"/>
      </patternFill>
    </fill>
    <fill>
      <patternFill patternType="solid">
        <fgColor rgb="00CCFBF1"/>
      </patternFill>
    </fill>
    <fill>
      <patternFill patternType="solid">
        <fgColor rgb="000D9488"/>
      </patternFill>
    </fill>
    <fill>
      <patternFill patternType="solid">
        <fgColor rgb="004C0519"/>
      </patternFill>
    </fill>
    <fill>
      <patternFill patternType="solid">
        <fgColor rgb="00FFE4E6"/>
      </patternFill>
    </fill>
    <fill>
      <patternFill patternType="solid">
        <fgColor rgb="00BE123C"/>
      </patternFill>
    </fill>
    <fill>
      <patternFill patternType="solid">
        <fgColor rgb="00451A03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052E16"/>
      </patternFill>
    </fill>
    <fill>
      <patternFill patternType="solid">
        <fgColor rgb="00166534"/>
      </patternFill>
    </fill>
    <fill>
      <patternFill patternType="solid">
        <fgColor rgb="000C1445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0" fillId="9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22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23" fillId="20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24" fillId="20" borderId="0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8" fillId="19" borderId="0" applyAlignment="1" pivotButton="0" quotePrefix="0" xfId="0">
      <alignment horizontal="center" vertical="center" wrapText="1"/>
    </xf>
    <xf numFmtId="0" fontId="10" fillId="22" borderId="0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left" vertical="center" wrapText="1"/>
    </xf>
    <xf numFmtId="0" fontId="3" fillId="23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26" fillId="11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22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10" fillId="24" borderId="0" applyAlignment="1" pivotButton="0" quotePrefix="0" xfId="0">
      <alignment horizontal="center" vertical="center" wrapText="1"/>
    </xf>
    <xf numFmtId="0" fontId="27" fillId="25" borderId="1" applyAlignment="1" pivotButton="0" quotePrefix="0" xfId="0">
      <alignment horizontal="left" vertical="center" wrapText="1"/>
    </xf>
    <xf numFmtId="0" fontId="3" fillId="26" borderId="0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 wrapText="1"/>
    </xf>
    <xf numFmtId="0" fontId="28" fillId="25" borderId="0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0" fillId="25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RESEARCH &amp; DEVELOPMENT COUNCIL (RDC)
Data Collection Formats — Master Workbook</t>
        </is>
      </c>
    </row>
    <row r="3" ht="28" customHeight="1">
      <c r="B3" s="2" t="inlineStr">
        <is>
          <t>Institution: _________________________  Dean R&amp;D: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RDC COUNCIL GOVERNANCE ──</t>
        </is>
      </c>
    </row>
    <row r="6" ht="20" customHeight="1">
      <c r="B6" s="5" t="inlineStr">
        <is>
          <t>RDC-00</t>
        </is>
      </c>
      <c r="C6" s="6" t="inlineStr">
        <is>
          <t>RDC Composition &amp; Members Register</t>
        </is>
      </c>
      <c r="D6" s="6" t="inlineStr">
        <is>
          <t>Record Dean R&amp;D, sub-committee chairs &amp; expert members</t>
        </is>
      </c>
      <c r="E6" s="7" t="inlineStr">
        <is>
          <t>Annual</t>
        </is>
      </c>
    </row>
    <row r="7" ht="20" customHeight="1">
      <c r="B7" s="8" t="inlineStr">
        <is>
          <t>RDC-NA</t>
        </is>
      </c>
      <c r="C7" s="9" t="inlineStr">
        <is>
          <t>RDC Council Meeting Notice &amp; Agenda</t>
        </is>
      </c>
      <c r="D7" s="9" t="inlineStr">
        <is>
          <t>Formal notice and agenda for full council meeting</t>
        </is>
      </c>
      <c r="E7" s="10" t="inlineStr">
        <is>
          <t>Each Meeting (Min 2/yr)</t>
        </is>
      </c>
    </row>
    <row r="8" ht="20" customHeight="1">
      <c r="B8" s="5" t="inlineStr">
        <is>
          <t>RDC-AT</t>
        </is>
      </c>
      <c r="C8" s="6" t="inlineStr">
        <is>
          <t>RDC Council 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RDC-MM</t>
        </is>
      </c>
      <c r="C9" s="9" t="inlineStr">
        <is>
          <t>RDC Council Minutes &amp; Resolutions</t>
        </is>
      </c>
      <c r="D9" s="9" t="inlineStr">
        <is>
          <t>Record discussions,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RDC-ATR</t>
        </is>
      </c>
      <c r="C10" s="6" t="inlineStr">
        <is>
          <t>RDC Council Action Taken Report</t>
        </is>
      </c>
      <c r="D10" s="6" t="inlineStr">
        <is>
          <t>Track implementation of council resolutions</t>
        </is>
      </c>
      <c r="E10" s="7" t="inlineStr">
        <is>
          <t>Each Meeting</t>
        </is>
      </c>
    </row>
    <row r="11" ht="20" customHeight="1">
      <c r="B11" s="4" t="inlineStr">
        <is>
          <t>── SC-1: RESEARCH POLICY &amp; PLANNING ──</t>
        </is>
      </c>
    </row>
    <row r="12" ht="20" customHeight="1">
      <c r="B12" s="5" t="inlineStr">
        <is>
          <t>SC1-NA</t>
        </is>
      </c>
      <c r="C12" s="6" t="inlineStr">
        <is>
          <t>SC1 Meeting Notice &amp; Agenda</t>
        </is>
      </c>
      <c r="D12" s="6" t="inlineStr">
        <is>
          <t>Policy sub-committee meeting management</t>
        </is>
      </c>
      <c r="E12" s="7" t="inlineStr">
        <is>
          <t>Quarterly</t>
        </is>
      </c>
    </row>
    <row r="13" ht="20" customHeight="1">
      <c r="B13" s="8" t="inlineStr">
        <is>
          <t>SC1-AT</t>
        </is>
      </c>
      <c r="C13" s="9" t="inlineStr">
        <is>
          <t>SC1 Attendance &amp; Quorum Register</t>
        </is>
      </c>
      <c r="D13" s="9" t="inlineStr">
        <is>
          <t>Attendance tracking for policy sub-committee</t>
        </is>
      </c>
      <c r="E13" s="10" t="inlineStr">
        <is>
          <t>Each Meeting</t>
        </is>
      </c>
    </row>
    <row r="14" ht="20" customHeight="1">
      <c r="B14" s="5" t="inlineStr">
        <is>
          <t>SC1-MM</t>
        </is>
      </c>
      <c r="C14" s="6" t="inlineStr">
        <is>
          <t>SC1 Minutes &amp; Resolutions</t>
        </is>
      </c>
      <c r="D14" s="6" t="inlineStr">
        <is>
          <t>Policy decisions and resolutions</t>
        </is>
      </c>
      <c r="E14" s="7" t="inlineStr">
        <is>
          <t>Each Meeting</t>
        </is>
      </c>
    </row>
    <row r="15" ht="20" customHeight="1">
      <c r="B15" s="8" t="inlineStr">
        <is>
          <t>SC1-ATR</t>
        </is>
      </c>
      <c r="C15" s="9" t="inlineStr">
        <is>
          <t>SC1 Action Taken Report</t>
        </is>
      </c>
      <c r="D15" s="9" t="inlineStr">
        <is>
          <t>Track policy implementation</t>
        </is>
      </c>
      <c r="E15" s="10" t="inlineStr">
        <is>
          <t>Each Meeting</t>
        </is>
      </c>
    </row>
    <row r="16" ht="20" customHeight="1">
      <c r="B16" s="5" t="inlineStr">
        <is>
          <t>SC1-01</t>
        </is>
      </c>
      <c r="C16" s="6" t="inlineStr">
        <is>
          <t>Research Policy &amp; Planning Document Register</t>
        </is>
      </c>
      <c r="D16" s="6" t="inlineStr">
        <is>
          <t>Maintain institutional research policies, SOPs &amp; plans</t>
        </is>
      </c>
      <c r="E16" s="7" t="inlineStr">
        <is>
          <t>Annual</t>
        </is>
      </c>
    </row>
    <row r="17" ht="20" customHeight="1">
      <c r="B17" s="8" t="inlineStr">
        <is>
          <t>SC1-02</t>
        </is>
      </c>
      <c r="C17" s="9" t="inlineStr">
        <is>
          <t>Research Priority Areas Register</t>
        </is>
      </c>
      <c r="D17" s="9" t="inlineStr">
        <is>
          <t>Define, review &amp; update strategic research priority areas</t>
        </is>
      </c>
      <c r="E17" s="10" t="inlineStr">
        <is>
          <t>Annual</t>
        </is>
      </c>
    </row>
    <row r="18" ht="20" customHeight="1">
      <c r="B18" s="5" t="inlineStr">
        <is>
          <t>SC1-03</t>
        </is>
      </c>
      <c r="C18" s="6" t="inlineStr">
        <is>
          <t>Annual Research Plan (ARP) — Dept.-wise</t>
        </is>
      </c>
      <c r="D18" s="6" t="inlineStr">
        <is>
          <t>Department research targets, activities &amp; budgets</t>
        </is>
      </c>
      <c r="E18" s="7" t="inlineStr">
        <is>
          <t>Annual (Pre-Year)</t>
        </is>
      </c>
    </row>
    <row r="19" ht="20" customHeight="1">
      <c r="B19" s="8" t="inlineStr">
        <is>
          <t>SC1-04</t>
        </is>
      </c>
      <c r="C19" s="9" t="inlineStr">
        <is>
          <t>Research Culture &amp; Capacity Building Tracker</t>
        </is>
      </c>
      <c r="D19" s="9" t="inlineStr">
        <is>
          <t>Track research training, seminars, workshops, mentoring</t>
        </is>
      </c>
      <c r="E19" s="10" t="inlineStr">
        <is>
          <t>Annual</t>
        </is>
      </c>
    </row>
    <row r="20" ht="20" customHeight="1">
      <c r="B20" s="4" t="inlineStr">
        <is>
          <t>── SC-2: FUNDING &amp; GRANTS MANAGEMENT ──</t>
        </is>
      </c>
    </row>
    <row r="21" ht="20" customHeight="1">
      <c r="B21" s="8" t="inlineStr">
        <is>
          <t>SC2-NA</t>
        </is>
      </c>
      <c r="C21" s="9" t="inlineStr">
        <is>
          <t>SC2 Meeting Notice &amp; Agenda</t>
        </is>
      </c>
      <c r="D21" s="9" t="inlineStr">
        <is>
          <t>Funding sub-committee meeting management</t>
        </is>
      </c>
      <c r="E21" s="10" t="inlineStr">
        <is>
          <t>Quarterly</t>
        </is>
      </c>
    </row>
    <row r="22" ht="20" customHeight="1">
      <c r="B22" s="5" t="inlineStr">
        <is>
          <t>SC2-AT</t>
        </is>
      </c>
      <c r="C22" s="6" t="inlineStr">
        <is>
          <t>SC2 Attendance &amp; Quorum</t>
        </is>
      </c>
      <c r="D22" s="6" t="inlineStr">
        <is>
          <t>Attendance tracking for funding sub-committee</t>
        </is>
      </c>
      <c r="E22" s="7" t="inlineStr">
        <is>
          <t>Each Meeting</t>
        </is>
      </c>
    </row>
    <row r="23" ht="20" customHeight="1">
      <c r="B23" s="8" t="inlineStr">
        <is>
          <t>SC2-MM</t>
        </is>
      </c>
      <c r="C23" s="9" t="inlineStr">
        <is>
          <t>SC2 Minutes &amp; Resolutions</t>
        </is>
      </c>
      <c r="D23" s="9" t="inlineStr">
        <is>
          <t>Funding decisions and grant approvals</t>
        </is>
      </c>
      <c r="E23" s="10" t="inlineStr">
        <is>
          <t>Each Meeting</t>
        </is>
      </c>
    </row>
    <row r="24" ht="20" customHeight="1">
      <c r="B24" s="5" t="inlineStr">
        <is>
          <t>SC2-ATR</t>
        </is>
      </c>
      <c r="C24" s="6" t="inlineStr">
        <is>
          <t>SC2 Action Taken Report</t>
        </is>
      </c>
      <c r="D24" s="6" t="inlineStr">
        <is>
          <t>Track grant and funding actions</t>
        </is>
      </c>
      <c r="E24" s="7" t="inlineStr">
        <is>
          <t>Each Meeting</t>
        </is>
      </c>
    </row>
    <row r="25" ht="20" customHeight="1">
      <c r="B25" s="8" t="inlineStr">
        <is>
          <t>SC2-01</t>
        </is>
      </c>
      <c r="C25" s="9" t="inlineStr">
        <is>
          <t>Grant Application Tracking Register</t>
        </is>
      </c>
      <c r="D25" s="9" t="inlineStr">
        <is>
          <t>Log all grant applications — internal &amp; external</t>
        </is>
      </c>
      <c r="E25" s="10" t="inlineStr">
        <is>
          <t>Continuous</t>
        </is>
      </c>
    </row>
    <row r="26" ht="20" customHeight="1">
      <c r="B26" s="5" t="inlineStr">
        <is>
          <t>SC2-02</t>
        </is>
      </c>
      <c r="C26" s="6" t="inlineStr">
        <is>
          <t>Funded Project Register &amp; Status Tracker</t>
        </is>
      </c>
      <c r="D26" s="6" t="inlineStr">
        <is>
          <t>Track all active funded projects — milestones &amp; spend</t>
        </is>
      </c>
      <c r="E26" s="7" t="inlineStr">
        <is>
          <t>Monthly</t>
        </is>
      </c>
    </row>
    <row r="27" ht="20" customHeight="1">
      <c r="B27" s="8" t="inlineStr">
        <is>
          <t>SC2-03</t>
        </is>
      </c>
      <c r="C27" s="9" t="inlineStr">
        <is>
          <t>Grant Utilisation &amp; UC Register</t>
        </is>
      </c>
      <c r="D27" s="9" t="inlineStr">
        <is>
          <t>Monitor utilisation certificates &amp; grant compliance</t>
        </is>
      </c>
      <c r="E27" s="10" t="inlineStr">
        <is>
          <t>Continuous</t>
        </is>
      </c>
    </row>
    <row r="28" ht="20" customHeight="1">
      <c r="B28" s="5" t="inlineStr">
        <is>
          <t>SC2-04</t>
        </is>
      </c>
      <c r="C28" s="6" t="inlineStr">
        <is>
          <t>Seed Money / Internal Research Fund Register</t>
        </is>
      </c>
      <c r="D28" s="6" t="inlineStr">
        <is>
          <t>Manage institutional seed money disbursements</t>
        </is>
      </c>
      <c r="E28" s="7" t="inlineStr">
        <is>
          <t>Annual / Per-Project</t>
        </is>
      </c>
    </row>
    <row r="29" ht="20" customHeight="1">
      <c r="B29" s="4" t="inlineStr">
        <is>
          <t>── SC-3: ETHICS &amp; RESEARCH INTEGRITY ──</t>
        </is>
      </c>
    </row>
    <row r="30" ht="20" customHeight="1">
      <c r="B30" s="5" t="inlineStr">
        <is>
          <t>SC3-NA</t>
        </is>
      </c>
      <c r="C30" s="6" t="inlineStr">
        <is>
          <t>SC3 Meeting Notice &amp; Agenda</t>
        </is>
      </c>
      <c r="D30" s="6" t="inlineStr">
        <is>
          <t>Ethics committee meeting management</t>
        </is>
      </c>
      <c r="E30" s="7" t="inlineStr">
        <is>
          <t>Quarterly</t>
        </is>
      </c>
    </row>
    <row r="31" ht="20" customHeight="1">
      <c r="B31" s="8" t="inlineStr">
        <is>
          <t>SC3-AT</t>
        </is>
      </c>
      <c r="C31" s="9" t="inlineStr">
        <is>
          <t>SC3 Attendance &amp; Quorum</t>
        </is>
      </c>
      <c r="D31" s="9" t="inlineStr">
        <is>
          <t>Attendance for ethics committee</t>
        </is>
      </c>
      <c r="E31" s="10" t="inlineStr">
        <is>
          <t>Each Meeting</t>
        </is>
      </c>
    </row>
    <row r="32" ht="20" customHeight="1">
      <c r="B32" s="5" t="inlineStr">
        <is>
          <t>SC3-MM</t>
        </is>
      </c>
      <c r="C32" s="6" t="inlineStr">
        <is>
          <t>SC3 Minutes &amp; Resolutions</t>
        </is>
      </c>
      <c r="D32" s="6" t="inlineStr">
        <is>
          <t>Ethics decisions and case records</t>
        </is>
      </c>
      <c r="E32" s="7" t="inlineStr">
        <is>
          <t>Each Meeting</t>
        </is>
      </c>
    </row>
    <row r="33" ht="20" customHeight="1">
      <c r="B33" s="8" t="inlineStr">
        <is>
          <t>SC3-ATR</t>
        </is>
      </c>
      <c r="C33" s="9" t="inlineStr">
        <is>
          <t>SC3 Action Taken Report</t>
        </is>
      </c>
      <c r="D33" s="9" t="inlineStr">
        <is>
          <t>Track ethics-related action items</t>
        </is>
      </c>
      <c r="E33" s="10" t="inlineStr">
        <is>
          <t>Each Meeting</t>
        </is>
      </c>
    </row>
    <row r="34" ht="20" customHeight="1">
      <c r="B34" s="5" t="inlineStr">
        <is>
          <t>SC3-01</t>
        </is>
      </c>
      <c r="C34" s="6" t="inlineStr">
        <is>
          <t>Research Ethics Protocol Application Form</t>
        </is>
      </c>
      <c r="D34" s="6" t="inlineStr">
        <is>
          <t>Evaluate and approve research ethics protocols</t>
        </is>
      </c>
      <c r="E34" s="7" t="inlineStr">
        <is>
          <t>Per Project</t>
        </is>
      </c>
    </row>
    <row r="35" ht="20" customHeight="1">
      <c r="B35" s="8" t="inlineStr">
        <is>
          <t>SC3-02</t>
        </is>
      </c>
      <c r="C35" s="9" t="inlineStr">
        <is>
          <t>Plagiarism &amp; Integrity Compliance Register</t>
        </is>
      </c>
      <c r="D35" s="9" t="inlineStr">
        <is>
          <t>Track plagiarism checks, integrity incidents &amp; actions</t>
        </is>
      </c>
      <c r="E35" s="10" t="inlineStr">
        <is>
          <t>Continuous</t>
        </is>
      </c>
    </row>
    <row r="36" ht="20" customHeight="1">
      <c r="B36" s="5" t="inlineStr">
        <is>
          <t>SC3-03</t>
        </is>
      </c>
      <c r="C36" s="6" t="inlineStr">
        <is>
          <t>Ethics Case Investigation &amp; Decision Register</t>
        </is>
      </c>
      <c r="D36" s="6" t="inlineStr">
        <is>
          <t>Record, investigate &amp; resolve ethics complaints</t>
        </is>
      </c>
      <c r="E36" s="7" t="inlineStr">
        <is>
          <t>As Required</t>
        </is>
      </c>
    </row>
    <row r="37" ht="20" customHeight="1">
      <c r="B37" s="8" t="inlineStr">
        <is>
          <t>SC3-04</t>
        </is>
      </c>
      <c r="C37" s="9" t="inlineStr">
        <is>
          <t>Researcher Training &amp; Declaration Register</t>
        </is>
      </c>
      <c r="D37" s="9" t="inlineStr">
        <is>
          <t>Log ethics training completions &amp; signed declarations</t>
        </is>
      </c>
      <c r="E37" s="10" t="inlineStr">
        <is>
          <t>Annual</t>
        </is>
      </c>
    </row>
    <row r="38" ht="20" customHeight="1">
      <c r="B38" s="4" t="inlineStr">
        <is>
          <t>── SC-4: INNOVATION, INCUBATION &amp; IPR ──</t>
        </is>
      </c>
    </row>
    <row r="39" ht="20" customHeight="1">
      <c r="B39" s="8" t="inlineStr">
        <is>
          <t>SC4-NA</t>
        </is>
      </c>
      <c r="C39" s="9" t="inlineStr">
        <is>
          <t>SC4 Meeting Notice &amp; Agenda</t>
        </is>
      </c>
      <c r="D39" s="9" t="inlineStr">
        <is>
          <t>Innovation sub-committee meeting management</t>
        </is>
      </c>
      <c r="E39" s="10" t="inlineStr">
        <is>
          <t>Quarterly</t>
        </is>
      </c>
    </row>
    <row r="40" ht="20" customHeight="1">
      <c r="B40" s="5" t="inlineStr">
        <is>
          <t>SC4-AT</t>
        </is>
      </c>
      <c r="C40" s="6" t="inlineStr">
        <is>
          <t>SC4 Attendance &amp; Quorum</t>
        </is>
      </c>
      <c r="D40" s="6" t="inlineStr">
        <is>
          <t>Attendance for innovation committee</t>
        </is>
      </c>
      <c r="E40" s="7" t="inlineStr">
        <is>
          <t>Each Meeting</t>
        </is>
      </c>
    </row>
    <row r="41" ht="20" customHeight="1">
      <c r="B41" s="8" t="inlineStr">
        <is>
          <t>SC4-MM</t>
        </is>
      </c>
      <c r="C41" s="9" t="inlineStr">
        <is>
          <t>SC4 Minutes &amp; Resolutions</t>
        </is>
      </c>
      <c r="D41" s="9" t="inlineStr">
        <is>
          <t>Innovation and IPR decisions</t>
        </is>
      </c>
      <c r="E41" s="10" t="inlineStr">
        <is>
          <t>Each Meeting</t>
        </is>
      </c>
    </row>
    <row r="42" ht="20" customHeight="1">
      <c r="B42" s="5" t="inlineStr">
        <is>
          <t>SC4-ATR</t>
        </is>
      </c>
      <c r="C42" s="6" t="inlineStr">
        <is>
          <t>SC4 Action Taken Report</t>
        </is>
      </c>
      <c r="D42" s="6" t="inlineStr">
        <is>
          <t>Track innovation and IPR actions</t>
        </is>
      </c>
      <c r="E42" s="7" t="inlineStr">
        <is>
          <t>Each Meeting</t>
        </is>
      </c>
    </row>
    <row r="43" ht="20" customHeight="1">
      <c r="B43" s="8" t="inlineStr">
        <is>
          <t>SC4-01</t>
        </is>
      </c>
      <c r="C43" s="9" t="inlineStr">
        <is>
          <t>Patent Application &amp; Status Register</t>
        </is>
      </c>
      <c r="D43" s="9" t="inlineStr">
        <is>
          <t>Track patent filings, publications &amp; grants</t>
        </is>
      </c>
      <c r="E43" s="10" t="inlineStr">
        <is>
          <t>Continuous</t>
        </is>
      </c>
    </row>
    <row r="44" ht="20" customHeight="1">
      <c r="B44" s="5" t="inlineStr">
        <is>
          <t>SC4-02</t>
        </is>
      </c>
      <c r="C44" s="6" t="inlineStr">
        <is>
          <t>Technology Transfer &amp; Licensing Register</t>
        </is>
      </c>
      <c r="D44" s="6" t="inlineStr">
        <is>
          <t>Record technology commercialisation and licensing</t>
        </is>
      </c>
      <c r="E44" s="7" t="inlineStr">
        <is>
          <t>As Required</t>
        </is>
      </c>
    </row>
    <row r="45" ht="20" customHeight="1">
      <c r="B45" s="8" t="inlineStr">
        <is>
          <t>SC4-03</t>
        </is>
      </c>
      <c r="C45" s="9" t="inlineStr">
        <is>
          <t>Startup &amp; Incubation Register</t>
        </is>
      </c>
      <c r="D45" s="9" t="inlineStr">
        <is>
          <t>Track startups incubated, mentored &amp; graduated</t>
        </is>
      </c>
      <c r="E45" s="10" t="inlineStr">
        <is>
          <t>Continuous</t>
        </is>
      </c>
    </row>
    <row r="46" ht="20" customHeight="1">
      <c r="B46" s="5" t="inlineStr">
        <is>
          <t>SC4-04</t>
        </is>
      </c>
      <c r="C46" s="6" t="inlineStr">
        <is>
          <t>Innovation &amp; Idea Submission Register</t>
        </is>
      </c>
      <c r="D46" s="6" t="inlineStr">
        <is>
          <t>Capture, evaluate &amp; fast-track innovations</t>
        </is>
      </c>
      <c r="E46" s="7" t="inlineStr">
        <is>
          <t>Continuous</t>
        </is>
      </c>
    </row>
    <row r="47" ht="20" customHeight="1">
      <c r="B47" s="4" t="inlineStr">
        <is>
          <t>── SC-5: INDUSTRY COLLABORATION &amp; CONSULTANCY ──</t>
        </is>
      </c>
    </row>
    <row r="48" ht="20" customHeight="1">
      <c r="B48" s="5" t="inlineStr">
        <is>
          <t>SC5-NA</t>
        </is>
      </c>
      <c r="C48" s="6" t="inlineStr">
        <is>
          <t>SC5 Meeting Notice &amp; Agenda</t>
        </is>
      </c>
      <c r="D48" s="6" t="inlineStr">
        <is>
          <t>Industry sub-committee meeting management</t>
        </is>
      </c>
      <c r="E48" s="7" t="inlineStr">
        <is>
          <t>Quarterly</t>
        </is>
      </c>
    </row>
    <row r="49" ht="20" customHeight="1">
      <c r="B49" s="8" t="inlineStr">
        <is>
          <t>SC5-AT</t>
        </is>
      </c>
      <c r="C49" s="9" t="inlineStr">
        <is>
          <t>SC5 Attendance &amp; Quorum</t>
        </is>
      </c>
      <c r="D49" s="9" t="inlineStr">
        <is>
          <t>Attendance for industry committee</t>
        </is>
      </c>
      <c r="E49" s="10" t="inlineStr">
        <is>
          <t>Each Meeting</t>
        </is>
      </c>
    </row>
    <row r="50" ht="20" customHeight="1">
      <c r="B50" s="5" t="inlineStr">
        <is>
          <t>SC5-MM</t>
        </is>
      </c>
      <c r="C50" s="6" t="inlineStr">
        <is>
          <t>SC5 Minutes &amp; Resolutions</t>
        </is>
      </c>
      <c r="D50" s="6" t="inlineStr">
        <is>
          <t>Industry collaboration decisions</t>
        </is>
      </c>
      <c r="E50" s="7" t="inlineStr">
        <is>
          <t>Each Meeting</t>
        </is>
      </c>
    </row>
    <row r="51" ht="20" customHeight="1">
      <c r="B51" s="8" t="inlineStr">
        <is>
          <t>SC5-ATR</t>
        </is>
      </c>
      <c r="C51" s="9" t="inlineStr">
        <is>
          <t>SC5 Action Taken Report</t>
        </is>
      </c>
      <c r="D51" s="9" t="inlineStr">
        <is>
          <t>Track industry collaboration actions</t>
        </is>
      </c>
      <c r="E51" s="10" t="inlineStr">
        <is>
          <t>Each Meeting</t>
        </is>
      </c>
    </row>
    <row r="52" ht="20" customHeight="1">
      <c r="B52" s="5" t="inlineStr">
        <is>
          <t>SC5-01</t>
        </is>
      </c>
      <c r="C52" s="6" t="inlineStr">
        <is>
          <t>MoU &amp; Collaboration Register</t>
        </is>
      </c>
      <c r="D52" s="6" t="inlineStr">
        <is>
          <t>Track all institutional MoUs — activity &amp; outcomes</t>
        </is>
      </c>
      <c r="E52" s="7" t="inlineStr">
        <is>
          <t>Continuous</t>
        </is>
      </c>
    </row>
    <row r="53" ht="20" customHeight="1">
      <c r="B53" s="8" t="inlineStr">
        <is>
          <t>SC5-02</t>
        </is>
      </c>
      <c r="C53" s="9" t="inlineStr">
        <is>
          <t>Consultancy Project Register</t>
        </is>
      </c>
      <c r="D53" s="9" t="inlineStr">
        <is>
          <t>Log and monitor all consultancy assignments</t>
        </is>
      </c>
      <c r="E53" s="10" t="inlineStr">
        <is>
          <t>Continuous</t>
        </is>
      </c>
    </row>
    <row r="54" ht="20" customHeight="1">
      <c r="B54" s="5" t="inlineStr">
        <is>
          <t>SC5-03</t>
        </is>
      </c>
      <c r="C54" s="6" t="inlineStr">
        <is>
          <t>Industry Sponsored Research Register</t>
        </is>
      </c>
      <c r="D54" s="6" t="inlineStr">
        <is>
          <t>Track industry-funded research projects &amp; deliverables</t>
        </is>
      </c>
      <c r="E54" s="7" t="inlineStr">
        <is>
          <t>Continuous</t>
        </is>
      </c>
    </row>
    <row r="55" ht="20" customHeight="1">
      <c r="B55" s="8" t="inlineStr">
        <is>
          <t>SC5-04</t>
        </is>
      </c>
      <c r="C55" s="9" t="inlineStr">
        <is>
          <t>Knowledge Transfer &amp; Outreach Register</t>
        </is>
      </c>
      <c r="D55" s="9" t="inlineStr">
        <is>
          <t>Document workshops, training &amp; community outreach</t>
        </is>
      </c>
      <c r="E55" s="10" t="inlineStr">
        <is>
          <t>Annual</t>
        </is>
      </c>
    </row>
    <row r="56" ht="20" customHeight="1">
      <c r="B56" s="4" t="inlineStr">
        <is>
          <t>── SC-6: MONITORING, EVALUATION &amp; IMPACT ──</t>
        </is>
      </c>
    </row>
    <row r="57" ht="20" customHeight="1">
      <c r="B57" s="8" t="inlineStr">
        <is>
          <t>SC6-NA</t>
        </is>
      </c>
      <c r="C57" s="9" t="inlineStr">
        <is>
          <t>SC6 Meeting Notice &amp; Agenda</t>
        </is>
      </c>
      <c r="D57" s="9" t="inlineStr">
        <is>
          <t>M&amp;E sub-committee meeting management</t>
        </is>
      </c>
      <c r="E57" s="10" t="inlineStr">
        <is>
          <t>Quarterly</t>
        </is>
      </c>
    </row>
    <row r="58" ht="20" customHeight="1">
      <c r="B58" s="5" t="inlineStr">
        <is>
          <t>SC6-AT</t>
        </is>
      </c>
      <c r="C58" s="6" t="inlineStr">
        <is>
          <t>SC6 Attendance &amp; Quorum</t>
        </is>
      </c>
      <c r="D58" s="6" t="inlineStr">
        <is>
          <t>Attendance for M&amp;E committee</t>
        </is>
      </c>
      <c r="E58" s="7" t="inlineStr">
        <is>
          <t>Each Meeting</t>
        </is>
      </c>
    </row>
    <row r="59" ht="20" customHeight="1">
      <c r="B59" s="8" t="inlineStr">
        <is>
          <t>SC6-MM</t>
        </is>
      </c>
      <c r="C59" s="9" t="inlineStr">
        <is>
          <t>SC6 Minutes &amp; Resolutions</t>
        </is>
      </c>
      <c r="D59" s="9" t="inlineStr">
        <is>
          <t>M&amp;E decisions and evaluation records</t>
        </is>
      </c>
      <c r="E59" s="10" t="inlineStr">
        <is>
          <t>Each Meeting</t>
        </is>
      </c>
    </row>
    <row r="60" ht="20" customHeight="1">
      <c r="B60" s="5" t="inlineStr">
        <is>
          <t>SC6-ATR</t>
        </is>
      </c>
      <c r="C60" s="6" t="inlineStr">
        <is>
          <t>SC6 Action Taken Report</t>
        </is>
      </c>
      <c r="D60" s="6" t="inlineStr">
        <is>
          <t>Track M&amp;E action items</t>
        </is>
      </c>
      <c r="E60" s="7" t="inlineStr">
        <is>
          <t>Each Meeting</t>
        </is>
      </c>
    </row>
    <row r="61" ht="20" customHeight="1">
      <c r="B61" s="8" t="inlineStr">
        <is>
          <t>SC6-01</t>
        </is>
      </c>
      <c r="C61" s="9" t="inlineStr">
        <is>
          <t>R&amp;D KPI Dashboard</t>
        </is>
      </c>
      <c r="D61" s="9" t="inlineStr">
        <is>
          <t>Real-time tracking of research KPIs vs. targets</t>
        </is>
      </c>
      <c r="E61" s="10" t="inlineStr">
        <is>
          <t>Monthly / Quarterly</t>
        </is>
      </c>
    </row>
    <row r="62" ht="20" customHeight="1">
      <c r="B62" s="5" t="inlineStr">
        <is>
          <t>SC6-02</t>
        </is>
      </c>
      <c r="C62" s="6" t="inlineStr">
        <is>
          <t>Research Output Impact Assessment Form</t>
        </is>
      </c>
      <c r="D62" s="6" t="inlineStr">
        <is>
          <t>Evaluate citation impact, h-index &amp; societal outcomes</t>
        </is>
      </c>
      <c r="E62" s="7" t="inlineStr">
        <is>
          <t>Annual</t>
        </is>
      </c>
    </row>
    <row r="63" ht="20" customHeight="1">
      <c r="B63" s="8" t="inlineStr">
        <is>
          <t>SC6-03</t>
        </is>
      </c>
      <c r="C63" s="9" t="inlineStr">
        <is>
          <t>Annual R&amp;D Performance Report</t>
        </is>
      </c>
      <c r="D63" s="9" t="inlineStr">
        <is>
          <t>Compile institution-wide research performance report</t>
        </is>
      </c>
      <c r="E63" s="10" t="inlineStr">
        <is>
          <t>Annual</t>
        </is>
      </c>
    </row>
    <row r="64" ht="20" customHeight="1">
      <c r="B64" s="5" t="inlineStr">
        <is>
          <t>SC6-04</t>
        </is>
      </c>
      <c r="C64" s="6" t="inlineStr">
        <is>
          <t>Researcher Capacity &amp; Career Tracker</t>
        </is>
      </c>
      <c r="D64" s="6" t="inlineStr">
        <is>
          <t>Track researcher progression, awards &amp; recognition</t>
        </is>
      </c>
      <c r="E64" s="7" t="inlineStr">
        <is>
          <t>Annual</t>
        </is>
      </c>
    </row>
    <row r="132">
      <c r="B132" s="11" t="inlineStr">
        <is>
          <t>• RDC = Research &amp; Development Council — apex body overseeing all research, innovation and knowledge-transfer activities.</t>
        </is>
      </c>
    </row>
    <row r="133">
      <c r="B133" s="11" t="inlineStr">
        <is>
          <t>• The council operates through six specialised sub-committees, each with its own meeting cycle and data collection formats.</t>
        </is>
      </c>
    </row>
    <row r="134">
      <c r="B134" s="11" t="inlineStr">
        <is>
          <t>• RDC formats feed into IQAC AQAR (Criterion III), NAAC SSR, NIRF data, NBA SAR, and external funding reports.</t>
        </is>
      </c>
    </row>
    <row r="135">
      <c r="B135" s="11" t="inlineStr">
        <is>
          <t>• All funded-project records must be reconciled with the Finance Committee on a quarterly basis.</t>
        </is>
      </c>
    </row>
    <row r="136">
      <c r="B136" s="11" t="inlineStr">
        <is>
          <t>• Ethics committee decisions and plagiarism records are confidential and stored under restricted access.</t>
        </is>
      </c>
    </row>
    <row r="137">
      <c r="B137" s="11" t="inlineStr">
        <is>
          <t>• IPR records (patent applications, technology licences) are legally sensitive — maintain per institutional IP policy.</t>
        </is>
      </c>
    </row>
  </sheetData>
  <mergeCells count="15">
    <mergeCell ref="B56:E56"/>
    <mergeCell ref="B132:E132"/>
    <mergeCell ref="B135:E135"/>
    <mergeCell ref="B38:E38"/>
    <mergeCell ref="B133:E133"/>
    <mergeCell ref="B29:E29"/>
    <mergeCell ref="B11:E11"/>
    <mergeCell ref="B3:E3"/>
    <mergeCell ref="B5:E5"/>
    <mergeCell ref="B20:E20"/>
    <mergeCell ref="B2:E2"/>
    <mergeCell ref="B47:E47"/>
    <mergeCell ref="B134:E134"/>
    <mergeCell ref="B137:E137"/>
    <mergeCell ref="B136:E1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22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RDC-00: RESEARCH &amp; DEVELOPMENT COUNCIL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 / Organisation</t>
        </is>
      </c>
      <c r="E4" s="13" t="inlineStr">
        <is>
          <t>Role in RDC</t>
        </is>
      </c>
      <c r="F4" s="13" t="inlineStr">
        <is>
          <t>Domain 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Dean – Research &amp; Development</t>
        </is>
      </c>
      <c r="E5" s="14" t="inlineStr">
        <is>
          <t>Chairman / Dean R&amp;D</t>
        </is>
      </c>
      <c r="F5" s="16" t="inlineStr">
        <is>
          <t>Research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Associate Dean / Sr. Professor</t>
        </is>
      </c>
      <c r="E6" s="8" t="inlineStr">
        <is>
          <t>Vice-Chairman</t>
        </is>
      </c>
      <c r="F6" s="10" t="inlineStr">
        <is>
          <t>Academic Research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Research Coordinator / Officer</t>
        </is>
      </c>
      <c r="E7" s="14" t="inlineStr">
        <is>
          <t>Member Secretary</t>
        </is>
      </c>
      <c r="F7" s="16" t="inlineStr">
        <is>
          <t>R&amp;D Administration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Professor (Senior Faculty)</t>
        </is>
      </c>
      <c r="E8" s="8" t="inlineStr">
        <is>
          <t>SC1 Chair — Policy</t>
        </is>
      </c>
      <c r="F8" s="10" t="inlineStr">
        <is>
          <t>Research Policy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Professor / Finance Expert</t>
        </is>
      </c>
      <c r="E9" s="14" t="inlineStr">
        <is>
          <t>SC2 Chair — Funding</t>
        </is>
      </c>
      <c r="F9" s="16" t="inlineStr">
        <is>
          <t>Grant Management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Professor / Legal Expert</t>
        </is>
      </c>
      <c r="E10" s="8" t="inlineStr">
        <is>
          <t>SC3 Chair — Ethics</t>
        </is>
      </c>
      <c r="F10" s="10" t="inlineStr">
        <is>
          <t>Research Ethics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Professor / IP Expert</t>
        </is>
      </c>
      <c r="E11" s="14" t="inlineStr">
        <is>
          <t>SC4 Chair — Innovation/IPR</t>
        </is>
      </c>
      <c r="F11" s="16" t="inlineStr">
        <is>
          <t>Technology Transfer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Professor / Industry Liaison</t>
        </is>
      </c>
      <c r="E12" s="8" t="inlineStr">
        <is>
          <t>SC5 Chair — Industry</t>
        </is>
      </c>
      <c r="F12" s="10" t="inlineStr">
        <is>
          <t>Industry Relations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Professor / Data Analytics Expert</t>
        </is>
      </c>
      <c r="E13" s="14" t="inlineStr">
        <is>
          <t>SC6 Chair — M&amp;E</t>
        </is>
      </c>
      <c r="F13" s="16" t="inlineStr">
        <is>
          <t>Monitoring &amp; Evaluation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Senior Industry R&amp;D Leader</t>
        </is>
      </c>
      <c r="E14" s="8" t="inlineStr">
        <is>
          <t>External Industry Expert – 1</t>
        </is>
      </c>
      <c r="F14" s="10" t="inlineStr">
        <is>
          <t>Applied Research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CTO / Chief Scientist (Industry)</t>
        </is>
      </c>
      <c r="E15" s="14" t="inlineStr">
        <is>
          <t>External Industry Expert – 2</t>
        </is>
      </c>
      <c r="F15" s="16" t="inlineStr">
        <is>
          <t>Technology Innovation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Eminent Researcher / Academician</t>
        </is>
      </c>
      <c r="E16" s="8" t="inlineStr">
        <is>
          <t>External Academic Expert</t>
        </is>
      </c>
      <c r="F16" s="10" t="inlineStr">
        <is>
          <t>Disciplinary Research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University Research Cell Representative</t>
        </is>
      </c>
      <c r="E17" s="14" t="inlineStr">
        <is>
          <t>University R&amp;D Nominee</t>
        </is>
      </c>
      <c r="F17" s="16" t="inlineStr">
        <is>
          <t>University Liaison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DST / DBT / ICMR Representative</t>
        </is>
      </c>
      <c r="E18" s="8" t="inlineStr">
        <is>
          <t>Government / DST Nominee</t>
        </is>
      </c>
      <c r="F18" s="10" t="inlineStr">
        <is>
          <t>Govt. Funding Policy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IP Attorney / Patent Agent</t>
        </is>
      </c>
      <c r="E19" s="14" t="inlineStr">
        <is>
          <t>Patent / Legal Expert</t>
        </is>
      </c>
      <c r="F19" s="16" t="inlineStr">
        <is>
          <t>IPR &amp; Legal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IQAC In-charge</t>
        </is>
      </c>
      <c r="E20" s="8" t="inlineStr">
        <is>
          <t>IQAC Coordinator (Ex-officio)</t>
        </is>
      </c>
      <c r="F20" s="10" t="inlineStr">
        <is>
          <t>Quality &amp; Accreditation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Incubation Centre Manager / VC</t>
        </is>
      </c>
      <c r="E21" s="14" t="inlineStr">
        <is>
          <t>Industry Incubation Expert</t>
        </is>
      </c>
      <c r="F21" s="16" t="inlineStr">
        <is>
          <t>Startup Ecosystem</t>
        </is>
      </c>
      <c r="G21" s="15" t="inlineStr"/>
      <c r="H21" s="16" t="inlineStr"/>
      <c r="I21" s="16" t="inlineStr"/>
    </row>
    <row r="22" ht="22" customHeight="1">
      <c r="B22" s="8" t="n">
        <v>18</v>
      </c>
      <c r="C22" s="9" t="inlineStr"/>
      <c r="D22" s="9" t="inlineStr">
        <is>
          <t>Senior Research Scholar (elected)</t>
        </is>
      </c>
      <c r="E22" s="8" t="inlineStr">
        <is>
          <t>Ph.D. Research Scholar Rep.</t>
        </is>
      </c>
      <c r="F22" s="10" t="inlineStr">
        <is>
          <t>Scholar Voice</t>
        </is>
      </c>
      <c r="G22" s="9" t="inlineStr"/>
      <c r="H22" s="10" t="inlineStr"/>
      <c r="I22" s="10" t="inlineStr"/>
    </row>
    <row r="23" ht="22" customHeight="1"/>
    <row r="24" ht="20" customHeight="1">
      <c r="B24" s="17" t="inlineStr">
        <is>
          <t>Six sub-committees report to the full RDC. Each sub-committee chair is a full RDC member. External experts from industry, DST/DBT/ICMR, and IP law bring strategic perspective.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3">
    <mergeCell ref="B3:I3"/>
    <mergeCell ref="B24:I24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RDC FULL COUNCIL
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RDC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RDC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SC1 Report — Research policy, planning &amp; ARP review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SC2 Report — Grants received, utilisation &amp; pipeline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SC3 Report — Ethics protocols, plagiarism &amp; integrity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SC4 Report — Patents, startups &amp; innovation ecosystem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SC5 Report — MoUs, consultancy &amp; industry collaboration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SC6 Report — KPI dashboard, impact &amp; annual R&amp;D report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Institutional research budget — review &amp; reallocation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National / international research rankings &amp; benchmarking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New research priority areas — approval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Faculty research incentive policy review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Collaboration with international universities — update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Research infrastructure — equipment &amp; lab augmentation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Any Other Matter with Permission of Chairman (AOMPC)</t>
        </is>
      </c>
      <c r="D27" s="16" t="inlineStr"/>
      <c r="E27" s="16" t="inlineStr"/>
    </row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RDC FULL COUNCIL — ATTENDANCE &amp; QUORUM REGISTER</t>
        </is>
      </c>
    </row>
    <row r="3" ht="25" customHeight="1">
      <c r="B3" s="21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 / 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Authorised To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RDC FULL COUNCIL — MEETING MINUTES &amp; RESOLUTIONS</t>
        </is>
      </c>
    </row>
    <row r="3" ht="25" customHeight="1">
      <c r="B3" s="21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14" t="inlineStr">
        <is>
          <t>RDC/RES/001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2" customHeight="1">
      <c r="B7" s="8" t="inlineStr">
        <is>
          <t>RDC/RES/002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14" t="inlineStr">
        <is>
          <t>RDC/RES/003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2" customHeight="1">
      <c r="B9" s="8" t="inlineStr">
        <is>
          <t>RDC/RES/004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14" t="inlineStr">
        <is>
          <t>RDC/RES/005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2" customHeight="1">
      <c r="B11" s="8" t="inlineStr">
        <is>
          <t>RDC/RES/006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14" t="inlineStr">
        <is>
          <t>RDC/RES/007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2" customHeight="1">
      <c r="B13" s="8" t="inlineStr">
        <is>
          <t>RDC/RES/008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14" t="inlineStr">
        <is>
          <t>RDC/RES/009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2" customHeight="1">
      <c r="B15" s="8" t="inlineStr">
        <is>
          <t>RDC/RES/010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14" t="inlineStr">
        <is>
          <t>RDC/RES/011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2" customHeight="1">
      <c r="B17" s="8" t="inlineStr">
        <is>
          <t>RDC/RES/012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14" t="inlineStr">
        <is>
          <t>RDC/RES/013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2" customHeight="1">
      <c r="B19" s="8" t="inlineStr">
        <is>
          <t>RDC/RES/014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RDC FULL COUNCIL — ACTION TAKEN REPORT</t>
        </is>
      </c>
    </row>
    <row r="3" ht="25" customHeight="1">
      <c r="B3" s="21" t="inlineStr">
        <is>
          <t>Current Meeting No.: _______  Date: _______  Previous Meeting Ref.: _______</t>
        </is>
      </c>
    </row>
    <row r="4" ht="25" customHeight="1">
      <c r="B4" s="13" t="inlineStr">
        <is>
          <t>Resolution
No.</t>
        </is>
      </c>
      <c r="C4" s="13" t="inlineStr">
        <is>
          <t>Resolution / Decision (Previous)</t>
        </is>
      </c>
      <c r="D4" s="13" t="inlineStr">
        <is>
          <t>Action Required</t>
        </is>
      </c>
      <c r="E4" s="13" t="inlineStr">
        <is>
          <t>Responsible</t>
        </is>
      </c>
      <c r="F4" s="13" t="inlineStr">
        <is>
          <t>Target
Date</t>
        </is>
      </c>
      <c r="G4" s="13" t="inlineStr">
        <is>
          <t>Completion
Date</t>
        </is>
      </c>
      <c r="H4" s="13" t="inlineStr">
        <is>
          <t>Status &amp; Evidence</t>
        </is>
      </c>
    </row>
    <row r="5" ht="26" customHeight="1">
      <c r="B5" s="14" t="inlineStr">
        <is>
          <t>RDC/RES/001</t>
        </is>
      </c>
      <c r="C5" s="15" t="inlineStr"/>
      <c r="D5" s="15" t="inlineStr"/>
      <c r="E5" s="16" t="inlineStr"/>
      <c r="F5" s="16" t="inlineStr"/>
      <c r="G5" s="16" t="inlineStr"/>
      <c r="H5" s="15" t="inlineStr">
        <is>
          <t>In Progress</t>
        </is>
      </c>
    </row>
    <row r="6" ht="26" customHeight="1">
      <c r="B6" s="8" t="inlineStr">
        <is>
          <t>RDC/RES/002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14" t="inlineStr">
        <is>
          <t>RDC/RES/003</t>
        </is>
      </c>
      <c r="C7" s="15" t="inlineStr"/>
      <c r="D7" s="15" t="inlineStr"/>
      <c r="E7" s="16" t="inlineStr"/>
      <c r="F7" s="16" t="inlineStr"/>
      <c r="G7" s="16" t="inlineStr"/>
      <c r="H7" s="15" t="inlineStr">
        <is>
          <t>In Progress</t>
        </is>
      </c>
    </row>
    <row r="8" ht="26" customHeight="1">
      <c r="B8" s="8" t="inlineStr">
        <is>
          <t>RDC/RES/004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14" t="inlineStr">
        <is>
          <t>RDC/RES/005</t>
        </is>
      </c>
      <c r="C9" s="15" t="inlineStr"/>
      <c r="D9" s="15" t="inlineStr"/>
      <c r="E9" s="16" t="inlineStr"/>
      <c r="F9" s="16" t="inlineStr"/>
      <c r="G9" s="16" t="inlineStr"/>
      <c r="H9" s="15" t="inlineStr">
        <is>
          <t>In Progress</t>
        </is>
      </c>
    </row>
    <row r="10" ht="26" customHeight="1">
      <c r="B10" s="8" t="inlineStr">
        <is>
          <t>RDC/RES/006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14" t="inlineStr">
        <is>
          <t>RDC/RES/007</t>
        </is>
      </c>
      <c r="C11" s="15" t="inlineStr"/>
      <c r="D11" s="15" t="inlineStr"/>
      <c r="E11" s="16" t="inlineStr"/>
      <c r="F11" s="16" t="inlineStr"/>
      <c r="G11" s="16" t="inlineStr"/>
      <c r="H11" s="15" t="inlineStr">
        <is>
          <t>In Progress</t>
        </is>
      </c>
    </row>
    <row r="12" ht="26" customHeight="1">
      <c r="B12" s="8" t="inlineStr">
        <is>
          <t>RDC/RES/008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14" t="inlineStr">
        <is>
          <t>RDC/RES/009</t>
        </is>
      </c>
      <c r="C13" s="15" t="inlineStr"/>
      <c r="D13" s="15" t="inlineStr"/>
      <c r="E13" s="16" t="inlineStr"/>
      <c r="F13" s="16" t="inlineStr"/>
      <c r="G13" s="16" t="inlineStr"/>
      <c r="H13" s="15" t="inlineStr">
        <is>
          <t>In Progress</t>
        </is>
      </c>
    </row>
    <row r="14" ht="26" customHeight="1">
      <c r="B14" s="8" t="inlineStr">
        <is>
          <t>RDC/RES/010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14" t="inlineStr">
        <is>
          <t>RDC/RES/011</t>
        </is>
      </c>
      <c r="C15" s="15" t="inlineStr"/>
      <c r="D15" s="15" t="inlineStr"/>
      <c r="E15" s="16" t="inlineStr"/>
      <c r="F15" s="16" t="inlineStr"/>
      <c r="G15" s="16" t="inlineStr"/>
      <c r="H15" s="15" t="inlineStr">
        <is>
          <t>In Progress</t>
        </is>
      </c>
    </row>
    <row r="16" ht="26" customHeight="1">
      <c r="B16" s="8" t="inlineStr">
        <is>
          <t>RDC/RES/012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14" t="inlineStr">
        <is>
          <t>RDC/RES/013</t>
        </is>
      </c>
      <c r="C17" s="15" t="inlineStr"/>
      <c r="D17" s="15" t="inlineStr"/>
      <c r="E17" s="16" t="inlineStr"/>
      <c r="F17" s="16" t="inlineStr"/>
      <c r="G17" s="16" t="inlineStr"/>
      <c r="H17" s="15" t="inlineStr">
        <is>
          <t>In Progress</t>
        </is>
      </c>
    </row>
    <row r="18" ht="26" customHeight="1">
      <c r="B18" s="8" t="inlineStr">
        <is>
          <t>RDC/RES/014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14" t="inlineStr">
        <is>
          <t>RDC/RES/015</t>
        </is>
      </c>
      <c r="C19" s="15" t="inlineStr"/>
      <c r="D19" s="15" t="inlineStr"/>
      <c r="E19" s="16" t="inlineStr"/>
      <c r="F19" s="16" t="inlineStr"/>
      <c r="G19" s="16" t="inlineStr"/>
      <c r="H19" s="15" t="inlineStr">
        <is>
          <t>In Progress</t>
        </is>
      </c>
    </row>
    <row r="20" ht="26" customHeight="1"/>
    <row r="21" ht="24" customHeight="1">
      <c r="B21" s="20" t="inlineStr">
        <is>
          <t>ATR SUMMARY</t>
        </is>
      </c>
    </row>
    <row r="22" ht="26" customHeight="1">
      <c r="B22" s="30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30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30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SC-1: RESEARCH POLICY &amp; PLANNING
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Academic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Review &amp; update of Institutional Research Policy document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Annual Research Plan (ARP) — department submissions review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Research priority areas — alignment with national missions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Research incentive &amp; award policy — review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Ph.D. regulations &amp; research degree norms update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Research methodology training calendar review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Collaboration &amp; joint-degree research policies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Research data management policy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Any Other Matter with Permission of Chairman</t>
        </is>
      </c>
      <c r="D21" s="16" t="inlineStr"/>
      <c r="E21" s="16" t="inlineStr"/>
    </row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SC-1: RESEARCH POLICY &amp; PLANNING — ATTENDANCE &amp; QUORUM REGISTER</t>
        </is>
      </c>
    </row>
    <row r="3" ht="25" customHeight="1">
      <c r="B3" s="21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 / 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Authorised To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SC-1: RESEARCH POLICY &amp; PLANNING — MEETING MINUTES &amp; RESOLUTIONS</t>
        </is>
      </c>
    </row>
    <row r="3" ht="25" customHeight="1">
      <c r="B3" s="21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14" t="inlineStr">
        <is>
          <t>SC1/RES/001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2" customHeight="1">
      <c r="B7" s="8" t="inlineStr">
        <is>
          <t>SC1/RES/002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14" t="inlineStr">
        <is>
          <t>SC1/RES/003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2" customHeight="1">
      <c r="B9" s="8" t="inlineStr">
        <is>
          <t>SC1/RES/004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14" t="inlineStr">
        <is>
          <t>SC1/RES/005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2" customHeight="1">
      <c r="B11" s="8" t="inlineStr">
        <is>
          <t>SC1/RES/006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14" t="inlineStr">
        <is>
          <t>SC1/RES/007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2" customHeight="1">
      <c r="B13" s="8" t="inlineStr">
        <is>
          <t>SC1/RES/008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14" t="inlineStr">
        <is>
          <t>SC1/RES/009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2" customHeight="1">
      <c r="B15" s="8" t="inlineStr">
        <is>
          <t>SC1/RES/010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14" t="inlineStr">
        <is>
          <t>SC1/RES/011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2" customHeight="1">
      <c r="B17" s="8" t="inlineStr">
        <is>
          <t>SC1/RES/012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14" t="inlineStr">
        <is>
          <t>SC1/RES/013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2" customHeight="1">
      <c r="B19" s="8" t="inlineStr">
        <is>
          <t>SC1/RES/014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SC-1: RESEARCH POLICY &amp; PLANNING — ACTION TAKEN REPORT</t>
        </is>
      </c>
    </row>
    <row r="3" ht="25" customHeight="1">
      <c r="B3" s="21" t="inlineStr">
        <is>
          <t>Current Meeting No.: _______  Date: _______  Previous Meeting Ref.: _______</t>
        </is>
      </c>
    </row>
    <row r="4" ht="25" customHeight="1">
      <c r="B4" s="13" t="inlineStr">
        <is>
          <t>Resolution
No.</t>
        </is>
      </c>
      <c r="C4" s="13" t="inlineStr">
        <is>
          <t>Resolution / Decision (Previous)</t>
        </is>
      </c>
      <c r="D4" s="13" t="inlineStr">
        <is>
          <t>Action Required</t>
        </is>
      </c>
      <c r="E4" s="13" t="inlineStr">
        <is>
          <t>Responsible</t>
        </is>
      </c>
      <c r="F4" s="13" t="inlineStr">
        <is>
          <t>Target
Date</t>
        </is>
      </c>
      <c r="G4" s="13" t="inlineStr">
        <is>
          <t>Completion
Date</t>
        </is>
      </c>
      <c r="H4" s="13" t="inlineStr">
        <is>
          <t>Status &amp; Evidence</t>
        </is>
      </c>
    </row>
    <row r="5" ht="26" customHeight="1">
      <c r="B5" s="14" t="inlineStr">
        <is>
          <t>SC1/RES/001</t>
        </is>
      </c>
      <c r="C5" s="15" t="inlineStr"/>
      <c r="D5" s="15" t="inlineStr"/>
      <c r="E5" s="16" t="inlineStr"/>
      <c r="F5" s="16" t="inlineStr"/>
      <c r="G5" s="16" t="inlineStr"/>
      <c r="H5" s="15" t="inlineStr">
        <is>
          <t>In Progress</t>
        </is>
      </c>
    </row>
    <row r="6" ht="26" customHeight="1">
      <c r="B6" s="8" t="inlineStr">
        <is>
          <t>SC1/RES/002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14" t="inlineStr">
        <is>
          <t>SC1/RES/003</t>
        </is>
      </c>
      <c r="C7" s="15" t="inlineStr"/>
      <c r="D7" s="15" t="inlineStr"/>
      <c r="E7" s="16" t="inlineStr"/>
      <c r="F7" s="16" t="inlineStr"/>
      <c r="G7" s="16" t="inlineStr"/>
      <c r="H7" s="15" t="inlineStr">
        <is>
          <t>In Progress</t>
        </is>
      </c>
    </row>
    <row r="8" ht="26" customHeight="1">
      <c r="B8" s="8" t="inlineStr">
        <is>
          <t>SC1/RES/004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14" t="inlineStr">
        <is>
          <t>SC1/RES/005</t>
        </is>
      </c>
      <c r="C9" s="15" t="inlineStr"/>
      <c r="D9" s="15" t="inlineStr"/>
      <c r="E9" s="16" t="inlineStr"/>
      <c r="F9" s="16" t="inlineStr"/>
      <c r="G9" s="16" t="inlineStr"/>
      <c r="H9" s="15" t="inlineStr">
        <is>
          <t>In Progress</t>
        </is>
      </c>
    </row>
    <row r="10" ht="26" customHeight="1">
      <c r="B10" s="8" t="inlineStr">
        <is>
          <t>SC1/RES/006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14" t="inlineStr">
        <is>
          <t>SC1/RES/007</t>
        </is>
      </c>
      <c r="C11" s="15" t="inlineStr"/>
      <c r="D11" s="15" t="inlineStr"/>
      <c r="E11" s="16" t="inlineStr"/>
      <c r="F11" s="16" t="inlineStr"/>
      <c r="G11" s="16" t="inlineStr"/>
      <c r="H11" s="15" t="inlineStr">
        <is>
          <t>In Progress</t>
        </is>
      </c>
    </row>
    <row r="12" ht="26" customHeight="1">
      <c r="B12" s="8" t="inlineStr">
        <is>
          <t>SC1/RES/008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14" t="inlineStr">
        <is>
          <t>SC1/RES/009</t>
        </is>
      </c>
      <c r="C13" s="15" t="inlineStr"/>
      <c r="D13" s="15" t="inlineStr"/>
      <c r="E13" s="16" t="inlineStr"/>
      <c r="F13" s="16" t="inlineStr"/>
      <c r="G13" s="16" t="inlineStr"/>
      <c r="H13" s="15" t="inlineStr">
        <is>
          <t>In Progress</t>
        </is>
      </c>
    </row>
    <row r="14" ht="26" customHeight="1">
      <c r="B14" s="8" t="inlineStr">
        <is>
          <t>SC1/RES/010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14" t="inlineStr">
        <is>
          <t>SC1/RES/011</t>
        </is>
      </c>
      <c r="C15" s="15" t="inlineStr"/>
      <c r="D15" s="15" t="inlineStr"/>
      <c r="E15" s="16" t="inlineStr"/>
      <c r="F15" s="16" t="inlineStr"/>
      <c r="G15" s="16" t="inlineStr"/>
      <c r="H15" s="15" t="inlineStr">
        <is>
          <t>In Progress</t>
        </is>
      </c>
    </row>
    <row r="16" ht="26" customHeight="1">
      <c r="B16" s="8" t="inlineStr">
        <is>
          <t>SC1/RES/012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14" t="inlineStr">
        <is>
          <t>SC1/RES/013</t>
        </is>
      </c>
      <c r="C17" s="15" t="inlineStr"/>
      <c r="D17" s="15" t="inlineStr"/>
      <c r="E17" s="16" t="inlineStr"/>
      <c r="F17" s="16" t="inlineStr"/>
      <c r="G17" s="16" t="inlineStr"/>
      <c r="H17" s="15" t="inlineStr">
        <is>
          <t>In Progress</t>
        </is>
      </c>
    </row>
    <row r="18" ht="26" customHeight="1">
      <c r="B18" s="8" t="inlineStr">
        <is>
          <t>SC1/RES/014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14" t="inlineStr">
        <is>
          <t>SC1/RES/015</t>
        </is>
      </c>
      <c r="C19" s="15" t="inlineStr"/>
      <c r="D19" s="15" t="inlineStr"/>
      <c r="E19" s="16" t="inlineStr"/>
      <c r="F19" s="16" t="inlineStr"/>
      <c r="G19" s="16" t="inlineStr"/>
      <c r="H19" s="15" t="inlineStr">
        <is>
          <t>In Progress</t>
        </is>
      </c>
    </row>
    <row r="20" ht="26" customHeight="1"/>
    <row r="21" ht="24" customHeight="1">
      <c r="B21" s="20" t="inlineStr">
        <is>
          <t>ATR SUMMARY</t>
        </is>
      </c>
    </row>
    <row r="22" ht="26" customHeight="1">
      <c r="B22" s="30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30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30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SC1-01: RESEARCH POLICY &amp; PLANNING DOCUMENT REGISTER</t>
        </is>
      </c>
    </row>
    <row r="3" ht="25" customHeight="1">
      <c r="B3" s="21" t="inlineStr">
        <is>
          <t>Department: ALL  A.Y.: _______  SC1 Chairperson: ___________________  Last Updated: _______</t>
        </is>
      </c>
    </row>
    <row r="4" ht="25" customHeight="1">
      <c r="B4" s="13" t="inlineStr">
        <is>
          <t>Doc.
Ref.</t>
        </is>
      </c>
      <c r="C4" s="13" t="inlineStr">
        <is>
          <t>Policy / Document Title</t>
        </is>
      </c>
      <c r="D4" s="13" t="inlineStr">
        <is>
          <t>Category</t>
        </is>
      </c>
      <c r="E4" s="13" t="inlineStr">
        <is>
          <t>Version</t>
        </is>
      </c>
      <c r="F4" s="13" t="inlineStr">
        <is>
          <t>Effective Date</t>
        </is>
      </c>
      <c r="G4" s="13" t="inlineStr">
        <is>
          <t>Review Due</t>
        </is>
      </c>
      <c r="H4" s="13" t="inlineStr">
        <is>
          <t>Status</t>
        </is>
      </c>
      <c r="I4" s="13" t="inlineStr">
        <is>
          <t>RDC Approval Ref.</t>
        </is>
      </c>
    </row>
    <row r="5" ht="22" customHeight="1">
      <c r="B5" s="14" t="inlineStr">
        <is>
          <t>POL-RD-01</t>
        </is>
      </c>
      <c r="C5" s="15" t="inlineStr">
        <is>
          <t>Institutional Research Policy</t>
        </is>
      </c>
      <c r="D5" s="16" t="inlineStr">
        <is>
          <t>Research Governance</t>
        </is>
      </c>
      <c r="E5" s="16" t="inlineStr">
        <is>
          <t>v1.0</t>
        </is>
      </c>
      <c r="F5" s="16" t="inlineStr"/>
      <c r="G5" s="16" t="inlineStr"/>
      <c r="H5" s="16" t="inlineStr">
        <is>
          <t>Active</t>
        </is>
      </c>
      <c r="I5" s="16" t="inlineStr"/>
    </row>
    <row r="6" ht="22" customHeight="1">
      <c r="B6" s="8" t="inlineStr">
        <is>
          <t>POL-RD-02</t>
        </is>
      </c>
      <c r="C6" s="9" t="inlineStr">
        <is>
          <t>Ph.D. / Research Degree Ordinance</t>
        </is>
      </c>
      <c r="D6" s="10" t="inlineStr">
        <is>
          <t>Degree Regulations</t>
        </is>
      </c>
      <c r="E6" s="10" t="inlineStr">
        <is>
          <t>v1.0</t>
        </is>
      </c>
      <c r="F6" s="10" t="inlineStr"/>
      <c r="G6" s="10" t="inlineStr"/>
      <c r="H6" s="10" t="inlineStr">
        <is>
          <t>Active</t>
        </is>
      </c>
      <c r="I6" s="10" t="inlineStr"/>
    </row>
    <row r="7" ht="22" customHeight="1">
      <c r="B7" s="14" t="inlineStr">
        <is>
          <t>POL-RD-03</t>
        </is>
      </c>
      <c r="C7" s="15" t="inlineStr">
        <is>
          <t>Research Data Management Policy</t>
        </is>
      </c>
      <c r="D7" s="16" t="inlineStr">
        <is>
          <t>Data Governance</t>
        </is>
      </c>
      <c r="E7" s="16" t="inlineStr">
        <is>
          <t>v1.0</t>
        </is>
      </c>
      <c r="F7" s="16" t="inlineStr"/>
      <c r="G7" s="16" t="inlineStr"/>
      <c r="H7" s="16" t="inlineStr">
        <is>
          <t>Active</t>
        </is>
      </c>
      <c r="I7" s="16" t="inlineStr"/>
    </row>
    <row r="8" ht="22" customHeight="1">
      <c r="B8" s="8" t="inlineStr">
        <is>
          <t>POL-RD-04</t>
        </is>
      </c>
      <c r="C8" s="9" t="inlineStr">
        <is>
          <t>Open Access &amp; Publication Policy</t>
        </is>
      </c>
      <c r="D8" s="10" t="inlineStr">
        <is>
          <t>Dissemination</t>
        </is>
      </c>
      <c r="E8" s="10" t="inlineStr">
        <is>
          <t>v1.0</t>
        </is>
      </c>
      <c r="F8" s="10" t="inlineStr"/>
      <c r="G8" s="10" t="inlineStr"/>
      <c r="H8" s="10" t="inlineStr">
        <is>
          <t>Active</t>
        </is>
      </c>
      <c r="I8" s="10" t="inlineStr"/>
    </row>
    <row r="9" ht="22" customHeight="1">
      <c r="B9" s="14" t="inlineStr">
        <is>
          <t>POL-RD-05</t>
        </is>
      </c>
      <c r="C9" s="15" t="inlineStr">
        <is>
          <t>Research Incentive &amp; Award Policy</t>
        </is>
      </c>
      <c r="D9" s="16" t="inlineStr">
        <is>
          <t>HR / Motivation</t>
        </is>
      </c>
      <c r="E9" s="16" t="inlineStr">
        <is>
          <t>v1.0</t>
        </is>
      </c>
      <c r="F9" s="16" t="inlineStr"/>
      <c r="G9" s="16" t="inlineStr"/>
      <c r="H9" s="16" t="inlineStr">
        <is>
          <t>Active</t>
        </is>
      </c>
      <c r="I9" s="16" t="inlineStr"/>
    </row>
    <row r="10" ht="22" customHeight="1">
      <c r="B10" s="8" t="inlineStr">
        <is>
          <t>POL-RD-06</t>
        </is>
      </c>
      <c r="C10" s="9" t="inlineStr">
        <is>
          <t>Research Ethics Policy</t>
        </is>
      </c>
      <c r="D10" s="10" t="inlineStr">
        <is>
          <t>Integrity</t>
        </is>
      </c>
      <c r="E10" s="10" t="inlineStr">
        <is>
          <t>v1.0</t>
        </is>
      </c>
      <c r="F10" s="10" t="inlineStr"/>
      <c r="G10" s="10" t="inlineStr"/>
      <c r="H10" s="10" t="inlineStr">
        <is>
          <t>Active</t>
        </is>
      </c>
      <c r="I10" s="10" t="inlineStr"/>
    </row>
    <row r="11" ht="22" customHeight="1">
      <c r="B11" s="14" t="inlineStr">
        <is>
          <t>POL-RD-07</t>
        </is>
      </c>
      <c r="C11" s="15" t="inlineStr">
        <is>
          <t>Intellectual Property Rights (IPR) Policy</t>
        </is>
      </c>
      <c r="D11" s="16" t="inlineStr">
        <is>
          <t>IPR</t>
        </is>
      </c>
      <c r="E11" s="16" t="inlineStr">
        <is>
          <t>v1.0</t>
        </is>
      </c>
      <c r="F11" s="16" t="inlineStr"/>
      <c r="G11" s="16" t="inlineStr"/>
      <c r="H11" s="16" t="inlineStr">
        <is>
          <t>Active</t>
        </is>
      </c>
      <c r="I11" s="16" t="inlineStr"/>
    </row>
    <row r="12" ht="22" customHeight="1">
      <c r="B12" s="8" t="inlineStr">
        <is>
          <t>POL-RD-08</t>
        </is>
      </c>
      <c r="C12" s="9" t="inlineStr">
        <is>
          <t>Consultancy &amp; Revenue Sharing Policy</t>
        </is>
      </c>
      <c r="D12" s="10" t="inlineStr">
        <is>
          <t>Industry Linkage</t>
        </is>
      </c>
      <c r="E12" s="10" t="inlineStr">
        <is>
          <t>v1.0</t>
        </is>
      </c>
      <c r="F12" s="10" t="inlineStr"/>
      <c r="G12" s="10" t="inlineStr"/>
      <c r="H12" s="10" t="inlineStr">
        <is>
          <t>Active</t>
        </is>
      </c>
      <c r="I12" s="10" t="inlineStr"/>
    </row>
    <row r="13" ht="22" customHeight="1">
      <c r="B13" s="14" t="inlineStr">
        <is>
          <t>POL-RD-09</t>
        </is>
      </c>
      <c r="C13" s="15" t="inlineStr">
        <is>
          <t>Seed Money / Internal Grant Policy</t>
        </is>
      </c>
      <c r="D13" s="16" t="inlineStr">
        <is>
          <t>Funding</t>
        </is>
      </c>
      <c r="E13" s="16" t="inlineStr">
        <is>
          <t>v1.0</t>
        </is>
      </c>
      <c r="F13" s="16" t="inlineStr"/>
      <c r="G13" s="16" t="inlineStr"/>
      <c r="H13" s="16" t="inlineStr">
        <is>
          <t>Active</t>
        </is>
      </c>
      <c r="I13" s="16" t="inlineStr"/>
    </row>
    <row r="14" ht="22" customHeight="1">
      <c r="B14" s="8" t="inlineStr">
        <is>
          <t>POL-RD-10</t>
        </is>
      </c>
      <c r="C14" s="9" t="inlineStr">
        <is>
          <t>Research Collaboration &amp; MoU Policy</t>
        </is>
      </c>
      <c r="D14" s="10" t="inlineStr">
        <is>
          <t>Collaboration</t>
        </is>
      </c>
      <c r="E14" s="10" t="inlineStr">
        <is>
          <t>v1.0</t>
        </is>
      </c>
      <c r="F14" s="10" t="inlineStr"/>
      <c r="G14" s="10" t="inlineStr"/>
      <c r="H14" s="10" t="inlineStr">
        <is>
          <t>Active</t>
        </is>
      </c>
      <c r="I14" s="10" t="inlineStr"/>
    </row>
    <row r="15" ht="22" customHeight="1">
      <c r="B15" s="14" t="inlineStr">
        <is>
          <t>POL-RD-11</t>
        </is>
      </c>
      <c r="C15" s="15" t="inlineStr">
        <is>
          <t>Anti-Plagiarism / Integrity Policy</t>
        </is>
      </c>
      <c r="D15" s="16" t="inlineStr">
        <is>
          <t>Integrity</t>
        </is>
      </c>
      <c r="E15" s="16" t="inlineStr">
        <is>
          <t>v1.0</t>
        </is>
      </c>
      <c r="F15" s="16" t="inlineStr"/>
      <c r="G15" s="16" t="inlineStr"/>
      <c r="H15" s="16" t="inlineStr">
        <is>
          <t>Active</t>
        </is>
      </c>
      <c r="I15" s="16" t="inlineStr"/>
    </row>
    <row r="16" ht="22" customHeight="1">
      <c r="B16" s="8" t="inlineStr">
        <is>
          <t>POL-RD-12</t>
        </is>
      </c>
      <c r="C16" s="9" t="inlineStr">
        <is>
          <t>Start-up &amp; Incubation Support Policy</t>
        </is>
      </c>
      <c r="D16" s="10" t="inlineStr">
        <is>
          <t>Innovation</t>
        </is>
      </c>
      <c r="E16" s="10" t="inlineStr">
        <is>
          <t>v1.0</t>
        </is>
      </c>
      <c r="F16" s="10" t="inlineStr"/>
      <c r="G16" s="10" t="inlineStr"/>
      <c r="H16" s="10" t="inlineStr">
        <is>
          <t>Active</t>
        </is>
      </c>
      <c r="I16" s="10" t="inlineStr"/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SC1-02: RESEARCH PRIORITY AREAS REGISTER</t>
        </is>
      </c>
    </row>
    <row r="3" ht="25" customHeight="1">
      <c r="B3" s="21" t="inlineStr">
        <is>
          <t>A.Y.: _______  Aligned to: National Mission / SDG / Industry Need  SC1 Approved on: _______</t>
        </is>
      </c>
    </row>
    <row r="4" ht="25" customHeight="1">
      <c r="B4" s="13" t="inlineStr">
        <is>
          <t>Priority
Ref.</t>
        </is>
      </c>
      <c r="C4" s="13" t="inlineStr">
        <is>
          <t>Research Theme / Area</t>
        </is>
      </c>
      <c r="D4" s="13" t="inlineStr">
        <is>
          <t>Alignment
(Nat. Mission / SDG / Industry)</t>
        </is>
      </c>
      <c r="E4" s="13" t="inlineStr">
        <is>
          <t>Departments Involved</t>
        </is>
      </c>
      <c r="F4" s="13" t="inlineStr">
        <is>
          <t>Faculty
Leader</t>
        </is>
      </c>
      <c r="G4" s="13" t="inlineStr">
        <is>
          <t>Target
Outcomes</t>
        </is>
      </c>
      <c r="H4" s="13" t="inlineStr">
        <is>
          <t>Funding
Source</t>
        </is>
      </c>
      <c r="I4" s="13" t="inlineStr">
        <is>
          <t>Status</t>
        </is>
      </c>
    </row>
    <row r="5" ht="24" customHeight="1">
      <c r="B5" s="14" t="inlineStr">
        <is>
          <t>RP-01</t>
        </is>
      </c>
      <c r="C5" s="15" t="inlineStr">
        <is>
          <t>Artificial Intelligence &amp; Machine Learning</t>
        </is>
      </c>
      <c r="D5" s="16" t="inlineStr">
        <is>
          <t>NEP 2020 / Industry 4.0</t>
        </is>
      </c>
      <c r="E5" s="16" t="inlineStr"/>
      <c r="F5" s="16" t="inlineStr"/>
      <c r="G5" s="15" t="inlineStr"/>
      <c r="H5" s="16" t="inlineStr"/>
      <c r="I5" s="16" t="inlineStr">
        <is>
          <t>Active</t>
        </is>
      </c>
    </row>
    <row r="6" ht="24" customHeight="1">
      <c r="B6" s="8" t="inlineStr">
        <is>
          <t>RP-02</t>
        </is>
      </c>
      <c r="C6" s="9" t="inlineStr">
        <is>
          <t>Sustainable Energy &amp; Green Technologies</t>
        </is>
      </c>
      <c r="D6" s="10" t="inlineStr">
        <is>
          <t>SDG 7 / National Mission</t>
        </is>
      </c>
      <c r="E6" s="10" t="inlineStr"/>
      <c r="F6" s="10" t="inlineStr"/>
      <c r="G6" s="9" t="inlineStr"/>
      <c r="H6" s="10" t="inlineStr"/>
      <c r="I6" s="10" t="inlineStr">
        <is>
          <t>Active</t>
        </is>
      </c>
    </row>
    <row r="7" ht="24" customHeight="1">
      <c r="B7" s="14" t="inlineStr">
        <is>
          <t>RP-03</t>
        </is>
      </c>
      <c r="C7" s="15" t="inlineStr">
        <is>
          <t>Biomedical Devices &amp; Healthcare Innovation</t>
        </is>
      </c>
      <c r="D7" s="16" t="inlineStr">
        <is>
          <t>SDG 3 / Industry Need</t>
        </is>
      </c>
      <c r="E7" s="16" t="inlineStr"/>
      <c r="F7" s="16" t="inlineStr"/>
      <c r="G7" s="15" t="inlineStr"/>
      <c r="H7" s="16" t="inlineStr"/>
      <c r="I7" s="16" t="inlineStr">
        <is>
          <t>Active</t>
        </is>
      </c>
    </row>
    <row r="8" ht="24" customHeight="1">
      <c r="B8" s="8" t="inlineStr">
        <is>
          <t>RP-04</t>
        </is>
      </c>
      <c r="C8" s="9" t="inlineStr">
        <is>
          <t>Smart Agriculture &amp; Food Security</t>
        </is>
      </c>
      <c r="D8" s="10" t="inlineStr">
        <is>
          <t>SDG 2 / National Mission</t>
        </is>
      </c>
      <c r="E8" s="10" t="inlineStr"/>
      <c r="F8" s="10" t="inlineStr"/>
      <c r="G8" s="9" t="inlineStr"/>
      <c r="H8" s="10" t="inlineStr"/>
      <c r="I8" s="10" t="inlineStr">
        <is>
          <t>Active</t>
        </is>
      </c>
    </row>
    <row r="9" ht="24" customHeight="1">
      <c r="B9" s="14" t="inlineStr">
        <is>
          <t>RP-05</t>
        </is>
      </c>
      <c r="C9" s="15" t="inlineStr">
        <is>
          <t>Cybersecurity &amp; Data Privacy</t>
        </is>
      </c>
      <c r="D9" s="16" t="inlineStr">
        <is>
          <t>Govt. Priority / Industry</t>
        </is>
      </c>
      <c r="E9" s="16" t="inlineStr"/>
      <c r="F9" s="16" t="inlineStr"/>
      <c r="G9" s="15" t="inlineStr"/>
      <c r="H9" s="16" t="inlineStr"/>
      <c r="I9" s="16" t="inlineStr">
        <is>
          <t>Active</t>
        </is>
      </c>
    </row>
    <row r="10" ht="24" customHeight="1">
      <c r="B10" s="8" t="inlineStr">
        <is>
          <t>RP-06</t>
        </is>
      </c>
      <c r="C10" s="9" t="inlineStr">
        <is>
          <t>Advanced Materials &amp; Nanotechnology</t>
        </is>
      </c>
      <c r="D10" s="10" t="inlineStr">
        <is>
          <t>National Mission</t>
        </is>
      </c>
      <c r="E10" s="10" t="inlineStr"/>
      <c r="F10" s="10" t="inlineStr"/>
      <c r="G10" s="9" t="inlineStr"/>
      <c r="H10" s="10" t="inlineStr"/>
      <c r="I10" s="10" t="inlineStr">
        <is>
          <t>Active</t>
        </is>
      </c>
    </row>
    <row r="11" ht="24" customHeight="1">
      <c r="B11" s="14" t="inlineStr">
        <is>
          <t>RP-07</t>
        </is>
      </c>
      <c r="C11" s="15" t="inlineStr">
        <is>
          <t>Climate Change &amp; Environmental Sciences</t>
        </is>
      </c>
      <c r="D11" s="16" t="inlineStr">
        <is>
          <t>SDG 13 / National Mission</t>
        </is>
      </c>
      <c r="E11" s="16" t="inlineStr"/>
      <c r="F11" s="16" t="inlineStr"/>
      <c r="G11" s="15" t="inlineStr"/>
      <c r="H11" s="16" t="inlineStr"/>
      <c r="I11" s="16" t="inlineStr">
        <is>
          <t>Active</t>
        </is>
      </c>
    </row>
    <row r="12" ht="24" customHeight="1">
      <c r="B12" s="8" t="inlineStr">
        <is>
          <t>RP-08</t>
        </is>
      </c>
      <c r="C12" s="9" t="inlineStr">
        <is>
          <t>Robotics, Automation &amp; Smart Manufacturing</t>
        </is>
      </c>
      <c r="D12" s="10" t="inlineStr">
        <is>
          <t>Industry 4.0 / Make in India</t>
        </is>
      </c>
      <c r="E12" s="10" t="inlineStr"/>
      <c r="F12" s="10" t="inlineStr"/>
      <c r="G12" s="9" t="inlineStr"/>
      <c r="H12" s="10" t="inlineStr"/>
      <c r="I12" s="10" t="inlineStr">
        <is>
          <t>Active</t>
        </is>
      </c>
    </row>
    <row r="13" ht="24" customHeight="1">
      <c r="B13" s="14" t="inlineStr">
        <is>
          <t>RP-09</t>
        </is>
      </c>
      <c r="C13" s="15" t="inlineStr">
        <is>
          <t>Water &amp; Waste Management Technologies</t>
        </is>
      </c>
      <c r="D13" s="16" t="inlineStr">
        <is>
          <t>SDG 6 / National Mission</t>
        </is>
      </c>
      <c r="E13" s="16" t="inlineStr"/>
      <c r="F13" s="16" t="inlineStr"/>
      <c r="G13" s="15" t="inlineStr"/>
      <c r="H13" s="16" t="inlineStr"/>
      <c r="I13" s="16" t="inlineStr">
        <is>
          <t>Active</t>
        </is>
      </c>
    </row>
    <row r="14" ht="24" customHeight="1">
      <c r="B14" s="8" t="inlineStr">
        <is>
          <t>RP-10</t>
        </is>
      </c>
      <c r="C14" s="9" t="inlineStr">
        <is>
          <t>Social Sciences, Governance &amp; Policy Research</t>
        </is>
      </c>
      <c r="D14" s="10" t="inlineStr">
        <is>
          <t>SDG 16 / Govt. Priority</t>
        </is>
      </c>
      <c r="E14" s="10" t="inlineStr"/>
      <c r="F14" s="10" t="inlineStr"/>
      <c r="G14" s="9" t="inlineStr"/>
      <c r="H14" s="10" t="inlineStr"/>
      <c r="I14" s="10" t="inlineStr">
        <is>
          <t>Active</t>
        </is>
      </c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</sheetData>
  <mergeCells count="2">
    <mergeCell ref="B3:I3"/>
    <mergeCell ref="B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SC1-03: ANNUAL RESEARCH PLAN (ARP) — DEPARTMENT-WISE SUBMISSION</t>
        </is>
      </c>
    </row>
    <row r="3" ht="25" customHeight="1">
      <c r="B3" s="21" t="inlineStr">
        <is>
          <t>Department: ___________________  A.Y.: _______  HoD: ___________________  Submitted to SC1: _______</t>
        </is>
      </c>
    </row>
    <row r="4" ht="25" customHeight="1">
      <c r="B4" s="13" t="inlineStr">
        <is>
          <t>Sl.</t>
        </is>
      </c>
      <c r="C4" s="13" t="inlineStr">
        <is>
          <t>Research Activity / Initiative</t>
        </is>
      </c>
      <c r="D4" s="13" t="inlineStr">
        <is>
          <t>Priority Area
Linked</t>
        </is>
      </c>
      <c r="E4" s="13" t="inlineStr">
        <is>
          <t>Target
(Quantified)</t>
        </is>
      </c>
      <c r="F4" s="13" t="inlineStr">
        <is>
          <t>Q1</t>
        </is>
      </c>
      <c r="G4" s="13" t="inlineStr">
        <is>
          <t>Q2</t>
        </is>
      </c>
      <c r="H4" s="13" t="inlineStr">
        <is>
          <t>Q3</t>
        </is>
      </c>
      <c r="I4" s="13" t="inlineStr">
        <is>
          <t>Q4</t>
        </is>
      </c>
      <c r="J4" s="13" t="inlineStr">
        <is>
          <t>Budget
Est. (₹L)</t>
        </is>
      </c>
    </row>
    <row r="5" ht="22" customHeight="1">
      <c r="B5" s="14" t="n">
        <v>1</v>
      </c>
      <c r="C5" s="15" t="inlineStr">
        <is>
          <t>Publications (SCI/Scopus)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</row>
    <row r="6" ht="22" customHeight="1">
      <c r="B6" s="8" t="n">
        <v>2</v>
      </c>
      <c r="C6" s="9" t="inlineStr">
        <is>
          <t>Conference Papers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0" t="inlineStr"/>
    </row>
    <row r="7" ht="22" customHeight="1">
      <c r="B7" s="14" t="n">
        <v>3</v>
      </c>
      <c r="C7" s="15" t="inlineStr">
        <is>
          <t>Book Chapters</t>
        </is>
      </c>
      <c r="D7" s="16" t="inlineStr"/>
      <c r="E7" s="16" t="inlineStr"/>
      <c r="F7" s="16" t="inlineStr"/>
      <c r="G7" s="16" t="inlineStr"/>
      <c r="H7" s="16" t="inlineStr"/>
      <c r="I7" s="16" t="inlineStr"/>
      <c r="J7" s="16" t="inlineStr"/>
    </row>
    <row r="8" ht="22" customHeight="1">
      <c r="B8" s="8" t="n">
        <v>4</v>
      </c>
      <c r="C8" s="9" t="inlineStr">
        <is>
          <t>Funded Project Applications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0" t="inlineStr"/>
    </row>
    <row r="9" ht="22" customHeight="1">
      <c r="B9" s="14" t="n">
        <v>5</v>
      </c>
      <c r="C9" s="15" t="inlineStr">
        <is>
          <t>Industry Projects</t>
        </is>
      </c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 ht="22" customHeight="1">
      <c r="B10" s="8" t="n">
        <v>6</v>
      </c>
      <c r="C10" s="9" t="inlineStr">
        <is>
          <t>Consultancy</t>
        </is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</row>
    <row r="11" ht="22" customHeight="1">
      <c r="B11" s="14" t="n">
        <v>7</v>
      </c>
      <c r="C11" s="15" t="inlineStr">
        <is>
          <t>Patent Filings</t>
        </is>
      </c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 ht="22" customHeight="1">
      <c r="B12" s="8" t="n">
        <v>8</v>
      </c>
      <c r="C12" s="9" t="inlineStr">
        <is>
          <t>Ph.D. Enrolments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 ht="22" customHeight="1">
      <c r="B13" s="14" t="n">
        <v>9</v>
      </c>
      <c r="C13" s="15" t="inlineStr">
        <is>
          <t>Ph.D. Completions</t>
        </is>
      </c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 ht="22" customHeight="1">
      <c r="B14" s="8" t="n">
        <v>10</v>
      </c>
      <c r="C14" s="9" t="inlineStr">
        <is>
          <t>Seminars / Workshops Organised</t>
        </is>
      </c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 ht="22" customHeight="1">
      <c r="B15" s="14" t="n">
        <v>11</v>
      </c>
      <c r="C15" s="15" t="inlineStr">
        <is>
          <t>Research Scholars Mentored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</row>
    <row r="16" ht="22" customHeight="1">
      <c r="B16" s="8" t="n">
        <v>12</v>
      </c>
      <c r="C16" s="9" t="inlineStr">
        <is>
          <t>Seed Money Projects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SC1-04: RESEARCH CULTURE &amp; CAPACITY BUILDING TRACKER</t>
        </is>
      </c>
    </row>
    <row r="3" ht="25" customHeight="1">
      <c r="B3" s="21" t="inlineStr">
        <is>
          <t>A.Y.: _______  SC1 Chairperson: ___________________  IQAC Ref.: Criterion III</t>
        </is>
      </c>
    </row>
    <row r="4" ht="25" customHeight="1">
      <c r="B4" s="13" t="inlineStr">
        <is>
          <t>Sl.</t>
        </is>
      </c>
      <c r="C4" s="13" t="inlineStr">
        <is>
          <t>Programme / Activity</t>
        </is>
      </c>
      <c r="D4" s="13" t="inlineStr">
        <is>
          <t>Type</t>
        </is>
      </c>
      <c r="E4" s="13" t="inlineStr">
        <is>
          <t>Date(s)</t>
        </is>
      </c>
      <c r="F4" s="13" t="inlineStr">
        <is>
          <t>Organiser</t>
        </is>
      </c>
      <c r="G4" s="13" t="inlineStr">
        <is>
          <t>Faculty
Participated</t>
        </is>
      </c>
      <c r="H4" s="13" t="inlineStr">
        <is>
          <t>Scholars
Participated</t>
        </is>
      </c>
      <c r="I4" s="13" t="inlineStr">
        <is>
          <t>Outcome / Remarks</t>
        </is>
      </c>
    </row>
    <row r="5" ht="22" customHeight="1">
      <c r="B5" s="14" t="n">
        <v>1</v>
      </c>
      <c r="C5" s="15" t="inlineStr">
        <is>
          <t>Research Methodology Workshop</t>
        </is>
      </c>
      <c r="D5" s="16" t="inlineStr">
        <is>
          <t>Workshop</t>
        </is>
      </c>
      <c r="E5" s="16" t="inlineStr"/>
      <c r="F5" s="16" t="inlineStr"/>
      <c r="G5" s="16" t="inlineStr"/>
      <c r="H5" s="16" t="inlineStr"/>
      <c r="I5" s="15" t="inlineStr"/>
    </row>
    <row r="6" ht="22" customHeight="1">
      <c r="B6" s="8" t="n">
        <v>2</v>
      </c>
      <c r="C6" s="9" t="inlineStr">
        <is>
          <t>Statistical Tools Training (SPSS/R/Python)</t>
        </is>
      </c>
      <c r="D6" s="10" t="inlineStr">
        <is>
          <t>Workshop</t>
        </is>
      </c>
      <c r="E6" s="10" t="inlineStr"/>
      <c r="F6" s="10" t="inlineStr"/>
      <c r="G6" s="10" t="inlineStr"/>
      <c r="H6" s="10" t="inlineStr"/>
      <c r="I6" s="9" t="inlineStr"/>
    </row>
    <row r="7" ht="22" customHeight="1">
      <c r="B7" s="14" t="n">
        <v>3</v>
      </c>
      <c r="C7" s="15" t="inlineStr">
        <is>
          <t>Scientific Writing &amp; Publication Workshop</t>
        </is>
      </c>
      <c r="D7" s="16" t="inlineStr">
        <is>
          <t>Workshop</t>
        </is>
      </c>
      <c r="E7" s="16" t="inlineStr"/>
      <c r="F7" s="16" t="inlineStr"/>
      <c r="G7" s="16" t="inlineStr"/>
      <c r="H7" s="16" t="inlineStr"/>
      <c r="I7" s="15" t="inlineStr"/>
    </row>
    <row r="8" ht="22" customHeight="1">
      <c r="B8" s="8" t="n">
        <v>4</v>
      </c>
      <c r="C8" s="9" t="inlineStr">
        <is>
          <t>Grant Writing Masterclass</t>
        </is>
      </c>
      <c r="D8" s="10" t="inlineStr">
        <is>
          <t>Workshop</t>
        </is>
      </c>
      <c r="E8" s="10" t="inlineStr"/>
      <c r="F8" s="10" t="inlineStr"/>
      <c r="G8" s="10" t="inlineStr"/>
      <c r="H8" s="10" t="inlineStr"/>
      <c r="I8" s="9" t="inlineStr"/>
    </row>
    <row r="9" ht="22" customHeight="1">
      <c r="B9" s="14" t="n">
        <v>5</v>
      </c>
      <c r="C9" s="15" t="inlineStr">
        <is>
          <t>Intellectual Property Rights (IPR) Awareness</t>
        </is>
      </c>
      <c r="D9" s="16" t="inlineStr">
        <is>
          <t>Workshop</t>
        </is>
      </c>
      <c r="E9" s="16" t="inlineStr"/>
      <c r="F9" s="16" t="inlineStr"/>
      <c r="G9" s="16" t="inlineStr"/>
      <c r="H9" s="16" t="inlineStr"/>
      <c r="I9" s="15" t="inlineStr"/>
    </row>
    <row r="10" ht="22" customHeight="1">
      <c r="B10" s="8" t="n">
        <v>6</v>
      </c>
      <c r="C10" s="9" t="inlineStr">
        <is>
          <t>Ph.D. Viva Voce Open Seminars</t>
        </is>
      </c>
      <c r="D10" s="10" t="inlineStr">
        <is>
          <t>Workshop</t>
        </is>
      </c>
      <c r="E10" s="10" t="inlineStr"/>
      <c r="F10" s="10" t="inlineStr"/>
      <c r="G10" s="10" t="inlineStr"/>
      <c r="H10" s="10" t="inlineStr"/>
      <c r="I10" s="9" t="inlineStr"/>
    </row>
    <row r="11" ht="22" customHeight="1">
      <c r="B11" s="14" t="n">
        <v>7</v>
      </c>
      <c r="C11" s="15" t="inlineStr">
        <is>
          <t>Inter-disciplinary Research Colloquium</t>
        </is>
      </c>
      <c r="D11" s="16" t="inlineStr">
        <is>
          <t>Workshop</t>
        </is>
      </c>
      <c r="E11" s="16" t="inlineStr"/>
      <c r="F11" s="16" t="inlineStr"/>
      <c r="G11" s="16" t="inlineStr"/>
      <c r="H11" s="16" t="inlineStr"/>
      <c r="I11" s="15" t="inlineStr"/>
    </row>
    <row r="12" ht="22" customHeight="1">
      <c r="B12" s="8" t="n">
        <v>8</v>
      </c>
      <c r="C12" s="9" t="inlineStr">
        <is>
          <t>Journal Club / Reading Group</t>
        </is>
      </c>
      <c r="D12" s="10" t="inlineStr">
        <is>
          <t>Workshop</t>
        </is>
      </c>
      <c r="E12" s="10" t="inlineStr"/>
      <c r="F12" s="10" t="inlineStr"/>
      <c r="G12" s="10" t="inlineStr"/>
      <c r="H12" s="10" t="inlineStr"/>
      <c r="I12" s="9" t="inlineStr"/>
    </row>
    <row r="13" ht="22" customHeight="1">
      <c r="B13" s="14" t="n">
        <v>9</v>
      </c>
      <c r="C13" s="15" t="inlineStr">
        <is>
          <t>Research Ethics Certification Programme</t>
        </is>
      </c>
      <c r="D13" s="16" t="inlineStr">
        <is>
          <t>Workshop</t>
        </is>
      </c>
      <c r="E13" s="16" t="inlineStr"/>
      <c r="F13" s="16" t="inlineStr"/>
      <c r="G13" s="16" t="inlineStr"/>
      <c r="H13" s="16" t="inlineStr"/>
      <c r="I13" s="15" t="inlineStr"/>
    </row>
    <row r="14" ht="22" customHeight="1">
      <c r="B14" s="8" t="n">
        <v>10</v>
      </c>
      <c r="C14" s="9" t="inlineStr">
        <is>
          <t>Industry R&amp;D Exposure Visit</t>
        </is>
      </c>
      <c r="D14" s="10" t="inlineStr">
        <is>
          <t>Workshop</t>
        </is>
      </c>
      <c r="E14" s="10" t="inlineStr"/>
      <c r="F14" s="10" t="inlineStr"/>
      <c r="G14" s="10" t="inlineStr"/>
      <c r="H14" s="10" t="inlineStr"/>
      <c r="I14" s="9" t="inlineStr"/>
    </row>
    <row r="15" ht="22" customHeight="1">
      <c r="B15" s="14" t="n">
        <v>11</v>
      </c>
      <c r="C15" s="15" t="inlineStr">
        <is>
          <t>National Research Conference hosted</t>
        </is>
      </c>
      <c r="D15" s="16" t="inlineStr">
        <is>
          <t>Workshop</t>
        </is>
      </c>
      <c r="E15" s="16" t="inlineStr"/>
      <c r="F15" s="16" t="inlineStr"/>
      <c r="G15" s="16" t="inlineStr"/>
      <c r="H15" s="16" t="inlineStr"/>
      <c r="I15" s="15" t="inlineStr"/>
    </row>
    <row r="16" ht="22" customHeight="1">
      <c r="B16" s="8" t="n">
        <v>12</v>
      </c>
      <c r="C16" s="9" t="inlineStr">
        <is>
          <t>International Research Webinar</t>
        </is>
      </c>
      <c r="D16" s="10" t="inlineStr">
        <is>
          <t>Workshop</t>
        </is>
      </c>
      <c r="E16" s="10" t="inlineStr"/>
      <c r="F16" s="10" t="inlineStr"/>
      <c r="G16" s="10" t="inlineStr"/>
      <c r="H16" s="10" t="inlineStr"/>
      <c r="I16" s="9" t="inlineStr"/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33" t="inlineStr">
        <is>
          <t>SC-2: FUNDING &amp; GRANTS MANAGEMENT
MEETING NOTICE &amp; AGENDA</t>
        </is>
      </c>
    </row>
    <row r="3" ht="22" customHeight="1">
      <c r="B3" s="34" t="inlineStr">
        <is>
          <t>Meeting No.:</t>
        </is>
      </c>
      <c r="C3" s="9" t="n"/>
    </row>
    <row r="4" ht="22" customHeight="1">
      <c r="B4" s="34" t="inlineStr">
        <is>
          <t>Academic Year:</t>
        </is>
      </c>
      <c r="C4" s="9" t="n"/>
    </row>
    <row r="5" ht="22" customHeight="1">
      <c r="B5" s="34" t="inlineStr">
        <is>
          <t>Date:</t>
        </is>
      </c>
      <c r="C5" s="9" t="n"/>
    </row>
    <row r="6" ht="22" customHeight="1">
      <c r="B6" s="34" t="inlineStr">
        <is>
          <t>Time:</t>
        </is>
      </c>
      <c r="C6" s="9" t="n"/>
    </row>
    <row r="7" ht="22" customHeight="1">
      <c r="B7" s="34" t="inlineStr">
        <is>
          <t>Venue:</t>
        </is>
      </c>
      <c r="C7" s="9" t="n"/>
    </row>
    <row r="8" ht="22" customHeight="1">
      <c r="B8" s="34" t="inlineStr">
        <is>
          <t>Mode:</t>
        </is>
      </c>
      <c r="C8" s="9" t="n"/>
    </row>
    <row r="9" ht="22" customHeight="1">
      <c r="B9" s="34" t="inlineStr">
        <is>
          <t>Notice by:</t>
        </is>
      </c>
      <c r="C9" s="9" t="n"/>
    </row>
    <row r="10" ht="22" customHeight="1">
      <c r="B10" s="34" t="inlineStr">
        <is>
          <t>Notice Date:</t>
        </is>
      </c>
      <c r="C10" s="9" t="n"/>
    </row>
    <row r="11" ht="24" customHeight="1">
      <c r="B11" s="35" t="inlineStr">
        <is>
          <t>AGENDA ITEMS</t>
        </is>
      </c>
    </row>
    <row r="12" ht="24" customHeight="1">
      <c r="B12" s="36" t="inlineStr">
        <is>
          <t>Item
No.</t>
        </is>
      </c>
      <c r="C12" s="36" t="inlineStr">
        <is>
          <t>Agenda Item / Discussion Topic</t>
        </is>
      </c>
      <c r="D12" s="36" t="inlineStr">
        <is>
          <t>Presenter / Lead</t>
        </is>
      </c>
      <c r="E12" s="36" t="inlineStr">
        <is>
          <t>Duration (Min)</t>
        </is>
      </c>
    </row>
    <row r="13" ht="24" customHeight="1">
      <c r="B13" s="37" t="n">
        <v>1</v>
      </c>
      <c r="C13" s="38" t="inlineStr">
        <is>
          <t>Review of active grant applications — status &amp; follow-up</t>
        </is>
      </c>
      <c r="D13" s="39" t="inlineStr"/>
      <c r="E13" s="39" t="inlineStr"/>
    </row>
    <row r="14" ht="24" customHeight="1">
      <c r="B14" s="8" t="n">
        <v>2</v>
      </c>
      <c r="C14" s="9" t="inlineStr">
        <is>
          <t>Utilisation certificate (UC) submissions — status</t>
        </is>
      </c>
      <c r="D14" s="10" t="inlineStr"/>
      <c r="E14" s="10" t="inlineStr"/>
    </row>
    <row r="15" ht="24" customHeight="1">
      <c r="B15" s="37" t="n">
        <v>3</v>
      </c>
      <c r="C15" s="38" t="inlineStr">
        <is>
          <t>New grant opportunities — DST, DBT, ICMR, CSIR, SERB</t>
        </is>
      </c>
      <c r="D15" s="39" t="inlineStr"/>
      <c r="E15" s="39" t="inlineStr"/>
    </row>
    <row r="16" ht="24" customHeight="1">
      <c r="B16" s="8" t="n">
        <v>4</v>
      </c>
      <c r="C16" s="9" t="inlineStr">
        <is>
          <t>Seed money / internal fund allocation review</t>
        </is>
      </c>
      <c r="D16" s="10" t="inlineStr"/>
      <c r="E16" s="10" t="inlineStr"/>
    </row>
    <row r="17" ht="24" customHeight="1">
      <c r="B17" s="37" t="n">
        <v>5</v>
      </c>
      <c r="C17" s="38" t="inlineStr">
        <is>
          <t>Audit of funded project expenditure</t>
        </is>
      </c>
      <c r="D17" s="39" t="inlineStr"/>
      <c r="E17" s="39" t="inlineStr"/>
    </row>
    <row r="18" ht="24" customHeight="1">
      <c r="B18" s="8" t="n">
        <v>6</v>
      </c>
      <c r="C18" s="9" t="inlineStr">
        <is>
          <t>Reporting requirements — agency-wise update</t>
        </is>
      </c>
      <c r="D18" s="10" t="inlineStr"/>
      <c r="E18" s="10" t="inlineStr"/>
    </row>
    <row r="19" ht="24" customHeight="1">
      <c r="B19" s="37" t="n">
        <v>7</v>
      </c>
      <c r="C19" s="38" t="inlineStr">
        <is>
          <t>Any Other Matter with Permission of Chairman</t>
        </is>
      </c>
      <c r="D19" s="39" t="inlineStr"/>
      <c r="E19" s="39" t="inlineStr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33" t="inlineStr">
        <is>
          <t>SC-2: FUNDING &amp; GRANTS MANAGEMENT — ATTENDANCE &amp; QUORUM REGISTER</t>
        </is>
      </c>
    </row>
    <row r="3" ht="25" customHeight="1">
      <c r="B3" s="40" t="inlineStr">
        <is>
          <t>Meeting No.: _______  Date: _______  Total Strength: _______  Quorum Required (50%): _______</t>
        </is>
      </c>
    </row>
    <row r="4" ht="25" customHeight="1">
      <c r="B4" s="36" t="inlineStr">
        <is>
          <t>Sl.</t>
        </is>
      </c>
      <c r="C4" s="36" t="inlineStr">
        <is>
          <t>Name</t>
        </is>
      </c>
      <c r="D4" s="36" t="inlineStr">
        <is>
          <t>Designation / Role</t>
        </is>
      </c>
      <c r="E4" s="36" t="inlineStr">
        <is>
          <t>Mode
(Physical/VC)</t>
        </is>
      </c>
      <c r="F4" s="36" t="inlineStr">
        <is>
          <t>Present
(P/A)</t>
        </is>
      </c>
      <c r="G4" s="36" t="inlineStr">
        <is>
          <t>Proxy
(Y/N)</t>
        </is>
      </c>
      <c r="H4" s="36" t="inlineStr">
        <is>
          <t>Proxy Authorised To</t>
        </is>
      </c>
      <c r="I4" s="36" t="inlineStr">
        <is>
          <t>Signature</t>
        </is>
      </c>
    </row>
    <row r="5" ht="22" customHeight="1">
      <c r="B5" s="37" t="n">
        <v>1</v>
      </c>
      <c r="C5" s="38" t="inlineStr"/>
      <c r="D5" s="38" t="inlineStr"/>
      <c r="E5" s="39" t="inlineStr">
        <is>
          <t>Physical</t>
        </is>
      </c>
      <c r="F5" s="39" t="inlineStr"/>
      <c r="G5" s="39" t="inlineStr">
        <is>
          <t>N</t>
        </is>
      </c>
      <c r="H5" s="39" t="inlineStr"/>
      <c r="I5" s="39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37" t="n">
        <v>3</v>
      </c>
      <c r="C7" s="38" t="inlineStr"/>
      <c r="D7" s="38" t="inlineStr"/>
      <c r="E7" s="39" t="inlineStr">
        <is>
          <t>Physical</t>
        </is>
      </c>
      <c r="F7" s="39" t="inlineStr"/>
      <c r="G7" s="39" t="inlineStr">
        <is>
          <t>N</t>
        </is>
      </c>
      <c r="H7" s="39" t="inlineStr"/>
      <c r="I7" s="39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37" t="n">
        <v>5</v>
      </c>
      <c r="C9" s="38" t="inlineStr"/>
      <c r="D9" s="38" t="inlineStr"/>
      <c r="E9" s="39" t="inlineStr">
        <is>
          <t>Physical</t>
        </is>
      </c>
      <c r="F9" s="39" t="inlineStr"/>
      <c r="G9" s="39" t="inlineStr">
        <is>
          <t>N</t>
        </is>
      </c>
      <c r="H9" s="39" t="inlineStr"/>
      <c r="I9" s="39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37" t="n">
        <v>7</v>
      </c>
      <c r="C11" s="38" t="inlineStr"/>
      <c r="D11" s="38" t="inlineStr"/>
      <c r="E11" s="39" t="inlineStr">
        <is>
          <t>Physical</t>
        </is>
      </c>
      <c r="F11" s="39" t="inlineStr"/>
      <c r="G11" s="39" t="inlineStr">
        <is>
          <t>N</t>
        </is>
      </c>
      <c r="H11" s="39" t="inlineStr"/>
      <c r="I11" s="39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37" t="n">
        <v>9</v>
      </c>
      <c r="C13" s="38" t="inlineStr"/>
      <c r="D13" s="38" t="inlineStr"/>
      <c r="E13" s="39" t="inlineStr">
        <is>
          <t>Physical</t>
        </is>
      </c>
      <c r="F13" s="39" t="inlineStr"/>
      <c r="G13" s="39" t="inlineStr">
        <is>
          <t>N</t>
        </is>
      </c>
      <c r="H13" s="39" t="inlineStr"/>
      <c r="I13" s="39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37" t="n">
        <v>11</v>
      </c>
      <c r="C15" s="38" t="inlineStr"/>
      <c r="D15" s="38" t="inlineStr"/>
      <c r="E15" s="39" t="inlineStr">
        <is>
          <t>Physical</t>
        </is>
      </c>
      <c r="F15" s="39" t="inlineStr"/>
      <c r="G15" s="39" t="inlineStr">
        <is>
          <t>N</t>
        </is>
      </c>
      <c r="H15" s="39" t="inlineStr"/>
      <c r="I15" s="39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37" t="n">
        <v>13</v>
      </c>
      <c r="C17" s="38" t="inlineStr"/>
      <c r="D17" s="38" t="inlineStr"/>
      <c r="E17" s="39" t="inlineStr">
        <is>
          <t>Physical</t>
        </is>
      </c>
      <c r="F17" s="39" t="inlineStr"/>
      <c r="G17" s="39" t="inlineStr">
        <is>
          <t>N</t>
        </is>
      </c>
      <c r="H17" s="39" t="inlineStr"/>
      <c r="I17" s="39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33" t="inlineStr">
        <is>
          <t>SC-2: FUNDING &amp; GRANTS MANAGEMENT — MEETING MINUTES &amp; RESOLUTIONS</t>
        </is>
      </c>
    </row>
    <row r="3" ht="25" customHeight="1">
      <c r="B3" s="40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37" t="inlineStr">
        <is>
          <t>SC2/RES/001</t>
        </is>
      </c>
      <c r="C6" s="38" t="inlineStr"/>
      <c r="D6" s="39" t="inlineStr"/>
      <c r="E6" s="39" t="inlineStr"/>
      <c r="F6" s="39" t="inlineStr"/>
      <c r="G6" s="39" t="inlineStr">
        <is>
          <t>Pending</t>
        </is>
      </c>
    </row>
    <row r="7" ht="32" customHeight="1">
      <c r="B7" s="8" t="inlineStr">
        <is>
          <t>SC2/RES/002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37" t="inlineStr">
        <is>
          <t>SC2/RES/003</t>
        </is>
      </c>
      <c r="C8" s="38" t="inlineStr"/>
      <c r="D8" s="39" t="inlineStr"/>
      <c r="E8" s="39" t="inlineStr"/>
      <c r="F8" s="39" t="inlineStr"/>
      <c r="G8" s="39" t="inlineStr">
        <is>
          <t>Pending</t>
        </is>
      </c>
    </row>
    <row r="9" ht="32" customHeight="1">
      <c r="B9" s="8" t="inlineStr">
        <is>
          <t>SC2/RES/004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37" t="inlineStr">
        <is>
          <t>SC2/RES/005</t>
        </is>
      </c>
      <c r="C10" s="38" t="inlineStr"/>
      <c r="D10" s="39" t="inlineStr"/>
      <c r="E10" s="39" t="inlineStr"/>
      <c r="F10" s="39" t="inlineStr"/>
      <c r="G10" s="39" t="inlineStr">
        <is>
          <t>Pending</t>
        </is>
      </c>
    </row>
    <row r="11" ht="32" customHeight="1">
      <c r="B11" s="8" t="inlineStr">
        <is>
          <t>SC2/RES/006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37" t="inlineStr">
        <is>
          <t>SC2/RES/007</t>
        </is>
      </c>
      <c r="C12" s="38" t="inlineStr"/>
      <c r="D12" s="39" t="inlineStr"/>
      <c r="E12" s="39" t="inlineStr"/>
      <c r="F12" s="39" t="inlineStr"/>
      <c r="G12" s="39" t="inlineStr">
        <is>
          <t>Pending</t>
        </is>
      </c>
    </row>
    <row r="13" ht="32" customHeight="1">
      <c r="B13" s="8" t="inlineStr">
        <is>
          <t>SC2/RES/008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37" t="inlineStr">
        <is>
          <t>SC2/RES/009</t>
        </is>
      </c>
      <c r="C14" s="38" t="inlineStr"/>
      <c r="D14" s="39" t="inlineStr"/>
      <c r="E14" s="39" t="inlineStr"/>
      <c r="F14" s="39" t="inlineStr"/>
      <c r="G14" s="39" t="inlineStr">
        <is>
          <t>Pending</t>
        </is>
      </c>
    </row>
    <row r="15" ht="32" customHeight="1">
      <c r="B15" s="8" t="inlineStr">
        <is>
          <t>SC2/RES/010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37" t="inlineStr">
        <is>
          <t>SC2/RES/011</t>
        </is>
      </c>
      <c r="C16" s="38" t="inlineStr"/>
      <c r="D16" s="39" t="inlineStr"/>
      <c r="E16" s="39" t="inlineStr"/>
      <c r="F16" s="39" t="inlineStr"/>
      <c r="G16" s="39" t="inlineStr">
        <is>
          <t>Pending</t>
        </is>
      </c>
    </row>
    <row r="17" ht="32" customHeight="1">
      <c r="B17" s="8" t="inlineStr">
        <is>
          <t>SC2/RES/012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37" t="inlineStr">
        <is>
          <t>SC2/RES/013</t>
        </is>
      </c>
      <c r="C18" s="38" t="inlineStr"/>
      <c r="D18" s="39" t="inlineStr"/>
      <c r="E18" s="39" t="inlineStr"/>
      <c r="F18" s="39" t="inlineStr"/>
      <c r="G18" s="39" t="inlineStr">
        <is>
          <t>Pending</t>
        </is>
      </c>
    </row>
    <row r="19" ht="32" customHeight="1">
      <c r="B19" s="8" t="inlineStr">
        <is>
          <t>SC2/RES/014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33" t="inlineStr">
        <is>
          <t>SC-2: FUNDING &amp; GRANTS MANAGEMENT — ACTION TAKEN REPORT</t>
        </is>
      </c>
    </row>
    <row r="3" ht="25" customHeight="1">
      <c r="B3" s="40" t="inlineStr">
        <is>
          <t>Current Meeting No.: _______  Date: _______  Previous Meeting Ref.: _______</t>
        </is>
      </c>
    </row>
    <row r="4" ht="25" customHeight="1">
      <c r="B4" s="36" t="inlineStr">
        <is>
          <t>Resolution
No.</t>
        </is>
      </c>
      <c r="C4" s="36" t="inlineStr">
        <is>
          <t>Resolution / Decision (Previous)</t>
        </is>
      </c>
      <c r="D4" s="36" t="inlineStr">
        <is>
          <t>Action Required</t>
        </is>
      </c>
      <c r="E4" s="36" t="inlineStr">
        <is>
          <t>Responsible</t>
        </is>
      </c>
      <c r="F4" s="36" t="inlineStr">
        <is>
          <t>Target
Date</t>
        </is>
      </c>
      <c r="G4" s="36" t="inlineStr">
        <is>
          <t>Completion
Date</t>
        </is>
      </c>
      <c r="H4" s="36" t="inlineStr">
        <is>
          <t>Status &amp; Evidence</t>
        </is>
      </c>
    </row>
    <row r="5" ht="26" customHeight="1">
      <c r="B5" s="37" t="inlineStr">
        <is>
          <t>SC2/RES/001</t>
        </is>
      </c>
      <c r="C5" s="38" t="inlineStr"/>
      <c r="D5" s="38" t="inlineStr"/>
      <c r="E5" s="39" t="inlineStr"/>
      <c r="F5" s="39" t="inlineStr"/>
      <c r="G5" s="39" t="inlineStr"/>
      <c r="H5" s="38" t="inlineStr">
        <is>
          <t>In Progress</t>
        </is>
      </c>
    </row>
    <row r="6" ht="26" customHeight="1">
      <c r="B6" s="8" t="inlineStr">
        <is>
          <t>SC2/RES/002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7" t="inlineStr">
        <is>
          <t>SC2/RES/003</t>
        </is>
      </c>
      <c r="C7" s="38" t="inlineStr"/>
      <c r="D7" s="38" t="inlineStr"/>
      <c r="E7" s="39" t="inlineStr"/>
      <c r="F7" s="39" t="inlineStr"/>
      <c r="G7" s="39" t="inlineStr"/>
      <c r="H7" s="38" t="inlineStr">
        <is>
          <t>In Progress</t>
        </is>
      </c>
    </row>
    <row r="8" ht="26" customHeight="1">
      <c r="B8" s="8" t="inlineStr">
        <is>
          <t>SC2/RES/004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7" t="inlineStr">
        <is>
          <t>SC2/RES/005</t>
        </is>
      </c>
      <c r="C9" s="38" t="inlineStr"/>
      <c r="D9" s="38" t="inlineStr"/>
      <c r="E9" s="39" t="inlineStr"/>
      <c r="F9" s="39" t="inlineStr"/>
      <c r="G9" s="39" t="inlineStr"/>
      <c r="H9" s="38" t="inlineStr">
        <is>
          <t>In Progress</t>
        </is>
      </c>
    </row>
    <row r="10" ht="26" customHeight="1">
      <c r="B10" s="8" t="inlineStr">
        <is>
          <t>SC2/RES/006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7" t="inlineStr">
        <is>
          <t>SC2/RES/007</t>
        </is>
      </c>
      <c r="C11" s="38" t="inlineStr"/>
      <c r="D11" s="38" t="inlineStr"/>
      <c r="E11" s="39" t="inlineStr"/>
      <c r="F11" s="39" t="inlineStr"/>
      <c r="G11" s="39" t="inlineStr"/>
      <c r="H11" s="38" t="inlineStr">
        <is>
          <t>In Progress</t>
        </is>
      </c>
    </row>
    <row r="12" ht="26" customHeight="1">
      <c r="B12" s="8" t="inlineStr">
        <is>
          <t>SC2/RES/008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7" t="inlineStr">
        <is>
          <t>SC2/RES/009</t>
        </is>
      </c>
      <c r="C13" s="38" t="inlineStr"/>
      <c r="D13" s="38" t="inlineStr"/>
      <c r="E13" s="39" t="inlineStr"/>
      <c r="F13" s="39" t="inlineStr"/>
      <c r="G13" s="39" t="inlineStr"/>
      <c r="H13" s="38" t="inlineStr">
        <is>
          <t>In Progress</t>
        </is>
      </c>
    </row>
    <row r="14" ht="26" customHeight="1">
      <c r="B14" s="8" t="inlineStr">
        <is>
          <t>SC2/RES/010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7" t="inlineStr">
        <is>
          <t>SC2/RES/011</t>
        </is>
      </c>
      <c r="C15" s="38" t="inlineStr"/>
      <c r="D15" s="38" t="inlineStr"/>
      <c r="E15" s="39" t="inlineStr"/>
      <c r="F15" s="39" t="inlineStr"/>
      <c r="G15" s="39" t="inlineStr"/>
      <c r="H15" s="38" t="inlineStr">
        <is>
          <t>In Progress</t>
        </is>
      </c>
    </row>
    <row r="16" ht="26" customHeight="1">
      <c r="B16" s="8" t="inlineStr">
        <is>
          <t>SC2/RES/012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7" t="inlineStr">
        <is>
          <t>SC2/RES/013</t>
        </is>
      </c>
      <c r="C17" s="38" t="inlineStr"/>
      <c r="D17" s="38" t="inlineStr"/>
      <c r="E17" s="39" t="inlineStr"/>
      <c r="F17" s="39" t="inlineStr"/>
      <c r="G17" s="39" t="inlineStr"/>
      <c r="H17" s="38" t="inlineStr">
        <is>
          <t>In Progress</t>
        </is>
      </c>
    </row>
    <row r="18" ht="26" customHeight="1">
      <c r="B18" s="8" t="inlineStr">
        <is>
          <t>SC2/RES/014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7" t="inlineStr">
        <is>
          <t>SC2/RES/015</t>
        </is>
      </c>
      <c r="C19" s="38" t="inlineStr"/>
      <c r="D19" s="38" t="inlineStr"/>
      <c r="E19" s="39" t="inlineStr"/>
      <c r="F19" s="39" t="inlineStr"/>
      <c r="G19" s="39" t="inlineStr"/>
      <c r="H19" s="38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41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41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41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8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3" customWidth="1" min="11" max="11"/>
  </cols>
  <sheetData>
    <row r="1" ht="10" customHeight="1"/>
    <row r="2" ht="48" customHeight="1">
      <c r="B2" s="42" t="inlineStr">
        <is>
          <t>SC2-01: GRANT APPLICATION TRACKING REGISTER</t>
        </is>
      </c>
    </row>
    <row r="3" ht="25" customHeight="1">
      <c r="B3" s="40" t="inlineStr">
        <is>
          <t>A.Y.: _______  SC2 Chairperson: ___________________  Finance Officer: ___________________</t>
        </is>
      </c>
    </row>
    <row r="4" ht="25" customHeight="1">
      <c r="B4" s="36" t="inlineStr">
        <is>
          <t>App.
Ref.</t>
        </is>
      </c>
      <c r="C4" s="36" t="inlineStr">
        <is>
          <t>Project Title</t>
        </is>
      </c>
      <c r="D4" s="36" t="inlineStr">
        <is>
          <t>PI / Co-PI</t>
        </is>
      </c>
      <c r="E4" s="36" t="inlineStr">
        <is>
          <t>Funding Agency</t>
        </is>
      </c>
      <c r="F4" s="36" t="inlineStr">
        <is>
          <t>Scheme / Call</t>
        </is>
      </c>
      <c r="G4" s="36" t="inlineStr">
        <is>
          <t>Amount
Applied (₹L)</t>
        </is>
      </c>
      <c r="H4" s="36" t="inlineStr">
        <is>
          <t>Date
Submitted</t>
        </is>
      </c>
      <c r="I4" s="36" t="inlineStr">
        <is>
          <t>Current
Status</t>
        </is>
      </c>
      <c r="J4" s="36" t="inlineStr">
        <is>
          <t>Decision /
Award Date</t>
        </is>
      </c>
    </row>
    <row r="5" ht="22" customHeight="1">
      <c r="B5" s="37" t="inlineStr">
        <is>
          <t>GA/2024/001</t>
        </is>
      </c>
      <c r="C5" s="38" t="inlineStr"/>
      <c r="D5" s="39" t="inlineStr"/>
      <c r="E5" s="39" t="inlineStr">
        <is>
          <t>DST-SERB</t>
        </is>
      </c>
      <c r="F5" s="39" t="inlineStr"/>
      <c r="G5" s="39" t="inlineStr"/>
      <c r="H5" s="39" t="inlineStr"/>
      <c r="I5" s="39" t="inlineStr">
        <is>
          <t>Submitted</t>
        </is>
      </c>
      <c r="J5" s="39" t="inlineStr"/>
    </row>
    <row r="6" ht="22" customHeight="1">
      <c r="B6" s="8" t="inlineStr">
        <is>
          <t>GA/2024/002</t>
        </is>
      </c>
      <c r="C6" s="9" t="inlineStr"/>
      <c r="D6" s="10" t="inlineStr"/>
      <c r="E6" s="10" t="inlineStr">
        <is>
          <t>DBT</t>
        </is>
      </c>
      <c r="F6" s="10" t="inlineStr"/>
      <c r="G6" s="10" t="inlineStr"/>
      <c r="H6" s="10" t="inlineStr"/>
      <c r="I6" s="10" t="inlineStr">
        <is>
          <t>Under Review</t>
        </is>
      </c>
      <c r="J6" s="10" t="inlineStr"/>
    </row>
    <row r="7" ht="22" customHeight="1">
      <c r="B7" s="37" t="inlineStr">
        <is>
          <t>GA/2024/003</t>
        </is>
      </c>
      <c r="C7" s="38" t="inlineStr"/>
      <c r="D7" s="39" t="inlineStr"/>
      <c r="E7" s="39" t="inlineStr">
        <is>
          <t>ICMR</t>
        </is>
      </c>
      <c r="F7" s="39" t="inlineStr"/>
      <c r="G7" s="39" t="inlineStr"/>
      <c r="H7" s="39" t="inlineStr"/>
      <c r="I7" s="39" t="inlineStr">
        <is>
          <t>Shortlisted</t>
        </is>
      </c>
      <c r="J7" s="39" t="inlineStr"/>
    </row>
    <row r="8" ht="22" customHeight="1">
      <c r="B8" s="8" t="inlineStr">
        <is>
          <t>GA/2024/004</t>
        </is>
      </c>
      <c r="C8" s="9" t="inlineStr"/>
      <c r="D8" s="10" t="inlineStr"/>
      <c r="E8" s="10" t="inlineStr">
        <is>
          <t>CSIR</t>
        </is>
      </c>
      <c r="F8" s="10" t="inlineStr"/>
      <c r="G8" s="10" t="inlineStr"/>
      <c r="H8" s="10" t="inlineStr"/>
      <c r="I8" s="10" t="inlineStr">
        <is>
          <t>Awarded</t>
        </is>
      </c>
      <c r="J8" s="10" t="inlineStr"/>
    </row>
    <row r="9" ht="22" customHeight="1">
      <c r="B9" s="37" t="inlineStr">
        <is>
          <t>GA/2024/005</t>
        </is>
      </c>
      <c r="C9" s="38" t="inlineStr"/>
      <c r="D9" s="39" t="inlineStr"/>
      <c r="E9" s="39" t="inlineStr">
        <is>
          <t>AICTE</t>
        </is>
      </c>
      <c r="F9" s="39" t="inlineStr"/>
      <c r="G9" s="39" t="inlineStr"/>
      <c r="H9" s="39" t="inlineStr"/>
      <c r="I9" s="39" t="inlineStr">
        <is>
          <t>Rejected</t>
        </is>
      </c>
      <c r="J9" s="39" t="inlineStr"/>
    </row>
    <row r="10" ht="22" customHeight="1">
      <c r="B10" s="8" t="inlineStr">
        <is>
          <t>GA/2024/006</t>
        </is>
      </c>
      <c r="C10" s="9" t="inlineStr"/>
      <c r="D10" s="10" t="inlineStr"/>
      <c r="E10" s="10" t="inlineStr">
        <is>
          <t>UGC</t>
        </is>
      </c>
      <c r="F10" s="10" t="inlineStr"/>
      <c r="G10" s="10" t="inlineStr"/>
      <c r="H10" s="10" t="inlineStr"/>
      <c r="I10" s="10" t="inlineStr">
        <is>
          <t>Revision Requested</t>
        </is>
      </c>
      <c r="J10" s="10" t="inlineStr"/>
    </row>
    <row r="11" ht="22" customHeight="1">
      <c r="B11" s="37" t="inlineStr">
        <is>
          <t>GA/2024/007</t>
        </is>
      </c>
      <c r="C11" s="38" t="inlineStr"/>
      <c r="D11" s="39" t="inlineStr"/>
      <c r="E11" s="39" t="inlineStr">
        <is>
          <t>Industry Sponsored</t>
        </is>
      </c>
      <c r="F11" s="39" t="inlineStr"/>
      <c r="G11" s="39" t="inlineStr"/>
      <c r="H11" s="39" t="inlineStr"/>
      <c r="I11" s="39" t="inlineStr">
        <is>
          <t>Withdrawn</t>
        </is>
      </c>
      <c r="J11" s="39" t="inlineStr"/>
    </row>
    <row r="12" ht="22" customHeight="1">
      <c r="B12" s="8" t="inlineStr">
        <is>
          <t>GA/2024/008</t>
        </is>
      </c>
      <c r="C12" s="9" t="inlineStr"/>
      <c r="D12" s="10" t="inlineStr"/>
      <c r="E12" s="10" t="inlineStr">
        <is>
          <t>International</t>
        </is>
      </c>
      <c r="F12" s="10" t="inlineStr"/>
      <c r="G12" s="10" t="inlineStr"/>
      <c r="H12" s="10" t="inlineStr"/>
      <c r="I12" s="10" t="inlineStr">
        <is>
          <t>Submitted</t>
        </is>
      </c>
      <c r="J12" s="10" t="inlineStr"/>
    </row>
    <row r="13" ht="22" customHeight="1">
      <c r="B13" s="37" t="inlineStr">
        <is>
          <t>GA/2024/009</t>
        </is>
      </c>
      <c r="C13" s="38" t="inlineStr"/>
      <c r="D13" s="39" t="inlineStr"/>
      <c r="E13" s="39" t="inlineStr">
        <is>
          <t>State Govt.</t>
        </is>
      </c>
      <c r="F13" s="39" t="inlineStr"/>
      <c r="G13" s="39" t="inlineStr"/>
      <c r="H13" s="39" t="inlineStr"/>
      <c r="I13" s="39" t="inlineStr">
        <is>
          <t>Under Review</t>
        </is>
      </c>
      <c r="J13" s="39" t="inlineStr"/>
    </row>
    <row r="14" ht="22" customHeight="1">
      <c r="B14" s="8" t="inlineStr">
        <is>
          <t>GA/2024/010</t>
        </is>
      </c>
      <c r="C14" s="9" t="inlineStr"/>
      <c r="D14" s="10" t="inlineStr"/>
      <c r="E14" s="10" t="inlineStr">
        <is>
          <t>Others</t>
        </is>
      </c>
      <c r="F14" s="10" t="inlineStr"/>
      <c r="G14" s="10" t="inlineStr"/>
      <c r="H14" s="10" t="inlineStr"/>
      <c r="I14" s="10" t="inlineStr">
        <is>
          <t>Shortlisted</t>
        </is>
      </c>
      <c r="J14" s="10" t="inlineStr"/>
    </row>
    <row r="15" ht="22" customHeight="1">
      <c r="B15" s="37" t="inlineStr">
        <is>
          <t>GA/2024/011</t>
        </is>
      </c>
      <c r="C15" s="38" t="inlineStr"/>
      <c r="D15" s="39" t="inlineStr"/>
      <c r="E15" s="39" t="inlineStr">
        <is>
          <t>DST-SERB</t>
        </is>
      </c>
      <c r="F15" s="39" t="inlineStr"/>
      <c r="G15" s="39" t="inlineStr"/>
      <c r="H15" s="39" t="inlineStr"/>
      <c r="I15" s="39" t="inlineStr">
        <is>
          <t>Awarded</t>
        </is>
      </c>
      <c r="J15" s="39" t="inlineStr"/>
    </row>
    <row r="16" ht="22" customHeight="1">
      <c r="B16" s="8" t="inlineStr">
        <is>
          <t>GA/2025/012</t>
        </is>
      </c>
      <c r="C16" s="9" t="inlineStr"/>
      <c r="D16" s="10" t="inlineStr"/>
      <c r="E16" s="10" t="inlineStr">
        <is>
          <t>DBT</t>
        </is>
      </c>
      <c r="F16" s="10" t="inlineStr"/>
      <c r="G16" s="10" t="inlineStr"/>
      <c r="H16" s="10" t="inlineStr"/>
      <c r="I16" s="10" t="inlineStr">
        <is>
          <t>Rejected</t>
        </is>
      </c>
      <c r="J16" s="10" t="inlineStr"/>
    </row>
    <row r="17" ht="22" customHeight="1">
      <c r="B17" s="37" t="inlineStr">
        <is>
          <t>GA/2025/013</t>
        </is>
      </c>
      <c r="C17" s="38" t="inlineStr"/>
      <c r="D17" s="39" t="inlineStr"/>
      <c r="E17" s="39" t="inlineStr">
        <is>
          <t>ICMR</t>
        </is>
      </c>
      <c r="F17" s="39" t="inlineStr"/>
      <c r="G17" s="39" t="inlineStr"/>
      <c r="H17" s="39" t="inlineStr"/>
      <c r="I17" s="39" t="inlineStr">
        <is>
          <t>Revision Requested</t>
        </is>
      </c>
      <c r="J17" s="39" t="inlineStr"/>
    </row>
    <row r="18" ht="22" customHeight="1">
      <c r="B18" s="8" t="inlineStr">
        <is>
          <t>GA/2025/014</t>
        </is>
      </c>
      <c r="C18" s="9" t="inlineStr"/>
      <c r="D18" s="10" t="inlineStr"/>
      <c r="E18" s="10" t="inlineStr">
        <is>
          <t>CSIR</t>
        </is>
      </c>
      <c r="F18" s="10" t="inlineStr"/>
      <c r="G18" s="10" t="inlineStr"/>
      <c r="H18" s="10" t="inlineStr"/>
      <c r="I18" s="10" t="inlineStr">
        <is>
          <t>Withdrawn</t>
        </is>
      </c>
      <c r="J18" s="10" t="inlineStr"/>
    </row>
    <row r="19" ht="22" customHeight="1">
      <c r="B19" s="37" t="inlineStr">
        <is>
          <t>GA/2025/015</t>
        </is>
      </c>
      <c r="C19" s="38" t="inlineStr"/>
      <c r="D19" s="39" t="inlineStr"/>
      <c r="E19" s="39" t="inlineStr">
        <is>
          <t>AICTE</t>
        </is>
      </c>
      <c r="F19" s="39" t="inlineStr"/>
      <c r="G19" s="39" t="inlineStr"/>
      <c r="H19" s="39" t="inlineStr"/>
      <c r="I19" s="39" t="inlineStr">
        <is>
          <t>Submitted</t>
        </is>
      </c>
      <c r="J19" s="39" t="inlineStr"/>
    </row>
    <row r="20" ht="22" customHeight="1">
      <c r="B20" s="8" t="inlineStr">
        <is>
          <t>GA/2025/016</t>
        </is>
      </c>
      <c r="C20" s="9" t="inlineStr"/>
      <c r="D20" s="10" t="inlineStr"/>
      <c r="E20" s="10" t="inlineStr">
        <is>
          <t>UGC</t>
        </is>
      </c>
      <c r="F20" s="10" t="inlineStr"/>
      <c r="G20" s="10" t="inlineStr"/>
      <c r="H20" s="10" t="inlineStr"/>
      <c r="I20" s="10" t="inlineStr">
        <is>
          <t>Under Review</t>
        </is>
      </c>
      <c r="J20" s="10" t="inlineStr"/>
    </row>
    <row r="21" ht="22" customHeight="1">
      <c r="B21" s="37" t="inlineStr">
        <is>
          <t>GA/2025/017</t>
        </is>
      </c>
      <c r="C21" s="38" t="inlineStr"/>
      <c r="D21" s="39" t="inlineStr"/>
      <c r="E21" s="39" t="inlineStr">
        <is>
          <t>Industry Sponsored</t>
        </is>
      </c>
      <c r="F21" s="39" t="inlineStr"/>
      <c r="G21" s="39" t="inlineStr"/>
      <c r="H21" s="39" t="inlineStr"/>
      <c r="I21" s="39" t="inlineStr">
        <is>
          <t>Shortlisted</t>
        </is>
      </c>
      <c r="J21" s="39" t="inlineStr"/>
    </row>
    <row r="22" ht="22" customHeight="1">
      <c r="B22" s="8" t="inlineStr">
        <is>
          <t>GA/2025/018</t>
        </is>
      </c>
      <c r="C22" s="9" t="inlineStr"/>
      <c r="D22" s="10" t="inlineStr"/>
      <c r="E22" s="10" t="inlineStr">
        <is>
          <t>International</t>
        </is>
      </c>
      <c r="F22" s="10" t="inlineStr"/>
      <c r="G22" s="10" t="inlineStr"/>
      <c r="H22" s="10" t="inlineStr"/>
      <c r="I22" s="10" t="inlineStr">
        <is>
          <t>Awarded</t>
        </is>
      </c>
      <c r="J22" s="10" t="inlineStr"/>
    </row>
    <row r="23" ht="22" customHeight="1">
      <c r="B23" s="37" t="inlineStr">
        <is>
          <t>GA/2025/019</t>
        </is>
      </c>
      <c r="C23" s="38" t="inlineStr"/>
      <c r="D23" s="39" t="inlineStr"/>
      <c r="E23" s="39" t="inlineStr">
        <is>
          <t>State Govt.</t>
        </is>
      </c>
      <c r="F23" s="39" t="inlineStr"/>
      <c r="G23" s="39" t="inlineStr"/>
      <c r="H23" s="39" t="inlineStr"/>
      <c r="I23" s="39" t="inlineStr">
        <is>
          <t>Rejected</t>
        </is>
      </c>
      <c r="J23" s="39" t="inlineStr"/>
    </row>
    <row r="24" ht="22" customHeight="1">
      <c r="B24" s="8" t="inlineStr">
        <is>
          <t>GA/2025/020</t>
        </is>
      </c>
      <c r="C24" s="9" t="inlineStr"/>
      <c r="D24" s="10" t="inlineStr"/>
      <c r="E24" s="10" t="inlineStr">
        <is>
          <t>Others</t>
        </is>
      </c>
      <c r="F24" s="10" t="inlineStr"/>
      <c r="G24" s="10" t="inlineStr"/>
      <c r="H24" s="10" t="inlineStr"/>
      <c r="I24" s="10" t="inlineStr">
        <is>
          <t>Revision Requested</t>
        </is>
      </c>
      <c r="J24" s="10" t="inlineStr"/>
    </row>
    <row r="25" ht="22" customHeight="1">
      <c r="B25" s="37" t="inlineStr">
        <is>
          <t>GA/2025/021</t>
        </is>
      </c>
      <c r="C25" s="38" t="inlineStr"/>
      <c r="D25" s="39" t="inlineStr"/>
      <c r="E25" s="39" t="inlineStr">
        <is>
          <t>DST-SERB</t>
        </is>
      </c>
      <c r="F25" s="39" t="inlineStr"/>
      <c r="G25" s="39" t="inlineStr"/>
      <c r="H25" s="39" t="inlineStr"/>
      <c r="I25" s="39" t="inlineStr">
        <is>
          <t>Withdrawn</t>
        </is>
      </c>
      <c r="J25" s="39" t="inlineStr"/>
    </row>
    <row r="26" ht="22" customHeight="1">
      <c r="B26" s="8" t="inlineStr">
        <is>
          <t>GA/2025/022</t>
        </is>
      </c>
      <c r="C26" s="9" t="inlineStr"/>
      <c r="D26" s="10" t="inlineStr"/>
      <c r="E26" s="10" t="inlineStr">
        <is>
          <t>DBT</t>
        </is>
      </c>
      <c r="F26" s="10" t="inlineStr"/>
      <c r="G26" s="10" t="inlineStr"/>
      <c r="H26" s="10" t="inlineStr"/>
      <c r="I26" s="10" t="inlineStr">
        <is>
          <t>Submitted</t>
        </is>
      </c>
      <c r="J26" s="10" t="inlineStr"/>
    </row>
    <row r="27" ht="22" customHeight="1"/>
    <row r="28" ht="24" customHeight="1">
      <c r="B28" s="35" t="inlineStr">
        <is>
          <t>GRANT PIPELINE SUMMARY</t>
        </is>
      </c>
    </row>
    <row r="29" ht="22" customHeight="1">
      <c r="B29" s="41" t="inlineStr">
        <is>
          <t>Total Applications Submitted</t>
        </is>
      </c>
      <c r="F29" s="31">
        <f>COUNTA(B5:B26)</f>
        <v/>
      </c>
    </row>
    <row r="30" ht="22" customHeight="1">
      <c r="B30" s="25" t="inlineStr">
        <is>
          <t>Awarded</t>
        </is>
      </c>
      <c r="F30" s="32">
        <f>COUNTIF(I5:I26,"Awarded")</f>
        <v/>
      </c>
    </row>
    <row r="31" ht="22" customHeight="1">
      <c r="B31" s="41" t="inlineStr">
        <is>
          <t>Under Review</t>
        </is>
      </c>
      <c r="F31" s="31">
        <f>COUNTIF(I5:I26,"Under Review")</f>
        <v/>
      </c>
    </row>
    <row r="32" ht="22" customHeight="1">
      <c r="B32" s="25" t="inlineStr">
        <is>
          <t>Rejected</t>
        </is>
      </c>
      <c r="F32" s="32">
        <f>COUNTIF(I5:I26,"Rejected")</f>
        <v/>
      </c>
    </row>
    <row r="33" ht="22" customHeight="1">
      <c r="B33" s="41" t="inlineStr">
        <is>
          <t>Award Rate (%)</t>
        </is>
      </c>
      <c r="F33" s="31">
        <f>IFERROR(ROUND(C30/C29*100,1),"")</f>
        <v/>
      </c>
    </row>
    <row r="34" ht="22" customHeight="1"/>
  </sheetData>
  <mergeCells count="13">
    <mergeCell ref="B31:E31"/>
    <mergeCell ref="F30:J30"/>
    <mergeCell ref="B3:J3"/>
    <mergeCell ref="F29:J29"/>
    <mergeCell ref="B28:J28"/>
    <mergeCell ref="B30:E30"/>
    <mergeCell ref="B29:E29"/>
    <mergeCell ref="B33:E33"/>
    <mergeCell ref="F33:J33"/>
    <mergeCell ref="F31:J31"/>
    <mergeCell ref="F32:J32"/>
    <mergeCell ref="B2:J2"/>
    <mergeCell ref="B32:E3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42" t="inlineStr">
        <is>
          <t>SC2-02: FUNDED PROJECT REGISTER &amp; STATUS TRACKER</t>
        </is>
      </c>
    </row>
    <row r="3" ht="25" customHeight="1">
      <c r="B3" s="40" t="inlineStr">
        <is>
          <t>A.Y.: _______  Projects Cell: ___________________  Finance Officer: ___________________</t>
        </is>
      </c>
    </row>
    <row r="4" ht="25" customHeight="1">
      <c r="B4" s="36" t="inlineStr">
        <is>
          <t>Project
Ref.</t>
        </is>
      </c>
      <c r="C4" s="36" t="inlineStr">
        <is>
          <t>Project Title</t>
        </is>
      </c>
      <c r="D4" s="36" t="inlineStr">
        <is>
          <t>PI / Dept.</t>
        </is>
      </c>
      <c r="E4" s="36" t="inlineStr">
        <is>
          <t>Funding
Agency</t>
        </is>
      </c>
      <c r="F4" s="36" t="inlineStr">
        <is>
          <t>Total Grant
(₹L)</t>
        </is>
      </c>
      <c r="G4" s="36" t="inlineStr">
        <is>
          <t>Received
to Date (₹L)</t>
        </is>
      </c>
      <c r="H4" s="36" t="inlineStr">
        <is>
          <t>Spent
to Date (₹L)</t>
        </is>
      </c>
      <c r="I4" s="36" t="inlineStr">
        <is>
          <t>Balance
(₹L)</t>
        </is>
      </c>
      <c r="J4" s="36" t="inlineStr">
        <is>
          <t>Utilisation
%</t>
        </is>
      </c>
      <c r="K4" s="36" t="inlineStr">
        <is>
          <t>Status</t>
        </is>
      </c>
    </row>
    <row r="5" ht="22" customHeight="1">
      <c r="B5" s="37" t="inlineStr">
        <is>
          <t>FP/2024/001</t>
        </is>
      </c>
      <c r="C5" s="38" t="inlineStr"/>
      <c r="D5" s="39" t="inlineStr"/>
      <c r="E5" s="39" t="inlineStr">
        <is>
          <t>DST-SERB</t>
        </is>
      </c>
      <c r="F5" s="39" t="inlineStr"/>
      <c r="G5" s="39" t="inlineStr"/>
      <c r="H5" s="39" t="inlineStr"/>
      <c r="I5" s="39">
        <f>IFERROR(G5-H5,"")</f>
        <v/>
      </c>
      <c r="J5" s="43">
        <f>IFERROR(ROUND(H5/F5*100,1),"")</f>
        <v/>
      </c>
      <c r="K5" s="39" t="inlineStr">
        <is>
          <t>Ongoing</t>
        </is>
      </c>
    </row>
    <row r="6" ht="22" customHeight="1">
      <c r="B6" s="8" t="inlineStr">
        <is>
          <t>FP/2024/002</t>
        </is>
      </c>
      <c r="C6" s="9" t="inlineStr"/>
      <c r="D6" s="10" t="inlineStr"/>
      <c r="E6" s="10" t="inlineStr">
        <is>
          <t>DBT</t>
        </is>
      </c>
      <c r="F6" s="10" t="inlineStr"/>
      <c r="G6" s="10" t="inlineStr"/>
      <c r="H6" s="10" t="inlineStr"/>
      <c r="I6" s="10">
        <f>IFERROR(G6-H6,"")</f>
        <v/>
      </c>
      <c r="J6" s="44">
        <f>IFERROR(ROUND(H6/F6*100,1),"")</f>
        <v/>
      </c>
      <c r="K6" s="10" t="inlineStr">
        <is>
          <t>Ongoing</t>
        </is>
      </c>
    </row>
    <row r="7" ht="22" customHeight="1">
      <c r="B7" s="37" t="inlineStr">
        <is>
          <t>FP/2024/003</t>
        </is>
      </c>
      <c r="C7" s="38" t="inlineStr"/>
      <c r="D7" s="39" t="inlineStr"/>
      <c r="E7" s="39" t="inlineStr">
        <is>
          <t>ICMR</t>
        </is>
      </c>
      <c r="F7" s="39" t="inlineStr"/>
      <c r="G7" s="39" t="inlineStr"/>
      <c r="H7" s="39" t="inlineStr"/>
      <c r="I7" s="39">
        <f>IFERROR(G7-H7,"")</f>
        <v/>
      </c>
      <c r="J7" s="43">
        <f>IFERROR(ROUND(H7/F7*100,1),"")</f>
        <v/>
      </c>
      <c r="K7" s="39" t="inlineStr">
        <is>
          <t>Ongoing</t>
        </is>
      </c>
    </row>
    <row r="8" ht="22" customHeight="1">
      <c r="B8" s="8" t="inlineStr">
        <is>
          <t>FP/2024/004</t>
        </is>
      </c>
      <c r="C8" s="9" t="inlineStr"/>
      <c r="D8" s="10" t="inlineStr"/>
      <c r="E8" s="10" t="inlineStr">
        <is>
          <t>CSIR</t>
        </is>
      </c>
      <c r="F8" s="10" t="inlineStr"/>
      <c r="G8" s="10" t="inlineStr"/>
      <c r="H8" s="10" t="inlineStr"/>
      <c r="I8" s="10">
        <f>IFERROR(G8-H8,"")</f>
        <v/>
      </c>
      <c r="J8" s="44">
        <f>IFERROR(ROUND(H8/F8*100,1),"")</f>
        <v/>
      </c>
      <c r="K8" s="10" t="inlineStr">
        <is>
          <t>Ongoing</t>
        </is>
      </c>
    </row>
    <row r="9" ht="22" customHeight="1">
      <c r="B9" s="37" t="inlineStr">
        <is>
          <t>FP/2024/005</t>
        </is>
      </c>
      <c r="C9" s="38" t="inlineStr"/>
      <c r="D9" s="39" t="inlineStr"/>
      <c r="E9" s="39" t="inlineStr">
        <is>
          <t>AICTE</t>
        </is>
      </c>
      <c r="F9" s="39" t="inlineStr"/>
      <c r="G9" s="39" t="inlineStr"/>
      <c r="H9" s="39" t="inlineStr"/>
      <c r="I9" s="39">
        <f>IFERROR(G9-H9,"")</f>
        <v/>
      </c>
      <c r="J9" s="43">
        <f>IFERROR(ROUND(H9/F9*100,1),"")</f>
        <v/>
      </c>
      <c r="K9" s="39" t="inlineStr">
        <is>
          <t>Ongoing</t>
        </is>
      </c>
    </row>
    <row r="10" ht="22" customHeight="1">
      <c r="B10" s="8" t="inlineStr">
        <is>
          <t>FP/2024/006</t>
        </is>
      </c>
      <c r="C10" s="9" t="inlineStr"/>
      <c r="D10" s="10" t="inlineStr"/>
      <c r="E10" s="10" t="inlineStr">
        <is>
          <t>UGC</t>
        </is>
      </c>
      <c r="F10" s="10" t="inlineStr"/>
      <c r="G10" s="10" t="inlineStr"/>
      <c r="H10" s="10" t="inlineStr"/>
      <c r="I10" s="10">
        <f>IFERROR(G10-H10,"")</f>
        <v/>
      </c>
      <c r="J10" s="44">
        <f>IFERROR(ROUND(H10/F10*100,1),"")</f>
        <v/>
      </c>
      <c r="K10" s="10" t="inlineStr">
        <is>
          <t>Ongoing</t>
        </is>
      </c>
    </row>
    <row r="11" ht="22" customHeight="1">
      <c r="B11" s="37" t="inlineStr">
        <is>
          <t>FP/2024/007</t>
        </is>
      </c>
      <c r="C11" s="38" t="inlineStr"/>
      <c r="D11" s="39" t="inlineStr"/>
      <c r="E11" s="39" t="inlineStr">
        <is>
          <t>Industry Sponsored</t>
        </is>
      </c>
      <c r="F11" s="39" t="inlineStr"/>
      <c r="G11" s="39" t="inlineStr"/>
      <c r="H11" s="39" t="inlineStr"/>
      <c r="I11" s="39">
        <f>IFERROR(G11-H11,"")</f>
        <v/>
      </c>
      <c r="J11" s="43">
        <f>IFERROR(ROUND(H11/F11*100,1),"")</f>
        <v/>
      </c>
      <c r="K11" s="39" t="inlineStr">
        <is>
          <t>Ongoing</t>
        </is>
      </c>
    </row>
    <row r="12" ht="22" customHeight="1">
      <c r="B12" s="8" t="inlineStr">
        <is>
          <t>FP/2024/008</t>
        </is>
      </c>
      <c r="C12" s="9" t="inlineStr"/>
      <c r="D12" s="10" t="inlineStr"/>
      <c r="E12" s="10" t="inlineStr">
        <is>
          <t>International</t>
        </is>
      </c>
      <c r="F12" s="10" t="inlineStr"/>
      <c r="G12" s="10" t="inlineStr"/>
      <c r="H12" s="10" t="inlineStr"/>
      <c r="I12" s="10">
        <f>IFERROR(G12-H12,"")</f>
        <v/>
      </c>
      <c r="J12" s="44">
        <f>IFERROR(ROUND(H12/F12*100,1),"")</f>
        <v/>
      </c>
      <c r="K12" s="10" t="inlineStr">
        <is>
          <t>Ongoing</t>
        </is>
      </c>
    </row>
    <row r="13" ht="22" customHeight="1">
      <c r="B13" s="37" t="inlineStr">
        <is>
          <t>FP/2024/009</t>
        </is>
      </c>
      <c r="C13" s="38" t="inlineStr"/>
      <c r="D13" s="39" t="inlineStr"/>
      <c r="E13" s="39" t="inlineStr">
        <is>
          <t>State Govt.</t>
        </is>
      </c>
      <c r="F13" s="39" t="inlineStr"/>
      <c r="G13" s="39" t="inlineStr"/>
      <c r="H13" s="39" t="inlineStr"/>
      <c r="I13" s="39">
        <f>IFERROR(G13-H13,"")</f>
        <v/>
      </c>
      <c r="J13" s="43">
        <f>IFERROR(ROUND(H13/F13*100,1),"")</f>
        <v/>
      </c>
      <c r="K13" s="39" t="inlineStr">
        <is>
          <t>Ongoing</t>
        </is>
      </c>
    </row>
    <row r="14" ht="22" customHeight="1">
      <c r="B14" s="8" t="inlineStr">
        <is>
          <t>FP/2025/010</t>
        </is>
      </c>
      <c r="C14" s="9" t="inlineStr"/>
      <c r="D14" s="10" t="inlineStr"/>
      <c r="E14" s="10" t="inlineStr">
        <is>
          <t>Others</t>
        </is>
      </c>
      <c r="F14" s="10" t="inlineStr"/>
      <c r="G14" s="10" t="inlineStr"/>
      <c r="H14" s="10" t="inlineStr"/>
      <c r="I14" s="10">
        <f>IFERROR(G14-H14,"")</f>
        <v/>
      </c>
      <c r="J14" s="44">
        <f>IFERROR(ROUND(H14/F14*100,1),"")</f>
        <v/>
      </c>
      <c r="K14" s="10" t="inlineStr">
        <is>
          <t>Ongoing</t>
        </is>
      </c>
    </row>
    <row r="15" ht="22" customHeight="1">
      <c r="B15" s="37" t="inlineStr">
        <is>
          <t>FP/2025/011</t>
        </is>
      </c>
      <c r="C15" s="38" t="inlineStr"/>
      <c r="D15" s="39" t="inlineStr"/>
      <c r="E15" s="39" t="inlineStr">
        <is>
          <t>DST-SERB</t>
        </is>
      </c>
      <c r="F15" s="39" t="inlineStr"/>
      <c r="G15" s="39" t="inlineStr"/>
      <c r="H15" s="39" t="inlineStr"/>
      <c r="I15" s="39">
        <f>IFERROR(G15-H15,"")</f>
        <v/>
      </c>
      <c r="J15" s="43">
        <f>IFERROR(ROUND(H15/F15*100,1),"")</f>
        <v/>
      </c>
      <c r="K15" s="39" t="inlineStr">
        <is>
          <t>Ongoing</t>
        </is>
      </c>
    </row>
    <row r="16" ht="22" customHeight="1">
      <c r="B16" s="8" t="inlineStr">
        <is>
          <t>FP/2025/012</t>
        </is>
      </c>
      <c r="C16" s="9" t="inlineStr"/>
      <c r="D16" s="10" t="inlineStr"/>
      <c r="E16" s="10" t="inlineStr">
        <is>
          <t>DBT</t>
        </is>
      </c>
      <c r="F16" s="10" t="inlineStr"/>
      <c r="G16" s="10" t="inlineStr"/>
      <c r="H16" s="10" t="inlineStr"/>
      <c r="I16" s="10">
        <f>IFERROR(G16-H16,"")</f>
        <v/>
      </c>
      <c r="J16" s="44">
        <f>IFERROR(ROUND(H16/F16*100,1),"")</f>
        <v/>
      </c>
      <c r="K16" s="10" t="inlineStr">
        <is>
          <t>Ongoing</t>
        </is>
      </c>
    </row>
    <row r="17" ht="22" customHeight="1">
      <c r="B17" s="37" t="inlineStr">
        <is>
          <t>FP/2025/013</t>
        </is>
      </c>
      <c r="C17" s="38" t="inlineStr"/>
      <c r="D17" s="39" t="inlineStr"/>
      <c r="E17" s="39" t="inlineStr">
        <is>
          <t>ICMR</t>
        </is>
      </c>
      <c r="F17" s="39" t="inlineStr"/>
      <c r="G17" s="39" t="inlineStr"/>
      <c r="H17" s="39" t="inlineStr"/>
      <c r="I17" s="39">
        <f>IFERROR(G17-H17,"")</f>
        <v/>
      </c>
      <c r="J17" s="43">
        <f>IFERROR(ROUND(H17/F17*100,1),"")</f>
        <v/>
      </c>
      <c r="K17" s="39" t="inlineStr">
        <is>
          <t>Ongoing</t>
        </is>
      </c>
    </row>
    <row r="18" ht="22" customHeight="1">
      <c r="B18" s="8" t="inlineStr">
        <is>
          <t>FP/2025/014</t>
        </is>
      </c>
      <c r="C18" s="9" t="inlineStr"/>
      <c r="D18" s="10" t="inlineStr"/>
      <c r="E18" s="10" t="inlineStr">
        <is>
          <t>CSIR</t>
        </is>
      </c>
      <c r="F18" s="10" t="inlineStr"/>
      <c r="G18" s="10" t="inlineStr"/>
      <c r="H18" s="10" t="inlineStr"/>
      <c r="I18" s="10">
        <f>IFERROR(G18-H18,"")</f>
        <v/>
      </c>
      <c r="J18" s="44">
        <f>IFERROR(ROUND(H18/F18*100,1),"")</f>
        <v/>
      </c>
      <c r="K18" s="10" t="inlineStr">
        <is>
          <t>Ongoing</t>
        </is>
      </c>
    </row>
    <row r="19" ht="22" customHeight="1">
      <c r="B19" s="37" t="inlineStr">
        <is>
          <t>FP/2025/015</t>
        </is>
      </c>
      <c r="C19" s="38" t="inlineStr"/>
      <c r="D19" s="39" t="inlineStr"/>
      <c r="E19" s="39" t="inlineStr">
        <is>
          <t>AICTE</t>
        </is>
      </c>
      <c r="F19" s="39" t="inlineStr"/>
      <c r="G19" s="39" t="inlineStr"/>
      <c r="H19" s="39" t="inlineStr"/>
      <c r="I19" s="39">
        <f>IFERROR(G19-H19,"")</f>
        <v/>
      </c>
      <c r="J19" s="43">
        <f>IFERROR(ROUND(H19/F19*100,1),"")</f>
        <v/>
      </c>
      <c r="K19" s="39" t="inlineStr">
        <is>
          <t>Ongoing</t>
        </is>
      </c>
    </row>
    <row r="20" ht="22" customHeight="1">
      <c r="B20" s="8" t="inlineStr">
        <is>
          <t>FP/2025/016</t>
        </is>
      </c>
      <c r="C20" s="9" t="inlineStr"/>
      <c r="D20" s="10" t="inlineStr"/>
      <c r="E20" s="10" t="inlineStr">
        <is>
          <t>UGC</t>
        </is>
      </c>
      <c r="F20" s="10" t="inlineStr"/>
      <c r="G20" s="10" t="inlineStr"/>
      <c r="H20" s="10" t="inlineStr"/>
      <c r="I20" s="10">
        <f>IFERROR(G20-H20,"")</f>
        <v/>
      </c>
      <c r="J20" s="44">
        <f>IFERROR(ROUND(H20/F20*100,1),"")</f>
        <v/>
      </c>
      <c r="K20" s="10" t="inlineStr">
        <is>
          <t>Ongoing</t>
        </is>
      </c>
    </row>
    <row r="21" ht="22" customHeight="1">
      <c r="B21" s="37" t="inlineStr">
        <is>
          <t>FP/2025/017</t>
        </is>
      </c>
      <c r="C21" s="38" t="inlineStr"/>
      <c r="D21" s="39" t="inlineStr"/>
      <c r="E21" s="39" t="inlineStr">
        <is>
          <t>Industry Sponsored</t>
        </is>
      </c>
      <c r="F21" s="39" t="inlineStr"/>
      <c r="G21" s="39" t="inlineStr"/>
      <c r="H21" s="39" t="inlineStr"/>
      <c r="I21" s="39">
        <f>IFERROR(G21-H21,"")</f>
        <v/>
      </c>
      <c r="J21" s="43">
        <f>IFERROR(ROUND(H21/F21*100,1),"")</f>
        <v/>
      </c>
      <c r="K21" s="39" t="inlineStr">
        <is>
          <t>Ongoing</t>
        </is>
      </c>
    </row>
    <row r="22" ht="22" customHeight="1">
      <c r="B22" s="8" t="inlineStr">
        <is>
          <t>FP/2025/018</t>
        </is>
      </c>
      <c r="C22" s="9" t="inlineStr"/>
      <c r="D22" s="10" t="inlineStr"/>
      <c r="E22" s="10" t="inlineStr">
        <is>
          <t>International</t>
        </is>
      </c>
      <c r="F22" s="10" t="inlineStr"/>
      <c r="G22" s="10" t="inlineStr"/>
      <c r="H22" s="10" t="inlineStr"/>
      <c r="I22" s="10">
        <f>IFERROR(G22-H22,"")</f>
        <v/>
      </c>
      <c r="J22" s="44">
        <f>IFERROR(ROUND(H22/F22*100,1),"")</f>
        <v/>
      </c>
      <c r="K22" s="10" t="inlineStr">
        <is>
          <t>Ongoing</t>
        </is>
      </c>
    </row>
    <row r="23" ht="22" customHeight="1"/>
    <row r="24" ht="22" customHeight="1">
      <c r="B24" s="45" t="inlineStr">
        <is>
          <t>TOTALS</t>
        </is>
      </c>
      <c r="C24" s="46" t="n"/>
      <c r="D24" s="46" t="n"/>
      <c r="E24" s="46" t="n"/>
      <c r="F24" s="47">
        <f>IFERROR(SUM(F5:F22),"")</f>
        <v/>
      </c>
      <c r="G24" s="47">
        <f>IFERROR(SUM(G5:G22),"")</f>
        <v/>
      </c>
      <c r="H24" s="47">
        <f>IFERROR(SUM(H5:H22),"")</f>
        <v/>
      </c>
      <c r="I24" s="46" t="n"/>
      <c r="J24" s="46" t="n"/>
      <c r="K24" s="46" t="n"/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42" t="inlineStr">
        <is>
          <t>SC2-03: GRANT UTILISATION &amp; UTILISATION CERTIFICATE (UC) REGISTER</t>
        </is>
      </c>
    </row>
    <row r="3" ht="25" customHeight="1">
      <c r="B3" s="40" t="inlineStr">
        <is>
          <t>A.Y.: _______  Finance Officer: ___________________  Grants Compliance Officer: ___________________</t>
        </is>
      </c>
    </row>
    <row r="4" ht="25" customHeight="1">
      <c r="B4" s="36" t="inlineStr">
        <is>
          <t>Project
Ref.</t>
        </is>
      </c>
      <c r="C4" s="36" t="inlineStr">
        <is>
          <t>Project Title / Agency</t>
        </is>
      </c>
      <c r="D4" s="36" t="inlineStr">
        <is>
          <t>Sanctioned
(₹L)</t>
        </is>
      </c>
      <c r="E4" s="36" t="inlineStr">
        <is>
          <t>Instalment
No.</t>
        </is>
      </c>
      <c r="F4" s="36" t="inlineStr">
        <is>
          <t>Amount
Released (₹L)</t>
        </is>
      </c>
      <c r="G4" s="36" t="inlineStr">
        <is>
          <t>Amount
Utilised (₹L)</t>
        </is>
      </c>
      <c r="H4" s="36" t="inlineStr">
        <is>
          <t>UC Due
Date</t>
        </is>
      </c>
      <c r="I4" s="36" t="inlineStr">
        <is>
          <t>UC Submitted
Date</t>
        </is>
      </c>
      <c r="J4" s="36" t="inlineStr">
        <is>
          <t>Acknowledgement
Ref.</t>
        </is>
      </c>
    </row>
    <row r="5" ht="22" customHeight="1"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</row>
    <row r="6" ht="22" customHeight="1"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</row>
    <row r="8" ht="22" customHeight="1"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22" customHeight="1"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</row>
    <row r="10" ht="22" customHeight="1"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22" customHeight="1"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</row>
    <row r="12" ht="22" customHeight="1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2" customHeight="1"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</row>
    <row r="14" ht="22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2" customHeight="1"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</row>
    <row r="16" ht="22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2" customHeight="1"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</row>
    <row r="18" ht="22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22" customHeight="1"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</row>
    <row r="20" ht="22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22" customHeight="1"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</row>
    <row r="22" ht="22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22" customHeight="1"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</row>
    <row r="24" ht="22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42" t="inlineStr">
        <is>
          <t>SC2-04: INSTITUTIONAL SEED MONEY / INTERNAL RESEARCH FUND REGISTER</t>
        </is>
      </c>
    </row>
    <row r="3" ht="25" customHeight="1">
      <c r="B3" s="40" t="inlineStr">
        <is>
          <t>A.Y.: _______  Budget Allocated (₹L): _______  SC2 Chairperson: ___________________</t>
        </is>
      </c>
    </row>
    <row r="4" ht="25" customHeight="1">
      <c r="B4" s="36" t="inlineStr">
        <is>
          <t>Seed
Ref.</t>
        </is>
      </c>
      <c r="C4" s="36" t="inlineStr">
        <is>
          <t>Project Title</t>
        </is>
      </c>
      <c r="D4" s="36" t="inlineStr">
        <is>
          <t>PI / Dept.</t>
        </is>
      </c>
      <c r="E4" s="36" t="inlineStr">
        <is>
          <t>Category</t>
        </is>
      </c>
      <c r="F4" s="36" t="inlineStr">
        <is>
          <t>Amount
Approved (₹L)</t>
        </is>
      </c>
      <c r="G4" s="36" t="inlineStr">
        <is>
          <t>Amount
Released (₹L)</t>
        </is>
      </c>
      <c r="H4" s="36" t="inlineStr">
        <is>
          <t>Expenditure
(₹L)</t>
        </is>
      </c>
      <c r="I4" s="36" t="inlineStr">
        <is>
          <t>Balance
(₹L)</t>
        </is>
      </c>
      <c r="J4" s="36" t="inlineStr">
        <is>
          <t>Expected Output</t>
        </is>
      </c>
    </row>
    <row r="5" ht="22" customHeight="1">
      <c r="B5" s="37" t="inlineStr">
        <is>
          <t>SM/2024/001</t>
        </is>
      </c>
      <c r="C5" s="38" t="inlineStr"/>
      <c r="D5" s="39" t="inlineStr"/>
      <c r="E5" s="39" t="inlineStr">
        <is>
          <t>Minor Research</t>
        </is>
      </c>
      <c r="F5" s="39" t="inlineStr"/>
      <c r="G5" s="39" t="inlineStr"/>
      <c r="H5" s="39" t="inlineStr"/>
      <c r="I5" s="39">
        <f>IFERROR(G5-H5,"")</f>
        <v/>
      </c>
      <c r="J5" s="38" t="inlineStr"/>
    </row>
    <row r="6" ht="22" customHeight="1">
      <c r="B6" s="8" t="inlineStr">
        <is>
          <t>SM/2024/002</t>
        </is>
      </c>
      <c r="C6" s="9" t="inlineStr"/>
      <c r="D6" s="10" t="inlineStr"/>
      <c r="E6" s="10" t="inlineStr">
        <is>
          <t>Major Research</t>
        </is>
      </c>
      <c r="F6" s="10" t="inlineStr"/>
      <c r="G6" s="10" t="inlineStr"/>
      <c r="H6" s="10" t="inlineStr"/>
      <c r="I6" s="10">
        <f>IFERROR(G6-H6,"")</f>
        <v/>
      </c>
      <c r="J6" s="9" t="inlineStr"/>
    </row>
    <row r="7" ht="22" customHeight="1">
      <c r="B7" s="37" t="inlineStr">
        <is>
          <t>SM/2024/003</t>
        </is>
      </c>
      <c r="C7" s="38" t="inlineStr"/>
      <c r="D7" s="39" t="inlineStr"/>
      <c r="E7" s="39" t="inlineStr">
        <is>
          <t>Ph.D. Support</t>
        </is>
      </c>
      <c r="F7" s="39" t="inlineStr"/>
      <c r="G7" s="39" t="inlineStr"/>
      <c r="H7" s="39" t="inlineStr"/>
      <c r="I7" s="39">
        <f>IFERROR(G7-H7,"")</f>
        <v/>
      </c>
      <c r="J7" s="38" t="inlineStr"/>
    </row>
    <row r="8" ht="22" customHeight="1">
      <c r="B8" s="8" t="inlineStr">
        <is>
          <t>SM/2024/004</t>
        </is>
      </c>
      <c r="C8" s="9" t="inlineStr"/>
      <c r="D8" s="10" t="inlineStr"/>
      <c r="E8" s="10" t="inlineStr">
        <is>
          <t>Equipment</t>
        </is>
      </c>
      <c r="F8" s="10" t="inlineStr"/>
      <c r="G8" s="10" t="inlineStr"/>
      <c r="H8" s="10" t="inlineStr"/>
      <c r="I8" s="10">
        <f>IFERROR(G8-H8,"")</f>
        <v/>
      </c>
      <c r="J8" s="9" t="inlineStr"/>
    </row>
    <row r="9" ht="22" customHeight="1">
      <c r="B9" s="37" t="inlineStr">
        <is>
          <t>SM/2024/005</t>
        </is>
      </c>
      <c r="C9" s="38" t="inlineStr"/>
      <c r="D9" s="39" t="inlineStr"/>
      <c r="E9" s="39" t="inlineStr">
        <is>
          <t>Conference Travel</t>
        </is>
      </c>
      <c r="F9" s="39" t="inlineStr"/>
      <c r="G9" s="39" t="inlineStr"/>
      <c r="H9" s="39" t="inlineStr"/>
      <c r="I9" s="39">
        <f>IFERROR(G9-H9,"")</f>
        <v/>
      </c>
      <c r="J9" s="38" t="inlineStr"/>
    </row>
    <row r="10" ht="22" customHeight="1">
      <c r="B10" s="8" t="inlineStr">
        <is>
          <t>SM/2024/006</t>
        </is>
      </c>
      <c r="C10" s="9" t="inlineStr"/>
      <c r="D10" s="10" t="inlineStr"/>
      <c r="E10" s="10" t="inlineStr">
        <is>
          <t>Publication Support</t>
        </is>
      </c>
      <c r="F10" s="10" t="inlineStr"/>
      <c r="G10" s="10" t="inlineStr"/>
      <c r="H10" s="10" t="inlineStr"/>
      <c r="I10" s="10">
        <f>IFERROR(G10-H10,"")</f>
        <v/>
      </c>
      <c r="J10" s="9" t="inlineStr"/>
    </row>
    <row r="11" ht="22" customHeight="1">
      <c r="B11" s="37" t="inlineStr">
        <is>
          <t>SM/2024/007</t>
        </is>
      </c>
      <c r="C11" s="38" t="inlineStr"/>
      <c r="D11" s="39" t="inlineStr"/>
      <c r="E11" s="39" t="inlineStr">
        <is>
          <t>Minor Research</t>
        </is>
      </c>
      <c r="F11" s="39" t="inlineStr"/>
      <c r="G11" s="39" t="inlineStr"/>
      <c r="H11" s="39" t="inlineStr"/>
      <c r="I11" s="39">
        <f>IFERROR(G11-H11,"")</f>
        <v/>
      </c>
      <c r="J11" s="38" t="inlineStr"/>
    </row>
    <row r="12" ht="22" customHeight="1">
      <c r="B12" s="8" t="inlineStr">
        <is>
          <t>SM/2024/008</t>
        </is>
      </c>
      <c r="C12" s="9" t="inlineStr"/>
      <c r="D12" s="10" t="inlineStr"/>
      <c r="E12" s="10" t="inlineStr">
        <is>
          <t>Major Research</t>
        </is>
      </c>
      <c r="F12" s="10" t="inlineStr"/>
      <c r="G12" s="10" t="inlineStr"/>
      <c r="H12" s="10" t="inlineStr"/>
      <c r="I12" s="10">
        <f>IFERROR(G12-H12,"")</f>
        <v/>
      </c>
      <c r="J12" s="9" t="inlineStr"/>
    </row>
    <row r="13" ht="22" customHeight="1">
      <c r="B13" s="37" t="inlineStr">
        <is>
          <t>SM/2025/009</t>
        </is>
      </c>
      <c r="C13" s="38" t="inlineStr"/>
      <c r="D13" s="39" t="inlineStr"/>
      <c r="E13" s="39" t="inlineStr">
        <is>
          <t>Ph.D. Support</t>
        </is>
      </c>
      <c r="F13" s="39" t="inlineStr"/>
      <c r="G13" s="39" t="inlineStr"/>
      <c r="H13" s="39" t="inlineStr"/>
      <c r="I13" s="39">
        <f>IFERROR(G13-H13,"")</f>
        <v/>
      </c>
      <c r="J13" s="38" t="inlineStr"/>
    </row>
    <row r="14" ht="22" customHeight="1">
      <c r="B14" s="8" t="inlineStr">
        <is>
          <t>SM/2025/010</t>
        </is>
      </c>
      <c r="C14" s="9" t="inlineStr"/>
      <c r="D14" s="10" t="inlineStr"/>
      <c r="E14" s="10" t="inlineStr">
        <is>
          <t>Equipment</t>
        </is>
      </c>
      <c r="F14" s="10" t="inlineStr"/>
      <c r="G14" s="10" t="inlineStr"/>
      <c r="H14" s="10" t="inlineStr"/>
      <c r="I14" s="10">
        <f>IFERROR(G14-H14,"")</f>
        <v/>
      </c>
      <c r="J14" s="9" t="inlineStr"/>
    </row>
    <row r="15" ht="22" customHeight="1">
      <c r="B15" s="37" t="inlineStr">
        <is>
          <t>SM/2025/011</t>
        </is>
      </c>
      <c r="C15" s="38" t="inlineStr"/>
      <c r="D15" s="39" t="inlineStr"/>
      <c r="E15" s="39" t="inlineStr">
        <is>
          <t>Conference Travel</t>
        </is>
      </c>
      <c r="F15" s="39" t="inlineStr"/>
      <c r="G15" s="39" t="inlineStr"/>
      <c r="H15" s="39" t="inlineStr"/>
      <c r="I15" s="39">
        <f>IFERROR(G15-H15,"")</f>
        <v/>
      </c>
      <c r="J15" s="38" t="inlineStr"/>
    </row>
    <row r="16" ht="22" customHeight="1">
      <c r="B16" s="8" t="inlineStr">
        <is>
          <t>SM/2025/012</t>
        </is>
      </c>
      <c r="C16" s="9" t="inlineStr"/>
      <c r="D16" s="10" t="inlineStr"/>
      <c r="E16" s="10" t="inlineStr">
        <is>
          <t>Publication Support</t>
        </is>
      </c>
      <c r="F16" s="10" t="inlineStr"/>
      <c r="G16" s="10" t="inlineStr"/>
      <c r="H16" s="10" t="inlineStr"/>
      <c r="I16" s="10">
        <f>IFERROR(G16-H16,"")</f>
        <v/>
      </c>
      <c r="J16" s="9" t="inlineStr"/>
    </row>
    <row r="17" ht="22" customHeight="1">
      <c r="B17" s="37" t="inlineStr">
        <is>
          <t>SM/2025/013</t>
        </is>
      </c>
      <c r="C17" s="38" t="inlineStr"/>
      <c r="D17" s="39" t="inlineStr"/>
      <c r="E17" s="39" t="inlineStr">
        <is>
          <t>Minor Research</t>
        </is>
      </c>
      <c r="F17" s="39" t="inlineStr"/>
      <c r="G17" s="39" t="inlineStr"/>
      <c r="H17" s="39" t="inlineStr"/>
      <c r="I17" s="39">
        <f>IFERROR(G17-H17,"")</f>
        <v/>
      </c>
      <c r="J17" s="38" t="inlineStr"/>
    </row>
    <row r="18" ht="22" customHeight="1">
      <c r="B18" s="8" t="inlineStr">
        <is>
          <t>SM/2025/014</t>
        </is>
      </c>
      <c r="C18" s="9" t="inlineStr"/>
      <c r="D18" s="10" t="inlineStr"/>
      <c r="E18" s="10" t="inlineStr">
        <is>
          <t>Major Research</t>
        </is>
      </c>
      <c r="F18" s="10" t="inlineStr"/>
      <c r="G18" s="10" t="inlineStr"/>
      <c r="H18" s="10" t="inlineStr"/>
      <c r="I18" s="10">
        <f>IFERROR(G18-H18,"")</f>
        <v/>
      </c>
      <c r="J18" s="9" t="inlineStr"/>
    </row>
    <row r="19" ht="22" customHeight="1">
      <c r="B19" s="37" t="inlineStr">
        <is>
          <t>SM/2025/015</t>
        </is>
      </c>
      <c r="C19" s="38" t="inlineStr"/>
      <c r="D19" s="39" t="inlineStr"/>
      <c r="E19" s="39" t="inlineStr">
        <is>
          <t>Ph.D. Support</t>
        </is>
      </c>
      <c r="F19" s="39" t="inlineStr"/>
      <c r="G19" s="39" t="inlineStr"/>
      <c r="H19" s="39" t="inlineStr"/>
      <c r="I19" s="39">
        <f>IFERROR(G19-H19,"")</f>
        <v/>
      </c>
      <c r="J19" s="38" t="inlineStr"/>
    </row>
    <row r="20" ht="22" customHeight="1">
      <c r="B20" s="8" t="inlineStr">
        <is>
          <t>SM/2025/016</t>
        </is>
      </c>
      <c r="C20" s="9" t="inlineStr"/>
      <c r="D20" s="10" t="inlineStr"/>
      <c r="E20" s="10" t="inlineStr">
        <is>
          <t>Equipment</t>
        </is>
      </c>
      <c r="F20" s="10" t="inlineStr"/>
      <c r="G20" s="10" t="inlineStr"/>
      <c r="H20" s="10" t="inlineStr"/>
      <c r="I20" s="10">
        <f>IFERROR(G20-H20,"")</f>
        <v/>
      </c>
      <c r="J20" s="9" t="inlineStr"/>
    </row>
    <row r="21" ht="22" customHeight="1"/>
    <row r="22" ht="22" customHeight="1">
      <c r="B22" s="45" t="inlineStr">
        <is>
          <t>SEED MONEY TOTAL</t>
        </is>
      </c>
      <c r="C22" s="46" t="n"/>
      <c r="D22" s="46" t="n"/>
      <c r="E22" s="46" t="n"/>
      <c r="F22" s="47">
        <f>IFERROR(SUM(F5:F21),"")</f>
        <v/>
      </c>
      <c r="G22" s="47">
        <f>IFERROR(SUM(G5:G21),"")</f>
        <v/>
      </c>
      <c r="H22" s="47">
        <f>IFERROR(SUM(H5:H21),"")</f>
        <v/>
      </c>
      <c r="I22" s="47">
        <f>IFERROR(SUM(I5:I21),"")</f>
        <v/>
      </c>
      <c r="J22" s="46" t="n"/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48" t="inlineStr">
        <is>
          <t>SC-3: RESEARCH ETHICS &amp; INTEGRITY
MEETING NOTICE &amp; AGENDA</t>
        </is>
      </c>
    </row>
    <row r="3" ht="22" customHeight="1">
      <c r="B3" s="49" t="inlineStr">
        <is>
          <t>Meeting No.:</t>
        </is>
      </c>
      <c r="C3" s="9" t="n"/>
    </row>
    <row r="4" ht="22" customHeight="1">
      <c r="B4" s="49" t="inlineStr">
        <is>
          <t>Academic Year:</t>
        </is>
      </c>
      <c r="C4" s="9" t="n"/>
    </row>
    <row r="5" ht="22" customHeight="1">
      <c r="B5" s="49" t="inlineStr">
        <is>
          <t>Date:</t>
        </is>
      </c>
      <c r="C5" s="9" t="n"/>
    </row>
    <row r="6" ht="22" customHeight="1">
      <c r="B6" s="49" t="inlineStr">
        <is>
          <t>Time:</t>
        </is>
      </c>
      <c r="C6" s="9" t="n"/>
    </row>
    <row r="7" ht="22" customHeight="1">
      <c r="B7" s="49" t="inlineStr">
        <is>
          <t>Venue:</t>
        </is>
      </c>
      <c r="C7" s="9" t="n"/>
    </row>
    <row r="8" ht="22" customHeight="1">
      <c r="B8" s="49" t="inlineStr">
        <is>
          <t>Mode:</t>
        </is>
      </c>
      <c r="C8" s="9" t="n"/>
    </row>
    <row r="9" ht="22" customHeight="1">
      <c r="B9" s="49" t="inlineStr">
        <is>
          <t>Notice by:</t>
        </is>
      </c>
      <c r="C9" s="9" t="n"/>
    </row>
    <row r="10" ht="22" customHeight="1">
      <c r="B10" s="49" t="inlineStr">
        <is>
          <t>Notice Date:</t>
        </is>
      </c>
      <c r="C10" s="9" t="n"/>
    </row>
    <row r="11" ht="24" customHeight="1">
      <c r="B11" s="50" t="inlineStr">
        <is>
          <t>AGENDA ITEMS</t>
        </is>
      </c>
    </row>
    <row r="12" ht="24" customHeight="1">
      <c r="B12" s="51" t="inlineStr">
        <is>
          <t>Item
No.</t>
        </is>
      </c>
      <c r="C12" s="51" t="inlineStr">
        <is>
          <t>Agenda Item / Discussion Topic</t>
        </is>
      </c>
      <c r="D12" s="51" t="inlineStr">
        <is>
          <t>Presenter / Lead</t>
        </is>
      </c>
      <c r="E12" s="51" t="inlineStr">
        <is>
          <t>Duration (Min)</t>
        </is>
      </c>
    </row>
    <row r="13" ht="24" customHeight="1">
      <c r="B13" s="52" t="n">
        <v>1</v>
      </c>
      <c r="C13" s="53" t="inlineStr">
        <is>
          <t>Ethics protocol applications — review &amp; approval</t>
        </is>
      </c>
      <c r="D13" s="54" t="inlineStr"/>
      <c r="E13" s="54" t="inlineStr"/>
    </row>
    <row r="14" ht="24" customHeight="1">
      <c r="B14" s="8" t="n">
        <v>2</v>
      </c>
      <c r="C14" s="9" t="inlineStr">
        <is>
          <t>Plagiarism check reports — departmental compliance</t>
        </is>
      </c>
      <c r="D14" s="10" t="inlineStr"/>
      <c r="E14" s="10" t="inlineStr"/>
    </row>
    <row r="15" ht="24" customHeight="1">
      <c r="B15" s="52" t="n">
        <v>3</v>
      </c>
      <c r="C15" s="53" t="inlineStr">
        <is>
          <t>Integrity complaints — status &amp; investigation update</t>
        </is>
      </c>
      <c r="D15" s="54" t="inlineStr"/>
      <c r="E15" s="54" t="inlineStr"/>
    </row>
    <row r="16" ht="24" customHeight="1">
      <c r="B16" s="8" t="n">
        <v>4</v>
      </c>
      <c r="C16" s="9" t="inlineStr">
        <is>
          <t>Researcher declaration &amp; training status</t>
        </is>
      </c>
      <c r="D16" s="10" t="inlineStr"/>
      <c r="E16" s="10" t="inlineStr"/>
    </row>
    <row r="17" ht="24" customHeight="1">
      <c r="B17" s="52" t="n">
        <v>5</v>
      </c>
      <c r="C17" s="53" t="inlineStr">
        <is>
          <t>Research ethics policy updates</t>
        </is>
      </c>
      <c r="D17" s="54" t="inlineStr"/>
      <c r="E17" s="54" t="inlineStr"/>
    </row>
    <row r="18" ht="24" customHeight="1">
      <c r="B18" s="8" t="n">
        <v>6</v>
      </c>
      <c r="C18" s="9" t="inlineStr">
        <is>
          <t>International ethics standards — alignment review</t>
        </is>
      </c>
      <c r="D18" s="10" t="inlineStr"/>
      <c r="E18" s="10" t="inlineStr"/>
    </row>
    <row r="19" ht="24" customHeight="1">
      <c r="B19" s="52" t="n">
        <v>7</v>
      </c>
      <c r="C19" s="53" t="inlineStr">
        <is>
          <t>Any Other Matter with Permission of Chairman</t>
        </is>
      </c>
      <c r="D19" s="54" t="inlineStr"/>
      <c r="E19" s="54" t="inlineStr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48" t="inlineStr">
        <is>
          <t>SC-3: RESEARCH ETHICS &amp; INTEGRITY — ATTENDANCE &amp; QUORUM REGISTER</t>
        </is>
      </c>
    </row>
    <row r="3" ht="25" customHeight="1">
      <c r="B3" s="55" t="inlineStr">
        <is>
          <t>Meeting No.: _______  Date: _______  Total Strength: _______  Quorum Required (50%): _______</t>
        </is>
      </c>
    </row>
    <row r="4" ht="25" customHeight="1">
      <c r="B4" s="51" t="inlineStr">
        <is>
          <t>Sl.</t>
        </is>
      </c>
      <c r="C4" s="51" t="inlineStr">
        <is>
          <t>Name</t>
        </is>
      </c>
      <c r="D4" s="51" t="inlineStr">
        <is>
          <t>Designation / Role</t>
        </is>
      </c>
      <c r="E4" s="51" t="inlineStr">
        <is>
          <t>Mode
(Physical/VC)</t>
        </is>
      </c>
      <c r="F4" s="51" t="inlineStr">
        <is>
          <t>Present
(P/A)</t>
        </is>
      </c>
      <c r="G4" s="51" t="inlineStr">
        <is>
          <t>Proxy
(Y/N)</t>
        </is>
      </c>
      <c r="H4" s="51" t="inlineStr">
        <is>
          <t>Proxy Authorised To</t>
        </is>
      </c>
      <c r="I4" s="51" t="inlineStr">
        <is>
          <t>Signature</t>
        </is>
      </c>
    </row>
    <row r="5" ht="22" customHeight="1">
      <c r="B5" s="52" t="n">
        <v>1</v>
      </c>
      <c r="C5" s="53" t="inlineStr"/>
      <c r="D5" s="53" t="inlineStr"/>
      <c r="E5" s="54" t="inlineStr">
        <is>
          <t>Physical</t>
        </is>
      </c>
      <c r="F5" s="54" t="inlineStr"/>
      <c r="G5" s="54" t="inlineStr">
        <is>
          <t>N</t>
        </is>
      </c>
      <c r="H5" s="54" t="inlineStr"/>
      <c r="I5" s="54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52" t="n">
        <v>3</v>
      </c>
      <c r="C7" s="53" t="inlineStr"/>
      <c r="D7" s="53" t="inlineStr"/>
      <c r="E7" s="54" t="inlineStr">
        <is>
          <t>Physical</t>
        </is>
      </c>
      <c r="F7" s="54" t="inlineStr"/>
      <c r="G7" s="54" t="inlineStr">
        <is>
          <t>N</t>
        </is>
      </c>
      <c r="H7" s="54" t="inlineStr"/>
      <c r="I7" s="54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52" t="n">
        <v>5</v>
      </c>
      <c r="C9" s="53" t="inlineStr"/>
      <c r="D9" s="53" t="inlineStr"/>
      <c r="E9" s="54" t="inlineStr">
        <is>
          <t>Physical</t>
        </is>
      </c>
      <c r="F9" s="54" t="inlineStr"/>
      <c r="G9" s="54" t="inlineStr">
        <is>
          <t>N</t>
        </is>
      </c>
      <c r="H9" s="54" t="inlineStr"/>
      <c r="I9" s="54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52" t="n">
        <v>7</v>
      </c>
      <c r="C11" s="53" t="inlineStr"/>
      <c r="D11" s="53" t="inlineStr"/>
      <c r="E11" s="54" t="inlineStr">
        <is>
          <t>Physical</t>
        </is>
      </c>
      <c r="F11" s="54" t="inlineStr"/>
      <c r="G11" s="54" t="inlineStr">
        <is>
          <t>N</t>
        </is>
      </c>
      <c r="H11" s="54" t="inlineStr"/>
      <c r="I11" s="54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52" t="n">
        <v>9</v>
      </c>
      <c r="C13" s="53" t="inlineStr"/>
      <c r="D13" s="53" t="inlineStr"/>
      <c r="E13" s="54" t="inlineStr">
        <is>
          <t>Physical</t>
        </is>
      </c>
      <c r="F13" s="54" t="inlineStr"/>
      <c r="G13" s="54" t="inlineStr">
        <is>
          <t>N</t>
        </is>
      </c>
      <c r="H13" s="54" t="inlineStr"/>
      <c r="I13" s="54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52" t="n">
        <v>11</v>
      </c>
      <c r="C15" s="53" t="inlineStr"/>
      <c r="D15" s="53" t="inlineStr"/>
      <c r="E15" s="54" t="inlineStr">
        <is>
          <t>Physical</t>
        </is>
      </c>
      <c r="F15" s="54" t="inlineStr"/>
      <c r="G15" s="54" t="inlineStr">
        <is>
          <t>N</t>
        </is>
      </c>
      <c r="H15" s="54" t="inlineStr"/>
      <c r="I15" s="54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52" t="n">
        <v>13</v>
      </c>
      <c r="C17" s="53" t="inlineStr"/>
      <c r="D17" s="53" t="inlineStr"/>
      <c r="E17" s="54" t="inlineStr">
        <is>
          <t>Physical</t>
        </is>
      </c>
      <c r="F17" s="54" t="inlineStr"/>
      <c r="G17" s="54" t="inlineStr">
        <is>
          <t>N</t>
        </is>
      </c>
      <c r="H17" s="54" t="inlineStr"/>
      <c r="I17" s="54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48" t="inlineStr">
        <is>
          <t>SC-3: RESEARCH ETHICS &amp; INTEGRITY — MEETING MINUTES &amp; RESOLUTIONS</t>
        </is>
      </c>
    </row>
    <row r="3" ht="25" customHeight="1">
      <c r="B3" s="55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52" t="inlineStr">
        <is>
          <t>SC3/RES/001</t>
        </is>
      </c>
      <c r="C6" s="53" t="inlineStr"/>
      <c r="D6" s="54" t="inlineStr"/>
      <c r="E6" s="54" t="inlineStr"/>
      <c r="F6" s="54" t="inlineStr"/>
      <c r="G6" s="54" t="inlineStr">
        <is>
          <t>Pending</t>
        </is>
      </c>
    </row>
    <row r="7" ht="32" customHeight="1">
      <c r="B7" s="8" t="inlineStr">
        <is>
          <t>SC3/RES/002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52" t="inlineStr">
        <is>
          <t>SC3/RES/003</t>
        </is>
      </c>
      <c r="C8" s="53" t="inlineStr"/>
      <c r="D8" s="54" t="inlineStr"/>
      <c r="E8" s="54" t="inlineStr"/>
      <c r="F8" s="54" t="inlineStr"/>
      <c r="G8" s="54" t="inlineStr">
        <is>
          <t>Pending</t>
        </is>
      </c>
    </row>
    <row r="9" ht="32" customHeight="1">
      <c r="B9" s="8" t="inlineStr">
        <is>
          <t>SC3/RES/004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52" t="inlineStr">
        <is>
          <t>SC3/RES/005</t>
        </is>
      </c>
      <c r="C10" s="53" t="inlineStr"/>
      <c r="D10" s="54" t="inlineStr"/>
      <c r="E10" s="54" t="inlineStr"/>
      <c r="F10" s="54" t="inlineStr"/>
      <c r="G10" s="54" t="inlineStr">
        <is>
          <t>Pending</t>
        </is>
      </c>
    </row>
    <row r="11" ht="32" customHeight="1">
      <c r="B11" s="8" t="inlineStr">
        <is>
          <t>SC3/RES/006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52" t="inlineStr">
        <is>
          <t>SC3/RES/007</t>
        </is>
      </c>
      <c r="C12" s="53" t="inlineStr"/>
      <c r="D12" s="54" t="inlineStr"/>
      <c r="E12" s="54" t="inlineStr"/>
      <c r="F12" s="54" t="inlineStr"/>
      <c r="G12" s="54" t="inlineStr">
        <is>
          <t>Pending</t>
        </is>
      </c>
    </row>
    <row r="13" ht="32" customHeight="1">
      <c r="B13" s="8" t="inlineStr">
        <is>
          <t>SC3/RES/008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52" t="inlineStr">
        <is>
          <t>SC3/RES/009</t>
        </is>
      </c>
      <c r="C14" s="53" t="inlineStr"/>
      <c r="D14" s="54" t="inlineStr"/>
      <c r="E14" s="54" t="inlineStr"/>
      <c r="F14" s="54" t="inlineStr"/>
      <c r="G14" s="54" t="inlineStr">
        <is>
          <t>Pending</t>
        </is>
      </c>
    </row>
    <row r="15" ht="32" customHeight="1">
      <c r="B15" s="8" t="inlineStr">
        <is>
          <t>SC3/RES/010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52" t="inlineStr">
        <is>
          <t>SC3/RES/011</t>
        </is>
      </c>
      <c r="C16" s="53" t="inlineStr"/>
      <c r="D16" s="54" t="inlineStr"/>
      <c r="E16" s="54" t="inlineStr"/>
      <c r="F16" s="54" t="inlineStr"/>
      <c r="G16" s="54" t="inlineStr">
        <is>
          <t>Pending</t>
        </is>
      </c>
    </row>
    <row r="17" ht="32" customHeight="1">
      <c r="B17" s="8" t="inlineStr">
        <is>
          <t>SC3/RES/012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52" t="inlineStr">
        <is>
          <t>SC3/RES/013</t>
        </is>
      </c>
      <c r="C18" s="53" t="inlineStr"/>
      <c r="D18" s="54" t="inlineStr"/>
      <c r="E18" s="54" t="inlineStr"/>
      <c r="F18" s="54" t="inlineStr"/>
      <c r="G18" s="54" t="inlineStr">
        <is>
          <t>Pending</t>
        </is>
      </c>
    </row>
    <row r="19" ht="32" customHeight="1">
      <c r="B19" s="8" t="inlineStr">
        <is>
          <t>SC3/RES/014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48" t="inlineStr">
        <is>
          <t>SC-3: RESEARCH ETHICS &amp; INTEGRITY — ACTION TAKEN REPORT</t>
        </is>
      </c>
    </row>
    <row r="3" ht="25" customHeight="1">
      <c r="B3" s="55" t="inlineStr">
        <is>
          <t>Current Meeting No.: _______  Date: _______  Previous Meeting Ref.: _______</t>
        </is>
      </c>
    </row>
    <row r="4" ht="25" customHeight="1">
      <c r="B4" s="51" t="inlineStr">
        <is>
          <t>Resolution
No.</t>
        </is>
      </c>
      <c r="C4" s="51" t="inlineStr">
        <is>
          <t>Resolution / Decision (Previous)</t>
        </is>
      </c>
      <c r="D4" s="51" t="inlineStr">
        <is>
          <t>Action Required</t>
        </is>
      </c>
      <c r="E4" s="51" t="inlineStr">
        <is>
          <t>Responsible</t>
        </is>
      </c>
      <c r="F4" s="51" t="inlineStr">
        <is>
          <t>Target
Date</t>
        </is>
      </c>
      <c r="G4" s="51" t="inlineStr">
        <is>
          <t>Completion
Date</t>
        </is>
      </c>
      <c r="H4" s="51" t="inlineStr">
        <is>
          <t>Status &amp; Evidence</t>
        </is>
      </c>
    </row>
    <row r="5" ht="26" customHeight="1">
      <c r="B5" s="52" t="inlineStr">
        <is>
          <t>SC3/RES/001</t>
        </is>
      </c>
      <c r="C5" s="53" t="inlineStr"/>
      <c r="D5" s="53" t="inlineStr"/>
      <c r="E5" s="54" t="inlineStr"/>
      <c r="F5" s="54" t="inlineStr"/>
      <c r="G5" s="54" t="inlineStr"/>
      <c r="H5" s="53" t="inlineStr">
        <is>
          <t>In Progress</t>
        </is>
      </c>
    </row>
    <row r="6" ht="26" customHeight="1">
      <c r="B6" s="8" t="inlineStr">
        <is>
          <t>SC3/RES/002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52" t="inlineStr">
        <is>
          <t>SC3/RES/003</t>
        </is>
      </c>
      <c r="C7" s="53" t="inlineStr"/>
      <c r="D7" s="53" t="inlineStr"/>
      <c r="E7" s="54" t="inlineStr"/>
      <c r="F7" s="54" t="inlineStr"/>
      <c r="G7" s="54" t="inlineStr"/>
      <c r="H7" s="53" t="inlineStr">
        <is>
          <t>In Progress</t>
        </is>
      </c>
    </row>
    <row r="8" ht="26" customHeight="1">
      <c r="B8" s="8" t="inlineStr">
        <is>
          <t>SC3/RES/004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52" t="inlineStr">
        <is>
          <t>SC3/RES/005</t>
        </is>
      </c>
      <c r="C9" s="53" t="inlineStr"/>
      <c r="D9" s="53" t="inlineStr"/>
      <c r="E9" s="54" t="inlineStr"/>
      <c r="F9" s="54" t="inlineStr"/>
      <c r="G9" s="54" t="inlineStr"/>
      <c r="H9" s="53" t="inlineStr">
        <is>
          <t>In Progress</t>
        </is>
      </c>
    </row>
    <row r="10" ht="26" customHeight="1">
      <c r="B10" s="8" t="inlineStr">
        <is>
          <t>SC3/RES/006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52" t="inlineStr">
        <is>
          <t>SC3/RES/007</t>
        </is>
      </c>
      <c r="C11" s="53" t="inlineStr"/>
      <c r="D11" s="53" t="inlineStr"/>
      <c r="E11" s="54" t="inlineStr"/>
      <c r="F11" s="54" t="inlineStr"/>
      <c r="G11" s="54" t="inlineStr"/>
      <c r="H11" s="53" t="inlineStr">
        <is>
          <t>In Progress</t>
        </is>
      </c>
    </row>
    <row r="12" ht="26" customHeight="1">
      <c r="B12" s="8" t="inlineStr">
        <is>
          <t>SC3/RES/008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52" t="inlineStr">
        <is>
          <t>SC3/RES/009</t>
        </is>
      </c>
      <c r="C13" s="53" t="inlineStr"/>
      <c r="D13" s="53" t="inlineStr"/>
      <c r="E13" s="54" t="inlineStr"/>
      <c r="F13" s="54" t="inlineStr"/>
      <c r="G13" s="54" t="inlineStr"/>
      <c r="H13" s="53" t="inlineStr">
        <is>
          <t>In Progress</t>
        </is>
      </c>
    </row>
    <row r="14" ht="26" customHeight="1">
      <c r="B14" s="8" t="inlineStr">
        <is>
          <t>SC3/RES/010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52" t="inlineStr">
        <is>
          <t>SC3/RES/011</t>
        </is>
      </c>
      <c r="C15" s="53" t="inlineStr"/>
      <c r="D15" s="53" t="inlineStr"/>
      <c r="E15" s="54" t="inlineStr"/>
      <c r="F15" s="54" t="inlineStr"/>
      <c r="G15" s="54" t="inlineStr"/>
      <c r="H15" s="53" t="inlineStr">
        <is>
          <t>In Progress</t>
        </is>
      </c>
    </row>
    <row r="16" ht="26" customHeight="1">
      <c r="B16" s="8" t="inlineStr">
        <is>
          <t>SC3/RES/012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52" t="inlineStr">
        <is>
          <t>SC3/RES/013</t>
        </is>
      </c>
      <c r="C17" s="53" t="inlineStr"/>
      <c r="D17" s="53" t="inlineStr"/>
      <c r="E17" s="54" t="inlineStr"/>
      <c r="F17" s="54" t="inlineStr"/>
      <c r="G17" s="54" t="inlineStr"/>
      <c r="H17" s="53" t="inlineStr">
        <is>
          <t>In Progress</t>
        </is>
      </c>
    </row>
    <row r="18" ht="26" customHeight="1">
      <c r="B18" s="8" t="inlineStr">
        <is>
          <t>SC3/RES/014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52" t="inlineStr">
        <is>
          <t>SC3/RES/015</t>
        </is>
      </c>
      <c r="C19" s="53" t="inlineStr"/>
      <c r="D19" s="53" t="inlineStr"/>
      <c r="E19" s="54" t="inlineStr"/>
      <c r="F19" s="54" t="inlineStr"/>
      <c r="G19" s="54" t="inlineStr"/>
      <c r="H19" s="53" t="inlineStr">
        <is>
          <t>In Progress</t>
        </is>
      </c>
    </row>
    <row r="20" ht="26" customHeight="1"/>
    <row r="21" ht="24" customHeight="1">
      <c r="B21" s="50" t="inlineStr">
        <is>
          <t>ATR SUMMARY</t>
        </is>
      </c>
    </row>
    <row r="22" ht="26" customHeight="1">
      <c r="B22" s="56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56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56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57" t="inlineStr">
        <is>
          <t>SC3-01: RESEARCH ETHICS PROTOCOL APPLICATION &amp; APPROVAL REGISTER</t>
        </is>
      </c>
    </row>
    <row r="3" ht="25" customHeight="1">
      <c r="B3" s="55" t="inlineStr">
        <is>
          <t>CONFIDENTIAL  A.Y.: _______  Ethics Committee Chair: ___________________</t>
        </is>
      </c>
    </row>
    <row r="4" ht="25" customHeight="1">
      <c r="B4" s="51" t="inlineStr">
        <is>
          <t>Protocol
Ref.</t>
        </is>
      </c>
      <c r="C4" s="51" t="inlineStr">
        <is>
          <t>Project Title</t>
        </is>
      </c>
      <c r="D4" s="51" t="inlineStr">
        <is>
          <t>PI / Dept.</t>
        </is>
      </c>
      <c r="E4" s="51" t="inlineStr">
        <is>
          <t>Type of
Research</t>
        </is>
      </c>
      <c r="F4" s="51" t="inlineStr">
        <is>
          <t>Risk
Level</t>
        </is>
      </c>
      <c r="G4" s="51" t="inlineStr">
        <is>
          <t>Date
Submitted</t>
        </is>
      </c>
      <c r="H4" s="51" t="inlineStr">
        <is>
          <t>Committee
Decision</t>
        </is>
      </c>
      <c r="I4" s="51" t="inlineStr">
        <is>
          <t>Conditions
Attached</t>
        </is>
      </c>
      <c r="J4" s="51" t="inlineStr">
        <is>
          <t>Approval
Valid Upto</t>
        </is>
      </c>
    </row>
    <row r="5" ht="25" customHeight="1">
      <c r="B5" s="52" t="inlineStr">
        <is>
          <t>EP/2024/001</t>
        </is>
      </c>
      <c r="C5" s="53" t="inlineStr"/>
      <c r="D5" s="54" t="inlineStr"/>
      <c r="E5" s="54" t="inlineStr">
        <is>
          <t>Human Subjects</t>
        </is>
      </c>
      <c r="F5" s="54" t="inlineStr">
        <is>
          <t>Low</t>
        </is>
      </c>
      <c r="G5" s="54" t="inlineStr"/>
      <c r="H5" s="54" t="inlineStr">
        <is>
          <t>Approved</t>
        </is>
      </c>
      <c r="I5" s="53" t="inlineStr"/>
      <c r="J5" s="54" t="inlineStr"/>
    </row>
    <row r="6" ht="25" customHeight="1">
      <c r="B6" s="8" t="inlineStr">
        <is>
          <t>EP/2024/002</t>
        </is>
      </c>
      <c r="C6" s="9" t="inlineStr"/>
      <c r="D6" s="10" t="inlineStr"/>
      <c r="E6" s="10" t="inlineStr">
        <is>
          <t>Animal Subjects</t>
        </is>
      </c>
      <c r="F6" s="10" t="inlineStr">
        <is>
          <t>Moderate</t>
        </is>
      </c>
      <c r="G6" s="10" t="inlineStr"/>
      <c r="H6" s="10" t="inlineStr">
        <is>
          <t>Conditionally Approved</t>
        </is>
      </c>
      <c r="I6" s="9" t="inlineStr"/>
      <c r="J6" s="10" t="inlineStr"/>
    </row>
    <row r="7" ht="25" customHeight="1">
      <c r="B7" s="52" t="inlineStr">
        <is>
          <t>EP/2024/003</t>
        </is>
      </c>
      <c r="C7" s="53" t="inlineStr"/>
      <c r="D7" s="54" t="inlineStr"/>
      <c r="E7" s="54" t="inlineStr">
        <is>
          <t>Clinical Trial</t>
        </is>
      </c>
      <c r="F7" s="54" t="inlineStr">
        <is>
          <t>High</t>
        </is>
      </c>
      <c r="G7" s="54" t="inlineStr"/>
      <c r="H7" s="54" t="inlineStr">
        <is>
          <t>Deferred</t>
        </is>
      </c>
      <c r="I7" s="53" t="inlineStr"/>
      <c r="J7" s="54" t="inlineStr"/>
    </row>
    <row r="8" ht="25" customHeight="1">
      <c r="B8" s="8" t="inlineStr">
        <is>
          <t>EP/2024/004</t>
        </is>
      </c>
      <c r="C8" s="9" t="inlineStr"/>
      <c r="D8" s="10" t="inlineStr"/>
      <c r="E8" s="10" t="inlineStr">
        <is>
          <t>Survey/Interview</t>
        </is>
      </c>
      <c r="F8" s="10" t="inlineStr">
        <is>
          <t>Exempt</t>
        </is>
      </c>
      <c r="G8" s="10" t="inlineStr"/>
      <c r="H8" s="10" t="inlineStr">
        <is>
          <t>Rejected</t>
        </is>
      </c>
      <c r="I8" s="9" t="inlineStr"/>
      <c r="J8" s="10" t="inlineStr"/>
    </row>
    <row r="9" ht="25" customHeight="1">
      <c r="B9" s="52" t="inlineStr">
        <is>
          <t>EP/2024/005</t>
        </is>
      </c>
      <c r="C9" s="53" t="inlineStr"/>
      <c r="D9" s="54" t="inlineStr"/>
      <c r="E9" s="54" t="inlineStr">
        <is>
          <t>Lab Research</t>
        </is>
      </c>
      <c r="F9" s="54" t="inlineStr">
        <is>
          <t>Low</t>
        </is>
      </c>
      <c r="G9" s="54" t="inlineStr"/>
      <c r="H9" s="54" t="inlineStr">
        <is>
          <t>Exempted</t>
        </is>
      </c>
      <c r="I9" s="53" t="inlineStr"/>
      <c r="J9" s="54" t="inlineStr"/>
    </row>
    <row r="10" ht="25" customHeight="1">
      <c r="B10" s="8" t="inlineStr">
        <is>
          <t>EP/2024/006</t>
        </is>
      </c>
      <c r="C10" s="9" t="inlineStr"/>
      <c r="D10" s="10" t="inlineStr"/>
      <c r="E10" s="10" t="inlineStr">
        <is>
          <t>Secondary Data</t>
        </is>
      </c>
      <c r="F10" s="10" t="inlineStr">
        <is>
          <t>Moderate</t>
        </is>
      </c>
      <c r="G10" s="10" t="inlineStr"/>
      <c r="H10" s="10" t="inlineStr">
        <is>
          <t>Approved</t>
        </is>
      </c>
      <c r="I10" s="9" t="inlineStr"/>
      <c r="J10" s="10" t="inlineStr"/>
    </row>
    <row r="11" ht="25" customHeight="1">
      <c r="B11" s="52" t="inlineStr">
        <is>
          <t>EP/2024/007</t>
        </is>
      </c>
      <c r="C11" s="53" t="inlineStr"/>
      <c r="D11" s="54" t="inlineStr"/>
      <c r="E11" s="54" t="inlineStr">
        <is>
          <t>Human Subjects</t>
        </is>
      </c>
      <c r="F11" s="54" t="inlineStr">
        <is>
          <t>High</t>
        </is>
      </c>
      <c r="G11" s="54" t="inlineStr"/>
      <c r="H11" s="54" t="inlineStr">
        <is>
          <t>Conditionally Approved</t>
        </is>
      </c>
      <c r="I11" s="53" t="inlineStr"/>
      <c r="J11" s="54" t="inlineStr"/>
    </row>
    <row r="12" ht="25" customHeight="1">
      <c r="B12" s="8" t="inlineStr">
        <is>
          <t>EP/2024/008</t>
        </is>
      </c>
      <c r="C12" s="9" t="inlineStr"/>
      <c r="D12" s="10" t="inlineStr"/>
      <c r="E12" s="10" t="inlineStr">
        <is>
          <t>Animal Subjects</t>
        </is>
      </c>
      <c r="F12" s="10" t="inlineStr">
        <is>
          <t>Exempt</t>
        </is>
      </c>
      <c r="G12" s="10" t="inlineStr"/>
      <c r="H12" s="10" t="inlineStr">
        <is>
          <t>Deferred</t>
        </is>
      </c>
      <c r="I12" s="9" t="inlineStr"/>
      <c r="J12" s="10" t="inlineStr"/>
    </row>
    <row r="13" ht="25" customHeight="1">
      <c r="B13" s="52" t="inlineStr">
        <is>
          <t>EP/2024/009</t>
        </is>
      </c>
      <c r="C13" s="53" t="inlineStr"/>
      <c r="D13" s="54" t="inlineStr"/>
      <c r="E13" s="54" t="inlineStr">
        <is>
          <t>Clinical Trial</t>
        </is>
      </c>
      <c r="F13" s="54" t="inlineStr">
        <is>
          <t>Low</t>
        </is>
      </c>
      <c r="G13" s="54" t="inlineStr"/>
      <c r="H13" s="54" t="inlineStr">
        <is>
          <t>Rejected</t>
        </is>
      </c>
      <c r="I13" s="53" t="inlineStr"/>
      <c r="J13" s="54" t="inlineStr"/>
    </row>
    <row r="14" ht="25" customHeight="1">
      <c r="B14" s="8" t="inlineStr">
        <is>
          <t>EP/2025/010</t>
        </is>
      </c>
      <c r="C14" s="9" t="inlineStr"/>
      <c r="D14" s="10" t="inlineStr"/>
      <c r="E14" s="10" t="inlineStr">
        <is>
          <t>Survey/Interview</t>
        </is>
      </c>
      <c r="F14" s="10" t="inlineStr">
        <is>
          <t>Moderate</t>
        </is>
      </c>
      <c r="G14" s="10" t="inlineStr"/>
      <c r="H14" s="10" t="inlineStr">
        <is>
          <t>Exempted</t>
        </is>
      </c>
      <c r="I14" s="9" t="inlineStr"/>
      <c r="J14" s="10" t="inlineStr"/>
    </row>
    <row r="15" ht="25" customHeight="1">
      <c r="B15" s="52" t="inlineStr">
        <is>
          <t>EP/2025/011</t>
        </is>
      </c>
      <c r="C15" s="53" t="inlineStr"/>
      <c r="D15" s="54" t="inlineStr"/>
      <c r="E15" s="54" t="inlineStr">
        <is>
          <t>Lab Research</t>
        </is>
      </c>
      <c r="F15" s="54" t="inlineStr">
        <is>
          <t>High</t>
        </is>
      </c>
      <c r="G15" s="54" t="inlineStr"/>
      <c r="H15" s="54" t="inlineStr">
        <is>
          <t>Approved</t>
        </is>
      </c>
      <c r="I15" s="53" t="inlineStr"/>
      <c r="J15" s="54" t="inlineStr"/>
    </row>
    <row r="16" ht="25" customHeight="1">
      <c r="B16" s="8" t="inlineStr">
        <is>
          <t>EP/2025/012</t>
        </is>
      </c>
      <c r="C16" s="9" t="inlineStr"/>
      <c r="D16" s="10" t="inlineStr"/>
      <c r="E16" s="10" t="inlineStr">
        <is>
          <t>Secondary Data</t>
        </is>
      </c>
      <c r="F16" s="10" t="inlineStr">
        <is>
          <t>Exempt</t>
        </is>
      </c>
      <c r="G16" s="10" t="inlineStr"/>
      <c r="H16" s="10" t="inlineStr">
        <is>
          <t>Conditionally Approved</t>
        </is>
      </c>
      <c r="I16" s="9" t="inlineStr"/>
      <c r="J16" s="10" t="inlineStr"/>
    </row>
    <row r="17" ht="25" customHeight="1">
      <c r="B17" s="52" t="inlineStr">
        <is>
          <t>EP/2025/013</t>
        </is>
      </c>
      <c r="C17" s="53" t="inlineStr"/>
      <c r="D17" s="54" t="inlineStr"/>
      <c r="E17" s="54" t="inlineStr">
        <is>
          <t>Human Subjects</t>
        </is>
      </c>
      <c r="F17" s="54" t="inlineStr">
        <is>
          <t>Low</t>
        </is>
      </c>
      <c r="G17" s="54" t="inlineStr"/>
      <c r="H17" s="54" t="inlineStr">
        <is>
          <t>Deferred</t>
        </is>
      </c>
      <c r="I17" s="53" t="inlineStr"/>
      <c r="J17" s="54" t="inlineStr"/>
    </row>
    <row r="18" ht="25" customHeight="1">
      <c r="B18" s="8" t="inlineStr">
        <is>
          <t>EP/2025/014</t>
        </is>
      </c>
      <c r="C18" s="9" t="inlineStr"/>
      <c r="D18" s="10" t="inlineStr"/>
      <c r="E18" s="10" t="inlineStr">
        <is>
          <t>Animal Subjects</t>
        </is>
      </c>
      <c r="F18" s="10" t="inlineStr">
        <is>
          <t>Moderate</t>
        </is>
      </c>
      <c r="G18" s="10" t="inlineStr"/>
      <c r="H18" s="10" t="inlineStr">
        <is>
          <t>Rejected</t>
        </is>
      </c>
      <c r="I18" s="9" t="inlineStr"/>
      <c r="J18" s="10" t="inlineStr"/>
    </row>
    <row r="19" ht="25" customHeight="1">
      <c r="B19" s="52" t="inlineStr">
        <is>
          <t>EP/2025/015</t>
        </is>
      </c>
      <c r="C19" s="53" t="inlineStr"/>
      <c r="D19" s="54" t="inlineStr"/>
      <c r="E19" s="54" t="inlineStr">
        <is>
          <t>Clinical Trial</t>
        </is>
      </c>
      <c r="F19" s="54" t="inlineStr">
        <is>
          <t>High</t>
        </is>
      </c>
      <c r="G19" s="54" t="inlineStr"/>
      <c r="H19" s="54" t="inlineStr">
        <is>
          <t>Exempted</t>
        </is>
      </c>
      <c r="I19" s="53" t="inlineStr"/>
      <c r="J19" s="54" t="inlineStr"/>
    </row>
    <row r="20" ht="25" customHeight="1">
      <c r="B20" s="8" t="inlineStr">
        <is>
          <t>EP/2025/016</t>
        </is>
      </c>
      <c r="C20" s="9" t="inlineStr"/>
      <c r="D20" s="10" t="inlineStr"/>
      <c r="E20" s="10" t="inlineStr">
        <is>
          <t>Survey/Interview</t>
        </is>
      </c>
      <c r="F20" s="10" t="inlineStr">
        <is>
          <t>Exempt</t>
        </is>
      </c>
      <c r="G20" s="10" t="inlineStr"/>
      <c r="H20" s="10" t="inlineStr">
        <is>
          <t>Approved</t>
        </is>
      </c>
      <c r="I20" s="9" t="inlineStr"/>
      <c r="J20" s="10" t="inlineStr"/>
    </row>
    <row r="21" ht="25" customHeight="1">
      <c r="B21" s="52" t="inlineStr">
        <is>
          <t>EP/2025/017</t>
        </is>
      </c>
      <c r="C21" s="53" t="inlineStr"/>
      <c r="D21" s="54" t="inlineStr"/>
      <c r="E21" s="54" t="inlineStr">
        <is>
          <t>Lab Research</t>
        </is>
      </c>
      <c r="F21" s="54" t="inlineStr">
        <is>
          <t>Low</t>
        </is>
      </c>
      <c r="G21" s="54" t="inlineStr"/>
      <c r="H21" s="54" t="inlineStr">
        <is>
          <t>Conditionally Approved</t>
        </is>
      </c>
      <c r="I21" s="53" t="inlineStr"/>
      <c r="J21" s="54" t="inlineStr"/>
    </row>
    <row r="22" ht="25" customHeight="1">
      <c r="B22" s="8" t="inlineStr">
        <is>
          <t>EP/2025/018</t>
        </is>
      </c>
      <c r="C22" s="9" t="inlineStr"/>
      <c r="D22" s="10" t="inlineStr"/>
      <c r="E22" s="10" t="inlineStr">
        <is>
          <t>Secondary Data</t>
        </is>
      </c>
      <c r="F22" s="10" t="inlineStr">
        <is>
          <t>Moderate</t>
        </is>
      </c>
      <c r="G22" s="10" t="inlineStr"/>
      <c r="H22" s="10" t="inlineStr">
        <is>
          <t>Deferred</t>
        </is>
      </c>
      <c r="I22" s="9" t="inlineStr"/>
      <c r="J22" s="10" t="inlineStr"/>
    </row>
    <row r="23" ht="25" customHeight="1"/>
    <row r="24" ht="25" customHeight="1"/>
    <row r="25" ht="25" customHeight="1"/>
    <row r="26" ht="25" customHeight="1"/>
    <row r="27" ht="25" customHeight="1"/>
  </sheetData>
  <mergeCells count="2">
    <mergeCell ref="B3:J3"/>
    <mergeCell ref="B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57" t="inlineStr">
        <is>
          <t>SC3-02: PLAGIARISM &amp; RESEARCH INTEGRITY COMPLIANCE REGISTER</t>
        </is>
      </c>
    </row>
    <row r="3" ht="25" customHeight="1">
      <c r="B3" s="55" t="inlineStr">
        <is>
          <t>CONFIDENTIAL  A.Y.: _______  Plagiarism Officer: ___________________  Tool Used: _______</t>
        </is>
      </c>
    </row>
    <row r="4" ht="25" customHeight="1">
      <c r="B4" s="51" t="inlineStr">
        <is>
          <t>Check
Ref.</t>
        </is>
      </c>
      <c r="C4" s="51" t="inlineStr">
        <is>
          <t>Title / Document</t>
        </is>
      </c>
      <c r="D4" s="51" t="inlineStr">
        <is>
          <t>Author / Researcher</t>
        </is>
      </c>
      <c r="E4" s="51" t="inlineStr">
        <is>
          <t>Dept.</t>
        </is>
      </c>
      <c r="F4" s="51" t="inlineStr">
        <is>
          <t>Type
(Thesis/Paper/Report)</t>
        </is>
      </c>
      <c r="G4" s="51" t="inlineStr">
        <is>
          <t>Similarity
Index %</t>
        </is>
      </c>
      <c r="H4" s="51" t="inlineStr">
        <is>
          <t>Status</t>
        </is>
      </c>
      <c r="I4" s="51" t="inlineStr">
        <is>
          <t>Action Taken</t>
        </is>
      </c>
    </row>
    <row r="5" ht="22" customHeight="1">
      <c r="B5" s="52" t="inlineStr">
        <is>
          <t>PL/2024/001</t>
        </is>
      </c>
      <c r="C5" s="53" t="inlineStr"/>
      <c r="D5" s="53" t="inlineStr"/>
      <c r="E5" s="54" t="inlineStr"/>
      <c r="F5" s="54" t="inlineStr">
        <is>
          <t>Ph.D. Thesis</t>
        </is>
      </c>
      <c r="G5" s="54" t="inlineStr"/>
      <c r="H5" s="54" t="inlineStr">
        <is>
          <t>Passed (&lt;10%)</t>
        </is>
      </c>
      <c r="I5" s="53" t="inlineStr"/>
    </row>
    <row r="6" ht="22" customHeight="1">
      <c r="B6" s="8" t="inlineStr">
        <is>
          <t>PL/2024/002</t>
        </is>
      </c>
      <c r="C6" s="9" t="inlineStr"/>
      <c r="D6" s="9" t="inlineStr"/>
      <c r="E6" s="10" t="inlineStr"/>
      <c r="F6" s="10" t="inlineStr">
        <is>
          <t>Research Paper</t>
        </is>
      </c>
      <c r="G6" s="10" t="inlineStr"/>
      <c r="H6" s="10" t="inlineStr">
        <is>
          <t>Acceptable (10-25%)</t>
        </is>
      </c>
      <c r="I6" s="9" t="inlineStr"/>
    </row>
    <row r="7" ht="22" customHeight="1">
      <c r="B7" s="52" t="inlineStr">
        <is>
          <t>PL/2024/003</t>
        </is>
      </c>
      <c r="C7" s="53" t="inlineStr"/>
      <c r="D7" s="53" t="inlineStr"/>
      <c r="E7" s="54" t="inlineStr"/>
      <c r="F7" s="54" t="inlineStr">
        <is>
          <t>Project Report</t>
        </is>
      </c>
      <c r="G7" s="54" t="inlineStr"/>
      <c r="H7" s="54" t="inlineStr">
        <is>
          <t>Revision Required (25-40%)</t>
        </is>
      </c>
      <c r="I7" s="53" t="inlineStr"/>
    </row>
    <row r="8" ht="22" customHeight="1">
      <c r="B8" s="8" t="inlineStr">
        <is>
          <t>PL/2024/004</t>
        </is>
      </c>
      <c r="C8" s="9" t="inlineStr"/>
      <c r="D8" s="9" t="inlineStr"/>
      <c r="E8" s="10" t="inlineStr"/>
      <c r="F8" s="10" t="inlineStr">
        <is>
          <t>Seminar Report</t>
        </is>
      </c>
      <c r="G8" s="10" t="inlineStr"/>
      <c r="H8" s="10" t="inlineStr">
        <is>
          <t>Failed (&gt;40%)</t>
        </is>
      </c>
      <c r="I8" s="9" t="inlineStr"/>
    </row>
    <row r="9" ht="22" customHeight="1">
      <c r="B9" s="52" t="inlineStr">
        <is>
          <t>PL/2024/005</t>
        </is>
      </c>
      <c r="C9" s="53" t="inlineStr"/>
      <c r="D9" s="53" t="inlineStr"/>
      <c r="E9" s="54" t="inlineStr"/>
      <c r="F9" s="54" t="inlineStr">
        <is>
          <t>Ph.D. Thesis</t>
        </is>
      </c>
      <c r="G9" s="54" t="inlineStr"/>
      <c r="H9" s="54" t="inlineStr">
        <is>
          <t>Passed (&lt;10%)</t>
        </is>
      </c>
      <c r="I9" s="53" t="inlineStr"/>
    </row>
    <row r="10" ht="22" customHeight="1">
      <c r="B10" s="8" t="inlineStr">
        <is>
          <t>PL/2024/006</t>
        </is>
      </c>
      <c r="C10" s="9" t="inlineStr"/>
      <c r="D10" s="9" t="inlineStr"/>
      <c r="E10" s="10" t="inlineStr"/>
      <c r="F10" s="10" t="inlineStr">
        <is>
          <t>Research Paper</t>
        </is>
      </c>
      <c r="G10" s="10" t="inlineStr"/>
      <c r="H10" s="10" t="inlineStr">
        <is>
          <t>Acceptable (10-25%)</t>
        </is>
      </c>
      <c r="I10" s="9" t="inlineStr"/>
    </row>
    <row r="11" ht="22" customHeight="1">
      <c r="B11" s="52" t="inlineStr">
        <is>
          <t>PL/2024/007</t>
        </is>
      </c>
      <c r="C11" s="53" t="inlineStr"/>
      <c r="D11" s="53" t="inlineStr"/>
      <c r="E11" s="54" t="inlineStr"/>
      <c r="F11" s="54" t="inlineStr">
        <is>
          <t>Project Report</t>
        </is>
      </c>
      <c r="G11" s="54" t="inlineStr"/>
      <c r="H11" s="54" t="inlineStr">
        <is>
          <t>Revision Required (25-40%)</t>
        </is>
      </c>
      <c r="I11" s="53" t="inlineStr"/>
    </row>
    <row r="12" ht="22" customHeight="1">
      <c r="B12" s="8" t="inlineStr">
        <is>
          <t>PL/2024/008</t>
        </is>
      </c>
      <c r="C12" s="9" t="inlineStr"/>
      <c r="D12" s="9" t="inlineStr"/>
      <c r="E12" s="10" t="inlineStr"/>
      <c r="F12" s="10" t="inlineStr">
        <is>
          <t>Seminar Report</t>
        </is>
      </c>
      <c r="G12" s="10" t="inlineStr"/>
      <c r="H12" s="10" t="inlineStr">
        <is>
          <t>Failed (&gt;40%)</t>
        </is>
      </c>
      <c r="I12" s="9" t="inlineStr"/>
    </row>
    <row r="13" ht="22" customHeight="1">
      <c r="B13" s="52" t="inlineStr">
        <is>
          <t>PL/2024/009</t>
        </is>
      </c>
      <c r="C13" s="53" t="inlineStr"/>
      <c r="D13" s="53" t="inlineStr"/>
      <c r="E13" s="54" t="inlineStr"/>
      <c r="F13" s="54" t="inlineStr">
        <is>
          <t>Ph.D. Thesis</t>
        </is>
      </c>
      <c r="G13" s="54" t="inlineStr"/>
      <c r="H13" s="54" t="inlineStr">
        <is>
          <t>Passed (&lt;10%)</t>
        </is>
      </c>
      <c r="I13" s="53" t="inlineStr"/>
    </row>
    <row r="14" ht="22" customHeight="1">
      <c r="B14" s="8" t="inlineStr">
        <is>
          <t>PL/2024/010</t>
        </is>
      </c>
      <c r="C14" s="9" t="inlineStr"/>
      <c r="D14" s="9" t="inlineStr"/>
      <c r="E14" s="10" t="inlineStr"/>
      <c r="F14" s="10" t="inlineStr">
        <is>
          <t>Research Paper</t>
        </is>
      </c>
      <c r="G14" s="10" t="inlineStr"/>
      <c r="H14" s="10" t="inlineStr">
        <is>
          <t>Acceptable (10-25%)</t>
        </is>
      </c>
      <c r="I14" s="9" t="inlineStr"/>
    </row>
    <row r="15" ht="22" customHeight="1">
      <c r="B15" s="52" t="inlineStr">
        <is>
          <t>PL/2024/011</t>
        </is>
      </c>
      <c r="C15" s="53" t="inlineStr"/>
      <c r="D15" s="53" t="inlineStr"/>
      <c r="E15" s="54" t="inlineStr"/>
      <c r="F15" s="54" t="inlineStr">
        <is>
          <t>Project Report</t>
        </is>
      </c>
      <c r="G15" s="54" t="inlineStr"/>
      <c r="H15" s="54" t="inlineStr">
        <is>
          <t>Revision Required (25-40%)</t>
        </is>
      </c>
      <c r="I15" s="53" t="inlineStr"/>
    </row>
    <row r="16" ht="22" customHeight="1">
      <c r="B16" s="8" t="inlineStr">
        <is>
          <t>PL/2024/012</t>
        </is>
      </c>
      <c r="C16" s="9" t="inlineStr"/>
      <c r="D16" s="9" t="inlineStr"/>
      <c r="E16" s="10" t="inlineStr"/>
      <c r="F16" s="10" t="inlineStr">
        <is>
          <t>Seminar Report</t>
        </is>
      </c>
      <c r="G16" s="10" t="inlineStr"/>
      <c r="H16" s="10" t="inlineStr">
        <is>
          <t>Failed (&gt;40%)</t>
        </is>
      </c>
      <c r="I16" s="9" t="inlineStr"/>
    </row>
    <row r="17" ht="22" customHeight="1">
      <c r="B17" s="52" t="inlineStr">
        <is>
          <t>PL/2025/013</t>
        </is>
      </c>
      <c r="C17" s="53" t="inlineStr"/>
      <c r="D17" s="53" t="inlineStr"/>
      <c r="E17" s="54" t="inlineStr"/>
      <c r="F17" s="54" t="inlineStr">
        <is>
          <t>Ph.D. Thesis</t>
        </is>
      </c>
      <c r="G17" s="54" t="inlineStr"/>
      <c r="H17" s="54" t="inlineStr">
        <is>
          <t>Passed (&lt;10%)</t>
        </is>
      </c>
      <c r="I17" s="53" t="inlineStr"/>
    </row>
    <row r="18" ht="22" customHeight="1">
      <c r="B18" s="8" t="inlineStr">
        <is>
          <t>PL/2025/014</t>
        </is>
      </c>
      <c r="C18" s="9" t="inlineStr"/>
      <c r="D18" s="9" t="inlineStr"/>
      <c r="E18" s="10" t="inlineStr"/>
      <c r="F18" s="10" t="inlineStr">
        <is>
          <t>Research Paper</t>
        </is>
      </c>
      <c r="G18" s="10" t="inlineStr"/>
      <c r="H18" s="10" t="inlineStr">
        <is>
          <t>Acceptable (10-25%)</t>
        </is>
      </c>
      <c r="I18" s="9" t="inlineStr"/>
    </row>
    <row r="19" ht="22" customHeight="1">
      <c r="B19" s="52" t="inlineStr">
        <is>
          <t>PL/2025/015</t>
        </is>
      </c>
      <c r="C19" s="53" t="inlineStr"/>
      <c r="D19" s="53" t="inlineStr"/>
      <c r="E19" s="54" t="inlineStr"/>
      <c r="F19" s="54" t="inlineStr">
        <is>
          <t>Project Report</t>
        </is>
      </c>
      <c r="G19" s="54" t="inlineStr"/>
      <c r="H19" s="54" t="inlineStr">
        <is>
          <t>Revision Required (25-40%)</t>
        </is>
      </c>
      <c r="I19" s="53" t="inlineStr"/>
    </row>
    <row r="20" ht="22" customHeight="1">
      <c r="B20" s="8" t="inlineStr">
        <is>
          <t>PL/2025/016</t>
        </is>
      </c>
      <c r="C20" s="9" t="inlineStr"/>
      <c r="D20" s="9" t="inlineStr"/>
      <c r="E20" s="10" t="inlineStr"/>
      <c r="F20" s="10" t="inlineStr">
        <is>
          <t>Seminar Report</t>
        </is>
      </c>
      <c r="G20" s="10" t="inlineStr"/>
      <c r="H20" s="10" t="inlineStr">
        <is>
          <t>Failed (&gt;40%)</t>
        </is>
      </c>
      <c r="I20" s="9" t="inlineStr"/>
    </row>
    <row r="21" ht="22" customHeight="1">
      <c r="B21" s="52" t="inlineStr">
        <is>
          <t>PL/2025/017</t>
        </is>
      </c>
      <c r="C21" s="53" t="inlineStr"/>
      <c r="D21" s="53" t="inlineStr"/>
      <c r="E21" s="54" t="inlineStr"/>
      <c r="F21" s="54" t="inlineStr">
        <is>
          <t>Ph.D. Thesis</t>
        </is>
      </c>
      <c r="G21" s="54" t="inlineStr"/>
      <c r="H21" s="54" t="inlineStr">
        <is>
          <t>Passed (&lt;10%)</t>
        </is>
      </c>
      <c r="I21" s="53" t="inlineStr"/>
    </row>
    <row r="22" ht="22" customHeight="1">
      <c r="B22" s="8" t="inlineStr">
        <is>
          <t>PL/2025/018</t>
        </is>
      </c>
      <c r="C22" s="9" t="inlineStr"/>
      <c r="D22" s="9" t="inlineStr"/>
      <c r="E22" s="10" t="inlineStr"/>
      <c r="F22" s="10" t="inlineStr">
        <is>
          <t>Research Paper</t>
        </is>
      </c>
      <c r="G22" s="10" t="inlineStr"/>
      <c r="H22" s="10" t="inlineStr">
        <is>
          <t>Acceptable (10-25%)</t>
        </is>
      </c>
      <c r="I22" s="9" t="inlineStr"/>
    </row>
    <row r="23" ht="22" customHeight="1">
      <c r="B23" s="52" t="inlineStr">
        <is>
          <t>PL/2025/019</t>
        </is>
      </c>
      <c r="C23" s="53" t="inlineStr"/>
      <c r="D23" s="53" t="inlineStr"/>
      <c r="E23" s="54" t="inlineStr"/>
      <c r="F23" s="54" t="inlineStr">
        <is>
          <t>Project Report</t>
        </is>
      </c>
      <c r="G23" s="54" t="inlineStr"/>
      <c r="H23" s="54" t="inlineStr">
        <is>
          <t>Revision Required (25-40%)</t>
        </is>
      </c>
      <c r="I23" s="53" t="inlineStr"/>
    </row>
    <row r="24" ht="22" customHeight="1">
      <c r="B24" s="8" t="inlineStr">
        <is>
          <t>PL/2025/020</t>
        </is>
      </c>
      <c r="C24" s="9" t="inlineStr"/>
      <c r="D24" s="9" t="inlineStr"/>
      <c r="E24" s="10" t="inlineStr"/>
      <c r="F24" s="10" t="inlineStr">
        <is>
          <t>Seminar Report</t>
        </is>
      </c>
      <c r="G24" s="10" t="inlineStr"/>
      <c r="H24" s="10" t="inlineStr">
        <is>
          <t>Failed (&gt;40%)</t>
        </is>
      </c>
      <c r="I24" s="9" t="inlineStr"/>
    </row>
    <row r="25" ht="22" customHeight="1">
      <c r="B25" s="52" t="inlineStr">
        <is>
          <t>PL/2025/021</t>
        </is>
      </c>
      <c r="C25" s="53" t="inlineStr"/>
      <c r="D25" s="53" t="inlineStr"/>
      <c r="E25" s="54" t="inlineStr"/>
      <c r="F25" s="54" t="inlineStr">
        <is>
          <t>Ph.D. Thesis</t>
        </is>
      </c>
      <c r="G25" s="54" t="inlineStr"/>
      <c r="H25" s="54" t="inlineStr">
        <is>
          <t>Passed (&lt;10%)</t>
        </is>
      </c>
      <c r="I25" s="53" t="inlineStr"/>
    </row>
    <row r="26" ht="22" customHeight="1">
      <c r="B26" s="8" t="inlineStr">
        <is>
          <t>PL/2025/022</t>
        </is>
      </c>
      <c r="C26" s="9" t="inlineStr"/>
      <c r="D26" s="9" t="inlineStr"/>
      <c r="E26" s="10" t="inlineStr"/>
      <c r="F26" s="10" t="inlineStr">
        <is>
          <t>Research Paper</t>
        </is>
      </c>
      <c r="G26" s="10" t="inlineStr"/>
      <c r="H26" s="10" t="inlineStr">
        <is>
          <t>Acceptable (10-25%)</t>
        </is>
      </c>
      <c r="I26" s="9" t="inlineStr"/>
    </row>
    <row r="27" ht="22" customHeight="1">
      <c r="B27" s="52" t="inlineStr">
        <is>
          <t>PL/2025/023</t>
        </is>
      </c>
      <c r="C27" s="53" t="inlineStr"/>
      <c r="D27" s="53" t="inlineStr"/>
      <c r="E27" s="54" t="inlineStr"/>
      <c r="F27" s="54" t="inlineStr">
        <is>
          <t>Project Report</t>
        </is>
      </c>
      <c r="G27" s="54" t="inlineStr"/>
      <c r="H27" s="54" t="inlineStr">
        <is>
          <t>Revision Required (25-40%)</t>
        </is>
      </c>
      <c r="I27" s="53" t="inlineStr"/>
    </row>
    <row r="28" ht="22" customHeight="1">
      <c r="B28" s="8" t="inlineStr">
        <is>
          <t>PL/2025/024</t>
        </is>
      </c>
      <c r="C28" s="9" t="inlineStr"/>
      <c r="D28" s="9" t="inlineStr"/>
      <c r="E28" s="10" t="inlineStr"/>
      <c r="F28" s="10" t="inlineStr">
        <is>
          <t>Seminar Report</t>
        </is>
      </c>
      <c r="G28" s="10" t="inlineStr"/>
      <c r="H28" s="10" t="inlineStr">
        <is>
          <t>Failed (&gt;40%)</t>
        </is>
      </c>
      <c r="I28" s="9" t="inlineStr"/>
    </row>
    <row r="29" ht="22" customHeight="1"/>
    <row r="30" ht="24" customHeight="1">
      <c r="B30" s="50" t="inlineStr">
        <is>
          <t>DEPARTMENTAL COMPLIANCE SUMMARY</t>
        </is>
      </c>
    </row>
    <row r="31" ht="22" customHeight="1">
      <c r="B31" s="51" t="inlineStr">
        <is>
          <t>Department</t>
        </is>
      </c>
      <c r="C31" s="51" t="inlineStr">
        <is>
          <t>Checks Done</t>
        </is>
      </c>
      <c r="D31" s="51" t="inlineStr">
        <is>
          <t>Passed (&lt;10%)</t>
        </is>
      </c>
      <c r="E31" s="51" t="inlineStr">
        <is>
          <t>Acceptable</t>
        </is>
      </c>
      <c r="F31" s="51" t="inlineStr">
        <is>
          <t>Revision Reqd.</t>
        </is>
      </c>
      <c r="G31" s="51" t="inlineStr">
        <is>
          <t>Failed (&gt;40%)</t>
        </is>
      </c>
      <c r="H31" s="51" t="inlineStr">
        <is>
          <t>Compliance %</t>
        </is>
      </c>
      <c r="I31" s="51" t="inlineStr">
        <is>
          <t>Remarks</t>
        </is>
      </c>
    </row>
    <row r="32" ht="22" customHeight="1">
      <c r="B32" s="52" t="inlineStr">
        <is>
          <t>CSE</t>
        </is>
      </c>
      <c r="C32" s="54" t="inlineStr"/>
      <c r="D32" s="54" t="inlineStr"/>
      <c r="E32" s="54" t="inlineStr"/>
      <c r="F32" s="54" t="inlineStr"/>
      <c r="G32" s="54" t="inlineStr"/>
      <c r="H32" s="54">
        <f>IFERROR(ROUND((D32+E32)/C32*100,1),"")</f>
        <v/>
      </c>
      <c r="I32" s="53" t="inlineStr"/>
    </row>
    <row r="33" ht="22" customHeight="1">
      <c r="B33" s="8" t="inlineStr">
        <is>
          <t>ECE</t>
        </is>
      </c>
      <c r="C33" s="10" t="inlineStr"/>
      <c r="D33" s="10" t="inlineStr"/>
      <c r="E33" s="10" t="inlineStr"/>
      <c r="F33" s="10" t="inlineStr"/>
      <c r="G33" s="10" t="inlineStr"/>
      <c r="H33" s="10">
        <f>IFERROR(ROUND((D33+E33)/C33*100,1),"")</f>
        <v/>
      </c>
      <c r="I33" s="9" t="inlineStr"/>
    </row>
    <row r="34" ht="22" customHeight="1">
      <c r="B34" s="52" t="inlineStr">
        <is>
          <t>EEE</t>
        </is>
      </c>
      <c r="C34" s="54" t="inlineStr"/>
      <c r="D34" s="54" t="inlineStr"/>
      <c r="E34" s="54" t="inlineStr"/>
      <c r="F34" s="54" t="inlineStr"/>
      <c r="G34" s="54" t="inlineStr"/>
      <c r="H34" s="54">
        <f>IFERROR(ROUND((D34+E34)/C34*100,1),"")</f>
        <v/>
      </c>
      <c r="I34" s="53" t="inlineStr"/>
    </row>
    <row r="35" ht="22" customHeight="1">
      <c r="B35" s="8" t="inlineStr">
        <is>
          <t>MECH</t>
        </is>
      </c>
      <c r="C35" s="10" t="inlineStr"/>
      <c r="D35" s="10" t="inlineStr"/>
      <c r="E35" s="10" t="inlineStr"/>
      <c r="F35" s="10" t="inlineStr"/>
      <c r="G35" s="10" t="inlineStr"/>
      <c r="H35" s="10">
        <f>IFERROR(ROUND((D35+E35)/C35*100,1),"")</f>
        <v/>
      </c>
      <c r="I35" s="9" t="inlineStr"/>
    </row>
    <row r="36" ht="22" customHeight="1">
      <c r="B36" s="52" t="inlineStr">
        <is>
          <t>CIVIL</t>
        </is>
      </c>
      <c r="C36" s="54" t="inlineStr"/>
      <c r="D36" s="54" t="inlineStr"/>
      <c r="E36" s="54" t="inlineStr"/>
      <c r="F36" s="54" t="inlineStr"/>
      <c r="G36" s="54" t="inlineStr"/>
      <c r="H36" s="54">
        <f>IFERROR(ROUND((D36+E36)/C36*100,1),"")</f>
        <v/>
      </c>
      <c r="I36" s="53" t="inlineStr"/>
    </row>
    <row r="37" ht="22" customHeight="1">
      <c r="B37" s="8" t="inlineStr">
        <is>
          <t>S&amp;H</t>
        </is>
      </c>
      <c r="C37" s="10" t="inlineStr"/>
      <c r="D37" s="10" t="inlineStr"/>
      <c r="E37" s="10" t="inlineStr"/>
      <c r="F37" s="10" t="inlineStr"/>
      <c r="G37" s="10" t="inlineStr"/>
      <c r="H37" s="10">
        <f>IFERROR(ROUND((D37+E37)/C37*100,1),"")</f>
        <v/>
      </c>
      <c r="I37" s="9" t="inlineStr"/>
    </row>
    <row r="38">
      <c r="B38" s="52" t="inlineStr">
        <is>
          <t>MBA</t>
        </is>
      </c>
      <c r="C38" s="54" t="inlineStr"/>
      <c r="D38" s="54" t="inlineStr"/>
      <c r="E38" s="54" t="inlineStr"/>
      <c r="F38" s="54" t="inlineStr"/>
      <c r="G38" s="54" t="inlineStr"/>
      <c r="H38" s="54">
        <f>IFERROR(ROUND((D38+E38)/C38*100,1),"")</f>
        <v/>
      </c>
      <c r="I38" s="53" t="inlineStr"/>
    </row>
    <row r="39">
      <c r="B39" s="8" t="inlineStr">
        <is>
          <t>MCA</t>
        </is>
      </c>
      <c r="C39" s="10" t="inlineStr"/>
      <c r="D39" s="10" t="inlineStr"/>
      <c r="E39" s="10" t="inlineStr"/>
      <c r="F39" s="10" t="inlineStr"/>
      <c r="G39" s="10" t="inlineStr"/>
      <c r="H39" s="10">
        <f>IFERROR(ROUND((D39+E39)/C39*100,1),"")</f>
        <v/>
      </c>
      <c r="I39" s="9" t="inlineStr"/>
    </row>
  </sheetData>
  <mergeCells count="3">
    <mergeCell ref="B30:I30"/>
    <mergeCell ref="B3:I3"/>
    <mergeCell ref="B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57" t="inlineStr">
        <is>
          <t>SC3-03: RESEARCH ETHICS CASE INVESTIGATION &amp; DECISION REGISTER</t>
        </is>
      </c>
    </row>
    <row r="3" ht="25" customHeight="1">
      <c r="B3" s="55" t="inlineStr">
        <is>
          <t>STRICTLY CONFIDENTIAL  A.Y.: _______  Ethics Chair: ___________________</t>
        </is>
      </c>
    </row>
    <row r="4" ht="25" customHeight="1">
      <c r="B4" s="51" t="inlineStr">
        <is>
          <t>Case
Ref.</t>
        </is>
      </c>
      <c r="C4" s="51" t="inlineStr">
        <is>
          <t>Nature of Complaint / Allegation</t>
        </is>
      </c>
      <c r="D4" s="51" t="inlineStr">
        <is>
          <t>Against
(Role / Dept.)</t>
        </is>
      </c>
      <c r="E4" s="51" t="inlineStr">
        <is>
          <t>Date
Filed</t>
        </is>
      </c>
      <c r="F4" s="51" t="inlineStr">
        <is>
          <t>Investigating
Officer</t>
        </is>
      </c>
      <c r="G4" s="51" t="inlineStr">
        <is>
          <t>Decision
Date</t>
        </is>
      </c>
      <c r="H4" s="51" t="inlineStr">
        <is>
          <t>Decision</t>
        </is>
      </c>
      <c r="I4" s="51" t="inlineStr">
        <is>
          <t>Sanction / Outcome</t>
        </is>
      </c>
    </row>
    <row r="5" ht="28" customHeight="1">
      <c r="B5" s="52" t="inlineStr">
        <is>
          <t>EC/2024/001</t>
        </is>
      </c>
      <c r="C5" s="53" t="inlineStr">
        <is>
          <t>Plagiarism</t>
        </is>
      </c>
      <c r="D5" s="54" t="inlineStr"/>
      <c r="E5" s="54" t="inlineStr"/>
      <c r="F5" s="54" t="inlineStr"/>
      <c r="G5" s="54" t="inlineStr"/>
      <c r="H5" s="54" t="inlineStr">
        <is>
          <t>Misconduct Proven — Major Sanction</t>
        </is>
      </c>
      <c r="I5" s="53" t="inlineStr"/>
    </row>
    <row r="6" ht="28" customHeight="1">
      <c r="B6" s="8" t="inlineStr">
        <is>
          <t>EC/2024/002</t>
        </is>
      </c>
      <c r="C6" s="9" t="inlineStr">
        <is>
          <t>Fabrication of Data</t>
        </is>
      </c>
      <c r="D6" s="10" t="inlineStr"/>
      <c r="E6" s="10" t="inlineStr"/>
      <c r="F6" s="10" t="inlineStr"/>
      <c r="G6" s="10" t="inlineStr"/>
      <c r="H6" s="10" t="inlineStr">
        <is>
          <t>Misconduct Proven — Minor Sanction</t>
        </is>
      </c>
      <c r="I6" s="9" t="inlineStr"/>
    </row>
    <row r="7" ht="28" customHeight="1">
      <c r="B7" s="52" t="inlineStr">
        <is>
          <t>EC/2024/003</t>
        </is>
      </c>
      <c r="C7" s="53" t="inlineStr">
        <is>
          <t>Falsification</t>
        </is>
      </c>
      <c r="D7" s="54" t="inlineStr"/>
      <c r="E7" s="54" t="inlineStr"/>
      <c r="F7" s="54" t="inlineStr"/>
      <c r="G7" s="54" t="inlineStr"/>
      <c r="H7" s="54" t="inlineStr">
        <is>
          <t>Cleared — No Misconduct</t>
        </is>
      </c>
      <c r="I7" s="53" t="inlineStr"/>
    </row>
    <row r="8" ht="28" customHeight="1">
      <c r="B8" s="8" t="inlineStr">
        <is>
          <t>EC/2024/004</t>
        </is>
      </c>
      <c r="C8" s="9" t="inlineStr">
        <is>
          <t>Misappropriation of Funds</t>
        </is>
      </c>
      <c r="D8" s="10" t="inlineStr"/>
      <c r="E8" s="10" t="inlineStr"/>
      <c r="F8" s="10" t="inlineStr"/>
      <c r="G8" s="10" t="inlineStr"/>
      <c r="H8" s="10" t="inlineStr">
        <is>
          <t>Ongoing Investigation</t>
        </is>
      </c>
      <c r="I8" s="9" t="inlineStr"/>
    </row>
    <row r="9" ht="28" customHeight="1">
      <c r="B9" s="52" t="inlineStr">
        <is>
          <t>EC/2024/005</t>
        </is>
      </c>
      <c r="C9" s="53" t="inlineStr">
        <is>
          <t>Duplicate Publication</t>
        </is>
      </c>
      <c r="D9" s="54" t="inlineStr"/>
      <c r="E9" s="54" t="inlineStr"/>
      <c r="F9" s="54" t="inlineStr"/>
      <c r="G9" s="54" t="inlineStr"/>
      <c r="H9" s="54" t="inlineStr">
        <is>
          <t>Withdrawn</t>
        </is>
      </c>
      <c r="I9" s="53" t="inlineStr"/>
    </row>
    <row r="10" ht="28" customHeight="1">
      <c r="B10" s="8" t="inlineStr">
        <is>
          <t>EC/2025/006</t>
        </is>
      </c>
      <c r="C10" s="9" t="inlineStr">
        <is>
          <t>Authorship Dispute</t>
        </is>
      </c>
      <c r="D10" s="10" t="inlineStr"/>
      <c r="E10" s="10" t="inlineStr"/>
      <c r="F10" s="10" t="inlineStr"/>
      <c r="G10" s="10" t="inlineStr"/>
      <c r="H10" s="10" t="inlineStr">
        <is>
          <t>Misconduct Proven — Major Sanction</t>
        </is>
      </c>
      <c r="I10" s="9" t="inlineStr"/>
    </row>
    <row r="11" ht="28" customHeight="1">
      <c r="B11" s="52" t="inlineStr">
        <is>
          <t>EC/2025/007</t>
        </is>
      </c>
      <c r="C11" s="53" t="inlineStr">
        <is>
          <t>Other</t>
        </is>
      </c>
      <c r="D11" s="54" t="inlineStr"/>
      <c r="E11" s="54" t="inlineStr"/>
      <c r="F11" s="54" t="inlineStr"/>
      <c r="G11" s="54" t="inlineStr"/>
      <c r="H11" s="54" t="inlineStr">
        <is>
          <t>Misconduct Proven — Minor Sanction</t>
        </is>
      </c>
      <c r="I11" s="53" t="inlineStr"/>
    </row>
    <row r="12" ht="28" customHeight="1">
      <c r="B12" s="8" t="inlineStr">
        <is>
          <t>EC/2025/008</t>
        </is>
      </c>
      <c r="C12" s="9" t="inlineStr">
        <is>
          <t>Plagiarism</t>
        </is>
      </c>
      <c r="D12" s="10" t="inlineStr"/>
      <c r="E12" s="10" t="inlineStr"/>
      <c r="F12" s="10" t="inlineStr"/>
      <c r="G12" s="10" t="inlineStr"/>
      <c r="H12" s="10" t="inlineStr">
        <is>
          <t>Cleared — No Misconduct</t>
        </is>
      </c>
      <c r="I12" s="9" t="inlineStr"/>
    </row>
    <row r="13" ht="28" customHeight="1">
      <c r="B13" s="52" t="inlineStr">
        <is>
          <t>EC/2025/009</t>
        </is>
      </c>
      <c r="C13" s="53" t="inlineStr">
        <is>
          <t>Fabrication of Data</t>
        </is>
      </c>
      <c r="D13" s="54" t="inlineStr"/>
      <c r="E13" s="54" t="inlineStr"/>
      <c r="F13" s="54" t="inlineStr"/>
      <c r="G13" s="54" t="inlineStr"/>
      <c r="H13" s="54" t="inlineStr">
        <is>
          <t>Ongoing Investigation</t>
        </is>
      </c>
      <c r="I13" s="53" t="inlineStr"/>
    </row>
    <row r="14" ht="28" customHeight="1">
      <c r="B14" s="8" t="inlineStr">
        <is>
          <t>EC/2025/010</t>
        </is>
      </c>
      <c r="C14" s="9" t="inlineStr">
        <is>
          <t>Falsification</t>
        </is>
      </c>
      <c r="D14" s="10" t="inlineStr"/>
      <c r="E14" s="10" t="inlineStr"/>
      <c r="F14" s="10" t="inlineStr"/>
      <c r="G14" s="10" t="inlineStr"/>
      <c r="H14" s="10" t="inlineStr">
        <is>
          <t>Withdrawn</t>
        </is>
      </c>
      <c r="I14" s="9" t="inlineStr"/>
    </row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</sheetData>
  <mergeCells count="2">
    <mergeCell ref="B3:I3"/>
    <mergeCell ref="B2: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57" t="inlineStr">
        <is>
          <t>SC3-04: RESEARCHER ETHICS TRAINING &amp; DECLARATION REGISTER</t>
        </is>
      </c>
    </row>
    <row r="3" ht="25" customHeight="1">
      <c r="B3" s="55" t="inlineStr">
        <is>
          <t>A.Y.: _______  Training Coordinator: ___________________  Mandatory for all faculty &amp; Ph.D. scholars</t>
        </is>
      </c>
    </row>
    <row r="4" ht="25" customHeight="1">
      <c r="B4" s="51" t="inlineStr">
        <is>
          <t>Sl.</t>
        </is>
      </c>
      <c r="C4" s="51" t="inlineStr">
        <is>
          <t>Researcher Name</t>
        </is>
      </c>
      <c r="D4" s="51" t="inlineStr">
        <is>
          <t>Designation / Category</t>
        </is>
      </c>
      <c r="E4" s="51" t="inlineStr">
        <is>
          <t>Dept.</t>
        </is>
      </c>
      <c r="F4" s="51" t="inlineStr">
        <is>
          <t>Training
Completed (Y/N)</t>
        </is>
      </c>
      <c r="G4" s="51" t="inlineStr">
        <is>
          <t>Training Date</t>
        </is>
      </c>
      <c r="H4" s="51" t="inlineStr">
        <is>
          <t>Certificate No.</t>
        </is>
      </c>
      <c r="I4" s="51" t="inlineStr">
        <is>
          <t>Declaration Signed</t>
        </is>
      </c>
    </row>
    <row r="5" ht="22" customHeight="1">
      <c r="B5" s="54" t="n"/>
      <c r="C5" s="54" t="n"/>
      <c r="D5" s="54" t="n"/>
      <c r="E5" s="54" t="n"/>
      <c r="F5" s="54" t="n"/>
      <c r="G5" s="54" t="n"/>
      <c r="H5" s="54" t="n"/>
      <c r="I5" s="54" t="n"/>
    </row>
    <row r="6" ht="22" customHeight="1">
      <c r="B6" s="10" t="n"/>
      <c r="C6" s="10" t="n"/>
      <c r="D6" s="10" t="n"/>
      <c r="E6" s="10" t="n"/>
      <c r="F6" s="10" t="n"/>
      <c r="G6" s="10" t="n"/>
      <c r="H6" s="10" t="n"/>
      <c r="I6" s="10" t="n"/>
    </row>
    <row r="7" ht="22" customHeight="1">
      <c r="B7" s="54" t="n"/>
      <c r="C7" s="54" t="n"/>
      <c r="D7" s="54" t="n"/>
      <c r="E7" s="54" t="n"/>
      <c r="F7" s="54" t="n"/>
      <c r="G7" s="54" t="n"/>
      <c r="H7" s="54" t="n"/>
      <c r="I7" s="54" t="n"/>
    </row>
    <row r="8" ht="22" customHeight="1"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22" customHeight="1">
      <c r="B9" s="54" t="n"/>
      <c r="C9" s="54" t="n"/>
      <c r="D9" s="54" t="n"/>
      <c r="E9" s="54" t="n"/>
      <c r="F9" s="54" t="n"/>
      <c r="G9" s="54" t="n"/>
      <c r="H9" s="54" t="n"/>
      <c r="I9" s="54" t="n"/>
    </row>
    <row r="10" ht="22" customHeight="1"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22" customHeight="1">
      <c r="B11" s="54" t="n"/>
      <c r="C11" s="54" t="n"/>
      <c r="D11" s="54" t="n"/>
      <c r="E11" s="54" t="n"/>
      <c r="F11" s="54" t="n"/>
      <c r="G11" s="54" t="n"/>
      <c r="H11" s="54" t="n"/>
      <c r="I11" s="54" t="n"/>
    </row>
    <row r="12" ht="22" customHeight="1"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2" customHeight="1">
      <c r="B13" s="54" t="n"/>
      <c r="C13" s="54" t="n"/>
      <c r="D13" s="54" t="n"/>
      <c r="E13" s="54" t="n"/>
      <c r="F13" s="54" t="n"/>
      <c r="G13" s="54" t="n"/>
      <c r="H13" s="54" t="n"/>
      <c r="I13" s="54" t="n"/>
    </row>
    <row r="14" ht="22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2" customHeight="1">
      <c r="B15" s="54" t="n"/>
      <c r="C15" s="54" t="n"/>
      <c r="D15" s="54" t="n"/>
      <c r="E15" s="54" t="n"/>
      <c r="F15" s="54" t="n"/>
      <c r="G15" s="54" t="n"/>
      <c r="H15" s="54" t="n"/>
      <c r="I15" s="54" t="n"/>
    </row>
    <row r="16" ht="22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22" customHeight="1">
      <c r="B17" s="54" t="n"/>
      <c r="C17" s="54" t="n"/>
      <c r="D17" s="54" t="n"/>
      <c r="E17" s="54" t="n"/>
      <c r="F17" s="54" t="n"/>
      <c r="G17" s="54" t="n"/>
      <c r="H17" s="54" t="n"/>
      <c r="I17" s="54" t="n"/>
    </row>
    <row r="18" ht="22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 ht="22" customHeight="1">
      <c r="B19" s="54" t="n"/>
      <c r="C19" s="54" t="n"/>
      <c r="D19" s="54" t="n"/>
      <c r="E19" s="54" t="n"/>
      <c r="F19" s="54" t="n"/>
      <c r="G19" s="54" t="n"/>
      <c r="H19" s="54" t="n"/>
      <c r="I19" s="54" t="n"/>
    </row>
    <row r="20" ht="22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 ht="22" customHeight="1">
      <c r="B21" s="54" t="n"/>
      <c r="C21" s="54" t="n"/>
      <c r="D21" s="54" t="n"/>
      <c r="E21" s="54" t="n"/>
      <c r="F21" s="54" t="n"/>
      <c r="G21" s="54" t="n"/>
      <c r="H21" s="54" t="n"/>
      <c r="I21" s="54" t="n"/>
    </row>
    <row r="22" ht="22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2" customHeight="1">
      <c r="B23" s="54" t="n"/>
      <c r="C23" s="54" t="n"/>
      <c r="D23" s="54" t="n"/>
      <c r="E23" s="54" t="n"/>
      <c r="F23" s="54" t="n"/>
      <c r="G23" s="54" t="n"/>
      <c r="H23" s="54" t="n"/>
      <c r="I23" s="54" t="n"/>
    </row>
    <row r="24" ht="22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2" customHeight="1">
      <c r="B25" s="54" t="n"/>
      <c r="C25" s="54" t="n"/>
      <c r="D25" s="54" t="n"/>
      <c r="E25" s="54" t="n"/>
      <c r="F25" s="54" t="n"/>
      <c r="G25" s="54" t="n"/>
      <c r="H25" s="54" t="n"/>
      <c r="I25" s="54" t="n"/>
    </row>
    <row r="26" ht="22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 ht="22" customHeight="1">
      <c r="B27" s="54" t="n"/>
      <c r="C27" s="54" t="n"/>
      <c r="D27" s="54" t="n"/>
      <c r="E27" s="54" t="n"/>
      <c r="F27" s="54" t="n"/>
      <c r="G27" s="54" t="n"/>
      <c r="H27" s="54" t="n"/>
      <c r="I27" s="54" t="n"/>
    </row>
    <row r="28" ht="22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2" customHeight="1"/>
    <row r="30" ht="24" customHeight="1">
      <c r="B30" s="50" t="inlineStr">
        <is>
          <t>TRAINING COMPLETION SUMMARY</t>
        </is>
      </c>
    </row>
    <row r="31" ht="22" customHeight="1">
      <c r="B31" s="56" t="inlineStr">
        <is>
          <t>Total Researchers Covered</t>
        </is>
      </c>
      <c r="F31" s="31">
        <f>COUNTA(B5:B28)</f>
        <v/>
      </c>
    </row>
    <row r="32" ht="22" customHeight="1">
      <c r="B32" s="25" t="inlineStr">
        <is>
          <t>Training Completed</t>
        </is>
      </c>
      <c r="F32" s="32">
        <f>COUNTIF(F5:F28,"Y")</f>
        <v/>
      </c>
    </row>
    <row r="33" ht="22" customHeight="1">
      <c r="B33" s="56" t="inlineStr">
        <is>
          <t>Declaration Signed</t>
        </is>
      </c>
      <c r="F33" s="31">
        <f>COUNTIF(I5:I28,"Y")</f>
        <v/>
      </c>
    </row>
    <row r="34">
      <c r="B34" s="25" t="inlineStr">
        <is>
          <t>Pending Training</t>
        </is>
      </c>
      <c r="F34" s="32">
        <f>COUNTIF(F5:F28,"N")</f>
        <v/>
      </c>
    </row>
    <row r="35">
      <c r="B35" s="56" t="inlineStr">
        <is>
          <t>Completion Rate (%)</t>
        </is>
      </c>
      <c r="F35" s="31">
        <f>IFERROR(ROUND(C32/C31*100,1),"")</f>
        <v/>
      </c>
    </row>
  </sheetData>
  <mergeCells count="13">
    <mergeCell ref="B31:E31"/>
    <mergeCell ref="F32:I32"/>
    <mergeCell ref="F31:I31"/>
    <mergeCell ref="B30:I30"/>
    <mergeCell ref="B35:E35"/>
    <mergeCell ref="F35:I35"/>
    <mergeCell ref="B2:I2"/>
    <mergeCell ref="B3:I3"/>
    <mergeCell ref="B33:E33"/>
    <mergeCell ref="B34:E34"/>
    <mergeCell ref="F34:I34"/>
    <mergeCell ref="F33:I33"/>
    <mergeCell ref="B32:E3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58" t="inlineStr">
        <is>
          <t>SC-4: INNOVATION, INCUBATION &amp; IPR
MEETING NOTICE &amp; AGENDA</t>
        </is>
      </c>
    </row>
    <row r="3" ht="22" customHeight="1">
      <c r="B3" s="59" t="inlineStr">
        <is>
          <t>Meeting No.:</t>
        </is>
      </c>
      <c r="C3" s="9" t="n"/>
    </row>
    <row r="4" ht="22" customHeight="1">
      <c r="B4" s="59" t="inlineStr">
        <is>
          <t>Academic Year:</t>
        </is>
      </c>
      <c r="C4" s="9" t="n"/>
    </row>
    <row r="5" ht="22" customHeight="1">
      <c r="B5" s="59" t="inlineStr">
        <is>
          <t>Date:</t>
        </is>
      </c>
      <c r="C5" s="9" t="n"/>
    </row>
    <row r="6" ht="22" customHeight="1">
      <c r="B6" s="59" t="inlineStr">
        <is>
          <t>Time:</t>
        </is>
      </c>
      <c r="C6" s="9" t="n"/>
    </row>
    <row r="7" ht="22" customHeight="1">
      <c r="B7" s="59" t="inlineStr">
        <is>
          <t>Venue:</t>
        </is>
      </c>
      <c r="C7" s="9" t="n"/>
    </row>
    <row r="8" ht="22" customHeight="1">
      <c r="B8" s="59" t="inlineStr">
        <is>
          <t>Mode:</t>
        </is>
      </c>
      <c r="C8" s="9" t="n"/>
    </row>
    <row r="9" ht="22" customHeight="1">
      <c r="B9" s="59" t="inlineStr">
        <is>
          <t>Notice by:</t>
        </is>
      </c>
      <c r="C9" s="9" t="n"/>
    </row>
    <row r="10" ht="22" customHeight="1">
      <c r="B10" s="59" t="inlineStr">
        <is>
          <t>Notice Date:</t>
        </is>
      </c>
      <c r="C10" s="9" t="n"/>
    </row>
    <row r="11" ht="24" customHeight="1">
      <c r="B11" s="60" t="inlineStr">
        <is>
          <t>AGENDA ITEMS</t>
        </is>
      </c>
    </row>
    <row r="12" ht="24" customHeight="1">
      <c r="B12" s="61" t="inlineStr">
        <is>
          <t>Item
No.</t>
        </is>
      </c>
      <c r="C12" s="61" t="inlineStr">
        <is>
          <t>Agenda Item / Discussion Topic</t>
        </is>
      </c>
      <c r="D12" s="61" t="inlineStr">
        <is>
          <t>Presenter / Lead</t>
        </is>
      </c>
      <c r="E12" s="61" t="inlineStr">
        <is>
          <t>Duration (Min)</t>
        </is>
      </c>
    </row>
    <row r="13" ht="24" customHeight="1">
      <c r="B13" s="62" t="n">
        <v>1</v>
      </c>
      <c r="C13" s="63" t="inlineStr">
        <is>
          <t>Patent application status — new &amp; existing filings</t>
        </is>
      </c>
      <c r="D13" s="64" t="inlineStr"/>
      <c r="E13" s="64" t="inlineStr"/>
    </row>
    <row r="14" ht="24" customHeight="1">
      <c r="B14" s="8" t="n">
        <v>2</v>
      </c>
      <c r="C14" s="9" t="inlineStr">
        <is>
          <t>Technology transfer / licensing — update</t>
        </is>
      </c>
      <c r="D14" s="10" t="inlineStr"/>
      <c r="E14" s="10" t="inlineStr"/>
    </row>
    <row r="15" ht="24" customHeight="1">
      <c r="B15" s="62" t="n">
        <v>3</v>
      </c>
      <c r="C15" s="63" t="inlineStr">
        <is>
          <t>Startup &amp; incubation — progress review</t>
        </is>
      </c>
      <c r="D15" s="64" t="inlineStr"/>
      <c r="E15" s="64" t="inlineStr"/>
    </row>
    <row r="16" ht="24" customHeight="1">
      <c r="B16" s="8" t="n">
        <v>4</v>
      </c>
      <c r="C16" s="9" t="inlineStr">
        <is>
          <t>Innovation idea submissions — screening &amp; fast-track</t>
        </is>
      </c>
      <c r="D16" s="10" t="inlineStr"/>
      <c r="E16" s="10" t="inlineStr"/>
    </row>
    <row r="17" ht="24" customHeight="1">
      <c r="B17" s="62" t="n">
        <v>5</v>
      </c>
      <c r="C17" s="63" t="inlineStr">
        <is>
          <t>IPR policy review &amp; awareness update</t>
        </is>
      </c>
      <c r="D17" s="64" t="inlineStr"/>
      <c r="E17" s="64" t="inlineStr"/>
    </row>
    <row r="18" ht="24" customHeight="1">
      <c r="B18" s="8" t="n">
        <v>6</v>
      </c>
      <c r="C18" s="9" t="inlineStr">
        <is>
          <t>External innovation ecosystem partnerships</t>
        </is>
      </c>
      <c r="D18" s="10" t="inlineStr"/>
      <c r="E18" s="10" t="inlineStr"/>
    </row>
    <row r="19" ht="24" customHeight="1">
      <c r="B19" s="62" t="n">
        <v>7</v>
      </c>
      <c r="C19" s="63" t="inlineStr">
        <is>
          <t>Any Other Matter with Permission of Chairman</t>
        </is>
      </c>
      <c r="D19" s="64" t="inlineStr"/>
      <c r="E19" s="64" t="inlineStr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58" t="inlineStr">
        <is>
          <t>SC-4: INNOVATION, INCUBATION &amp; IPR — ATTENDANCE &amp; QUORUM REGISTER</t>
        </is>
      </c>
    </row>
    <row r="3" ht="25" customHeight="1">
      <c r="B3" s="65" t="inlineStr">
        <is>
          <t>Meeting No.: _______  Date: _______  Total Strength: _______  Quorum Required (50%): _______</t>
        </is>
      </c>
    </row>
    <row r="4" ht="25" customHeight="1">
      <c r="B4" s="61" t="inlineStr">
        <is>
          <t>Sl.</t>
        </is>
      </c>
      <c r="C4" s="61" t="inlineStr">
        <is>
          <t>Name</t>
        </is>
      </c>
      <c r="D4" s="61" t="inlineStr">
        <is>
          <t>Designation / Role</t>
        </is>
      </c>
      <c r="E4" s="61" t="inlineStr">
        <is>
          <t>Mode
(Physical/VC)</t>
        </is>
      </c>
      <c r="F4" s="61" t="inlineStr">
        <is>
          <t>Present
(P/A)</t>
        </is>
      </c>
      <c r="G4" s="61" t="inlineStr">
        <is>
          <t>Proxy
(Y/N)</t>
        </is>
      </c>
      <c r="H4" s="61" t="inlineStr">
        <is>
          <t>Proxy Authorised To</t>
        </is>
      </c>
      <c r="I4" s="61" t="inlineStr">
        <is>
          <t>Signature</t>
        </is>
      </c>
    </row>
    <row r="5" ht="22" customHeight="1">
      <c r="B5" s="62" t="n">
        <v>1</v>
      </c>
      <c r="C5" s="63" t="inlineStr"/>
      <c r="D5" s="63" t="inlineStr"/>
      <c r="E5" s="64" t="inlineStr">
        <is>
          <t>Physical</t>
        </is>
      </c>
      <c r="F5" s="64" t="inlineStr"/>
      <c r="G5" s="64" t="inlineStr">
        <is>
          <t>N</t>
        </is>
      </c>
      <c r="H5" s="64" t="inlineStr"/>
      <c r="I5" s="64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62" t="n">
        <v>3</v>
      </c>
      <c r="C7" s="63" t="inlineStr"/>
      <c r="D7" s="63" t="inlineStr"/>
      <c r="E7" s="64" t="inlineStr">
        <is>
          <t>Physical</t>
        </is>
      </c>
      <c r="F7" s="64" t="inlineStr"/>
      <c r="G7" s="64" t="inlineStr">
        <is>
          <t>N</t>
        </is>
      </c>
      <c r="H7" s="64" t="inlineStr"/>
      <c r="I7" s="64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62" t="n">
        <v>5</v>
      </c>
      <c r="C9" s="63" t="inlineStr"/>
      <c r="D9" s="63" t="inlineStr"/>
      <c r="E9" s="64" t="inlineStr">
        <is>
          <t>Physical</t>
        </is>
      </c>
      <c r="F9" s="64" t="inlineStr"/>
      <c r="G9" s="64" t="inlineStr">
        <is>
          <t>N</t>
        </is>
      </c>
      <c r="H9" s="64" t="inlineStr"/>
      <c r="I9" s="64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62" t="n">
        <v>7</v>
      </c>
      <c r="C11" s="63" t="inlineStr"/>
      <c r="D11" s="63" t="inlineStr"/>
      <c r="E11" s="64" t="inlineStr">
        <is>
          <t>Physical</t>
        </is>
      </c>
      <c r="F11" s="64" t="inlineStr"/>
      <c r="G11" s="64" t="inlineStr">
        <is>
          <t>N</t>
        </is>
      </c>
      <c r="H11" s="64" t="inlineStr"/>
      <c r="I11" s="64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62" t="n">
        <v>9</v>
      </c>
      <c r="C13" s="63" t="inlineStr"/>
      <c r="D13" s="63" t="inlineStr"/>
      <c r="E13" s="64" t="inlineStr">
        <is>
          <t>Physical</t>
        </is>
      </c>
      <c r="F13" s="64" t="inlineStr"/>
      <c r="G13" s="64" t="inlineStr">
        <is>
          <t>N</t>
        </is>
      </c>
      <c r="H13" s="64" t="inlineStr"/>
      <c r="I13" s="64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62" t="n">
        <v>11</v>
      </c>
      <c r="C15" s="63" t="inlineStr"/>
      <c r="D15" s="63" t="inlineStr"/>
      <c r="E15" s="64" t="inlineStr">
        <is>
          <t>Physical</t>
        </is>
      </c>
      <c r="F15" s="64" t="inlineStr"/>
      <c r="G15" s="64" t="inlineStr">
        <is>
          <t>N</t>
        </is>
      </c>
      <c r="H15" s="64" t="inlineStr"/>
      <c r="I15" s="64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62" t="n">
        <v>13</v>
      </c>
      <c r="C17" s="63" t="inlineStr"/>
      <c r="D17" s="63" t="inlineStr"/>
      <c r="E17" s="64" t="inlineStr">
        <is>
          <t>Physical</t>
        </is>
      </c>
      <c r="F17" s="64" t="inlineStr"/>
      <c r="G17" s="64" t="inlineStr">
        <is>
          <t>N</t>
        </is>
      </c>
      <c r="H17" s="64" t="inlineStr"/>
      <c r="I17" s="64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58" t="inlineStr">
        <is>
          <t>SC-4: INNOVATION, INCUBATION &amp; IPR — MEETING MINUTES &amp; RESOLUTIONS</t>
        </is>
      </c>
    </row>
    <row r="3" ht="25" customHeight="1">
      <c r="B3" s="65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62" t="inlineStr">
        <is>
          <t>SC4/RES/001</t>
        </is>
      </c>
      <c r="C6" s="63" t="inlineStr"/>
      <c r="D6" s="64" t="inlineStr"/>
      <c r="E6" s="64" t="inlineStr"/>
      <c r="F6" s="64" t="inlineStr"/>
      <c r="G6" s="64" t="inlineStr">
        <is>
          <t>Pending</t>
        </is>
      </c>
    </row>
    <row r="7" ht="32" customHeight="1">
      <c r="B7" s="8" t="inlineStr">
        <is>
          <t>SC4/RES/002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62" t="inlineStr">
        <is>
          <t>SC4/RES/003</t>
        </is>
      </c>
      <c r="C8" s="63" t="inlineStr"/>
      <c r="D8" s="64" t="inlineStr"/>
      <c r="E8" s="64" t="inlineStr"/>
      <c r="F8" s="64" t="inlineStr"/>
      <c r="G8" s="64" t="inlineStr">
        <is>
          <t>Pending</t>
        </is>
      </c>
    </row>
    <row r="9" ht="32" customHeight="1">
      <c r="B9" s="8" t="inlineStr">
        <is>
          <t>SC4/RES/004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62" t="inlineStr">
        <is>
          <t>SC4/RES/005</t>
        </is>
      </c>
      <c r="C10" s="63" t="inlineStr"/>
      <c r="D10" s="64" t="inlineStr"/>
      <c r="E10" s="64" t="inlineStr"/>
      <c r="F10" s="64" t="inlineStr"/>
      <c r="G10" s="64" t="inlineStr">
        <is>
          <t>Pending</t>
        </is>
      </c>
    </row>
    <row r="11" ht="32" customHeight="1">
      <c r="B11" s="8" t="inlineStr">
        <is>
          <t>SC4/RES/006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62" t="inlineStr">
        <is>
          <t>SC4/RES/007</t>
        </is>
      </c>
      <c r="C12" s="63" t="inlineStr"/>
      <c r="D12" s="64" t="inlineStr"/>
      <c r="E12" s="64" t="inlineStr"/>
      <c r="F12" s="64" t="inlineStr"/>
      <c r="G12" s="64" t="inlineStr">
        <is>
          <t>Pending</t>
        </is>
      </c>
    </row>
    <row r="13" ht="32" customHeight="1">
      <c r="B13" s="8" t="inlineStr">
        <is>
          <t>SC4/RES/008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62" t="inlineStr">
        <is>
          <t>SC4/RES/009</t>
        </is>
      </c>
      <c r="C14" s="63" t="inlineStr"/>
      <c r="D14" s="64" t="inlineStr"/>
      <c r="E14" s="64" t="inlineStr"/>
      <c r="F14" s="64" t="inlineStr"/>
      <c r="G14" s="64" t="inlineStr">
        <is>
          <t>Pending</t>
        </is>
      </c>
    </row>
    <row r="15" ht="32" customHeight="1">
      <c r="B15" s="8" t="inlineStr">
        <is>
          <t>SC4/RES/010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62" t="inlineStr">
        <is>
          <t>SC4/RES/011</t>
        </is>
      </c>
      <c r="C16" s="63" t="inlineStr"/>
      <c r="D16" s="64" t="inlineStr"/>
      <c r="E16" s="64" t="inlineStr"/>
      <c r="F16" s="64" t="inlineStr"/>
      <c r="G16" s="64" t="inlineStr">
        <is>
          <t>Pending</t>
        </is>
      </c>
    </row>
    <row r="17" ht="32" customHeight="1">
      <c r="B17" s="8" t="inlineStr">
        <is>
          <t>SC4/RES/012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62" t="inlineStr">
        <is>
          <t>SC4/RES/013</t>
        </is>
      </c>
      <c r="C18" s="63" t="inlineStr"/>
      <c r="D18" s="64" t="inlineStr"/>
      <c r="E18" s="64" t="inlineStr"/>
      <c r="F18" s="64" t="inlineStr"/>
      <c r="G18" s="64" t="inlineStr">
        <is>
          <t>Pending</t>
        </is>
      </c>
    </row>
    <row r="19" ht="32" customHeight="1">
      <c r="B19" s="8" t="inlineStr">
        <is>
          <t>SC4/RES/014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58" t="inlineStr">
        <is>
          <t>SC-4: INNOVATION, INCUBATION &amp; IPR — ACTION TAKEN REPORT</t>
        </is>
      </c>
    </row>
    <row r="3" ht="25" customHeight="1">
      <c r="B3" s="65" t="inlineStr">
        <is>
          <t>Current Meeting No.: _______  Date: _______  Previous Meeting Ref.: _______</t>
        </is>
      </c>
    </row>
    <row r="4" ht="25" customHeight="1">
      <c r="B4" s="61" t="inlineStr">
        <is>
          <t>Resolution
No.</t>
        </is>
      </c>
      <c r="C4" s="61" t="inlineStr">
        <is>
          <t>Resolution / Decision (Previous)</t>
        </is>
      </c>
      <c r="D4" s="61" t="inlineStr">
        <is>
          <t>Action Required</t>
        </is>
      </c>
      <c r="E4" s="61" t="inlineStr">
        <is>
          <t>Responsible</t>
        </is>
      </c>
      <c r="F4" s="61" t="inlineStr">
        <is>
          <t>Target
Date</t>
        </is>
      </c>
      <c r="G4" s="61" t="inlineStr">
        <is>
          <t>Completion
Date</t>
        </is>
      </c>
      <c r="H4" s="61" t="inlineStr">
        <is>
          <t>Status &amp; Evidence</t>
        </is>
      </c>
    </row>
    <row r="5" ht="26" customHeight="1">
      <c r="B5" s="62" t="inlineStr">
        <is>
          <t>SC4/RES/001</t>
        </is>
      </c>
      <c r="C5" s="63" t="inlineStr"/>
      <c r="D5" s="63" t="inlineStr"/>
      <c r="E5" s="64" t="inlineStr"/>
      <c r="F5" s="64" t="inlineStr"/>
      <c r="G5" s="64" t="inlineStr"/>
      <c r="H5" s="63" t="inlineStr">
        <is>
          <t>In Progress</t>
        </is>
      </c>
    </row>
    <row r="6" ht="26" customHeight="1">
      <c r="B6" s="8" t="inlineStr">
        <is>
          <t>SC4/RES/002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62" t="inlineStr">
        <is>
          <t>SC4/RES/003</t>
        </is>
      </c>
      <c r="C7" s="63" t="inlineStr"/>
      <c r="D7" s="63" t="inlineStr"/>
      <c r="E7" s="64" t="inlineStr"/>
      <c r="F7" s="64" t="inlineStr"/>
      <c r="G7" s="64" t="inlineStr"/>
      <c r="H7" s="63" t="inlineStr">
        <is>
          <t>In Progress</t>
        </is>
      </c>
    </row>
    <row r="8" ht="26" customHeight="1">
      <c r="B8" s="8" t="inlineStr">
        <is>
          <t>SC4/RES/004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62" t="inlineStr">
        <is>
          <t>SC4/RES/005</t>
        </is>
      </c>
      <c r="C9" s="63" t="inlineStr"/>
      <c r="D9" s="63" t="inlineStr"/>
      <c r="E9" s="64" t="inlineStr"/>
      <c r="F9" s="64" t="inlineStr"/>
      <c r="G9" s="64" t="inlineStr"/>
      <c r="H9" s="63" t="inlineStr">
        <is>
          <t>In Progress</t>
        </is>
      </c>
    </row>
    <row r="10" ht="26" customHeight="1">
      <c r="B10" s="8" t="inlineStr">
        <is>
          <t>SC4/RES/006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62" t="inlineStr">
        <is>
          <t>SC4/RES/007</t>
        </is>
      </c>
      <c r="C11" s="63" t="inlineStr"/>
      <c r="D11" s="63" t="inlineStr"/>
      <c r="E11" s="64" t="inlineStr"/>
      <c r="F11" s="64" t="inlineStr"/>
      <c r="G11" s="64" t="inlineStr"/>
      <c r="H11" s="63" t="inlineStr">
        <is>
          <t>In Progress</t>
        </is>
      </c>
    </row>
    <row r="12" ht="26" customHeight="1">
      <c r="B12" s="8" t="inlineStr">
        <is>
          <t>SC4/RES/008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62" t="inlineStr">
        <is>
          <t>SC4/RES/009</t>
        </is>
      </c>
      <c r="C13" s="63" t="inlineStr"/>
      <c r="D13" s="63" t="inlineStr"/>
      <c r="E13" s="64" t="inlineStr"/>
      <c r="F13" s="64" t="inlineStr"/>
      <c r="G13" s="64" t="inlineStr"/>
      <c r="H13" s="63" t="inlineStr">
        <is>
          <t>In Progress</t>
        </is>
      </c>
    </row>
    <row r="14" ht="26" customHeight="1">
      <c r="B14" s="8" t="inlineStr">
        <is>
          <t>SC4/RES/010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62" t="inlineStr">
        <is>
          <t>SC4/RES/011</t>
        </is>
      </c>
      <c r="C15" s="63" t="inlineStr"/>
      <c r="D15" s="63" t="inlineStr"/>
      <c r="E15" s="64" t="inlineStr"/>
      <c r="F15" s="64" t="inlineStr"/>
      <c r="G15" s="64" t="inlineStr"/>
      <c r="H15" s="63" t="inlineStr">
        <is>
          <t>In Progress</t>
        </is>
      </c>
    </row>
    <row r="16" ht="26" customHeight="1">
      <c r="B16" s="8" t="inlineStr">
        <is>
          <t>SC4/RES/012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62" t="inlineStr">
        <is>
          <t>SC4/RES/013</t>
        </is>
      </c>
      <c r="C17" s="63" t="inlineStr"/>
      <c r="D17" s="63" t="inlineStr"/>
      <c r="E17" s="64" t="inlineStr"/>
      <c r="F17" s="64" t="inlineStr"/>
      <c r="G17" s="64" t="inlineStr"/>
      <c r="H17" s="63" t="inlineStr">
        <is>
          <t>In Progress</t>
        </is>
      </c>
    </row>
    <row r="18" ht="26" customHeight="1">
      <c r="B18" s="8" t="inlineStr">
        <is>
          <t>SC4/RES/014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62" t="inlineStr">
        <is>
          <t>SC4/RES/015</t>
        </is>
      </c>
      <c r="C19" s="63" t="inlineStr"/>
      <c r="D19" s="63" t="inlineStr"/>
      <c r="E19" s="64" t="inlineStr"/>
      <c r="F19" s="64" t="inlineStr"/>
      <c r="G19" s="64" t="inlineStr"/>
      <c r="H19" s="63" t="inlineStr">
        <is>
          <t>In Progress</t>
        </is>
      </c>
    </row>
    <row r="20" ht="26" customHeight="1"/>
    <row r="21" ht="24" customHeight="1">
      <c r="B21" s="60" t="inlineStr">
        <is>
          <t>ATR SUMMARY</t>
        </is>
      </c>
    </row>
    <row r="22" ht="26" customHeight="1">
      <c r="B22" s="66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66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66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67" t="inlineStr">
        <is>
          <t>SC4-01: PATENT APPLICATION &amp; STATUS REGISTER</t>
        </is>
      </c>
    </row>
    <row r="3" ht="25" customHeight="1">
      <c r="B3" s="65" t="inlineStr">
        <is>
          <t>A.Y.: _______  IPR Cell Officer: ___________________  Patent Agent: ___________________</t>
        </is>
      </c>
    </row>
    <row r="4" ht="25" customHeight="1">
      <c r="B4" s="61" t="inlineStr">
        <is>
          <t>Patent
Ref.</t>
        </is>
      </c>
      <c r="C4" s="61" t="inlineStr">
        <is>
          <t>Title of Invention</t>
        </is>
      </c>
      <c r="D4" s="61" t="inlineStr">
        <is>
          <t>Inventors</t>
        </is>
      </c>
      <c r="E4" s="61" t="inlineStr">
        <is>
          <t>Dept.</t>
        </is>
      </c>
      <c r="F4" s="61" t="inlineStr">
        <is>
          <t>Application No.</t>
        </is>
      </c>
      <c r="G4" s="61" t="inlineStr">
        <is>
          <t>Filing Date</t>
        </is>
      </c>
      <c r="H4" s="61" t="inlineStr">
        <is>
          <t>Country</t>
        </is>
      </c>
      <c r="I4" s="61" t="inlineStr">
        <is>
          <t>Status</t>
        </is>
      </c>
      <c r="J4" s="61" t="inlineStr">
        <is>
          <t>Technology Domain</t>
        </is>
      </c>
    </row>
    <row r="5" ht="22" customHeight="1">
      <c r="B5" s="62" t="inlineStr">
        <is>
          <t>PAT/2024/001</t>
        </is>
      </c>
      <c r="C5" s="63" t="inlineStr"/>
      <c r="D5" s="63" t="inlineStr"/>
      <c r="E5" s="64" t="inlineStr"/>
      <c r="F5" s="64" t="inlineStr"/>
      <c r="G5" s="64" t="inlineStr"/>
      <c r="H5" s="64" t="inlineStr">
        <is>
          <t>India</t>
        </is>
      </c>
      <c r="I5" s="64" t="inlineStr">
        <is>
          <t>Filed</t>
        </is>
      </c>
      <c r="J5" s="64" t="inlineStr">
        <is>
          <t>AI/ML</t>
        </is>
      </c>
    </row>
    <row r="6" ht="22" customHeight="1">
      <c r="B6" s="8" t="inlineStr">
        <is>
          <t>PAT/2024/002</t>
        </is>
      </c>
      <c r="C6" s="9" t="inlineStr"/>
      <c r="D6" s="9" t="inlineStr"/>
      <c r="E6" s="10" t="inlineStr"/>
      <c r="F6" s="10" t="inlineStr"/>
      <c r="G6" s="10" t="inlineStr"/>
      <c r="H6" s="10" t="inlineStr">
        <is>
          <t>India</t>
        </is>
      </c>
      <c r="I6" s="10" t="inlineStr">
        <is>
          <t>Published</t>
        </is>
      </c>
      <c r="J6" s="10" t="inlineStr">
        <is>
          <t>IoT</t>
        </is>
      </c>
    </row>
    <row r="7" ht="22" customHeight="1">
      <c r="B7" s="62" t="inlineStr">
        <is>
          <t>PAT/2024/003</t>
        </is>
      </c>
      <c r="C7" s="63" t="inlineStr"/>
      <c r="D7" s="63" t="inlineStr"/>
      <c r="E7" s="64" t="inlineStr"/>
      <c r="F7" s="64" t="inlineStr"/>
      <c r="G7" s="64" t="inlineStr"/>
      <c r="H7" s="64" t="inlineStr">
        <is>
          <t>India</t>
        </is>
      </c>
      <c r="I7" s="64" t="inlineStr">
        <is>
          <t>Under Examination</t>
        </is>
      </c>
      <c r="J7" s="64" t="inlineStr">
        <is>
          <t>Biomedical</t>
        </is>
      </c>
    </row>
    <row r="8" ht="22" customHeight="1">
      <c r="B8" s="8" t="inlineStr">
        <is>
          <t>PAT/2024/004</t>
        </is>
      </c>
      <c r="C8" s="9" t="inlineStr"/>
      <c r="D8" s="9" t="inlineStr"/>
      <c r="E8" s="10" t="inlineStr"/>
      <c r="F8" s="10" t="inlineStr"/>
      <c r="G8" s="10" t="inlineStr"/>
      <c r="H8" s="10" t="inlineStr">
        <is>
          <t>India</t>
        </is>
      </c>
      <c r="I8" s="10" t="inlineStr">
        <is>
          <t>Granted</t>
        </is>
      </c>
      <c r="J8" s="10" t="inlineStr">
        <is>
          <t>Energy</t>
        </is>
      </c>
    </row>
    <row r="9" ht="22" customHeight="1">
      <c r="B9" s="62" t="inlineStr">
        <is>
          <t>PAT/2024/005</t>
        </is>
      </c>
      <c r="C9" s="63" t="inlineStr"/>
      <c r="D9" s="63" t="inlineStr"/>
      <c r="E9" s="64" t="inlineStr"/>
      <c r="F9" s="64" t="inlineStr"/>
      <c r="G9" s="64" t="inlineStr"/>
      <c r="H9" s="64" t="inlineStr">
        <is>
          <t>India</t>
        </is>
      </c>
      <c r="I9" s="64" t="inlineStr">
        <is>
          <t>Opposed</t>
        </is>
      </c>
      <c r="J9" s="64" t="inlineStr">
        <is>
          <t>Agriculture</t>
        </is>
      </c>
    </row>
    <row r="10" ht="22" customHeight="1">
      <c r="B10" s="8" t="inlineStr">
        <is>
          <t>PAT/2024/006</t>
        </is>
      </c>
      <c r="C10" s="9" t="inlineStr"/>
      <c r="D10" s="9" t="inlineStr"/>
      <c r="E10" s="10" t="inlineStr"/>
      <c r="F10" s="10" t="inlineStr"/>
      <c r="G10" s="10" t="inlineStr"/>
      <c r="H10" s="10" t="inlineStr">
        <is>
          <t>India</t>
        </is>
      </c>
      <c r="I10" s="10" t="inlineStr">
        <is>
          <t>Abandoned</t>
        </is>
      </c>
      <c r="J10" s="10" t="inlineStr">
        <is>
          <t>Material Science</t>
        </is>
      </c>
    </row>
    <row r="11" ht="22" customHeight="1">
      <c r="B11" s="62" t="inlineStr">
        <is>
          <t>PAT/2024/007</t>
        </is>
      </c>
      <c r="C11" s="63" t="inlineStr"/>
      <c r="D11" s="63" t="inlineStr"/>
      <c r="E11" s="64" t="inlineStr"/>
      <c r="F11" s="64" t="inlineStr"/>
      <c r="G11" s="64" t="inlineStr"/>
      <c r="H11" s="64" t="inlineStr">
        <is>
          <t>India</t>
        </is>
      </c>
      <c r="I11" s="64" t="inlineStr">
        <is>
          <t>Licensed</t>
        </is>
      </c>
      <c r="J11" s="64" t="inlineStr">
        <is>
          <t>Environment</t>
        </is>
      </c>
    </row>
    <row r="12" ht="22" customHeight="1">
      <c r="B12" s="8" t="inlineStr">
        <is>
          <t>PAT/2024/008</t>
        </is>
      </c>
      <c r="C12" s="9" t="inlineStr"/>
      <c r="D12" s="9" t="inlineStr"/>
      <c r="E12" s="10" t="inlineStr"/>
      <c r="F12" s="10" t="inlineStr"/>
      <c r="G12" s="10" t="inlineStr"/>
      <c r="H12" s="10" t="inlineStr">
        <is>
          <t>India</t>
        </is>
      </c>
      <c r="I12" s="10" t="inlineStr">
        <is>
          <t>Filed</t>
        </is>
      </c>
      <c r="J12" s="10" t="inlineStr">
        <is>
          <t>Manufacturing</t>
        </is>
      </c>
    </row>
    <row r="13" ht="22" customHeight="1">
      <c r="B13" s="62" t="inlineStr">
        <is>
          <t>PAT/2024/009</t>
        </is>
      </c>
      <c r="C13" s="63" t="inlineStr"/>
      <c r="D13" s="63" t="inlineStr"/>
      <c r="E13" s="64" t="inlineStr"/>
      <c r="F13" s="64" t="inlineStr"/>
      <c r="G13" s="64" t="inlineStr"/>
      <c r="H13" s="64" t="inlineStr">
        <is>
          <t>India</t>
        </is>
      </c>
      <c r="I13" s="64" t="inlineStr">
        <is>
          <t>Published</t>
        </is>
      </c>
      <c r="J13" s="64" t="inlineStr">
        <is>
          <t>Software</t>
        </is>
      </c>
    </row>
    <row r="14" ht="22" customHeight="1">
      <c r="B14" s="8" t="inlineStr">
        <is>
          <t>PAT/2025/010</t>
        </is>
      </c>
      <c r="C14" s="9" t="inlineStr"/>
      <c r="D14" s="9" t="inlineStr"/>
      <c r="E14" s="10" t="inlineStr"/>
      <c r="F14" s="10" t="inlineStr"/>
      <c r="G14" s="10" t="inlineStr"/>
      <c r="H14" s="10" t="inlineStr">
        <is>
          <t>India</t>
        </is>
      </c>
      <c r="I14" s="10" t="inlineStr">
        <is>
          <t>Under Examination</t>
        </is>
      </c>
      <c r="J14" s="10" t="inlineStr">
        <is>
          <t>Others</t>
        </is>
      </c>
    </row>
    <row r="15" ht="22" customHeight="1">
      <c r="B15" s="62" t="inlineStr">
        <is>
          <t>PAT/2025/011</t>
        </is>
      </c>
      <c r="C15" s="63" t="inlineStr"/>
      <c r="D15" s="63" t="inlineStr"/>
      <c r="E15" s="64" t="inlineStr"/>
      <c r="F15" s="64" t="inlineStr"/>
      <c r="G15" s="64" t="inlineStr"/>
      <c r="H15" s="64" t="inlineStr">
        <is>
          <t>India</t>
        </is>
      </c>
      <c r="I15" s="64" t="inlineStr">
        <is>
          <t>Granted</t>
        </is>
      </c>
      <c r="J15" s="64" t="inlineStr">
        <is>
          <t>AI/ML</t>
        </is>
      </c>
    </row>
    <row r="16" ht="22" customHeight="1">
      <c r="B16" s="8" t="inlineStr">
        <is>
          <t>PAT/2025/012</t>
        </is>
      </c>
      <c r="C16" s="9" t="inlineStr"/>
      <c r="D16" s="9" t="inlineStr"/>
      <c r="E16" s="10" t="inlineStr"/>
      <c r="F16" s="10" t="inlineStr"/>
      <c r="G16" s="10" t="inlineStr"/>
      <c r="H16" s="10" t="inlineStr">
        <is>
          <t>India</t>
        </is>
      </c>
      <c r="I16" s="10" t="inlineStr">
        <is>
          <t>Opposed</t>
        </is>
      </c>
      <c r="J16" s="10" t="inlineStr">
        <is>
          <t>IoT</t>
        </is>
      </c>
    </row>
    <row r="17" ht="22" customHeight="1">
      <c r="B17" s="62" t="inlineStr">
        <is>
          <t>PAT/2025/013</t>
        </is>
      </c>
      <c r="C17" s="63" t="inlineStr"/>
      <c r="D17" s="63" t="inlineStr"/>
      <c r="E17" s="64" t="inlineStr"/>
      <c r="F17" s="64" t="inlineStr"/>
      <c r="G17" s="64" t="inlineStr"/>
      <c r="H17" s="64" t="inlineStr">
        <is>
          <t>India</t>
        </is>
      </c>
      <c r="I17" s="64" t="inlineStr">
        <is>
          <t>Abandoned</t>
        </is>
      </c>
      <c r="J17" s="64" t="inlineStr">
        <is>
          <t>Biomedical</t>
        </is>
      </c>
    </row>
    <row r="18" ht="22" customHeight="1">
      <c r="B18" s="8" t="inlineStr">
        <is>
          <t>PAT/2025/014</t>
        </is>
      </c>
      <c r="C18" s="9" t="inlineStr"/>
      <c r="D18" s="9" t="inlineStr"/>
      <c r="E18" s="10" t="inlineStr"/>
      <c r="F18" s="10" t="inlineStr"/>
      <c r="G18" s="10" t="inlineStr"/>
      <c r="H18" s="10" t="inlineStr">
        <is>
          <t>India</t>
        </is>
      </c>
      <c r="I18" s="10" t="inlineStr">
        <is>
          <t>Licensed</t>
        </is>
      </c>
      <c r="J18" s="10" t="inlineStr">
        <is>
          <t>Energy</t>
        </is>
      </c>
    </row>
    <row r="19" ht="22" customHeight="1">
      <c r="B19" s="62" t="inlineStr">
        <is>
          <t>PAT/2025/015</t>
        </is>
      </c>
      <c r="C19" s="63" t="inlineStr"/>
      <c r="D19" s="63" t="inlineStr"/>
      <c r="E19" s="64" t="inlineStr"/>
      <c r="F19" s="64" t="inlineStr"/>
      <c r="G19" s="64" t="inlineStr"/>
      <c r="H19" s="64" t="inlineStr">
        <is>
          <t>India</t>
        </is>
      </c>
      <c r="I19" s="64" t="inlineStr">
        <is>
          <t>Filed</t>
        </is>
      </c>
      <c r="J19" s="64" t="inlineStr">
        <is>
          <t>Agriculture</t>
        </is>
      </c>
    </row>
    <row r="20" ht="22" customHeight="1">
      <c r="B20" s="8" t="inlineStr">
        <is>
          <t>PAT/2025/016</t>
        </is>
      </c>
      <c r="C20" s="9" t="inlineStr"/>
      <c r="D20" s="9" t="inlineStr"/>
      <c r="E20" s="10" t="inlineStr"/>
      <c r="F20" s="10" t="inlineStr"/>
      <c r="G20" s="10" t="inlineStr"/>
      <c r="H20" s="10" t="inlineStr">
        <is>
          <t>India</t>
        </is>
      </c>
      <c r="I20" s="10" t="inlineStr">
        <is>
          <t>Published</t>
        </is>
      </c>
      <c r="J20" s="10" t="inlineStr">
        <is>
          <t>Material Science</t>
        </is>
      </c>
    </row>
    <row r="21" ht="22" customHeight="1">
      <c r="B21" s="62" t="inlineStr">
        <is>
          <t>PAT/2025/017</t>
        </is>
      </c>
      <c r="C21" s="63" t="inlineStr"/>
      <c r="D21" s="63" t="inlineStr"/>
      <c r="E21" s="64" t="inlineStr"/>
      <c r="F21" s="64" t="inlineStr"/>
      <c r="G21" s="64" t="inlineStr"/>
      <c r="H21" s="64" t="inlineStr">
        <is>
          <t>India</t>
        </is>
      </c>
      <c r="I21" s="64" t="inlineStr">
        <is>
          <t>Under Examination</t>
        </is>
      </c>
      <c r="J21" s="64" t="inlineStr">
        <is>
          <t>Environment</t>
        </is>
      </c>
    </row>
    <row r="22" ht="22" customHeight="1">
      <c r="B22" s="8" t="inlineStr">
        <is>
          <t>PAT/2025/018</t>
        </is>
      </c>
      <c r="C22" s="9" t="inlineStr"/>
      <c r="D22" s="9" t="inlineStr"/>
      <c r="E22" s="10" t="inlineStr"/>
      <c r="F22" s="10" t="inlineStr"/>
      <c r="G22" s="10" t="inlineStr"/>
      <c r="H22" s="10" t="inlineStr">
        <is>
          <t>India</t>
        </is>
      </c>
      <c r="I22" s="10" t="inlineStr">
        <is>
          <t>Granted</t>
        </is>
      </c>
      <c r="J22" s="10" t="inlineStr">
        <is>
          <t>Manufacturing</t>
        </is>
      </c>
    </row>
    <row r="23" ht="22" customHeight="1"/>
    <row r="24" ht="24" customHeight="1">
      <c r="B24" s="60" t="inlineStr">
        <is>
          <t>PATENT PORTFOLIO SUMMARY</t>
        </is>
      </c>
    </row>
    <row r="25" ht="22" customHeight="1">
      <c r="B25" s="66" t="inlineStr">
        <is>
          <t>Total Patents Filed</t>
        </is>
      </c>
      <c r="F25" s="31">
        <f>COUNTA(B5:B22)</f>
        <v/>
      </c>
    </row>
    <row r="26" ht="22" customHeight="1">
      <c r="B26" s="25" t="inlineStr">
        <is>
          <t>Published</t>
        </is>
      </c>
      <c r="F26" s="32">
        <f>COUNTIF(I5:I22,"Published")</f>
        <v/>
      </c>
    </row>
    <row r="27" ht="22" customHeight="1">
      <c r="B27" s="66" t="inlineStr">
        <is>
          <t>Granted</t>
        </is>
      </c>
      <c r="F27" s="31">
        <f>COUNTIF(I5:I22,"Granted")</f>
        <v/>
      </c>
    </row>
    <row r="28" ht="22" customHeight="1">
      <c r="B28" s="25" t="inlineStr">
        <is>
          <t>Licensed</t>
        </is>
      </c>
      <c r="F28" s="32">
        <f>COUNTIF(I5:I22,"Licensed")</f>
        <v/>
      </c>
    </row>
    <row r="29" ht="22" customHeight="1">
      <c r="B29" s="66" t="inlineStr">
        <is>
          <t>Grant Rate (%)</t>
        </is>
      </c>
      <c r="F29" s="31">
        <f>IFERROR(ROUND(C27/C25*100,1),"")</f>
        <v/>
      </c>
    </row>
  </sheetData>
  <mergeCells count="13">
    <mergeCell ref="B26:E26"/>
    <mergeCell ref="B27:E27"/>
    <mergeCell ref="B3:J3"/>
    <mergeCell ref="F29:J29"/>
    <mergeCell ref="F26:J26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67" t="inlineStr">
        <is>
          <t>SC4-02: TECHNOLOGY TRANSFER &amp; LICENSING REGISTER</t>
        </is>
      </c>
    </row>
    <row r="3" ht="25" customHeight="1">
      <c r="B3" s="65" t="inlineStr">
        <is>
          <t>A.Y.: _______  IPR Cell: ___________________  Legal Advisor: ___________________</t>
        </is>
      </c>
    </row>
    <row r="4" ht="25" customHeight="1">
      <c r="B4" s="61" t="inlineStr">
        <is>
          <t>TT
Ref.</t>
        </is>
      </c>
      <c r="C4" s="61" t="inlineStr">
        <is>
          <t>Technology / IP Title</t>
        </is>
      </c>
      <c r="D4" s="61" t="inlineStr">
        <is>
          <t>IP Owner
(Faculty / Dept.)</t>
        </is>
      </c>
      <c r="E4" s="61" t="inlineStr">
        <is>
          <t>Licensee / Transferee</t>
        </is>
      </c>
      <c r="F4" s="61" t="inlineStr">
        <is>
          <t>Agreement
Type</t>
        </is>
      </c>
      <c r="G4" s="61" t="inlineStr">
        <is>
          <t>Royalty /
Fee (₹L)</t>
        </is>
      </c>
      <c r="H4" s="61" t="inlineStr">
        <is>
          <t>Agreement
Date</t>
        </is>
      </c>
      <c r="I4" s="61" t="inlineStr">
        <is>
          <t>Status</t>
        </is>
      </c>
    </row>
    <row r="5" ht="22" customHeight="1">
      <c r="B5" s="62" t="inlineStr">
        <is>
          <t>TT/2024/001</t>
        </is>
      </c>
      <c r="C5" s="63" t="inlineStr"/>
      <c r="D5" s="63" t="inlineStr"/>
      <c r="E5" s="63" t="inlineStr"/>
      <c r="F5" s="64" t="inlineStr">
        <is>
          <t>Exclusive Licence</t>
        </is>
      </c>
      <c r="G5" s="64" t="inlineStr"/>
      <c r="H5" s="64" t="inlineStr"/>
      <c r="I5" s="64" t="inlineStr">
        <is>
          <t>Active</t>
        </is>
      </c>
    </row>
    <row r="6" ht="22" customHeight="1">
      <c r="B6" s="8" t="inlineStr">
        <is>
          <t>TT/2024/002</t>
        </is>
      </c>
      <c r="C6" s="9" t="inlineStr"/>
      <c r="D6" s="9" t="inlineStr"/>
      <c r="E6" s="9" t="inlineStr"/>
      <c r="F6" s="10" t="inlineStr">
        <is>
          <t>Non-Exclusive Licence</t>
        </is>
      </c>
      <c r="G6" s="10" t="inlineStr"/>
      <c r="H6" s="10" t="inlineStr"/>
      <c r="I6" s="10" t="inlineStr">
        <is>
          <t>Active</t>
        </is>
      </c>
    </row>
    <row r="7" ht="22" customHeight="1">
      <c r="B7" s="62" t="inlineStr">
        <is>
          <t>TT/2024/003</t>
        </is>
      </c>
      <c r="C7" s="63" t="inlineStr"/>
      <c r="D7" s="63" t="inlineStr"/>
      <c r="E7" s="63" t="inlineStr"/>
      <c r="F7" s="64" t="inlineStr">
        <is>
          <t>Assignment</t>
        </is>
      </c>
      <c r="G7" s="64" t="inlineStr"/>
      <c r="H7" s="64" t="inlineStr"/>
      <c r="I7" s="64" t="inlineStr">
        <is>
          <t>Active</t>
        </is>
      </c>
    </row>
    <row r="8" ht="22" customHeight="1">
      <c r="B8" s="8" t="inlineStr">
        <is>
          <t>TT/2024/004</t>
        </is>
      </c>
      <c r="C8" s="9" t="inlineStr"/>
      <c r="D8" s="9" t="inlineStr"/>
      <c r="E8" s="9" t="inlineStr"/>
      <c r="F8" s="10" t="inlineStr">
        <is>
          <t>Spin-off</t>
        </is>
      </c>
      <c r="G8" s="10" t="inlineStr"/>
      <c r="H8" s="10" t="inlineStr"/>
      <c r="I8" s="10" t="inlineStr">
        <is>
          <t>Active</t>
        </is>
      </c>
    </row>
    <row r="9" ht="22" customHeight="1">
      <c r="B9" s="62" t="inlineStr">
        <is>
          <t>TT/2024/005</t>
        </is>
      </c>
      <c r="C9" s="63" t="inlineStr"/>
      <c r="D9" s="63" t="inlineStr"/>
      <c r="E9" s="63" t="inlineStr"/>
      <c r="F9" s="64" t="inlineStr">
        <is>
          <t>MoU-based Transfer</t>
        </is>
      </c>
      <c r="G9" s="64" t="inlineStr"/>
      <c r="H9" s="64" t="inlineStr"/>
      <c r="I9" s="64" t="inlineStr">
        <is>
          <t>Active</t>
        </is>
      </c>
    </row>
    <row r="10" ht="22" customHeight="1">
      <c r="B10" s="8" t="inlineStr">
        <is>
          <t>TT/2024/006</t>
        </is>
      </c>
      <c r="C10" s="9" t="inlineStr"/>
      <c r="D10" s="9" t="inlineStr"/>
      <c r="E10" s="9" t="inlineStr"/>
      <c r="F10" s="10" t="inlineStr">
        <is>
          <t>Co-development</t>
        </is>
      </c>
      <c r="G10" s="10" t="inlineStr"/>
      <c r="H10" s="10" t="inlineStr"/>
      <c r="I10" s="10" t="inlineStr">
        <is>
          <t>Active</t>
        </is>
      </c>
    </row>
    <row r="11" ht="22" customHeight="1">
      <c r="B11" s="62" t="inlineStr">
        <is>
          <t>TT/2025/007</t>
        </is>
      </c>
      <c r="C11" s="63" t="inlineStr"/>
      <c r="D11" s="63" t="inlineStr"/>
      <c r="E11" s="63" t="inlineStr"/>
      <c r="F11" s="64" t="inlineStr">
        <is>
          <t>Exclusive Licence</t>
        </is>
      </c>
      <c r="G11" s="64" t="inlineStr"/>
      <c r="H11" s="64" t="inlineStr"/>
      <c r="I11" s="64" t="inlineStr">
        <is>
          <t>Active</t>
        </is>
      </c>
    </row>
    <row r="12" ht="22" customHeight="1">
      <c r="B12" s="8" t="inlineStr">
        <is>
          <t>TT/2025/008</t>
        </is>
      </c>
      <c r="C12" s="9" t="inlineStr"/>
      <c r="D12" s="9" t="inlineStr"/>
      <c r="E12" s="9" t="inlineStr"/>
      <c r="F12" s="10" t="inlineStr">
        <is>
          <t>Non-Exclusive Licence</t>
        </is>
      </c>
      <c r="G12" s="10" t="inlineStr"/>
      <c r="H12" s="10" t="inlineStr"/>
      <c r="I12" s="10" t="inlineStr">
        <is>
          <t>Active</t>
        </is>
      </c>
    </row>
    <row r="13" ht="22" customHeight="1">
      <c r="B13" s="62" t="inlineStr">
        <is>
          <t>TT/2025/009</t>
        </is>
      </c>
      <c r="C13" s="63" t="inlineStr"/>
      <c r="D13" s="63" t="inlineStr"/>
      <c r="E13" s="63" t="inlineStr"/>
      <c r="F13" s="64" t="inlineStr">
        <is>
          <t>Assignment</t>
        </is>
      </c>
      <c r="G13" s="64" t="inlineStr"/>
      <c r="H13" s="64" t="inlineStr"/>
      <c r="I13" s="64" t="inlineStr">
        <is>
          <t>Active</t>
        </is>
      </c>
    </row>
    <row r="14" ht="22" customHeight="1">
      <c r="B14" s="8" t="inlineStr">
        <is>
          <t>TT/2025/010</t>
        </is>
      </c>
      <c r="C14" s="9" t="inlineStr"/>
      <c r="D14" s="9" t="inlineStr"/>
      <c r="E14" s="9" t="inlineStr"/>
      <c r="F14" s="10" t="inlineStr">
        <is>
          <t>Spin-off</t>
        </is>
      </c>
      <c r="G14" s="10" t="inlineStr"/>
      <c r="H14" s="10" t="inlineStr"/>
      <c r="I14" s="10" t="inlineStr">
        <is>
          <t>Active</t>
        </is>
      </c>
    </row>
    <row r="15" ht="22" customHeight="1">
      <c r="B15" s="62" t="inlineStr">
        <is>
          <t>TT/2025/011</t>
        </is>
      </c>
      <c r="C15" s="63" t="inlineStr"/>
      <c r="D15" s="63" t="inlineStr"/>
      <c r="E15" s="63" t="inlineStr"/>
      <c r="F15" s="64" t="inlineStr">
        <is>
          <t>MoU-based Transfer</t>
        </is>
      </c>
      <c r="G15" s="64" t="inlineStr"/>
      <c r="H15" s="64" t="inlineStr"/>
      <c r="I15" s="64" t="inlineStr">
        <is>
          <t>Active</t>
        </is>
      </c>
    </row>
    <row r="16" ht="22" customHeight="1">
      <c r="B16" s="8" t="inlineStr">
        <is>
          <t>TT/2025/012</t>
        </is>
      </c>
      <c r="C16" s="9" t="inlineStr"/>
      <c r="D16" s="9" t="inlineStr"/>
      <c r="E16" s="9" t="inlineStr"/>
      <c r="F16" s="10" t="inlineStr">
        <is>
          <t>Co-development</t>
        </is>
      </c>
      <c r="G16" s="10" t="inlineStr"/>
      <c r="H16" s="10" t="inlineStr"/>
      <c r="I16" s="10" t="inlineStr">
        <is>
          <t>Active</t>
        </is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67" t="inlineStr">
        <is>
          <t>SC4-03: STARTUP &amp; INCUBATION REGISTER</t>
        </is>
      </c>
    </row>
    <row r="3" ht="25" customHeight="1">
      <c r="B3" s="65" t="inlineStr">
        <is>
          <t>A.Y.: _______  Incubation Centre Manager: ___________________  DPIIT Registered TBI: _______</t>
        </is>
      </c>
    </row>
    <row r="4" ht="25" customHeight="1">
      <c r="B4" s="61" t="inlineStr">
        <is>
          <t>Startup
Ref.</t>
        </is>
      </c>
      <c r="C4" s="61" t="inlineStr">
        <is>
          <t>Startup Name</t>
        </is>
      </c>
      <c r="D4" s="61" t="inlineStr">
        <is>
          <t>Founders
(Faculty / Student)</t>
        </is>
      </c>
      <c r="E4" s="61" t="inlineStr">
        <is>
          <t>Sector / Domain</t>
        </is>
      </c>
      <c r="F4" s="61" t="inlineStr">
        <is>
          <t>Date of
Incubation</t>
        </is>
      </c>
      <c r="G4" s="61" t="inlineStr">
        <is>
          <t>Funding
Raised (₹L)</t>
        </is>
      </c>
      <c r="H4" s="61" t="inlineStr">
        <is>
          <t>Jobs
Created</t>
        </is>
      </c>
      <c r="I4" s="61" t="inlineStr">
        <is>
          <t>IPR Filed</t>
        </is>
      </c>
      <c r="J4" s="61" t="inlineStr">
        <is>
          <t>Stage / Status</t>
        </is>
      </c>
    </row>
    <row r="5" ht="22" customHeight="1">
      <c r="B5" s="62" t="inlineStr">
        <is>
          <t>ST/2024/001</t>
        </is>
      </c>
      <c r="C5" s="63" t="inlineStr"/>
      <c r="D5" s="63" t="inlineStr"/>
      <c r="E5" s="64" t="inlineStr">
        <is>
          <t>EdTech</t>
        </is>
      </c>
      <c r="F5" s="64" t="inlineStr"/>
      <c r="G5" s="64" t="inlineStr"/>
      <c r="H5" s="64" t="inlineStr"/>
      <c r="I5" s="64" t="inlineStr">
        <is>
          <t>Y</t>
        </is>
      </c>
      <c r="J5" s="64" t="inlineStr">
        <is>
          <t>Idea Stage</t>
        </is>
      </c>
    </row>
    <row r="6" ht="22" customHeight="1">
      <c r="B6" s="8" t="inlineStr">
        <is>
          <t>ST/2024/002</t>
        </is>
      </c>
      <c r="C6" s="9" t="inlineStr"/>
      <c r="D6" s="9" t="inlineStr"/>
      <c r="E6" s="10" t="inlineStr">
        <is>
          <t>HealthTech</t>
        </is>
      </c>
      <c r="F6" s="10" t="inlineStr"/>
      <c r="G6" s="10" t="inlineStr"/>
      <c r="H6" s="10" t="inlineStr"/>
      <c r="I6" s="10" t="inlineStr">
        <is>
          <t>Y</t>
        </is>
      </c>
      <c r="J6" s="10" t="inlineStr">
        <is>
          <t>Pre-seed</t>
        </is>
      </c>
    </row>
    <row r="7" ht="22" customHeight="1">
      <c r="B7" s="62" t="inlineStr">
        <is>
          <t>ST/2024/003</t>
        </is>
      </c>
      <c r="C7" s="63" t="inlineStr"/>
      <c r="D7" s="63" t="inlineStr"/>
      <c r="E7" s="64" t="inlineStr">
        <is>
          <t>AgriTech</t>
        </is>
      </c>
      <c r="F7" s="64" t="inlineStr"/>
      <c r="G7" s="64" t="inlineStr"/>
      <c r="H7" s="64" t="inlineStr"/>
      <c r="I7" s="64" t="inlineStr">
        <is>
          <t>Y</t>
        </is>
      </c>
      <c r="J7" s="64" t="inlineStr">
        <is>
          <t>Seed Funded</t>
        </is>
      </c>
    </row>
    <row r="8" ht="22" customHeight="1">
      <c r="B8" s="8" t="inlineStr">
        <is>
          <t>ST/2024/004</t>
        </is>
      </c>
      <c r="C8" s="9" t="inlineStr"/>
      <c r="D8" s="9" t="inlineStr"/>
      <c r="E8" s="10" t="inlineStr">
        <is>
          <t>FinTech</t>
        </is>
      </c>
      <c r="F8" s="10" t="inlineStr"/>
      <c r="G8" s="10" t="inlineStr"/>
      <c r="H8" s="10" t="inlineStr"/>
      <c r="I8" s="10" t="inlineStr">
        <is>
          <t>Y</t>
        </is>
      </c>
      <c r="J8" s="10" t="inlineStr">
        <is>
          <t>Revenue Stage</t>
        </is>
      </c>
    </row>
    <row r="9" ht="22" customHeight="1">
      <c r="B9" s="62" t="inlineStr">
        <is>
          <t>ST/2024/005</t>
        </is>
      </c>
      <c r="C9" s="63" t="inlineStr"/>
      <c r="D9" s="63" t="inlineStr"/>
      <c r="E9" s="64" t="inlineStr">
        <is>
          <t>GreenTech</t>
        </is>
      </c>
      <c r="F9" s="64" t="inlineStr"/>
      <c r="G9" s="64" t="inlineStr"/>
      <c r="H9" s="64" t="inlineStr"/>
      <c r="I9" s="64" t="inlineStr">
        <is>
          <t>Y</t>
        </is>
      </c>
      <c r="J9" s="64" t="inlineStr">
        <is>
          <t>Series A</t>
        </is>
      </c>
    </row>
    <row r="10" ht="22" customHeight="1">
      <c r="B10" s="8" t="inlineStr">
        <is>
          <t>ST/2024/006</t>
        </is>
      </c>
      <c r="C10" s="9" t="inlineStr"/>
      <c r="D10" s="9" t="inlineStr"/>
      <c r="E10" s="10" t="inlineStr">
        <is>
          <t>MedTech</t>
        </is>
      </c>
      <c r="F10" s="10" t="inlineStr"/>
      <c r="G10" s="10" t="inlineStr"/>
      <c r="H10" s="10" t="inlineStr"/>
      <c r="I10" s="10" t="inlineStr">
        <is>
          <t>Y</t>
        </is>
      </c>
      <c r="J10" s="10" t="inlineStr">
        <is>
          <t>Graduated</t>
        </is>
      </c>
    </row>
    <row r="11" ht="22" customHeight="1">
      <c r="B11" s="62" t="inlineStr">
        <is>
          <t>ST/2024/007</t>
        </is>
      </c>
      <c r="C11" s="63" t="inlineStr"/>
      <c r="D11" s="63" t="inlineStr"/>
      <c r="E11" s="64" t="inlineStr">
        <is>
          <t>AI/ML</t>
        </is>
      </c>
      <c r="F11" s="64" t="inlineStr"/>
      <c r="G11" s="64" t="inlineStr"/>
      <c r="H11" s="64" t="inlineStr"/>
      <c r="I11" s="64" t="inlineStr">
        <is>
          <t>Y</t>
        </is>
      </c>
      <c r="J11" s="64" t="inlineStr">
        <is>
          <t>Exited</t>
        </is>
      </c>
    </row>
    <row r="12" ht="22" customHeight="1">
      <c r="B12" s="8" t="inlineStr">
        <is>
          <t>ST/2024/008</t>
        </is>
      </c>
      <c r="C12" s="9" t="inlineStr"/>
      <c r="D12" s="9" t="inlineStr"/>
      <c r="E12" s="10" t="inlineStr">
        <is>
          <t>Manufacturing</t>
        </is>
      </c>
      <c r="F12" s="10" t="inlineStr"/>
      <c r="G12" s="10" t="inlineStr"/>
      <c r="H12" s="10" t="inlineStr"/>
      <c r="I12" s="10" t="inlineStr">
        <is>
          <t>Y</t>
        </is>
      </c>
      <c r="J12" s="10" t="inlineStr">
        <is>
          <t>Idea Stage</t>
        </is>
      </c>
    </row>
    <row r="13" ht="22" customHeight="1">
      <c r="B13" s="62" t="inlineStr">
        <is>
          <t>ST/2025/009</t>
        </is>
      </c>
      <c r="C13" s="63" t="inlineStr"/>
      <c r="D13" s="63" t="inlineStr"/>
      <c r="E13" s="64" t="inlineStr">
        <is>
          <t>Others</t>
        </is>
      </c>
      <c r="F13" s="64" t="inlineStr"/>
      <c r="G13" s="64" t="inlineStr"/>
      <c r="H13" s="64" t="inlineStr"/>
      <c r="I13" s="64" t="inlineStr">
        <is>
          <t>Y</t>
        </is>
      </c>
      <c r="J13" s="64" t="inlineStr">
        <is>
          <t>Pre-seed</t>
        </is>
      </c>
    </row>
    <row r="14" ht="22" customHeight="1">
      <c r="B14" s="8" t="inlineStr">
        <is>
          <t>ST/2025/010</t>
        </is>
      </c>
      <c r="C14" s="9" t="inlineStr"/>
      <c r="D14" s="9" t="inlineStr"/>
      <c r="E14" s="10" t="inlineStr">
        <is>
          <t>EdTech</t>
        </is>
      </c>
      <c r="F14" s="10" t="inlineStr"/>
      <c r="G14" s="10" t="inlineStr"/>
      <c r="H14" s="10" t="inlineStr"/>
      <c r="I14" s="10" t="inlineStr">
        <is>
          <t>Y</t>
        </is>
      </c>
      <c r="J14" s="10" t="inlineStr">
        <is>
          <t>Seed Funded</t>
        </is>
      </c>
    </row>
    <row r="15" ht="22" customHeight="1">
      <c r="B15" s="62" t="inlineStr">
        <is>
          <t>ST/2025/011</t>
        </is>
      </c>
      <c r="C15" s="63" t="inlineStr"/>
      <c r="D15" s="63" t="inlineStr"/>
      <c r="E15" s="64" t="inlineStr">
        <is>
          <t>HealthTech</t>
        </is>
      </c>
      <c r="F15" s="64" t="inlineStr"/>
      <c r="G15" s="64" t="inlineStr"/>
      <c r="H15" s="64" t="inlineStr"/>
      <c r="I15" s="64" t="inlineStr">
        <is>
          <t>Y</t>
        </is>
      </c>
      <c r="J15" s="64" t="inlineStr">
        <is>
          <t>Revenue Stage</t>
        </is>
      </c>
    </row>
    <row r="16" ht="22" customHeight="1">
      <c r="B16" s="8" t="inlineStr">
        <is>
          <t>ST/2025/012</t>
        </is>
      </c>
      <c r="C16" s="9" t="inlineStr"/>
      <c r="D16" s="9" t="inlineStr"/>
      <c r="E16" s="10" t="inlineStr">
        <is>
          <t>AgriTech</t>
        </is>
      </c>
      <c r="F16" s="10" t="inlineStr"/>
      <c r="G16" s="10" t="inlineStr"/>
      <c r="H16" s="10" t="inlineStr"/>
      <c r="I16" s="10" t="inlineStr">
        <is>
          <t>Y</t>
        </is>
      </c>
      <c r="J16" s="10" t="inlineStr">
        <is>
          <t>Series A</t>
        </is>
      </c>
    </row>
    <row r="17" ht="22" customHeight="1">
      <c r="B17" s="62" t="inlineStr">
        <is>
          <t>ST/2025/013</t>
        </is>
      </c>
      <c r="C17" s="63" t="inlineStr"/>
      <c r="D17" s="63" t="inlineStr"/>
      <c r="E17" s="64" t="inlineStr">
        <is>
          <t>FinTech</t>
        </is>
      </c>
      <c r="F17" s="64" t="inlineStr"/>
      <c r="G17" s="64" t="inlineStr"/>
      <c r="H17" s="64" t="inlineStr"/>
      <c r="I17" s="64" t="inlineStr">
        <is>
          <t>Y</t>
        </is>
      </c>
      <c r="J17" s="64" t="inlineStr">
        <is>
          <t>Graduated</t>
        </is>
      </c>
    </row>
    <row r="18" ht="22" customHeight="1">
      <c r="B18" s="8" t="inlineStr">
        <is>
          <t>ST/2025/014</t>
        </is>
      </c>
      <c r="C18" s="9" t="inlineStr"/>
      <c r="D18" s="9" t="inlineStr"/>
      <c r="E18" s="10" t="inlineStr">
        <is>
          <t>GreenTech</t>
        </is>
      </c>
      <c r="F18" s="10" t="inlineStr"/>
      <c r="G18" s="10" t="inlineStr"/>
      <c r="H18" s="10" t="inlineStr"/>
      <c r="I18" s="10" t="inlineStr">
        <is>
          <t>Y</t>
        </is>
      </c>
      <c r="J18" s="10" t="inlineStr">
        <is>
          <t>Exited</t>
        </is>
      </c>
    </row>
    <row r="19" ht="22" customHeight="1">
      <c r="B19" s="62" t="inlineStr">
        <is>
          <t>ST/2025/015</t>
        </is>
      </c>
      <c r="C19" s="63" t="inlineStr"/>
      <c r="D19" s="63" t="inlineStr"/>
      <c r="E19" s="64" t="inlineStr">
        <is>
          <t>MedTech</t>
        </is>
      </c>
      <c r="F19" s="64" t="inlineStr"/>
      <c r="G19" s="64" t="inlineStr"/>
      <c r="H19" s="64" t="inlineStr"/>
      <c r="I19" s="64" t="inlineStr">
        <is>
          <t>Y</t>
        </is>
      </c>
      <c r="J19" s="64" t="inlineStr">
        <is>
          <t>Idea Stage</t>
        </is>
      </c>
    </row>
    <row r="20" ht="22" customHeight="1">
      <c r="B20" s="8" t="inlineStr">
        <is>
          <t>ST/2025/016</t>
        </is>
      </c>
      <c r="C20" s="9" t="inlineStr"/>
      <c r="D20" s="9" t="inlineStr"/>
      <c r="E20" s="10" t="inlineStr">
        <is>
          <t>AI/ML</t>
        </is>
      </c>
      <c r="F20" s="10" t="inlineStr"/>
      <c r="G20" s="10" t="inlineStr"/>
      <c r="H20" s="10" t="inlineStr"/>
      <c r="I20" s="10" t="inlineStr">
        <is>
          <t>Y</t>
        </is>
      </c>
      <c r="J20" s="10" t="inlineStr">
        <is>
          <t>Pre-seed</t>
        </is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" customWidth="1" min="10" max="10"/>
  </cols>
  <sheetData>
    <row r="1" ht="10" customHeight="1"/>
    <row r="2" ht="48" customHeight="1">
      <c r="B2" s="67" t="inlineStr">
        <is>
          <t>SC4-04: INNOVATION &amp; IDEA SUBMISSION REGISTER</t>
        </is>
      </c>
    </row>
    <row r="3" ht="25" customHeight="1">
      <c r="B3" s="65" t="inlineStr">
        <is>
          <t>A.Y.: _______  Innovation Cell: ___________________  Screening Committee: ___________________</t>
        </is>
      </c>
    </row>
    <row r="4" ht="25" customHeight="1">
      <c r="B4" s="61" t="inlineStr">
        <is>
          <t>Idea
Ref.</t>
        </is>
      </c>
      <c r="C4" s="61" t="inlineStr">
        <is>
          <t>Title of Innovation</t>
        </is>
      </c>
      <c r="D4" s="61" t="inlineStr">
        <is>
          <t>Submitter
(Faculty / Student)</t>
        </is>
      </c>
      <c r="E4" s="61" t="inlineStr">
        <is>
          <t>Dept.</t>
        </is>
      </c>
      <c r="F4" s="61" t="inlineStr">
        <is>
          <t>Problem
Addressed</t>
        </is>
      </c>
      <c r="G4" s="61" t="inlineStr">
        <is>
          <t>Screening
Score (/10)</t>
        </is>
      </c>
      <c r="H4" s="61" t="inlineStr">
        <is>
          <t>Decision</t>
        </is>
      </c>
      <c r="I4" s="61" t="inlineStr">
        <is>
          <t>Next Action</t>
        </is>
      </c>
    </row>
    <row r="5" ht="22" customHeight="1">
      <c r="B5" s="62" t="inlineStr">
        <is>
          <t>ID/2024/001</t>
        </is>
      </c>
      <c r="C5" s="63" t="inlineStr"/>
      <c r="D5" s="63" t="inlineStr"/>
      <c r="E5" s="64" t="inlineStr"/>
      <c r="F5" s="63" t="inlineStr"/>
      <c r="G5" s="64" t="inlineStr"/>
      <c r="H5" s="64" t="inlineStr">
        <is>
          <t>Fast-tracked for Patent</t>
        </is>
      </c>
      <c r="I5" s="63" t="inlineStr"/>
    </row>
    <row r="6" ht="22" customHeight="1">
      <c r="B6" s="8" t="inlineStr">
        <is>
          <t>ID/2024/002</t>
        </is>
      </c>
      <c r="C6" s="9" t="inlineStr"/>
      <c r="D6" s="9" t="inlineStr"/>
      <c r="E6" s="10" t="inlineStr"/>
      <c r="F6" s="9" t="inlineStr"/>
      <c r="G6" s="10" t="inlineStr"/>
      <c r="H6" s="10" t="inlineStr">
        <is>
          <t>Referred for Seed Funding</t>
        </is>
      </c>
      <c r="I6" s="9" t="inlineStr"/>
    </row>
    <row r="7" ht="22" customHeight="1">
      <c r="B7" s="62" t="inlineStr">
        <is>
          <t>ID/2024/003</t>
        </is>
      </c>
      <c r="C7" s="63" t="inlineStr"/>
      <c r="D7" s="63" t="inlineStr"/>
      <c r="E7" s="64" t="inlineStr"/>
      <c r="F7" s="63" t="inlineStr"/>
      <c r="G7" s="64" t="inlineStr"/>
      <c r="H7" s="64" t="inlineStr">
        <is>
          <t>Referred for Incubation</t>
        </is>
      </c>
      <c r="I7" s="63" t="inlineStr"/>
    </row>
    <row r="8" ht="22" customHeight="1">
      <c r="B8" s="8" t="inlineStr">
        <is>
          <t>ID/2024/004</t>
        </is>
      </c>
      <c r="C8" s="9" t="inlineStr"/>
      <c r="D8" s="9" t="inlineStr"/>
      <c r="E8" s="10" t="inlineStr"/>
      <c r="F8" s="9" t="inlineStr"/>
      <c r="G8" s="10" t="inlineStr"/>
      <c r="H8" s="10" t="inlineStr">
        <is>
          <t>Further Study Needed</t>
        </is>
      </c>
      <c r="I8" s="9" t="inlineStr"/>
    </row>
    <row r="9" ht="22" customHeight="1">
      <c r="B9" s="62" t="inlineStr">
        <is>
          <t>ID/2024/005</t>
        </is>
      </c>
      <c r="C9" s="63" t="inlineStr"/>
      <c r="D9" s="63" t="inlineStr"/>
      <c r="E9" s="64" t="inlineStr"/>
      <c r="F9" s="63" t="inlineStr"/>
      <c r="G9" s="64" t="inlineStr"/>
      <c r="H9" s="64" t="inlineStr">
        <is>
          <t>Not Selected</t>
        </is>
      </c>
      <c r="I9" s="63" t="inlineStr"/>
    </row>
    <row r="10" ht="22" customHeight="1">
      <c r="B10" s="8" t="inlineStr">
        <is>
          <t>ID/2024/006</t>
        </is>
      </c>
      <c r="C10" s="9" t="inlineStr"/>
      <c r="D10" s="9" t="inlineStr"/>
      <c r="E10" s="10" t="inlineStr"/>
      <c r="F10" s="9" t="inlineStr"/>
      <c r="G10" s="10" t="inlineStr"/>
      <c r="H10" s="10" t="inlineStr">
        <is>
          <t>Fast-tracked for Patent</t>
        </is>
      </c>
      <c r="I10" s="9" t="inlineStr"/>
    </row>
    <row r="11" ht="22" customHeight="1">
      <c r="B11" s="62" t="inlineStr">
        <is>
          <t>ID/2024/007</t>
        </is>
      </c>
      <c r="C11" s="63" t="inlineStr"/>
      <c r="D11" s="63" t="inlineStr"/>
      <c r="E11" s="64" t="inlineStr"/>
      <c r="F11" s="63" t="inlineStr"/>
      <c r="G11" s="64" t="inlineStr"/>
      <c r="H11" s="64" t="inlineStr">
        <is>
          <t>Referred for Seed Funding</t>
        </is>
      </c>
      <c r="I11" s="63" t="inlineStr"/>
    </row>
    <row r="12" ht="22" customHeight="1">
      <c r="B12" s="8" t="inlineStr">
        <is>
          <t>ID/2024/008</t>
        </is>
      </c>
      <c r="C12" s="9" t="inlineStr"/>
      <c r="D12" s="9" t="inlineStr"/>
      <c r="E12" s="10" t="inlineStr"/>
      <c r="F12" s="9" t="inlineStr"/>
      <c r="G12" s="10" t="inlineStr"/>
      <c r="H12" s="10" t="inlineStr">
        <is>
          <t>Referred for Incubation</t>
        </is>
      </c>
      <c r="I12" s="9" t="inlineStr"/>
    </row>
    <row r="13" ht="22" customHeight="1">
      <c r="B13" s="62" t="inlineStr">
        <is>
          <t>ID/2024/009</t>
        </is>
      </c>
      <c r="C13" s="63" t="inlineStr"/>
      <c r="D13" s="63" t="inlineStr"/>
      <c r="E13" s="64" t="inlineStr"/>
      <c r="F13" s="63" t="inlineStr"/>
      <c r="G13" s="64" t="inlineStr"/>
      <c r="H13" s="64" t="inlineStr">
        <is>
          <t>Further Study Needed</t>
        </is>
      </c>
      <c r="I13" s="63" t="inlineStr"/>
    </row>
    <row r="14" ht="22" customHeight="1">
      <c r="B14" s="8" t="inlineStr">
        <is>
          <t>ID/2025/010</t>
        </is>
      </c>
      <c r="C14" s="9" t="inlineStr"/>
      <c r="D14" s="9" t="inlineStr"/>
      <c r="E14" s="10" t="inlineStr"/>
      <c r="F14" s="9" t="inlineStr"/>
      <c r="G14" s="10" t="inlineStr"/>
      <c r="H14" s="10" t="inlineStr">
        <is>
          <t>Not Selected</t>
        </is>
      </c>
      <c r="I14" s="9" t="inlineStr"/>
    </row>
    <row r="15" ht="22" customHeight="1">
      <c r="B15" s="62" t="inlineStr">
        <is>
          <t>ID/2025/011</t>
        </is>
      </c>
      <c r="C15" s="63" t="inlineStr"/>
      <c r="D15" s="63" t="inlineStr"/>
      <c r="E15" s="64" t="inlineStr"/>
      <c r="F15" s="63" t="inlineStr"/>
      <c r="G15" s="64" t="inlineStr"/>
      <c r="H15" s="64" t="inlineStr">
        <is>
          <t>Fast-tracked for Patent</t>
        </is>
      </c>
      <c r="I15" s="63" t="inlineStr"/>
    </row>
    <row r="16" ht="22" customHeight="1">
      <c r="B16" s="8" t="inlineStr">
        <is>
          <t>ID/2025/012</t>
        </is>
      </c>
      <c r="C16" s="9" t="inlineStr"/>
      <c r="D16" s="9" t="inlineStr"/>
      <c r="E16" s="10" t="inlineStr"/>
      <c r="F16" s="9" t="inlineStr"/>
      <c r="G16" s="10" t="inlineStr"/>
      <c r="H16" s="10" t="inlineStr">
        <is>
          <t>Referred for Seed Funding</t>
        </is>
      </c>
      <c r="I16" s="9" t="inlineStr"/>
    </row>
    <row r="17" ht="22" customHeight="1">
      <c r="B17" s="62" t="inlineStr">
        <is>
          <t>ID/2025/013</t>
        </is>
      </c>
      <c r="C17" s="63" t="inlineStr"/>
      <c r="D17" s="63" t="inlineStr"/>
      <c r="E17" s="64" t="inlineStr"/>
      <c r="F17" s="63" t="inlineStr"/>
      <c r="G17" s="64" t="inlineStr"/>
      <c r="H17" s="64" t="inlineStr">
        <is>
          <t>Referred for Incubation</t>
        </is>
      </c>
      <c r="I17" s="63" t="inlineStr"/>
    </row>
    <row r="18" ht="22" customHeight="1">
      <c r="B18" s="8" t="inlineStr">
        <is>
          <t>ID/2025/014</t>
        </is>
      </c>
      <c r="C18" s="9" t="inlineStr"/>
      <c r="D18" s="9" t="inlineStr"/>
      <c r="E18" s="10" t="inlineStr"/>
      <c r="F18" s="9" t="inlineStr"/>
      <c r="G18" s="10" t="inlineStr"/>
      <c r="H18" s="10" t="inlineStr">
        <is>
          <t>Further Study Needed</t>
        </is>
      </c>
      <c r="I18" s="9" t="inlineStr"/>
    </row>
    <row r="19" ht="22" customHeight="1">
      <c r="B19" s="62" t="inlineStr">
        <is>
          <t>ID/2025/015</t>
        </is>
      </c>
      <c r="C19" s="63" t="inlineStr"/>
      <c r="D19" s="63" t="inlineStr"/>
      <c r="E19" s="64" t="inlineStr"/>
      <c r="F19" s="63" t="inlineStr"/>
      <c r="G19" s="64" t="inlineStr"/>
      <c r="H19" s="64" t="inlineStr">
        <is>
          <t>Not Selected</t>
        </is>
      </c>
      <c r="I19" s="63" t="inlineStr"/>
    </row>
    <row r="20" ht="22" customHeight="1">
      <c r="B20" s="8" t="inlineStr">
        <is>
          <t>ID/2025/016</t>
        </is>
      </c>
      <c r="C20" s="9" t="inlineStr"/>
      <c r="D20" s="9" t="inlineStr"/>
      <c r="E20" s="10" t="inlineStr"/>
      <c r="F20" s="9" t="inlineStr"/>
      <c r="G20" s="10" t="inlineStr"/>
      <c r="H20" s="10" t="inlineStr">
        <is>
          <t>Fast-tracked for Patent</t>
        </is>
      </c>
      <c r="I20" s="9" t="inlineStr"/>
    </row>
    <row r="21" ht="22" customHeight="1">
      <c r="B21" s="62" t="inlineStr">
        <is>
          <t>ID/2025/017</t>
        </is>
      </c>
      <c r="C21" s="63" t="inlineStr"/>
      <c r="D21" s="63" t="inlineStr"/>
      <c r="E21" s="64" t="inlineStr"/>
      <c r="F21" s="63" t="inlineStr"/>
      <c r="G21" s="64" t="inlineStr"/>
      <c r="H21" s="64" t="inlineStr">
        <is>
          <t>Referred for Seed Funding</t>
        </is>
      </c>
      <c r="I21" s="63" t="inlineStr"/>
    </row>
    <row r="22" ht="22" customHeight="1">
      <c r="B22" s="8" t="inlineStr">
        <is>
          <t>ID/2025/018</t>
        </is>
      </c>
      <c r="C22" s="9" t="inlineStr"/>
      <c r="D22" s="9" t="inlineStr"/>
      <c r="E22" s="10" t="inlineStr"/>
      <c r="F22" s="9" t="inlineStr"/>
      <c r="G22" s="10" t="inlineStr"/>
      <c r="H22" s="10" t="inlineStr">
        <is>
          <t>Referred for Incubation</t>
        </is>
      </c>
      <c r="I22" s="9" t="inlineStr"/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68" t="inlineStr">
        <is>
          <t>SC-5: INDUSTRY COLLABORATION &amp; CONSULTANCY
MEETING NOTICE &amp; AGENDA</t>
        </is>
      </c>
    </row>
    <row r="3" ht="22" customHeight="1">
      <c r="B3" s="69" t="inlineStr">
        <is>
          <t>Meeting No.:</t>
        </is>
      </c>
      <c r="C3" s="9" t="n"/>
    </row>
    <row r="4" ht="22" customHeight="1">
      <c r="B4" s="69" t="inlineStr">
        <is>
          <t>Academic Year:</t>
        </is>
      </c>
      <c r="C4" s="9" t="n"/>
    </row>
    <row r="5" ht="22" customHeight="1">
      <c r="B5" s="69" t="inlineStr">
        <is>
          <t>Date:</t>
        </is>
      </c>
      <c r="C5" s="9" t="n"/>
    </row>
    <row r="6" ht="22" customHeight="1">
      <c r="B6" s="69" t="inlineStr">
        <is>
          <t>Time:</t>
        </is>
      </c>
      <c r="C6" s="9" t="n"/>
    </row>
    <row r="7" ht="22" customHeight="1">
      <c r="B7" s="69" t="inlineStr">
        <is>
          <t>Venue:</t>
        </is>
      </c>
      <c r="C7" s="9" t="n"/>
    </row>
    <row r="8" ht="22" customHeight="1">
      <c r="B8" s="69" t="inlineStr">
        <is>
          <t>Mode:</t>
        </is>
      </c>
      <c r="C8" s="9" t="n"/>
    </row>
    <row r="9" ht="22" customHeight="1">
      <c r="B9" s="69" t="inlineStr">
        <is>
          <t>Notice by:</t>
        </is>
      </c>
      <c r="C9" s="9" t="n"/>
    </row>
    <row r="10" ht="22" customHeight="1">
      <c r="B10" s="69" t="inlineStr">
        <is>
          <t>Notice Date:</t>
        </is>
      </c>
      <c r="C10" s="9" t="n"/>
    </row>
    <row r="11" ht="24" customHeight="1">
      <c r="B11" s="70" t="inlineStr">
        <is>
          <t>AGENDA ITEMS</t>
        </is>
      </c>
    </row>
    <row r="12" ht="24" customHeight="1">
      <c r="B12" s="71" t="inlineStr">
        <is>
          <t>Item
No.</t>
        </is>
      </c>
      <c r="C12" s="71" t="inlineStr">
        <is>
          <t>Agenda Item / Discussion Topic</t>
        </is>
      </c>
      <c r="D12" s="71" t="inlineStr">
        <is>
          <t>Presenter / Lead</t>
        </is>
      </c>
      <c r="E12" s="71" t="inlineStr">
        <is>
          <t>Duration (Min)</t>
        </is>
      </c>
    </row>
    <row r="13" ht="24" customHeight="1">
      <c r="B13" s="72" t="n">
        <v>1</v>
      </c>
      <c r="C13" s="73" t="inlineStr">
        <is>
          <t>MoU activity review — active collaborations</t>
        </is>
      </c>
      <c r="D13" s="74" t="inlineStr"/>
      <c r="E13" s="74" t="inlineStr"/>
    </row>
    <row r="14" ht="24" customHeight="1">
      <c r="B14" s="8" t="n">
        <v>2</v>
      </c>
      <c r="C14" s="9" t="inlineStr">
        <is>
          <t>Consultancy project status update</t>
        </is>
      </c>
      <c r="D14" s="10" t="inlineStr"/>
      <c r="E14" s="10" t="inlineStr"/>
    </row>
    <row r="15" ht="24" customHeight="1">
      <c r="B15" s="72" t="n">
        <v>3</v>
      </c>
      <c r="C15" s="73" t="inlineStr">
        <is>
          <t>Industry-sponsored research review</t>
        </is>
      </c>
      <c r="D15" s="74" t="inlineStr"/>
      <c r="E15" s="74" t="inlineStr"/>
    </row>
    <row r="16" ht="24" customHeight="1">
      <c r="B16" s="8" t="n">
        <v>4</v>
      </c>
      <c r="C16" s="9" t="inlineStr">
        <is>
          <t>New MoU / partnership proposals</t>
        </is>
      </c>
      <c r="D16" s="10" t="inlineStr"/>
      <c r="E16" s="10" t="inlineStr"/>
    </row>
    <row r="17" ht="24" customHeight="1">
      <c r="B17" s="72" t="n">
        <v>5</v>
      </c>
      <c r="C17" s="73" t="inlineStr">
        <is>
          <t>Revenue sharing — consultancy distribution</t>
        </is>
      </c>
      <c r="D17" s="74" t="inlineStr"/>
      <c r="E17" s="74" t="inlineStr"/>
    </row>
    <row r="18" ht="24" customHeight="1">
      <c r="B18" s="8" t="n">
        <v>6</v>
      </c>
      <c r="C18" s="9" t="inlineStr">
        <is>
          <t>Knowledge transfer &amp; training programmes</t>
        </is>
      </c>
      <c r="D18" s="10" t="inlineStr"/>
      <c r="E18" s="10" t="inlineStr"/>
    </row>
    <row r="19" ht="24" customHeight="1">
      <c r="B19" s="72" t="n">
        <v>7</v>
      </c>
      <c r="C19" s="73" t="inlineStr">
        <is>
          <t>Any Other Matter with Permission of Chairman</t>
        </is>
      </c>
      <c r="D19" s="74" t="inlineStr"/>
      <c r="E19" s="74" t="inlineStr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68" t="inlineStr">
        <is>
          <t>SC-5: INDUSTRY COLLABORATION &amp; CONSULTANCY — ATTENDANCE &amp; QUORUM REGISTER</t>
        </is>
      </c>
    </row>
    <row r="3" ht="25" customHeight="1">
      <c r="B3" s="75" t="inlineStr">
        <is>
          <t>Meeting No.: _______  Date: _______  Total Strength: _______  Quorum Required (50%): _______</t>
        </is>
      </c>
    </row>
    <row r="4" ht="25" customHeight="1">
      <c r="B4" s="71" t="inlineStr">
        <is>
          <t>Sl.</t>
        </is>
      </c>
      <c r="C4" s="71" t="inlineStr">
        <is>
          <t>Name</t>
        </is>
      </c>
      <c r="D4" s="71" t="inlineStr">
        <is>
          <t>Designation / Role</t>
        </is>
      </c>
      <c r="E4" s="71" t="inlineStr">
        <is>
          <t>Mode
(Physical/VC)</t>
        </is>
      </c>
      <c r="F4" s="71" t="inlineStr">
        <is>
          <t>Present
(P/A)</t>
        </is>
      </c>
      <c r="G4" s="71" t="inlineStr">
        <is>
          <t>Proxy
(Y/N)</t>
        </is>
      </c>
      <c r="H4" s="71" t="inlineStr">
        <is>
          <t>Proxy Authorised To</t>
        </is>
      </c>
      <c r="I4" s="71" t="inlineStr">
        <is>
          <t>Signature</t>
        </is>
      </c>
    </row>
    <row r="5" ht="22" customHeight="1">
      <c r="B5" s="72" t="n">
        <v>1</v>
      </c>
      <c r="C5" s="73" t="inlineStr"/>
      <c r="D5" s="73" t="inlineStr"/>
      <c r="E5" s="74" t="inlineStr">
        <is>
          <t>Physical</t>
        </is>
      </c>
      <c r="F5" s="74" t="inlineStr"/>
      <c r="G5" s="74" t="inlineStr">
        <is>
          <t>N</t>
        </is>
      </c>
      <c r="H5" s="74" t="inlineStr"/>
      <c r="I5" s="74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72" t="n">
        <v>3</v>
      </c>
      <c r="C7" s="73" t="inlineStr"/>
      <c r="D7" s="73" t="inlineStr"/>
      <c r="E7" s="74" t="inlineStr">
        <is>
          <t>Physical</t>
        </is>
      </c>
      <c r="F7" s="74" t="inlineStr"/>
      <c r="G7" s="74" t="inlineStr">
        <is>
          <t>N</t>
        </is>
      </c>
      <c r="H7" s="74" t="inlineStr"/>
      <c r="I7" s="74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72" t="n">
        <v>5</v>
      </c>
      <c r="C9" s="73" t="inlineStr"/>
      <c r="D9" s="73" t="inlineStr"/>
      <c r="E9" s="74" t="inlineStr">
        <is>
          <t>Physical</t>
        </is>
      </c>
      <c r="F9" s="74" t="inlineStr"/>
      <c r="G9" s="74" t="inlineStr">
        <is>
          <t>N</t>
        </is>
      </c>
      <c r="H9" s="74" t="inlineStr"/>
      <c r="I9" s="74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72" t="n">
        <v>7</v>
      </c>
      <c r="C11" s="73" t="inlineStr"/>
      <c r="D11" s="73" t="inlineStr"/>
      <c r="E11" s="74" t="inlineStr">
        <is>
          <t>Physical</t>
        </is>
      </c>
      <c r="F11" s="74" t="inlineStr"/>
      <c r="G11" s="74" t="inlineStr">
        <is>
          <t>N</t>
        </is>
      </c>
      <c r="H11" s="74" t="inlineStr"/>
      <c r="I11" s="74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72" t="n">
        <v>9</v>
      </c>
      <c r="C13" s="73" t="inlineStr"/>
      <c r="D13" s="73" t="inlineStr"/>
      <c r="E13" s="74" t="inlineStr">
        <is>
          <t>Physical</t>
        </is>
      </c>
      <c r="F13" s="74" t="inlineStr"/>
      <c r="G13" s="74" t="inlineStr">
        <is>
          <t>N</t>
        </is>
      </c>
      <c r="H13" s="74" t="inlineStr"/>
      <c r="I13" s="74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72" t="n">
        <v>11</v>
      </c>
      <c r="C15" s="73" t="inlineStr"/>
      <c r="D15" s="73" t="inlineStr"/>
      <c r="E15" s="74" t="inlineStr">
        <is>
          <t>Physical</t>
        </is>
      </c>
      <c r="F15" s="74" t="inlineStr"/>
      <c r="G15" s="74" t="inlineStr">
        <is>
          <t>N</t>
        </is>
      </c>
      <c r="H15" s="74" t="inlineStr"/>
      <c r="I15" s="74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72" t="n">
        <v>13</v>
      </c>
      <c r="C17" s="73" t="inlineStr"/>
      <c r="D17" s="73" t="inlineStr"/>
      <c r="E17" s="74" t="inlineStr">
        <is>
          <t>Physical</t>
        </is>
      </c>
      <c r="F17" s="74" t="inlineStr"/>
      <c r="G17" s="74" t="inlineStr">
        <is>
          <t>N</t>
        </is>
      </c>
      <c r="H17" s="74" t="inlineStr"/>
      <c r="I17" s="74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68" t="inlineStr">
        <is>
          <t>SC-5: INDUSTRY COLLABORATION &amp; CONSULTANCY — MEETING MINUTES &amp; RESOLUTIONS</t>
        </is>
      </c>
    </row>
    <row r="3" ht="25" customHeight="1">
      <c r="B3" s="75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72" t="inlineStr">
        <is>
          <t>SC5/RES/001</t>
        </is>
      </c>
      <c r="C6" s="73" t="inlineStr"/>
      <c r="D6" s="74" t="inlineStr"/>
      <c r="E6" s="74" t="inlineStr"/>
      <c r="F6" s="74" t="inlineStr"/>
      <c r="G6" s="74" t="inlineStr">
        <is>
          <t>Pending</t>
        </is>
      </c>
    </row>
    <row r="7" ht="32" customHeight="1">
      <c r="B7" s="8" t="inlineStr">
        <is>
          <t>SC5/RES/002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72" t="inlineStr">
        <is>
          <t>SC5/RES/003</t>
        </is>
      </c>
      <c r="C8" s="73" t="inlineStr"/>
      <c r="D8" s="74" t="inlineStr"/>
      <c r="E8" s="74" t="inlineStr"/>
      <c r="F8" s="74" t="inlineStr"/>
      <c r="G8" s="74" t="inlineStr">
        <is>
          <t>Pending</t>
        </is>
      </c>
    </row>
    <row r="9" ht="32" customHeight="1">
      <c r="B9" s="8" t="inlineStr">
        <is>
          <t>SC5/RES/004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72" t="inlineStr">
        <is>
          <t>SC5/RES/005</t>
        </is>
      </c>
      <c r="C10" s="73" t="inlineStr"/>
      <c r="D10" s="74" t="inlineStr"/>
      <c r="E10" s="74" t="inlineStr"/>
      <c r="F10" s="74" t="inlineStr"/>
      <c r="G10" s="74" t="inlineStr">
        <is>
          <t>Pending</t>
        </is>
      </c>
    </row>
    <row r="11" ht="32" customHeight="1">
      <c r="B11" s="8" t="inlineStr">
        <is>
          <t>SC5/RES/006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72" t="inlineStr">
        <is>
          <t>SC5/RES/007</t>
        </is>
      </c>
      <c r="C12" s="73" t="inlineStr"/>
      <c r="D12" s="74" t="inlineStr"/>
      <c r="E12" s="74" t="inlineStr"/>
      <c r="F12" s="74" t="inlineStr"/>
      <c r="G12" s="74" t="inlineStr">
        <is>
          <t>Pending</t>
        </is>
      </c>
    </row>
    <row r="13" ht="32" customHeight="1">
      <c r="B13" s="8" t="inlineStr">
        <is>
          <t>SC5/RES/008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72" t="inlineStr">
        <is>
          <t>SC5/RES/009</t>
        </is>
      </c>
      <c r="C14" s="73" t="inlineStr"/>
      <c r="D14" s="74" t="inlineStr"/>
      <c r="E14" s="74" t="inlineStr"/>
      <c r="F14" s="74" t="inlineStr"/>
      <c r="G14" s="74" t="inlineStr">
        <is>
          <t>Pending</t>
        </is>
      </c>
    </row>
    <row r="15" ht="32" customHeight="1">
      <c r="B15" s="8" t="inlineStr">
        <is>
          <t>SC5/RES/010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72" t="inlineStr">
        <is>
          <t>SC5/RES/011</t>
        </is>
      </c>
      <c r="C16" s="73" t="inlineStr"/>
      <c r="D16" s="74" t="inlineStr"/>
      <c r="E16" s="74" t="inlineStr"/>
      <c r="F16" s="74" t="inlineStr"/>
      <c r="G16" s="74" t="inlineStr">
        <is>
          <t>Pending</t>
        </is>
      </c>
    </row>
    <row r="17" ht="32" customHeight="1">
      <c r="B17" s="8" t="inlineStr">
        <is>
          <t>SC5/RES/012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72" t="inlineStr">
        <is>
          <t>SC5/RES/013</t>
        </is>
      </c>
      <c r="C18" s="73" t="inlineStr"/>
      <c r="D18" s="74" t="inlineStr"/>
      <c r="E18" s="74" t="inlineStr"/>
      <c r="F18" s="74" t="inlineStr"/>
      <c r="G18" s="74" t="inlineStr">
        <is>
          <t>Pending</t>
        </is>
      </c>
    </row>
    <row r="19" ht="32" customHeight="1">
      <c r="B19" s="8" t="inlineStr">
        <is>
          <t>SC5/RES/014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68" t="inlineStr">
        <is>
          <t>SC-5: INDUSTRY COLLABORATION &amp; CONSULTANCY — ACTION TAKEN REPORT</t>
        </is>
      </c>
    </row>
    <row r="3" ht="25" customHeight="1">
      <c r="B3" s="75" t="inlineStr">
        <is>
          <t>Current Meeting No.: _______  Date: _______  Previous Meeting Ref.: _______</t>
        </is>
      </c>
    </row>
    <row r="4" ht="25" customHeight="1">
      <c r="B4" s="71" t="inlineStr">
        <is>
          <t>Resolution
No.</t>
        </is>
      </c>
      <c r="C4" s="71" t="inlineStr">
        <is>
          <t>Resolution / Decision (Previous)</t>
        </is>
      </c>
      <c r="D4" s="71" t="inlineStr">
        <is>
          <t>Action Required</t>
        </is>
      </c>
      <c r="E4" s="71" t="inlineStr">
        <is>
          <t>Responsible</t>
        </is>
      </c>
      <c r="F4" s="71" t="inlineStr">
        <is>
          <t>Target
Date</t>
        </is>
      </c>
      <c r="G4" s="71" t="inlineStr">
        <is>
          <t>Completion
Date</t>
        </is>
      </c>
      <c r="H4" s="71" t="inlineStr">
        <is>
          <t>Status &amp; Evidence</t>
        </is>
      </c>
    </row>
    <row r="5" ht="26" customHeight="1">
      <c r="B5" s="72" t="inlineStr">
        <is>
          <t>SC5/RES/001</t>
        </is>
      </c>
      <c r="C5" s="73" t="inlineStr"/>
      <c r="D5" s="73" t="inlineStr"/>
      <c r="E5" s="74" t="inlineStr"/>
      <c r="F5" s="74" t="inlineStr"/>
      <c r="G5" s="74" t="inlineStr"/>
      <c r="H5" s="73" t="inlineStr">
        <is>
          <t>In Progress</t>
        </is>
      </c>
    </row>
    <row r="6" ht="26" customHeight="1">
      <c r="B6" s="8" t="inlineStr">
        <is>
          <t>SC5/RES/002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72" t="inlineStr">
        <is>
          <t>SC5/RES/003</t>
        </is>
      </c>
      <c r="C7" s="73" t="inlineStr"/>
      <c r="D7" s="73" t="inlineStr"/>
      <c r="E7" s="74" t="inlineStr"/>
      <c r="F7" s="74" t="inlineStr"/>
      <c r="G7" s="74" t="inlineStr"/>
      <c r="H7" s="73" t="inlineStr">
        <is>
          <t>In Progress</t>
        </is>
      </c>
    </row>
    <row r="8" ht="26" customHeight="1">
      <c r="B8" s="8" t="inlineStr">
        <is>
          <t>SC5/RES/004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72" t="inlineStr">
        <is>
          <t>SC5/RES/005</t>
        </is>
      </c>
      <c r="C9" s="73" t="inlineStr"/>
      <c r="D9" s="73" t="inlineStr"/>
      <c r="E9" s="74" t="inlineStr"/>
      <c r="F9" s="74" t="inlineStr"/>
      <c r="G9" s="74" t="inlineStr"/>
      <c r="H9" s="73" t="inlineStr">
        <is>
          <t>In Progress</t>
        </is>
      </c>
    </row>
    <row r="10" ht="26" customHeight="1">
      <c r="B10" s="8" t="inlineStr">
        <is>
          <t>SC5/RES/006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72" t="inlineStr">
        <is>
          <t>SC5/RES/007</t>
        </is>
      </c>
      <c r="C11" s="73" t="inlineStr"/>
      <c r="D11" s="73" t="inlineStr"/>
      <c r="E11" s="74" t="inlineStr"/>
      <c r="F11" s="74" t="inlineStr"/>
      <c r="G11" s="74" t="inlineStr"/>
      <c r="H11" s="73" t="inlineStr">
        <is>
          <t>In Progress</t>
        </is>
      </c>
    </row>
    <row r="12" ht="26" customHeight="1">
      <c r="B12" s="8" t="inlineStr">
        <is>
          <t>SC5/RES/008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72" t="inlineStr">
        <is>
          <t>SC5/RES/009</t>
        </is>
      </c>
      <c r="C13" s="73" t="inlineStr"/>
      <c r="D13" s="73" t="inlineStr"/>
      <c r="E13" s="74" t="inlineStr"/>
      <c r="F13" s="74" t="inlineStr"/>
      <c r="G13" s="74" t="inlineStr"/>
      <c r="H13" s="73" t="inlineStr">
        <is>
          <t>In Progress</t>
        </is>
      </c>
    </row>
    <row r="14" ht="26" customHeight="1">
      <c r="B14" s="8" t="inlineStr">
        <is>
          <t>SC5/RES/010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72" t="inlineStr">
        <is>
          <t>SC5/RES/011</t>
        </is>
      </c>
      <c r="C15" s="73" t="inlineStr"/>
      <c r="D15" s="73" t="inlineStr"/>
      <c r="E15" s="74" t="inlineStr"/>
      <c r="F15" s="74" t="inlineStr"/>
      <c r="G15" s="74" t="inlineStr"/>
      <c r="H15" s="73" t="inlineStr">
        <is>
          <t>In Progress</t>
        </is>
      </c>
    </row>
    <row r="16" ht="26" customHeight="1">
      <c r="B16" s="8" t="inlineStr">
        <is>
          <t>SC5/RES/012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72" t="inlineStr">
        <is>
          <t>SC5/RES/013</t>
        </is>
      </c>
      <c r="C17" s="73" t="inlineStr"/>
      <c r="D17" s="73" t="inlineStr"/>
      <c r="E17" s="74" t="inlineStr"/>
      <c r="F17" s="74" t="inlineStr"/>
      <c r="G17" s="74" t="inlineStr"/>
      <c r="H17" s="73" t="inlineStr">
        <is>
          <t>In Progress</t>
        </is>
      </c>
    </row>
    <row r="18" ht="26" customHeight="1">
      <c r="B18" s="8" t="inlineStr">
        <is>
          <t>SC5/RES/014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72" t="inlineStr">
        <is>
          <t>SC5/RES/015</t>
        </is>
      </c>
      <c r="C19" s="73" t="inlineStr"/>
      <c r="D19" s="73" t="inlineStr"/>
      <c r="E19" s="74" t="inlineStr"/>
      <c r="F19" s="74" t="inlineStr"/>
      <c r="G19" s="74" t="inlineStr"/>
      <c r="H19" s="73" t="inlineStr">
        <is>
          <t>In Progress</t>
        </is>
      </c>
    </row>
    <row r="20" ht="26" customHeight="1"/>
    <row r="21" ht="24" customHeight="1">
      <c r="B21" s="70" t="inlineStr">
        <is>
          <t>ATR SUMMARY</t>
        </is>
      </c>
    </row>
    <row r="22" ht="26" customHeight="1">
      <c r="B22" s="76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76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76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77" t="inlineStr">
        <is>
          <t>SC5-01: MoU &amp; INDUSTRY COLLABORATION REGISTER</t>
        </is>
      </c>
    </row>
    <row r="3" ht="25" customHeight="1">
      <c r="B3" s="75" t="inlineStr">
        <is>
          <t>A.Y.: _______  Industry Liaison Officer: ___________________  Dean R&amp;D: ___________________</t>
        </is>
      </c>
    </row>
    <row r="4" ht="25" customHeight="1">
      <c r="B4" s="71" t="inlineStr">
        <is>
          <t>MoU
Ref.</t>
        </is>
      </c>
      <c r="C4" s="71" t="inlineStr">
        <is>
          <t>Partner Organisation</t>
        </is>
      </c>
      <c r="D4" s="71" t="inlineStr">
        <is>
          <t>Nature of MoU</t>
        </is>
      </c>
      <c r="E4" s="71" t="inlineStr">
        <is>
          <t>Date Signed</t>
        </is>
      </c>
      <c r="F4" s="71" t="inlineStr">
        <is>
          <t>Valid Upto</t>
        </is>
      </c>
      <c r="G4" s="71" t="inlineStr">
        <is>
          <t>Activities
Undertaken</t>
        </is>
      </c>
      <c r="H4" s="71" t="inlineStr">
        <is>
          <t>Faculty
Involved</t>
        </is>
      </c>
      <c r="I4" s="71" t="inlineStr">
        <is>
          <t>Students
Benefited</t>
        </is>
      </c>
      <c r="J4" s="71" t="inlineStr">
        <is>
          <t>Status</t>
        </is>
      </c>
    </row>
    <row r="5" ht="22" customHeight="1">
      <c r="B5" s="72" t="inlineStr">
        <is>
          <t>MOU/2024/001</t>
        </is>
      </c>
      <c r="C5" s="73" t="inlineStr"/>
      <c r="D5" s="74" t="inlineStr">
        <is>
          <t>Joint Research</t>
        </is>
      </c>
      <c r="E5" s="74" t="inlineStr"/>
      <c r="F5" s="74" t="inlineStr"/>
      <c r="G5" s="74" t="inlineStr"/>
      <c r="H5" s="74" t="inlineStr"/>
      <c r="I5" s="74" t="inlineStr"/>
      <c r="J5" s="74" t="inlineStr">
        <is>
          <t>Active</t>
        </is>
      </c>
    </row>
    <row r="6" ht="22" customHeight="1">
      <c r="B6" s="8" t="inlineStr">
        <is>
          <t>MOU/2024/002</t>
        </is>
      </c>
      <c r="C6" s="9" t="inlineStr"/>
      <c r="D6" s="10" t="inlineStr">
        <is>
          <t>Internship</t>
        </is>
      </c>
      <c r="E6" s="10" t="inlineStr"/>
      <c r="F6" s="10" t="inlineStr"/>
      <c r="G6" s="10" t="inlineStr"/>
      <c r="H6" s="10" t="inlineStr"/>
      <c r="I6" s="10" t="inlineStr"/>
      <c r="J6" s="10" t="inlineStr">
        <is>
          <t>Active</t>
        </is>
      </c>
    </row>
    <row r="7" ht="22" customHeight="1">
      <c r="B7" s="72" t="inlineStr">
        <is>
          <t>MOU/2024/003</t>
        </is>
      </c>
      <c r="C7" s="73" t="inlineStr"/>
      <c r="D7" s="74" t="inlineStr">
        <is>
          <t>Technology Development</t>
        </is>
      </c>
      <c r="E7" s="74" t="inlineStr"/>
      <c r="F7" s="74" t="inlineStr"/>
      <c r="G7" s="74" t="inlineStr"/>
      <c r="H7" s="74" t="inlineStr"/>
      <c r="I7" s="74" t="inlineStr"/>
      <c r="J7" s="74" t="inlineStr">
        <is>
          <t>Active</t>
        </is>
      </c>
    </row>
    <row r="8" ht="22" customHeight="1">
      <c r="B8" s="8" t="inlineStr">
        <is>
          <t>MOU/2024/004</t>
        </is>
      </c>
      <c r="C8" s="9" t="inlineStr"/>
      <c r="D8" s="10" t="inlineStr">
        <is>
          <t>Training &amp; Capacity</t>
        </is>
      </c>
      <c r="E8" s="10" t="inlineStr"/>
      <c r="F8" s="10" t="inlineStr"/>
      <c r="G8" s="10" t="inlineStr"/>
      <c r="H8" s="10" t="inlineStr"/>
      <c r="I8" s="10" t="inlineStr"/>
      <c r="J8" s="10" t="inlineStr">
        <is>
          <t>Active</t>
        </is>
      </c>
    </row>
    <row r="9" ht="22" customHeight="1">
      <c r="B9" s="72" t="inlineStr">
        <is>
          <t>MOU/2024/005</t>
        </is>
      </c>
      <c r="C9" s="73" t="inlineStr"/>
      <c r="D9" s="74" t="inlineStr">
        <is>
          <t>Consultancy</t>
        </is>
      </c>
      <c r="E9" s="74" t="inlineStr"/>
      <c r="F9" s="74" t="inlineStr"/>
      <c r="G9" s="74" t="inlineStr"/>
      <c r="H9" s="74" t="inlineStr"/>
      <c r="I9" s="74" t="inlineStr"/>
      <c r="J9" s="74" t="inlineStr">
        <is>
          <t>Active</t>
        </is>
      </c>
    </row>
    <row r="10" ht="22" customHeight="1">
      <c r="B10" s="8" t="inlineStr">
        <is>
          <t>MOU/2024/006</t>
        </is>
      </c>
      <c r="C10" s="9" t="inlineStr"/>
      <c r="D10" s="10" t="inlineStr">
        <is>
          <t>Student Exchange</t>
        </is>
      </c>
      <c r="E10" s="10" t="inlineStr"/>
      <c r="F10" s="10" t="inlineStr"/>
      <c r="G10" s="10" t="inlineStr"/>
      <c r="H10" s="10" t="inlineStr"/>
      <c r="I10" s="10" t="inlineStr"/>
      <c r="J10" s="10" t="inlineStr">
        <is>
          <t>Active</t>
        </is>
      </c>
    </row>
    <row r="11" ht="22" customHeight="1">
      <c r="B11" s="72" t="inlineStr">
        <is>
          <t>MOU/2024/007</t>
        </is>
      </c>
      <c r="C11" s="73" t="inlineStr"/>
      <c r="D11" s="74" t="inlineStr">
        <is>
          <t>Equipment Sharing</t>
        </is>
      </c>
      <c r="E11" s="74" t="inlineStr"/>
      <c r="F11" s="74" t="inlineStr"/>
      <c r="G11" s="74" t="inlineStr"/>
      <c r="H11" s="74" t="inlineStr"/>
      <c r="I11" s="74" t="inlineStr"/>
      <c r="J11" s="74" t="inlineStr">
        <is>
          <t>Active</t>
        </is>
      </c>
    </row>
    <row r="12" ht="22" customHeight="1">
      <c r="B12" s="8" t="inlineStr">
        <is>
          <t>MOU/2024/008</t>
        </is>
      </c>
      <c r="C12" s="9" t="inlineStr"/>
      <c r="D12" s="10" t="inlineStr">
        <is>
          <t>Guest Lectures</t>
        </is>
      </c>
      <c r="E12" s="10" t="inlineStr"/>
      <c r="F12" s="10" t="inlineStr"/>
      <c r="G12" s="10" t="inlineStr"/>
      <c r="H12" s="10" t="inlineStr"/>
      <c r="I12" s="10" t="inlineStr"/>
      <c r="J12" s="10" t="inlineStr">
        <is>
          <t>Active</t>
        </is>
      </c>
    </row>
    <row r="13" ht="22" customHeight="1">
      <c r="B13" s="72" t="inlineStr">
        <is>
          <t>MOU/2024/009</t>
        </is>
      </c>
      <c r="C13" s="73" t="inlineStr"/>
      <c r="D13" s="74" t="inlineStr">
        <is>
          <t>Campus Recruitment</t>
        </is>
      </c>
      <c r="E13" s="74" t="inlineStr"/>
      <c r="F13" s="74" t="inlineStr"/>
      <c r="G13" s="74" t="inlineStr"/>
      <c r="H13" s="74" t="inlineStr"/>
      <c r="I13" s="74" t="inlineStr"/>
      <c r="J13" s="74" t="inlineStr">
        <is>
          <t>Active</t>
        </is>
      </c>
    </row>
    <row r="14" ht="22" customHeight="1">
      <c r="B14" s="8" t="inlineStr">
        <is>
          <t>MOU/2024/010</t>
        </is>
      </c>
      <c r="C14" s="9" t="inlineStr"/>
      <c r="D14" s="10" t="inlineStr">
        <is>
          <t>Industry Exposure Visits</t>
        </is>
      </c>
      <c r="E14" s="10" t="inlineStr"/>
      <c r="F14" s="10" t="inlineStr"/>
      <c r="G14" s="10" t="inlineStr"/>
      <c r="H14" s="10" t="inlineStr"/>
      <c r="I14" s="10" t="inlineStr"/>
      <c r="J14" s="10" t="inlineStr">
        <is>
          <t>Active</t>
        </is>
      </c>
    </row>
    <row r="15" ht="22" customHeight="1">
      <c r="B15" s="72" t="inlineStr">
        <is>
          <t>MOU/2025/011</t>
        </is>
      </c>
      <c r="C15" s="73" t="inlineStr"/>
      <c r="D15" s="74" t="inlineStr">
        <is>
          <t>Joint Research</t>
        </is>
      </c>
      <c r="E15" s="74" t="inlineStr"/>
      <c r="F15" s="74" t="inlineStr"/>
      <c r="G15" s="74" t="inlineStr"/>
      <c r="H15" s="74" t="inlineStr"/>
      <c r="I15" s="74" t="inlineStr"/>
      <c r="J15" s="74" t="inlineStr">
        <is>
          <t>Active</t>
        </is>
      </c>
    </row>
    <row r="16" ht="22" customHeight="1">
      <c r="B16" s="8" t="inlineStr">
        <is>
          <t>MOU/2025/012</t>
        </is>
      </c>
      <c r="C16" s="9" t="inlineStr"/>
      <c r="D16" s="10" t="inlineStr">
        <is>
          <t>Internship</t>
        </is>
      </c>
      <c r="E16" s="10" t="inlineStr"/>
      <c r="F16" s="10" t="inlineStr"/>
      <c r="G16" s="10" t="inlineStr"/>
      <c r="H16" s="10" t="inlineStr"/>
      <c r="I16" s="10" t="inlineStr"/>
      <c r="J16" s="10" t="inlineStr">
        <is>
          <t>Active</t>
        </is>
      </c>
    </row>
    <row r="17" ht="22" customHeight="1">
      <c r="B17" s="72" t="inlineStr">
        <is>
          <t>MOU/2025/013</t>
        </is>
      </c>
      <c r="C17" s="73" t="inlineStr"/>
      <c r="D17" s="74" t="inlineStr">
        <is>
          <t>Technology Development</t>
        </is>
      </c>
      <c r="E17" s="74" t="inlineStr"/>
      <c r="F17" s="74" t="inlineStr"/>
      <c r="G17" s="74" t="inlineStr"/>
      <c r="H17" s="74" t="inlineStr"/>
      <c r="I17" s="74" t="inlineStr"/>
      <c r="J17" s="74" t="inlineStr">
        <is>
          <t>Active</t>
        </is>
      </c>
    </row>
    <row r="18" ht="22" customHeight="1">
      <c r="B18" s="8" t="inlineStr">
        <is>
          <t>MOU/2025/014</t>
        </is>
      </c>
      <c r="C18" s="9" t="inlineStr"/>
      <c r="D18" s="10" t="inlineStr">
        <is>
          <t>Training &amp; Capacity</t>
        </is>
      </c>
      <c r="E18" s="10" t="inlineStr"/>
      <c r="F18" s="10" t="inlineStr"/>
      <c r="G18" s="10" t="inlineStr"/>
      <c r="H18" s="10" t="inlineStr"/>
      <c r="I18" s="10" t="inlineStr"/>
      <c r="J18" s="10" t="inlineStr">
        <is>
          <t>Active</t>
        </is>
      </c>
    </row>
    <row r="19" ht="22" customHeight="1">
      <c r="B19" s="72" t="inlineStr">
        <is>
          <t>MOU/2025/015</t>
        </is>
      </c>
      <c r="C19" s="73" t="inlineStr"/>
      <c r="D19" s="74" t="inlineStr">
        <is>
          <t>Consultancy</t>
        </is>
      </c>
      <c r="E19" s="74" t="inlineStr"/>
      <c r="F19" s="74" t="inlineStr"/>
      <c r="G19" s="74" t="inlineStr"/>
      <c r="H19" s="74" t="inlineStr"/>
      <c r="I19" s="74" t="inlineStr"/>
      <c r="J19" s="74" t="inlineStr">
        <is>
          <t>Active</t>
        </is>
      </c>
    </row>
    <row r="20" ht="22" customHeight="1">
      <c r="B20" s="8" t="inlineStr">
        <is>
          <t>MOU/2025/016</t>
        </is>
      </c>
      <c r="C20" s="9" t="inlineStr"/>
      <c r="D20" s="10" t="inlineStr">
        <is>
          <t>Student Exchange</t>
        </is>
      </c>
      <c r="E20" s="10" t="inlineStr"/>
      <c r="F20" s="10" t="inlineStr"/>
      <c r="G20" s="10" t="inlineStr"/>
      <c r="H20" s="10" t="inlineStr"/>
      <c r="I20" s="10" t="inlineStr"/>
      <c r="J20" s="10" t="inlineStr">
        <is>
          <t>Active</t>
        </is>
      </c>
    </row>
    <row r="21" ht="22" customHeight="1">
      <c r="B21" s="72" t="inlineStr">
        <is>
          <t>MOU/2025/017</t>
        </is>
      </c>
      <c r="C21" s="73" t="inlineStr"/>
      <c r="D21" s="74" t="inlineStr">
        <is>
          <t>Equipment Sharing</t>
        </is>
      </c>
      <c r="E21" s="74" t="inlineStr"/>
      <c r="F21" s="74" t="inlineStr"/>
      <c r="G21" s="74" t="inlineStr"/>
      <c r="H21" s="74" t="inlineStr"/>
      <c r="I21" s="74" t="inlineStr"/>
      <c r="J21" s="74" t="inlineStr">
        <is>
          <t>Active</t>
        </is>
      </c>
    </row>
    <row r="22" ht="22" customHeight="1">
      <c r="B22" s="8" t="inlineStr">
        <is>
          <t>MOU/2025/018</t>
        </is>
      </c>
      <c r="C22" s="9" t="inlineStr"/>
      <c r="D22" s="10" t="inlineStr">
        <is>
          <t>Guest Lectures</t>
        </is>
      </c>
      <c r="E22" s="10" t="inlineStr"/>
      <c r="F22" s="10" t="inlineStr"/>
      <c r="G22" s="10" t="inlineStr"/>
      <c r="H22" s="10" t="inlineStr"/>
      <c r="I22" s="10" t="inlineStr"/>
      <c r="J22" s="10" t="inlineStr">
        <is>
          <t>Active</t>
        </is>
      </c>
    </row>
    <row r="23" ht="22" customHeight="1">
      <c r="B23" s="72" t="inlineStr">
        <is>
          <t>MOU/2025/019</t>
        </is>
      </c>
      <c r="C23" s="73" t="inlineStr"/>
      <c r="D23" s="74" t="inlineStr">
        <is>
          <t>Campus Recruitment</t>
        </is>
      </c>
      <c r="E23" s="74" t="inlineStr"/>
      <c r="F23" s="74" t="inlineStr"/>
      <c r="G23" s="74" t="inlineStr"/>
      <c r="H23" s="74" t="inlineStr"/>
      <c r="I23" s="74" t="inlineStr"/>
      <c r="J23" s="74" t="inlineStr">
        <is>
          <t>Active</t>
        </is>
      </c>
    </row>
    <row r="24" ht="22" customHeight="1">
      <c r="B24" s="8" t="inlineStr">
        <is>
          <t>MOU/2025/020</t>
        </is>
      </c>
      <c r="C24" s="9" t="inlineStr"/>
      <c r="D24" s="10" t="inlineStr">
        <is>
          <t>Industry Exposure Visits</t>
        </is>
      </c>
      <c r="E24" s="10" t="inlineStr"/>
      <c r="F24" s="10" t="inlineStr"/>
      <c r="G24" s="10" t="inlineStr"/>
      <c r="H24" s="10" t="inlineStr"/>
      <c r="I24" s="10" t="inlineStr"/>
      <c r="J24" s="10" t="inlineStr">
        <is>
          <t>Active</t>
        </is>
      </c>
    </row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77" t="inlineStr">
        <is>
          <t>SC5-02: CONSULTANCY PROJECT REGISTER</t>
        </is>
      </c>
    </row>
    <row r="3" ht="25" customHeight="1">
      <c r="B3" s="75" t="inlineStr">
        <is>
          <t>A.Y.: _______  Consultancy Cell: ___________________  Revenue Sharing Policy Ref.: _______</t>
        </is>
      </c>
    </row>
    <row r="4" ht="25" customHeight="1">
      <c r="B4" s="71" t="inlineStr">
        <is>
          <t>Consult.
Ref.</t>
        </is>
      </c>
      <c r="C4" s="71" t="inlineStr">
        <is>
          <t>Project Title</t>
        </is>
      </c>
      <c r="D4" s="71" t="inlineStr">
        <is>
          <t>Client Organisation</t>
        </is>
      </c>
      <c r="E4" s="71" t="inlineStr">
        <is>
          <t>Lead Faculty
/ Dept.</t>
        </is>
      </c>
      <c r="F4" s="71" t="inlineStr">
        <is>
          <t>Total
Fee (₹L)</t>
        </is>
      </c>
      <c r="G4" s="71" t="inlineStr">
        <is>
          <t>Received
(₹L)</t>
        </is>
      </c>
      <c r="H4" s="71" t="inlineStr">
        <is>
          <t>Pending
(₹L)</t>
        </is>
      </c>
      <c r="I4" s="71" t="inlineStr">
        <is>
          <t>Start Date</t>
        </is>
      </c>
      <c r="J4" s="71" t="inlineStr">
        <is>
          <t>Status</t>
        </is>
      </c>
    </row>
    <row r="5" ht="22" customHeight="1">
      <c r="B5" s="72" t="inlineStr">
        <is>
          <t>CONS/2024/001</t>
        </is>
      </c>
      <c r="C5" s="73" t="inlineStr"/>
      <c r="D5" s="73" t="inlineStr"/>
      <c r="E5" s="74" t="inlineStr"/>
      <c r="F5" s="74" t="inlineStr"/>
      <c r="G5" s="74" t="inlineStr"/>
      <c r="H5" s="74">
        <f>IFERROR(F5-G5,"")</f>
        <v/>
      </c>
      <c r="I5" s="74" t="inlineStr"/>
      <c r="J5" s="74" t="inlineStr">
        <is>
          <t>Ongoing</t>
        </is>
      </c>
    </row>
    <row r="6" ht="22" customHeight="1">
      <c r="B6" s="8" t="inlineStr">
        <is>
          <t>CONS/2024/002</t>
        </is>
      </c>
      <c r="C6" s="9" t="inlineStr"/>
      <c r="D6" s="9" t="inlineStr"/>
      <c r="E6" s="10" t="inlineStr"/>
      <c r="F6" s="10" t="inlineStr"/>
      <c r="G6" s="10" t="inlineStr"/>
      <c r="H6" s="10">
        <f>IFERROR(F6-G6,"")</f>
        <v/>
      </c>
      <c r="I6" s="10" t="inlineStr"/>
      <c r="J6" s="10" t="inlineStr">
        <is>
          <t>Ongoing</t>
        </is>
      </c>
    </row>
    <row r="7" ht="22" customHeight="1">
      <c r="B7" s="72" t="inlineStr">
        <is>
          <t>CONS/2024/003</t>
        </is>
      </c>
      <c r="C7" s="73" t="inlineStr"/>
      <c r="D7" s="73" t="inlineStr"/>
      <c r="E7" s="74" t="inlineStr"/>
      <c r="F7" s="74" t="inlineStr"/>
      <c r="G7" s="74" t="inlineStr"/>
      <c r="H7" s="74">
        <f>IFERROR(F7-G7,"")</f>
        <v/>
      </c>
      <c r="I7" s="74" t="inlineStr"/>
      <c r="J7" s="74" t="inlineStr">
        <is>
          <t>Ongoing</t>
        </is>
      </c>
    </row>
    <row r="8" ht="22" customHeight="1">
      <c r="B8" s="8" t="inlineStr">
        <is>
          <t>CONS/2024/004</t>
        </is>
      </c>
      <c r="C8" s="9" t="inlineStr"/>
      <c r="D8" s="9" t="inlineStr"/>
      <c r="E8" s="10" t="inlineStr"/>
      <c r="F8" s="10" t="inlineStr"/>
      <c r="G8" s="10" t="inlineStr"/>
      <c r="H8" s="10">
        <f>IFERROR(F8-G8,"")</f>
        <v/>
      </c>
      <c r="I8" s="10" t="inlineStr"/>
      <c r="J8" s="10" t="inlineStr">
        <is>
          <t>Ongoing</t>
        </is>
      </c>
    </row>
    <row r="9" ht="22" customHeight="1">
      <c r="B9" s="72" t="inlineStr">
        <is>
          <t>CONS/2024/005</t>
        </is>
      </c>
      <c r="C9" s="73" t="inlineStr"/>
      <c r="D9" s="73" t="inlineStr"/>
      <c r="E9" s="74" t="inlineStr"/>
      <c r="F9" s="74" t="inlineStr"/>
      <c r="G9" s="74" t="inlineStr"/>
      <c r="H9" s="74">
        <f>IFERROR(F9-G9,"")</f>
        <v/>
      </c>
      <c r="I9" s="74" t="inlineStr"/>
      <c r="J9" s="74" t="inlineStr">
        <is>
          <t>Ongoing</t>
        </is>
      </c>
    </row>
    <row r="10" ht="22" customHeight="1">
      <c r="B10" s="8" t="inlineStr">
        <is>
          <t>CONS/2024/006</t>
        </is>
      </c>
      <c r="C10" s="9" t="inlineStr"/>
      <c r="D10" s="9" t="inlineStr"/>
      <c r="E10" s="10" t="inlineStr"/>
      <c r="F10" s="10" t="inlineStr"/>
      <c r="G10" s="10" t="inlineStr"/>
      <c r="H10" s="10">
        <f>IFERROR(F10-G10,"")</f>
        <v/>
      </c>
      <c r="I10" s="10" t="inlineStr"/>
      <c r="J10" s="10" t="inlineStr">
        <is>
          <t>Ongoing</t>
        </is>
      </c>
    </row>
    <row r="11" ht="22" customHeight="1">
      <c r="B11" s="72" t="inlineStr">
        <is>
          <t>CONS/2024/007</t>
        </is>
      </c>
      <c r="C11" s="73" t="inlineStr"/>
      <c r="D11" s="73" t="inlineStr"/>
      <c r="E11" s="74" t="inlineStr"/>
      <c r="F11" s="74" t="inlineStr"/>
      <c r="G11" s="74" t="inlineStr"/>
      <c r="H11" s="74">
        <f>IFERROR(F11-G11,"")</f>
        <v/>
      </c>
      <c r="I11" s="74" t="inlineStr"/>
      <c r="J11" s="74" t="inlineStr">
        <is>
          <t>Ongoing</t>
        </is>
      </c>
    </row>
    <row r="12" ht="22" customHeight="1">
      <c r="B12" s="8" t="inlineStr">
        <is>
          <t>CONS/2024/008</t>
        </is>
      </c>
      <c r="C12" s="9" t="inlineStr"/>
      <c r="D12" s="9" t="inlineStr"/>
      <c r="E12" s="10" t="inlineStr"/>
      <c r="F12" s="10" t="inlineStr"/>
      <c r="G12" s="10" t="inlineStr"/>
      <c r="H12" s="10">
        <f>IFERROR(F12-G12,"")</f>
        <v/>
      </c>
      <c r="I12" s="10" t="inlineStr"/>
      <c r="J12" s="10" t="inlineStr">
        <is>
          <t>Ongoing</t>
        </is>
      </c>
    </row>
    <row r="13" ht="22" customHeight="1">
      <c r="B13" s="72" t="inlineStr">
        <is>
          <t>CONS/2024/009</t>
        </is>
      </c>
      <c r="C13" s="73" t="inlineStr"/>
      <c r="D13" s="73" t="inlineStr"/>
      <c r="E13" s="74" t="inlineStr"/>
      <c r="F13" s="74" t="inlineStr"/>
      <c r="G13" s="74" t="inlineStr"/>
      <c r="H13" s="74">
        <f>IFERROR(F13-G13,"")</f>
        <v/>
      </c>
      <c r="I13" s="74" t="inlineStr"/>
      <c r="J13" s="74" t="inlineStr">
        <is>
          <t>Ongoing</t>
        </is>
      </c>
    </row>
    <row r="14" ht="22" customHeight="1">
      <c r="B14" s="8" t="inlineStr">
        <is>
          <t>CONS/2025/010</t>
        </is>
      </c>
      <c r="C14" s="9" t="inlineStr"/>
      <c r="D14" s="9" t="inlineStr"/>
      <c r="E14" s="10" t="inlineStr"/>
      <c r="F14" s="10" t="inlineStr"/>
      <c r="G14" s="10" t="inlineStr"/>
      <c r="H14" s="10">
        <f>IFERROR(F14-G14,"")</f>
        <v/>
      </c>
      <c r="I14" s="10" t="inlineStr"/>
      <c r="J14" s="10" t="inlineStr">
        <is>
          <t>Ongoing</t>
        </is>
      </c>
    </row>
    <row r="15" ht="22" customHeight="1">
      <c r="B15" s="72" t="inlineStr">
        <is>
          <t>CONS/2025/011</t>
        </is>
      </c>
      <c r="C15" s="73" t="inlineStr"/>
      <c r="D15" s="73" t="inlineStr"/>
      <c r="E15" s="74" t="inlineStr"/>
      <c r="F15" s="74" t="inlineStr"/>
      <c r="G15" s="74" t="inlineStr"/>
      <c r="H15" s="74">
        <f>IFERROR(F15-G15,"")</f>
        <v/>
      </c>
      <c r="I15" s="74" t="inlineStr"/>
      <c r="J15" s="74" t="inlineStr">
        <is>
          <t>Ongoing</t>
        </is>
      </c>
    </row>
    <row r="16" ht="22" customHeight="1">
      <c r="B16" s="8" t="inlineStr">
        <is>
          <t>CONS/2025/012</t>
        </is>
      </c>
      <c r="C16" s="9" t="inlineStr"/>
      <c r="D16" s="9" t="inlineStr"/>
      <c r="E16" s="10" t="inlineStr"/>
      <c r="F16" s="10" t="inlineStr"/>
      <c r="G16" s="10" t="inlineStr"/>
      <c r="H16" s="10">
        <f>IFERROR(F16-G16,"")</f>
        <v/>
      </c>
      <c r="I16" s="10" t="inlineStr"/>
      <c r="J16" s="10" t="inlineStr">
        <is>
          <t>Ongoing</t>
        </is>
      </c>
    </row>
    <row r="17" ht="22" customHeight="1">
      <c r="B17" s="72" t="inlineStr">
        <is>
          <t>CONS/2025/013</t>
        </is>
      </c>
      <c r="C17" s="73" t="inlineStr"/>
      <c r="D17" s="73" t="inlineStr"/>
      <c r="E17" s="74" t="inlineStr"/>
      <c r="F17" s="74" t="inlineStr"/>
      <c r="G17" s="74" t="inlineStr"/>
      <c r="H17" s="74">
        <f>IFERROR(F17-G17,"")</f>
        <v/>
      </c>
      <c r="I17" s="74" t="inlineStr"/>
      <c r="J17" s="74" t="inlineStr">
        <is>
          <t>Ongoing</t>
        </is>
      </c>
    </row>
    <row r="18" ht="22" customHeight="1">
      <c r="B18" s="8" t="inlineStr">
        <is>
          <t>CONS/2025/014</t>
        </is>
      </c>
      <c r="C18" s="9" t="inlineStr"/>
      <c r="D18" s="9" t="inlineStr"/>
      <c r="E18" s="10" t="inlineStr"/>
      <c r="F18" s="10" t="inlineStr"/>
      <c r="G18" s="10" t="inlineStr"/>
      <c r="H18" s="10">
        <f>IFERROR(F18-G18,"")</f>
        <v/>
      </c>
      <c r="I18" s="10" t="inlineStr"/>
      <c r="J18" s="10" t="inlineStr">
        <is>
          <t>Ongoing</t>
        </is>
      </c>
    </row>
    <row r="19" ht="22" customHeight="1">
      <c r="B19" s="72" t="inlineStr">
        <is>
          <t>CONS/2025/015</t>
        </is>
      </c>
      <c r="C19" s="73" t="inlineStr"/>
      <c r="D19" s="73" t="inlineStr"/>
      <c r="E19" s="74" t="inlineStr"/>
      <c r="F19" s="74" t="inlineStr"/>
      <c r="G19" s="74" t="inlineStr"/>
      <c r="H19" s="74">
        <f>IFERROR(F19-G19,"")</f>
        <v/>
      </c>
      <c r="I19" s="74" t="inlineStr"/>
      <c r="J19" s="74" t="inlineStr">
        <is>
          <t>Ongoing</t>
        </is>
      </c>
    </row>
    <row r="20" ht="22" customHeight="1">
      <c r="B20" s="8" t="inlineStr">
        <is>
          <t>CONS/2025/016</t>
        </is>
      </c>
      <c r="C20" s="9" t="inlineStr"/>
      <c r="D20" s="9" t="inlineStr"/>
      <c r="E20" s="10" t="inlineStr"/>
      <c r="F20" s="10" t="inlineStr"/>
      <c r="G20" s="10" t="inlineStr"/>
      <c r="H20" s="10">
        <f>IFERROR(F20-G20,"")</f>
        <v/>
      </c>
      <c r="I20" s="10" t="inlineStr"/>
      <c r="J20" s="10" t="inlineStr">
        <is>
          <t>Ongoing</t>
        </is>
      </c>
    </row>
    <row r="21" ht="22" customHeight="1">
      <c r="B21" s="72" t="inlineStr">
        <is>
          <t>CONS/2025/017</t>
        </is>
      </c>
      <c r="C21" s="73" t="inlineStr"/>
      <c r="D21" s="73" t="inlineStr"/>
      <c r="E21" s="74" t="inlineStr"/>
      <c r="F21" s="74" t="inlineStr"/>
      <c r="G21" s="74" t="inlineStr"/>
      <c r="H21" s="74">
        <f>IFERROR(F21-G21,"")</f>
        <v/>
      </c>
      <c r="I21" s="74" t="inlineStr"/>
      <c r="J21" s="74" t="inlineStr">
        <is>
          <t>Ongoing</t>
        </is>
      </c>
    </row>
    <row r="22" ht="22" customHeight="1">
      <c r="B22" s="8" t="inlineStr">
        <is>
          <t>CONS/2025/018</t>
        </is>
      </c>
      <c r="C22" s="9" t="inlineStr"/>
      <c r="D22" s="9" t="inlineStr"/>
      <c r="E22" s="10" t="inlineStr"/>
      <c r="F22" s="10" t="inlineStr"/>
      <c r="G22" s="10" t="inlineStr"/>
      <c r="H22" s="10">
        <f>IFERROR(F22-G22,"")</f>
        <v/>
      </c>
      <c r="I22" s="10" t="inlineStr"/>
      <c r="J22" s="10" t="inlineStr">
        <is>
          <t>Ongoing</t>
        </is>
      </c>
    </row>
    <row r="23" ht="22" customHeight="1"/>
    <row r="24" ht="22" customHeight="1">
      <c r="B24" s="78" t="inlineStr">
        <is>
          <t>TOTAL CONSULTANCY</t>
        </is>
      </c>
      <c r="C24" s="46" t="n"/>
      <c r="D24" s="46" t="n"/>
      <c r="E24" s="46" t="n"/>
      <c r="F24" s="47">
        <f>IFERROR(SUM(F5:F22),"")</f>
        <v/>
      </c>
      <c r="G24" s="47">
        <f>IFERROR(SUM(G5:G22),"")</f>
        <v/>
      </c>
      <c r="H24" s="46" t="n"/>
      <c r="I24" s="46" t="n"/>
      <c r="J24" s="46" t="n"/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77" t="inlineStr">
        <is>
          <t>SC5-03: INDUSTRY SPONSORED RESEARCH PROJECT REGISTER</t>
        </is>
      </c>
    </row>
    <row r="3" ht="25" customHeight="1">
      <c r="B3" s="75" t="inlineStr">
        <is>
          <t>A.Y.: _______  Industry Liaison Officer: ___________________  Dean R&amp;D: ___________________</t>
        </is>
      </c>
    </row>
    <row r="4" ht="25" customHeight="1">
      <c r="B4" s="71" t="inlineStr">
        <is>
          <t>Project
Ref.</t>
        </is>
      </c>
      <c r="C4" s="71" t="inlineStr">
        <is>
          <t>Project Title</t>
        </is>
      </c>
      <c r="D4" s="71" t="inlineStr">
        <is>
          <t>Sponsoring Industry</t>
        </is>
      </c>
      <c r="E4" s="71" t="inlineStr">
        <is>
          <t>PI / Dept.</t>
        </is>
      </c>
      <c r="F4" s="71" t="inlineStr">
        <is>
          <t>Sponsored
Amount (₹L)</t>
        </is>
      </c>
      <c r="G4" s="71" t="inlineStr">
        <is>
          <t>Deliverables</t>
        </is>
      </c>
      <c r="H4" s="71" t="inlineStr">
        <is>
          <t>Start
Date</t>
        </is>
      </c>
      <c r="I4" s="71" t="inlineStr">
        <is>
          <t>End
Date</t>
        </is>
      </c>
      <c r="J4" s="71" t="inlineStr">
        <is>
          <t>Status</t>
        </is>
      </c>
    </row>
    <row r="5" ht="22" customHeight="1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</row>
    <row r="6" ht="22" customHeight="1"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</row>
    <row r="8" ht="22" customHeight="1"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22" customHeight="1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</row>
    <row r="10" ht="22" customHeight="1"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22" customHeight="1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</row>
    <row r="12" ht="22" customHeight="1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2" customHeight="1"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</row>
    <row r="14" ht="22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2" customHeight="1"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</row>
    <row r="16" ht="22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2" customHeight="1"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</row>
    <row r="18" ht="22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22" customHeight="1"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</row>
    <row r="20" ht="22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22" customHeight="1"/>
    <row r="22" ht="22" customHeight="1"/>
    <row r="23" ht="22" customHeight="1"/>
    <row r="24" ht="22" customHeight="1"/>
    <row r="25" ht="22" customHeight="1"/>
  </sheetData>
  <mergeCells count="2">
    <mergeCell ref="B3:J3"/>
    <mergeCell ref="B2:J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" customWidth="1" min="10" max="10"/>
  </cols>
  <sheetData>
    <row r="1" ht="10" customHeight="1"/>
    <row r="2" ht="48" customHeight="1">
      <c r="B2" s="77" t="inlineStr">
        <is>
          <t>SC5-04: KNOWLEDGE TRANSFER &amp; OUTREACH ACTIVITY REGISTER</t>
        </is>
      </c>
    </row>
    <row r="3" ht="25" customHeight="1">
      <c r="B3" s="75" t="inlineStr">
        <is>
          <t>A.Y.: _______  SC5 Chairperson: ___________________  Industry Liaison: ___________________</t>
        </is>
      </c>
    </row>
    <row r="4" ht="25" customHeight="1">
      <c r="B4" s="71" t="inlineStr">
        <is>
          <t>Sl.</t>
        </is>
      </c>
      <c r="C4" s="71" t="inlineStr">
        <is>
          <t>Activity / Programme Title</t>
        </is>
      </c>
      <c r="D4" s="71" t="inlineStr">
        <is>
          <t>Type</t>
        </is>
      </c>
      <c r="E4" s="71" t="inlineStr">
        <is>
          <t>Date(s)</t>
        </is>
      </c>
      <c r="F4" s="71" t="inlineStr">
        <is>
          <t>Partner Organisation</t>
        </is>
      </c>
      <c r="G4" s="71" t="inlineStr">
        <is>
          <t>Participants</t>
        </is>
      </c>
      <c r="H4" s="71" t="inlineStr">
        <is>
          <t>Revenue
(₹L)</t>
        </is>
      </c>
      <c r="I4" s="71" t="inlineStr">
        <is>
          <t>Impact / Outcome</t>
        </is>
      </c>
    </row>
    <row r="5" ht="22" customHeight="1">
      <c r="B5" s="72" t="n">
        <v>1</v>
      </c>
      <c r="C5" s="73" t="inlineStr"/>
      <c r="D5" s="74" t="inlineStr">
        <is>
          <t>Training Programme</t>
        </is>
      </c>
      <c r="E5" s="74" t="inlineStr"/>
      <c r="F5" s="73" t="inlineStr"/>
      <c r="G5" s="74" t="inlineStr"/>
      <c r="H5" s="74" t="inlineStr"/>
      <c r="I5" s="73" t="inlineStr"/>
    </row>
    <row r="6" ht="22" customHeight="1">
      <c r="B6" s="8" t="n">
        <v>2</v>
      </c>
      <c r="C6" s="9" t="inlineStr"/>
      <c r="D6" s="10" t="inlineStr">
        <is>
          <t>Workshop for Industry</t>
        </is>
      </c>
      <c r="E6" s="10" t="inlineStr"/>
      <c r="F6" s="9" t="inlineStr"/>
      <c r="G6" s="10" t="inlineStr"/>
      <c r="H6" s="10" t="inlineStr"/>
      <c r="I6" s="9" t="inlineStr"/>
    </row>
    <row r="7" ht="22" customHeight="1">
      <c r="B7" s="72" t="n">
        <v>3</v>
      </c>
      <c r="C7" s="73" t="inlineStr"/>
      <c r="D7" s="74" t="inlineStr">
        <is>
          <t>Technology Demo</t>
        </is>
      </c>
      <c r="E7" s="74" t="inlineStr"/>
      <c r="F7" s="73" t="inlineStr"/>
      <c r="G7" s="74" t="inlineStr"/>
      <c r="H7" s="74" t="inlineStr"/>
      <c r="I7" s="73" t="inlineStr"/>
    </row>
    <row r="8" ht="22" customHeight="1">
      <c r="B8" s="8" t="n">
        <v>4</v>
      </c>
      <c r="C8" s="9" t="inlineStr"/>
      <c r="D8" s="10" t="inlineStr">
        <is>
          <t>Faculty in Industry</t>
        </is>
      </c>
      <c r="E8" s="10" t="inlineStr"/>
      <c r="F8" s="9" t="inlineStr"/>
      <c r="G8" s="10" t="inlineStr"/>
      <c r="H8" s="10" t="inlineStr"/>
      <c r="I8" s="9" t="inlineStr"/>
    </row>
    <row r="9" ht="22" customHeight="1">
      <c r="B9" s="72" t="n">
        <v>5</v>
      </c>
      <c r="C9" s="73" t="inlineStr"/>
      <c r="D9" s="74" t="inlineStr">
        <is>
          <t>Industry Expert in Campus</t>
        </is>
      </c>
      <c r="E9" s="74" t="inlineStr"/>
      <c r="F9" s="73" t="inlineStr"/>
      <c r="G9" s="74" t="inlineStr"/>
      <c r="H9" s="74" t="inlineStr"/>
      <c r="I9" s="73" t="inlineStr"/>
    </row>
    <row r="10" ht="22" customHeight="1">
      <c r="B10" s="8" t="n">
        <v>6</v>
      </c>
      <c r="C10" s="9" t="inlineStr"/>
      <c r="D10" s="10" t="inlineStr">
        <is>
          <t>Joint Lab Use</t>
        </is>
      </c>
      <c r="E10" s="10" t="inlineStr"/>
      <c r="F10" s="9" t="inlineStr"/>
      <c r="G10" s="10" t="inlineStr"/>
      <c r="H10" s="10" t="inlineStr"/>
      <c r="I10" s="9" t="inlineStr"/>
    </row>
    <row r="11" ht="22" customHeight="1">
      <c r="B11" s="72" t="n">
        <v>7</v>
      </c>
      <c r="C11" s="73" t="inlineStr"/>
      <c r="D11" s="74" t="inlineStr">
        <is>
          <t>Skill Development</t>
        </is>
      </c>
      <c r="E11" s="74" t="inlineStr"/>
      <c r="F11" s="73" t="inlineStr"/>
      <c r="G11" s="74" t="inlineStr"/>
      <c r="H11" s="74" t="inlineStr"/>
      <c r="I11" s="73" t="inlineStr"/>
    </row>
    <row r="12" ht="22" customHeight="1">
      <c r="B12" s="8" t="n">
        <v>8</v>
      </c>
      <c r="C12" s="9" t="inlineStr"/>
      <c r="D12" s="10" t="inlineStr">
        <is>
          <t>Community Outreach</t>
        </is>
      </c>
      <c r="E12" s="10" t="inlineStr"/>
      <c r="F12" s="9" t="inlineStr"/>
      <c r="G12" s="10" t="inlineStr"/>
      <c r="H12" s="10" t="inlineStr"/>
      <c r="I12" s="9" t="inlineStr"/>
    </row>
    <row r="13" ht="22" customHeight="1">
      <c r="B13" s="72" t="n">
        <v>9</v>
      </c>
      <c r="C13" s="73" t="inlineStr"/>
      <c r="D13" s="74" t="inlineStr">
        <is>
          <t>Policy Engagement</t>
        </is>
      </c>
      <c r="E13" s="74" t="inlineStr"/>
      <c r="F13" s="73" t="inlineStr"/>
      <c r="G13" s="74" t="inlineStr"/>
      <c r="H13" s="74" t="inlineStr"/>
      <c r="I13" s="73" t="inlineStr"/>
    </row>
    <row r="14" ht="22" customHeight="1">
      <c r="B14" s="8" t="n">
        <v>10</v>
      </c>
      <c r="C14" s="9" t="inlineStr"/>
      <c r="D14" s="10" t="inlineStr">
        <is>
          <t>Media / Publication</t>
        </is>
      </c>
      <c r="E14" s="10" t="inlineStr"/>
      <c r="F14" s="9" t="inlineStr"/>
      <c r="G14" s="10" t="inlineStr"/>
      <c r="H14" s="10" t="inlineStr"/>
      <c r="I14" s="9" t="inlineStr"/>
    </row>
    <row r="15" ht="22" customHeight="1">
      <c r="B15" s="72" t="n">
        <v>11</v>
      </c>
      <c r="C15" s="73" t="inlineStr"/>
      <c r="D15" s="74" t="inlineStr">
        <is>
          <t>Training Programme</t>
        </is>
      </c>
      <c r="E15" s="74" t="inlineStr"/>
      <c r="F15" s="73" t="inlineStr"/>
      <c r="G15" s="74" t="inlineStr"/>
      <c r="H15" s="74" t="inlineStr"/>
      <c r="I15" s="73" t="inlineStr"/>
    </row>
    <row r="16" ht="22" customHeight="1">
      <c r="B16" s="8" t="n">
        <v>12</v>
      </c>
      <c r="C16" s="9" t="inlineStr"/>
      <c r="D16" s="10" t="inlineStr">
        <is>
          <t>Workshop for Industry</t>
        </is>
      </c>
      <c r="E16" s="10" t="inlineStr"/>
      <c r="F16" s="9" t="inlineStr"/>
      <c r="G16" s="10" t="inlineStr"/>
      <c r="H16" s="10" t="inlineStr"/>
      <c r="I16" s="9" t="inlineStr"/>
    </row>
    <row r="17" ht="22" customHeight="1">
      <c r="B17" s="72" t="n">
        <v>13</v>
      </c>
      <c r="C17" s="73" t="inlineStr"/>
      <c r="D17" s="74" t="inlineStr">
        <is>
          <t>Technology Demo</t>
        </is>
      </c>
      <c r="E17" s="74" t="inlineStr"/>
      <c r="F17" s="73" t="inlineStr"/>
      <c r="G17" s="74" t="inlineStr"/>
      <c r="H17" s="74" t="inlineStr"/>
      <c r="I17" s="73" t="inlineStr"/>
    </row>
    <row r="18" ht="22" customHeight="1">
      <c r="B18" s="8" t="n">
        <v>14</v>
      </c>
      <c r="C18" s="9" t="inlineStr"/>
      <c r="D18" s="10" t="inlineStr">
        <is>
          <t>Faculty in Industry</t>
        </is>
      </c>
      <c r="E18" s="10" t="inlineStr"/>
      <c r="F18" s="9" t="inlineStr"/>
      <c r="G18" s="10" t="inlineStr"/>
      <c r="H18" s="10" t="inlineStr"/>
      <c r="I18" s="9" t="inlineStr"/>
    </row>
    <row r="19" ht="22" customHeight="1">
      <c r="B19" s="72" t="n">
        <v>15</v>
      </c>
      <c r="C19" s="73" t="inlineStr"/>
      <c r="D19" s="74" t="inlineStr">
        <is>
          <t>Industry Expert in Campus</t>
        </is>
      </c>
      <c r="E19" s="74" t="inlineStr"/>
      <c r="F19" s="73" t="inlineStr"/>
      <c r="G19" s="74" t="inlineStr"/>
      <c r="H19" s="74" t="inlineStr"/>
      <c r="I19" s="73" t="inlineStr"/>
    </row>
    <row r="20" ht="22" customHeight="1">
      <c r="B20" s="8" t="n">
        <v>16</v>
      </c>
      <c r="C20" s="9" t="inlineStr"/>
      <c r="D20" s="10" t="inlineStr">
        <is>
          <t>Joint Lab Use</t>
        </is>
      </c>
      <c r="E20" s="10" t="inlineStr"/>
      <c r="F20" s="9" t="inlineStr"/>
      <c r="G20" s="10" t="inlineStr"/>
      <c r="H20" s="10" t="inlineStr"/>
      <c r="I20" s="9" t="inlineStr"/>
    </row>
    <row r="21" ht="22" customHeight="1">
      <c r="B21" s="72" t="n">
        <v>17</v>
      </c>
      <c r="C21" s="73" t="inlineStr"/>
      <c r="D21" s="74" t="inlineStr">
        <is>
          <t>Skill Development</t>
        </is>
      </c>
      <c r="E21" s="74" t="inlineStr"/>
      <c r="F21" s="73" t="inlineStr"/>
      <c r="G21" s="74" t="inlineStr"/>
      <c r="H21" s="74" t="inlineStr"/>
      <c r="I21" s="73" t="inlineStr"/>
    </row>
    <row r="22" ht="22" customHeight="1">
      <c r="B22" s="8" t="n">
        <v>18</v>
      </c>
      <c r="C22" s="9" t="inlineStr"/>
      <c r="D22" s="10" t="inlineStr">
        <is>
          <t>Community Outreach</t>
        </is>
      </c>
      <c r="E22" s="10" t="inlineStr"/>
      <c r="F22" s="9" t="inlineStr"/>
      <c r="G22" s="10" t="inlineStr"/>
      <c r="H22" s="10" t="inlineStr"/>
      <c r="I22" s="9" t="inlineStr"/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2">
    <mergeCell ref="B3:I3"/>
    <mergeCell ref="B2:I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79" t="inlineStr">
        <is>
          <t>SC-6: MONITORING, EVALUATION &amp; IMPACT
MEETING NOTICE &amp; AGENDA</t>
        </is>
      </c>
    </row>
    <row r="3" ht="22" customHeight="1">
      <c r="B3" s="80" t="inlineStr">
        <is>
          <t>Meeting No.:</t>
        </is>
      </c>
      <c r="C3" s="9" t="n"/>
    </row>
    <row r="4" ht="22" customHeight="1">
      <c r="B4" s="80" t="inlineStr">
        <is>
          <t>Academic Year:</t>
        </is>
      </c>
      <c r="C4" s="9" t="n"/>
    </row>
    <row r="5" ht="22" customHeight="1">
      <c r="B5" s="80" t="inlineStr">
        <is>
          <t>Date:</t>
        </is>
      </c>
      <c r="C5" s="9" t="n"/>
    </row>
    <row r="6" ht="22" customHeight="1">
      <c r="B6" s="80" t="inlineStr">
        <is>
          <t>Time:</t>
        </is>
      </c>
      <c r="C6" s="9" t="n"/>
    </row>
    <row r="7" ht="22" customHeight="1">
      <c r="B7" s="80" t="inlineStr">
        <is>
          <t>Venue:</t>
        </is>
      </c>
      <c r="C7" s="9" t="n"/>
    </row>
    <row r="8" ht="22" customHeight="1">
      <c r="B8" s="80" t="inlineStr">
        <is>
          <t>Mode:</t>
        </is>
      </c>
      <c r="C8" s="9" t="n"/>
    </row>
    <row r="9" ht="22" customHeight="1">
      <c r="B9" s="80" t="inlineStr">
        <is>
          <t>Notice by:</t>
        </is>
      </c>
      <c r="C9" s="9" t="n"/>
    </row>
    <row r="10" ht="22" customHeight="1">
      <c r="B10" s="80" t="inlineStr">
        <is>
          <t>Notice Date:</t>
        </is>
      </c>
      <c r="C10" s="9" t="n"/>
    </row>
    <row r="11" ht="24" customHeight="1">
      <c r="B11" s="81" t="inlineStr">
        <is>
          <t>AGENDA ITEMS</t>
        </is>
      </c>
    </row>
    <row r="12" ht="24" customHeight="1">
      <c r="B12" s="82" t="inlineStr">
        <is>
          <t>Item
No.</t>
        </is>
      </c>
      <c r="C12" s="82" t="inlineStr">
        <is>
          <t>Agenda Item / Discussion Topic</t>
        </is>
      </c>
      <c r="D12" s="82" t="inlineStr">
        <is>
          <t>Presenter / Lead</t>
        </is>
      </c>
      <c r="E12" s="82" t="inlineStr">
        <is>
          <t>Duration (Min)</t>
        </is>
      </c>
    </row>
    <row r="13" ht="24" customHeight="1">
      <c r="B13" s="83" t="n">
        <v>1</v>
      </c>
      <c r="C13" s="84" t="inlineStr">
        <is>
          <t>KPI dashboard review — quarterly update</t>
        </is>
      </c>
      <c r="D13" s="85" t="inlineStr"/>
      <c r="E13" s="85" t="inlineStr"/>
    </row>
    <row r="14" ht="24" customHeight="1">
      <c r="B14" s="8" t="n">
        <v>2</v>
      </c>
      <c r="C14" s="9" t="inlineStr">
        <is>
          <t>Publication impact assessment — citation &amp; h-index</t>
        </is>
      </c>
      <c r="D14" s="10" t="inlineStr"/>
      <c r="E14" s="10" t="inlineStr"/>
    </row>
    <row r="15" ht="24" customHeight="1">
      <c r="B15" s="83" t="n">
        <v>3</v>
      </c>
      <c r="C15" s="84" t="inlineStr">
        <is>
          <t>Annual R&amp;D performance report — draft review</t>
        </is>
      </c>
      <c r="D15" s="85" t="inlineStr"/>
      <c r="E15" s="85" t="inlineStr"/>
    </row>
    <row r="16" ht="24" customHeight="1">
      <c r="B16" s="8" t="n">
        <v>4</v>
      </c>
      <c r="C16" s="9" t="inlineStr">
        <is>
          <t>Researcher progression &amp; awards update</t>
        </is>
      </c>
      <c r="D16" s="10" t="inlineStr"/>
      <c r="E16" s="10" t="inlineStr"/>
    </row>
    <row r="17" ht="24" customHeight="1">
      <c r="B17" s="83" t="n">
        <v>5</v>
      </c>
      <c r="C17" s="84" t="inlineStr">
        <is>
          <t>Benchmarking vs. peer institutions / NIRF</t>
        </is>
      </c>
      <c r="D17" s="85" t="inlineStr"/>
      <c r="E17" s="85" t="inlineStr"/>
    </row>
    <row r="18" ht="24" customHeight="1">
      <c r="B18" s="8" t="n">
        <v>6</v>
      </c>
      <c r="C18" s="9" t="inlineStr">
        <is>
          <t>Data quality &amp; consistency review</t>
        </is>
      </c>
      <c r="D18" s="10" t="inlineStr"/>
      <c r="E18" s="10" t="inlineStr"/>
    </row>
    <row r="19" ht="24" customHeight="1">
      <c r="B19" s="83" t="n">
        <v>7</v>
      </c>
      <c r="C19" s="84" t="inlineStr">
        <is>
          <t>Any Other Matter with Permission of Chairman</t>
        </is>
      </c>
      <c r="D19" s="85" t="inlineStr"/>
      <c r="E19" s="85" t="inlineStr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0"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79" t="inlineStr">
        <is>
          <t>SC-6: MONITORING, EVALUATION &amp; IMPACT — ATTENDANCE &amp; QUORUM REGISTER</t>
        </is>
      </c>
    </row>
    <row r="3" ht="25" customHeight="1">
      <c r="B3" s="86" t="inlineStr">
        <is>
          <t>Meeting No.: _______  Date: _______  Total Strength: _______  Quorum Required (50%): _______</t>
        </is>
      </c>
    </row>
    <row r="4" ht="25" customHeight="1">
      <c r="B4" s="82" t="inlineStr">
        <is>
          <t>Sl.</t>
        </is>
      </c>
      <c r="C4" s="82" t="inlineStr">
        <is>
          <t>Name</t>
        </is>
      </c>
      <c r="D4" s="82" t="inlineStr">
        <is>
          <t>Designation / Role</t>
        </is>
      </c>
      <c r="E4" s="82" t="inlineStr">
        <is>
          <t>Mode
(Physical/VC)</t>
        </is>
      </c>
      <c r="F4" s="82" t="inlineStr">
        <is>
          <t>Present
(P/A)</t>
        </is>
      </c>
      <c r="G4" s="82" t="inlineStr">
        <is>
          <t>Proxy
(Y/N)</t>
        </is>
      </c>
      <c r="H4" s="82" t="inlineStr">
        <is>
          <t>Proxy Authorised To</t>
        </is>
      </c>
      <c r="I4" s="82" t="inlineStr">
        <is>
          <t>Signature</t>
        </is>
      </c>
    </row>
    <row r="5" ht="22" customHeight="1">
      <c r="B5" s="83" t="n">
        <v>1</v>
      </c>
      <c r="C5" s="84" t="inlineStr"/>
      <c r="D5" s="84" t="inlineStr"/>
      <c r="E5" s="85" t="inlineStr">
        <is>
          <t>Physical</t>
        </is>
      </c>
      <c r="F5" s="85" t="inlineStr"/>
      <c r="G5" s="85" t="inlineStr">
        <is>
          <t>N</t>
        </is>
      </c>
      <c r="H5" s="85" t="inlineStr"/>
      <c r="I5" s="85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83" t="n">
        <v>3</v>
      </c>
      <c r="C7" s="84" t="inlineStr"/>
      <c r="D7" s="84" t="inlineStr"/>
      <c r="E7" s="85" t="inlineStr">
        <is>
          <t>Physical</t>
        </is>
      </c>
      <c r="F7" s="85" t="inlineStr"/>
      <c r="G7" s="85" t="inlineStr">
        <is>
          <t>N</t>
        </is>
      </c>
      <c r="H7" s="85" t="inlineStr"/>
      <c r="I7" s="85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83" t="n">
        <v>5</v>
      </c>
      <c r="C9" s="84" t="inlineStr"/>
      <c r="D9" s="84" t="inlineStr"/>
      <c r="E9" s="85" t="inlineStr">
        <is>
          <t>Physical</t>
        </is>
      </c>
      <c r="F9" s="85" t="inlineStr"/>
      <c r="G9" s="85" t="inlineStr">
        <is>
          <t>N</t>
        </is>
      </c>
      <c r="H9" s="85" t="inlineStr"/>
      <c r="I9" s="85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83" t="n">
        <v>7</v>
      </c>
      <c r="C11" s="84" t="inlineStr"/>
      <c r="D11" s="84" t="inlineStr"/>
      <c r="E11" s="85" t="inlineStr">
        <is>
          <t>Physical</t>
        </is>
      </c>
      <c r="F11" s="85" t="inlineStr"/>
      <c r="G11" s="85" t="inlineStr">
        <is>
          <t>N</t>
        </is>
      </c>
      <c r="H11" s="85" t="inlineStr"/>
      <c r="I11" s="85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83" t="n">
        <v>9</v>
      </c>
      <c r="C13" s="84" t="inlineStr"/>
      <c r="D13" s="84" t="inlineStr"/>
      <c r="E13" s="85" t="inlineStr">
        <is>
          <t>Physical</t>
        </is>
      </c>
      <c r="F13" s="85" t="inlineStr"/>
      <c r="G13" s="85" t="inlineStr">
        <is>
          <t>N</t>
        </is>
      </c>
      <c r="H13" s="85" t="inlineStr"/>
      <c r="I13" s="85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83" t="n">
        <v>11</v>
      </c>
      <c r="C15" s="84" t="inlineStr"/>
      <c r="D15" s="84" t="inlineStr"/>
      <c r="E15" s="85" t="inlineStr">
        <is>
          <t>Physical</t>
        </is>
      </c>
      <c r="F15" s="85" t="inlineStr"/>
      <c r="G15" s="85" t="inlineStr">
        <is>
          <t>N</t>
        </is>
      </c>
      <c r="H15" s="85" t="inlineStr"/>
      <c r="I15" s="85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83" t="n">
        <v>13</v>
      </c>
      <c r="C17" s="84" t="inlineStr"/>
      <c r="D17" s="84" t="inlineStr"/>
      <c r="E17" s="85" t="inlineStr">
        <is>
          <t>Physical</t>
        </is>
      </c>
      <c r="F17" s="85" t="inlineStr"/>
      <c r="G17" s="85" t="inlineStr">
        <is>
          <t>N</t>
        </is>
      </c>
      <c r="H17" s="85" t="inlineStr"/>
      <c r="I17" s="85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/>
    <row r="20" ht="24" customHeight="1">
      <c r="B20" s="22" t="inlineStr">
        <is>
          <t>QUORUM VERIFICATION</t>
        </is>
      </c>
    </row>
    <row r="21" ht="22" customHeight="1">
      <c r="B21" s="23" t="inlineStr">
        <is>
          <t>Total Members (Sanctioned)</t>
        </is>
      </c>
      <c r="G21" s="24" t="inlineStr"/>
    </row>
    <row r="22" ht="22" customHeight="1">
      <c r="B22" s="25" t="inlineStr">
        <is>
          <t>Present (Physical)</t>
        </is>
      </c>
      <c r="G22" s="24">
        <f>COUNTIF(F5:F18,"P")</f>
        <v/>
      </c>
    </row>
    <row r="23" ht="22" customHeight="1">
      <c r="B23" s="23" t="inlineStr">
        <is>
          <t>Present (VC)</t>
        </is>
      </c>
      <c r="G23" s="24" t="inlineStr"/>
    </row>
    <row r="24" ht="22" customHeight="1">
      <c r="B24" s="25" t="inlineStr">
        <is>
          <t>Total Effective</t>
        </is>
      </c>
      <c r="G24" s="24">
        <f>IFERROR(C22+C23,"")</f>
        <v/>
      </c>
    </row>
    <row r="25" ht="22" customHeight="1">
      <c r="B25" s="23" t="inlineStr">
        <is>
          <t>Quorum Required (50%)</t>
        </is>
      </c>
      <c r="G25" s="24" t="inlineStr"/>
    </row>
    <row r="26" ht="22" customHeight="1">
      <c r="B26" s="25" t="inlineStr">
        <is>
          <t>Quorum Achieved?</t>
        </is>
      </c>
      <c r="G26" s="26">
        <f>IFERROR(IF(C24&gt;=C25,"YES — Valid","NO — Adjourned"),"")</f>
        <v/>
      </c>
    </row>
    <row r="27" ht="22" customHeight="1"/>
    <row r="28" ht="22" customHeight="1"/>
    <row r="29" ht="22" customHeight="1"/>
  </sheetData>
  <mergeCells count="15">
    <mergeCell ref="B21:F21"/>
    <mergeCell ref="G24:I24"/>
    <mergeCell ref="B24:F24"/>
    <mergeCell ref="G22:I22"/>
    <mergeCell ref="B2:I2"/>
    <mergeCell ref="B20:I20"/>
    <mergeCell ref="G23:I23"/>
    <mergeCell ref="B25:F25"/>
    <mergeCell ref="B3:I3"/>
    <mergeCell ref="B23:F23"/>
    <mergeCell ref="G26:I26"/>
    <mergeCell ref="B22:F22"/>
    <mergeCell ref="G21:I21"/>
    <mergeCell ref="B26:F26"/>
    <mergeCell ref="G25:I2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79" t="inlineStr">
        <is>
          <t>SC-6: MONITORING, EVALUATION &amp; IMPACT — MEETING MINUTES &amp; RESOLUTIONS</t>
        </is>
      </c>
    </row>
    <row r="3" ht="25" customHeight="1">
      <c r="B3" s="86" t="inlineStr">
        <is>
          <t>Meeting No.: _______  Date: _______  Venue: _______  Chaired by: ___________________</t>
        </is>
      </c>
    </row>
    <row r="4" ht="24" customHeight="1">
      <c r="B4" s="27" t="inlineStr">
        <is>
          <t>AGENDA-WISE 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Summary &amp; Resolution Passed</t>
        </is>
      </c>
      <c r="D5" s="28" t="inlineStr">
        <is>
          <t>Responsible
Person</t>
        </is>
      </c>
      <c r="E5" s="28" t="inlineStr">
        <is>
          <t>Voting
(For/Against)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83" t="inlineStr">
        <is>
          <t>SC6/RES/001</t>
        </is>
      </c>
      <c r="C6" s="84" t="inlineStr"/>
      <c r="D6" s="85" t="inlineStr"/>
      <c r="E6" s="85" t="inlineStr"/>
      <c r="F6" s="85" t="inlineStr"/>
      <c r="G6" s="85" t="inlineStr">
        <is>
          <t>Pending</t>
        </is>
      </c>
    </row>
    <row r="7" ht="32" customHeight="1">
      <c r="B7" s="8" t="inlineStr">
        <is>
          <t>SC6/RES/002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83" t="inlineStr">
        <is>
          <t>SC6/RES/003</t>
        </is>
      </c>
      <c r="C8" s="84" t="inlineStr"/>
      <c r="D8" s="85" t="inlineStr"/>
      <c r="E8" s="85" t="inlineStr"/>
      <c r="F8" s="85" t="inlineStr"/>
      <c r="G8" s="85" t="inlineStr">
        <is>
          <t>Pending</t>
        </is>
      </c>
    </row>
    <row r="9" ht="32" customHeight="1">
      <c r="B9" s="8" t="inlineStr">
        <is>
          <t>SC6/RES/004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83" t="inlineStr">
        <is>
          <t>SC6/RES/005</t>
        </is>
      </c>
      <c r="C10" s="84" t="inlineStr"/>
      <c r="D10" s="85" t="inlineStr"/>
      <c r="E10" s="85" t="inlineStr"/>
      <c r="F10" s="85" t="inlineStr"/>
      <c r="G10" s="85" t="inlineStr">
        <is>
          <t>Pending</t>
        </is>
      </c>
    </row>
    <row r="11" ht="32" customHeight="1">
      <c r="B11" s="8" t="inlineStr">
        <is>
          <t>SC6/RES/006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83" t="inlineStr">
        <is>
          <t>SC6/RES/007</t>
        </is>
      </c>
      <c r="C12" s="84" t="inlineStr"/>
      <c r="D12" s="85" t="inlineStr"/>
      <c r="E12" s="85" t="inlineStr"/>
      <c r="F12" s="85" t="inlineStr"/>
      <c r="G12" s="85" t="inlineStr">
        <is>
          <t>Pending</t>
        </is>
      </c>
    </row>
    <row r="13" ht="32" customHeight="1">
      <c r="B13" s="8" t="inlineStr">
        <is>
          <t>SC6/RES/008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83" t="inlineStr">
        <is>
          <t>SC6/RES/009</t>
        </is>
      </c>
      <c r="C14" s="84" t="inlineStr"/>
      <c r="D14" s="85" t="inlineStr"/>
      <c r="E14" s="85" t="inlineStr"/>
      <c r="F14" s="85" t="inlineStr"/>
      <c r="G14" s="85" t="inlineStr">
        <is>
          <t>Pending</t>
        </is>
      </c>
    </row>
    <row r="15" ht="32" customHeight="1">
      <c r="B15" s="8" t="inlineStr">
        <is>
          <t>SC6/RES/010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83" t="inlineStr">
        <is>
          <t>SC6/RES/011</t>
        </is>
      </c>
      <c r="C16" s="84" t="inlineStr"/>
      <c r="D16" s="85" t="inlineStr"/>
      <c r="E16" s="85" t="inlineStr"/>
      <c r="F16" s="85" t="inlineStr"/>
      <c r="G16" s="85" t="inlineStr">
        <is>
          <t>Pending</t>
        </is>
      </c>
    </row>
    <row r="17" ht="32" customHeight="1">
      <c r="B17" s="8" t="inlineStr">
        <is>
          <t>SC6/RES/012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83" t="inlineStr">
        <is>
          <t>SC6/RES/013</t>
        </is>
      </c>
      <c r="C18" s="84" t="inlineStr"/>
      <c r="D18" s="85" t="inlineStr"/>
      <c r="E18" s="85" t="inlineStr"/>
      <c r="F18" s="85" t="inlineStr"/>
      <c r="G18" s="85" t="inlineStr">
        <is>
          <t>Pending</t>
        </is>
      </c>
    </row>
    <row r="19" ht="32" customHeight="1">
      <c r="B19" s="8" t="inlineStr">
        <is>
          <t>SC6/RES/014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 on: _______    Chairman: ___________________    Secretary: ___________________</t>
        </is>
      </c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79" t="inlineStr">
        <is>
          <t>SC-6: MONITORING, EVALUATION &amp; IMPACT — ACTION TAKEN REPORT</t>
        </is>
      </c>
    </row>
    <row r="3" ht="25" customHeight="1">
      <c r="B3" s="86" t="inlineStr">
        <is>
          <t>Current Meeting No.: _______  Date: _______  Previous Meeting Ref.: _______</t>
        </is>
      </c>
    </row>
    <row r="4" ht="25" customHeight="1">
      <c r="B4" s="82" t="inlineStr">
        <is>
          <t>Resolution
No.</t>
        </is>
      </c>
      <c r="C4" s="82" t="inlineStr">
        <is>
          <t>Resolution / Decision (Previous)</t>
        </is>
      </c>
      <c r="D4" s="82" t="inlineStr">
        <is>
          <t>Action Required</t>
        </is>
      </c>
      <c r="E4" s="82" t="inlineStr">
        <is>
          <t>Responsible</t>
        </is>
      </c>
      <c r="F4" s="82" t="inlineStr">
        <is>
          <t>Target
Date</t>
        </is>
      </c>
      <c r="G4" s="82" t="inlineStr">
        <is>
          <t>Completion
Date</t>
        </is>
      </c>
      <c r="H4" s="82" t="inlineStr">
        <is>
          <t>Status &amp; Evidence</t>
        </is>
      </c>
    </row>
    <row r="5" ht="26" customHeight="1">
      <c r="B5" s="83" t="inlineStr">
        <is>
          <t>SC6/RES/001</t>
        </is>
      </c>
      <c r="C5" s="84" t="inlineStr"/>
      <c r="D5" s="84" t="inlineStr"/>
      <c r="E5" s="85" t="inlineStr"/>
      <c r="F5" s="85" t="inlineStr"/>
      <c r="G5" s="85" t="inlineStr"/>
      <c r="H5" s="84" t="inlineStr">
        <is>
          <t>In Progress</t>
        </is>
      </c>
    </row>
    <row r="6" ht="26" customHeight="1">
      <c r="B6" s="8" t="inlineStr">
        <is>
          <t>SC6/RES/002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83" t="inlineStr">
        <is>
          <t>SC6/RES/003</t>
        </is>
      </c>
      <c r="C7" s="84" t="inlineStr"/>
      <c r="D7" s="84" t="inlineStr"/>
      <c r="E7" s="85" t="inlineStr"/>
      <c r="F7" s="85" t="inlineStr"/>
      <c r="G7" s="85" t="inlineStr"/>
      <c r="H7" s="84" t="inlineStr">
        <is>
          <t>In Progress</t>
        </is>
      </c>
    </row>
    <row r="8" ht="26" customHeight="1">
      <c r="B8" s="8" t="inlineStr">
        <is>
          <t>SC6/RES/004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83" t="inlineStr">
        <is>
          <t>SC6/RES/005</t>
        </is>
      </c>
      <c r="C9" s="84" t="inlineStr"/>
      <c r="D9" s="84" t="inlineStr"/>
      <c r="E9" s="85" t="inlineStr"/>
      <c r="F9" s="85" t="inlineStr"/>
      <c r="G9" s="85" t="inlineStr"/>
      <c r="H9" s="84" t="inlineStr">
        <is>
          <t>In Progress</t>
        </is>
      </c>
    </row>
    <row r="10" ht="26" customHeight="1">
      <c r="B10" s="8" t="inlineStr">
        <is>
          <t>SC6/RES/006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83" t="inlineStr">
        <is>
          <t>SC6/RES/007</t>
        </is>
      </c>
      <c r="C11" s="84" t="inlineStr"/>
      <c r="D11" s="84" t="inlineStr"/>
      <c r="E11" s="85" t="inlineStr"/>
      <c r="F11" s="85" t="inlineStr"/>
      <c r="G11" s="85" t="inlineStr"/>
      <c r="H11" s="84" t="inlineStr">
        <is>
          <t>In Progress</t>
        </is>
      </c>
    </row>
    <row r="12" ht="26" customHeight="1">
      <c r="B12" s="8" t="inlineStr">
        <is>
          <t>SC6/RES/008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83" t="inlineStr">
        <is>
          <t>SC6/RES/009</t>
        </is>
      </c>
      <c r="C13" s="84" t="inlineStr"/>
      <c r="D13" s="84" t="inlineStr"/>
      <c r="E13" s="85" t="inlineStr"/>
      <c r="F13" s="85" t="inlineStr"/>
      <c r="G13" s="85" t="inlineStr"/>
      <c r="H13" s="84" t="inlineStr">
        <is>
          <t>In Progress</t>
        </is>
      </c>
    </row>
    <row r="14" ht="26" customHeight="1">
      <c r="B14" s="8" t="inlineStr">
        <is>
          <t>SC6/RES/010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83" t="inlineStr">
        <is>
          <t>SC6/RES/011</t>
        </is>
      </c>
      <c r="C15" s="84" t="inlineStr"/>
      <c r="D15" s="84" t="inlineStr"/>
      <c r="E15" s="85" t="inlineStr"/>
      <c r="F15" s="85" t="inlineStr"/>
      <c r="G15" s="85" t="inlineStr"/>
      <c r="H15" s="84" t="inlineStr">
        <is>
          <t>In Progress</t>
        </is>
      </c>
    </row>
    <row r="16" ht="26" customHeight="1">
      <c r="B16" s="8" t="inlineStr">
        <is>
          <t>SC6/RES/012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83" t="inlineStr">
        <is>
          <t>SC6/RES/013</t>
        </is>
      </c>
      <c r="C17" s="84" t="inlineStr"/>
      <c r="D17" s="84" t="inlineStr"/>
      <c r="E17" s="85" t="inlineStr"/>
      <c r="F17" s="85" t="inlineStr"/>
      <c r="G17" s="85" t="inlineStr"/>
      <c r="H17" s="84" t="inlineStr">
        <is>
          <t>In Progress</t>
        </is>
      </c>
    </row>
    <row r="18" ht="26" customHeight="1">
      <c r="B18" s="8" t="inlineStr">
        <is>
          <t>SC6/RES/014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83" t="inlineStr">
        <is>
          <t>SC6/RES/015</t>
        </is>
      </c>
      <c r="C19" s="84" t="inlineStr"/>
      <c r="D19" s="84" t="inlineStr"/>
      <c r="E19" s="85" t="inlineStr"/>
      <c r="F19" s="85" t="inlineStr"/>
      <c r="G19" s="85" t="inlineStr"/>
      <c r="H19" s="84" t="inlineStr">
        <is>
          <t>In Progress</t>
        </is>
      </c>
    </row>
    <row r="20" ht="26" customHeight="1"/>
    <row r="21" ht="24" customHeight="1">
      <c r="B21" s="81" t="inlineStr">
        <is>
          <t>ATR SUMMARY</t>
        </is>
      </c>
    </row>
    <row r="22" ht="26" customHeight="1">
      <c r="B22" s="87" t="inlineStr">
        <is>
          <t>Total Resolutions Under Review</t>
        </is>
      </c>
      <c r="F22" s="31">
        <f>COUNTA(B5:B19)</f>
        <v/>
      </c>
    </row>
    <row r="23" ht="26" customHeight="1">
      <c r="B23" s="25" t="inlineStr">
        <is>
          <t>Fully Implemented</t>
        </is>
      </c>
      <c r="F23" s="32">
        <f>COUNTIF(H5:H19,"Implemented")</f>
        <v/>
      </c>
    </row>
    <row r="24" ht="26" customHeight="1">
      <c r="B24" s="87" t="inlineStr">
        <is>
          <t>In Progress</t>
        </is>
      </c>
      <c r="F24" s="31">
        <f>COUNTIF(H5:H19,"In Progress")</f>
        <v/>
      </c>
    </row>
    <row r="25" ht="26" customHeight="1">
      <c r="B25" s="25" t="inlineStr">
        <is>
          <t>Pending / Not Started</t>
        </is>
      </c>
      <c r="F25" s="32">
        <f>COUNTIF(H5:H19,"Pending")</f>
        <v/>
      </c>
    </row>
    <row r="26" ht="26" customHeight="1">
      <c r="B26" s="87" t="inlineStr">
        <is>
          <t>Deferred</t>
        </is>
      </c>
      <c r="F26" s="31">
        <f>COUNTIF(H5:H19,"Deferred")</f>
        <v/>
      </c>
    </row>
    <row r="27" ht="26" customHeight="1">
      <c r="B27" s="25" t="inlineStr">
        <is>
          <t>Implementation Rate (%)</t>
        </is>
      </c>
      <c r="F27" s="32">
        <f>IFERROR(ROUND(C24/C23*100,1),"")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2:I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88" t="inlineStr">
        <is>
          <t>SC6-01: R&amp;D KPI DASHBOARD — QUARTERLY MONITORING</t>
        </is>
      </c>
    </row>
    <row r="3" ht="25" customHeight="1">
      <c r="B3" s="86" t="inlineStr">
        <is>
          <t>A.Y.: _______  Quarter: Q1 / Q2 / Q3 / Q4  Dean R&amp;D: ___________________  Date: _______</t>
        </is>
      </c>
    </row>
    <row r="4" ht="24" customHeight="1">
      <c r="B4" s="81" t="inlineStr">
        <is>
          <t>PUBLICATIONS &amp; RESEARCH OUTPUT</t>
        </is>
      </c>
    </row>
    <row r="5" ht="22" customHeight="1">
      <c r="B5" s="82" t="inlineStr">
        <is>
          <t>Sl.</t>
        </is>
      </c>
      <c r="C5" s="82" t="inlineStr">
        <is>
          <t>Key Performance Indicator</t>
        </is>
      </c>
      <c r="D5" s="82" t="inlineStr">
        <is>
          <t>Unit</t>
        </is>
      </c>
      <c r="E5" s="82" t="inlineStr">
        <is>
          <t>Annual
Target</t>
        </is>
      </c>
      <c r="F5" s="82" t="inlineStr">
        <is>
          <t>Prev. Year
Actual</t>
        </is>
      </c>
      <c r="G5" s="82" t="inlineStr">
        <is>
          <t>Q-to-Date
Actual</t>
        </is>
      </c>
      <c r="H5" s="82" t="inlineStr">
        <is>
          <t>Status</t>
        </is>
      </c>
      <c r="I5" s="82" t="inlineStr">
        <is>
          <t>Remarks</t>
        </is>
      </c>
    </row>
    <row r="6" ht="22" customHeight="1">
      <c r="B6" s="83" t="n">
        <v>1</v>
      </c>
      <c r="C6" s="84" t="inlineStr">
        <is>
          <t>Total Publications</t>
        </is>
      </c>
      <c r="D6" s="85" t="inlineStr">
        <is>
          <t>No. per year</t>
        </is>
      </c>
      <c r="E6" s="85" t="inlineStr">
        <is>
          <t>≥50</t>
        </is>
      </c>
      <c r="F6" s="85" t="inlineStr"/>
      <c r="G6" s="85" t="inlineStr"/>
      <c r="H6" s="85" t="inlineStr">
        <is>
          <t>In Progress</t>
        </is>
      </c>
      <c r="I6" s="84" t="inlineStr"/>
    </row>
    <row r="7" ht="22" customHeight="1">
      <c r="B7" s="8" t="n">
        <v>2</v>
      </c>
      <c r="C7" s="9" t="inlineStr">
        <is>
          <t>SCI-Indexed Publications</t>
        </is>
      </c>
      <c r="D7" s="10" t="inlineStr">
        <is>
          <t>No. per year</t>
        </is>
      </c>
      <c r="E7" s="10" t="inlineStr">
        <is>
          <t>≥25</t>
        </is>
      </c>
      <c r="F7" s="10" t="inlineStr"/>
      <c r="G7" s="10" t="inlineStr"/>
      <c r="H7" s="10" t="inlineStr">
        <is>
          <t>In Progress</t>
        </is>
      </c>
      <c r="I7" s="9" t="inlineStr"/>
    </row>
    <row r="8" ht="22" customHeight="1">
      <c r="B8" s="83" t="n">
        <v>3</v>
      </c>
      <c r="C8" s="84" t="inlineStr">
        <is>
          <t>Scopus-Indexed Publications</t>
        </is>
      </c>
      <c r="D8" s="85" t="inlineStr">
        <is>
          <t>No. per year</t>
        </is>
      </c>
      <c r="E8" s="85" t="inlineStr">
        <is>
          <t>≥30</t>
        </is>
      </c>
      <c r="F8" s="85" t="inlineStr"/>
      <c r="G8" s="85" t="inlineStr"/>
      <c r="H8" s="85" t="inlineStr">
        <is>
          <t>In Progress</t>
        </is>
      </c>
      <c r="I8" s="84" t="inlineStr"/>
    </row>
    <row r="9" ht="22" customHeight="1">
      <c r="B9" s="8" t="n">
        <v>4</v>
      </c>
      <c r="C9" s="9" t="inlineStr">
        <is>
          <t>UGC-Listed Journal Publications</t>
        </is>
      </c>
      <c r="D9" s="10" t="inlineStr">
        <is>
          <t>No. per year</t>
        </is>
      </c>
      <c r="E9" s="10" t="inlineStr">
        <is>
          <t>≥40</t>
        </is>
      </c>
      <c r="F9" s="10" t="inlineStr"/>
      <c r="G9" s="10" t="inlineStr"/>
      <c r="H9" s="10" t="inlineStr">
        <is>
          <t>In Progress</t>
        </is>
      </c>
      <c r="I9" s="9" t="inlineStr"/>
    </row>
    <row r="10" ht="22" customHeight="1">
      <c r="B10" s="83" t="n">
        <v>5</v>
      </c>
      <c r="C10" s="84" t="inlineStr">
        <is>
          <t>Book Chapters Published</t>
        </is>
      </c>
      <c r="D10" s="85" t="inlineStr">
        <is>
          <t>No. per year</t>
        </is>
      </c>
      <c r="E10" s="85" t="inlineStr">
        <is>
          <t>≥10</t>
        </is>
      </c>
      <c r="F10" s="85" t="inlineStr"/>
      <c r="G10" s="85" t="inlineStr"/>
      <c r="H10" s="85" t="inlineStr">
        <is>
          <t>In Progress</t>
        </is>
      </c>
      <c r="I10" s="84" t="inlineStr"/>
    </row>
    <row r="11" ht="22" customHeight="1">
      <c r="B11" s="8" t="n">
        <v>6</v>
      </c>
      <c r="C11" s="9" t="inlineStr">
        <is>
          <t>Books Authored / Edited</t>
        </is>
      </c>
      <c r="D11" s="10" t="inlineStr">
        <is>
          <t>No. per year</t>
        </is>
      </c>
      <c r="E11" s="10" t="inlineStr">
        <is>
          <t>≥3</t>
        </is>
      </c>
      <c r="F11" s="10" t="inlineStr"/>
      <c r="G11" s="10" t="inlineStr"/>
      <c r="H11" s="10" t="inlineStr">
        <is>
          <t>In Progress</t>
        </is>
      </c>
      <c r="I11" s="9" t="inlineStr"/>
    </row>
    <row r="12" ht="22" customHeight="1">
      <c r="B12" s="83" t="n">
        <v>7</v>
      </c>
      <c r="C12" s="84" t="inlineStr">
        <is>
          <t>Conference Papers (International)</t>
        </is>
      </c>
      <c r="D12" s="85" t="inlineStr">
        <is>
          <t>No. per year</t>
        </is>
      </c>
      <c r="E12" s="85" t="inlineStr">
        <is>
          <t>≥20</t>
        </is>
      </c>
      <c r="F12" s="85" t="inlineStr"/>
      <c r="G12" s="85" t="inlineStr"/>
      <c r="H12" s="85" t="inlineStr">
        <is>
          <t>In Progress</t>
        </is>
      </c>
      <c r="I12" s="84" t="inlineStr"/>
    </row>
    <row r="13" ht="22" customHeight="1">
      <c r="B13" s="8" t="n">
        <v>8</v>
      </c>
      <c r="C13" s="9" t="inlineStr">
        <is>
          <t>Citations (Cumulative)</t>
        </is>
      </c>
      <c r="D13" s="10" t="inlineStr">
        <is>
          <t>Total</t>
        </is>
      </c>
      <c r="E13" s="10" t="inlineStr">
        <is>
          <t>Increasing</t>
        </is>
      </c>
      <c r="F13" s="10" t="inlineStr"/>
      <c r="G13" s="10" t="inlineStr"/>
      <c r="H13" s="10" t="inlineStr">
        <is>
          <t>In Progress</t>
        </is>
      </c>
      <c r="I13" s="9" t="inlineStr"/>
    </row>
    <row r="14" ht="22" customHeight="1">
      <c r="B14" s="83" t="n">
        <v>9</v>
      </c>
      <c r="C14" s="84" t="inlineStr">
        <is>
          <t>h-index (Institution avg.)</t>
        </is>
      </c>
      <c r="D14" s="85" t="inlineStr">
        <is>
          <t>Index value</t>
        </is>
      </c>
      <c r="E14" s="85" t="inlineStr">
        <is>
          <t>≥5</t>
        </is>
      </c>
      <c r="F14" s="85" t="inlineStr"/>
      <c r="G14" s="85" t="inlineStr"/>
      <c r="H14" s="85" t="inlineStr">
        <is>
          <t>In Progress</t>
        </is>
      </c>
      <c r="I14" s="84" t="inlineStr"/>
    </row>
    <row r="15" ht="22" customHeight="1"/>
    <row r="16" ht="24" customHeight="1">
      <c r="B16" s="70" t="inlineStr">
        <is>
          <t>GRANTS &amp; FUNDING</t>
        </is>
      </c>
    </row>
    <row r="17" ht="22" customHeight="1">
      <c r="B17" s="71" t="inlineStr">
        <is>
          <t>Sl.</t>
        </is>
      </c>
      <c r="C17" s="71" t="inlineStr">
        <is>
          <t>Key Performance Indicator</t>
        </is>
      </c>
      <c r="D17" s="71" t="inlineStr">
        <is>
          <t>Unit</t>
        </is>
      </c>
      <c r="E17" s="71" t="inlineStr">
        <is>
          <t>Annual
Target</t>
        </is>
      </c>
      <c r="F17" s="71" t="inlineStr">
        <is>
          <t>Prev. Year
Actual</t>
        </is>
      </c>
      <c r="G17" s="71" t="inlineStr">
        <is>
          <t>Q-to-Date
Actual</t>
        </is>
      </c>
      <c r="H17" s="71" t="inlineStr">
        <is>
          <t>Status</t>
        </is>
      </c>
      <c r="I17" s="71" t="inlineStr">
        <is>
          <t>Remarks</t>
        </is>
      </c>
    </row>
    <row r="18" ht="22" customHeight="1">
      <c r="B18" s="72" t="n">
        <v>1</v>
      </c>
      <c r="C18" s="73" t="inlineStr">
        <is>
          <t>Total Funded Projects (Active)</t>
        </is>
      </c>
      <c r="D18" s="74" t="inlineStr">
        <is>
          <t>No. of projects</t>
        </is>
      </c>
      <c r="E18" s="74" t="inlineStr">
        <is>
          <t>≥10</t>
        </is>
      </c>
      <c r="F18" s="74" t="inlineStr"/>
      <c r="G18" s="74" t="inlineStr"/>
      <c r="H18" s="74" t="inlineStr">
        <is>
          <t>In Progress</t>
        </is>
      </c>
      <c r="I18" s="73" t="inlineStr"/>
    </row>
    <row r="19" ht="22" customHeight="1">
      <c r="B19" s="8" t="n">
        <v>2</v>
      </c>
      <c r="C19" s="9" t="inlineStr">
        <is>
          <t>Total Grant Amount Received (₹L)</t>
        </is>
      </c>
      <c r="D19" s="10" t="inlineStr">
        <is>
          <t>₹L per year</t>
        </is>
      </c>
      <c r="E19" s="10" t="inlineStr">
        <is>
          <t>≥100</t>
        </is>
      </c>
      <c r="F19" s="10" t="inlineStr"/>
      <c r="G19" s="10" t="inlineStr"/>
      <c r="H19" s="10" t="inlineStr">
        <is>
          <t>In Progress</t>
        </is>
      </c>
      <c r="I19" s="9" t="inlineStr"/>
    </row>
    <row r="20" ht="22" customHeight="1">
      <c r="B20" s="72" t="n">
        <v>3</v>
      </c>
      <c r="C20" s="73" t="inlineStr">
        <is>
          <t>Govt. Grants (DST/DBT/ICMR etc.)</t>
        </is>
      </c>
      <c r="D20" s="74" t="inlineStr">
        <is>
          <t>No. &amp; ₹L</t>
        </is>
      </c>
      <c r="E20" s="74" t="inlineStr">
        <is>
          <t>≥5 &amp; ₹50L</t>
        </is>
      </c>
      <c r="F20" s="74" t="inlineStr"/>
      <c r="G20" s="74" t="inlineStr"/>
      <c r="H20" s="74" t="inlineStr">
        <is>
          <t>In Progress</t>
        </is>
      </c>
      <c r="I20" s="73" t="inlineStr"/>
    </row>
    <row r="21" ht="22" customHeight="1">
      <c r="B21" s="8" t="n">
        <v>4</v>
      </c>
      <c r="C21" s="9" t="inlineStr">
        <is>
          <t>Industry Sponsored Projects</t>
        </is>
      </c>
      <c r="D21" s="10" t="inlineStr">
        <is>
          <t>No. &amp; ₹L</t>
        </is>
      </c>
      <c r="E21" s="10" t="inlineStr">
        <is>
          <t>≥3 &amp; ₹20L</t>
        </is>
      </c>
      <c r="F21" s="10" t="inlineStr"/>
      <c r="G21" s="10" t="inlineStr"/>
      <c r="H21" s="10" t="inlineStr">
        <is>
          <t>In Progress</t>
        </is>
      </c>
      <c r="I21" s="9" t="inlineStr"/>
    </row>
    <row r="22" ht="22" customHeight="1">
      <c r="B22" s="72" t="n">
        <v>5</v>
      </c>
      <c r="C22" s="73" t="inlineStr">
        <is>
          <t>Grant Utilisation Rate (%)</t>
        </is>
      </c>
      <c r="D22" s="74" t="inlineStr">
        <is>
          <t>% of sanctioned</t>
        </is>
      </c>
      <c r="E22" s="74" t="inlineStr">
        <is>
          <t>≥80%</t>
        </is>
      </c>
      <c r="F22" s="74" t="inlineStr"/>
      <c r="G22" s="74" t="inlineStr"/>
      <c r="H22" s="74" t="inlineStr">
        <is>
          <t>In Progress</t>
        </is>
      </c>
      <c r="I22" s="73" t="inlineStr"/>
    </row>
    <row r="23" ht="22" customHeight="1">
      <c r="B23" s="8" t="n">
        <v>6</v>
      </c>
      <c r="C23" s="9" t="inlineStr">
        <is>
          <t>Seed Money Disbursed (₹L)</t>
        </is>
      </c>
      <c r="D23" s="10" t="inlineStr">
        <is>
          <t>₹L per year</t>
        </is>
      </c>
      <c r="E23" s="10" t="inlineStr">
        <is>
          <t>≥10</t>
        </is>
      </c>
      <c r="F23" s="10" t="inlineStr"/>
      <c r="G23" s="10" t="inlineStr"/>
      <c r="H23" s="10" t="inlineStr">
        <is>
          <t>In Progress</t>
        </is>
      </c>
      <c r="I23" s="9" t="inlineStr"/>
    </row>
    <row r="24" ht="22" customHeight="1"/>
    <row r="25" ht="24" customHeight="1">
      <c r="B25" s="60" t="inlineStr">
        <is>
          <t>INNOVATION &amp; IPR</t>
        </is>
      </c>
    </row>
    <row r="26" ht="22" customHeight="1">
      <c r="B26" s="61" t="inlineStr">
        <is>
          <t>Sl.</t>
        </is>
      </c>
      <c r="C26" s="61" t="inlineStr">
        <is>
          <t>Key Performance Indicator</t>
        </is>
      </c>
      <c r="D26" s="61" t="inlineStr">
        <is>
          <t>Unit</t>
        </is>
      </c>
      <c r="E26" s="61" t="inlineStr">
        <is>
          <t>Annual
Target</t>
        </is>
      </c>
      <c r="F26" s="61" t="inlineStr">
        <is>
          <t>Prev. Year
Actual</t>
        </is>
      </c>
      <c r="G26" s="61" t="inlineStr">
        <is>
          <t>Q-to-Date
Actual</t>
        </is>
      </c>
      <c r="H26" s="61" t="inlineStr">
        <is>
          <t>Status</t>
        </is>
      </c>
      <c r="I26" s="61" t="inlineStr">
        <is>
          <t>Remarks</t>
        </is>
      </c>
    </row>
    <row r="27" ht="22" customHeight="1">
      <c r="B27" s="62" t="n">
        <v>1</v>
      </c>
      <c r="C27" s="63" t="inlineStr">
        <is>
          <t>Patents Filed (per year)</t>
        </is>
      </c>
      <c r="D27" s="64" t="inlineStr">
        <is>
          <t>No. per year</t>
        </is>
      </c>
      <c r="E27" s="64" t="inlineStr">
        <is>
          <t>≥5</t>
        </is>
      </c>
      <c r="F27" s="64" t="inlineStr"/>
      <c r="G27" s="64" t="inlineStr"/>
      <c r="H27" s="64" t="inlineStr">
        <is>
          <t>In Progress</t>
        </is>
      </c>
      <c r="I27" s="63" t="inlineStr"/>
    </row>
    <row r="28" ht="22" customHeight="1">
      <c r="B28" s="8" t="n">
        <v>2</v>
      </c>
      <c r="C28" s="9" t="inlineStr">
        <is>
          <t>Patents Published</t>
        </is>
      </c>
      <c r="D28" s="10" t="inlineStr">
        <is>
          <t>No. cumulative</t>
        </is>
      </c>
      <c r="E28" s="10" t="inlineStr">
        <is>
          <t>Increasing</t>
        </is>
      </c>
      <c r="F28" s="10" t="inlineStr"/>
      <c r="G28" s="10" t="inlineStr"/>
      <c r="H28" s="10" t="inlineStr">
        <is>
          <t>In Progress</t>
        </is>
      </c>
      <c r="I28" s="9" t="inlineStr"/>
    </row>
    <row r="29" ht="22" customHeight="1">
      <c r="B29" s="62" t="n">
        <v>3</v>
      </c>
      <c r="C29" s="63" t="inlineStr">
        <is>
          <t>Patents Granted</t>
        </is>
      </c>
      <c r="D29" s="64" t="inlineStr">
        <is>
          <t>No. cumulative</t>
        </is>
      </c>
      <c r="E29" s="64" t="inlineStr">
        <is>
          <t>≥2</t>
        </is>
      </c>
      <c r="F29" s="64" t="inlineStr"/>
      <c r="G29" s="64" t="inlineStr"/>
      <c r="H29" s="64" t="inlineStr">
        <is>
          <t>In Progress</t>
        </is>
      </c>
      <c r="I29" s="63" t="inlineStr"/>
    </row>
    <row r="30" ht="22" customHeight="1">
      <c r="B30" s="8" t="n">
        <v>4</v>
      </c>
      <c r="C30" s="9" t="inlineStr">
        <is>
          <t>Technology Transfers / Licences</t>
        </is>
      </c>
      <c r="D30" s="10" t="inlineStr">
        <is>
          <t>No. per year</t>
        </is>
      </c>
      <c r="E30" s="10" t="inlineStr">
        <is>
          <t>≥1</t>
        </is>
      </c>
      <c r="F30" s="10" t="inlineStr"/>
      <c r="G30" s="10" t="inlineStr"/>
      <c r="H30" s="10" t="inlineStr">
        <is>
          <t>In Progress</t>
        </is>
      </c>
      <c r="I30" s="9" t="inlineStr"/>
    </row>
    <row r="31" ht="22" customHeight="1">
      <c r="B31" s="62" t="n">
        <v>5</v>
      </c>
      <c r="C31" s="63" t="inlineStr">
        <is>
          <t>Startups Incubated</t>
        </is>
      </c>
      <c r="D31" s="64" t="inlineStr">
        <is>
          <t>No. active</t>
        </is>
      </c>
      <c r="E31" s="64" t="inlineStr">
        <is>
          <t>≥5</t>
        </is>
      </c>
      <c r="F31" s="64" t="inlineStr"/>
      <c r="G31" s="64" t="inlineStr"/>
      <c r="H31" s="64" t="inlineStr">
        <is>
          <t>In Progress</t>
        </is>
      </c>
      <c r="I31" s="63" t="inlineStr"/>
    </row>
    <row r="32" ht="22" customHeight="1">
      <c r="B32" s="8" t="n">
        <v>6</v>
      </c>
      <c r="C32" s="9" t="inlineStr">
        <is>
          <t>Innovation Ideas Submitted</t>
        </is>
      </c>
      <c r="D32" s="10" t="inlineStr">
        <is>
          <t>No. per year</t>
        </is>
      </c>
      <c r="E32" s="10" t="inlineStr">
        <is>
          <t>≥20</t>
        </is>
      </c>
      <c r="F32" s="10" t="inlineStr"/>
      <c r="G32" s="10" t="inlineStr"/>
      <c r="H32" s="10" t="inlineStr">
        <is>
          <t>In Progress</t>
        </is>
      </c>
      <c r="I32" s="9" t="inlineStr"/>
    </row>
    <row r="33" ht="22" customHeight="1"/>
    <row r="34" ht="24" customHeight="1">
      <c r="B34" s="70" t="inlineStr">
        <is>
          <t>INDUSTRY COLLABORATION</t>
        </is>
      </c>
    </row>
    <row r="35" ht="22" customHeight="1">
      <c r="B35" s="71" t="inlineStr">
        <is>
          <t>Sl.</t>
        </is>
      </c>
      <c r="C35" s="71" t="inlineStr">
        <is>
          <t>Key Performance Indicator</t>
        </is>
      </c>
      <c r="D35" s="71" t="inlineStr">
        <is>
          <t>Unit</t>
        </is>
      </c>
      <c r="E35" s="71" t="inlineStr">
        <is>
          <t>Annual
Target</t>
        </is>
      </c>
      <c r="F35" s="71" t="inlineStr">
        <is>
          <t>Prev. Year
Actual</t>
        </is>
      </c>
      <c r="G35" s="71" t="inlineStr">
        <is>
          <t>Q-to-Date
Actual</t>
        </is>
      </c>
      <c r="H35" s="71" t="inlineStr">
        <is>
          <t>Status</t>
        </is>
      </c>
      <c r="I35" s="71" t="inlineStr">
        <is>
          <t>Remarks</t>
        </is>
      </c>
    </row>
    <row r="36" ht="22" customHeight="1">
      <c r="B36" s="72" t="n">
        <v>1</v>
      </c>
      <c r="C36" s="73" t="inlineStr">
        <is>
          <t>Active MoUs</t>
        </is>
      </c>
      <c r="D36" s="74" t="inlineStr">
        <is>
          <t>No. active</t>
        </is>
      </c>
      <c r="E36" s="74" t="inlineStr">
        <is>
          <t>≥15</t>
        </is>
      </c>
      <c r="F36" s="74" t="inlineStr"/>
      <c r="G36" s="74" t="inlineStr"/>
      <c r="H36" s="74" t="inlineStr">
        <is>
          <t>In Progress</t>
        </is>
      </c>
      <c r="I36" s="73" t="inlineStr"/>
    </row>
    <row r="37" ht="22" customHeight="1">
      <c r="B37" s="8" t="n">
        <v>2</v>
      </c>
      <c r="C37" s="9" t="inlineStr">
        <is>
          <t>Consultancy Revenue (₹L)</t>
        </is>
      </c>
      <c r="D37" s="10" t="inlineStr">
        <is>
          <t>₹L per year</t>
        </is>
      </c>
      <c r="E37" s="10" t="inlineStr">
        <is>
          <t>≥25</t>
        </is>
      </c>
      <c r="F37" s="10" t="inlineStr"/>
      <c r="G37" s="10" t="inlineStr"/>
      <c r="H37" s="10" t="inlineStr">
        <is>
          <t>In Progress</t>
        </is>
      </c>
      <c r="I37" s="9" t="inlineStr"/>
    </row>
    <row r="38" ht="22" customHeight="1">
      <c r="B38" s="72" t="n">
        <v>3</v>
      </c>
      <c r="C38" s="73" t="inlineStr">
        <is>
          <t>Industry-sponsored Research (₹L)</t>
        </is>
      </c>
      <c r="D38" s="74" t="inlineStr">
        <is>
          <t>₹L per year</t>
        </is>
      </c>
      <c r="E38" s="74" t="inlineStr">
        <is>
          <t>≥15</t>
        </is>
      </c>
      <c r="F38" s="74" t="inlineStr"/>
      <c r="G38" s="74" t="inlineStr"/>
      <c r="H38" s="74" t="inlineStr">
        <is>
          <t>In Progress</t>
        </is>
      </c>
      <c r="I38" s="73" t="inlineStr"/>
    </row>
    <row r="39" ht="22" customHeight="1">
      <c r="B39" s="8" t="n">
        <v>4</v>
      </c>
      <c r="C39" s="9" t="inlineStr">
        <is>
          <t>Knowledge Transfer Programmes</t>
        </is>
      </c>
      <c r="D39" s="10" t="inlineStr">
        <is>
          <t>No. per year</t>
        </is>
      </c>
      <c r="E39" s="10" t="inlineStr">
        <is>
          <t>≥5</t>
        </is>
      </c>
      <c r="F39" s="10" t="inlineStr"/>
      <c r="G39" s="10" t="inlineStr"/>
      <c r="H39" s="10" t="inlineStr">
        <is>
          <t>In Progress</t>
        </is>
      </c>
      <c r="I39" s="9" t="inlineStr"/>
    </row>
    <row r="40" ht="22" customHeight="1">
      <c r="B40" s="72" t="n">
        <v>5</v>
      </c>
      <c r="C40" s="73" t="inlineStr">
        <is>
          <t>Joint Publications (with industry)</t>
        </is>
      </c>
      <c r="D40" s="74" t="inlineStr">
        <is>
          <t>No. per year</t>
        </is>
      </c>
      <c r="E40" s="74" t="inlineStr">
        <is>
          <t>≥3</t>
        </is>
      </c>
      <c r="F40" s="74" t="inlineStr"/>
      <c r="G40" s="74" t="inlineStr"/>
      <c r="H40" s="74" t="inlineStr">
        <is>
          <t>In Progress</t>
        </is>
      </c>
      <c r="I40" s="73" t="inlineStr"/>
    </row>
    <row r="41" ht="22" customHeight="1"/>
    <row r="42" ht="24" customHeight="1">
      <c r="B42" s="20" t="inlineStr">
        <is>
          <t>RESEARCH HUMAN CAPITAL</t>
        </is>
      </c>
    </row>
    <row r="43" ht="22" customHeight="1">
      <c r="B43" s="13" t="inlineStr">
        <is>
          <t>Sl.</t>
        </is>
      </c>
      <c r="C43" s="13" t="inlineStr">
        <is>
          <t>Key Performance Indicator</t>
        </is>
      </c>
      <c r="D43" s="13" t="inlineStr">
        <is>
          <t>Unit</t>
        </is>
      </c>
      <c r="E43" s="13" t="inlineStr">
        <is>
          <t>Annual
Target</t>
        </is>
      </c>
      <c r="F43" s="13" t="inlineStr">
        <is>
          <t>Prev. Year
Actual</t>
        </is>
      </c>
      <c r="G43" s="13" t="inlineStr">
        <is>
          <t>Q-to-Date
Actual</t>
        </is>
      </c>
      <c r="H43" s="13" t="inlineStr">
        <is>
          <t>Status</t>
        </is>
      </c>
      <c r="I43" s="13" t="inlineStr">
        <is>
          <t>Remarks</t>
        </is>
      </c>
    </row>
    <row r="44" ht="22" customHeight="1">
      <c r="B44" s="14" t="n">
        <v>1</v>
      </c>
      <c r="C44" s="15" t="inlineStr">
        <is>
          <t>Ph.D. Students Enrolled</t>
        </is>
      </c>
      <c r="D44" s="16" t="inlineStr">
        <is>
          <t>No. active</t>
        </is>
      </c>
      <c r="E44" s="16" t="inlineStr">
        <is>
          <t>≥20</t>
        </is>
      </c>
      <c r="F44" s="16" t="inlineStr"/>
      <c r="G44" s="16" t="inlineStr"/>
      <c r="H44" s="16" t="inlineStr">
        <is>
          <t>In Progress</t>
        </is>
      </c>
      <c r="I44" s="15" t="inlineStr"/>
    </row>
    <row r="45" ht="22" customHeight="1">
      <c r="B45" s="8" t="n">
        <v>2</v>
      </c>
      <c r="C45" s="9" t="inlineStr">
        <is>
          <t>Ph.D. Degrees Awarded</t>
        </is>
      </c>
      <c r="D45" s="10" t="inlineStr">
        <is>
          <t>No. per year</t>
        </is>
      </c>
      <c r="E45" s="10" t="inlineStr">
        <is>
          <t>≥5</t>
        </is>
      </c>
      <c r="F45" s="10" t="inlineStr"/>
      <c r="G45" s="10" t="inlineStr"/>
      <c r="H45" s="10" t="inlineStr">
        <is>
          <t>In Progress</t>
        </is>
      </c>
      <c r="I45" s="9" t="inlineStr"/>
    </row>
    <row r="46" ht="22" customHeight="1">
      <c r="B46" s="14" t="n">
        <v>3</v>
      </c>
      <c r="C46" s="15" t="inlineStr">
        <is>
          <t>Post-doctoral Researchers</t>
        </is>
      </c>
      <c r="D46" s="16" t="inlineStr">
        <is>
          <t>No. active</t>
        </is>
      </c>
      <c r="E46" s="16" t="inlineStr">
        <is>
          <t>≥2</t>
        </is>
      </c>
      <c r="F46" s="16" t="inlineStr"/>
      <c r="G46" s="16" t="inlineStr"/>
      <c r="H46" s="16" t="inlineStr">
        <is>
          <t>In Progress</t>
        </is>
      </c>
      <c r="I46" s="15" t="inlineStr"/>
    </row>
    <row r="47" ht="22" customHeight="1">
      <c r="B47" s="8" t="n">
        <v>4</v>
      </c>
      <c r="C47" s="9" t="inlineStr">
        <is>
          <t>Faculty with Active Research Projects (%)</t>
        </is>
      </c>
      <c r="D47" s="10" t="inlineStr">
        <is>
          <t>% of total</t>
        </is>
      </c>
      <c r="E47" s="10" t="inlineStr">
        <is>
          <t>≥30%</t>
        </is>
      </c>
      <c r="F47" s="10" t="inlineStr"/>
      <c r="G47" s="10" t="inlineStr"/>
      <c r="H47" s="10" t="inlineStr">
        <is>
          <t>In Progress</t>
        </is>
      </c>
      <c r="I47" s="9" t="inlineStr"/>
    </row>
    <row r="48" ht="22" customHeight="1">
      <c r="B48" s="14" t="n">
        <v>5</v>
      </c>
      <c r="C48" s="15" t="inlineStr">
        <is>
          <t>Research Ethics Training Compliance (%)</t>
        </is>
      </c>
      <c r="D48" s="16" t="inlineStr">
        <is>
          <t>% completed</t>
        </is>
      </c>
      <c r="E48" s="16" t="inlineStr">
        <is>
          <t>100%</t>
        </is>
      </c>
      <c r="F48" s="16" t="inlineStr"/>
      <c r="G48" s="16" t="inlineStr"/>
      <c r="H48" s="16" t="inlineStr">
        <is>
          <t>In Progress</t>
        </is>
      </c>
      <c r="I48" s="15" t="inlineStr"/>
    </row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25:I25"/>
    <mergeCell ref="B16:I16"/>
    <mergeCell ref="B2:I2"/>
    <mergeCell ref="B34:I34"/>
    <mergeCell ref="B42:I42"/>
    <mergeCell ref="B3:I3"/>
    <mergeCell ref="B4:I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88" t="inlineStr">
        <is>
          <t>SC6-02: RESEARCH OUTPUT IMPACT ASSESSMENT FORM</t>
        </is>
      </c>
    </row>
    <row r="3" ht="25" customHeight="1">
      <c r="B3" s="86" t="inlineStr">
        <is>
          <t>A.Y.: _______  SC6 Chairperson: ___________________  IQAC Ref.: NAAC Criterion III</t>
        </is>
      </c>
    </row>
    <row r="4" ht="24" customHeight="1">
      <c r="B4" s="81" t="inlineStr">
        <is>
          <t>PART A — BIBLIOMETRIC &amp; CITATION ANALYSIS — DEPARTMENT-WISE</t>
        </is>
      </c>
    </row>
    <row r="5" ht="22" customHeight="1">
      <c r="B5" s="82" t="inlineStr">
        <is>
          <t>Department</t>
        </is>
      </c>
      <c r="C5" s="82" t="inlineStr">
        <is>
          <t>Total
Publications</t>
        </is>
      </c>
      <c r="D5" s="82" t="inlineStr">
        <is>
          <t>SCI/Scopus
Indexed</t>
        </is>
      </c>
      <c r="E5" s="82" t="inlineStr">
        <is>
          <t>Total
Citations</t>
        </is>
      </c>
      <c r="F5" s="82" t="inlineStr">
        <is>
          <t>h-index
(Dept.)</t>
        </is>
      </c>
      <c r="G5" s="82" t="inlineStr">
        <is>
          <t>i10-index</t>
        </is>
      </c>
      <c r="H5" s="82" t="inlineStr">
        <is>
          <t>Avg. Impact
Factor</t>
        </is>
      </c>
      <c r="I5" s="82" t="inlineStr">
        <is>
          <t>Best Paper
Citations</t>
        </is>
      </c>
      <c r="J5" s="82" t="inlineStr">
        <is>
          <t>Remarks</t>
        </is>
      </c>
    </row>
    <row r="6" ht="22" customHeight="1">
      <c r="B6" s="85" t="inlineStr">
        <is>
          <t>CSE</t>
        </is>
      </c>
      <c r="C6" s="85" t="inlineStr"/>
      <c r="D6" s="85" t="inlineStr"/>
      <c r="E6" s="85" t="inlineStr"/>
      <c r="F6" s="85" t="inlineStr"/>
      <c r="G6" s="85" t="inlineStr"/>
      <c r="H6" s="85" t="inlineStr"/>
      <c r="I6" s="85" t="inlineStr"/>
      <c r="J6" s="84" t="inlineStr"/>
    </row>
    <row r="7" ht="22" customHeight="1">
      <c r="B7" s="10" t="inlineStr">
        <is>
          <t>ECE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9" t="inlineStr"/>
    </row>
    <row r="8" ht="22" customHeight="1">
      <c r="B8" s="85" t="inlineStr">
        <is>
          <t>EEE</t>
        </is>
      </c>
      <c r="C8" s="85" t="inlineStr"/>
      <c r="D8" s="85" t="inlineStr"/>
      <c r="E8" s="85" t="inlineStr"/>
      <c r="F8" s="85" t="inlineStr"/>
      <c r="G8" s="85" t="inlineStr"/>
      <c r="H8" s="85" t="inlineStr"/>
      <c r="I8" s="85" t="inlineStr"/>
      <c r="J8" s="84" t="inlineStr"/>
    </row>
    <row r="9" ht="22" customHeight="1">
      <c r="B9" s="10" t="inlineStr">
        <is>
          <t>MECH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9" t="inlineStr"/>
    </row>
    <row r="10" ht="22" customHeight="1">
      <c r="B10" s="85" t="inlineStr">
        <is>
          <t>CIVIL</t>
        </is>
      </c>
      <c r="C10" s="85" t="inlineStr"/>
      <c r="D10" s="85" t="inlineStr"/>
      <c r="E10" s="85" t="inlineStr"/>
      <c r="F10" s="85" t="inlineStr"/>
      <c r="G10" s="85" t="inlineStr"/>
      <c r="H10" s="85" t="inlineStr"/>
      <c r="I10" s="85" t="inlineStr"/>
      <c r="J10" s="84" t="inlineStr"/>
    </row>
    <row r="11" ht="22" customHeight="1">
      <c r="B11" s="10" t="inlineStr">
        <is>
          <t>S&amp;H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9" t="inlineStr"/>
    </row>
    <row r="12" ht="22" customHeight="1">
      <c r="B12" s="85" t="inlineStr">
        <is>
          <t>MBA</t>
        </is>
      </c>
      <c r="C12" s="85" t="inlineStr"/>
      <c r="D12" s="85" t="inlineStr"/>
      <c r="E12" s="85" t="inlineStr"/>
      <c r="F12" s="85" t="inlineStr"/>
      <c r="G12" s="85" t="inlineStr"/>
      <c r="H12" s="85" t="inlineStr"/>
      <c r="I12" s="85" t="inlineStr"/>
      <c r="J12" s="84" t="inlineStr"/>
    </row>
    <row r="13" ht="22" customHeight="1">
      <c r="B13" s="10" t="inlineStr">
        <is>
          <t>MCA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9" t="inlineStr"/>
    </row>
    <row r="14" ht="22" customHeight="1">
      <c r="B14" s="89" t="inlineStr">
        <is>
          <t>INSTITUTION</t>
        </is>
      </c>
      <c r="C14" s="89" t="inlineStr"/>
      <c r="D14" s="89" t="inlineStr"/>
      <c r="E14" s="89" t="inlineStr"/>
      <c r="F14" s="89" t="inlineStr"/>
      <c r="G14" s="89" t="inlineStr"/>
      <c r="H14" s="89" t="inlineStr"/>
      <c r="I14" s="89" t="inlineStr"/>
      <c r="J14" s="23" t="inlineStr"/>
    </row>
    <row r="15" ht="22" customHeight="1"/>
    <row r="16" ht="24" customHeight="1">
      <c r="B16" s="81" t="inlineStr">
        <is>
          <t>PART B — SOCIETAL &amp; ECONOMIC IMPACT ASSESSMENT</t>
        </is>
      </c>
    </row>
    <row r="17" ht="22" customHeight="1">
      <c r="B17" s="82" t="inlineStr">
        <is>
          <t>Output / Project</t>
        </is>
      </c>
      <c r="C17" s="82" t="inlineStr">
        <is>
          <t>Type</t>
        </is>
      </c>
      <c r="D17" s="82" t="inlineStr">
        <is>
          <t>Beneficiaries
Reached</t>
        </is>
      </c>
      <c r="E17" s="82" t="inlineStr">
        <is>
          <t>Economic
Value (₹L)</t>
        </is>
      </c>
      <c r="F17" s="82" t="inlineStr">
        <is>
          <t>Social
Impact Area</t>
        </is>
      </c>
      <c r="G17" s="82" t="inlineStr">
        <is>
          <t>Policy
Influenced</t>
        </is>
      </c>
      <c r="H17" s="82" t="inlineStr">
        <is>
          <t>Awards /
Recognition</t>
        </is>
      </c>
      <c r="I17" s="82" t="inlineStr">
        <is>
          <t>Media
Coverage</t>
        </is>
      </c>
      <c r="J17" s="82" t="inlineStr">
        <is>
          <t>Remarks</t>
        </is>
      </c>
    </row>
    <row r="18" ht="22" customHeight="1">
      <c r="B18" s="84" t="inlineStr"/>
      <c r="C18" s="85" t="inlineStr">
        <is>
          <t>Patent Commercialised</t>
        </is>
      </c>
      <c r="D18" s="85" t="inlineStr"/>
      <c r="E18" s="85" t="inlineStr"/>
      <c r="F18" s="84" t="inlineStr"/>
      <c r="G18" s="85" t="inlineStr"/>
      <c r="H18" s="84" t="inlineStr"/>
      <c r="I18" s="85" t="inlineStr"/>
      <c r="J18" s="84" t="inlineStr"/>
    </row>
    <row r="19" ht="22" customHeight="1">
      <c r="B19" s="9" t="inlineStr"/>
      <c r="C19" s="10" t="inlineStr">
        <is>
          <t>Policy Brief Submitted</t>
        </is>
      </c>
      <c r="D19" s="10" t="inlineStr"/>
      <c r="E19" s="10" t="inlineStr"/>
      <c r="F19" s="9" t="inlineStr"/>
      <c r="G19" s="10" t="inlineStr"/>
      <c r="H19" s="9" t="inlineStr"/>
      <c r="I19" s="10" t="inlineStr"/>
      <c r="J19" s="9" t="inlineStr"/>
    </row>
    <row r="20" ht="22" customHeight="1">
      <c r="B20" s="84" t="inlineStr"/>
      <c r="C20" s="85" t="inlineStr">
        <is>
          <t>Community Programme</t>
        </is>
      </c>
      <c r="D20" s="85" t="inlineStr"/>
      <c r="E20" s="85" t="inlineStr"/>
      <c r="F20" s="84" t="inlineStr"/>
      <c r="G20" s="85" t="inlineStr"/>
      <c r="H20" s="84" t="inlineStr"/>
      <c r="I20" s="85" t="inlineStr"/>
      <c r="J20" s="84" t="inlineStr"/>
    </row>
    <row r="21" ht="22" customHeight="1">
      <c r="B21" s="9" t="inlineStr"/>
      <c r="C21" s="10" t="inlineStr">
        <is>
          <t>Award / Prize Won</t>
        </is>
      </c>
      <c r="D21" s="10" t="inlineStr"/>
      <c r="E21" s="10" t="inlineStr"/>
      <c r="F21" s="9" t="inlineStr"/>
      <c r="G21" s="10" t="inlineStr"/>
      <c r="H21" s="9" t="inlineStr"/>
      <c r="I21" s="10" t="inlineStr"/>
      <c r="J21" s="9" t="inlineStr"/>
    </row>
    <row r="22" ht="22" customHeight="1">
      <c r="B22" s="84" t="inlineStr"/>
      <c r="C22" s="85" t="inlineStr">
        <is>
          <t>Technology Adopted by Industry</t>
        </is>
      </c>
      <c r="D22" s="85" t="inlineStr"/>
      <c r="E22" s="85" t="inlineStr"/>
      <c r="F22" s="84" t="inlineStr"/>
      <c r="G22" s="85" t="inlineStr"/>
      <c r="H22" s="84" t="inlineStr"/>
      <c r="I22" s="85" t="inlineStr"/>
      <c r="J22" s="84" t="inlineStr"/>
    </row>
    <row r="23" ht="22" customHeight="1">
      <c r="B23" s="9" t="inlineStr"/>
      <c r="C23" s="10" t="inlineStr">
        <is>
          <t>Book / Report Cited by Govt.</t>
        </is>
      </c>
      <c r="D23" s="10" t="inlineStr"/>
      <c r="E23" s="10" t="inlineStr"/>
      <c r="F23" s="9" t="inlineStr"/>
      <c r="G23" s="10" t="inlineStr"/>
      <c r="H23" s="9" t="inlineStr"/>
      <c r="I23" s="10" t="inlineStr"/>
      <c r="J23" s="9" t="inlineStr"/>
    </row>
    <row r="24" ht="22" customHeight="1">
      <c r="B24" s="84" t="inlineStr"/>
      <c r="C24" s="85" t="inlineStr">
        <is>
          <t>Startup Created Jobs</t>
        </is>
      </c>
      <c r="D24" s="85" t="inlineStr"/>
      <c r="E24" s="85" t="inlineStr"/>
      <c r="F24" s="84" t="inlineStr"/>
      <c r="G24" s="85" t="inlineStr"/>
      <c r="H24" s="84" t="inlineStr"/>
      <c r="I24" s="85" t="inlineStr"/>
      <c r="J24" s="84" t="inlineStr"/>
    </row>
    <row r="25" ht="22" customHeight="1">
      <c r="B25" s="9" t="inlineStr"/>
      <c r="C25" s="10" t="inlineStr">
        <is>
          <t>Training Programme</t>
        </is>
      </c>
      <c r="D25" s="10" t="inlineStr"/>
      <c r="E25" s="10" t="inlineStr"/>
      <c r="F25" s="9" t="inlineStr"/>
      <c r="G25" s="10" t="inlineStr"/>
      <c r="H25" s="9" t="inlineStr"/>
      <c r="I25" s="10" t="inlineStr"/>
      <c r="J25" s="9" t="inlineStr"/>
    </row>
    <row r="26" ht="22" customHeight="1"/>
    <row r="27" ht="24" customHeight="1">
      <c r="B27" s="90" t="inlineStr">
        <is>
          <t>PART C — SDG CONTRIBUTION MAPPING</t>
        </is>
      </c>
    </row>
    <row r="28" ht="22" customHeight="1">
      <c r="B28" s="28" t="inlineStr">
        <is>
          <t>SDG</t>
        </is>
      </c>
      <c r="C28" s="28" t="inlineStr">
        <is>
          <t>SDG Goal Title</t>
        </is>
      </c>
      <c r="D28" s="28" t="inlineStr">
        <is>
          <t>No. of Projects
Contributing</t>
        </is>
      </c>
      <c r="E28" s="28" t="inlineStr">
        <is>
          <t>Publications
Linked</t>
        </is>
      </c>
      <c r="F28" s="28" t="inlineStr">
        <is>
          <t>Funding
(₹L)</t>
        </is>
      </c>
      <c r="G28" s="28" t="inlineStr">
        <is>
          <t>Community
Reach</t>
        </is>
      </c>
      <c r="H28" s="28" t="inlineStr">
        <is>
          <t>Dept. Lead</t>
        </is>
      </c>
      <c r="I28" s="28" t="inlineStr">
        <is>
          <t>Evidence Ref.</t>
        </is>
      </c>
      <c r="J28" s="28" t="inlineStr"/>
    </row>
    <row r="29" ht="22" customHeight="1">
      <c r="B29" s="83" t="inlineStr">
        <is>
          <t>SDG 1</t>
        </is>
      </c>
      <c r="C29" s="84" t="inlineStr">
        <is>
          <t>No Poverty</t>
        </is>
      </c>
      <c r="D29" s="85" t="inlineStr"/>
      <c r="E29" s="85" t="inlineStr"/>
      <c r="F29" s="85" t="inlineStr"/>
      <c r="G29" s="85" t="inlineStr"/>
      <c r="H29" s="85" t="inlineStr"/>
      <c r="I29" s="85" t="inlineStr"/>
      <c r="J29" s="91" t="n"/>
    </row>
    <row r="30" ht="22" customHeight="1">
      <c r="B30" s="8" t="inlineStr">
        <is>
          <t>SDG 2</t>
        </is>
      </c>
      <c r="C30" s="9" t="inlineStr">
        <is>
          <t>Zero Hunger</t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92" t="n"/>
    </row>
    <row r="31" ht="22" customHeight="1">
      <c r="B31" s="83" t="inlineStr">
        <is>
          <t>SDG 3</t>
        </is>
      </c>
      <c r="C31" s="84" t="inlineStr">
        <is>
          <t>Good Health &amp; Well-being</t>
        </is>
      </c>
      <c r="D31" s="85" t="inlineStr"/>
      <c r="E31" s="85" t="inlineStr"/>
      <c r="F31" s="85" t="inlineStr"/>
      <c r="G31" s="85" t="inlineStr"/>
      <c r="H31" s="85" t="inlineStr"/>
      <c r="I31" s="85" t="inlineStr"/>
      <c r="J31" s="91" t="n"/>
    </row>
    <row r="32" ht="22" customHeight="1">
      <c r="B32" s="8" t="inlineStr">
        <is>
          <t>SDG 4</t>
        </is>
      </c>
      <c r="C32" s="9" t="inlineStr">
        <is>
          <t>Quality Education</t>
        </is>
      </c>
      <c r="D32" s="10" t="inlineStr"/>
      <c r="E32" s="10" t="inlineStr"/>
      <c r="F32" s="10" t="inlineStr"/>
      <c r="G32" s="10" t="inlineStr"/>
      <c r="H32" s="10" t="inlineStr"/>
      <c r="I32" s="10" t="inlineStr"/>
      <c r="J32" s="92" t="n"/>
    </row>
    <row r="33" ht="22" customHeight="1">
      <c r="B33" s="83" t="inlineStr">
        <is>
          <t>SDG 6</t>
        </is>
      </c>
      <c r="C33" s="84" t="inlineStr">
        <is>
          <t>Clean Water &amp; Sanitation</t>
        </is>
      </c>
      <c r="D33" s="85" t="inlineStr"/>
      <c r="E33" s="85" t="inlineStr"/>
      <c r="F33" s="85" t="inlineStr"/>
      <c r="G33" s="85" t="inlineStr"/>
      <c r="H33" s="85" t="inlineStr"/>
      <c r="I33" s="85" t="inlineStr"/>
      <c r="J33" s="91" t="n"/>
    </row>
    <row r="34" ht="22" customHeight="1">
      <c r="B34" s="8" t="inlineStr">
        <is>
          <t>SDG 7</t>
        </is>
      </c>
      <c r="C34" s="9" t="inlineStr">
        <is>
          <t>Affordable &amp; Clean Energy</t>
        </is>
      </c>
      <c r="D34" s="10" t="inlineStr"/>
      <c r="E34" s="10" t="inlineStr"/>
      <c r="F34" s="10" t="inlineStr"/>
      <c r="G34" s="10" t="inlineStr"/>
      <c r="H34" s="10" t="inlineStr"/>
      <c r="I34" s="10" t="inlineStr"/>
      <c r="J34" s="92" t="n"/>
    </row>
    <row r="35" ht="22" customHeight="1">
      <c r="B35" s="83" t="inlineStr">
        <is>
          <t>SDG 9</t>
        </is>
      </c>
      <c r="C35" s="84" t="inlineStr">
        <is>
          <t>Industry, Innovation &amp; Infrastructure</t>
        </is>
      </c>
      <c r="D35" s="85" t="inlineStr"/>
      <c r="E35" s="85" t="inlineStr"/>
      <c r="F35" s="85" t="inlineStr"/>
      <c r="G35" s="85" t="inlineStr"/>
      <c r="H35" s="85" t="inlineStr"/>
      <c r="I35" s="85" t="inlineStr"/>
      <c r="J35" s="91" t="n"/>
    </row>
    <row r="36" ht="22" customHeight="1">
      <c r="B36" s="8" t="inlineStr">
        <is>
          <t>SDG 11</t>
        </is>
      </c>
      <c r="C36" s="9" t="inlineStr">
        <is>
          <t>Sustainable Cities</t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92" t="n"/>
    </row>
    <row r="37" ht="22" customHeight="1">
      <c r="B37" s="83" t="inlineStr">
        <is>
          <t>SDG 13</t>
        </is>
      </c>
      <c r="C37" s="84" t="inlineStr">
        <is>
          <t>Climate Action</t>
        </is>
      </c>
      <c r="D37" s="85" t="inlineStr"/>
      <c r="E37" s="85" t="inlineStr"/>
      <c r="F37" s="85" t="inlineStr"/>
      <c r="G37" s="85" t="inlineStr"/>
      <c r="H37" s="85" t="inlineStr"/>
      <c r="I37" s="85" t="inlineStr"/>
      <c r="J37" s="91" t="n"/>
    </row>
    <row r="38" ht="22" customHeight="1">
      <c r="B38" s="8" t="inlineStr">
        <is>
          <t>SDG 17</t>
        </is>
      </c>
      <c r="C38" s="9" t="inlineStr">
        <is>
          <t>Partnerships for Goals</t>
        </is>
      </c>
      <c r="D38" s="10" t="inlineStr"/>
      <c r="E38" s="10" t="inlineStr"/>
      <c r="F38" s="10" t="inlineStr"/>
      <c r="G38" s="10" t="inlineStr"/>
      <c r="H38" s="10" t="inlineStr"/>
      <c r="I38" s="10" t="inlineStr"/>
      <c r="J38" s="92" t="n"/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mergeCells count="5">
    <mergeCell ref="B3:J3"/>
    <mergeCell ref="B27:J27"/>
    <mergeCell ref="B4:J4"/>
    <mergeCell ref="B2:J2"/>
    <mergeCell ref="B16:J1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88" t="inlineStr">
        <is>
          <t>SC6-03: ANNUAL R&amp;D PERFORMANCE REPORT — COMPILATION FORM</t>
        </is>
      </c>
    </row>
    <row r="3" ht="25" customHeight="1">
      <c r="B3" s="86" t="inlineStr">
        <is>
          <t>A.Y.: _______  Compiled by: SC6 / Dean R&amp;D  Reviewed by: RDC on: _______  Submitted to: IQAC / PMB</t>
        </is>
      </c>
    </row>
    <row r="4" ht="24" customHeight="1">
      <c r="B4" s="81" t="inlineStr">
        <is>
          <t>SECTION 1 — RESEARCH OUTPUT SUMMARY</t>
        </is>
      </c>
    </row>
    <row r="5" ht="22" customHeight="1">
      <c r="B5" s="82" t="inlineStr">
        <is>
          <t>Sl.</t>
        </is>
      </c>
      <c r="C5" s="82" t="inlineStr">
        <is>
          <t>Performance Metric</t>
        </is>
      </c>
      <c r="D5" s="82" t="inlineStr">
        <is>
          <t>Unit</t>
        </is>
      </c>
      <c r="E5" s="82" t="inlineStr">
        <is>
          <t>Current A.Y.</t>
        </is>
      </c>
      <c r="F5" s="82" t="inlineStr">
        <is>
          <t>Previous A.Y.</t>
        </is>
      </c>
      <c r="G5" s="82" t="inlineStr">
        <is>
          <t>Growth %</t>
        </is>
      </c>
      <c r="H5" s="82" t="inlineStr">
        <is>
          <t>Target Next Year</t>
        </is>
      </c>
    </row>
    <row r="6" ht="22" customHeight="1">
      <c r="B6" s="83" t="n">
        <v>1</v>
      </c>
      <c r="C6" s="84" t="inlineStr">
        <is>
          <t>Total Publications (all categories)</t>
        </is>
      </c>
      <c r="D6" s="85" t="inlineStr">
        <is>
          <t>No.</t>
        </is>
      </c>
      <c r="E6" s="85" t="inlineStr"/>
      <c r="F6" s="85" t="inlineStr"/>
      <c r="G6" s="85">
        <f>IFERROR(ROUND((E6-F6)/F6*100,1),"")</f>
        <v/>
      </c>
      <c r="H6" s="85" t="inlineStr"/>
    </row>
    <row r="7" ht="22" customHeight="1">
      <c r="B7" s="8" t="n">
        <v>2</v>
      </c>
      <c r="C7" s="9" t="inlineStr">
        <is>
          <t>SCI / Scopus Publications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83" t="n">
        <v>3</v>
      </c>
      <c r="C8" s="84" t="inlineStr">
        <is>
          <t>Book Chapters</t>
        </is>
      </c>
      <c r="D8" s="85" t="inlineStr">
        <is>
          <t>No.</t>
        </is>
      </c>
      <c r="E8" s="85" t="inlineStr"/>
      <c r="F8" s="85" t="inlineStr"/>
      <c r="G8" s="85">
        <f>IFERROR(ROUND((E8-F8)/F8*100,1),"")</f>
        <v/>
      </c>
      <c r="H8" s="85" t="inlineStr"/>
    </row>
    <row r="9" ht="22" customHeight="1">
      <c r="B9" s="8" t="n">
        <v>4</v>
      </c>
      <c r="C9" s="9" t="inlineStr">
        <is>
          <t>Books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83" t="n">
        <v>5</v>
      </c>
      <c r="C10" s="84" t="inlineStr">
        <is>
          <t>Conference Papers</t>
        </is>
      </c>
      <c r="D10" s="85" t="inlineStr">
        <is>
          <t>No.</t>
        </is>
      </c>
      <c r="E10" s="85" t="inlineStr"/>
      <c r="F10" s="85" t="inlineStr"/>
      <c r="G10" s="85">
        <f>IFERROR(ROUND((E10-F10)/F10*100,1),"")</f>
        <v/>
      </c>
      <c r="H10" s="85" t="inlineStr"/>
    </row>
    <row r="11" ht="22" customHeight="1">
      <c r="B11" s="8" t="n">
        <v>6</v>
      </c>
      <c r="C11" s="9" t="inlineStr">
        <is>
          <t>Ph.D. Degrees Awarded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>
      <c r="B12" s="83" t="n">
        <v>7</v>
      </c>
      <c r="C12" s="84" t="inlineStr">
        <is>
          <t>Total Citations (cumulative)</t>
        </is>
      </c>
      <c r="D12" s="85" t="inlineStr">
        <is>
          <t>No.</t>
        </is>
      </c>
      <c r="E12" s="85" t="inlineStr"/>
      <c r="F12" s="85" t="inlineStr"/>
      <c r="G12" s="85">
        <f>IFERROR(ROUND((E12-F12)/F12*100,1),"")</f>
        <v/>
      </c>
      <c r="H12" s="85" t="inlineStr"/>
    </row>
    <row r="13" ht="22" customHeight="1">
      <c r="B13" s="8" t="n">
        <v>8</v>
      </c>
      <c r="C13" s="9" t="inlineStr">
        <is>
          <t>Average h-index</t>
        </is>
      </c>
      <c r="D13" s="10" t="inlineStr">
        <is>
          <t>Value</t>
        </is>
      </c>
      <c r="E13" s="10" t="inlineStr"/>
      <c r="F13" s="10" t="inlineStr"/>
      <c r="G13" s="10">
        <f>IFERROR(ROUND((E13-F13)/F13*100,1),"")</f>
        <v/>
      </c>
      <c r="H13" s="10" t="inlineStr"/>
    </row>
    <row r="14" ht="22" customHeight="1"/>
    <row r="15" ht="24" customHeight="1">
      <c r="B15" s="35" t="inlineStr">
        <is>
          <t>SECTION 2 — FUNDING &amp; PROJECTS</t>
        </is>
      </c>
    </row>
    <row r="16" ht="22" customHeight="1">
      <c r="B16" s="36" t="inlineStr">
        <is>
          <t>Sl.</t>
        </is>
      </c>
      <c r="C16" s="36" t="inlineStr">
        <is>
          <t>Performance Metric</t>
        </is>
      </c>
      <c r="D16" s="36" t="inlineStr">
        <is>
          <t>Unit</t>
        </is>
      </c>
      <c r="E16" s="36" t="inlineStr">
        <is>
          <t>Current A.Y.</t>
        </is>
      </c>
      <c r="F16" s="36" t="inlineStr">
        <is>
          <t>Previous A.Y.</t>
        </is>
      </c>
      <c r="G16" s="36" t="inlineStr">
        <is>
          <t>Growth %</t>
        </is>
      </c>
      <c r="H16" s="36" t="inlineStr">
        <is>
          <t>Target Next Year</t>
        </is>
      </c>
    </row>
    <row r="17" ht="22" customHeight="1">
      <c r="B17" s="37" t="n">
        <v>1</v>
      </c>
      <c r="C17" s="38" t="inlineStr">
        <is>
          <t>New Funded Projects (govt.)</t>
        </is>
      </c>
      <c r="D17" s="39" t="inlineStr">
        <is>
          <t>No.</t>
        </is>
      </c>
      <c r="E17" s="39" t="inlineStr"/>
      <c r="F17" s="39" t="inlineStr"/>
      <c r="G17" s="39">
        <f>IFERROR(ROUND((E17-F17)/F17*100,1),"")</f>
        <v/>
      </c>
      <c r="H17" s="39" t="inlineStr"/>
    </row>
    <row r="18" ht="22" customHeight="1">
      <c r="B18" s="8" t="n">
        <v>2</v>
      </c>
      <c r="C18" s="9" t="inlineStr">
        <is>
          <t>Industry Sponsored Projects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37" t="n">
        <v>3</v>
      </c>
      <c r="C19" s="38" t="inlineStr">
        <is>
          <t>Total Grants Received (₹L)</t>
        </is>
      </c>
      <c r="D19" s="39" t="inlineStr">
        <is>
          <t>₹L</t>
        </is>
      </c>
      <c r="E19" s="39" t="inlineStr"/>
      <c r="F19" s="39" t="inlineStr"/>
      <c r="G19" s="39">
        <f>IFERROR(ROUND((E19-F19)/F19*100,1),"")</f>
        <v/>
      </c>
      <c r="H19" s="39" t="inlineStr"/>
    </row>
    <row r="20" ht="22" customHeight="1">
      <c r="B20" s="8" t="n">
        <v>4</v>
      </c>
      <c r="C20" s="9" t="inlineStr">
        <is>
          <t>Seed Money Disbursed (₹L)</t>
        </is>
      </c>
      <c r="D20" s="10" t="inlineStr">
        <is>
          <t>₹L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37" t="n">
        <v>5</v>
      </c>
      <c r="C21" s="38" t="inlineStr">
        <is>
          <t>Grant Utilisation Rate</t>
        </is>
      </c>
      <c r="D21" s="39" t="inlineStr">
        <is>
          <t>% utilised</t>
        </is>
      </c>
      <c r="E21" s="39" t="inlineStr"/>
      <c r="F21" s="39" t="inlineStr"/>
      <c r="G21" s="39">
        <f>IFERROR(ROUND((E21-F21)/F21*100,1),"")</f>
        <v/>
      </c>
      <c r="H21" s="39" t="inlineStr"/>
    </row>
    <row r="22" ht="22" customHeight="1">
      <c r="B22" s="8" t="n">
        <v>6</v>
      </c>
      <c r="C22" s="9" t="inlineStr">
        <is>
          <t>Consultancy Revenue (₹L)</t>
        </is>
      </c>
      <c r="D22" s="10" t="inlineStr">
        <is>
          <t>₹L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/>
    <row r="24" ht="24" customHeight="1">
      <c r="B24" s="60" t="inlineStr">
        <is>
          <t>SECTION 3 — INNOVATION &amp; IPR</t>
        </is>
      </c>
    </row>
    <row r="25" ht="22" customHeight="1">
      <c r="B25" s="61" t="inlineStr">
        <is>
          <t>Sl.</t>
        </is>
      </c>
      <c r="C25" s="61" t="inlineStr">
        <is>
          <t>Performance Metric</t>
        </is>
      </c>
      <c r="D25" s="61" t="inlineStr">
        <is>
          <t>Unit</t>
        </is>
      </c>
      <c r="E25" s="61" t="inlineStr">
        <is>
          <t>Current A.Y.</t>
        </is>
      </c>
      <c r="F25" s="61" t="inlineStr">
        <is>
          <t>Previous A.Y.</t>
        </is>
      </c>
      <c r="G25" s="61" t="inlineStr">
        <is>
          <t>Growth %</t>
        </is>
      </c>
      <c r="H25" s="61" t="inlineStr">
        <is>
          <t>Target Next Year</t>
        </is>
      </c>
    </row>
    <row r="26" ht="22" customHeight="1">
      <c r="B26" s="62" t="n">
        <v>1</v>
      </c>
      <c r="C26" s="63" t="inlineStr">
        <is>
          <t>Patents Filed</t>
        </is>
      </c>
      <c r="D26" s="64" t="inlineStr">
        <is>
          <t>No.</t>
        </is>
      </c>
      <c r="E26" s="64" t="inlineStr"/>
      <c r="F26" s="64" t="inlineStr"/>
      <c r="G26" s="64">
        <f>IFERROR(ROUND((E26-F26)/F26*100,1),"")</f>
        <v/>
      </c>
      <c r="H26" s="64" t="inlineStr"/>
    </row>
    <row r="27" ht="22" customHeight="1">
      <c r="B27" s="8" t="n">
        <v>2</v>
      </c>
      <c r="C27" s="9" t="inlineStr">
        <is>
          <t>Patents Granted</t>
        </is>
      </c>
      <c r="D27" s="10" t="inlineStr">
        <is>
          <t>No.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62" t="n">
        <v>3</v>
      </c>
      <c r="C28" s="63" t="inlineStr">
        <is>
          <t>Technology Transfers</t>
        </is>
      </c>
      <c r="D28" s="64" t="inlineStr">
        <is>
          <t>No.</t>
        </is>
      </c>
      <c r="E28" s="64" t="inlineStr"/>
      <c r="F28" s="64" t="inlineStr"/>
      <c r="G28" s="64">
        <f>IFERROR(ROUND((E28-F28)/F28*100,1),"")</f>
        <v/>
      </c>
      <c r="H28" s="64" t="inlineStr"/>
    </row>
    <row r="29" ht="22" customHeight="1">
      <c r="B29" s="8" t="n">
        <v>4</v>
      </c>
      <c r="C29" s="9" t="inlineStr">
        <is>
          <t>Startups Incubated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62" t="n">
        <v>5</v>
      </c>
      <c r="C30" s="63" t="inlineStr">
        <is>
          <t>Innovation Ideas Submitted</t>
        </is>
      </c>
      <c r="D30" s="64" t="inlineStr">
        <is>
          <t>No.</t>
        </is>
      </c>
      <c r="E30" s="64" t="inlineStr"/>
      <c r="F30" s="64" t="inlineStr"/>
      <c r="G30" s="64">
        <f>IFERROR(ROUND((E30-F30)/F30*100,1),"")</f>
        <v/>
      </c>
      <c r="H30" s="64" t="inlineStr"/>
    </row>
    <row r="31" ht="22" customHeight="1">
      <c r="B31" s="8" t="n">
        <v>6</v>
      </c>
      <c r="C31" s="9" t="inlineStr">
        <is>
          <t>Ideas Fast-tracked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/>
    <row r="33" ht="24" customHeight="1">
      <c r="B33" s="70" t="inlineStr">
        <is>
          <t>SECTION 4 — COLLABORATION</t>
        </is>
      </c>
    </row>
    <row r="34" ht="22" customHeight="1">
      <c r="B34" s="71" t="inlineStr">
        <is>
          <t>Sl.</t>
        </is>
      </c>
      <c r="C34" s="71" t="inlineStr">
        <is>
          <t>Performance Metric</t>
        </is>
      </c>
      <c r="D34" s="71" t="inlineStr">
        <is>
          <t>Unit</t>
        </is>
      </c>
      <c r="E34" s="71" t="inlineStr">
        <is>
          <t>Current A.Y.</t>
        </is>
      </c>
      <c r="F34" s="71" t="inlineStr">
        <is>
          <t>Previous A.Y.</t>
        </is>
      </c>
      <c r="G34" s="71" t="inlineStr">
        <is>
          <t>Growth %</t>
        </is>
      </c>
      <c r="H34" s="71" t="inlineStr">
        <is>
          <t>Target Next Year</t>
        </is>
      </c>
    </row>
    <row r="35" ht="22" customHeight="1">
      <c r="B35" s="72" t="n">
        <v>1</v>
      </c>
      <c r="C35" s="73" t="inlineStr">
        <is>
          <t>New MoUs Signed</t>
        </is>
      </c>
      <c r="D35" s="74" t="inlineStr">
        <is>
          <t>No.</t>
        </is>
      </c>
      <c r="E35" s="74" t="inlineStr"/>
      <c r="F35" s="74" t="inlineStr"/>
      <c r="G35" s="74">
        <f>IFERROR(ROUND((E35-F35)/F35*100,1),"")</f>
        <v/>
      </c>
      <c r="H35" s="74" t="inlineStr"/>
    </row>
    <row r="36" ht="22" customHeight="1">
      <c r="B36" s="8" t="n">
        <v>2</v>
      </c>
      <c r="C36" s="9" t="inlineStr">
        <is>
          <t>Active MoUs (Total)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72" t="n">
        <v>3</v>
      </c>
      <c r="C37" s="73" t="inlineStr">
        <is>
          <t>Joint Publications (with industry/foreign)</t>
        </is>
      </c>
      <c r="D37" s="74" t="inlineStr">
        <is>
          <t>No.</t>
        </is>
      </c>
      <c r="E37" s="74" t="inlineStr"/>
      <c r="F37" s="74" t="inlineStr"/>
      <c r="G37" s="74">
        <f>IFERROR(ROUND((E37-F37)/F37*100,1),"")</f>
        <v/>
      </c>
      <c r="H37" s="74" t="inlineStr"/>
    </row>
    <row r="38" ht="22" customHeight="1">
      <c r="B38" s="8" t="n">
        <v>4</v>
      </c>
      <c r="C38" s="9" t="inlineStr">
        <is>
          <t>International Collaborations</t>
        </is>
      </c>
      <c r="D38" s="10" t="inlineStr">
        <is>
          <t>No.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72" t="n">
        <v>5</v>
      </c>
      <c r="C39" s="73" t="inlineStr">
        <is>
          <t>Knowledge Transfer Programmes</t>
        </is>
      </c>
      <c r="D39" s="74" t="inlineStr">
        <is>
          <t>No.</t>
        </is>
      </c>
      <c r="E39" s="74" t="inlineStr"/>
      <c r="F39" s="74" t="inlineStr"/>
      <c r="G39" s="74">
        <f>IFERROR(ROUND((E39-F39)/F39*100,1),"")</f>
        <v/>
      </c>
      <c r="H39" s="74" t="inlineStr"/>
    </row>
    <row r="40" ht="22" customHeight="1">
      <c r="B40" s="8" t="n">
        <v>6</v>
      </c>
      <c r="C40" s="9" t="inlineStr">
        <is>
          <t>Industry Experts Invited</t>
        </is>
      </c>
      <c r="D40" s="10" t="inlineStr">
        <is>
          <t>No.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6">
    <mergeCell ref="B4:H4"/>
    <mergeCell ref="B24:H24"/>
    <mergeCell ref="B2:H2"/>
    <mergeCell ref="B15:H15"/>
    <mergeCell ref="B33:H33"/>
    <mergeCell ref="B3:H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88" t="inlineStr">
        <is>
          <t>SC6-04: RESEARCHER CAPACITY &amp; CAREER PROGRESSION TRACKER</t>
        </is>
      </c>
    </row>
    <row r="3" ht="25" customHeight="1">
      <c r="B3" s="86" t="inlineStr">
        <is>
          <t>A.Y.: _______  SC6 Chairperson: ___________________  HR Officer: ___________________</t>
        </is>
      </c>
    </row>
    <row r="4" ht="25" customHeight="1">
      <c r="B4" s="82" t="inlineStr">
        <is>
          <t>Sl.</t>
        </is>
      </c>
      <c r="C4" s="82" t="inlineStr">
        <is>
          <t>Researcher Name</t>
        </is>
      </c>
      <c r="D4" s="82" t="inlineStr">
        <is>
          <t>Designation / Category</t>
        </is>
      </c>
      <c r="E4" s="82" t="inlineStr">
        <is>
          <t>Dept.</t>
        </is>
      </c>
      <c r="F4" s="82" t="inlineStr">
        <is>
          <t>Ph.D.
Status</t>
        </is>
      </c>
      <c r="G4" s="82" t="inlineStr">
        <is>
          <t>Publications
(This A.Y.)</t>
        </is>
      </c>
      <c r="H4" s="82" t="inlineStr">
        <is>
          <t>Projects
(Active)</t>
        </is>
      </c>
      <c r="I4" s="82" t="inlineStr">
        <is>
          <t>Awards /
Recognition</t>
        </is>
      </c>
      <c r="J4" s="82" t="inlineStr">
        <is>
          <t>Research
Rating (1–5)</t>
        </is>
      </c>
    </row>
    <row r="5" ht="22" customHeight="1">
      <c r="B5" s="85" t="n"/>
      <c r="C5" s="85" t="n"/>
      <c r="D5" s="85" t="n"/>
      <c r="E5" s="85" t="n"/>
      <c r="F5" s="85" t="n"/>
      <c r="G5" s="85" t="n"/>
      <c r="H5" s="85" t="n"/>
      <c r="I5" s="85" t="n"/>
      <c r="J5" s="85" t="n"/>
    </row>
    <row r="6" ht="22" customHeight="1"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B7" s="85" t="n"/>
      <c r="C7" s="85" t="n"/>
      <c r="D7" s="85" t="n"/>
      <c r="E7" s="85" t="n"/>
      <c r="F7" s="85" t="n"/>
      <c r="G7" s="85" t="n"/>
      <c r="H7" s="85" t="n"/>
      <c r="I7" s="85" t="n"/>
      <c r="J7" s="85" t="n"/>
    </row>
    <row r="8" ht="22" customHeight="1"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22" customHeight="1">
      <c r="B9" s="85" t="n"/>
      <c r="C9" s="85" t="n"/>
      <c r="D9" s="85" t="n"/>
      <c r="E9" s="85" t="n"/>
      <c r="F9" s="85" t="n"/>
      <c r="G9" s="85" t="n"/>
      <c r="H9" s="85" t="n"/>
      <c r="I9" s="85" t="n"/>
      <c r="J9" s="85" t="n"/>
    </row>
    <row r="10" ht="22" customHeight="1"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22" customHeight="1"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</row>
    <row r="12" ht="22" customHeight="1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2" customHeight="1">
      <c r="B13" s="85" t="n"/>
      <c r="C13" s="85" t="n"/>
      <c r="D13" s="85" t="n"/>
      <c r="E13" s="85" t="n"/>
      <c r="F13" s="85" t="n"/>
      <c r="G13" s="85" t="n"/>
      <c r="H13" s="85" t="n"/>
      <c r="I13" s="85" t="n"/>
      <c r="J13" s="85" t="n"/>
    </row>
    <row r="14" ht="22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2" customHeight="1">
      <c r="B15" s="85" t="n"/>
      <c r="C15" s="85" t="n"/>
      <c r="D15" s="85" t="n"/>
      <c r="E15" s="85" t="n"/>
      <c r="F15" s="85" t="n"/>
      <c r="G15" s="85" t="n"/>
      <c r="H15" s="85" t="n"/>
      <c r="I15" s="85" t="n"/>
      <c r="J15" s="85" t="n"/>
    </row>
    <row r="16" ht="22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2" customHeight="1">
      <c r="B17" s="85" t="n"/>
      <c r="C17" s="85" t="n"/>
      <c r="D17" s="85" t="n"/>
      <c r="E17" s="85" t="n"/>
      <c r="F17" s="85" t="n"/>
      <c r="G17" s="85" t="n"/>
      <c r="H17" s="85" t="n"/>
      <c r="I17" s="85" t="n"/>
      <c r="J17" s="85" t="n"/>
    </row>
    <row r="18" ht="22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22" customHeight="1"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</row>
    <row r="20" ht="22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22" customHeight="1"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</row>
    <row r="22" ht="22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22" customHeight="1"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</row>
    <row r="24" ht="22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22" customHeight="1">
      <c r="B25" s="85" t="n"/>
      <c r="C25" s="85" t="n"/>
      <c r="D25" s="85" t="n"/>
      <c r="E25" s="85" t="n"/>
      <c r="F25" s="85" t="n"/>
      <c r="G25" s="85" t="n"/>
      <c r="H25" s="85" t="n"/>
      <c r="I25" s="85" t="n"/>
      <c r="J25" s="85" t="n"/>
    </row>
    <row r="26" ht="22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 ht="22" customHeight="1"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</row>
    <row r="28" ht="22" customHeight="1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2" customHeight="1"/>
    <row r="30" ht="24" customHeight="1">
      <c r="B30" s="81" t="inlineStr">
        <is>
          <t>RESEARCHER AWARDS &amp; RECOGNITION REGISTER</t>
        </is>
      </c>
    </row>
    <row r="31" ht="22" customHeight="1">
      <c r="B31" s="82" t="inlineStr">
        <is>
          <t>Sl.</t>
        </is>
      </c>
      <c r="C31" s="82" t="inlineStr">
        <is>
          <t>Researcher Name</t>
        </is>
      </c>
      <c r="D31" s="82" t="inlineStr">
        <is>
          <t>Award / Recognition Title</t>
        </is>
      </c>
      <c r="E31" s="82" t="inlineStr">
        <is>
          <t>Awarding Body</t>
        </is>
      </c>
      <c r="F31" s="82" t="inlineStr">
        <is>
          <t>Category</t>
        </is>
      </c>
      <c r="G31" s="82" t="inlineStr">
        <is>
          <t>Date</t>
        </is>
      </c>
      <c r="H31" s="82" t="inlineStr">
        <is>
          <t>Dept.</t>
        </is>
      </c>
      <c r="I31" s="82" t="inlineStr">
        <is>
          <t>Grant / Prize (₹)</t>
        </is>
      </c>
      <c r="J31" s="82" t="inlineStr">
        <is>
          <t>Remarks</t>
        </is>
      </c>
    </row>
    <row r="32" ht="22" customHeight="1"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</row>
    <row r="33" ht="22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 ht="22" customHeight="1"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</row>
    <row r="35" ht="22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22" customHeight="1"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</row>
    <row r="37" ht="22" customHeight="1"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</row>
    <row r="38" ht="22" customHeight="1"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</row>
    <row r="39" ht="22" customHeight="1"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 ht="22" customHeight="1"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2026-04-19T15:16:05Z</dcterms:created>
  <dcterms:modified xmlns:dcterms="http://purl.org/dc/terms/" xmlns:xsi="http://www.w3.org/2001/XMLSchema-instance" xsi:type="dcterms:W3CDTF">2026-04-19T15:16:06Z</dcterms:modified>
</cp:coreProperties>
</file>