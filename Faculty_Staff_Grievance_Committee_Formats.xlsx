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FSGC-00 Composition" sheetId="2" state="visible" r:id="rId2"/>
    <sheet xmlns:r="http://schemas.openxmlformats.org/officeDocument/2006/relationships" name="FSGC-NA Notice &amp; Agenda" sheetId="3" state="visible" r:id="rId3"/>
    <sheet xmlns:r="http://schemas.openxmlformats.org/officeDocument/2006/relationships" name="FSGC-AT Attendance" sheetId="4" state="visible" r:id="rId4"/>
    <sheet xmlns:r="http://schemas.openxmlformats.org/officeDocument/2006/relationships" name="FSGC-MM Minutes" sheetId="5" state="visible" r:id="rId5"/>
    <sheet xmlns:r="http://schemas.openxmlformats.org/officeDocument/2006/relationships" name="FSGC-ATR Action Report" sheetId="6" state="visible" r:id="rId6"/>
    <sheet xmlns:r="http://schemas.openxmlformats.org/officeDocument/2006/relationships" name="FSGC-02 Grievance Categories" sheetId="7" state="visible" r:id="rId7"/>
    <sheet xmlns:r="http://schemas.openxmlformats.org/officeDocument/2006/relationships" name="FSGC-04 Complaint Form" sheetId="8" state="visible" r:id="rId8"/>
    <sheet xmlns:r="http://schemas.openxmlformats.org/officeDocument/2006/relationships" name="FSGC-05 Case Register" sheetId="9" state="visible" r:id="rId9"/>
    <sheet xmlns:r="http://schemas.openxmlformats.org/officeDocument/2006/relationships" name="FSGC-09 Hearing Log" sheetId="10" state="visible" r:id="rId10"/>
    <sheet xmlns:r="http://schemas.openxmlformats.org/officeDocument/2006/relationships" name="FSGC-12 Mediation Register" sheetId="11" state="visible" r:id="rId11"/>
    <sheet xmlns:r="http://schemas.openxmlformats.org/officeDocument/2006/relationships" name="FSGC-13 Decision Register" sheetId="12" state="visible" r:id="rId12"/>
    <sheet xmlns:r="http://schemas.openxmlformats.org/officeDocument/2006/relationships" name="FSGC-18 Service Conditions" sheetId="13" state="visible" r:id="rId13"/>
    <sheet xmlns:r="http://schemas.openxmlformats.org/officeDocument/2006/relationships" name="FSGC-24 Case Master Register" sheetId="14" state="visible" r:id="rId14"/>
    <sheet xmlns:r="http://schemas.openxmlformats.org/officeDocument/2006/relationships" name="FSGC-27 Systemic Issues" sheetId="15" state="visible" r:id="rId15"/>
    <sheet xmlns:r="http://schemas.openxmlformats.org/officeDocument/2006/relationships" name="FSGC-10 SCN Register" sheetId="16" state="visible" r:id="rId16"/>
    <sheet xmlns:r="http://schemas.openxmlformats.org/officeDocument/2006/relationships" name="FSGC-16 Appeal Register" sheetId="17" state="visible" r:id="rId17"/>
    <sheet xmlns:r="http://schemas.openxmlformats.org/officeDocument/2006/relationships" name="FSGC-28-29 Awareness" sheetId="18" state="visible" r:id="rId18"/>
    <sheet xmlns:r="http://schemas.openxmlformats.org/officeDocument/2006/relationships" name="FSGC-30 KPI Dashboard" sheetId="19" state="visible" r:id="rId19"/>
    <sheet xmlns:r="http://schemas.openxmlformats.org/officeDocument/2006/relationships" name="FSGC-31 Annual Repor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color rgb="00115E59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F172A"/>
      <sz val="10"/>
    </font>
    <font>
      <name val="Arial"/>
      <color rgb="000F172A"/>
      <sz val="10"/>
    </font>
    <font>
      <name val="Arial"/>
      <color rgb="0064748B"/>
      <sz val="9"/>
    </font>
    <font>
      <name val="Arial"/>
      <b val="1"/>
      <color rgb="00FFFFFF"/>
      <sz val="14"/>
    </font>
    <font>
      <name val="Arial"/>
      <color rgb="00451A03"/>
      <sz val="8"/>
    </font>
    <font>
      <name val="Arial"/>
      <color rgb="003F2000"/>
      <sz val="9"/>
    </font>
    <font>
      <name val="Arial"/>
      <b val="1"/>
      <color rgb="001E3A5F"/>
      <sz val="9"/>
    </font>
    <font>
      <name val="Arial"/>
      <b val="1"/>
      <color rgb="00115E59"/>
      <sz val="10"/>
    </font>
    <font>
      <name val="Arial"/>
      <b val="1"/>
      <color rgb="00334155"/>
      <sz val="10"/>
    </font>
    <font>
      <name val="Arial"/>
      <b val="1"/>
      <color rgb="00166534"/>
      <sz val="10"/>
    </font>
    <font>
      <name val="Arial"/>
      <color rgb="000F172A"/>
      <sz val="9"/>
    </font>
    <font>
      <name val="Arial"/>
      <b val="1"/>
      <color rgb="000F172A"/>
      <sz val="9"/>
    </font>
    <font>
      <name val="Arial"/>
      <b val="1"/>
      <color rgb="000A2020"/>
      <sz val="10"/>
    </font>
    <font>
      <name val="Arial"/>
      <b val="1"/>
      <color rgb="001E3A5F"/>
      <sz val="10"/>
    </font>
    <font>
      <name val="Arial"/>
      <b val="1"/>
      <color rgb="00115E59"/>
      <sz val="9"/>
    </font>
    <font>
      <name val="Arial"/>
      <color rgb="001E3A5F"/>
      <sz val="9"/>
    </font>
  </fonts>
  <fills count="22">
    <fill>
      <patternFill/>
    </fill>
    <fill>
      <patternFill patternType="gray125"/>
    </fill>
    <fill>
      <patternFill patternType="solid">
        <fgColor rgb="000A2020"/>
      </patternFill>
    </fill>
    <fill>
      <patternFill patternType="solid">
        <fgColor rgb="00CCFBF1"/>
      </patternFill>
    </fill>
    <fill>
      <patternFill patternType="solid">
        <fgColor rgb="00D97706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EF3C7"/>
      </patternFill>
    </fill>
    <fill>
      <patternFill patternType="solid">
        <fgColor rgb="00115E59"/>
      </patternFill>
    </fill>
    <fill>
      <patternFill patternType="solid">
        <fgColor rgb="00F0F4FF"/>
      </patternFill>
    </fill>
    <fill>
      <patternFill patternType="solid">
        <fgColor rgb="00B45309"/>
      </patternFill>
    </fill>
    <fill>
      <patternFill patternType="solid">
        <fgColor rgb="00DCFCE7"/>
      </patternFill>
    </fill>
    <fill>
      <patternFill patternType="solid">
        <fgColor rgb="00E2E8F0"/>
      </patternFill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92400E"/>
      </patternFill>
    </fill>
    <fill>
      <patternFill patternType="solid">
        <fgColor rgb="00166534"/>
      </patternFill>
    </fill>
    <fill>
      <patternFill patternType="solid">
        <fgColor rgb="004338CA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left" vertical="center" wrapText="1"/>
    </xf>
    <xf numFmtId="0" fontId="11" fillId="10" borderId="0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3" fillId="9" borderId="0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4" fillId="12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5" fillId="13" borderId="0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center" vertical="center" wrapText="1"/>
    </xf>
    <xf numFmtId="0" fontId="3" fillId="14" borderId="0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center" vertical="center" wrapText="1"/>
    </xf>
    <xf numFmtId="0" fontId="15" fillId="15" borderId="1" applyAlignment="1" pivotButton="0" quotePrefix="0" xfId="0">
      <alignment horizontal="left" vertical="center" wrapText="1"/>
    </xf>
    <xf numFmtId="0" fontId="15" fillId="15" borderId="1" applyAlignment="1" pivotButton="0" quotePrefix="0" xfId="0">
      <alignment horizontal="center" vertical="center" wrapText="1"/>
    </xf>
    <xf numFmtId="0" fontId="3" fillId="16" borderId="0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16" fillId="17" borderId="1" applyAlignment="1" pivotButton="0" quotePrefix="0" xfId="0">
      <alignment horizontal="center" vertical="center" wrapText="1"/>
    </xf>
    <xf numFmtId="0" fontId="15" fillId="17" borderId="1" applyAlignment="1" pivotButton="0" quotePrefix="0" xfId="0">
      <alignment horizontal="left" vertical="center" wrapText="1"/>
    </xf>
    <xf numFmtId="0" fontId="15" fillId="17" borderId="1" applyAlignment="1" pivotButton="0" quotePrefix="0" xfId="0">
      <alignment horizontal="center" vertical="center" wrapText="1"/>
    </xf>
    <xf numFmtId="0" fontId="3" fillId="18" borderId="0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center" vertical="center" wrapText="1"/>
    </xf>
    <xf numFmtId="0" fontId="3" fillId="19" borderId="0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center" vertical="center" wrapText="1"/>
    </xf>
    <xf numFmtId="0" fontId="16" fillId="13" borderId="1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left" vertical="center" wrapText="1"/>
    </xf>
    <xf numFmtId="0" fontId="15" fillId="13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18" fillId="15" borderId="1" applyAlignment="1" pivotButton="0" quotePrefix="0" xfId="0">
      <alignment horizontal="left" vertical="center" wrapText="1"/>
    </xf>
    <xf numFmtId="0" fontId="19" fillId="3" borderId="0" applyAlignment="1" pivotButton="0" quotePrefix="0" xfId="0">
      <alignment horizontal="left" vertical="center" wrapText="1"/>
    </xf>
    <xf numFmtId="0" fontId="0" fillId="3" borderId="1" pivotButton="0" quotePrefix="0" xfId="0"/>
    <xf numFmtId="0" fontId="20" fillId="15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4" fillId="20" borderId="1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center" vertical="center" wrapText="1"/>
    </xf>
    <xf numFmtId="0" fontId="6" fillId="21" borderId="1" applyAlignment="1" pivotButton="0" quotePrefix="0" xfId="0">
      <alignment horizontal="center" vertical="center" wrapText="1"/>
    </xf>
    <xf numFmtId="0" fontId="6" fillId="21" borderId="1" applyAlignment="1" pivotButton="0" quotePrefix="0" xfId="0">
      <alignment horizontal="left" vertical="center" wrapText="1"/>
    </xf>
    <xf numFmtId="0" fontId="3" fillId="20" borderId="0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6" customWidth="1" min="3" max="3"/>
    <col width="28" customWidth="1" min="4" max="4"/>
    <col width="18" customWidth="1" min="5" max="5"/>
    <col width="3" customWidth="1" min="6" max="6"/>
  </cols>
  <sheetData>
    <row r="1" ht="10" customHeight="1"/>
    <row r="2" ht="80" customHeight="1">
      <c r="B2" s="1" t="inlineStr">
        <is>
          <t>FACULTY / STAFF GRIEVANCE COMMITTEE (FSGC)
Data Collection Formats — Master Workbook</t>
        </is>
      </c>
    </row>
    <row r="3" ht="28" customHeight="1">
      <c r="B3" s="2" t="inlineStr">
        <is>
          <t>Institution: _________________________  FSGC Chairperson: _____________  A.Y.: _______  Version: _____</t>
        </is>
      </c>
    </row>
    <row r="4" ht="22" customHeight="1">
      <c r="B4" s="3" t="inlineStr">
        <is>
          <t>Form No.</t>
        </is>
      </c>
      <c r="C4" s="3" t="inlineStr">
        <is>
          <t>Format / Form Title</t>
        </is>
      </c>
      <c r="D4" s="3" t="inlineStr">
        <is>
          <t>Purpose / Usage</t>
        </is>
      </c>
      <c r="E4" s="3" t="inlineStr">
        <is>
          <t>Frequency</t>
        </is>
      </c>
    </row>
    <row r="5" ht="20" customHeight="1">
      <c r="B5" s="4" t="inlineStr">
        <is>
          <t>── GOVERNANCE &amp; ADMINISTRATION ──</t>
        </is>
      </c>
    </row>
    <row r="6" ht="20" customHeight="1">
      <c r="B6" s="5" t="inlineStr">
        <is>
          <t>FSGC-00</t>
        </is>
      </c>
      <c r="C6" s="6" t="inlineStr">
        <is>
          <t>Committee Composition &amp; Members Register</t>
        </is>
      </c>
      <c r="D6" s="6" t="inlineStr">
        <is>
          <t>Record FSGC members, legal advisor &amp; HR reps</t>
        </is>
      </c>
      <c r="E6" s="7" t="inlineStr">
        <is>
          <t>Annual</t>
        </is>
      </c>
    </row>
    <row r="7" ht="20" customHeight="1">
      <c r="B7" s="8" t="inlineStr">
        <is>
          <t>FSGC-NA</t>
        </is>
      </c>
      <c r="C7" s="9" t="inlineStr">
        <is>
          <t>Meeting Notice, Agenda &amp; Dispatch Record</t>
        </is>
      </c>
      <c r="D7" s="9" t="inlineStr">
        <is>
          <t>Formal notice and agenda for FSGC meetings</t>
        </is>
      </c>
      <c r="E7" s="10" t="inlineStr">
        <is>
          <t>Each Meeting</t>
        </is>
      </c>
    </row>
    <row r="8" ht="20" customHeight="1">
      <c r="B8" s="5" t="inlineStr">
        <is>
          <t>FSGC-AT</t>
        </is>
      </c>
      <c r="C8" s="6" t="inlineStr">
        <is>
          <t>Attendance &amp; Quorum Register</t>
        </is>
      </c>
      <c r="D8" s="6" t="inlineStr">
        <is>
          <t>Confirm attendance and quorum</t>
        </is>
      </c>
      <c r="E8" s="7" t="inlineStr">
        <is>
          <t>Each Meeting</t>
        </is>
      </c>
    </row>
    <row r="9" ht="20" customHeight="1">
      <c r="B9" s="8" t="inlineStr">
        <is>
          <t>FSGC-MM</t>
        </is>
      </c>
      <c r="C9" s="9" t="inlineStr">
        <is>
          <t>Meeting Minutes &amp; Resolutions</t>
        </is>
      </c>
      <c r="D9" s="9" t="inlineStr">
        <is>
          <t>Record decisions, resolutions &amp; directives</t>
        </is>
      </c>
      <c r="E9" s="10" t="inlineStr">
        <is>
          <t>Each Meeting</t>
        </is>
      </c>
    </row>
    <row r="10" ht="20" customHeight="1">
      <c r="B10" s="5" t="inlineStr">
        <is>
          <t>FSGC-ATR</t>
        </is>
      </c>
      <c r="C10" s="6" t="inlineStr">
        <is>
          <t>Action Taken Report</t>
        </is>
      </c>
      <c r="D10" s="6" t="inlineStr">
        <is>
          <t>Track implementation of FSGC resolutions</t>
        </is>
      </c>
      <c r="E10" s="7" t="inlineStr">
        <is>
          <t>Each Meeting</t>
        </is>
      </c>
    </row>
    <row r="11" ht="20" customHeight="1">
      <c r="B11" s="4" t="inlineStr">
        <is>
          <t>── POLICY &amp; LEGAL FRAMEWORK ──</t>
        </is>
      </c>
    </row>
    <row r="12" ht="20" customHeight="1">
      <c r="B12" s="5" t="inlineStr">
        <is>
          <t>FSGC-01</t>
        </is>
      </c>
      <c r="C12" s="6" t="inlineStr">
        <is>
          <t>Grievance Policy &amp; Redressal Framework</t>
        </is>
      </c>
      <c r="D12" s="6" t="inlineStr">
        <is>
          <t>Document institutional grievance policy &amp; procedures</t>
        </is>
      </c>
      <c r="E12" s="7" t="inlineStr">
        <is>
          <t>Annual</t>
        </is>
      </c>
    </row>
    <row r="13" ht="20" customHeight="1">
      <c r="B13" s="8" t="inlineStr">
        <is>
          <t>FSGC-02</t>
        </is>
      </c>
      <c r="C13" s="9" t="inlineStr">
        <is>
          <t>Grievance Category &amp; Classification Register</t>
        </is>
      </c>
      <c r="D13" s="9" t="inlineStr">
        <is>
          <t>Classify grievance types with escalation matrix</t>
        </is>
      </c>
      <c r="E13" s="10" t="inlineStr">
        <is>
          <t>Annual</t>
        </is>
      </c>
    </row>
    <row r="14" ht="20" customHeight="1">
      <c r="B14" s="5" t="inlineStr">
        <is>
          <t>FSGC-03</t>
        </is>
      </c>
      <c r="C14" s="6" t="inlineStr">
        <is>
          <t>FSGC Powers &amp; Jurisdiction Register</t>
        </is>
      </c>
      <c r="D14" s="6" t="inlineStr">
        <is>
          <t>Define committee authority, timelines &amp; appeal rights</t>
        </is>
      </c>
      <c r="E14" s="7" t="inlineStr">
        <is>
          <t>Annual</t>
        </is>
      </c>
    </row>
    <row r="15" ht="20" customHeight="1">
      <c r="B15" s="4" t="inlineStr">
        <is>
          <t>── COMPLAINT &amp; REGISTRATION ──</t>
        </is>
      </c>
    </row>
    <row r="16" ht="20" customHeight="1">
      <c r="B16" s="5" t="inlineStr">
        <is>
          <t>FSGC-04</t>
        </is>
      </c>
      <c r="C16" s="6" t="inlineStr">
        <is>
          <t>Grievance Complaint / Petition Form</t>
        </is>
      </c>
      <c r="D16" s="6" t="inlineStr">
        <is>
          <t>Formal written grievance submission by faculty/staff</t>
        </is>
      </c>
      <c r="E16" s="7" t="inlineStr">
        <is>
          <t>Per Complaint</t>
        </is>
      </c>
    </row>
    <row r="17" ht="20" customHeight="1">
      <c r="B17" s="8" t="inlineStr">
        <is>
          <t>FSGC-05</t>
        </is>
      </c>
      <c r="C17" s="9" t="inlineStr">
        <is>
          <t>Grievance Registration &amp; Acknowledgement Reg.</t>
        </is>
      </c>
      <c r="D17" s="9" t="inlineStr">
        <is>
          <t>Register, acknowledge and assign every grievance</t>
        </is>
      </c>
      <c r="E17" s="10" t="inlineStr">
        <is>
          <t>Per Complaint</t>
        </is>
      </c>
    </row>
    <row r="18" ht="20" customHeight="1">
      <c r="B18" s="5" t="inlineStr">
        <is>
          <t>FSGC-06</t>
        </is>
      </c>
      <c r="C18" s="6" t="inlineStr">
        <is>
          <t>Anonymous / Confidential Grievance Register</t>
        </is>
      </c>
      <c r="D18" s="6" t="inlineStr">
        <is>
          <t>Handle complaints submitted anonymously</t>
        </is>
      </c>
      <c r="E18" s="7" t="inlineStr">
        <is>
          <t>Per Complaint</t>
        </is>
      </c>
    </row>
    <row r="19" ht="20" customHeight="1">
      <c r="B19" s="8" t="inlineStr">
        <is>
          <t>FSGC-07</t>
        </is>
      </c>
      <c r="C19" s="9" t="inlineStr">
        <is>
          <t>Urgent / Emergency Grievance Register</t>
        </is>
      </c>
      <c r="D19" s="9" t="inlineStr">
        <is>
          <t>Log grievances requiring immediate institutional action</t>
        </is>
      </c>
      <c r="E19" s="10" t="inlineStr">
        <is>
          <t>Per Incident</t>
        </is>
      </c>
    </row>
    <row r="20" ht="20" customHeight="1">
      <c r="B20" s="4" t="inlineStr">
        <is>
          <t>── INQUIRY &amp; INVESTIGATION ──</t>
        </is>
      </c>
    </row>
    <row r="21" ht="20" customHeight="1">
      <c r="B21" s="8" t="inlineStr">
        <is>
          <t>FSGC-08</t>
        </is>
      </c>
      <c r="C21" s="9" t="inlineStr">
        <is>
          <t>Inquiry Committee Constitution Register</t>
        </is>
      </c>
      <c r="D21" s="9" t="inlineStr">
        <is>
          <t>Constitute inquiry panel per grievance category</t>
        </is>
      </c>
      <c r="E21" s="10" t="inlineStr">
        <is>
          <t>Per Case</t>
        </is>
      </c>
    </row>
    <row r="22" ht="20" customHeight="1">
      <c r="B22" s="5" t="inlineStr">
        <is>
          <t>FSGC-09</t>
        </is>
      </c>
      <c r="C22" s="6" t="inlineStr">
        <is>
          <t>Grievance Hearing &amp; Proceedings Log</t>
        </is>
      </c>
      <c r="D22" s="6" t="inlineStr">
        <is>
          <t>Document hearings, evidence &amp; statements</t>
        </is>
      </c>
      <c r="E22" s="7" t="inlineStr">
        <is>
          <t>Per Case</t>
        </is>
      </c>
    </row>
    <row r="23" ht="20" customHeight="1">
      <c r="B23" s="8" t="inlineStr">
        <is>
          <t>FSGC-10</t>
        </is>
      </c>
      <c r="C23" s="9" t="inlineStr">
        <is>
          <t>Show-Cause Notice Issue &amp; Response Register</t>
        </is>
      </c>
      <c r="D23" s="9" t="inlineStr">
        <is>
          <t>Issue and track SCN and respondent's reply</t>
        </is>
      </c>
      <c r="E23" s="10" t="inlineStr">
        <is>
          <t>Per Case</t>
        </is>
      </c>
    </row>
    <row r="24" ht="20" customHeight="1">
      <c r="B24" s="5" t="inlineStr">
        <is>
          <t>FSGC-11</t>
        </is>
      </c>
      <c r="C24" s="6" t="inlineStr">
        <is>
          <t>Evidence &amp; Document Register</t>
        </is>
      </c>
      <c r="D24" s="6" t="inlineStr">
        <is>
          <t>Register all evidence and documents submitted</t>
        </is>
      </c>
      <c r="E24" s="7" t="inlineStr">
        <is>
          <t>Per Case</t>
        </is>
      </c>
    </row>
    <row r="25" ht="20" customHeight="1">
      <c r="B25" s="8" t="inlineStr">
        <is>
          <t>FSGC-12</t>
        </is>
      </c>
      <c r="C25" s="9" t="inlineStr">
        <is>
          <t>Mediation &amp; Conciliation Register</t>
        </is>
      </c>
      <c r="D25" s="9" t="inlineStr">
        <is>
          <t>Document mediation proceedings between parties</t>
        </is>
      </c>
      <c r="E25" s="10" t="inlineStr">
        <is>
          <t>Per Case</t>
        </is>
      </c>
    </row>
    <row r="26" ht="20" customHeight="1">
      <c r="B26" s="4" t="inlineStr">
        <is>
          <t>── DECISION &amp; RESOLUTION ──</t>
        </is>
      </c>
    </row>
    <row r="27" ht="20" customHeight="1">
      <c r="B27" s="8" t="inlineStr">
        <is>
          <t>FSGC-13</t>
        </is>
      </c>
      <c r="C27" s="9" t="inlineStr">
        <is>
          <t>FSGC Decision &amp; Recommendation Register</t>
        </is>
      </c>
      <c r="D27" s="9" t="inlineStr">
        <is>
          <t>Document final FSGC finding and recommendation</t>
        </is>
      </c>
      <c r="E27" s="10" t="inlineStr">
        <is>
          <t>Per Case</t>
        </is>
      </c>
    </row>
    <row r="28" ht="20" customHeight="1">
      <c r="B28" s="5" t="inlineStr">
        <is>
          <t>FSGC-14</t>
        </is>
      </c>
      <c r="C28" s="6" t="inlineStr">
        <is>
          <t>Management Action &amp; Resolution Register</t>
        </is>
      </c>
      <c r="D28" s="6" t="inlineStr">
        <is>
          <t>Track management action on FSGC recommendations</t>
        </is>
      </c>
      <c r="E28" s="7" t="inlineStr">
        <is>
          <t>Per Case</t>
        </is>
      </c>
    </row>
    <row r="29" ht="20" customHeight="1">
      <c r="B29" s="8" t="inlineStr">
        <is>
          <t>FSGC-15</t>
        </is>
      </c>
      <c r="C29" s="9" t="inlineStr">
        <is>
          <t>Settlement &amp; Agreement Register</t>
        </is>
      </c>
      <c r="D29" s="9" t="inlineStr">
        <is>
          <t>Record negotiated settlements between parties</t>
        </is>
      </c>
      <c r="E29" s="10" t="inlineStr">
        <is>
          <t>Per Case</t>
        </is>
      </c>
    </row>
    <row r="30" ht="20" customHeight="1">
      <c r="B30" s="4" t="inlineStr">
        <is>
          <t>── APPEAL &amp; REVIEW ──</t>
        </is>
      </c>
    </row>
    <row r="31" ht="20" customHeight="1">
      <c r="B31" s="8" t="inlineStr">
        <is>
          <t>FSGC-16</t>
        </is>
      </c>
      <c r="C31" s="9" t="inlineStr">
        <is>
          <t>Appeal Application &amp; Register</t>
        </is>
      </c>
      <c r="D31" s="9" t="inlineStr">
        <is>
          <t>Receive and process appeals against FSGC decisions</t>
        </is>
      </c>
      <c r="E31" s="10" t="inlineStr">
        <is>
          <t>Per Appeal</t>
        </is>
      </c>
    </row>
    <row r="32" ht="20" customHeight="1">
      <c r="B32" s="5" t="inlineStr">
        <is>
          <t>FSGC-17</t>
        </is>
      </c>
      <c r="C32" s="6" t="inlineStr">
        <is>
          <t>Appeal Hearing &amp; Decision Register</t>
        </is>
      </c>
      <c r="D32" s="6" t="inlineStr">
        <is>
          <t>Document appeal proceedings and outcome</t>
        </is>
      </c>
      <c r="E32" s="7" t="inlineStr">
        <is>
          <t>Per Appeal</t>
        </is>
      </c>
    </row>
    <row r="33" ht="20" customHeight="1">
      <c r="B33" s="4" t="inlineStr">
        <is>
          <t>── CATEGORY-SPECIFIC REGISTERS ──</t>
        </is>
      </c>
    </row>
    <row r="34" ht="20" customHeight="1">
      <c r="B34" s="5" t="inlineStr">
        <is>
          <t>FSGC-18</t>
        </is>
      </c>
      <c r="C34" s="6" t="inlineStr">
        <is>
          <t>Service Conditions Grievance Register</t>
        </is>
      </c>
      <c r="D34" s="6" t="inlineStr">
        <is>
          <t>Handle grievances on pay, promotion, leave, seniority</t>
        </is>
      </c>
      <c r="E34" s="7" t="inlineStr">
        <is>
          <t>Per Complaint</t>
        </is>
      </c>
    </row>
    <row r="35" ht="20" customHeight="1">
      <c r="B35" s="8" t="inlineStr">
        <is>
          <t>FSGC-19</t>
        </is>
      </c>
      <c r="C35" s="9" t="inlineStr">
        <is>
          <t>Workload &amp; Assignment Grievance Register</t>
        </is>
      </c>
      <c r="D35" s="9" t="inlineStr">
        <is>
          <t>Handle complaints on unfair workload or course allocation</t>
        </is>
      </c>
      <c r="E35" s="10" t="inlineStr">
        <is>
          <t>Per Complaint</t>
        </is>
      </c>
    </row>
    <row r="36" ht="20" customHeight="1">
      <c r="B36" s="5" t="inlineStr">
        <is>
          <t>FSGC-20</t>
        </is>
      </c>
      <c r="C36" s="6" t="inlineStr">
        <is>
          <t>Workplace Harassment / Bullying Register</t>
        </is>
      </c>
      <c r="D36" s="6" t="inlineStr">
        <is>
          <t>Handle bullying, intimidation, hostile environment cases</t>
        </is>
      </c>
      <c r="E36" s="7" t="inlineStr">
        <is>
          <t>Per Complaint</t>
        </is>
      </c>
    </row>
    <row r="37" ht="20" customHeight="1">
      <c r="B37" s="8" t="inlineStr">
        <is>
          <t>FSGC-21</t>
        </is>
      </c>
      <c r="C37" s="9" t="inlineStr">
        <is>
          <t>Discrimination Grievance Register</t>
        </is>
      </c>
      <c r="D37" s="9" t="inlineStr">
        <is>
          <t>Handle caste, gender, religion, disability discrimination</t>
        </is>
      </c>
      <c r="E37" s="10" t="inlineStr">
        <is>
          <t>Per Complaint</t>
        </is>
      </c>
    </row>
    <row r="38" ht="20" customHeight="1">
      <c r="B38" s="5" t="inlineStr">
        <is>
          <t>FSGC-22</t>
        </is>
      </c>
      <c r="C38" s="6" t="inlineStr">
        <is>
          <t>Infrastructure &amp; Facility Grievance Register</t>
        </is>
      </c>
      <c r="D38" s="6" t="inlineStr">
        <is>
          <t>Handle complaints on workspace, resources, safety</t>
        </is>
      </c>
      <c r="E38" s="7" t="inlineStr">
        <is>
          <t>Per Complaint</t>
        </is>
      </c>
    </row>
    <row r="39" ht="20" customHeight="1">
      <c r="B39" s="8" t="inlineStr">
        <is>
          <t>FSGC-23</t>
        </is>
      </c>
      <c r="C39" s="9" t="inlineStr">
        <is>
          <t>Administrative / HR Process Grievance Register</t>
        </is>
      </c>
      <c r="D39" s="9" t="inlineStr">
        <is>
          <t>Handle complaints on recruitment, appraisal, transfers</t>
        </is>
      </c>
      <c r="E39" s="10" t="inlineStr">
        <is>
          <t>Per Complaint</t>
        </is>
      </c>
    </row>
    <row r="40" ht="20" customHeight="1">
      <c r="B40" s="4" t="inlineStr">
        <is>
          <t>── CASE MASTER &amp; ARCHIVE ──</t>
        </is>
      </c>
    </row>
    <row r="41" ht="20" customHeight="1">
      <c r="B41" s="8" t="inlineStr">
        <is>
          <t>FSGC-24</t>
        </is>
      </c>
      <c r="C41" s="9" t="inlineStr">
        <is>
          <t>Grievance Case Master Register</t>
        </is>
      </c>
      <c r="D41" s="9" t="inlineStr">
        <is>
          <t>Consolidated master register of all FSGC cases</t>
        </is>
      </c>
      <c r="E41" s="10" t="inlineStr">
        <is>
          <t>Continuous</t>
        </is>
      </c>
    </row>
    <row r="42" ht="20" customHeight="1">
      <c r="B42" s="5" t="inlineStr">
        <is>
          <t>FSGC-25</t>
        </is>
      </c>
      <c r="C42" s="6" t="inlineStr">
        <is>
          <t>Closed Case Archive &amp; Record Register</t>
        </is>
      </c>
      <c r="D42" s="6" t="inlineStr">
        <is>
          <t>Archive closed and resolved grievance cases</t>
        </is>
      </c>
      <c r="E42" s="7" t="inlineStr">
        <is>
          <t>Annual</t>
        </is>
      </c>
    </row>
    <row r="43" ht="20" customHeight="1">
      <c r="B43" s="4" t="inlineStr">
        <is>
          <t>── WELFARE &amp; SUPPORT ──</t>
        </is>
      </c>
    </row>
    <row r="44" ht="20" customHeight="1">
      <c r="B44" s="5" t="inlineStr">
        <is>
          <t>FSGC-26</t>
        </is>
      </c>
      <c r="C44" s="6" t="inlineStr">
        <is>
          <t>Complainant Welfare &amp; Support Register</t>
        </is>
      </c>
      <c r="D44" s="6" t="inlineStr">
        <is>
          <t>Track support given to complainant during proceedings</t>
        </is>
      </c>
      <c r="E44" s="7" t="inlineStr">
        <is>
          <t>Per Case</t>
        </is>
      </c>
    </row>
    <row r="45" ht="20" customHeight="1">
      <c r="B45" s="8" t="inlineStr">
        <is>
          <t>FSGC-27</t>
        </is>
      </c>
      <c r="C45" s="9" t="inlineStr">
        <is>
          <t>Systemic Issue Tracking Register</t>
        </is>
      </c>
      <c r="D45" s="9" t="inlineStr">
        <is>
          <t>Track recurring grievances indicating systemic problems</t>
        </is>
      </c>
      <c r="E45" s="10" t="inlineStr">
        <is>
          <t>Quarterly</t>
        </is>
      </c>
    </row>
    <row r="46" ht="20" customHeight="1">
      <c r="B46" s="4" t="inlineStr">
        <is>
          <t>── AWARENESS &amp; PREVENTION ──</t>
        </is>
      </c>
    </row>
    <row r="47" ht="20" customHeight="1">
      <c r="B47" s="8" t="inlineStr">
        <is>
          <t>FSGC-28</t>
        </is>
      </c>
      <c r="C47" s="9" t="inlineStr">
        <is>
          <t>Grievance Awareness Programme Register</t>
        </is>
      </c>
      <c r="D47" s="9" t="inlineStr">
        <is>
          <t>Document awareness on grievance rights and procedures</t>
        </is>
      </c>
      <c r="E47" s="10" t="inlineStr">
        <is>
          <t>Annual</t>
        </is>
      </c>
    </row>
    <row r="48" ht="20" customHeight="1">
      <c r="B48" s="5" t="inlineStr">
        <is>
          <t>FSGC-29</t>
        </is>
      </c>
      <c r="C48" s="6" t="inlineStr">
        <is>
          <t>FSGC Communication &amp; Outreach Register</t>
        </is>
      </c>
      <c r="D48" s="6" t="inlineStr">
        <is>
          <t>Track communication of grievance mechanism to all staff</t>
        </is>
      </c>
      <c r="E48" s="7" t="inlineStr">
        <is>
          <t>Annual</t>
        </is>
      </c>
    </row>
    <row r="49" ht="20" customHeight="1">
      <c r="B49" s="4" t="inlineStr">
        <is>
          <t>── MONITORING &amp; REPORTING ──</t>
        </is>
      </c>
    </row>
    <row r="50" ht="20" customHeight="1">
      <c r="B50" s="5" t="inlineStr">
        <is>
          <t>FSGC-30</t>
        </is>
      </c>
      <c r="C50" s="6" t="inlineStr">
        <is>
          <t>FSGC KPI Dashboard</t>
        </is>
      </c>
      <c r="D50" s="6" t="inlineStr">
        <is>
          <t>Track all grievance KPIs — cases, resolution, timeliness</t>
        </is>
      </c>
      <c r="E50" s="7" t="inlineStr">
        <is>
          <t>Quarterly / Annual</t>
        </is>
      </c>
    </row>
    <row r="51" ht="20" customHeight="1">
      <c r="B51" s="8" t="inlineStr">
        <is>
          <t>FSGC-31</t>
        </is>
      </c>
      <c r="C51" s="9" t="inlineStr">
        <is>
          <t>FSGC Annual Report Compilation Form</t>
        </is>
      </c>
      <c r="D51" s="9" t="inlineStr">
        <is>
          <t>Year-end report for management, NAAC, UGC</t>
        </is>
      </c>
      <c r="E51" s="10" t="inlineStr">
        <is>
          <t>Annual</t>
        </is>
      </c>
    </row>
    <row r="52" ht="21" customHeight="1"/>
    <row r="53" ht="21" customHeight="1"/>
    <row r="54" ht="21" customHeight="1"/>
    <row r="55" ht="21" customHeight="1"/>
    <row r="56" ht="21" customHeight="1"/>
    <row r="57" ht="21" customHeight="1"/>
    <row r="106">
      <c r="B106" s="11" t="inlineStr">
        <is>
          <t>• FSGC = Faculty/Staff Grievance Committee — statutory body to redress grievances of teaching and non-teaching staff.</t>
        </is>
      </c>
    </row>
    <row r="107">
      <c r="B107" s="11" t="inlineStr">
        <is>
          <t>• Principles of Natural Justice MUST be followed: both parties heard, unbiased panel, decision in writing.</t>
        </is>
      </c>
    </row>
    <row r="108">
      <c r="B108" s="11" t="inlineStr">
        <is>
          <t>• Grievance must be acknowledged within 3 working days and resolved within 30 working days of registration.</t>
        </is>
      </c>
    </row>
    <row r="109">
      <c r="B109" s="11" t="inlineStr">
        <is>
          <t>• All grievance records are STRICTLY CONFIDENTIAL — access restricted to FSGC members and institutional head only.</t>
        </is>
      </c>
    </row>
    <row r="110">
      <c r="B110" s="11" t="inlineStr">
        <is>
          <t>• Sexual harassment of staff is handled by the ICC (POSH Committee) — FSGC coordinates but does NOT adjudicate.</t>
        </is>
      </c>
    </row>
    <row r="111">
      <c r="B111" s="11" t="inlineStr">
        <is>
          <t>• SC/ST staff atrocity/discrimination cases must also be forwarded to SC/ST Cell and authorities within 24 hours.</t>
        </is>
      </c>
    </row>
    <row r="112">
      <c r="B112" s="11" t="inlineStr">
        <is>
          <t>• FSGC data feeds into: NAAC AQAR Criterion VI.3 (Faculty Empowerment), NIRF, UGC annual HR compliance.</t>
        </is>
      </c>
    </row>
    <row r="113">
      <c r="B113" s="11" t="inlineStr">
        <is>
          <t>• Systemic issues identified through grievances must be escalated to management for policy correction.</t>
        </is>
      </c>
    </row>
    <row r="114">
      <c r="B114" s="11" t="inlineStr">
        <is>
          <t>• Complainant identity is protected — do not disclose to respondent unless necessary for proceedings.</t>
        </is>
      </c>
    </row>
    <row r="115">
      <c r="B115" s="11" t="inlineStr">
        <is>
          <t>• All FSGC records must be retained for minimum 5 years after case closure.</t>
        </is>
      </c>
    </row>
  </sheetData>
  <mergeCells count="23">
    <mergeCell ref="B108:E108"/>
    <mergeCell ref="B40:E40"/>
    <mergeCell ref="B49:E49"/>
    <mergeCell ref="B30:E30"/>
    <mergeCell ref="B15:E15"/>
    <mergeCell ref="B33:E33"/>
    <mergeCell ref="B5:E5"/>
    <mergeCell ref="B20:E20"/>
    <mergeCell ref="B114:E114"/>
    <mergeCell ref="B26:E26"/>
    <mergeCell ref="B110:E110"/>
    <mergeCell ref="B106:E106"/>
    <mergeCell ref="B113:E113"/>
    <mergeCell ref="B109:E109"/>
    <mergeCell ref="B3:E3"/>
    <mergeCell ref="B46:E46"/>
    <mergeCell ref="B115:E115"/>
    <mergeCell ref="B43:E43"/>
    <mergeCell ref="B11:E11"/>
    <mergeCell ref="B2:E2"/>
    <mergeCell ref="B111:E111"/>
    <mergeCell ref="B107:E107"/>
    <mergeCell ref="B112:E1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4" customWidth="1" min="4" max="4"/>
    <col width="20" customWidth="1" min="5" max="5"/>
    <col width="14" customWidth="1" min="6" max="6"/>
    <col width="14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52" customHeight="1">
      <c r="B2" s="12" t="inlineStr">
        <is>
          <t>FSGC-00: FACULTY / STAFF GRIEVANCE COMMITTEE — COMPOSITION REGISTER</t>
        </is>
      </c>
    </row>
    <row r="3" ht="20" customHeight="1">
      <c r="B3" s="13" t="inlineStr">
        <is>
          <t>Legal Framework: UGC Regulations on Minimum Standards &amp; Procedures for Award of M.Phil./Ph.D. | Industrial Disputes Act | Service Rules | UGC (Prevention, Prohibition and Redressal of Sexual Harassment) Regulations 2015</t>
        </is>
      </c>
    </row>
    <row r="4" ht="25" customHeight="1">
      <c r="B4" s="2" t="inlineStr">
        <is>
          <t>Institution: _________________________  A.Y.: _______  Constituted on: _______  Order No.: _______</t>
        </is>
      </c>
    </row>
    <row r="5" ht="22" customHeight="1">
      <c r="B5" s="14" t="n">
        <v>1</v>
      </c>
      <c r="C5" s="15" t="inlineStr"/>
      <c r="D5" s="15" t="inlineStr">
        <is>
          <t>Principal / Director</t>
        </is>
      </c>
      <c r="E5" s="14" t="inlineStr">
        <is>
          <t>Chairperson</t>
        </is>
      </c>
      <c r="F5" s="16" t="inlineStr">
        <is>
          <t>FSGC Leadership &amp; Final Authority</t>
        </is>
      </c>
      <c r="G5" s="15" t="inlineStr"/>
      <c r="H5" s="16" t="inlineStr"/>
      <c r="I5" s="16" t="inlineStr"/>
    </row>
    <row r="6" ht="22" customHeight="1">
      <c r="B6" s="8" t="n">
        <v>2</v>
      </c>
      <c r="C6" s="9" t="inlineStr"/>
      <c r="D6" s="9" t="inlineStr">
        <is>
          <t>Registrar / Senior HR Officer</t>
        </is>
      </c>
      <c r="E6" s="8" t="inlineStr">
        <is>
          <t>Member Secretary</t>
        </is>
      </c>
      <c r="F6" s="10" t="inlineStr">
        <is>
          <t>FSGC Records &amp; Coordination</t>
        </is>
      </c>
      <c r="G6" s="9" t="inlineStr"/>
      <c r="H6" s="10" t="inlineStr"/>
      <c r="I6" s="10" t="inlineStr"/>
    </row>
    <row r="7" ht="22" customHeight="1">
      <c r="B7" s="14" t="n">
        <v>3</v>
      </c>
      <c r="C7" s="15" t="inlineStr"/>
      <c r="D7" s="15" t="inlineStr">
        <is>
          <t>Senior Professor (Male) — Elected</t>
        </is>
      </c>
      <c r="E7" s="14" t="inlineStr">
        <is>
          <t>Senior Faculty Member – 1</t>
        </is>
      </c>
      <c r="F7" s="16" t="inlineStr">
        <is>
          <t>Faculty Representative</t>
        </is>
      </c>
      <c r="G7" s="15" t="inlineStr"/>
      <c r="H7" s="16" t="inlineStr"/>
      <c r="I7" s="16" t="inlineStr"/>
    </row>
    <row r="8" ht="22" customHeight="1">
      <c r="B8" s="8" t="n">
        <v>4</v>
      </c>
      <c r="C8" s="9" t="inlineStr"/>
      <c r="D8" s="9" t="inlineStr">
        <is>
          <t>Senior Professor (Female) — Elected</t>
        </is>
      </c>
      <c r="E8" s="8" t="inlineStr">
        <is>
          <t>Senior Faculty Member – 2</t>
        </is>
      </c>
      <c r="F8" s="10" t="inlineStr">
        <is>
          <t>Women Faculty Representative</t>
        </is>
      </c>
      <c r="G8" s="9" t="inlineStr"/>
      <c r="H8" s="10" t="inlineStr"/>
      <c r="I8" s="10" t="inlineStr"/>
    </row>
    <row r="9" ht="22" customHeight="1">
      <c r="B9" s="14" t="n">
        <v>5</v>
      </c>
      <c r="C9" s="15" t="inlineStr"/>
      <c r="D9" s="15" t="inlineStr">
        <is>
          <t>Sr. Administrative Officer — Elected</t>
        </is>
      </c>
      <c r="E9" s="14" t="inlineStr">
        <is>
          <t>Non-Teaching Staff Rep</t>
        </is>
      </c>
      <c r="F9" s="16" t="inlineStr">
        <is>
          <t>Non-Teaching Staff Voice</t>
        </is>
      </c>
      <c r="G9" s="15" t="inlineStr"/>
      <c r="H9" s="16" t="inlineStr"/>
      <c r="I9" s="16" t="inlineStr"/>
    </row>
    <row r="10" ht="22" customHeight="1">
      <c r="B10" s="8" t="n">
        <v>6</v>
      </c>
      <c r="C10" s="9" t="inlineStr"/>
      <c r="D10" s="9" t="inlineStr">
        <is>
          <t>Associate Professor — Nominated</t>
        </is>
      </c>
      <c r="E10" s="8" t="inlineStr">
        <is>
          <t>Faculty Member – 3</t>
        </is>
      </c>
      <c r="F10" s="10" t="inlineStr">
        <is>
          <t>Inquiry &amp; Proceedings</t>
        </is>
      </c>
      <c r="G10" s="9" t="inlineStr"/>
      <c r="H10" s="10" t="inlineStr"/>
      <c r="I10" s="10" t="inlineStr"/>
    </row>
    <row r="11" ht="22" customHeight="1">
      <c r="B11" s="14" t="n">
        <v>7</v>
      </c>
      <c r="C11" s="15" t="inlineStr"/>
      <c r="D11" s="15" t="inlineStr">
        <is>
          <t>Senior Faculty (Humanities / Law)</t>
        </is>
      </c>
      <c r="E11" s="14" t="inlineStr">
        <is>
          <t>Faculty Member – 4</t>
        </is>
      </c>
      <c r="F11" s="16" t="inlineStr">
        <is>
          <t>Legal &amp; Ethical Perspective</t>
        </is>
      </c>
      <c r="G11" s="15" t="inlineStr"/>
      <c r="H11" s="16" t="inlineStr"/>
      <c r="I11" s="16" t="inlineStr"/>
    </row>
    <row r="12" ht="22" customHeight="1">
      <c r="B12" s="8" t="n">
        <v>8</v>
      </c>
      <c r="C12" s="9" t="inlineStr"/>
      <c r="D12" s="9" t="inlineStr">
        <is>
          <t>Human Resources Officer / Personnel Officer</t>
        </is>
      </c>
      <c r="E12" s="8" t="inlineStr">
        <is>
          <t>HR Officer</t>
        </is>
      </c>
      <c r="F12" s="10" t="inlineStr">
        <is>
          <t>Service Rules &amp; HR Compliance</t>
        </is>
      </c>
      <c r="G12" s="9" t="inlineStr"/>
      <c r="H12" s="10" t="inlineStr"/>
      <c r="I12" s="10" t="inlineStr"/>
    </row>
    <row r="13" ht="22" customHeight="1">
      <c r="B13" s="14" t="n">
        <v>9</v>
      </c>
      <c r="C13" s="15" t="inlineStr"/>
      <c r="D13" s="15" t="inlineStr">
        <is>
          <t>Advocate / Labour Law Consultant</t>
        </is>
      </c>
      <c r="E13" s="14" t="inlineStr">
        <is>
          <t>Legal Advisor (External)</t>
        </is>
      </c>
      <c r="F13" s="16" t="inlineStr">
        <is>
          <t>Legal Compliance &amp; Advice</t>
        </is>
      </c>
      <c r="G13" s="15" t="inlineStr"/>
      <c r="H13" s="16" t="inlineStr"/>
      <c r="I13" s="16" t="inlineStr"/>
    </row>
    <row r="14" ht="22" customHeight="1">
      <c r="B14" s="8" t="n">
        <v>10</v>
      </c>
      <c r="C14" s="9" t="inlineStr"/>
      <c r="D14" s="9" t="inlineStr">
        <is>
          <t>SC/ST Category Faculty Member</t>
        </is>
      </c>
      <c r="E14" s="8" t="inlineStr">
        <is>
          <t>SC/ST Representative</t>
        </is>
      </c>
      <c r="F14" s="10" t="inlineStr">
        <is>
          <t>Reserved Category Staff Voice</t>
        </is>
      </c>
      <c r="G14" s="9" t="inlineStr"/>
      <c r="H14" s="10" t="inlineStr"/>
      <c r="I14" s="10" t="inlineStr"/>
    </row>
    <row r="15" ht="22" customHeight="1">
      <c r="B15" s="14" t="n">
        <v>11</v>
      </c>
      <c r="C15" s="15" t="inlineStr"/>
      <c r="D15" s="15" t="inlineStr">
        <is>
          <t>Senior Female Faculty / WSWC Head</t>
        </is>
      </c>
      <c r="E15" s="14" t="inlineStr">
        <is>
          <t>Women's Representative</t>
        </is>
      </c>
      <c r="F15" s="16" t="inlineStr">
        <is>
          <t>Women Staff Welfare</t>
        </is>
      </c>
      <c r="G15" s="15" t="inlineStr"/>
      <c r="H15" s="16" t="inlineStr"/>
      <c r="I15" s="16" t="inlineStr"/>
    </row>
    <row r="16" ht="22" customHeight="1">
      <c r="B16" s="8" t="n">
        <v>12</v>
      </c>
      <c r="C16" s="9" t="inlineStr"/>
      <c r="D16" s="9" t="inlineStr">
        <is>
          <t>IQAC In-charge</t>
        </is>
      </c>
      <c r="E16" s="8" t="inlineStr">
        <is>
          <t>IQAC Coordinator (Ex-off.)</t>
        </is>
      </c>
      <c r="F16" s="10" t="inlineStr">
        <is>
          <t>Quality &amp; Accreditation</t>
        </is>
      </c>
      <c r="G16" s="9" t="inlineStr"/>
      <c r="H16" s="10" t="inlineStr"/>
      <c r="I16" s="10" t="inlineStr"/>
    </row>
    <row r="17" ht="22" customHeight="1">
      <c r="B17" s="14" t="n">
        <v>13</v>
      </c>
      <c r="C17" s="15" t="inlineStr"/>
      <c r="D17" s="15" t="inlineStr">
        <is>
          <t>Finance Officer</t>
        </is>
      </c>
      <c r="E17" s="14" t="inlineStr">
        <is>
          <t>Finance Officer (Ex-off.)</t>
        </is>
      </c>
      <c r="F17" s="16" t="inlineStr">
        <is>
          <t>Service Condition / Pay Issues</t>
        </is>
      </c>
      <c r="G17" s="15" t="inlineStr"/>
      <c r="H17" s="16" t="inlineStr"/>
      <c r="I17" s="16" t="inlineStr"/>
    </row>
    <row r="18" ht="22" customHeight="1"/>
    <row r="19" ht="20" customHeight="1">
      <c r="B19" s="17" t="inlineStr">
        <is>
          <t>Faculty and staff representatives must be ELECTED by their peer group — not nominated by management. Legal Advisor is mandatory for cases involving service termination or disciplinary action. Gender balance required.</t>
        </is>
      </c>
    </row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</sheetData>
  <mergeCells count="4">
    <mergeCell ref="B3:I3"/>
    <mergeCell ref="B19:I19"/>
    <mergeCell ref="B2:I2"/>
    <mergeCell ref="B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4" customWidth="1" min="3" max="3"/>
    <col width="22" customWidth="1" min="4" max="4"/>
    <col width="18" customWidth="1" min="5" max="5"/>
    <col width="3" customWidth="1" min="6" max="6"/>
  </cols>
  <sheetData>
    <row r="1" ht="10" customHeight="1"/>
    <row r="2" ht="48" customHeight="1">
      <c r="B2" s="12" t="inlineStr">
        <is>
          <t>FACULTY/STAFF GRIEVANCE COMMITTEE: MEETING NOTICE &amp; AGENDA</t>
        </is>
      </c>
    </row>
    <row r="3" ht="18" customHeight="1">
      <c r="B3" s="18" t="inlineStr">
        <is>
          <t>STRICTLY CONFIDENTIAL — Faculty/Staff grievance records are sensitive HR documents. Access restricted to FSGC members and institutional leadership only.</t>
        </is>
      </c>
    </row>
    <row r="4" ht="22" customHeight="1">
      <c r="B4" s="19" t="inlineStr">
        <is>
          <t>Meeting No.:</t>
        </is>
      </c>
      <c r="C4" s="9" t="n"/>
    </row>
    <row r="5" ht="22" customHeight="1">
      <c r="B5" s="19" t="inlineStr">
        <is>
          <t>Academic Year:</t>
        </is>
      </c>
      <c r="C5" s="9" t="n"/>
    </row>
    <row r="6" ht="22" customHeight="1">
      <c r="B6" s="19" t="inlineStr">
        <is>
          <t>Date:</t>
        </is>
      </c>
      <c r="C6" s="9" t="n"/>
    </row>
    <row r="7" ht="22" customHeight="1">
      <c r="B7" s="19" t="inlineStr">
        <is>
          <t>Time:</t>
        </is>
      </c>
      <c r="C7" s="9" t="n"/>
    </row>
    <row r="8" ht="22" customHeight="1">
      <c r="B8" s="19" t="inlineStr">
        <is>
          <t>Venue:</t>
        </is>
      </c>
      <c r="C8" s="9" t="n"/>
    </row>
    <row r="9" ht="22" customHeight="1">
      <c r="B9" s="19" t="inlineStr">
        <is>
          <t>Mode:</t>
        </is>
      </c>
      <c r="C9" s="9" t="n"/>
    </row>
    <row r="10" ht="22" customHeight="1">
      <c r="B10" s="19" t="inlineStr">
        <is>
          <t>Notice by:</t>
        </is>
      </c>
      <c r="C10" s="9" t="n"/>
    </row>
    <row r="11" ht="22" customHeight="1">
      <c r="B11" s="19" t="inlineStr">
        <is>
          <t>Notice Date:</t>
        </is>
      </c>
      <c r="C11" s="9" t="n"/>
    </row>
    <row r="12" ht="24" customHeight="1">
      <c r="B12" s="20" t="inlineStr">
        <is>
          <t>AGENDA ITEMS</t>
        </is>
      </c>
    </row>
    <row r="13" ht="24" customHeight="1">
      <c r="B13" s="21" t="inlineStr">
        <is>
          <t>Item
No.</t>
        </is>
      </c>
      <c r="C13" s="21" t="inlineStr">
        <is>
          <t>Agenda Item</t>
        </is>
      </c>
      <c r="D13" s="21" t="inlineStr">
        <is>
          <t>Lead</t>
        </is>
      </c>
      <c r="E13" s="21" t="inlineStr">
        <is>
          <t>Duration (Min)</t>
        </is>
      </c>
    </row>
    <row r="14" ht="24" customHeight="1">
      <c r="B14" s="14" t="n">
        <v>1</v>
      </c>
      <c r="C14" s="15" t="inlineStr">
        <is>
          <t>Confirmation of minutes of previous FSGC meeting</t>
        </is>
      </c>
      <c r="D14" s="16" t="inlineStr"/>
      <c r="E14" s="16" t="inlineStr"/>
    </row>
    <row r="15" ht="24" customHeight="1">
      <c r="B15" s="8" t="n">
        <v>2</v>
      </c>
      <c r="C15" s="9" t="inlineStr">
        <is>
          <t>Action Taken Report on previous FSGC resolutions</t>
        </is>
      </c>
      <c r="D15" s="10" t="inlineStr"/>
      <c r="E15" s="10" t="inlineStr"/>
    </row>
    <row r="16" ht="24" customHeight="1">
      <c r="B16" s="14" t="n">
        <v>3</v>
      </c>
      <c r="C16" s="15" t="inlineStr">
        <is>
          <t>New grievances received — registration and status</t>
        </is>
      </c>
      <c r="D16" s="16" t="inlineStr"/>
      <c r="E16" s="16" t="inlineStr"/>
    </row>
    <row r="17" ht="24" customHeight="1">
      <c r="B17" s="8" t="n">
        <v>4</v>
      </c>
      <c r="C17" s="9" t="inlineStr">
        <is>
          <t>Ongoing cases — inquiry progress and next steps</t>
        </is>
      </c>
      <c r="D17" s="10" t="inlineStr"/>
      <c r="E17" s="10" t="inlineStr"/>
    </row>
    <row r="18" ht="24" customHeight="1">
      <c r="B18" s="14" t="n">
        <v>5</v>
      </c>
      <c r="C18" s="15" t="inlineStr">
        <is>
          <t>Show-cause notices issued — status of responses</t>
        </is>
      </c>
      <c r="D18" s="16" t="inlineStr"/>
      <c r="E18" s="16" t="inlineStr"/>
    </row>
    <row r="19" ht="24" customHeight="1">
      <c r="B19" s="8" t="n">
        <v>6</v>
      </c>
      <c r="C19" s="9" t="inlineStr">
        <is>
          <t>Mediation cases — conciliation progress</t>
        </is>
      </c>
      <c r="D19" s="10" t="inlineStr"/>
      <c r="E19" s="10" t="inlineStr"/>
    </row>
    <row r="20" ht="24" customHeight="1">
      <c r="B20" s="14" t="n">
        <v>7</v>
      </c>
      <c r="C20" s="15" t="inlineStr">
        <is>
          <t>FSGC decisions / recommendations — pending management action</t>
        </is>
      </c>
      <c r="D20" s="16" t="inlineStr"/>
      <c r="E20" s="16" t="inlineStr"/>
    </row>
    <row r="21" ht="24" customHeight="1">
      <c r="B21" s="8" t="n">
        <v>8</v>
      </c>
      <c r="C21" s="9" t="inlineStr">
        <is>
          <t>Settled cases — agreement compliance review</t>
        </is>
      </c>
      <c r="D21" s="10" t="inlineStr"/>
      <c r="E21" s="10" t="inlineStr"/>
    </row>
    <row r="22" ht="24" customHeight="1">
      <c r="B22" s="14" t="n">
        <v>9</v>
      </c>
      <c r="C22" s="15" t="inlineStr">
        <is>
          <t>Appeals filed — pending hearings</t>
        </is>
      </c>
      <c r="D22" s="16" t="inlineStr"/>
      <c r="E22" s="16" t="inlineStr"/>
    </row>
    <row r="23" ht="24" customHeight="1">
      <c r="B23" s="8" t="n">
        <v>10</v>
      </c>
      <c r="C23" s="9" t="inlineStr">
        <is>
          <t>Service conditions grievances — systemic issues identified</t>
        </is>
      </c>
      <c r="D23" s="10" t="inlineStr"/>
      <c r="E23" s="10" t="inlineStr"/>
    </row>
    <row r="24" ht="24" customHeight="1">
      <c r="B24" s="14" t="n">
        <v>11</v>
      </c>
      <c r="C24" s="15" t="inlineStr">
        <is>
          <t>Workload / assignment grievances — update</t>
        </is>
      </c>
      <c r="D24" s="16" t="inlineStr"/>
      <c r="E24" s="16" t="inlineStr"/>
    </row>
    <row r="25" ht="24" customHeight="1">
      <c r="B25" s="8" t="n">
        <v>12</v>
      </c>
      <c r="C25" s="9" t="inlineStr">
        <is>
          <t>Workplace harassment cases — coordination with ICC</t>
        </is>
      </c>
      <c r="D25" s="10" t="inlineStr"/>
      <c r="E25" s="10" t="inlineStr"/>
    </row>
    <row r="26" ht="24" customHeight="1">
      <c r="B26" s="14" t="n">
        <v>13</v>
      </c>
      <c r="C26" s="15" t="inlineStr">
        <is>
          <t>Discrimination cases — SC/ST cell coordination</t>
        </is>
      </c>
      <c r="D26" s="16" t="inlineStr"/>
      <c r="E26" s="16" t="inlineStr"/>
    </row>
    <row r="27" ht="24" customHeight="1">
      <c r="B27" s="8" t="n">
        <v>14</v>
      </c>
      <c r="C27" s="9" t="inlineStr">
        <is>
          <t>Infrastructure / facility grievances — action taken</t>
        </is>
      </c>
      <c r="D27" s="10" t="inlineStr"/>
      <c r="E27" s="10" t="inlineStr"/>
    </row>
    <row r="28" ht="24" customHeight="1">
      <c r="B28" s="14" t="n">
        <v>15</v>
      </c>
      <c r="C28" s="15" t="inlineStr">
        <is>
          <t>Systemic issues — pattern analysis and escalation</t>
        </is>
      </c>
      <c r="D28" s="16" t="inlineStr"/>
      <c r="E28" s="16" t="inlineStr"/>
    </row>
    <row r="29" ht="24" customHeight="1">
      <c r="B29" s="8" t="n">
        <v>16</v>
      </c>
      <c r="C29" s="9" t="inlineStr">
        <is>
          <t>Awareness programme — upcoming schedule</t>
        </is>
      </c>
      <c r="D29" s="10" t="inlineStr"/>
      <c r="E29" s="10" t="inlineStr"/>
    </row>
    <row r="30" ht="24" customHeight="1">
      <c r="B30" s="14" t="n">
        <v>17</v>
      </c>
      <c r="C30" s="15" t="inlineStr">
        <is>
          <t>Closed cases — archival and records compliance</t>
        </is>
      </c>
      <c r="D30" s="16" t="inlineStr"/>
      <c r="E30" s="16" t="inlineStr"/>
    </row>
    <row r="31" ht="24" customHeight="1">
      <c r="B31" s="8" t="n">
        <v>18</v>
      </c>
      <c r="C31" s="9" t="inlineStr">
        <is>
          <t>NAAC / HR compliance data — compilation status</t>
        </is>
      </c>
      <c r="D31" s="10" t="inlineStr"/>
      <c r="E31" s="10" t="inlineStr"/>
    </row>
    <row r="32" ht="24" customHeight="1">
      <c r="B32" s="14" t="n">
        <v>19</v>
      </c>
      <c r="C32" s="15" t="inlineStr">
        <is>
          <t>Any Other Matter with Permission of Chairperson (AOMPC)</t>
        </is>
      </c>
      <c r="D32" s="16" t="inlineStr"/>
      <c r="E32" s="16" t="inlineStr"/>
    </row>
    <row r="33" ht="24" customHeight="1"/>
    <row r="34" ht="24" customHeight="1">
      <c r="B34" s="22" t="inlineStr">
        <is>
          <t>DISPATCH RECORD</t>
        </is>
      </c>
    </row>
    <row r="35" ht="24" customHeight="1">
      <c r="B35" s="23" t="inlineStr">
        <is>
          <t>Sl.</t>
        </is>
      </c>
      <c r="C35" s="23" t="inlineStr">
        <is>
          <t>Member Name &amp; Role</t>
        </is>
      </c>
      <c r="D35" s="23" t="inlineStr">
        <is>
          <t>Mode</t>
        </is>
      </c>
      <c r="E35" s="23" t="inlineStr">
        <is>
          <t>Date &amp; Acknowledgement</t>
        </is>
      </c>
    </row>
    <row r="36" ht="22" customHeight="1">
      <c r="B36" s="24" t="n"/>
      <c r="C36" s="24" t="n"/>
      <c r="D36" s="24" t="n"/>
      <c r="E36" s="24" t="n"/>
    </row>
    <row r="37" ht="22" customHeight="1">
      <c r="B37" s="10" t="n"/>
      <c r="C37" s="10" t="n"/>
      <c r="D37" s="10" t="n"/>
      <c r="E37" s="10" t="n"/>
    </row>
    <row r="38" ht="22" customHeight="1">
      <c r="B38" s="24" t="n"/>
      <c r="C38" s="24" t="n"/>
      <c r="D38" s="24" t="n"/>
      <c r="E38" s="24" t="n"/>
    </row>
    <row r="39" ht="22" customHeight="1">
      <c r="B39" s="10" t="n"/>
      <c r="C39" s="10" t="n"/>
      <c r="D39" s="10" t="n"/>
      <c r="E39" s="10" t="n"/>
    </row>
  </sheetData>
  <mergeCells count="12">
    <mergeCell ref="C11:E11"/>
    <mergeCell ref="C5:E5"/>
    <mergeCell ref="B12:E12"/>
    <mergeCell ref="C8:E8"/>
    <mergeCell ref="C9:E9"/>
    <mergeCell ref="C4:E4"/>
    <mergeCell ref="B3:E3"/>
    <mergeCell ref="B2:E2"/>
    <mergeCell ref="B34:E34"/>
    <mergeCell ref="C7:E7"/>
    <mergeCell ref="C6:E6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0" customWidth="1" min="4" max="4"/>
    <col width="14" customWidth="1" min="5" max="5"/>
    <col width="12" customWidth="1" min="6" max="6"/>
    <col width="12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FSGC: ATTENDANCE &amp; QUORUM REGISTER</t>
        </is>
      </c>
    </row>
    <row r="3" ht="18" customHeight="1">
      <c r="B3" s="18" t="inlineStr">
        <is>
          <t>STRICTLY CONFIDENTIAL — Faculty/Staff grievance records are sensitive HR documents. Access restricted to FSGC members and institutional leadership only.</t>
        </is>
      </c>
    </row>
    <row r="4" ht="25" customHeight="1">
      <c r="B4" s="2" t="inlineStr">
        <is>
          <t>Meeting No.: _______  Date: _______  Total Strength: _______  Quorum Required (50%): _______</t>
        </is>
      </c>
    </row>
    <row r="5" ht="22" customHeight="1">
      <c r="B5" s="21" t="inlineStr">
        <is>
          <t>Sl.</t>
        </is>
      </c>
      <c r="C5" s="21" t="inlineStr">
        <is>
          <t>Name</t>
        </is>
      </c>
      <c r="D5" s="21" t="inlineStr">
        <is>
          <t>Role</t>
        </is>
      </c>
      <c r="E5" s="21" t="inlineStr">
        <is>
          <t>Mode
(Physical/VC)</t>
        </is>
      </c>
      <c r="F5" s="21" t="inlineStr">
        <is>
          <t>Present
(P/A)</t>
        </is>
      </c>
      <c r="G5" s="21" t="inlineStr">
        <is>
          <t>Proxy
(Y/N)</t>
        </is>
      </c>
      <c r="H5" s="21" t="inlineStr">
        <is>
          <t>Proxy Holder</t>
        </is>
      </c>
      <c r="I5" s="21" t="inlineStr">
        <is>
          <t>Signature</t>
        </is>
      </c>
    </row>
    <row r="6" ht="22" customHeight="1">
      <c r="B6" s="14" t="n">
        <v>1</v>
      </c>
      <c r="C6" s="15" t="inlineStr"/>
      <c r="D6" s="15" t="inlineStr"/>
      <c r="E6" s="16" t="inlineStr">
        <is>
          <t>Physical</t>
        </is>
      </c>
      <c r="F6" s="16" t="inlineStr"/>
      <c r="G6" s="16" t="inlineStr">
        <is>
          <t>N</t>
        </is>
      </c>
      <c r="H6" s="16" t="inlineStr"/>
      <c r="I6" s="16" t="inlineStr"/>
    </row>
    <row r="7" ht="22" customHeight="1">
      <c r="B7" s="8" t="n">
        <v>2</v>
      </c>
      <c r="C7" s="9" t="inlineStr"/>
      <c r="D7" s="9" t="inlineStr"/>
      <c r="E7" s="10" t="inlineStr">
        <is>
          <t>Physical</t>
        </is>
      </c>
      <c r="F7" s="10" t="inlineStr"/>
      <c r="G7" s="10" t="inlineStr">
        <is>
          <t>N</t>
        </is>
      </c>
      <c r="H7" s="10" t="inlineStr"/>
      <c r="I7" s="10" t="inlineStr"/>
    </row>
    <row r="8" ht="22" customHeight="1">
      <c r="B8" s="14" t="n">
        <v>3</v>
      </c>
      <c r="C8" s="15" t="inlineStr"/>
      <c r="D8" s="15" t="inlineStr"/>
      <c r="E8" s="16" t="inlineStr">
        <is>
          <t>Physical</t>
        </is>
      </c>
      <c r="F8" s="16" t="inlineStr"/>
      <c r="G8" s="16" t="inlineStr">
        <is>
          <t>N</t>
        </is>
      </c>
      <c r="H8" s="16" t="inlineStr"/>
      <c r="I8" s="16" t="inlineStr"/>
    </row>
    <row r="9" ht="22" customHeight="1">
      <c r="B9" s="8" t="n">
        <v>4</v>
      </c>
      <c r="C9" s="9" t="inlineStr"/>
      <c r="D9" s="9" t="inlineStr"/>
      <c r="E9" s="10" t="inlineStr">
        <is>
          <t>Physical</t>
        </is>
      </c>
      <c r="F9" s="10" t="inlineStr"/>
      <c r="G9" s="10" t="inlineStr">
        <is>
          <t>N</t>
        </is>
      </c>
      <c r="H9" s="10" t="inlineStr"/>
      <c r="I9" s="10" t="inlineStr"/>
    </row>
    <row r="10" ht="22" customHeight="1">
      <c r="B10" s="14" t="n">
        <v>5</v>
      </c>
      <c r="C10" s="15" t="inlineStr"/>
      <c r="D10" s="15" t="inlineStr"/>
      <c r="E10" s="16" t="inlineStr">
        <is>
          <t>Physical</t>
        </is>
      </c>
      <c r="F10" s="16" t="inlineStr"/>
      <c r="G10" s="16" t="inlineStr">
        <is>
          <t>N</t>
        </is>
      </c>
      <c r="H10" s="16" t="inlineStr"/>
      <c r="I10" s="16" t="inlineStr"/>
    </row>
    <row r="11" ht="22" customHeight="1">
      <c r="B11" s="8" t="n">
        <v>6</v>
      </c>
      <c r="C11" s="9" t="inlineStr"/>
      <c r="D11" s="9" t="inlineStr"/>
      <c r="E11" s="10" t="inlineStr">
        <is>
          <t>Physical</t>
        </is>
      </c>
      <c r="F11" s="10" t="inlineStr"/>
      <c r="G11" s="10" t="inlineStr">
        <is>
          <t>N</t>
        </is>
      </c>
      <c r="H11" s="10" t="inlineStr"/>
      <c r="I11" s="10" t="inlineStr"/>
    </row>
    <row r="12" ht="22" customHeight="1">
      <c r="B12" s="14" t="n">
        <v>7</v>
      </c>
      <c r="C12" s="15" t="inlineStr"/>
      <c r="D12" s="15" t="inlineStr"/>
      <c r="E12" s="16" t="inlineStr">
        <is>
          <t>Physical</t>
        </is>
      </c>
      <c r="F12" s="16" t="inlineStr"/>
      <c r="G12" s="16" t="inlineStr">
        <is>
          <t>N</t>
        </is>
      </c>
      <c r="H12" s="16" t="inlineStr"/>
      <c r="I12" s="16" t="inlineStr"/>
    </row>
    <row r="13" ht="22" customHeight="1">
      <c r="B13" s="8" t="n">
        <v>8</v>
      </c>
      <c r="C13" s="9" t="inlineStr"/>
      <c r="D13" s="9" t="inlineStr"/>
      <c r="E13" s="10" t="inlineStr">
        <is>
          <t>Physical</t>
        </is>
      </c>
      <c r="F13" s="10" t="inlineStr"/>
      <c r="G13" s="10" t="inlineStr">
        <is>
          <t>N</t>
        </is>
      </c>
      <c r="H13" s="10" t="inlineStr"/>
      <c r="I13" s="10" t="inlineStr"/>
    </row>
    <row r="14" ht="22" customHeight="1">
      <c r="B14" s="14" t="n">
        <v>9</v>
      </c>
      <c r="C14" s="15" t="inlineStr"/>
      <c r="D14" s="15" t="inlineStr"/>
      <c r="E14" s="16" t="inlineStr">
        <is>
          <t>Physical</t>
        </is>
      </c>
      <c r="F14" s="16" t="inlineStr"/>
      <c r="G14" s="16" t="inlineStr">
        <is>
          <t>N</t>
        </is>
      </c>
      <c r="H14" s="16" t="inlineStr"/>
      <c r="I14" s="16" t="inlineStr"/>
    </row>
    <row r="15" ht="22" customHeight="1">
      <c r="B15" s="8" t="n">
        <v>10</v>
      </c>
      <c r="C15" s="9" t="inlineStr"/>
      <c r="D15" s="9" t="inlineStr"/>
      <c r="E15" s="10" t="inlineStr">
        <is>
          <t>Physical</t>
        </is>
      </c>
      <c r="F15" s="10" t="inlineStr"/>
      <c r="G15" s="10" t="inlineStr">
        <is>
          <t>N</t>
        </is>
      </c>
      <c r="H15" s="10" t="inlineStr"/>
      <c r="I15" s="10" t="inlineStr"/>
    </row>
    <row r="16" ht="22" customHeight="1">
      <c r="B16" s="14" t="n">
        <v>11</v>
      </c>
      <c r="C16" s="15" t="inlineStr"/>
      <c r="D16" s="15" t="inlineStr"/>
      <c r="E16" s="16" t="inlineStr">
        <is>
          <t>Physical</t>
        </is>
      </c>
      <c r="F16" s="16" t="inlineStr"/>
      <c r="G16" s="16" t="inlineStr">
        <is>
          <t>N</t>
        </is>
      </c>
      <c r="H16" s="16" t="inlineStr"/>
      <c r="I16" s="16" t="inlineStr"/>
    </row>
    <row r="17" ht="22" customHeight="1">
      <c r="B17" s="8" t="n">
        <v>12</v>
      </c>
      <c r="C17" s="9" t="inlineStr"/>
      <c r="D17" s="9" t="inlineStr"/>
      <c r="E17" s="10" t="inlineStr">
        <is>
          <t>Physical</t>
        </is>
      </c>
      <c r="F17" s="10" t="inlineStr"/>
      <c r="G17" s="10" t="inlineStr">
        <is>
          <t>N</t>
        </is>
      </c>
      <c r="H17" s="10" t="inlineStr"/>
      <c r="I17" s="10" t="inlineStr"/>
    </row>
    <row r="18" ht="22" customHeight="1">
      <c r="B18" s="14" t="n">
        <v>13</v>
      </c>
      <c r="C18" s="15" t="inlineStr"/>
      <c r="D18" s="15" t="inlineStr"/>
      <c r="E18" s="16" t="inlineStr">
        <is>
          <t>Physical</t>
        </is>
      </c>
      <c r="F18" s="16" t="inlineStr"/>
      <c r="G18" s="16" t="inlineStr">
        <is>
          <t>N</t>
        </is>
      </c>
      <c r="H18" s="16" t="inlineStr"/>
      <c r="I18" s="16" t="inlineStr"/>
    </row>
    <row r="19" ht="22" customHeight="1">
      <c r="B19" s="8" t="n">
        <v>14</v>
      </c>
      <c r="C19" s="9" t="inlineStr"/>
      <c r="D19" s="9" t="inlineStr"/>
      <c r="E19" s="10" t="inlineStr">
        <is>
          <t>Physical</t>
        </is>
      </c>
      <c r="F19" s="10" t="inlineStr"/>
      <c r="G19" s="10" t="inlineStr">
        <is>
          <t>N</t>
        </is>
      </c>
      <c r="H19" s="10" t="inlineStr"/>
      <c r="I19" s="10" t="inlineStr"/>
    </row>
    <row r="20" ht="22" customHeight="1">
      <c r="B20" s="14" t="n">
        <v>15</v>
      </c>
      <c r="C20" s="15" t="inlineStr"/>
      <c r="D20" s="15" t="inlineStr"/>
      <c r="E20" s="16" t="inlineStr">
        <is>
          <t>Physical</t>
        </is>
      </c>
      <c r="F20" s="16" t="inlineStr"/>
      <c r="G20" s="16" t="inlineStr">
        <is>
          <t>N</t>
        </is>
      </c>
      <c r="H20" s="16" t="inlineStr"/>
      <c r="I20" s="16" t="inlineStr"/>
    </row>
    <row r="21" ht="22" customHeight="1"/>
    <row r="22" ht="24" customHeight="1">
      <c r="B22" s="22" t="inlineStr">
        <is>
          <t>QUORUM VERIFICATION</t>
        </is>
      </c>
    </row>
    <row r="23" ht="22" customHeight="1">
      <c r="B23" s="25" t="inlineStr">
        <is>
          <t>Total FSGC Members</t>
        </is>
      </c>
      <c r="G23" s="26" t="inlineStr"/>
    </row>
    <row r="24" ht="22" customHeight="1">
      <c r="B24" s="27" t="inlineStr">
        <is>
          <t>Present (Physical)</t>
        </is>
      </c>
      <c r="G24" s="26">
        <f>COUNTIF(F6:F20,"P")</f>
        <v/>
      </c>
    </row>
    <row r="25" ht="22" customHeight="1">
      <c r="B25" s="25" t="inlineStr">
        <is>
          <t>Present (VC)</t>
        </is>
      </c>
      <c r="G25" s="26" t="inlineStr"/>
    </row>
    <row r="26" ht="22" customHeight="1">
      <c r="B26" s="27" t="inlineStr">
        <is>
          <t>Total Effective</t>
        </is>
      </c>
      <c r="G26" s="26">
        <f>IFERROR(C24+C25,"")</f>
        <v/>
      </c>
    </row>
    <row r="27" ht="22" customHeight="1">
      <c r="B27" s="25" t="inlineStr">
        <is>
          <t>Quorum Required (50%)</t>
        </is>
      </c>
      <c r="G27" s="26" t="inlineStr"/>
    </row>
    <row r="28">
      <c r="B28" s="27" t="inlineStr">
        <is>
          <t>Quorum Achieved?</t>
        </is>
      </c>
      <c r="G28" s="28">
        <f>IFERROR(IF(C26&gt;=C27,"YES — Proceedings Valid","NO — Cannot Proceed"),"")</f>
        <v/>
      </c>
    </row>
  </sheetData>
  <mergeCells count="16">
    <mergeCell ref="G24:I24"/>
    <mergeCell ref="G28:I28"/>
    <mergeCell ref="B24:F24"/>
    <mergeCell ref="G27:I27"/>
    <mergeCell ref="B2:I2"/>
    <mergeCell ref="B25:F25"/>
    <mergeCell ref="G23:I23"/>
    <mergeCell ref="B28:F28"/>
    <mergeCell ref="B3:I3"/>
    <mergeCell ref="B22:I22"/>
    <mergeCell ref="B23:F23"/>
    <mergeCell ref="G26:I26"/>
    <mergeCell ref="B26:F26"/>
    <mergeCell ref="B27:F27"/>
    <mergeCell ref="B4:I4"/>
    <mergeCell ref="G25:I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8" customWidth="1" min="3" max="3"/>
    <col width="18" customWidth="1" min="4" max="4"/>
    <col width="12" customWidth="1" min="5" max="5"/>
    <col width="14" customWidth="1" min="6" max="6"/>
    <col width="14" customWidth="1" min="7" max="7"/>
    <col width="3" customWidth="1" min="8" max="8"/>
  </cols>
  <sheetData>
    <row r="1" ht="10" customHeight="1"/>
    <row r="2" ht="48" customHeight="1">
      <c r="B2" s="12" t="inlineStr">
        <is>
          <t>FSGC: MEETING MINUTES &amp; RESOLUTIONS</t>
        </is>
      </c>
    </row>
    <row r="3" ht="18" customHeight="1">
      <c r="B3" s="18" t="inlineStr">
        <is>
          <t>STRICTLY CONFIDENTIAL — Faculty/Staff grievance records are sensitive HR documents. Access restricted to FSGC members and institutional leadership only.</t>
        </is>
      </c>
    </row>
    <row r="4" ht="25" customHeight="1">
      <c r="B4" s="2" t="inlineStr">
        <is>
          <t>Meeting No.: _______  Date: _______  Venue: _______  Chairperson: ___________________</t>
        </is>
      </c>
    </row>
    <row r="5" ht="24" customHeight="1">
      <c r="B5" s="29" t="inlineStr">
        <is>
          <t>DISCUSSION &amp; RESOLUTIONS</t>
        </is>
      </c>
    </row>
    <row r="6" ht="30" customHeight="1">
      <c r="B6" s="30" t="inlineStr">
        <is>
          <t>Resolution
No.</t>
        </is>
      </c>
      <c r="C6" s="30" t="inlineStr">
        <is>
          <t>Discussion &amp; Resolution</t>
        </is>
      </c>
      <c r="D6" s="30" t="inlineStr">
        <is>
          <t>Responsible</t>
        </is>
      </c>
      <c r="E6" s="30" t="inlineStr">
        <is>
          <t>Voting</t>
        </is>
      </c>
      <c r="F6" s="30" t="inlineStr">
        <is>
          <t>Target
Date</t>
        </is>
      </c>
      <c r="G6" s="30" t="inlineStr">
        <is>
          <t>Status</t>
        </is>
      </c>
    </row>
    <row r="7" ht="30" customHeight="1">
      <c r="B7" s="14" t="inlineStr">
        <is>
          <t>FSGC/RES/001</t>
        </is>
      </c>
      <c r="C7" s="15" t="inlineStr"/>
      <c r="D7" s="16" t="inlineStr"/>
      <c r="E7" s="16" t="inlineStr"/>
      <c r="F7" s="16" t="inlineStr"/>
      <c r="G7" s="16" t="inlineStr">
        <is>
          <t>Pending</t>
        </is>
      </c>
    </row>
    <row r="8" ht="30" customHeight="1">
      <c r="B8" s="8" t="inlineStr">
        <is>
          <t>FSGC/RES/002</t>
        </is>
      </c>
      <c r="C8" s="9" t="inlineStr"/>
      <c r="D8" s="10" t="inlineStr"/>
      <c r="E8" s="10" t="inlineStr"/>
      <c r="F8" s="10" t="inlineStr"/>
      <c r="G8" s="10" t="inlineStr">
        <is>
          <t>Pending</t>
        </is>
      </c>
    </row>
    <row r="9" ht="30" customHeight="1">
      <c r="B9" s="14" t="inlineStr">
        <is>
          <t>FSGC/RES/003</t>
        </is>
      </c>
      <c r="C9" s="15" t="inlineStr"/>
      <c r="D9" s="16" t="inlineStr"/>
      <c r="E9" s="16" t="inlineStr"/>
      <c r="F9" s="16" t="inlineStr"/>
      <c r="G9" s="16" t="inlineStr">
        <is>
          <t>Pending</t>
        </is>
      </c>
    </row>
    <row r="10" ht="30" customHeight="1">
      <c r="B10" s="8" t="inlineStr">
        <is>
          <t>FSGC/RES/004</t>
        </is>
      </c>
      <c r="C10" s="9" t="inlineStr"/>
      <c r="D10" s="10" t="inlineStr"/>
      <c r="E10" s="10" t="inlineStr"/>
      <c r="F10" s="10" t="inlineStr"/>
      <c r="G10" s="10" t="inlineStr">
        <is>
          <t>Pending</t>
        </is>
      </c>
    </row>
    <row r="11" ht="30" customHeight="1">
      <c r="B11" s="14" t="inlineStr">
        <is>
          <t>FSGC/RES/005</t>
        </is>
      </c>
      <c r="C11" s="15" t="inlineStr"/>
      <c r="D11" s="16" t="inlineStr"/>
      <c r="E11" s="16" t="inlineStr"/>
      <c r="F11" s="16" t="inlineStr"/>
      <c r="G11" s="16" t="inlineStr">
        <is>
          <t>Pending</t>
        </is>
      </c>
    </row>
    <row r="12" ht="30" customHeight="1">
      <c r="B12" s="8" t="inlineStr">
        <is>
          <t>FSGC/RES/006</t>
        </is>
      </c>
      <c r="C12" s="9" t="inlineStr"/>
      <c r="D12" s="10" t="inlineStr"/>
      <c r="E12" s="10" t="inlineStr"/>
      <c r="F12" s="10" t="inlineStr"/>
      <c r="G12" s="10" t="inlineStr">
        <is>
          <t>Pending</t>
        </is>
      </c>
    </row>
    <row r="13" ht="30" customHeight="1">
      <c r="B13" s="14" t="inlineStr">
        <is>
          <t>FSGC/RES/007</t>
        </is>
      </c>
      <c r="C13" s="15" t="inlineStr"/>
      <c r="D13" s="16" t="inlineStr"/>
      <c r="E13" s="16" t="inlineStr"/>
      <c r="F13" s="16" t="inlineStr"/>
      <c r="G13" s="16" t="inlineStr">
        <is>
          <t>Pending</t>
        </is>
      </c>
    </row>
    <row r="14" ht="30" customHeight="1">
      <c r="B14" s="8" t="inlineStr">
        <is>
          <t>FSGC/RES/008</t>
        </is>
      </c>
      <c r="C14" s="9" t="inlineStr"/>
      <c r="D14" s="10" t="inlineStr"/>
      <c r="E14" s="10" t="inlineStr"/>
      <c r="F14" s="10" t="inlineStr"/>
      <c r="G14" s="10" t="inlineStr">
        <is>
          <t>Pending</t>
        </is>
      </c>
    </row>
    <row r="15" ht="30" customHeight="1">
      <c r="B15" s="14" t="inlineStr">
        <is>
          <t>FSGC/RES/009</t>
        </is>
      </c>
      <c r="C15" s="15" t="inlineStr"/>
      <c r="D15" s="16" t="inlineStr"/>
      <c r="E15" s="16" t="inlineStr"/>
      <c r="F15" s="16" t="inlineStr"/>
      <c r="G15" s="16" t="inlineStr">
        <is>
          <t>Pending</t>
        </is>
      </c>
    </row>
    <row r="16" ht="30" customHeight="1">
      <c r="B16" s="8" t="inlineStr">
        <is>
          <t>FSGC/RES/010</t>
        </is>
      </c>
      <c r="C16" s="9" t="inlineStr"/>
      <c r="D16" s="10" t="inlineStr"/>
      <c r="E16" s="10" t="inlineStr"/>
      <c r="F16" s="10" t="inlineStr"/>
      <c r="G16" s="10" t="inlineStr">
        <is>
          <t>Pending</t>
        </is>
      </c>
    </row>
    <row r="17" ht="30" customHeight="1">
      <c r="B17" s="14" t="inlineStr">
        <is>
          <t>FSGC/RES/011</t>
        </is>
      </c>
      <c r="C17" s="15" t="inlineStr"/>
      <c r="D17" s="16" t="inlineStr"/>
      <c r="E17" s="16" t="inlineStr"/>
      <c r="F17" s="16" t="inlineStr"/>
      <c r="G17" s="16" t="inlineStr">
        <is>
          <t>Pending</t>
        </is>
      </c>
    </row>
    <row r="18" ht="30" customHeight="1"/>
    <row r="19" ht="30" customHeight="1">
      <c r="B19" s="31" t="inlineStr">
        <is>
          <t>Next Meeting: _______    Chairperson: ___________________    Member Secretary: ___________________</t>
        </is>
      </c>
    </row>
  </sheetData>
  <mergeCells count="5">
    <mergeCell ref="B3:G3"/>
    <mergeCell ref="B2:G2"/>
    <mergeCell ref="B19:G19"/>
    <mergeCell ref="B5:G5"/>
    <mergeCell ref="B4:G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20" customWidth="1" min="4" max="4"/>
    <col width="16" customWidth="1" min="5" max="5"/>
    <col width="13" customWidth="1" min="6" max="6"/>
    <col width="13" customWidth="1" min="7" max="7"/>
    <col width="16" customWidth="1" min="8" max="8"/>
    <col width="3" customWidth="1" min="9" max="9"/>
  </cols>
  <sheetData>
    <row r="1" ht="10" customHeight="1"/>
    <row r="2" ht="48" customHeight="1">
      <c r="B2" s="12" t="inlineStr">
        <is>
          <t>FSGC: ACTION TAKEN REPORT (ATR)</t>
        </is>
      </c>
    </row>
    <row r="3" ht="18" customHeight="1">
      <c r="B3" s="18" t="inlineStr">
        <is>
          <t>STRICTLY CONFIDENTIAL — Faculty/Staff grievance records are sensitive HR documents. Access restricted to FSGC members and institutional leadership only.</t>
        </is>
      </c>
    </row>
    <row r="4" ht="25" customHeight="1">
      <c r="B4" s="2" t="inlineStr">
        <is>
          <t>Current Meeting No.: _______  Date: _______  Previous Meeting Ref.: _______</t>
        </is>
      </c>
    </row>
    <row r="5" ht="26" customHeight="1">
      <c r="B5" s="32" t="inlineStr">
        <is>
          <t>Resolution
No.</t>
        </is>
      </c>
      <c r="C5" s="32" t="inlineStr">
        <is>
          <t>Resolution / Decision</t>
        </is>
      </c>
      <c r="D5" s="32" t="inlineStr">
        <is>
          <t>Action Required</t>
        </is>
      </c>
      <c r="E5" s="32" t="inlineStr">
        <is>
          <t>Responsible</t>
        </is>
      </c>
      <c r="F5" s="32" t="inlineStr">
        <is>
          <t>Target
Date</t>
        </is>
      </c>
      <c r="G5" s="32" t="inlineStr">
        <is>
          <t>Completion
Date</t>
        </is>
      </c>
      <c r="H5" s="32" t="inlineStr">
        <is>
          <t>Status</t>
        </is>
      </c>
    </row>
    <row r="6" ht="26" customHeight="1">
      <c r="B6" s="33" t="inlineStr">
        <is>
          <t>FSGC/RES/001</t>
        </is>
      </c>
      <c r="C6" s="34" t="inlineStr"/>
      <c r="D6" s="34" t="inlineStr"/>
      <c r="E6" s="35" t="inlineStr"/>
      <c r="F6" s="35" t="inlineStr"/>
      <c r="G6" s="35" t="inlineStr"/>
      <c r="H6" s="34" t="inlineStr">
        <is>
          <t>In Progress</t>
        </is>
      </c>
    </row>
    <row r="7" ht="26" customHeight="1">
      <c r="B7" s="8" t="inlineStr">
        <is>
          <t>FSGC/RES/002</t>
        </is>
      </c>
      <c r="C7" s="9" t="inlineStr"/>
      <c r="D7" s="9" t="inlineStr"/>
      <c r="E7" s="10" t="inlineStr"/>
      <c r="F7" s="10" t="inlineStr"/>
      <c r="G7" s="10" t="inlineStr"/>
      <c r="H7" s="9" t="inlineStr">
        <is>
          <t>In Progress</t>
        </is>
      </c>
    </row>
    <row r="8" ht="26" customHeight="1">
      <c r="B8" s="33" t="inlineStr">
        <is>
          <t>FSGC/RES/003</t>
        </is>
      </c>
      <c r="C8" s="34" t="inlineStr"/>
      <c r="D8" s="34" t="inlineStr"/>
      <c r="E8" s="35" t="inlineStr"/>
      <c r="F8" s="35" t="inlineStr"/>
      <c r="G8" s="35" t="inlineStr"/>
      <c r="H8" s="34" t="inlineStr">
        <is>
          <t>In Progress</t>
        </is>
      </c>
    </row>
    <row r="9" ht="26" customHeight="1">
      <c r="B9" s="8" t="inlineStr">
        <is>
          <t>FSGC/RES/004</t>
        </is>
      </c>
      <c r="C9" s="9" t="inlineStr"/>
      <c r="D9" s="9" t="inlineStr"/>
      <c r="E9" s="10" t="inlineStr"/>
      <c r="F9" s="10" t="inlineStr"/>
      <c r="G9" s="10" t="inlineStr"/>
      <c r="H9" s="9" t="inlineStr">
        <is>
          <t>In Progress</t>
        </is>
      </c>
    </row>
    <row r="10" ht="26" customHeight="1">
      <c r="B10" s="33" t="inlineStr">
        <is>
          <t>FSGC/RES/005</t>
        </is>
      </c>
      <c r="C10" s="34" t="inlineStr"/>
      <c r="D10" s="34" t="inlineStr"/>
      <c r="E10" s="35" t="inlineStr"/>
      <c r="F10" s="35" t="inlineStr"/>
      <c r="G10" s="35" t="inlineStr"/>
      <c r="H10" s="34" t="inlineStr">
        <is>
          <t>In Progress</t>
        </is>
      </c>
    </row>
    <row r="11" ht="26" customHeight="1">
      <c r="B11" s="8" t="inlineStr">
        <is>
          <t>FSGC/RES/006</t>
        </is>
      </c>
      <c r="C11" s="9" t="inlineStr"/>
      <c r="D11" s="9" t="inlineStr"/>
      <c r="E11" s="10" t="inlineStr"/>
      <c r="F11" s="10" t="inlineStr"/>
      <c r="G11" s="10" t="inlineStr"/>
      <c r="H11" s="9" t="inlineStr">
        <is>
          <t>In Progress</t>
        </is>
      </c>
    </row>
    <row r="12" ht="26" customHeight="1">
      <c r="B12" s="33" t="inlineStr">
        <is>
          <t>FSGC/RES/007</t>
        </is>
      </c>
      <c r="C12" s="34" t="inlineStr"/>
      <c r="D12" s="34" t="inlineStr"/>
      <c r="E12" s="35" t="inlineStr"/>
      <c r="F12" s="35" t="inlineStr"/>
      <c r="G12" s="35" t="inlineStr"/>
      <c r="H12" s="34" t="inlineStr">
        <is>
          <t>In Progress</t>
        </is>
      </c>
    </row>
    <row r="13" ht="26" customHeight="1">
      <c r="B13" s="8" t="inlineStr">
        <is>
          <t>FSGC/RES/008</t>
        </is>
      </c>
      <c r="C13" s="9" t="inlineStr"/>
      <c r="D13" s="9" t="inlineStr"/>
      <c r="E13" s="10" t="inlineStr"/>
      <c r="F13" s="10" t="inlineStr"/>
      <c r="G13" s="10" t="inlineStr"/>
      <c r="H13" s="9" t="inlineStr">
        <is>
          <t>In Progress</t>
        </is>
      </c>
    </row>
    <row r="14" ht="26" customHeight="1">
      <c r="B14" s="33" t="inlineStr">
        <is>
          <t>FSGC/RES/009</t>
        </is>
      </c>
      <c r="C14" s="34" t="inlineStr"/>
      <c r="D14" s="34" t="inlineStr"/>
      <c r="E14" s="35" t="inlineStr"/>
      <c r="F14" s="35" t="inlineStr"/>
      <c r="G14" s="35" t="inlineStr"/>
      <c r="H14" s="34" t="inlineStr">
        <is>
          <t>In Progress</t>
        </is>
      </c>
    </row>
    <row r="15" ht="26" customHeight="1">
      <c r="B15" s="8" t="inlineStr">
        <is>
          <t>FSGC/RES/010</t>
        </is>
      </c>
      <c r="C15" s="9" t="inlineStr"/>
      <c r="D15" s="9" t="inlineStr"/>
      <c r="E15" s="10" t="inlineStr"/>
      <c r="F15" s="10" t="inlineStr"/>
      <c r="G15" s="10" t="inlineStr"/>
      <c r="H15" s="9" t="inlineStr">
        <is>
          <t>In Progress</t>
        </is>
      </c>
    </row>
    <row r="16" ht="26" customHeight="1">
      <c r="B16" s="33" t="inlineStr">
        <is>
          <t>FSGC/RES/011</t>
        </is>
      </c>
      <c r="C16" s="34" t="inlineStr"/>
      <c r="D16" s="34" t="inlineStr"/>
      <c r="E16" s="35" t="inlineStr"/>
      <c r="F16" s="35" t="inlineStr"/>
      <c r="G16" s="35" t="inlineStr"/>
      <c r="H16" s="34" t="inlineStr">
        <is>
          <t>In Progress</t>
        </is>
      </c>
    </row>
    <row r="17" ht="26" customHeight="1">
      <c r="B17" s="8" t="inlineStr">
        <is>
          <t>FSGC/RES/012</t>
        </is>
      </c>
      <c r="C17" s="9" t="inlineStr"/>
      <c r="D17" s="9" t="inlineStr"/>
      <c r="E17" s="10" t="inlineStr"/>
      <c r="F17" s="10" t="inlineStr"/>
      <c r="G17" s="10" t="inlineStr"/>
      <c r="H17" s="9" t="inlineStr">
        <is>
          <t>In Progress</t>
        </is>
      </c>
    </row>
    <row r="18" ht="26" customHeight="1"/>
    <row r="19" ht="24" customHeight="1">
      <c r="B19" s="36" t="inlineStr">
        <is>
          <t>ATR SUMMARY</t>
        </is>
      </c>
    </row>
    <row r="20" ht="26" customHeight="1">
      <c r="B20" s="37" t="inlineStr">
        <is>
          <t>Total Resolutions Under Review</t>
        </is>
      </c>
      <c r="F20" s="38">
        <f>COUNTA(B6:B17)</f>
        <v/>
      </c>
    </row>
    <row r="21" ht="26" customHeight="1">
      <c r="B21" s="27" t="inlineStr">
        <is>
          <t>Implemented</t>
        </is>
      </c>
      <c r="F21" s="39">
        <f>COUNTIF(H6:H17,"Implemented")</f>
        <v/>
      </c>
    </row>
    <row r="22">
      <c r="B22" s="37" t="inlineStr">
        <is>
          <t>In Progress</t>
        </is>
      </c>
      <c r="F22" s="38">
        <f>COUNTIF(H6:H17,"In Progress")</f>
        <v/>
      </c>
    </row>
    <row r="23">
      <c r="B23" s="27" t="inlineStr">
        <is>
          <t>Pending</t>
        </is>
      </c>
      <c r="F23" s="39">
        <f>COUNTIF(H6:H17,"Pending")</f>
        <v/>
      </c>
    </row>
    <row r="24">
      <c r="B24" s="37" t="inlineStr">
        <is>
          <t>Deferred</t>
        </is>
      </c>
      <c r="F24" s="38">
        <f>COUNTIF(H6:H17,"Deferred")</f>
        <v/>
      </c>
    </row>
    <row r="25">
      <c r="B25" s="27" t="inlineStr">
        <is>
          <t>Implementation Rate (%)</t>
        </is>
      </c>
      <c r="F25" s="39">
        <f>IFERROR(ROUND(C21/C20*100,1),"")</f>
        <v/>
      </c>
    </row>
  </sheetData>
  <mergeCells count="16">
    <mergeCell ref="F20:H20"/>
    <mergeCell ref="F23:H23"/>
    <mergeCell ref="B23:E23"/>
    <mergeCell ref="F21:H21"/>
    <mergeCell ref="F22:H22"/>
    <mergeCell ref="B4:H4"/>
    <mergeCell ref="B21:E21"/>
    <mergeCell ref="B2:H2"/>
    <mergeCell ref="B25:E25"/>
    <mergeCell ref="B24:E24"/>
    <mergeCell ref="B20:E20"/>
    <mergeCell ref="B3:H3"/>
    <mergeCell ref="B19:H19"/>
    <mergeCell ref="B22:E22"/>
    <mergeCell ref="F24:H24"/>
    <mergeCell ref="F25:H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H5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6" customWidth="1" min="4" max="4"/>
    <col width="14" customWidth="1" min="5" max="5"/>
    <col width="16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2" t="inlineStr">
        <is>
          <t>FSGC-02: GRIEVANCE CATEGORY &amp; CLASSIFICATION REGISTER</t>
        </is>
      </c>
    </row>
    <row r="3" ht="20" customHeight="1">
      <c r="B3" s="2" t="inlineStr">
        <is>
          <t>Approved by: Principal / Governing Body  Ref. Order No.: _______  Effective from: _______</t>
        </is>
      </c>
    </row>
    <row r="4" ht="24" customHeight="1">
      <c r="B4" s="20" t="inlineStr">
        <is>
          <t>CATEGORY A — SERVICE CONDITIONS</t>
        </is>
      </c>
    </row>
    <row r="5" ht="26" customHeight="1">
      <c r="B5" s="21" t="inlineStr">
        <is>
          <t>Sl.</t>
        </is>
      </c>
      <c r="C5" s="21" t="inlineStr">
        <is>
          <t>Grievance Type</t>
        </is>
      </c>
      <c r="D5" s="21" t="inlineStr">
        <is>
          <t>Responsible
Authority</t>
        </is>
      </c>
      <c r="E5" s="21" t="inlineStr">
        <is>
          <t>Resolution
Timeline</t>
        </is>
      </c>
      <c r="F5" s="21" t="inlineStr">
        <is>
          <t>Escalation if
Unresolved</t>
        </is>
      </c>
      <c r="G5" s="21" t="inlineStr">
        <is>
          <t>Legal Reference</t>
        </is>
      </c>
      <c r="H5" s="21" t="inlineStr">
        <is>
          <t>ICC/SC-ST
Coordination</t>
        </is>
      </c>
    </row>
    <row r="6" ht="26" customHeight="1">
      <c r="B6" s="40" t="n">
        <v>1</v>
      </c>
      <c r="C6" s="41" t="inlineStr">
        <is>
          <t>Pay fixation or pay increment error</t>
        </is>
      </c>
      <c r="D6" s="42" t="inlineStr">
        <is>
          <t>Finance / HR Officer</t>
        </is>
      </c>
      <c r="E6" s="42" t="inlineStr">
        <is>
          <t>30 days</t>
        </is>
      </c>
      <c r="F6" s="42" t="inlineStr">
        <is>
          <t>FSGC Chairperson</t>
        </is>
      </c>
      <c r="G6" s="42" t="inlineStr">
        <is>
          <t>Service Rules / UGC</t>
        </is>
      </c>
      <c r="H6" s="42" t="inlineStr">
        <is>
          <t>If applicable</t>
        </is>
      </c>
    </row>
    <row r="7" ht="26" customHeight="1">
      <c r="B7" s="43" t="n">
        <v>2</v>
      </c>
      <c r="C7" s="44" t="inlineStr">
        <is>
          <t>Leave — denial, incorrect calculation</t>
        </is>
      </c>
      <c r="D7" s="45" t="inlineStr">
        <is>
          <t>HR Officer</t>
        </is>
      </c>
      <c r="E7" s="45" t="inlineStr">
        <is>
          <t>15 days</t>
        </is>
      </c>
      <c r="F7" s="45" t="inlineStr">
        <is>
          <t>FSGC Chairperson</t>
        </is>
      </c>
      <c r="G7" s="45" t="inlineStr">
        <is>
          <t>Service Rules / UGC</t>
        </is>
      </c>
      <c r="H7" s="45" t="inlineStr">
        <is>
          <t>If applicable</t>
        </is>
      </c>
    </row>
    <row r="8" ht="26" customHeight="1">
      <c r="B8" s="40" t="n">
        <v>3</v>
      </c>
      <c r="C8" s="41" t="inlineStr">
        <is>
          <t>Promotion / career advancement dispute</t>
        </is>
      </c>
      <c r="D8" s="42" t="inlineStr">
        <is>
          <t>Principal / HR</t>
        </is>
      </c>
      <c r="E8" s="42" t="inlineStr">
        <is>
          <t>30 days</t>
        </is>
      </c>
      <c r="F8" s="42" t="inlineStr">
        <is>
          <t>FSGC Chairperson</t>
        </is>
      </c>
      <c r="G8" s="42" t="inlineStr">
        <is>
          <t>Service Rules / UGC</t>
        </is>
      </c>
      <c r="H8" s="42" t="inlineStr">
        <is>
          <t>If applicable</t>
        </is>
      </c>
    </row>
    <row r="9" ht="26" customHeight="1">
      <c r="B9" s="43" t="n">
        <v>4</v>
      </c>
      <c r="C9" s="44" t="inlineStr">
        <is>
          <t>Seniority list dispute</t>
        </is>
      </c>
      <c r="D9" s="45" t="inlineStr">
        <is>
          <t>HR Officer</t>
        </is>
      </c>
      <c r="E9" s="45" t="inlineStr">
        <is>
          <t>30 days</t>
        </is>
      </c>
      <c r="F9" s="45" t="inlineStr">
        <is>
          <t>FSGC Chairperson</t>
        </is>
      </c>
      <c r="G9" s="45" t="inlineStr">
        <is>
          <t>Service Rules / UGC</t>
        </is>
      </c>
      <c r="H9" s="45" t="inlineStr">
        <is>
          <t>If applicable</t>
        </is>
      </c>
    </row>
    <row r="10" ht="26" customHeight="1">
      <c r="B10" s="40" t="n">
        <v>5</v>
      </c>
      <c r="C10" s="41" t="inlineStr">
        <is>
          <t>Transfer / posting grievance</t>
        </is>
      </c>
      <c r="D10" s="42" t="inlineStr">
        <is>
          <t>Management</t>
        </is>
      </c>
      <c r="E10" s="42" t="inlineStr">
        <is>
          <t>21 days</t>
        </is>
      </c>
      <c r="F10" s="42" t="inlineStr">
        <is>
          <t>FSGC Chairperson</t>
        </is>
      </c>
      <c r="G10" s="42" t="inlineStr">
        <is>
          <t>Service Rules / UGC</t>
        </is>
      </c>
      <c r="H10" s="42" t="inlineStr">
        <is>
          <t>If applicable</t>
        </is>
      </c>
    </row>
    <row r="11" ht="26" customHeight="1">
      <c r="B11" s="43" t="n">
        <v>6</v>
      </c>
      <c r="C11" s="44" t="inlineStr">
        <is>
          <t>Superannuation / pension issue</t>
        </is>
      </c>
      <c r="D11" s="45" t="inlineStr">
        <is>
          <t>Finance</t>
        </is>
      </c>
      <c r="E11" s="45" t="inlineStr">
        <is>
          <t>30 days</t>
        </is>
      </c>
      <c r="F11" s="45" t="inlineStr">
        <is>
          <t>FSGC Chairperson</t>
        </is>
      </c>
      <c r="G11" s="45" t="inlineStr">
        <is>
          <t>Service Rules / UGC</t>
        </is>
      </c>
      <c r="H11" s="45" t="inlineStr">
        <is>
          <t>If applicable</t>
        </is>
      </c>
    </row>
    <row r="12" ht="26" customHeight="1">
      <c r="B12" s="40" t="n">
        <v>7</v>
      </c>
      <c r="C12" s="41" t="inlineStr">
        <is>
          <t>Contractual / appointment condition dispute</t>
        </is>
      </c>
      <c r="D12" s="42" t="inlineStr">
        <is>
          <t>HR / Legal</t>
        </is>
      </c>
      <c r="E12" s="42" t="inlineStr">
        <is>
          <t>30 days</t>
        </is>
      </c>
      <c r="F12" s="42" t="inlineStr">
        <is>
          <t>FSGC Chairperson</t>
        </is>
      </c>
      <c r="G12" s="42" t="inlineStr">
        <is>
          <t>Service Rules / UGC</t>
        </is>
      </c>
      <c r="H12" s="42" t="inlineStr">
        <is>
          <t>If applicable</t>
        </is>
      </c>
    </row>
    <row r="13" ht="26" customHeight="1"/>
    <row r="14" ht="24" customHeight="1">
      <c r="B14" s="36" t="inlineStr">
        <is>
          <t>CATEGORY B — WORKLOAD &amp; ASSIGNMENT</t>
        </is>
      </c>
    </row>
    <row r="15" ht="26" customHeight="1">
      <c r="B15" s="32" t="inlineStr">
        <is>
          <t>Sl.</t>
        </is>
      </c>
      <c r="C15" s="32" t="inlineStr">
        <is>
          <t>Grievance Type</t>
        </is>
      </c>
      <c r="D15" s="32" t="inlineStr">
        <is>
          <t>Responsible
Authority</t>
        </is>
      </c>
      <c r="E15" s="32" t="inlineStr">
        <is>
          <t>Resolution
Timeline</t>
        </is>
      </c>
      <c r="F15" s="32" t="inlineStr">
        <is>
          <t>Escalation if
Unresolved</t>
        </is>
      </c>
      <c r="G15" s="32" t="inlineStr">
        <is>
          <t>Legal Reference</t>
        </is>
      </c>
      <c r="H15" s="32" t="inlineStr">
        <is>
          <t>ICC/SC-ST
Coordination</t>
        </is>
      </c>
    </row>
    <row r="16" ht="26" customHeight="1">
      <c r="B16" s="46" t="n">
        <v>1</v>
      </c>
      <c r="C16" s="47" t="inlineStr">
        <is>
          <t>Unfair / excess workload assignment</t>
        </is>
      </c>
      <c r="D16" s="48" t="inlineStr">
        <is>
          <t>HoD / TWC</t>
        </is>
      </c>
      <c r="E16" s="48" t="inlineStr">
        <is>
          <t>15 days</t>
        </is>
      </c>
      <c r="F16" s="48" t="inlineStr">
        <is>
          <t>FSGC Chairperson</t>
        </is>
      </c>
      <c r="G16" s="48" t="inlineStr">
        <is>
          <t>Service Rules / UGC</t>
        </is>
      </c>
      <c r="H16" s="48" t="inlineStr">
        <is>
          <t>If applicable</t>
        </is>
      </c>
    </row>
    <row r="17" ht="26" customHeight="1">
      <c r="B17" s="43" t="n">
        <v>2</v>
      </c>
      <c r="C17" s="44" t="inlineStr">
        <is>
          <t>Unfair course allocation</t>
        </is>
      </c>
      <c r="D17" s="45" t="inlineStr">
        <is>
          <t>HoD / TWC</t>
        </is>
      </c>
      <c r="E17" s="45" t="inlineStr">
        <is>
          <t>15 days</t>
        </is>
      </c>
      <c r="F17" s="45" t="inlineStr">
        <is>
          <t>FSGC Chairperson</t>
        </is>
      </c>
      <c r="G17" s="45" t="inlineStr">
        <is>
          <t>Service Rules / UGC</t>
        </is>
      </c>
      <c r="H17" s="45" t="inlineStr">
        <is>
          <t>If applicable</t>
        </is>
      </c>
    </row>
    <row r="18" ht="26" customHeight="1">
      <c r="B18" s="46" t="n">
        <v>3</v>
      </c>
      <c r="C18" s="47" t="inlineStr">
        <is>
          <t>Denial of study leave / FDP opportunity</t>
        </is>
      </c>
      <c r="D18" s="48" t="inlineStr">
        <is>
          <t>Principal</t>
        </is>
      </c>
      <c r="E18" s="48" t="inlineStr">
        <is>
          <t>15 days</t>
        </is>
      </c>
      <c r="F18" s="48" t="inlineStr">
        <is>
          <t>FSGC Chairperson</t>
        </is>
      </c>
      <c r="G18" s="48" t="inlineStr">
        <is>
          <t>Service Rules / UGC</t>
        </is>
      </c>
      <c r="H18" s="48" t="inlineStr">
        <is>
          <t>If applicable</t>
        </is>
      </c>
    </row>
    <row r="19" ht="26" customHeight="1">
      <c r="B19" s="43" t="n">
        <v>4</v>
      </c>
      <c r="C19" s="44" t="inlineStr">
        <is>
          <t>Unjust deputation / committee burden</t>
        </is>
      </c>
      <c r="D19" s="45" t="inlineStr">
        <is>
          <t>Management</t>
        </is>
      </c>
      <c r="E19" s="45" t="inlineStr">
        <is>
          <t>15 days</t>
        </is>
      </c>
      <c r="F19" s="45" t="inlineStr">
        <is>
          <t>FSGC Chairperson</t>
        </is>
      </c>
      <c r="G19" s="45" t="inlineStr">
        <is>
          <t>Service Rules / UGC</t>
        </is>
      </c>
      <c r="H19" s="45" t="inlineStr">
        <is>
          <t>If applicable</t>
        </is>
      </c>
    </row>
    <row r="20" ht="26" customHeight="1">
      <c r="B20" s="46" t="n">
        <v>5</v>
      </c>
      <c r="C20" s="47" t="inlineStr">
        <is>
          <t>Non-release for research / higher studies</t>
        </is>
      </c>
      <c r="D20" s="48" t="inlineStr">
        <is>
          <t>Principal</t>
        </is>
      </c>
      <c r="E20" s="48" t="inlineStr">
        <is>
          <t>21 days</t>
        </is>
      </c>
      <c r="F20" s="48" t="inlineStr">
        <is>
          <t>FSGC Chairperson</t>
        </is>
      </c>
      <c r="G20" s="48" t="inlineStr">
        <is>
          <t>Service Rules / UGC</t>
        </is>
      </c>
      <c r="H20" s="48" t="inlineStr">
        <is>
          <t>If applicable</t>
        </is>
      </c>
    </row>
    <row r="21" ht="26" customHeight="1"/>
    <row r="22" ht="24" customHeight="1">
      <c r="B22" s="49" t="inlineStr">
        <is>
          <t>CATEGORY C — WORKPLACE ENVIRONMENT</t>
        </is>
      </c>
    </row>
    <row r="23" ht="26" customHeight="1">
      <c r="B23" s="50" t="inlineStr">
        <is>
          <t>Sl.</t>
        </is>
      </c>
      <c r="C23" s="50" t="inlineStr">
        <is>
          <t>Grievance Type</t>
        </is>
      </c>
      <c r="D23" s="50" t="inlineStr">
        <is>
          <t>Responsible
Authority</t>
        </is>
      </c>
      <c r="E23" s="50" t="inlineStr">
        <is>
          <t>Resolution
Timeline</t>
        </is>
      </c>
      <c r="F23" s="50" t="inlineStr">
        <is>
          <t>Escalation if
Unresolved</t>
        </is>
      </c>
      <c r="G23" s="50" t="inlineStr">
        <is>
          <t>Legal Reference</t>
        </is>
      </c>
      <c r="H23" s="50" t="inlineStr">
        <is>
          <t>ICC/SC-ST
Coordination</t>
        </is>
      </c>
    </row>
    <row r="24" ht="26" customHeight="1">
      <c r="B24" s="51" t="n">
        <v>1</v>
      </c>
      <c r="C24" s="52" t="inlineStr">
        <is>
          <t>Bullying or intimidation by superior</t>
        </is>
      </c>
      <c r="D24" s="53" t="inlineStr">
        <is>
          <t>FSGC Inquiry</t>
        </is>
      </c>
      <c r="E24" s="53" t="inlineStr">
        <is>
          <t>21 days</t>
        </is>
      </c>
      <c r="F24" s="53" t="inlineStr">
        <is>
          <t>FSGC Chairperson</t>
        </is>
      </c>
      <c r="G24" s="53" t="inlineStr">
        <is>
          <t>Service Rules / UGC</t>
        </is>
      </c>
      <c r="H24" s="53" t="inlineStr">
        <is>
          <t>If applicable</t>
        </is>
      </c>
    </row>
    <row r="25" ht="26" customHeight="1">
      <c r="B25" s="43" t="n">
        <v>2</v>
      </c>
      <c r="C25" s="44" t="inlineStr">
        <is>
          <t>Hostile work environment</t>
        </is>
      </c>
      <c r="D25" s="45" t="inlineStr">
        <is>
          <t>FSGC Inquiry</t>
        </is>
      </c>
      <c r="E25" s="45" t="inlineStr">
        <is>
          <t>21 days</t>
        </is>
      </c>
      <c r="F25" s="45" t="inlineStr">
        <is>
          <t>FSGC Chairperson</t>
        </is>
      </c>
      <c r="G25" s="45" t="inlineStr">
        <is>
          <t>Service Rules / UGC</t>
        </is>
      </c>
      <c r="H25" s="45" t="inlineStr">
        <is>
          <t>If applicable</t>
        </is>
      </c>
    </row>
    <row r="26" ht="26" customHeight="1">
      <c r="B26" s="51" t="n">
        <v>3</v>
      </c>
      <c r="C26" s="52" t="inlineStr">
        <is>
          <t>Victimisation for raising earlier grievance</t>
        </is>
      </c>
      <c r="D26" s="53" t="inlineStr">
        <is>
          <t>FSGC Inquiry</t>
        </is>
      </c>
      <c r="E26" s="53" t="inlineStr">
        <is>
          <t>15 days</t>
        </is>
      </c>
      <c r="F26" s="53" t="inlineStr">
        <is>
          <t>FSGC Chairperson</t>
        </is>
      </c>
      <c r="G26" s="53" t="inlineStr">
        <is>
          <t>Service Rules / UGC</t>
        </is>
      </c>
      <c r="H26" s="53" t="inlineStr">
        <is>
          <t>If applicable</t>
        </is>
      </c>
    </row>
    <row r="27" ht="26" customHeight="1">
      <c r="B27" s="43" t="n">
        <v>4</v>
      </c>
      <c r="C27" s="44" t="inlineStr">
        <is>
          <t>Peer harassment (non-sexual)</t>
        </is>
      </c>
      <c r="D27" s="45" t="inlineStr">
        <is>
          <t>FSGC Inquiry</t>
        </is>
      </c>
      <c r="E27" s="45" t="inlineStr">
        <is>
          <t>21 days</t>
        </is>
      </c>
      <c r="F27" s="45" t="inlineStr">
        <is>
          <t>FSGC Chairperson</t>
        </is>
      </c>
      <c r="G27" s="45" t="inlineStr">
        <is>
          <t>Service Rules / UGC</t>
        </is>
      </c>
      <c r="H27" s="45" t="inlineStr">
        <is>
          <t>If applicable</t>
        </is>
      </c>
    </row>
    <row r="28" ht="26" customHeight="1">
      <c r="B28" s="51" t="n">
        <v>5</v>
      </c>
      <c r="C28" s="52" t="inlineStr">
        <is>
          <t>Interference with academic freedom</t>
        </is>
      </c>
      <c r="D28" s="53" t="inlineStr">
        <is>
          <t>Principal</t>
        </is>
      </c>
      <c r="E28" s="53" t="inlineStr">
        <is>
          <t>15 days</t>
        </is>
      </c>
      <c r="F28" s="53" t="inlineStr">
        <is>
          <t>FSGC Chairperson</t>
        </is>
      </c>
      <c r="G28" s="53" t="inlineStr">
        <is>
          <t>Service Rules / UGC</t>
        </is>
      </c>
      <c r="H28" s="53" t="inlineStr">
        <is>
          <t>If applicable</t>
        </is>
      </c>
    </row>
    <row r="29" ht="26" customHeight="1"/>
    <row r="30" ht="24" customHeight="1">
      <c r="B30" s="54" t="inlineStr">
        <is>
          <t>CATEGORY D — DISCRIMINATION</t>
        </is>
      </c>
    </row>
    <row r="31" ht="26" customHeight="1">
      <c r="B31" s="55" t="inlineStr">
        <is>
          <t>Sl.</t>
        </is>
      </c>
      <c r="C31" s="55" t="inlineStr">
        <is>
          <t>Grievance Type</t>
        </is>
      </c>
      <c r="D31" s="55" t="inlineStr">
        <is>
          <t>Responsible
Authority</t>
        </is>
      </c>
      <c r="E31" s="55" t="inlineStr">
        <is>
          <t>Resolution
Timeline</t>
        </is>
      </c>
      <c r="F31" s="55" t="inlineStr">
        <is>
          <t>Escalation if
Unresolved</t>
        </is>
      </c>
      <c r="G31" s="55" t="inlineStr">
        <is>
          <t>Legal Reference</t>
        </is>
      </c>
      <c r="H31" s="55" t="inlineStr">
        <is>
          <t>ICC/SC-ST
Coordination</t>
        </is>
      </c>
    </row>
    <row r="32" ht="26" customHeight="1">
      <c r="B32" s="56" t="n">
        <v>1</v>
      </c>
      <c r="C32" s="57" t="inlineStr">
        <is>
          <t>Caste-based discrimination (refer SC/ST Cell too)</t>
        </is>
      </c>
      <c r="D32" s="58" t="inlineStr">
        <is>
          <t>FSGC + SC/ST Cell</t>
        </is>
      </c>
      <c r="E32" s="58" t="inlineStr">
        <is>
          <t>7 days</t>
        </is>
      </c>
      <c r="F32" s="58" t="inlineStr">
        <is>
          <t>FSGC Chairperson</t>
        </is>
      </c>
      <c r="G32" s="58" t="inlineStr">
        <is>
          <t>Service Rules / UGC</t>
        </is>
      </c>
      <c r="H32" s="58" t="inlineStr">
        <is>
          <t>If applicable</t>
        </is>
      </c>
    </row>
    <row r="33" ht="26" customHeight="1">
      <c r="B33" s="43" t="n">
        <v>2</v>
      </c>
      <c r="C33" s="44" t="inlineStr">
        <is>
          <t>Gender discrimination</t>
        </is>
      </c>
      <c r="D33" s="45" t="inlineStr">
        <is>
          <t>FSGC + ICC if POSH</t>
        </is>
      </c>
      <c r="E33" s="45" t="inlineStr">
        <is>
          <t>15 days</t>
        </is>
      </c>
      <c r="F33" s="45" t="inlineStr">
        <is>
          <t>FSGC Chairperson</t>
        </is>
      </c>
      <c r="G33" s="45" t="inlineStr">
        <is>
          <t>Service Rules / UGC</t>
        </is>
      </c>
      <c r="H33" s="45" t="inlineStr">
        <is>
          <t>If applicable</t>
        </is>
      </c>
    </row>
    <row r="34" ht="26" customHeight="1">
      <c r="B34" s="56" t="n">
        <v>3</v>
      </c>
      <c r="C34" s="57" t="inlineStr">
        <is>
          <t>Religious / minority discrimination</t>
        </is>
      </c>
      <c r="D34" s="58" t="inlineStr">
        <is>
          <t>FSGC</t>
        </is>
      </c>
      <c r="E34" s="58" t="inlineStr">
        <is>
          <t>21 days</t>
        </is>
      </c>
      <c r="F34" s="58" t="inlineStr">
        <is>
          <t>FSGC Chairperson</t>
        </is>
      </c>
      <c r="G34" s="58" t="inlineStr">
        <is>
          <t>Service Rules / UGC</t>
        </is>
      </c>
      <c r="H34" s="58" t="inlineStr">
        <is>
          <t>If applicable</t>
        </is>
      </c>
    </row>
    <row r="35" ht="26" customHeight="1">
      <c r="B35" s="43" t="n">
        <v>4</v>
      </c>
      <c r="C35" s="44" t="inlineStr">
        <is>
          <t>Disability-related discrimination</t>
        </is>
      </c>
      <c r="D35" s="45" t="inlineStr">
        <is>
          <t>FSGC</t>
        </is>
      </c>
      <c r="E35" s="45" t="inlineStr">
        <is>
          <t>15 days</t>
        </is>
      </c>
      <c r="F35" s="45" t="inlineStr">
        <is>
          <t>FSGC Chairperson</t>
        </is>
      </c>
      <c r="G35" s="45" t="inlineStr">
        <is>
          <t>Service Rules / UGC</t>
        </is>
      </c>
      <c r="H35" s="45" t="inlineStr">
        <is>
          <t>If applicable</t>
        </is>
      </c>
    </row>
    <row r="36" ht="26" customHeight="1">
      <c r="B36" s="56" t="n">
        <v>5</v>
      </c>
      <c r="C36" s="57" t="inlineStr">
        <is>
          <t>Discrimination in appraisal / feedback</t>
        </is>
      </c>
      <c r="D36" s="58" t="inlineStr">
        <is>
          <t>FSGC</t>
        </is>
      </c>
      <c r="E36" s="58" t="inlineStr">
        <is>
          <t>21 days</t>
        </is>
      </c>
      <c r="F36" s="58" t="inlineStr">
        <is>
          <t>FSGC Chairperson</t>
        </is>
      </c>
      <c r="G36" s="58" t="inlineStr">
        <is>
          <t>Service Rules / UGC</t>
        </is>
      </c>
      <c r="H36" s="58" t="inlineStr">
        <is>
          <t>If applicable</t>
        </is>
      </c>
    </row>
    <row r="37" ht="26" customHeight="1"/>
    <row r="38" ht="24" customHeight="1">
      <c r="B38" s="59" t="inlineStr">
        <is>
          <t>CATEGORY E — INFRASTRUCTURE &amp; RESOURCES</t>
        </is>
      </c>
    </row>
    <row r="39" ht="26" customHeight="1">
      <c r="B39" s="60" t="inlineStr">
        <is>
          <t>Sl.</t>
        </is>
      </c>
      <c r="C39" s="60" t="inlineStr">
        <is>
          <t>Grievance Type</t>
        </is>
      </c>
      <c r="D39" s="60" t="inlineStr">
        <is>
          <t>Responsible
Authority</t>
        </is>
      </c>
      <c r="E39" s="60" t="inlineStr">
        <is>
          <t>Resolution
Timeline</t>
        </is>
      </c>
      <c r="F39" s="60" t="inlineStr">
        <is>
          <t>Escalation if
Unresolved</t>
        </is>
      </c>
      <c r="G39" s="60" t="inlineStr">
        <is>
          <t>Legal Reference</t>
        </is>
      </c>
      <c r="H39" s="60" t="inlineStr">
        <is>
          <t>ICC/SC-ST
Coordination</t>
        </is>
      </c>
    </row>
    <row r="40" ht="26" customHeight="1">
      <c r="B40" s="61" t="n">
        <v>1</v>
      </c>
      <c r="C40" s="62" t="inlineStr">
        <is>
          <t>Inadequate / unsafe workspace</t>
        </is>
      </c>
      <c r="D40" s="63" t="inlineStr">
        <is>
          <t>Estate / Admin</t>
        </is>
      </c>
      <c r="E40" s="63" t="inlineStr">
        <is>
          <t>7 days</t>
        </is>
      </c>
      <c r="F40" s="63" t="inlineStr">
        <is>
          <t>FSGC Chairperson</t>
        </is>
      </c>
      <c r="G40" s="63" t="inlineStr">
        <is>
          <t>Service Rules / UGC</t>
        </is>
      </c>
      <c r="H40" s="63" t="inlineStr">
        <is>
          <t>If applicable</t>
        </is>
      </c>
    </row>
    <row r="41" ht="26" customHeight="1">
      <c r="B41" s="43" t="n">
        <v>2</v>
      </c>
      <c r="C41" s="44" t="inlineStr">
        <is>
          <t>Denial of lab / computer / equipment access</t>
        </is>
      </c>
      <c r="D41" s="45" t="inlineStr">
        <is>
          <t>HoD / Estate</t>
        </is>
      </c>
      <c r="E41" s="45" t="inlineStr">
        <is>
          <t>10 days</t>
        </is>
      </c>
      <c r="F41" s="45" t="inlineStr">
        <is>
          <t>FSGC Chairperson</t>
        </is>
      </c>
      <c r="G41" s="45" t="inlineStr">
        <is>
          <t>Service Rules / UGC</t>
        </is>
      </c>
      <c r="H41" s="45" t="inlineStr">
        <is>
          <t>If applicable</t>
        </is>
      </c>
    </row>
    <row r="42" ht="26" customHeight="1">
      <c r="B42" s="61" t="n">
        <v>3</v>
      </c>
      <c r="C42" s="62" t="inlineStr">
        <is>
          <t>Non-provision of entitled facilities</t>
        </is>
      </c>
      <c r="D42" s="63" t="inlineStr">
        <is>
          <t>Admin</t>
        </is>
      </c>
      <c r="E42" s="63" t="inlineStr">
        <is>
          <t>15 days</t>
        </is>
      </c>
      <c r="F42" s="63" t="inlineStr">
        <is>
          <t>FSGC Chairperson</t>
        </is>
      </c>
      <c r="G42" s="63" t="inlineStr">
        <is>
          <t>Service Rules / UGC</t>
        </is>
      </c>
      <c r="H42" s="63" t="inlineStr">
        <is>
          <t>If applicable</t>
        </is>
      </c>
    </row>
    <row r="43" ht="26" customHeight="1">
      <c r="B43" s="43" t="n">
        <v>4</v>
      </c>
      <c r="C43" s="44" t="inlineStr">
        <is>
          <t>Safety hazard in workplace</t>
        </is>
      </c>
      <c r="D43" s="45" t="inlineStr">
        <is>
          <t>Safety Officer</t>
        </is>
      </c>
      <c r="E43" s="45" t="inlineStr">
        <is>
          <t>24 hours (urgent)</t>
        </is>
      </c>
      <c r="F43" s="45" t="inlineStr">
        <is>
          <t>FSGC Chairperson</t>
        </is>
      </c>
      <c r="G43" s="45" t="inlineStr">
        <is>
          <t>Service Rules / UGC</t>
        </is>
      </c>
      <c r="H43" s="45" t="inlineStr">
        <is>
          <t>If applicable</t>
        </is>
      </c>
    </row>
    <row r="44" ht="26" customHeight="1"/>
    <row r="45" ht="24" customHeight="1">
      <c r="B45" s="29" t="inlineStr">
        <is>
          <t>CATEGORY F — ADMINISTRATIVE / HR PROCESS</t>
        </is>
      </c>
    </row>
    <row r="46" ht="26" customHeight="1">
      <c r="B46" s="30" t="inlineStr">
        <is>
          <t>Sl.</t>
        </is>
      </c>
      <c r="C46" s="30" t="inlineStr">
        <is>
          <t>Grievance Type</t>
        </is>
      </c>
      <c r="D46" s="30" t="inlineStr">
        <is>
          <t>Responsible
Authority</t>
        </is>
      </c>
      <c r="E46" s="30" t="inlineStr">
        <is>
          <t>Resolution
Timeline</t>
        </is>
      </c>
      <c r="F46" s="30" t="inlineStr">
        <is>
          <t>Escalation if
Unresolved</t>
        </is>
      </c>
      <c r="G46" s="30" t="inlineStr">
        <is>
          <t>Legal Reference</t>
        </is>
      </c>
      <c r="H46" s="30" t="inlineStr">
        <is>
          <t>ICC/SC-ST
Coordination</t>
        </is>
      </c>
    </row>
    <row r="47" ht="26" customHeight="1">
      <c r="B47" s="64" t="n">
        <v>1</v>
      </c>
      <c r="C47" s="65" t="inlineStr">
        <is>
          <t>Unfair performance appraisal (PBAS / API)</t>
        </is>
      </c>
      <c r="D47" s="66" t="inlineStr">
        <is>
          <t>Principal / HR</t>
        </is>
      </c>
      <c r="E47" s="66" t="inlineStr">
        <is>
          <t>21 days</t>
        </is>
      </c>
      <c r="F47" s="66" t="inlineStr">
        <is>
          <t>FSGC Chairperson</t>
        </is>
      </c>
      <c r="G47" s="66" t="inlineStr">
        <is>
          <t>Service Rules / UGC</t>
        </is>
      </c>
      <c r="H47" s="66" t="inlineStr">
        <is>
          <t>If applicable</t>
        </is>
      </c>
    </row>
    <row r="48" ht="26" customHeight="1">
      <c r="B48" s="43" t="n">
        <v>2</v>
      </c>
      <c r="C48" s="44" t="inlineStr">
        <is>
          <t>Irregularity in recruitment / selection</t>
        </is>
      </c>
      <c r="D48" s="45" t="inlineStr">
        <is>
          <t>Management</t>
        </is>
      </c>
      <c r="E48" s="45" t="inlineStr">
        <is>
          <t>30 days</t>
        </is>
      </c>
      <c r="F48" s="45" t="inlineStr">
        <is>
          <t>FSGC Chairperson</t>
        </is>
      </c>
      <c r="G48" s="45" t="inlineStr">
        <is>
          <t>Service Rules / UGC</t>
        </is>
      </c>
      <c r="H48" s="45" t="inlineStr">
        <is>
          <t>If applicable</t>
        </is>
      </c>
    </row>
    <row r="49" ht="26" customHeight="1">
      <c r="B49" s="64" t="n">
        <v>3</v>
      </c>
      <c r="C49" s="65" t="inlineStr">
        <is>
          <t>Non-issuance of service certificate / NOC</t>
        </is>
      </c>
      <c r="D49" s="66" t="inlineStr">
        <is>
          <t>HR Officer</t>
        </is>
      </c>
      <c r="E49" s="66" t="inlineStr">
        <is>
          <t>7 days</t>
        </is>
      </c>
      <c r="F49" s="66" t="inlineStr">
        <is>
          <t>FSGC Chairperson</t>
        </is>
      </c>
      <c r="G49" s="66" t="inlineStr">
        <is>
          <t>Service Rules / UGC</t>
        </is>
      </c>
      <c r="H49" s="66" t="inlineStr">
        <is>
          <t>If applicable</t>
        </is>
      </c>
    </row>
    <row r="50" ht="26" customHeight="1">
      <c r="B50" s="43" t="n">
        <v>4</v>
      </c>
      <c r="C50" s="44" t="inlineStr">
        <is>
          <t>Delay / denial of salary or allowances</t>
        </is>
      </c>
      <c r="D50" s="45" t="inlineStr">
        <is>
          <t>Finance</t>
        </is>
      </c>
      <c r="E50" s="45" t="inlineStr">
        <is>
          <t>7 days</t>
        </is>
      </c>
      <c r="F50" s="45" t="inlineStr">
        <is>
          <t>FSGC Chairperson</t>
        </is>
      </c>
      <c r="G50" s="45" t="inlineStr">
        <is>
          <t>Service Rules / UGC</t>
        </is>
      </c>
      <c r="H50" s="45" t="inlineStr">
        <is>
          <t>If applicable</t>
        </is>
      </c>
    </row>
    <row r="51" ht="26" customHeight="1">
      <c r="B51" s="64" t="n">
        <v>5</v>
      </c>
      <c r="C51" s="65" t="inlineStr">
        <is>
          <t>Improper disciplinary proceedings</t>
        </is>
      </c>
      <c r="D51" s="66" t="inlineStr">
        <is>
          <t>Legal / FSGC</t>
        </is>
      </c>
      <c r="E51" s="66" t="inlineStr">
        <is>
          <t>30 days</t>
        </is>
      </c>
      <c r="F51" s="66" t="inlineStr">
        <is>
          <t>FSGC Chairperson</t>
        </is>
      </c>
      <c r="G51" s="66" t="inlineStr">
        <is>
          <t>Service Rules / UGC</t>
        </is>
      </c>
      <c r="H51" s="66" t="inlineStr">
        <is>
          <t>If applicable</t>
        </is>
      </c>
    </row>
  </sheetData>
  <mergeCells count="8">
    <mergeCell ref="B22:H22"/>
    <mergeCell ref="B14:H14"/>
    <mergeCell ref="B4:H4"/>
    <mergeCell ref="B30:H30"/>
    <mergeCell ref="B2:H2"/>
    <mergeCell ref="B38:H38"/>
    <mergeCell ref="B3:H3"/>
    <mergeCell ref="B45:H4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5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20" customWidth="1" min="4" max="4"/>
    <col width="20" customWidth="1" min="5" max="5"/>
    <col width="3" customWidth="1" min="6" max="6"/>
  </cols>
  <sheetData>
    <row r="1" ht="10" customHeight="1"/>
    <row r="2" ht="52" customHeight="1">
      <c r="B2" s="12" t="inlineStr">
        <is>
          <t>FSGC-04: FACULTY / STAFF GRIEVANCE COMPLAINT / PETITION FORM</t>
        </is>
      </c>
    </row>
    <row r="3" ht="18" customHeight="1">
      <c r="B3" s="18" t="inlineStr">
        <is>
          <t>STRICTLY CONFIDENTIAL — Complainant identity protected. Grievance to be handled with dignity, impartiality and within prescribed timelines.</t>
        </is>
      </c>
    </row>
    <row r="4" ht="20" customHeight="1">
      <c r="B4" s="13" t="inlineStr">
        <is>
          <t>Legal Framework: UGC Regulations on Minimum Standards &amp; Procedures for Award of M.Phil./Ph.D. | Industrial Disputes Act | Service Rules | UGC (Prevention, Prohibition and Redressal of Sexual Harassment) Regulations 2015</t>
        </is>
      </c>
    </row>
    <row r="5" ht="25" customHeight="1">
      <c r="B5" s="2" t="inlineStr">
        <is>
          <t>Grievance Ref.: FSGC/GRV/______/______   Received by: _______   Date: _______   Time: _______   Mode: [ ] Written  [ ] Online  [ ] In-Person  [ ] Anonymous</t>
        </is>
      </c>
    </row>
    <row r="6" ht="24" customHeight="1">
      <c r="B6" s="20" t="inlineStr">
        <is>
          <t>SECTION A — COMPLAINANT DETAILS</t>
        </is>
      </c>
    </row>
    <row r="7" ht="26" customHeight="1">
      <c r="B7" s="67" t="inlineStr">
        <is>
          <t>Full Name:</t>
        </is>
      </c>
      <c r="C7" s="9" t="n"/>
    </row>
    <row r="8" ht="26" customHeight="1">
      <c r="B8" s="67" t="inlineStr">
        <is>
          <t>Employee ID / Designation:</t>
        </is>
      </c>
      <c r="C8" s="9" t="n"/>
    </row>
    <row r="9" ht="26" customHeight="1">
      <c r="B9" s="67" t="inlineStr">
        <is>
          <t>Department:</t>
        </is>
      </c>
      <c r="C9" s="9" t="n"/>
    </row>
    <row r="10" ht="26" customHeight="1">
      <c r="B10" s="67" t="inlineStr">
        <is>
          <t>Nature of Appointment:</t>
        </is>
      </c>
      <c r="C10" s="68" t="inlineStr">
        <is>
          <t>[ ] Regular / Permanent  [ ] Contract  [ ] Visiting  [ ] Probationary</t>
        </is>
      </c>
    </row>
    <row r="11" ht="26" customHeight="1">
      <c r="B11" s="67" t="inlineStr">
        <is>
          <t>Date of Joining:</t>
        </is>
      </c>
      <c r="C11" s="9" t="n"/>
    </row>
    <row r="12" ht="26" customHeight="1">
      <c r="B12" s="67" t="inlineStr">
        <is>
          <t>Contact Number:</t>
        </is>
      </c>
      <c r="C12" s="9" t="n"/>
    </row>
    <row r="13" ht="26" customHeight="1">
      <c r="B13" s="67" t="inlineStr">
        <is>
          <t>Official Email:</t>
        </is>
      </c>
      <c r="C13" s="9" t="n"/>
    </row>
    <row r="14" ht="26" customHeight="1">
      <c r="B14" s="67" t="inlineStr">
        <is>
          <t>Willing to be identified?</t>
        </is>
      </c>
      <c r="C14" s="68" t="inlineStr">
        <is>
          <t>[ ] Yes  [ ] No — Request Anonymous Handling</t>
        </is>
      </c>
    </row>
    <row r="15" ht="28" customHeight="1"/>
    <row r="16" ht="24" customHeight="1">
      <c r="B16" s="36" t="inlineStr">
        <is>
          <t>SECTION B — GRIEVANCE DETAILS</t>
        </is>
      </c>
    </row>
    <row r="17" ht="28" customHeight="1">
      <c r="B17" s="69" t="inlineStr">
        <is>
          <t>Category of Grievance:</t>
        </is>
      </c>
      <c r="C17" s="68" t="inlineStr">
        <is>
          <t>[ ] A — Service Conditions  [ ] B — Workload  [ ] C — Workplace Environment  [ ] D — Discrimination  [ ] E — Infrastructure  [ ] F — Admin / HR Process</t>
        </is>
      </c>
    </row>
    <row r="18" ht="28" customHeight="1">
      <c r="B18" s="69" t="inlineStr">
        <is>
          <t>Nature of Grievance (brief):</t>
        </is>
      </c>
      <c r="C18" s="9" t="n"/>
    </row>
    <row r="19" ht="28" customHeight="1">
      <c r="B19" s="69" t="inlineStr">
        <is>
          <t>Against Whom (if specific):</t>
        </is>
      </c>
      <c r="C19" s="68" t="inlineStr">
        <is>
          <t>[ ] Superior  [ ] Peer  [ ] HR / Admin  [ ] Institution as a whole</t>
        </is>
      </c>
    </row>
    <row r="20" ht="28" customHeight="1">
      <c r="B20" s="69" t="inlineStr">
        <is>
          <t>Date(s) of Incident:</t>
        </is>
      </c>
      <c r="C20" s="9" t="n"/>
    </row>
    <row r="21" ht="28" customHeight="1">
      <c r="B21" s="69" t="inlineStr">
        <is>
          <t>Location of Incident:</t>
        </is>
      </c>
      <c r="C21" s="9" t="n"/>
    </row>
    <row r="22" ht="28" customHeight="1">
      <c r="B22" s="69" t="inlineStr">
        <is>
          <t>Has this grievance been raised informally before?</t>
        </is>
      </c>
      <c r="C22" s="68" t="inlineStr">
        <is>
          <t>[ ] Yes — To: _______   On: _______   Outcome: _______   [ ] No — First formal complaint</t>
        </is>
      </c>
    </row>
    <row r="23" ht="28" customHeight="1">
      <c r="B23" s="69" t="inlineStr">
        <is>
          <t>Was a written complaint submitted earlier?</t>
        </is>
      </c>
      <c r="C23" s="68" t="inlineStr">
        <is>
          <t>[ ] Yes — Ref.: _______   [ ] No</t>
        </is>
      </c>
    </row>
    <row r="24" ht="28" customHeight="1">
      <c r="B24" s="69" t="inlineStr">
        <is>
          <t>Witnesses (if any):</t>
        </is>
      </c>
      <c r="C24" s="68" t="inlineStr">
        <is>
          <t>Name 1: _______   Contact: _______   Name 2: _______</t>
        </is>
      </c>
    </row>
    <row r="25" ht="28" customHeight="1">
      <c r="B25" s="69" t="inlineStr">
        <is>
          <t>Documents / Evidence enclosed:</t>
        </is>
      </c>
      <c r="C25" s="68" t="inlineStr">
        <is>
          <t>[ ] Yes — List: _______   [ ] No</t>
        </is>
      </c>
    </row>
    <row r="26" ht="28" customHeight="1">
      <c r="B26" s="69" t="inlineStr">
        <is>
          <t>Immediate relief sought:</t>
        </is>
      </c>
      <c r="C26" s="9" t="n"/>
    </row>
    <row r="27" ht="28" customHeight="1">
      <c r="B27" s="69" t="inlineStr">
        <is>
          <t>Is this a recurring issue?</t>
        </is>
      </c>
      <c r="C27" s="68" t="inlineStr">
        <is>
          <t>[ ] Yes — Frequency: _______   [ ] No — First occurrence</t>
        </is>
      </c>
    </row>
    <row r="28" ht="28" customHeight="1">
      <c r="B28" s="69" t="inlineStr">
        <is>
          <t>Is there risk of further harm if unresolved?</t>
        </is>
      </c>
      <c r="C28" s="68" t="inlineStr">
        <is>
          <t>[ ] Yes — Explain below   [ ] No</t>
        </is>
      </c>
    </row>
    <row r="29" ht="28" customHeight="1"/>
    <row r="30" ht="24" customHeight="1">
      <c r="B30" s="29" t="inlineStr">
        <is>
          <t>SECTION C — GRIEVANCE NARRATIVE</t>
        </is>
      </c>
    </row>
    <row r="31" ht="22" customHeight="1">
      <c r="B31" s="70" t="inlineStr">
        <is>
          <t>Describe the grievance in detail — factual, chronological. Attach additional pages if needed:</t>
        </is>
      </c>
    </row>
    <row r="32" ht="28" customHeight="1">
      <c r="B32" s="71" t="n"/>
    </row>
    <row r="33" ht="28" customHeight="1">
      <c r="B33" s="71" t="n"/>
    </row>
    <row r="34" ht="28" customHeight="1">
      <c r="B34" s="71" t="n"/>
    </row>
    <row r="35" ht="28" customHeight="1">
      <c r="B35" s="71" t="n"/>
    </row>
    <row r="36" ht="28" customHeight="1">
      <c r="B36" s="71" t="n"/>
    </row>
    <row r="37" ht="28" customHeight="1">
      <c r="B37" s="71" t="n"/>
    </row>
    <row r="38" ht="28" customHeight="1">
      <c r="B38" s="71" t="n"/>
    </row>
    <row r="39" ht="28" customHeight="1">
      <c r="B39" s="71" t="n"/>
    </row>
    <row r="40" ht="28" customHeight="1">
      <c r="B40" s="71" t="n"/>
    </row>
    <row r="41" ht="28" customHeight="1">
      <c r="B41" s="71" t="n"/>
    </row>
    <row r="42" ht="28" customHeight="1"/>
    <row r="43" ht="24" customHeight="1">
      <c r="B43" s="20" t="inlineStr">
        <is>
          <t>SECTION D — RELIEF REQUESTED</t>
        </is>
      </c>
    </row>
    <row r="44" ht="22" customHeight="1">
      <c r="B44" s="41" t="inlineStr">
        <is>
          <t>[ ]  Correction of pay / leave / seniority record</t>
        </is>
      </c>
    </row>
    <row r="45" ht="22" customHeight="1">
      <c r="B45" s="44" t="inlineStr">
        <is>
          <t>[ ]  Review / reversal of transfer or posting</t>
        </is>
      </c>
    </row>
    <row r="46" ht="22" customHeight="1">
      <c r="B46" s="41" t="inlineStr">
        <is>
          <t>[ ]  Reassignment of workload / courses</t>
        </is>
      </c>
    </row>
    <row r="47" ht="22" customHeight="1">
      <c r="B47" s="44" t="inlineStr">
        <is>
          <t>[ ]  Formal inquiry into harassment / discrimination</t>
        </is>
      </c>
    </row>
    <row r="48" ht="22" customHeight="1">
      <c r="B48" s="41" t="inlineStr">
        <is>
          <t>[ ]  Provision of entitled facilities / resources</t>
        </is>
      </c>
    </row>
    <row r="49" ht="22" customHeight="1">
      <c r="B49" s="44" t="inlineStr">
        <is>
          <t>[ ]  Systemic policy change</t>
        </is>
      </c>
    </row>
    <row r="50" ht="22" customHeight="1">
      <c r="B50" s="41" t="inlineStr">
        <is>
          <t>[ ]  Formal apology from respondent</t>
        </is>
      </c>
    </row>
    <row r="51" ht="22" customHeight="1">
      <c r="B51" s="44" t="inlineStr">
        <is>
          <t>[ ]  Other relief (specify):</t>
        </is>
      </c>
    </row>
    <row r="53">
      <c r="B53" s="72" t="inlineStr">
        <is>
          <t>I declare the above information is true to the best of my knowledge. I understand FSGC will maintain confidentiality and handle this grievance with fairness.</t>
        </is>
      </c>
    </row>
    <row r="54">
      <c r="B54" s="31" t="inlineStr">
        <is>
          <t>Complainant Signature: ___________________    Date: ___________________    Received by FSGC: ___________________</t>
        </is>
      </c>
    </row>
  </sheetData>
  <mergeCells count="49">
    <mergeCell ref="B40:E40"/>
    <mergeCell ref="B49:E49"/>
    <mergeCell ref="B37:E37"/>
    <mergeCell ref="B6:E6"/>
    <mergeCell ref="C22:E22"/>
    <mergeCell ref="B30:E30"/>
    <mergeCell ref="C9:E9"/>
    <mergeCell ref="B33:E33"/>
    <mergeCell ref="B5:E5"/>
    <mergeCell ref="B51:E51"/>
    <mergeCell ref="C21:E21"/>
    <mergeCell ref="C12:E12"/>
    <mergeCell ref="B36:E36"/>
    <mergeCell ref="B32:E32"/>
    <mergeCell ref="B45:E45"/>
    <mergeCell ref="B41:E41"/>
    <mergeCell ref="C11:E11"/>
    <mergeCell ref="C27:E27"/>
    <mergeCell ref="B4:E4"/>
    <mergeCell ref="B35:E35"/>
    <mergeCell ref="B50:E50"/>
    <mergeCell ref="C23:E23"/>
    <mergeCell ref="C8:E8"/>
    <mergeCell ref="B16:E16"/>
    <mergeCell ref="B54:E54"/>
    <mergeCell ref="C17:E17"/>
    <mergeCell ref="B3:E3"/>
    <mergeCell ref="B47:E47"/>
    <mergeCell ref="C7:E7"/>
    <mergeCell ref="B46:E46"/>
    <mergeCell ref="B31:E31"/>
    <mergeCell ref="C28:E28"/>
    <mergeCell ref="C13:E13"/>
    <mergeCell ref="C19:E19"/>
    <mergeCell ref="B43:E43"/>
    <mergeCell ref="B48:E48"/>
    <mergeCell ref="C18:E18"/>
    <mergeCell ref="B39:E39"/>
    <mergeCell ref="B2:E2"/>
    <mergeCell ref="C24:E24"/>
    <mergeCell ref="C14:E14"/>
    <mergeCell ref="B53:E53"/>
    <mergeCell ref="B38:E38"/>
    <mergeCell ref="B44:E44"/>
    <mergeCell ref="C26:E26"/>
    <mergeCell ref="B34:E34"/>
    <mergeCell ref="C20:E20"/>
    <mergeCell ref="C25:E25"/>
    <mergeCell ref="C10:E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FSGC-05: GRIEVANCE REGISTRATION &amp; CASE TRACKING REGISTER</t>
        </is>
      </c>
    </row>
    <row r="3" ht="18" customHeight="1">
      <c r="B3" s="18" t="inlineStr">
        <is>
          <t>CONFIDENTIAL — Legal HR Document. Retain minimum 5 years. Access restricted to FSGC members and Principal.</t>
        </is>
      </c>
    </row>
    <row r="4" ht="25" customHeight="1">
      <c r="B4" s="21" t="inlineStr">
        <is>
          <t>Case
Ref.</t>
        </is>
      </c>
      <c r="C4" s="21" t="inlineStr">
        <is>
          <t>Complainant
(Code)</t>
        </is>
      </c>
      <c r="D4" s="21" t="inlineStr">
        <is>
          <t>Respondent
(Code)</t>
        </is>
      </c>
      <c r="E4" s="21" t="inlineStr">
        <is>
          <t>Category</t>
        </is>
      </c>
      <c r="F4" s="21" t="inlineStr">
        <is>
          <t>Date
Received</t>
        </is>
      </c>
      <c r="G4" s="21" t="inlineStr">
        <is>
          <t>Ack.
Date</t>
        </is>
      </c>
      <c r="H4" s="21" t="inlineStr">
        <is>
          <t>Inquiry
Constituted</t>
        </is>
      </c>
      <c r="I4" s="21" t="inlineStr">
        <is>
          <t>Target
Closure</t>
        </is>
      </c>
      <c r="J4" s="21" t="inlineStr">
        <is>
          <t>Current
Status</t>
        </is>
      </c>
    </row>
    <row r="5" ht="24" customHeight="1">
      <c r="B5" s="14" t="inlineStr">
        <is>
          <t>FSGC/2024/0001</t>
        </is>
      </c>
      <c r="C5" s="16" t="inlineStr">
        <is>
          <t>EMP-001</t>
        </is>
      </c>
      <c r="D5" s="16" t="inlineStr">
        <is>
          <t>RES-001</t>
        </is>
      </c>
      <c r="E5" s="14" t="inlineStr">
        <is>
          <t>A — Service Conditions</t>
        </is>
      </c>
      <c r="F5" s="16" t="inlineStr"/>
      <c r="G5" s="16" t="inlineStr"/>
      <c r="H5" s="16" t="inlineStr"/>
      <c r="I5" s="16" t="inlineStr"/>
      <c r="J5" s="16" t="inlineStr">
        <is>
          <t>Open — Inquiry Pending</t>
        </is>
      </c>
    </row>
    <row r="6" ht="24" customHeight="1">
      <c r="B6" s="8" t="inlineStr">
        <is>
          <t>FSGC/2024/0002</t>
        </is>
      </c>
      <c r="C6" s="10" t="inlineStr">
        <is>
          <t>EMP-002</t>
        </is>
      </c>
      <c r="D6" s="10" t="inlineStr">
        <is>
          <t>RES-002</t>
        </is>
      </c>
      <c r="E6" s="8" t="inlineStr">
        <is>
          <t>B — Workload / Assignment</t>
        </is>
      </c>
      <c r="F6" s="10" t="inlineStr"/>
      <c r="G6" s="10" t="inlineStr"/>
      <c r="H6" s="10" t="inlineStr"/>
      <c r="I6" s="10" t="inlineStr"/>
      <c r="J6" s="10" t="inlineStr">
        <is>
          <t>Inquiry In-Progress</t>
        </is>
      </c>
    </row>
    <row r="7" ht="24" customHeight="1">
      <c r="B7" s="14" t="inlineStr">
        <is>
          <t>FSGC/2024/0003</t>
        </is>
      </c>
      <c r="C7" s="16" t="inlineStr">
        <is>
          <t>EMP-003</t>
        </is>
      </c>
      <c r="D7" s="16" t="inlineStr">
        <is>
          <t>RES-003</t>
        </is>
      </c>
      <c r="E7" s="14" t="inlineStr">
        <is>
          <t>C — Workplace Environment</t>
        </is>
      </c>
      <c r="F7" s="16" t="inlineStr"/>
      <c r="G7" s="16" t="inlineStr"/>
      <c r="H7" s="16" t="inlineStr"/>
      <c r="I7" s="16" t="inlineStr"/>
      <c r="J7" s="16" t="inlineStr">
        <is>
          <t>Mediation Ongoing</t>
        </is>
      </c>
    </row>
    <row r="8" ht="24" customHeight="1">
      <c r="B8" s="8" t="inlineStr">
        <is>
          <t>FSGC/2024/0004</t>
        </is>
      </c>
      <c r="C8" s="10" t="inlineStr">
        <is>
          <t>EMP-004</t>
        </is>
      </c>
      <c r="D8" s="10" t="inlineStr">
        <is>
          <t>RES-004</t>
        </is>
      </c>
      <c r="E8" s="8" t="inlineStr">
        <is>
          <t>D — Discrimination</t>
        </is>
      </c>
      <c r="F8" s="10" t="inlineStr"/>
      <c r="G8" s="10" t="inlineStr"/>
      <c r="H8" s="10" t="inlineStr"/>
      <c r="I8" s="10" t="inlineStr"/>
      <c r="J8" s="10" t="inlineStr">
        <is>
          <t>SCN Issued</t>
        </is>
      </c>
    </row>
    <row r="9" ht="24" customHeight="1">
      <c r="B9" s="14" t="inlineStr">
        <is>
          <t>FSGC/2024/0005</t>
        </is>
      </c>
      <c r="C9" s="16" t="inlineStr">
        <is>
          <t>EMP-005</t>
        </is>
      </c>
      <c r="D9" s="16" t="inlineStr">
        <is>
          <t>RES-005</t>
        </is>
      </c>
      <c r="E9" s="14" t="inlineStr">
        <is>
          <t>E — Infrastructure</t>
        </is>
      </c>
      <c r="F9" s="16" t="inlineStr"/>
      <c r="G9" s="16" t="inlineStr"/>
      <c r="H9" s="16" t="inlineStr"/>
      <c r="I9" s="16" t="inlineStr"/>
      <c r="J9" s="16" t="inlineStr">
        <is>
          <t>Hearing Scheduled</t>
        </is>
      </c>
    </row>
    <row r="10" ht="24" customHeight="1">
      <c r="B10" s="8" t="inlineStr">
        <is>
          <t>FSGC/2024/0006</t>
        </is>
      </c>
      <c r="C10" s="10" t="inlineStr">
        <is>
          <t>EMP-006</t>
        </is>
      </c>
      <c r="D10" s="10" t="inlineStr">
        <is>
          <t>RES-006</t>
        </is>
      </c>
      <c r="E10" s="8" t="inlineStr">
        <is>
          <t>F — Admin / HR Process</t>
        </is>
      </c>
      <c r="F10" s="10" t="inlineStr"/>
      <c r="G10" s="10" t="inlineStr"/>
      <c r="H10" s="10" t="inlineStr"/>
      <c r="I10" s="10" t="inlineStr"/>
      <c r="J10" s="10" t="inlineStr">
        <is>
          <t>Decision Pending</t>
        </is>
      </c>
    </row>
    <row r="11" ht="24" customHeight="1">
      <c r="B11" s="14" t="inlineStr">
        <is>
          <t>FSGC/2024/0007</t>
        </is>
      </c>
      <c r="C11" s="16" t="inlineStr">
        <is>
          <t>EMP-007</t>
        </is>
      </c>
      <c r="D11" s="16" t="inlineStr">
        <is>
          <t>RES-007</t>
        </is>
      </c>
      <c r="E11" s="14" t="inlineStr">
        <is>
          <t>A — Service Conditions</t>
        </is>
      </c>
      <c r="F11" s="16" t="inlineStr"/>
      <c r="G11" s="16" t="inlineStr"/>
      <c r="H11" s="16" t="inlineStr"/>
      <c r="I11" s="16" t="inlineStr"/>
      <c r="J11" s="16" t="inlineStr">
        <is>
          <t>Under Management Review</t>
        </is>
      </c>
    </row>
    <row r="12" ht="24" customHeight="1">
      <c r="B12" s="8" t="inlineStr">
        <is>
          <t>FSGC/2024/0008</t>
        </is>
      </c>
      <c r="C12" s="10" t="inlineStr">
        <is>
          <t>EMP-008</t>
        </is>
      </c>
      <c r="D12" s="10" t="inlineStr">
        <is>
          <t>RES-008</t>
        </is>
      </c>
      <c r="E12" s="8" t="inlineStr">
        <is>
          <t>B — Workload / Assignment</t>
        </is>
      </c>
      <c r="F12" s="10" t="inlineStr"/>
      <c r="G12" s="10" t="inlineStr"/>
      <c r="H12" s="10" t="inlineStr"/>
      <c r="I12" s="10" t="inlineStr"/>
      <c r="J12" s="10" t="inlineStr">
        <is>
          <t>Resolved — Accepted</t>
        </is>
      </c>
    </row>
    <row r="13" ht="24" customHeight="1">
      <c r="B13" s="14" t="inlineStr">
        <is>
          <t>FSGC/2024/0009</t>
        </is>
      </c>
      <c r="C13" s="16" t="inlineStr">
        <is>
          <t>EMP-009</t>
        </is>
      </c>
      <c r="D13" s="16" t="inlineStr">
        <is>
          <t>RES-009</t>
        </is>
      </c>
      <c r="E13" s="14" t="inlineStr">
        <is>
          <t>C — Workplace Environment</t>
        </is>
      </c>
      <c r="F13" s="16" t="inlineStr"/>
      <c r="G13" s="16" t="inlineStr"/>
      <c r="H13" s="16" t="inlineStr"/>
      <c r="I13" s="16" t="inlineStr"/>
      <c r="J13" s="16" t="inlineStr">
        <is>
          <t>Resolved — Withdrawn</t>
        </is>
      </c>
    </row>
    <row r="14" ht="24" customHeight="1">
      <c r="B14" s="8" t="inlineStr">
        <is>
          <t>FSGC/2024/0010</t>
        </is>
      </c>
      <c r="C14" s="10" t="inlineStr">
        <is>
          <t>EMP-010</t>
        </is>
      </c>
      <c r="D14" s="10" t="inlineStr">
        <is>
          <t>RES-010</t>
        </is>
      </c>
      <c r="E14" s="8" t="inlineStr">
        <is>
          <t>D — Discrimination</t>
        </is>
      </c>
      <c r="F14" s="10" t="inlineStr"/>
      <c r="G14" s="10" t="inlineStr"/>
      <c r="H14" s="10" t="inlineStr"/>
      <c r="I14" s="10" t="inlineStr"/>
      <c r="J14" s="10" t="inlineStr">
        <is>
          <t>Closed — No Merit</t>
        </is>
      </c>
    </row>
    <row r="15" ht="24" customHeight="1">
      <c r="B15" s="14" t="inlineStr">
        <is>
          <t>FSGC/2024/0011</t>
        </is>
      </c>
      <c r="C15" s="16" t="inlineStr">
        <is>
          <t>EMP-011</t>
        </is>
      </c>
      <c r="D15" s="16" t="inlineStr">
        <is>
          <t>RES-011</t>
        </is>
      </c>
      <c r="E15" s="14" t="inlineStr">
        <is>
          <t>E — Infrastructure</t>
        </is>
      </c>
      <c r="F15" s="16" t="inlineStr"/>
      <c r="G15" s="16" t="inlineStr"/>
      <c r="H15" s="16" t="inlineStr"/>
      <c r="I15" s="16" t="inlineStr"/>
      <c r="J15" s="16" t="inlineStr">
        <is>
          <t>Referred to External Authority</t>
        </is>
      </c>
    </row>
    <row r="16" ht="24" customHeight="1">
      <c r="B16" s="8" t="inlineStr">
        <is>
          <t>FSGC/2025/0012</t>
        </is>
      </c>
      <c r="C16" s="10" t="inlineStr">
        <is>
          <t>EMP-012</t>
        </is>
      </c>
      <c r="D16" s="10" t="inlineStr">
        <is>
          <t>RES-012</t>
        </is>
      </c>
      <c r="E16" s="8" t="inlineStr">
        <is>
          <t>F — Admin / HR Process</t>
        </is>
      </c>
      <c r="F16" s="10" t="inlineStr"/>
      <c r="G16" s="10" t="inlineStr"/>
      <c r="H16" s="10" t="inlineStr"/>
      <c r="I16" s="10" t="inlineStr"/>
      <c r="J16" s="10" t="inlineStr">
        <is>
          <t>Appeal Filed</t>
        </is>
      </c>
    </row>
    <row r="17" ht="24" customHeight="1">
      <c r="B17" s="14" t="inlineStr">
        <is>
          <t>FSGC/2025/0013</t>
        </is>
      </c>
      <c r="C17" s="16" t="inlineStr">
        <is>
          <t>EMP-013</t>
        </is>
      </c>
      <c r="D17" s="16" t="inlineStr">
        <is>
          <t>RES-013</t>
        </is>
      </c>
      <c r="E17" s="14" t="inlineStr">
        <is>
          <t>A — Service Conditions</t>
        </is>
      </c>
      <c r="F17" s="16" t="inlineStr"/>
      <c r="G17" s="16" t="inlineStr"/>
      <c r="H17" s="16" t="inlineStr"/>
      <c r="I17" s="16" t="inlineStr"/>
      <c r="J17" s="16" t="inlineStr">
        <is>
          <t>Open — Inquiry Pending</t>
        </is>
      </c>
    </row>
    <row r="18" ht="24" customHeight="1">
      <c r="B18" s="8" t="inlineStr">
        <is>
          <t>FSGC/2025/0014</t>
        </is>
      </c>
      <c r="C18" s="10" t="inlineStr">
        <is>
          <t>EMP-014</t>
        </is>
      </c>
      <c r="D18" s="10" t="inlineStr">
        <is>
          <t>RES-014</t>
        </is>
      </c>
      <c r="E18" s="8" t="inlineStr">
        <is>
          <t>B — Workload / Assignment</t>
        </is>
      </c>
      <c r="F18" s="10" t="inlineStr"/>
      <c r="G18" s="10" t="inlineStr"/>
      <c r="H18" s="10" t="inlineStr"/>
      <c r="I18" s="10" t="inlineStr"/>
      <c r="J18" s="10" t="inlineStr">
        <is>
          <t>Inquiry In-Progress</t>
        </is>
      </c>
    </row>
    <row r="19" ht="24" customHeight="1">
      <c r="B19" s="14" t="inlineStr">
        <is>
          <t>FSGC/2025/0015</t>
        </is>
      </c>
      <c r="C19" s="16" t="inlineStr">
        <is>
          <t>EMP-015</t>
        </is>
      </c>
      <c r="D19" s="16" t="inlineStr">
        <is>
          <t>RES-015</t>
        </is>
      </c>
      <c r="E19" s="14" t="inlineStr">
        <is>
          <t>C — Workplace Environment</t>
        </is>
      </c>
      <c r="F19" s="16" t="inlineStr"/>
      <c r="G19" s="16" t="inlineStr"/>
      <c r="H19" s="16" t="inlineStr"/>
      <c r="I19" s="16" t="inlineStr"/>
      <c r="J19" s="16" t="inlineStr">
        <is>
          <t>Mediation Ongoing</t>
        </is>
      </c>
    </row>
    <row r="20" ht="24" customHeight="1">
      <c r="B20" s="8" t="inlineStr">
        <is>
          <t>FSGC/2025/0016</t>
        </is>
      </c>
      <c r="C20" s="10" t="inlineStr">
        <is>
          <t>EMP-016</t>
        </is>
      </c>
      <c r="D20" s="10" t="inlineStr">
        <is>
          <t>RES-016</t>
        </is>
      </c>
      <c r="E20" s="8" t="inlineStr">
        <is>
          <t>D — Discrimination</t>
        </is>
      </c>
      <c r="F20" s="10" t="inlineStr"/>
      <c r="G20" s="10" t="inlineStr"/>
      <c r="H20" s="10" t="inlineStr"/>
      <c r="I20" s="10" t="inlineStr"/>
      <c r="J20" s="10" t="inlineStr">
        <is>
          <t>SCN Issued</t>
        </is>
      </c>
    </row>
    <row r="21" ht="24" customHeight="1">
      <c r="B21" s="14" t="inlineStr">
        <is>
          <t>FSGC/2025/0017</t>
        </is>
      </c>
      <c r="C21" s="16" t="inlineStr">
        <is>
          <t>EMP-017</t>
        </is>
      </c>
      <c r="D21" s="16" t="inlineStr">
        <is>
          <t>RES-017</t>
        </is>
      </c>
      <c r="E21" s="14" t="inlineStr">
        <is>
          <t>E — Infrastructure</t>
        </is>
      </c>
      <c r="F21" s="16" t="inlineStr"/>
      <c r="G21" s="16" t="inlineStr"/>
      <c r="H21" s="16" t="inlineStr"/>
      <c r="I21" s="16" t="inlineStr"/>
      <c r="J21" s="16" t="inlineStr">
        <is>
          <t>Hearing Scheduled</t>
        </is>
      </c>
    </row>
    <row r="22" ht="24" customHeight="1">
      <c r="B22" s="8" t="inlineStr">
        <is>
          <t>FSGC/2025/0018</t>
        </is>
      </c>
      <c r="C22" s="10" t="inlineStr">
        <is>
          <t>EMP-018</t>
        </is>
      </c>
      <c r="D22" s="10" t="inlineStr">
        <is>
          <t>RES-018</t>
        </is>
      </c>
      <c r="E22" s="8" t="inlineStr">
        <is>
          <t>F — Admin / HR Process</t>
        </is>
      </c>
      <c r="F22" s="10" t="inlineStr"/>
      <c r="G22" s="10" t="inlineStr"/>
      <c r="H22" s="10" t="inlineStr"/>
      <c r="I22" s="10" t="inlineStr"/>
      <c r="J22" s="10" t="inlineStr">
        <is>
          <t>Decision Pending</t>
        </is>
      </c>
    </row>
    <row r="23" ht="24" customHeight="1">
      <c r="B23" s="14" t="inlineStr">
        <is>
          <t>FSGC/2025/0019</t>
        </is>
      </c>
      <c r="C23" s="16" t="inlineStr">
        <is>
          <t>EMP-019</t>
        </is>
      </c>
      <c r="D23" s="16" t="inlineStr">
        <is>
          <t>RES-019</t>
        </is>
      </c>
      <c r="E23" s="14" t="inlineStr">
        <is>
          <t>A — Service Conditions</t>
        </is>
      </c>
      <c r="F23" s="16" t="inlineStr"/>
      <c r="G23" s="16" t="inlineStr"/>
      <c r="H23" s="16" t="inlineStr"/>
      <c r="I23" s="16" t="inlineStr"/>
      <c r="J23" s="16" t="inlineStr">
        <is>
          <t>Under Management Review</t>
        </is>
      </c>
    </row>
    <row r="24" ht="24" customHeight="1">
      <c r="B24" s="8" t="inlineStr">
        <is>
          <t>FSGC/2025/0020</t>
        </is>
      </c>
      <c r="C24" s="10" t="inlineStr">
        <is>
          <t>EMP-020</t>
        </is>
      </c>
      <c r="D24" s="10" t="inlineStr">
        <is>
          <t>RES-020</t>
        </is>
      </c>
      <c r="E24" s="8" t="inlineStr">
        <is>
          <t>B — Workload / Assignment</t>
        </is>
      </c>
      <c r="F24" s="10" t="inlineStr"/>
      <c r="G24" s="10" t="inlineStr"/>
      <c r="H24" s="10" t="inlineStr"/>
      <c r="I24" s="10" t="inlineStr"/>
      <c r="J24" s="10" t="inlineStr">
        <is>
          <t>Resolved — Accepted</t>
        </is>
      </c>
    </row>
    <row r="25" ht="24" customHeight="1">
      <c r="B25" s="14" t="inlineStr">
        <is>
          <t>FSGC/2025/0021</t>
        </is>
      </c>
      <c r="C25" s="16" t="inlineStr">
        <is>
          <t>EMP-021</t>
        </is>
      </c>
      <c r="D25" s="16" t="inlineStr">
        <is>
          <t>RES-021</t>
        </is>
      </c>
      <c r="E25" s="14" t="inlineStr">
        <is>
          <t>C — Workplace Environment</t>
        </is>
      </c>
      <c r="F25" s="16" t="inlineStr"/>
      <c r="G25" s="16" t="inlineStr"/>
      <c r="H25" s="16" t="inlineStr"/>
      <c r="I25" s="16" t="inlineStr"/>
      <c r="J25" s="16" t="inlineStr">
        <is>
          <t>Resolved — Withdrawn</t>
        </is>
      </c>
    </row>
    <row r="26" ht="24" customHeight="1">
      <c r="B26" s="8" t="inlineStr">
        <is>
          <t>FSGC/2025/0022</t>
        </is>
      </c>
      <c r="C26" s="10" t="inlineStr">
        <is>
          <t>EMP-022</t>
        </is>
      </c>
      <c r="D26" s="10" t="inlineStr">
        <is>
          <t>RES-022</t>
        </is>
      </c>
      <c r="E26" s="8" t="inlineStr">
        <is>
          <t>D — Discrimination</t>
        </is>
      </c>
      <c r="F26" s="10" t="inlineStr"/>
      <c r="G26" s="10" t="inlineStr"/>
      <c r="H26" s="10" t="inlineStr"/>
      <c r="I26" s="10" t="inlineStr"/>
      <c r="J26" s="10" t="inlineStr">
        <is>
          <t>Closed — No Merit</t>
        </is>
      </c>
    </row>
    <row r="27" ht="24" customHeight="1"/>
    <row r="28" ht="24" customHeight="1">
      <c r="B28" s="36" t="inlineStr">
        <is>
          <t>CASE REGISTER SUMMARY</t>
        </is>
      </c>
    </row>
    <row r="29" ht="24" customHeight="1">
      <c r="B29" s="73" t="inlineStr">
        <is>
          <t>Total Cases Registered</t>
        </is>
      </c>
      <c r="F29" s="38">
        <f>COUNTA(B5:B26)</f>
        <v/>
      </c>
    </row>
    <row r="30" ht="24" customHeight="1">
      <c r="B30" s="27" t="inlineStr">
        <is>
          <t>Category A — Service Conditions</t>
        </is>
      </c>
      <c r="F30" s="39">
        <f>COUNTIF(E5:E26,"A — Service Conditions")</f>
        <v/>
      </c>
    </row>
    <row r="31" ht="24" customHeight="1">
      <c r="B31" s="73" t="inlineStr">
        <is>
          <t>Category B — Workload</t>
        </is>
      </c>
      <c r="F31" s="38">
        <f>COUNTIF(E5:E26,"B — Workload / Assignment")</f>
        <v/>
      </c>
    </row>
    <row r="32">
      <c r="B32" s="27" t="inlineStr">
        <is>
          <t>Category C — Workplace</t>
        </is>
      </c>
      <c r="F32" s="39">
        <f>COUNTIF(E5:E26,"C — Workplace Environment")</f>
        <v/>
      </c>
    </row>
    <row r="33">
      <c r="B33" s="73" t="inlineStr">
        <is>
          <t>Category D — Discrimination</t>
        </is>
      </c>
      <c r="F33" s="38">
        <f>COUNTIF(E5:E26,"D — Discrimination")</f>
        <v/>
      </c>
    </row>
    <row r="34">
      <c r="B34" s="27" t="inlineStr">
        <is>
          <t>Resolved / Closed</t>
        </is>
      </c>
      <c r="F34" s="39">
        <f>COUNTIF(J5:J26,"Resolved — Accepted")+COUNTIF(J5:J26,"Closed — No Merit")</f>
        <v/>
      </c>
    </row>
  </sheetData>
  <mergeCells count="15">
    <mergeCell ref="B31:E31"/>
    <mergeCell ref="F30:J30"/>
    <mergeCell ref="B3:J3"/>
    <mergeCell ref="F29:J29"/>
    <mergeCell ref="B28:J28"/>
    <mergeCell ref="F34:J34"/>
    <mergeCell ref="B30:E30"/>
    <mergeCell ref="B29:E29"/>
    <mergeCell ref="B33:E33"/>
    <mergeCell ref="F33:J33"/>
    <mergeCell ref="F31:J31"/>
    <mergeCell ref="B34:E34"/>
    <mergeCell ref="F32:J32"/>
    <mergeCell ref="B2:J2"/>
    <mergeCell ref="B32:E3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20" customWidth="1" min="4" max="4"/>
    <col width="20" customWidth="1" min="5" max="5"/>
    <col width="3" customWidth="1" min="6" max="6"/>
  </cols>
  <sheetData>
    <row r="1" ht="10" customHeight="1"/>
    <row r="2" ht="52" customHeight="1">
      <c r="B2" s="12" t="inlineStr">
        <is>
          <t>FSGC-09: GRIEVANCE HEARING &amp; PROCEEDINGS LOG</t>
        </is>
      </c>
    </row>
    <row r="3" ht="18" customHeight="1">
      <c r="B3" s="18" t="inlineStr">
        <is>
          <t>STRICTLY CONFIDENTIAL — Proceedings record. Identity of both parties to be handled with full discretion throughout the inquiry process.</t>
        </is>
      </c>
    </row>
    <row r="4" ht="25" customHeight="1">
      <c r="B4" s="2" t="inlineStr">
        <is>
          <t>Case Ref.: _______  Complainant Code: _______  Respondent Code: _______  Inquiry Chair: _______  Date Constituted: _______</t>
        </is>
      </c>
    </row>
    <row r="5" ht="24" customHeight="1">
      <c r="B5" s="20" t="inlineStr">
        <is>
          <t>CASE SUMMARY</t>
        </is>
      </c>
    </row>
    <row r="6" ht="26" customHeight="1">
      <c r="B6" s="67" t="inlineStr">
        <is>
          <t>Category of Grievance:</t>
        </is>
      </c>
      <c r="C6" s="9" t="n"/>
    </row>
    <row r="7" ht="26" customHeight="1">
      <c r="B7" s="67" t="inlineStr">
        <is>
          <t>Nature of Grievance:</t>
        </is>
      </c>
      <c r="C7" s="9" t="n"/>
    </row>
    <row r="8" ht="26" customHeight="1">
      <c r="B8" s="67" t="inlineStr">
        <is>
          <t>Date of Grievance Receipt:</t>
        </is>
      </c>
      <c r="C8" s="9" t="n"/>
    </row>
    <row r="9" ht="26" customHeight="1">
      <c r="B9" s="67" t="inlineStr">
        <is>
          <t>Inquiry Committee Members:</t>
        </is>
      </c>
      <c r="C9" s="9" t="n"/>
    </row>
    <row r="10" ht="26" customHeight="1">
      <c r="B10" s="67" t="inlineStr">
        <is>
          <t>Timeline for Resolution:</t>
        </is>
      </c>
      <c r="C10" s="68" t="inlineStr">
        <is>
          <t>[ ] 7 days (Urgent)  [ ] 15 days (Category C/D)  [ ] 30 days (Others)</t>
        </is>
      </c>
    </row>
    <row r="11" ht="26" customHeight="1">
      <c r="B11" s="67" t="inlineStr">
        <is>
          <t>Mediation attempted first?</t>
        </is>
      </c>
      <c r="C11" s="68" t="inlineStr">
        <is>
          <t>[ ] Yes — Outcome: _______   [ ] No — Proceeding to Inquiry</t>
        </is>
      </c>
    </row>
    <row r="12" ht="30" customHeight="1"/>
    <row r="13" ht="24" customHeight="1">
      <c r="B13" s="36" t="inlineStr">
        <is>
          <t>HEARING LOG</t>
        </is>
      </c>
    </row>
    <row r="14" ht="30" customHeight="1">
      <c r="B14" s="32" t="inlineStr">
        <is>
          <t>Hearing
No.</t>
        </is>
      </c>
      <c r="C14" s="32" t="inlineStr">
        <is>
          <t>Date</t>
        </is>
      </c>
      <c r="D14" s="32" t="inlineStr">
        <is>
          <t>Persons Present</t>
        </is>
      </c>
      <c r="E14" s="32" t="inlineStr">
        <is>
          <t>Key Points / Evidence / Submissions</t>
        </is>
      </c>
    </row>
    <row r="15" ht="55" customHeight="1">
      <c r="B15" s="33" t="inlineStr">
        <is>
          <t>Hearing 1</t>
        </is>
      </c>
      <c r="C15" s="35" t="inlineStr"/>
      <c r="D15" s="34" t="inlineStr"/>
      <c r="E15" s="34" t="inlineStr"/>
    </row>
    <row r="16" ht="55" customHeight="1">
      <c r="B16" s="8" t="inlineStr">
        <is>
          <t>Hearing 2</t>
        </is>
      </c>
      <c r="C16" s="10" t="inlineStr"/>
      <c r="D16" s="9" t="inlineStr"/>
      <c r="E16" s="9" t="inlineStr"/>
    </row>
    <row r="17" ht="55" customHeight="1">
      <c r="B17" s="33" t="inlineStr">
        <is>
          <t>Hearing 3</t>
        </is>
      </c>
      <c r="C17" s="35" t="inlineStr"/>
      <c r="D17" s="34" t="inlineStr"/>
      <c r="E17" s="34" t="inlineStr"/>
    </row>
    <row r="18" ht="55" customHeight="1">
      <c r="B18" s="8" t="inlineStr">
        <is>
          <t>Hearing 4</t>
        </is>
      </c>
      <c r="C18" s="10" t="inlineStr"/>
      <c r="D18" s="9" t="inlineStr"/>
      <c r="E18" s="9" t="inlineStr"/>
    </row>
    <row r="19" ht="55" customHeight="1">
      <c r="B19" s="33" t="inlineStr">
        <is>
          <t>Hearing 5</t>
        </is>
      </c>
      <c r="C19" s="35" t="inlineStr"/>
      <c r="D19" s="34" t="inlineStr"/>
      <c r="E19" s="34" t="inlineStr"/>
    </row>
    <row r="20" ht="30" customHeight="1"/>
    <row r="21" ht="24" customHeight="1">
      <c r="B21" s="20" t="inlineStr">
        <is>
          <t>INQUIRY FINDINGS &amp; RECOMMENDATION</t>
        </is>
      </c>
    </row>
    <row r="22" ht="22" customHeight="1">
      <c r="B22" s="70" t="inlineStr">
        <is>
          <t>Summary of Grievance:</t>
        </is>
      </c>
    </row>
    <row r="23" ht="22" customHeight="1">
      <c r="B23" s="74" t="inlineStr"/>
    </row>
    <row r="24" ht="30" customHeight="1"/>
    <row r="25" ht="22" customHeight="1">
      <c r="B25" s="70" t="inlineStr">
        <is>
          <t>Evidence Examined:</t>
        </is>
      </c>
    </row>
    <row r="26" ht="70" customHeight="1">
      <c r="B26" s="74" t="inlineStr"/>
    </row>
    <row r="27" ht="30" customHeight="1"/>
    <row r="28" ht="22" customHeight="1">
      <c r="B28" s="70" t="inlineStr">
        <is>
          <t>Complainant's Statement (Summary):</t>
        </is>
      </c>
    </row>
    <row r="29" ht="70" customHeight="1">
      <c r="B29" s="74" t="inlineStr"/>
    </row>
    <row r="30" ht="30" customHeight="1"/>
    <row r="31" ht="22" customHeight="1">
      <c r="B31" s="70" t="inlineStr">
        <is>
          <t>Respondent's Statement (Summary):</t>
        </is>
      </c>
    </row>
    <row r="32" ht="70" customHeight="1">
      <c r="B32" s="74" t="inlineStr"/>
    </row>
    <row r="33" ht="30" customHeight="1"/>
    <row r="34" ht="22" customHeight="1">
      <c r="B34" s="70" t="inlineStr">
        <is>
          <t>Witness Accounts (Summary):</t>
        </is>
      </c>
    </row>
    <row r="35" ht="70" customHeight="1">
      <c r="B35" s="74" t="inlineStr"/>
    </row>
    <row r="36" ht="30" customHeight="1"/>
    <row r="37" ht="22" customHeight="1">
      <c r="B37" s="70" t="inlineStr">
        <is>
          <t>Inquiry Committee's Findings:</t>
        </is>
      </c>
    </row>
    <row r="38" ht="100" customHeight="1">
      <c r="B38" s="74" t="inlineStr"/>
    </row>
    <row r="39" ht="30" customHeight="1"/>
    <row r="40" ht="22" customHeight="1">
      <c r="B40" s="70" t="inlineStr">
        <is>
          <t>Recommendation to FSGC / Management:</t>
        </is>
      </c>
    </row>
    <row r="41" ht="60" customHeight="1">
      <c r="B41" s="74" t="inlineStr"/>
    </row>
    <row r="42" ht="30" customHeight="1"/>
    <row r="43" ht="30" customHeight="1">
      <c r="B43" s="31" t="inlineStr">
        <is>
          <t>Inquiry Chair Signature: ___________________    All Members: ___________________    Report to FSGC: ___________________    Date: ___________________</t>
        </is>
      </c>
    </row>
  </sheetData>
  <mergeCells count="27">
    <mergeCell ref="B40:E40"/>
    <mergeCell ref="B37:E37"/>
    <mergeCell ref="B35:E36"/>
    <mergeCell ref="C9:E9"/>
    <mergeCell ref="B5:E5"/>
    <mergeCell ref="B38:E39"/>
    <mergeCell ref="B29:E30"/>
    <mergeCell ref="C11:E11"/>
    <mergeCell ref="B23:E24"/>
    <mergeCell ref="B4:E4"/>
    <mergeCell ref="C8:E8"/>
    <mergeCell ref="B25:E25"/>
    <mergeCell ref="B3:E3"/>
    <mergeCell ref="C7:E7"/>
    <mergeCell ref="B22:E22"/>
    <mergeCell ref="B31:E31"/>
    <mergeCell ref="B43:E43"/>
    <mergeCell ref="B21:E21"/>
    <mergeCell ref="B2:E2"/>
    <mergeCell ref="C6:E6"/>
    <mergeCell ref="B32:E33"/>
    <mergeCell ref="B41:E42"/>
    <mergeCell ref="B13:E13"/>
    <mergeCell ref="B34:E34"/>
    <mergeCell ref="B28:E28"/>
    <mergeCell ref="B26:E27"/>
    <mergeCell ref="C10:E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FSGC-12: MEDIATION &amp; CONCILIATION REGISTER</t>
        </is>
      </c>
    </row>
    <row r="3" ht="20" customHeight="1">
      <c r="B3" s="17" t="inlineStr">
        <is>
          <t>Mediation is preferred before formal inquiry for Category A, B &amp; E grievances. Both parties must voluntarily consent. A neutral FSGC member or external mediator facilitates the session.</t>
        </is>
      </c>
    </row>
    <row r="4" ht="25" customHeight="1">
      <c r="B4" s="21" t="inlineStr">
        <is>
          <t>Mediation
Ref.</t>
        </is>
      </c>
      <c r="C4" s="21" t="inlineStr">
        <is>
          <t>Case Ref.</t>
        </is>
      </c>
      <c r="D4" s="21" t="inlineStr">
        <is>
          <t>Date of
Session</t>
        </is>
      </c>
      <c r="E4" s="21" t="inlineStr">
        <is>
          <t>Mediator</t>
        </is>
      </c>
      <c r="F4" s="21" t="inlineStr">
        <is>
          <t>Complainant
Present</t>
        </is>
      </c>
      <c r="G4" s="21" t="inlineStr">
        <is>
          <t>Respondent
Present</t>
        </is>
      </c>
      <c r="H4" s="21" t="inlineStr">
        <is>
          <t>Agreement
Reached</t>
        </is>
      </c>
      <c r="I4" s="21" t="inlineStr">
        <is>
          <t>Terms of
Settlement</t>
        </is>
      </c>
      <c r="J4" s="21" t="inlineStr">
        <is>
          <t>Follow-up
Date</t>
        </is>
      </c>
    </row>
    <row r="5" ht="24" customHeight="1">
      <c r="B5" s="14" t="inlineStr">
        <is>
          <t>MED/001</t>
        </is>
      </c>
      <c r="C5" s="16" t="inlineStr">
        <is>
          <t>FSGC/2024/0001</t>
        </is>
      </c>
      <c r="D5" s="16" t="inlineStr"/>
      <c r="E5" s="15" t="inlineStr"/>
      <c r="F5" s="16" t="inlineStr">
        <is>
          <t>Y</t>
        </is>
      </c>
      <c r="G5" s="16" t="inlineStr">
        <is>
          <t>Y</t>
        </is>
      </c>
      <c r="H5" s="16" t="inlineStr"/>
      <c r="I5" s="15" t="inlineStr"/>
      <c r="J5" s="16" t="inlineStr"/>
    </row>
    <row r="6" ht="24" customHeight="1">
      <c r="B6" s="8" t="inlineStr">
        <is>
          <t>MED/002</t>
        </is>
      </c>
      <c r="C6" s="10" t="inlineStr">
        <is>
          <t>FSGC/2024/0002</t>
        </is>
      </c>
      <c r="D6" s="10" t="inlineStr"/>
      <c r="E6" s="9" t="inlineStr"/>
      <c r="F6" s="10" t="inlineStr">
        <is>
          <t>Y</t>
        </is>
      </c>
      <c r="G6" s="10" t="inlineStr">
        <is>
          <t>Y</t>
        </is>
      </c>
      <c r="H6" s="10" t="inlineStr"/>
      <c r="I6" s="9" t="inlineStr"/>
      <c r="J6" s="10" t="inlineStr"/>
    </row>
    <row r="7" ht="24" customHeight="1">
      <c r="B7" s="14" t="inlineStr">
        <is>
          <t>MED/003</t>
        </is>
      </c>
      <c r="C7" s="16" t="inlineStr">
        <is>
          <t>FSGC/2024/0003</t>
        </is>
      </c>
      <c r="D7" s="16" t="inlineStr"/>
      <c r="E7" s="15" t="inlineStr"/>
      <c r="F7" s="16" t="inlineStr">
        <is>
          <t>Y</t>
        </is>
      </c>
      <c r="G7" s="16" t="inlineStr">
        <is>
          <t>Y</t>
        </is>
      </c>
      <c r="H7" s="16" t="inlineStr"/>
      <c r="I7" s="15" t="inlineStr"/>
      <c r="J7" s="16" t="inlineStr"/>
    </row>
    <row r="8" ht="24" customHeight="1">
      <c r="B8" s="8" t="inlineStr">
        <is>
          <t>MED/004</t>
        </is>
      </c>
      <c r="C8" s="10" t="inlineStr">
        <is>
          <t>FSGC/2024/0004</t>
        </is>
      </c>
      <c r="D8" s="10" t="inlineStr"/>
      <c r="E8" s="9" t="inlineStr"/>
      <c r="F8" s="10" t="inlineStr">
        <is>
          <t>Y</t>
        </is>
      </c>
      <c r="G8" s="10" t="inlineStr">
        <is>
          <t>Y</t>
        </is>
      </c>
      <c r="H8" s="10" t="inlineStr"/>
      <c r="I8" s="9" t="inlineStr"/>
      <c r="J8" s="10" t="inlineStr"/>
    </row>
    <row r="9" ht="24" customHeight="1">
      <c r="B9" s="14" t="inlineStr">
        <is>
          <t>MED/005</t>
        </is>
      </c>
      <c r="C9" s="16" t="inlineStr">
        <is>
          <t>FSGC/2024/0005</t>
        </is>
      </c>
      <c r="D9" s="16" t="inlineStr"/>
      <c r="E9" s="15" t="inlineStr"/>
      <c r="F9" s="16" t="inlineStr">
        <is>
          <t>Y</t>
        </is>
      </c>
      <c r="G9" s="16" t="inlineStr">
        <is>
          <t>Y</t>
        </is>
      </c>
      <c r="H9" s="16" t="inlineStr"/>
      <c r="I9" s="15" t="inlineStr"/>
      <c r="J9" s="16" t="inlineStr"/>
    </row>
    <row r="10" ht="24" customHeight="1">
      <c r="B10" s="8" t="inlineStr">
        <is>
          <t>MED/006</t>
        </is>
      </c>
      <c r="C10" s="10" t="inlineStr">
        <is>
          <t>FSGC/2024/0006</t>
        </is>
      </c>
      <c r="D10" s="10" t="inlineStr"/>
      <c r="E10" s="9" t="inlineStr"/>
      <c r="F10" s="10" t="inlineStr">
        <is>
          <t>Y</t>
        </is>
      </c>
      <c r="G10" s="10" t="inlineStr">
        <is>
          <t>Y</t>
        </is>
      </c>
      <c r="H10" s="10" t="inlineStr"/>
      <c r="I10" s="9" t="inlineStr"/>
      <c r="J10" s="10" t="inlineStr"/>
    </row>
    <row r="11" ht="24" customHeight="1">
      <c r="B11" s="14" t="inlineStr">
        <is>
          <t>MED/007</t>
        </is>
      </c>
      <c r="C11" s="16" t="inlineStr">
        <is>
          <t>FSGC/2024/0007</t>
        </is>
      </c>
      <c r="D11" s="16" t="inlineStr"/>
      <c r="E11" s="15" t="inlineStr"/>
      <c r="F11" s="16" t="inlineStr">
        <is>
          <t>Y</t>
        </is>
      </c>
      <c r="G11" s="16" t="inlineStr">
        <is>
          <t>Y</t>
        </is>
      </c>
      <c r="H11" s="16" t="inlineStr"/>
      <c r="I11" s="15" t="inlineStr"/>
      <c r="J11" s="16" t="inlineStr"/>
    </row>
    <row r="12" ht="24" customHeight="1">
      <c r="B12" s="8" t="inlineStr">
        <is>
          <t>MED/008</t>
        </is>
      </c>
      <c r="C12" s="10" t="inlineStr">
        <is>
          <t>FSGC/2024/0008</t>
        </is>
      </c>
      <c r="D12" s="10" t="inlineStr"/>
      <c r="E12" s="9" t="inlineStr"/>
      <c r="F12" s="10" t="inlineStr">
        <is>
          <t>Y</t>
        </is>
      </c>
      <c r="G12" s="10" t="inlineStr">
        <is>
          <t>Y</t>
        </is>
      </c>
      <c r="H12" s="10" t="inlineStr"/>
      <c r="I12" s="9" t="inlineStr"/>
      <c r="J12" s="10" t="inlineStr"/>
    </row>
    <row r="13" ht="24" customHeight="1">
      <c r="B13" s="14" t="inlineStr">
        <is>
          <t>MED/009</t>
        </is>
      </c>
      <c r="C13" s="16" t="inlineStr">
        <is>
          <t>FSGC/2025/0009</t>
        </is>
      </c>
      <c r="D13" s="16" t="inlineStr"/>
      <c r="E13" s="15" t="inlineStr"/>
      <c r="F13" s="16" t="inlineStr">
        <is>
          <t>Y</t>
        </is>
      </c>
      <c r="G13" s="16" t="inlineStr">
        <is>
          <t>Y</t>
        </is>
      </c>
      <c r="H13" s="16" t="inlineStr"/>
      <c r="I13" s="15" t="inlineStr"/>
      <c r="J13" s="16" t="inlineStr"/>
    </row>
    <row r="14" ht="24" customHeight="1">
      <c r="B14" s="8" t="inlineStr">
        <is>
          <t>MED/010</t>
        </is>
      </c>
      <c r="C14" s="10" t="inlineStr">
        <is>
          <t>FSGC/2025/0010</t>
        </is>
      </c>
      <c r="D14" s="10" t="inlineStr"/>
      <c r="E14" s="9" t="inlineStr"/>
      <c r="F14" s="10" t="inlineStr">
        <is>
          <t>Y</t>
        </is>
      </c>
      <c r="G14" s="10" t="inlineStr">
        <is>
          <t>Y</t>
        </is>
      </c>
      <c r="H14" s="10" t="inlineStr"/>
      <c r="I14" s="9" t="inlineStr"/>
      <c r="J14" s="10" t="inlineStr"/>
    </row>
    <row r="15" ht="24" customHeight="1">
      <c r="B15" s="14" t="inlineStr">
        <is>
          <t>MED/011</t>
        </is>
      </c>
      <c r="C15" s="16" t="inlineStr">
        <is>
          <t>FSGC/2025/0011</t>
        </is>
      </c>
      <c r="D15" s="16" t="inlineStr"/>
      <c r="E15" s="15" t="inlineStr"/>
      <c r="F15" s="16" t="inlineStr">
        <is>
          <t>Y</t>
        </is>
      </c>
      <c r="G15" s="16" t="inlineStr">
        <is>
          <t>Y</t>
        </is>
      </c>
      <c r="H15" s="16" t="inlineStr"/>
      <c r="I15" s="15" t="inlineStr"/>
      <c r="J15" s="16" t="inlineStr"/>
    </row>
    <row r="16" ht="24" customHeight="1">
      <c r="B16" s="8" t="inlineStr">
        <is>
          <t>MED/012</t>
        </is>
      </c>
      <c r="C16" s="10" t="inlineStr">
        <is>
          <t>FSGC/2025/0012</t>
        </is>
      </c>
      <c r="D16" s="10" t="inlineStr"/>
      <c r="E16" s="9" t="inlineStr"/>
      <c r="F16" s="10" t="inlineStr">
        <is>
          <t>Y</t>
        </is>
      </c>
      <c r="G16" s="10" t="inlineStr">
        <is>
          <t>Y</t>
        </is>
      </c>
      <c r="H16" s="10" t="inlineStr"/>
      <c r="I16" s="9" t="inlineStr"/>
      <c r="J16" s="10" t="inlineStr"/>
    </row>
    <row r="17" ht="24" customHeight="1">
      <c r="B17" s="14" t="inlineStr">
        <is>
          <t>MED/013</t>
        </is>
      </c>
      <c r="C17" s="16" t="inlineStr">
        <is>
          <t>FSGC/2025/0013</t>
        </is>
      </c>
      <c r="D17" s="16" t="inlineStr"/>
      <c r="E17" s="15" t="inlineStr"/>
      <c r="F17" s="16" t="inlineStr">
        <is>
          <t>Y</t>
        </is>
      </c>
      <c r="G17" s="16" t="inlineStr">
        <is>
          <t>Y</t>
        </is>
      </c>
      <c r="H17" s="16" t="inlineStr"/>
      <c r="I17" s="15" t="inlineStr"/>
      <c r="J17" s="16" t="inlineStr"/>
    </row>
    <row r="18" ht="24" customHeight="1">
      <c r="B18" s="8" t="inlineStr">
        <is>
          <t>MED/014</t>
        </is>
      </c>
      <c r="C18" s="10" t="inlineStr">
        <is>
          <t>FSGC/2025/0014</t>
        </is>
      </c>
      <c r="D18" s="10" t="inlineStr"/>
      <c r="E18" s="9" t="inlineStr"/>
      <c r="F18" s="10" t="inlineStr">
        <is>
          <t>Y</t>
        </is>
      </c>
      <c r="G18" s="10" t="inlineStr">
        <is>
          <t>Y</t>
        </is>
      </c>
      <c r="H18" s="10" t="inlineStr"/>
      <c r="I18" s="9" t="inlineStr"/>
      <c r="J18" s="10" t="inlineStr"/>
    </row>
    <row r="19" ht="24" customHeight="1">
      <c r="B19" s="14" t="inlineStr">
        <is>
          <t>MED/015</t>
        </is>
      </c>
      <c r="C19" s="16" t="inlineStr">
        <is>
          <t>FSGC/2025/0015</t>
        </is>
      </c>
      <c r="D19" s="16" t="inlineStr"/>
      <c r="E19" s="15" t="inlineStr"/>
      <c r="F19" s="16" t="inlineStr">
        <is>
          <t>Y</t>
        </is>
      </c>
      <c r="G19" s="16" t="inlineStr">
        <is>
          <t>Y</t>
        </is>
      </c>
      <c r="H19" s="16" t="inlineStr"/>
      <c r="I19" s="15" t="inlineStr"/>
      <c r="J19" s="16" t="inlineStr"/>
    </row>
    <row r="20" ht="24" customHeight="1">
      <c r="B20" s="8" t="inlineStr">
        <is>
          <t>MED/016</t>
        </is>
      </c>
      <c r="C20" s="10" t="inlineStr">
        <is>
          <t>FSGC/2025/0016</t>
        </is>
      </c>
      <c r="D20" s="10" t="inlineStr"/>
      <c r="E20" s="9" t="inlineStr"/>
      <c r="F20" s="10" t="inlineStr">
        <is>
          <t>Y</t>
        </is>
      </c>
      <c r="G20" s="10" t="inlineStr">
        <is>
          <t>Y</t>
        </is>
      </c>
      <c r="H20" s="10" t="inlineStr"/>
      <c r="I20" s="9" t="inlineStr"/>
      <c r="J20" s="10" t="inlineStr"/>
    </row>
    <row r="21" ht="24" customHeight="1"/>
    <row r="22" ht="24" customHeight="1">
      <c r="B22" s="36" t="inlineStr">
        <is>
          <t>MEDIATION OUTCOME SUMMARY</t>
        </is>
      </c>
    </row>
    <row r="23" ht="24" customHeight="1">
      <c r="B23" s="73" t="inlineStr">
        <is>
          <t>Total Mediation Sessions</t>
        </is>
      </c>
      <c r="F23" s="38">
        <f>COUNTA(B5:B20)</f>
        <v/>
      </c>
    </row>
    <row r="24" ht="24" customHeight="1">
      <c r="B24" s="27" t="inlineStr">
        <is>
          <t>Agreements Reached</t>
        </is>
      </c>
      <c r="F24" s="39">
        <f>COUNTIF(H5:H20,"Yes")</f>
        <v/>
      </c>
    </row>
    <row r="25" ht="24" customHeight="1">
      <c r="B25" s="73" t="inlineStr">
        <is>
          <t>Mediation Failed — Formal Inquiry Initiated</t>
        </is>
      </c>
      <c r="F25" s="38">
        <f>COUNTIF(H5:H20,"No")</f>
        <v/>
      </c>
    </row>
    <row r="26">
      <c r="B26" s="27" t="inlineStr">
        <is>
          <t>Settlement Compliance Verified</t>
        </is>
      </c>
      <c r="F26" s="39" t="inlineStr"/>
    </row>
    <row r="27">
      <c r="B27" s="73" t="inlineStr">
        <is>
          <t>Average Sessions to Settlement</t>
        </is>
      </c>
      <c r="F27" s="38" t="inlineStr"/>
    </row>
    <row r="28">
      <c r="B28" s="27" t="inlineStr">
        <is>
          <t>Mediation Success Rate (%)</t>
        </is>
      </c>
      <c r="F28" s="39">
        <f>IFERROR(ROUND(C24/C23*100,1),"")</f>
        <v/>
      </c>
    </row>
  </sheetData>
  <mergeCells count="15">
    <mergeCell ref="B23:E23"/>
    <mergeCell ref="B26:E26"/>
    <mergeCell ref="B3:J3"/>
    <mergeCell ref="B27:E27"/>
    <mergeCell ref="F24:J24"/>
    <mergeCell ref="F23:J23"/>
    <mergeCell ref="B22:J22"/>
    <mergeCell ref="F25:J25"/>
    <mergeCell ref="F27:J27"/>
    <mergeCell ref="B25:E25"/>
    <mergeCell ref="F28:J28"/>
    <mergeCell ref="B24:E24"/>
    <mergeCell ref="B28:E28"/>
    <mergeCell ref="F26:J26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FSGC-13: FSGC DECISION &amp; RECOMMENDATION REGISTER</t>
        </is>
      </c>
    </row>
    <row r="3" ht="18" customHeight="1">
      <c r="B3" s="18" t="inlineStr">
        <is>
          <t>CONFIDENTIAL — Decisions must be communicated in writing to complainant and respondent within 7 working days. Legal Advisor to certify cases involving disciplinary action or termination.</t>
        </is>
      </c>
    </row>
    <row r="4" ht="25" customHeight="1">
      <c r="B4" s="21" t="inlineStr">
        <is>
          <t>Case
Ref.</t>
        </is>
      </c>
      <c r="C4" s="21" t="inlineStr">
        <is>
          <t>Complainant
(Code)</t>
        </is>
      </c>
      <c r="D4" s="21" t="inlineStr">
        <is>
          <t>Category</t>
        </is>
      </c>
      <c r="E4" s="21" t="inlineStr">
        <is>
          <t>Nature of
Grievance</t>
        </is>
      </c>
      <c r="F4" s="21" t="inlineStr">
        <is>
          <t>FSGC
Finding</t>
        </is>
      </c>
      <c r="G4" s="21" t="inlineStr">
        <is>
          <t>Recommendation
to Management</t>
        </is>
      </c>
      <c r="H4" s="21" t="inlineStr">
        <is>
          <t>Decision
Date</t>
        </is>
      </c>
      <c r="I4" s="21" t="inlineStr">
        <is>
          <t>Management
Action Date</t>
        </is>
      </c>
      <c r="J4" s="21" t="inlineStr">
        <is>
          <t>Status</t>
        </is>
      </c>
    </row>
    <row r="5" ht="26" customHeight="1">
      <c r="B5" s="14" t="inlineStr">
        <is>
          <t>FSGC/2024/0001</t>
        </is>
      </c>
      <c r="C5" s="16" t="inlineStr">
        <is>
          <t>EMP-001</t>
        </is>
      </c>
      <c r="D5" s="14" t="inlineStr">
        <is>
          <t>A — Service Conditions</t>
        </is>
      </c>
      <c r="E5" s="15" t="inlineStr"/>
      <c r="F5" s="15" t="inlineStr">
        <is>
          <t>Grievance upheld — Immediate corrective action</t>
        </is>
      </c>
      <c r="G5" s="15" t="inlineStr"/>
      <c r="H5" s="16" t="inlineStr"/>
      <c r="I5" s="16" t="inlineStr"/>
      <c r="J5" s="16" t="inlineStr">
        <is>
          <t>Pending Management Action</t>
        </is>
      </c>
    </row>
    <row r="6" ht="26" customHeight="1">
      <c r="B6" s="8" t="inlineStr">
        <is>
          <t>FSGC/2024/0002</t>
        </is>
      </c>
      <c r="C6" s="10" t="inlineStr">
        <is>
          <t>EMP-002</t>
        </is>
      </c>
      <c r="D6" s="8" t="inlineStr">
        <is>
          <t>B — Workload / Assignment</t>
        </is>
      </c>
      <c r="E6" s="9" t="inlineStr"/>
      <c r="F6" s="9" t="inlineStr">
        <is>
          <t>Grievance partially upheld — Partial remedy</t>
        </is>
      </c>
      <c r="G6" s="9" t="inlineStr"/>
      <c r="H6" s="10" t="inlineStr"/>
      <c r="I6" s="10" t="inlineStr"/>
      <c r="J6" s="10" t="inlineStr">
        <is>
          <t>Pending Management Action</t>
        </is>
      </c>
    </row>
    <row r="7" ht="26" customHeight="1">
      <c r="B7" s="14" t="inlineStr">
        <is>
          <t>FSGC/2024/0003</t>
        </is>
      </c>
      <c r="C7" s="16" t="inlineStr">
        <is>
          <t>EMP-003</t>
        </is>
      </c>
      <c r="D7" s="14" t="inlineStr">
        <is>
          <t>C — Workplace Environment</t>
        </is>
      </c>
      <c r="E7" s="15" t="inlineStr"/>
      <c r="F7" s="15" t="inlineStr">
        <is>
          <t>Grievance not upheld — No merit found</t>
        </is>
      </c>
      <c r="G7" s="15" t="inlineStr"/>
      <c r="H7" s="16" t="inlineStr"/>
      <c r="I7" s="16" t="inlineStr"/>
      <c r="J7" s="16" t="inlineStr">
        <is>
          <t>Pending Management Action</t>
        </is>
      </c>
    </row>
    <row r="8" ht="26" customHeight="1">
      <c r="B8" s="8" t="inlineStr">
        <is>
          <t>FSGC/2024/0004</t>
        </is>
      </c>
      <c r="C8" s="10" t="inlineStr">
        <is>
          <t>EMP-004</t>
        </is>
      </c>
      <c r="D8" s="8" t="inlineStr">
        <is>
          <t>D — Discrimination</t>
        </is>
      </c>
      <c r="E8" s="9" t="inlineStr"/>
      <c r="F8" s="9" t="inlineStr">
        <is>
          <t>Referred to external authority</t>
        </is>
      </c>
      <c r="G8" s="9" t="inlineStr"/>
      <c r="H8" s="10" t="inlineStr"/>
      <c r="I8" s="10" t="inlineStr"/>
      <c r="J8" s="10" t="inlineStr">
        <is>
          <t>Pending Management Action</t>
        </is>
      </c>
    </row>
    <row r="9" ht="26" customHeight="1">
      <c r="B9" s="14" t="inlineStr">
        <is>
          <t>FSGC/2024/0005</t>
        </is>
      </c>
      <c r="C9" s="16" t="inlineStr">
        <is>
          <t>EMP-005</t>
        </is>
      </c>
      <c r="D9" s="14" t="inlineStr">
        <is>
          <t>E — Infrastructure</t>
        </is>
      </c>
      <c r="E9" s="15" t="inlineStr"/>
      <c r="F9" s="15" t="inlineStr">
        <is>
          <t>Settled through mediation</t>
        </is>
      </c>
      <c r="G9" s="15" t="inlineStr"/>
      <c r="H9" s="16" t="inlineStr"/>
      <c r="I9" s="16" t="inlineStr"/>
      <c r="J9" s="16" t="inlineStr">
        <is>
          <t>Pending Management Action</t>
        </is>
      </c>
    </row>
    <row r="10" ht="26" customHeight="1">
      <c r="B10" s="8" t="inlineStr">
        <is>
          <t>FSGC/2024/0006</t>
        </is>
      </c>
      <c r="C10" s="10" t="inlineStr">
        <is>
          <t>EMP-006</t>
        </is>
      </c>
      <c r="D10" s="8" t="inlineStr">
        <is>
          <t>F — Admin / HR Process</t>
        </is>
      </c>
      <c r="E10" s="9" t="inlineStr"/>
      <c r="F10" s="9" t="inlineStr">
        <is>
          <t>Complainant withdrew — Case closed</t>
        </is>
      </c>
      <c r="G10" s="9" t="inlineStr"/>
      <c r="H10" s="10" t="inlineStr"/>
      <c r="I10" s="10" t="inlineStr"/>
      <c r="J10" s="10" t="inlineStr">
        <is>
          <t>Pending Management Action</t>
        </is>
      </c>
    </row>
    <row r="11" ht="26" customHeight="1">
      <c r="B11" s="14" t="inlineStr">
        <is>
          <t>FSGC/2024/0007</t>
        </is>
      </c>
      <c r="C11" s="16" t="inlineStr">
        <is>
          <t>EMP-007</t>
        </is>
      </c>
      <c r="D11" s="14" t="inlineStr">
        <is>
          <t>A — Service Conditions</t>
        </is>
      </c>
      <c r="E11" s="15" t="inlineStr"/>
      <c r="F11" s="15" t="inlineStr">
        <is>
          <t>Systemic issue — Policy review recommended</t>
        </is>
      </c>
      <c r="G11" s="15" t="inlineStr"/>
      <c r="H11" s="16" t="inlineStr"/>
      <c r="I11" s="16" t="inlineStr"/>
      <c r="J11" s="16" t="inlineStr">
        <is>
          <t>Pending Management Action</t>
        </is>
      </c>
    </row>
    <row r="12" ht="26" customHeight="1">
      <c r="B12" s="8" t="inlineStr">
        <is>
          <t>FSGC/2024/0008</t>
        </is>
      </c>
      <c r="C12" s="10" t="inlineStr">
        <is>
          <t>EMP-008</t>
        </is>
      </c>
      <c r="D12" s="8" t="inlineStr">
        <is>
          <t>B — Workload / Assignment</t>
        </is>
      </c>
      <c r="E12" s="9" t="inlineStr"/>
      <c r="F12" s="9" t="inlineStr">
        <is>
          <t>Grievance upheld — Immediate corrective action</t>
        </is>
      </c>
      <c r="G12" s="9" t="inlineStr"/>
      <c r="H12" s="10" t="inlineStr"/>
      <c r="I12" s="10" t="inlineStr"/>
      <c r="J12" s="10" t="inlineStr">
        <is>
          <t>Pending Management Action</t>
        </is>
      </c>
    </row>
    <row r="13" ht="26" customHeight="1">
      <c r="B13" s="14" t="inlineStr">
        <is>
          <t>FSGC/2025/0009</t>
        </is>
      </c>
      <c r="C13" s="16" t="inlineStr">
        <is>
          <t>EMP-009</t>
        </is>
      </c>
      <c r="D13" s="14" t="inlineStr">
        <is>
          <t>C — Workplace Environment</t>
        </is>
      </c>
      <c r="E13" s="15" t="inlineStr"/>
      <c r="F13" s="15" t="inlineStr">
        <is>
          <t>Grievance partially upheld — Partial remedy</t>
        </is>
      </c>
      <c r="G13" s="15" t="inlineStr"/>
      <c r="H13" s="16" t="inlineStr"/>
      <c r="I13" s="16" t="inlineStr"/>
      <c r="J13" s="16" t="inlineStr">
        <is>
          <t>Pending Management Action</t>
        </is>
      </c>
    </row>
    <row r="14" ht="26" customHeight="1">
      <c r="B14" s="8" t="inlineStr">
        <is>
          <t>FSGC/2025/0010</t>
        </is>
      </c>
      <c r="C14" s="10" t="inlineStr">
        <is>
          <t>EMP-010</t>
        </is>
      </c>
      <c r="D14" s="8" t="inlineStr">
        <is>
          <t>D — Discrimination</t>
        </is>
      </c>
      <c r="E14" s="9" t="inlineStr"/>
      <c r="F14" s="9" t="inlineStr">
        <is>
          <t>Grievance not upheld — No merit found</t>
        </is>
      </c>
      <c r="G14" s="9" t="inlineStr"/>
      <c r="H14" s="10" t="inlineStr"/>
      <c r="I14" s="10" t="inlineStr"/>
      <c r="J14" s="10" t="inlineStr">
        <is>
          <t>Pending Management Action</t>
        </is>
      </c>
    </row>
    <row r="15" ht="26" customHeight="1">
      <c r="B15" s="14" t="inlineStr">
        <is>
          <t>FSGC/2025/0011</t>
        </is>
      </c>
      <c r="C15" s="16" t="inlineStr">
        <is>
          <t>EMP-011</t>
        </is>
      </c>
      <c r="D15" s="14" t="inlineStr">
        <is>
          <t>E — Infrastructure</t>
        </is>
      </c>
      <c r="E15" s="15" t="inlineStr"/>
      <c r="F15" s="15" t="inlineStr">
        <is>
          <t>Referred to external authority</t>
        </is>
      </c>
      <c r="G15" s="15" t="inlineStr"/>
      <c r="H15" s="16" t="inlineStr"/>
      <c r="I15" s="16" t="inlineStr"/>
      <c r="J15" s="16" t="inlineStr">
        <is>
          <t>Pending Management Action</t>
        </is>
      </c>
    </row>
    <row r="16" ht="26" customHeight="1">
      <c r="B16" s="8" t="inlineStr">
        <is>
          <t>FSGC/2025/0012</t>
        </is>
      </c>
      <c r="C16" s="10" t="inlineStr">
        <is>
          <t>EMP-012</t>
        </is>
      </c>
      <c r="D16" s="8" t="inlineStr">
        <is>
          <t>F — Admin / HR Process</t>
        </is>
      </c>
      <c r="E16" s="9" t="inlineStr"/>
      <c r="F16" s="9" t="inlineStr">
        <is>
          <t>Settled through mediation</t>
        </is>
      </c>
      <c r="G16" s="9" t="inlineStr"/>
      <c r="H16" s="10" t="inlineStr"/>
      <c r="I16" s="10" t="inlineStr"/>
      <c r="J16" s="10" t="inlineStr">
        <is>
          <t>Pending Management Action</t>
        </is>
      </c>
    </row>
    <row r="17" ht="26" customHeight="1">
      <c r="B17" s="14" t="inlineStr">
        <is>
          <t>FSGC/2025/0013</t>
        </is>
      </c>
      <c r="C17" s="16" t="inlineStr">
        <is>
          <t>EMP-013</t>
        </is>
      </c>
      <c r="D17" s="14" t="inlineStr">
        <is>
          <t>A — Service Conditions</t>
        </is>
      </c>
      <c r="E17" s="15" t="inlineStr"/>
      <c r="F17" s="15" t="inlineStr">
        <is>
          <t>Complainant withdrew — Case closed</t>
        </is>
      </c>
      <c r="G17" s="15" t="inlineStr"/>
      <c r="H17" s="16" t="inlineStr"/>
      <c r="I17" s="16" t="inlineStr"/>
      <c r="J17" s="16" t="inlineStr">
        <is>
          <t>Pending Management Action</t>
        </is>
      </c>
    </row>
    <row r="18" ht="26" customHeight="1">
      <c r="B18" s="8" t="inlineStr">
        <is>
          <t>FSGC/2025/0014</t>
        </is>
      </c>
      <c r="C18" s="10" t="inlineStr">
        <is>
          <t>EMP-014</t>
        </is>
      </c>
      <c r="D18" s="8" t="inlineStr">
        <is>
          <t>B — Workload / Assignment</t>
        </is>
      </c>
      <c r="E18" s="9" t="inlineStr"/>
      <c r="F18" s="9" t="inlineStr">
        <is>
          <t>Systemic issue — Policy review recommended</t>
        </is>
      </c>
      <c r="G18" s="9" t="inlineStr"/>
      <c r="H18" s="10" t="inlineStr"/>
      <c r="I18" s="10" t="inlineStr"/>
      <c r="J18" s="10" t="inlineStr">
        <is>
          <t>Pending Management Action</t>
        </is>
      </c>
    </row>
    <row r="19" ht="26" customHeight="1">
      <c r="B19" s="14" t="inlineStr">
        <is>
          <t>FSGC/2025/0015</t>
        </is>
      </c>
      <c r="C19" s="16" t="inlineStr">
        <is>
          <t>EMP-015</t>
        </is>
      </c>
      <c r="D19" s="14" t="inlineStr">
        <is>
          <t>C — Workplace Environment</t>
        </is>
      </c>
      <c r="E19" s="15" t="inlineStr"/>
      <c r="F19" s="15" t="inlineStr">
        <is>
          <t>Grievance upheld — Immediate corrective action</t>
        </is>
      </c>
      <c r="G19" s="15" t="inlineStr"/>
      <c r="H19" s="16" t="inlineStr"/>
      <c r="I19" s="16" t="inlineStr"/>
      <c r="J19" s="16" t="inlineStr">
        <is>
          <t>Pending Management Action</t>
        </is>
      </c>
    </row>
    <row r="20" ht="26" customHeight="1">
      <c r="B20" s="8" t="inlineStr">
        <is>
          <t>FSGC/2025/0016</t>
        </is>
      </c>
      <c r="C20" s="10" t="inlineStr">
        <is>
          <t>EMP-016</t>
        </is>
      </c>
      <c r="D20" s="8" t="inlineStr">
        <is>
          <t>D — Discrimination</t>
        </is>
      </c>
      <c r="E20" s="9" t="inlineStr"/>
      <c r="F20" s="9" t="inlineStr">
        <is>
          <t>Grievance partially upheld — Partial remedy</t>
        </is>
      </c>
      <c r="G20" s="9" t="inlineStr"/>
      <c r="H20" s="10" t="inlineStr"/>
      <c r="I20" s="10" t="inlineStr"/>
      <c r="J20" s="10" t="inlineStr">
        <is>
          <t>Pending Management Action</t>
        </is>
      </c>
    </row>
    <row r="21" ht="26" customHeight="1"/>
    <row r="22" ht="24" customHeight="1">
      <c r="B22" s="36" t="inlineStr">
        <is>
          <t>DECISION STATISTICS</t>
        </is>
      </c>
    </row>
    <row r="23">
      <c r="B23" s="73" t="inlineStr">
        <is>
          <t>Total Cases Decided</t>
        </is>
      </c>
      <c r="F23" s="38">
        <f>COUNTA(B5:B20)</f>
        <v/>
      </c>
    </row>
    <row r="24">
      <c r="B24" s="27" t="inlineStr">
        <is>
          <t>Grievances Upheld</t>
        </is>
      </c>
      <c r="F24" s="39">
        <f>COUNTIF(F5:F20,"Grievance upheld — Immediate corrective action")</f>
        <v/>
      </c>
    </row>
    <row r="25">
      <c r="B25" s="73" t="inlineStr">
        <is>
          <t>Partially Upheld</t>
        </is>
      </c>
      <c r="F25" s="38">
        <f>COUNTIF(F5:F20,"Grievance partially upheld — Partial remedy")</f>
        <v/>
      </c>
    </row>
    <row r="26">
      <c r="B26" s="27" t="inlineStr">
        <is>
          <t>Not Upheld</t>
        </is>
      </c>
      <c r="F26" s="39">
        <f>COUNTIF(F5:F20,"Grievance not upheld — No merit found")</f>
        <v/>
      </c>
    </row>
    <row r="27">
      <c r="B27" s="73" t="inlineStr">
        <is>
          <t>Settled via Mediation</t>
        </is>
      </c>
      <c r="F27" s="38">
        <f>COUNTIF(F5:F20,"Settled through mediation")</f>
        <v/>
      </c>
    </row>
    <row r="28">
      <c r="B28" s="27" t="inlineStr">
        <is>
          <t>Systemic Issues Identified</t>
        </is>
      </c>
      <c r="F28" s="39">
        <f>COUNTIF(F5:F20,"Systemic issue — Policy review recommended")</f>
        <v/>
      </c>
    </row>
  </sheetData>
  <mergeCells count="15">
    <mergeCell ref="B23:E23"/>
    <mergeCell ref="B26:E26"/>
    <mergeCell ref="B3:J3"/>
    <mergeCell ref="B27:E27"/>
    <mergeCell ref="F24:J24"/>
    <mergeCell ref="F23:J23"/>
    <mergeCell ref="B22:J22"/>
    <mergeCell ref="F25:J25"/>
    <mergeCell ref="F27:J27"/>
    <mergeCell ref="B25:E25"/>
    <mergeCell ref="F28:J28"/>
    <mergeCell ref="B24:E24"/>
    <mergeCell ref="B28:E28"/>
    <mergeCell ref="F26:J26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12" customWidth="1" min="4" max="4"/>
    <col width="14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FSGC-18: SERVICE CONDITIONS GRIEVANCE REGISTER (PAY / LEAVE / PROMOTION)</t>
        </is>
      </c>
    </row>
    <row r="3" ht="18" customHeight="1">
      <c r="B3" s="18" t="inlineStr">
        <is>
          <t>STRICTLY CONFIDENTIAL — Faculty/Staff grievance records are sensitive HR documents. Access restricted to FSGC members and institutional leadership only.</t>
        </is>
      </c>
    </row>
    <row r="4" ht="25" customHeight="1">
      <c r="B4" s="21" t="inlineStr">
        <is>
          <t>Grievance
Ref.</t>
        </is>
      </c>
      <c r="C4" s="21" t="inlineStr">
        <is>
          <t>Employee
(Code)</t>
        </is>
      </c>
      <c r="D4" s="21" t="inlineStr">
        <is>
          <t>Designation
/ Dept.</t>
        </is>
      </c>
      <c r="E4" s="21" t="inlineStr">
        <is>
          <t>Issue Type</t>
        </is>
      </c>
      <c r="F4" s="21" t="inlineStr">
        <is>
          <t>Date
Raised</t>
        </is>
      </c>
      <c r="G4" s="21" t="inlineStr">
        <is>
          <t>Amount /
Period
Affected</t>
        </is>
      </c>
      <c r="H4" s="21" t="inlineStr">
        <is>
          <t>HR Officer
Action</t>
        </is>
      </c>
      <c r="I4" s="21" t="inlineStr">
        <is>
          <t>Finance
Action</t>
        </is>
      </c>
      <c r="J4" s="21" t="inlineStr">
        <is>
          <t>Resolution
Status</t>
        </is>
      </c>
    </row>
    <row r="5" ht="24" customHeight="1">
      <c r="B5" s="14" t="inlineStr">
        <is>
          <t>SVC/2024/001</t>
        </is>
      </c>
      <c r="C5" s="16" t="inlineStr">
        <is>
          <t>EMP-001</t>
        </is>
      </c>
      <c r="D5" s="16" t="inlineStr"/>
      <c r="E5" s="15" t="inlineStr">
        <is>
          <t>Pay fixation error</t>
        </is>
      </c>
      <c r="F5" s="16" t="inlineStr"/>
      <c r="G5" s="16" t="inlineStr"/>
      <c r="H5" s="15" t="inlineStr"/>
      <c r="I5" s="15" t="inlineStr"/>
      <c r="J5" s="16" t="inlineStr">
        <is>
          <t>Open</t>
        </is>
      </c>
    </row>
    <row r="6" ht="24" customHeight="1">
      <c r="B6" s="8" t="inlineStr">
        <is>
          <t>SVC/2024/002</t>
        </is>
      </c>
      <c r="C6" s="10" t="inlineStr">
        <is>
          <t>EMP-002</t>
        </is>
      </c>
      <c r="D6" s="10" t="inlineStr"/>
      <c r="E6" s="9" t="inlineStr">
        <is>
          <t>Increment not given</t>
        </is>
      </c>
      <c r="F6" s="10" t="inlineStr"/>
      <c r="G6" s="10" t="inlineStr"/>
      <c r="H6" s="9" t="inlineStr"/>
      <c r="I6" s="9" t="inlineStr"/>
      <c r="J6" s="10" t="inlineStr">
        <is>
          <t>Open</t>
        </is>
      </c>
    </row>
    <row r="7" ht="24" customHeight="1">
      <c r="B7" s="14" t="inlineStr">
        <is>
          <t>SVC/2024/003</t>
        </is>
      </c>
      <c r="C7" s="16" t="inlineStr">
        <is>
          <t>EMP-003</t>
        </is>
      </c>
      <c r="D7" s="16" t="inlineStr"/>
      <c r="E7" s="15" t="inlineStr">
        <is>
          <t>Leave encashment denial</t>
        </is>
      </c>
      <c r="F7" s="16" t="inlineStr"/>
      <c r="G7" s="16" t="inlineStr"/>
      <c r="H7" s="15" t="inlineStr"/>
      <c r="I7" s="15" t="inlineStr"/>
      <c r="J7" s="16" t="inlineStr">
        <is>
          <t>Open</t>
        </is>
      </c>
    </row>
    <row r="8" ht="24" customHeight="1">
      <c r="B8" s="8" t="inlineStr">
        <is>
          <t>SVC/2024/004</t>
        </is>
      </c>
      <c r="C8" s="10" t="inlineStr">
        <is>
          <t>EMP-004</t>
        </is>
      </c>
      <c r="D8" s="10" t="inlineStr"/>
      <c r="E8" s="9" t="inlineStr">
        <is>
          <t>Leave balance incorrect</t>
        </is>
      </c>
      <c r="F8" s="10" t="inlineStr"/>
      <c r="G8" s="10" t="inlineStr"/>
      <c r="H8" s="9" t="inlineStr"/>
      <c r="I8" s="9" t="inlineStr"/>
      <c r="J8" s="10" t="inlineStr">
        <is>
          <t>Open</t>
        </is>
      </c>
    </row>
    <row r="9" ht="24" customHeight="1">
      <c r="B9" s="14" t="inlineStr">
        <is>
          <t>SVC/2024/005</t>
        </is>
      </c>
      <c r="C9" s="16" t="inlineStr">
        <is>
          <t>EMP-005</t>
        </is>
      </c>
      <c r="D9" s="16" t="inlineStr"/>
      <c r="E9" s="15" t="inlineStr">
        <is>
          <t>Promotion denied</t>
        </is>
      </c>
      <c r="F9" s="16" t="inlineStr"/>
      <c r="G9" s="16" t="inlineStr"/>
      <c r="H9" s="15" t="inlineStr"/>
      <c r="I9" s="15" t="inlineStr"/>
      <c r="J9" s="16" t="inlineStr">
        <is>
          <t>Open</t>
        </is>
      </c>
    </row>
    <row r="10" ht="24" customHeight="1">
      <c r="B10" s="8" t="inlineStr">
        <is>
          <t>SVC/2024/006</t>
        </is>
      </c>
      <c r="C10" s="10" t="inlineStr">
        <is>
          <t>EMP-006</t>
        </is>
      </c>
      <c r="D10" s="10" t="inlineStr"/>
      <c r="E10" s="9" t="inlineStr">
        <is>
          <t>Seniority list error</t>
        </is>
      </c>
      <c r="F10" s="10" t="inlineStr"/>
      <c r="G10" s="10" t="inlineStr"/>
      <c r="H10" s="9" t="inlineStr"/>
      <c r="I10" s="9" t="inlineStr"/>
      <c r="J10" s="10" t="inlineStr">
        <is>
          <t>Open</t>
        </is>
      </c>
    </row>
    <row r="11" ht="24" customHeight="1">
      <c r="B11" s="14" t="inlineStr">
        <is>
          <t>SVC/2024/007</t>
        </is>
      </c>
      <c r="C11" s="16" t="inlineStr">
        <is>
          <t>EMP-007</t>
        </is>
      </c>
      <c r="D11" s="16" t="inlineStr"/>
      <c r="E11" s="15" t="inlineStr">
        <is>
          <t>Transfer grievance</t>
        </is>
      </c>
      <c r="F11" s="16" t="inlineStr"/>
      <c r="G11" s="16" t="inlineStr"/>
      <c r="H11" s="15" t="inlineStr"/>
      <c r="I11" s="15" t="inlineStr"/>
      <c r="J11" s="16" t="inlineStr">
        <is>
          <t>Open</t>
        </is>
      </c>
    </row>
    <row r="12" ht="24" customHeight="1">
      <c r="B12" s="8" t="inlineStr">
        <is>
          <t>SVC/2024/008</t>
        </is>
      </c>
      <c r="C12" s="10" t="inlineStr">
        <is>
          <t>EMP-008</t>
        </is>
      </c>
      <c r="D12" s="10" t="inlineStr"/>
      <c r="E12" s="9" t="inlineStr">
        <is>
          <t>Pension / PF issue</t>
        </is>
      </c>
      <c r="F12" s="10" t="inlineStr"/>
      <c r="G12" s="10" t="inlineStr"/>
      <c r="H12" s="9" t="inlineStr"/>
      <c r="I12" s="9" t="inlineStr"/>
      <c r="J12" s="10" t="inlineStr">
        <is>
          <t>Open</t>
        </is>
      </c>
    </row>
    <row r="13" ht="24" customHeight="1">
      <c r="B13" s="14" t="inlineStr">
        <is>
          <t>SVC/2024/009</t>
        </is>
      </c>
      <c r="C13" s="16" t="inlineStr">
        <is>
          <t>EMP-009</t>
        </is>
      </c>
      <c r="D13" s="16" t="inlineStr"/>
      <c r="E13" s="15" t="inlineStr">
        <is>
          <t>Allowance not paid</t>
        </is>
      </c>
      <c r="F13" s="16" t="inlineStr"/>
      <c r="G13" s="16" t="inlineStr"/>
      <c r="H13" s="15" t="inlineStr"/>
      <c r="I13" s="15" t="inlineStr"/>
      <c r="J13" s="16" t="inlineStr">
        <is>
          <t>Open</t>
        </is>
      </c>
    </row>
    <row r="14" ht="24" customHeight="1">
      <c r="B14" s="8" t="inlineStr">
        <is>
          <t>SVC/2024/010</t>
        </is>
      </c>
      <c r="C14" s="10" t="inlineStr">
        <is>
          <t>EMP-010</t>
        </is>
      </c>
      <c r="D14" s="10" t="inlineStr"/>
      <c r="E14" s="9" t="inlineStr">
        <is>
          <t>Contract renewal dispute</t>
        </is>
      </c>
      <c r="F14" s="10" t="inlineStr"/>
      <c r="G14" s="10" t="inlineStr"/>
      <c r="H14" s="9" t="inlineStr"/>
      <c r="I14" s="9" t="inlineStr"/>
      <c r="J14" s="10" t="inlineStr">
        <is>
          <t>Open</t>
        </is>
      </c>
    </row>
    <row r="15" ht="24" customHeight="1">
      <c r="B15" s="14" t="inlineStr">
        <is>
          <t>SVC/2025/011</t>
        </is>
      </c>
      <c r="C15" s="16" t="inlineStr">
        <is>
          <t>EMP-011</t>
        </is>
      </c>
      <c r="D15" s="16" t="inlineStr"/>
      <c r="E15" s="15" t="inlineStr">
        <is>
          <t>Maternity / paternity leave denied</t>
        </is>
      </c>
      <c r="F15" s="16" t="inlineStr"/>
      <c r="G15" s="16" t="inlineStr"/>
      <c r="H15" s="15" t="inlineStr"/>
      <c r="I15" s="15" t="inlineStr"/>
      <c r="J15" s="16" t="inlineStr">
        <is>
          <t>Open</t>
        </is>
      </c>
    </row>
    <row r="16" ht="24" customHeight="1">
      <c r="B16" s="8" t="inlineStr">
        <is>
          <t>SVC/2025/012</t>
        </is>
      </c>
      <c r="C16" s="10" t="inlineStr">
        <is>
          <t>EMP-012</t>
        </is>
      </c>
      <c r="D16" s="10" t="inlineStr"/>
      <c r="E16" s="9" t="inlineStr">
        <is>
          <t>Medical reimbursement delay</t>
        </is>
      </c>
      <c r="F16" s="10" t="inlineStr"/>
      <c r="G16" s="10" t="inlineStr"/>
      <c r="H16" s="9" t="inlineStr"/>
      <c r="I16" s="9" t="inlineStr"/>
      <c r="J16" s="10" t="inlineStr">
        <is>
          <t>Open</t>
        </is>
      </c>
    </row>
    <row r="17" ht="24" customHeight="1">
      <c r="B17" s="14" t="inlineStr">
        <is>
          <t>SVC/2025/013</t>
        </is>
      </c>
      <c r="C17" s="16" t="inlineStr">
        <is>
          <t>EMP-013</t>
        </is>
      </c>
      <c r="D17" s="16" t="inlineStr"/>
      <c r="E17" s="15" t="inlineStr">
        <is>
          <t>NOC / Service certificate delay</t>
        </is>
      </c>
      <c r="F17" s="16" t="inlineStr"/>
      <c r="G17" s="16" t="inlineStr"/>
      <c r="H17" s="15" t="inlineStr"/>
      <c r="I17" s="15" t="inlineStr"/>
      <c r="J17" s="16" t="inlineStr">
        <is>
          <t>Open</t>
        </is>
      </c>
    </row>
    <row r="18" ht="24" customHeight="1">
      <c r="B18" s="8" t="inlineStr">
        <is>
          <t>SVC/2025/014</t>
        </is>
      </c>
      <c r="C18" s="10" t="inlineStr">
        <is>
          <t>EMP-014</t>
        </is>
      </c>
      <c r="D18" s="10" t="inlineStr"/>
      <c r="E18" s="9" t="inlineStr">
        <is>
          <t>Pay fixation error</t>
        </is>
      </c>
      <c r="F18" s="10" t="inlineStr"/>
      <c r="G18" s="10" t="inlineStr"/>
      <c r="H18" s="9" t="inlineStr"/>
      <c r="I18" s="9" t="inlineStr"/>
      <c r="J18" s="10" t="inlineStr">
        <is>
          <t>Open</t>
        </is>
      </c>
    </row>
    <row r="19" ht="24" customHeight="1">
      <c r="B19" s="14" t="inlineStr">
        <is>
          <t>SVC/2025/015</t>
        </is>
      </c>
      <c r="C19" s="16" t="inlineStr">
        <is>
          <t>EMP-015</t>
        </is>
      </c>
      <c r="D19" s="16" t="inlineStr"/>
      <c r="E19" s="15" t="inlineStr">
        <is>
          <t>Increment not given</t>
        </is>
      </c>
      <c r="F19" s="16" t="inlineStr"/>
      <c r="G19" s="16" t="inlineStr"/>
      <c r="H19" s="15" t="inlineStr"/>
      <c r="I19" s="15" t="inlineStr"/>
      <c r="J19" s="16" t="inlineStr">
        <is>
          <t>Open</t>
        </is>
      </c>
    </row>
    <row r="20" ht="24" customHeight="1">
      <c r="B20" s="8" t="inlineStr">
        <is>
          <t>SVC/2025/016</t>
        </is>
      </c>
      <c r="C20" s="10" t="inlineStr">
        <is>
          <t>EMP-016</t>
        </is>
      </c>
      <c r="D20" s="10" t="inlineStr"/>
      <c r="E20" s="9" t="inlineStr">
        <is>
          <t>Leave encashment denial</t>
        </is>
      </c>
      <c r="F20" s="10" t="inlineStr"/>
      <c r="G20" s="10" t="inlineStr"/>
      <c r="H20" s="9" t="inlineStr"/>
      <c r="I20" s="9" t="inlineStr"/>
      <c r="J20" s="10" t="inlineStr">
        <is>
          <t>Open</t>
        </is>
      </c>
    </row>
    <row r="21" ht="24" customHeight="1">
      <c r="B21" s="14" t="inlineStr">
        <is>
          <t>SVC/2025/017</t>
        </is>
      </c>
      <c r="C21" s="16" t="inlineStr">
        <is>
          <t>EMP-017</t>
        </is>
      </c>
      <c r="D21" s="16" t="inlineStr"/>
      <c r="E21" s="15" t="inlineStr">
        <is>
          <t>Leave balance incorrect</t>
        </is>
      </c>
      <c r="F21" s="16" t="inlineStr"/>
      <c r="G21" s="16" t="inlineStr"/>
      <c r="H21" s="15" t="inlineStr"/>
      <c r="I21" s="15" t="inlineStr"/>
      <c r="J21" s="16" t="inlineStr">
        <is>
          <t>Open</t>
        </is>
      </c>
    </row>
    <row r="22" ht="24" customHeight="1">
      <c r="B22" s="8" t="inlineStr">
        <is>
          <t>SVC/2025/018</t>
        </is>
      </c>
      <c r="C22" s="10" t="inlineStr">
        <is>
          <t>EMP-018</t>
        </is>
      </c>
      <c r="D22" s="10" t="inlineStr"/>
      <c r="E22" s="9" t="inlineStr">
        <is>
          <t>Promotion denied</t>
        </is>
      </c>
      <c r="F22" s="10" t="inlineStr"/>
      <c r="G22" s="10" t="inlineStr"/>
      <c r="H22" s="9" t="inlineStr"/>
      <c r="I22" s="9" t="inlineStr"/>
      <c r="J22" s="10" t="inlineStr">
        <is>
          <t>Open</t>
        </is>
      </c>
    </row>
    <row r="23" ht="24" customHeight="1">
      <c r="B23" s="14" t="inlineStr">
        <is>
          <t>SVC/2025/019</t>
        </is>
      </c>
      <c r="C23" s="16" t="inlineStr">
        <is>
          <t>EMP-019</t>
        </is>
      </c>
      <c r="D23" s="16" t="inlineStr"/>
      <c r="E23" s="15" t="inlineStr">
        <is>
          <t>Seniority list error</t>
        </is>
      </c>
      <c r="F23" s="16" t="inlineStr"/>
      <c r="G23" s="16" t="inlineStr"/>
      <c r="H23" s="15" t="inlineStr"/>
      <c r="I23" s="15" t="inlineStr"/>
      <c r="J23" s="16" t="inlineStr">
        <is>
          <t>Open</t>
        </is>
      </c>
    </row>
    <row r="24" ht="24" customHeight="1">
      <c r="B24" s="8" t="inlineStr">
        <is>
          <t>SVC/2025/020</t>
        </is>
      </c>
      <c r="C24" s="10" t="inlineStr">
        <is>
          <t>EMP-020</t>
        </is>
      </c>
      <c r="D24" s="10" t="inlineStr"/>
      <c r="E24" s="9" t="inlineStr">
        <is>
          <t>Transfer grievance</t>
        </is>
      </c>
      <c r="F24" s="10" t="inlineStr"/>
      <c r="G24" s="10" t="inlineStr"/>
      <c r="H24" s="9" t="inlineStr"/>
      <c r="I24" s="9" t="inlineStr"/>
      <c r="J24" s="10" t="inlineStr">
        <is>
          <t>Open</t>
        </is>
      </c>
    </row>
    <row r="25" ht="24" customHeight="1"/>
    <row r="26" ht="24" customHeight="1">
      <c r="B26" s="36" t="inlineStr">
        <is>
          <t>SERVICE GRIEVANCE STATISTICS</t>
        </is>
      </c>
    </row>
    <row r="27" ht="24" customHeight="1">
      <c r="B27" s="73" t="inlineStr">
        <is>
          <t>Total Service Condition Grievances</t>
        </is>
      </c>
      <c r="F27" s="38">
        <f>COUNTA(B5:B24)</f>
        <v/>
      </c>
    </row>
    <row r="28">
      <c r="B28" s="27" t="inlineStr">
        <is>
          <t>Pay / Increment Issues</t>
        </is>
      </c>
      <c r="F28" s="39">
        <f>COUNTIF(E5:E24,"Pay fixation error")+COUNTIF(E5:E24,"Increment not given")</f>
        <v/>
      </c>
    </row>
    <row r="29">
      <c r="B29" s="73" t="inlineStr">
        <is>
          <t>Leave Issues</t>
        </is>
      </c>
      <c r="F29" s="38">
        <f>COUNTIF(E5:E24,"Leave encashment denial")+COUNTIF(E5:E24,"Leave balance incorrect")</f>
        <v/>
      </c>
    </row>
    <row r="30">
      <c r="B30" s="27" t="inlineStr">
        <is>
          <t>Promotion / Seniority</t>
        </is>
      </c>
      <c r="F30" s="39">
        <f>COUNTIF(E5:E24,"Promotion denied")+COUNTIF(E5:E24,"Seniority list error")</f>
        <v/>
      </c>
    </row>
    <row r="31">
      <c r="B31" s="73" t="inlineStr">
        <is>
          <t>Resolved</t>
        </is>
      </c>
      <c r="F31" s="38">
        <f>COUNTIF(J5:J24,"Resolved")</f>
        <v/>
      </c>
    </row>
    <row r="32">
      <c r="B32" s="27" t="inlineStr">
        <is>
          <t>Resolution Rate (%)</t>
        </is>
      </c>
      <c r="F32" s="39">
        <f>IFERROR(ROUND(C32/C31*100,1),"")</f>
        <v/>
      </c>
    </row>
  </sheetData>
  <mergeCells count="15">
    <mergeCell ref="B31:E31"/>
    <mergeCell ref="F30:J30"/>
    <mergeCell ref="B27:E27"/>
    <mergeCell ref="B3:J3"/>
    <mergeCell ref="F29:J29"/>
    <mergeCell ref="B28:E28"/>
    <mergeCell ref="B30:E30"/>
    <mergeCell ref="B26:J26"/>
    <mergeCell ref="F28:J28"/>
    <mergeCell ref="B29:E29"/>
    <mergeCell ref="F31:J31"/>
    <mergeCell ref="B2:J2"/>
    <mergeCell ref="F32:J32"/>
    <mergeCell ref="F27:J27"/>
    <mergeCell ref="B32:E3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8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3" customWidth="1" min="13" max="13"/>
  </cols>
  <sheetData>
    <row r="1" ht="10" customHeight="1"/>
    <row r="2" ht="48" customHeight="1">
      <c r="B2" s="12" t="inlineStr">
        <is>
          <t>FSGC-24: GRIEVANCE CASE MASTER REGISTER — ALL CASES</t>
        </is>
      </c>
    </row>
    <row r="3" ht="18" customHeight="1">
      <c r="B3" s="18" t="inlineStr">
        <is>
          <t>STRICTLY CONFIDENTIAL — Faculty/Staff grievance records are sensitive HR documents. Access restricted to FSGC members and institutional leadership only.</t>
        </is>
      </c>
    </row>
    <row r="4" ht="25" customHeight="1">
      <c r="B4" s="2" t="inlineStr">
        <is>
          <t>A.Y.: _______  Member Secretary: ___________________  Last Updated: _______</t>
        </is>
      </c>
    </row>
    <row r="5" ht="22" customHeight="1">
      <c r="B5" s="14" t="inlineStr">
        <is>
          <t>FSGC/2024/0001</t>
        </is>
      </c>
      <c r="C5" s="16" t="inlineStr">
        <is>
          <t>EMP-001</t>
        </is>
      </c>
      <c r="D5" s="14" t="inlineStr">
        <is>
          <t>A — Service Conditions</t>
        </is>
      </c>
      <c r="E5" s="16" t="inlineStr"/>
      <c r="F5" s="16" t="inlineStr"/>
      <c r="G5" s="16" t="inlineStr">
        <is>
          <t>Y</t>
        </is>
      </c>
      <c r="H5" s="16" t="inlineStr">
        <is>
          <t>Y</t>
        </is>
      </c>
      <c r="I5" s="16" t="inlineStr"/>
      <c r="J5" s="16">
        <f>IFERROR(I5-E5,"")</f>
        <v/>
      </c>
      <c r="K5" s="15" t="inlineStr">
        <is>
          <t>Grievance upheld — Immediate corrective action</t>
        </is>
      </c>
      <c r="L5" s="16" t="inlineStr">
        <is>
          <t>Resolved</t>
        </is>
      </c>
    </row>
    <row r="6" ht="22" customHeight="1">
      <c r="B6" s="8" t="inlineStr">
        <is>
          <t>FSGC/2024/0002</t>
        </is>
      </c>
      <c r="C6" s="10" t="inlineStr">
        <is>
          <t>EMP-002</t>
        </is>
      </c>
      <c r="D6" s="8" t="inlineStr">
        <is>
          <t>B — Workload / Assignment</t>
        </is>
      </c>
      <c r="E6" s="10" t="inlineStr"/>
      <c r="F6" s="10" t="inlineStr"/>
      <c r="G6" s="10" t="inlineStr">
        <is>
          <t>Y</t>
        </is>
      </c>
      <c r="H6" s="10" t="inlineStr">
        <is>
          <t>Y</t>
        </is>
      </c>
      <c r="I6" s="10" t="inlineStr"/>
      <c r="J6" s="10">
        <f>IFERROR(I6-E6,"")</f>
        <v/>
      </c>
      <c r="K6" s="9" t="inlineStr">
        <is>
          <t>Grievance partially upheld — Partial remedy</t>
        </is>
      </c>
      <c r="L6" s="10" t="inlineStr">
        <is>
          <t>Closed — No Merit</t>
        </is>
      </c>
    </row>
    <row r="7" ht="22" customHeight="1">
      <c r="B7" s="14" t="inlineStr">
        <is>
          <t>FSGC/2024/0003</t>
        </is>
      </c>
      <c r="C7" s="16" t="inlineStr">
        <is>
          <t>EMP-003</t>
        </is>
      </c>
      <c r="D7" s="14" t="inlineStr">
        <is>
          <t>C — Workplace Environment</t>
        </is>
      </c>
      <c r="E7" s="16" t="inlineStr"/>
      <c r="F7" s="16" t="inlineStr"/>
      <c r="G7" s="16" t="inlineStr">
        <is>
          <t>Y</t>
        </is>
      </c>
      <c r="H7" s="16" t="inlineStr">
        <is>
          <t>Y</t>
        </is>
      </c>
      <c r="I7" s="16" t="inlineStr"/>
      <c r="J7" s="16">
        <f>IFERROR(I7-E7,"")</f>
        <v/>
      </c>
      <c r="K7" s="15" t="inlineStr">
        <is>
          <t>Grievance not upheld — No merit found</t>
        </is>
      </c>
      <c r="L7" s="16" t="inlineStr">
        <is>
          <t>Withdrawn</t>
        </is>
      </c>
    </row>
    <row r="8" ht="22" customHeight="1">
      <c r="B8" s="8" t="inlineStr">
        <is>
          <t>FSGC/2024/0004</t>
        </is>
      </c>
      <c r="C8" s="10" t="inlineStr">
        <is>
          <t>EMP-004</t>
        </is>
      </c>
      <c r="D8" s="8" t="inlineStr">
        <is>
          <t>D — Discrimination</t>
        </is>
      </c>
      <c r="E8" s="10" t="inlineStr"/>
      <c r="F8" s="10" t="inlineStr"/>
      <c r="G8" s="10" t="inlineStr">
        <is>
          <t>Y</t>
        </is>
      </c>
      <c r="H8" s="10" t="inlineStr">
        <is>
          <t>Y</t>
        </is>
      </c>
      <c r="I8" s="10" t="inlineStr"/>
      <c r="J8" s="10">
        <f>IFERROR(I8-E8,"")</f>
        <v/>
      </c>
      <c r="K8" s="9" t="inlineStr">
        <is>
          <t>Referred to external authority</t>
        </is>
      </c>
      <c r="L8" s="10" t="inlineStr">
        <is>
          <t>Appeal Pending</t>
        </is>
      </c>
    </row>
    <row r="9" ht="22" customHeight="1">
      <c r="B9" s="14" t="inlineStr">
        <is>
          <t>FSGC/2024/0005</t>
        </is>
      </c>
      <c r="C9" s="16" t="inlineStr">
        <is>
          <t>EMP-005</t>
        </is>
      </c>
      <c r="D9" s="14" t="inlineStr">
        <is>
          <t>E — Infrastructure</t>
        </is>
      </c>
      <c r="E9" s="16" t="inlineStr"/>
      <c r="F9" s="16" t="inlineStr"/>
      <c r="G9" s="16" t="inlineStr">
        <is>
          <t>Y</t>
        </is>
      </c>
      <c r="H9" s="16" t="inlineStr">
        <is>
          <t>Y</t>
        </is>
      </c>
      <c r="I9" s="16" t="inlineStr"/>
      <c r="J9" s="16">
        <f>IFERROR(I9-E9,"")</f>
        <v/>
      </c>
      <c r="K9" s="15" t="inlineStr">
        <is>
          <t>Settled through mediation</t>
        </is>
      </c>
      <c r="L9" s="16" t="inlineStr">
        <is>
          <t>Referred External</t>
        </is>
      </c>
    </row>
    <row r="10" ht="22" customHeight="1">
      <c r="B10" s="8" t="inlineStr">
        <is>
          <t>FSGC/2024/0006</t>
        </is>
      </c>
      <c r="C10" s="10" t="inlineStr">
        <is>
          <t>EMP-006</t>
        </is>
      </c>
      <c r="D10" s="8" t="inlineStr">
        <is>
          <t>F — Admin / HR Process</t>
        </is>
      </c>
      <c r="E10" s="10" t="inlineStr"/>
      <c r="F10" s="10" t="inlineStr"/>
      <c r="G10" s="10" t="inlineStr">
        <is>
          <t>Y</t>
        </is>
      </c>
      <c r="H10" s="10" t="inlineStr">
        <is>
          <t>Y</t>
        </is>
      </c>
      <c r="I10" s="10" t="inlineStr"/>
      <c r="J10" s="10">
        <f>IFERROR(I10-E10,"")</f>
        <v/>
      </c>
      <c r="K10" s="9" t="inlineStr">
        <is>
          <t>Complainant withdrew — Case closed</t>
        </is>
      </c>
      <c r="L10" s="10" t="inlineStr">
        <is>
          <t>Resolved</t>
        </is>
      </c>
    </row>
    <row r="11" ht="22" customHeight="1">
      <c r="B11" s="14" t="inlineStr">
        <is>
          <t>FSGC/2024/0007</t>
        </is>
      </c>
      <c r="C11" s="16" t="inlineStr">
        <is>
          <t>EMP-007</t>
        </is>
      </c>
      <c r="D11" s="14" t="inlineStr">
        <is>
          <t>A — Service Conditions</t>
        </is>
      </c>
      <c r="E11" s="16" t="inlineStr"/>
      <c r="F11" s="16" t="inlineStr"/>
      <c r="G11" s="16" t="inlineStr">
        <is>
          <t>Y</t>
        </is>
      </c>
      <c r="H11" s="16" t="inlineStr">
        <is>
          <t>Y</t>
        </is>
      </c>
      <c r="I11" s="16" t="inlineStr"/>
      <c r="J11" s="16">
        <f>IFERROR(I11-E11,"")</f>
        <v/>
      </c>
      <c r="K11" s="15" t="inlineStr">
        <is>
          <t>Systemic issue — Policy review recommended</t>
        </is>
      </c>
      <c r="L11" s="16" t="inlineStr">
        <is>
          <t>Closed — No Merit</t>
        </is>
      </c>
    </row>
    <row r="12" ht="22" customHeight="1">
      <c r="B12" s="8" t="inlineStr">
        <is>
          <t>FSGC/2024/0008</t>
        </is>
      </c>
      <c r="C12" s="10" t="inlineStr">
        <is>
          <t>EMP-008</t>
        </is>
      </c>
      <c r="D12" s="8" t="inlineStr">
        <is>
          <t>B — Workload / Assignment</t>
        </is>
      </c>
      <c r="E12" s="10" t="inlineStr"/>
      <c r="F12" s="10" t="inlineStr"/>
      <c r="G12" s="10" t="inlineStr">
        <is>
          <t>Y</t>
        </is>
      </c>
      <c r="H12" s="10" t="inlineStr">
        <is>
          <t>Y</t>
        </is>
      </c>
      <c r="I12" s="10" t="inlineStr"/>
      <c r="J12" s="10">
        <f>IFERROR(I12-E12,"")</f>
        <v/>
      </c>
      <c r="K12" s="9" t="inlineStr">
        <is>
          <t>Grievance upheld — Immediate corrective action</t>
        </is>
      </c>
      <c r="L12" s="10" t="inlineStr">
        <is>
          <t>Withdrawn</t>
        </is>
      </c>
    </row>
    <row r="13" ht="22" customHeight="1">
      <c r="B13" s="14" t="inlineStr">
        <is>
          <t>FSGC/2024/0009</t>
        </is>
      </c>
      <c r="C13" s="16" t="inlineStr">
        <is>
          <t>EMP-009</t>
        </is>
      </c>
      <c r="D13" s="14" t="inlineStr">
        <is>
          <t>C — Workplace Environment</t>
        </is>
      </c>
      <c r="E13" s="16" t="inlineStr"/>
      <c r="F13" s="16" t="inlineStr"/>
      <c r="G13" s="16" t="inlineStr">
        <is>
          <t>Y</t>
        </is>
      </c>
      <c r="H13" s="16" t="inlineStr">
        <is>
          <t>Y</t>
        </is>
      </c>
      <c r="I13" s="16" t="inlineStr"/>
      <c r="J13" s="16">
        <f>IFERROR(I13-E13,"")</f>
        <v/>
      </c>
      <c r="K13" s="15" t="inlineStr">
        <is>
          <t>Grievance partially upheld — Partial remedy</t>
        </is>
      </c>
      <c r="L13" s="16" t="inlineStr">
        <is>
          <t>Appeal Pending</t>
        </is>
      </c>
    </row>
    <row r="14" ht="22" customHeight="1">
      <c r="B14" s="8" t="inlineStr">
        <is>
          <t>FSGC/2024/0010</t>
        </is>
      </c>
      <c r="C14" s="10" t="inlineStr">
        <is>
          <t>EMP-010</t>
        </is>
      </c>
      <c r="D14" s="8" t="inlineStr">
        <is>
          <t>D — Discrimination</t>
        </is>
      </c>
      <c r="E14" s="10" t="inlineStr"/>
      <c r="F14" s="10" t="inlineStr"/>
      <c r="G14" s="10" t="inlineStr">
        <is>
          <t>Y</t>
        </is>
      </c>
      <c r="H14" s="10" t="inlineStr">
        <is>
          <t>Y</t>
        </is>
      </c>
      <c r="I14" s="10" t="inlineStr"/>
      <c r="J14" s="10">
        <f>IFERROR(I14-E14,"")</f>
        <v/>
      </c>
      <c r="K14" s="9" t="inlineStr">
        <is>
          <t>Grievance not upheld — No merit found</t>
        </is>
      </c>
      <c r="L14" s="10" t="inlineStr">
        <is>
          <t>Referred External</t>
        </is>
      </c>
    </row>
    <row r="15" ht="22" customHeight="1">
      <c r="B15" s="14" t="inlineStr">
        <is>
          <t>FSGC/2024/0011</t>
        </is>
      </c>
      <c r="C15" s="16" t="inlineStr">
        <is>
          <t>EMP-011</t>
        </is>
      </c>
      <c r="D15" s="14" t="inlineStr">
        <is>
          <t>E — Infrastructure</t>
        </is>
      </c>
      <c r="E15" s="16" t="inlineStr"/>
      <c r="F15" s="16" t="inlineStr"/>
      <c r="G15" s="16" t="inlineStr">
        <is>
          <t>Y</t>
        </is>
      </c>
      <c r="H15" s="16" t="inlineStr">
        <is>
          <t>Y</t>
        </is>
      </c>
      <c r="I15" s="16" t="inlineStr"/>
      <c r="J15" s="16">
        <f>IFERROR(I15-E15,"")</f>
        <v/>
      </c>
      <c r="K15" s="15" t="inlineStr">
        <is>
          <t>Referred to external authority</t>
        </is>
      </c>
      <c r="L15" s="16" t="inlineStr">
        <is>
          <t>Resolved</t>
        </is>
      </c>
    </row>
    <row r="16" ht="22" customHeight="1">
      <c r="B16" s="8" t="inlineStr">
        <is>
          <t>FSGC/2024/0012</t>
        </is>
      </c>
      <c r="C16" s="10" t="inlineStr">
        <is>
          <t>EMP-012</t>
        </is>
      </c>
      <c r="D16" s="8" t="inlineStr">
        <is>
          <t>F — Admin / HR Process</t>
        </is>
      </c>
      <c r="E16" s="10" t="inlineStr"/>
      <c r="F16" s="10" t="inlineStr"/>
      <c r="G16" s="10" t="inlineStr">
        <is>
          <t>Y</t>
        </is>
      </c>
      <c r="H16" s="10" t="inlineStr">
        <is>
          <t>Y</t>
        </is>
      </c>
      <c r="I16" s="10" t="inlineStr"/>
      <c r="J16" s="10">
        <f>IFERROR(I16-E16,"")</f>
        <v/>
      </c>
      <c r="K16" s="9" t="inlineStr">
        <is>
          <t>Settled through mediation</t>
        </is>
      </c>
      <c r="L16" s="10" t="inlineStr">
        <is>
          <t>Closed — No Merit</t>
        </is>
      </c>
    </row>
    <row r="17" ht="22" customHeight="1">
      <c r="B17" s="14" t="inlineStr">
        <is>
          <t>FSGC/2024/0013</t>
        </is>
      </c>
      <c r="C17" s="16" t="inlineStr">
        <is>
          <t>EMP-013</t>
        </is>
      </c>
      <c r="D17" s="14" t="inlineStr">
        <is>
          <t>A — Service Conditions</t>
        </is>
      </c>
      <c r="E17" s="16" t="inlineStr"/>
      <c r="F17" s="16" t="inlineStr"/>
      <c r="G17" s="16" t="inlineStr">
        <is>
          <t>Y</t>
        </is>
      </c>
      <c r="H17" s="16" t="inlineStr">
        <is>
          <t>Y</t>
        </is>
      </c>
      <c r="I17" s="16" t="inlineStr"/>
      <c r="J17" s="16">
        <f>IFERROR(I17-E17,"")</f>
        <v/>
      </c>
      <c r="K17" s="15" t="inlineStr">
        <is>
          <t>Complainant withdrew — Case closed</t>
        </is>
      </c>
      <c r="L17" s="16" t="inlineStr">
        <is>
          <t>Withdrawn</t>
        </is>
      </c>
    </row>
    <row r="18" ht="22" customHeight="1">
      <c r="B18" s="8" t="inlineStr">
        <is>
          <t>FSGC/2024/0014</t>
        </is>
      </c>
      <c r="C18" s="10" t="inlineStr">
        <is>
          <t>EMP-014</t>
        </is>
      </c>
      <c r="D18" s="8" t="inlineStr">
        <is>
          <t>B — Workload / Assignment</t>
        </is>
      </c>
      <c r="E18" s="10" t="inlineStr"/>
      <c r="F18" s="10" t="inlineStr"/>
      <c r="G18" s="10" t="inlineStr">
        <is>
          <t>Y</t>
        </is>
      </c>
      <c r="H18" s="10" t="inlineStr">
        <is>
          <t>Y</t>
        </is>
      </c>
      <c r="I18" s="10" t="inlineStr"/>
      <c r="J18" s="10">
        <f>IFERROR(I18-E18,"")</f>
        <v/>
      </c>
      <c r="K18" s="9" t="inlineStr">
        <is>
          <t>Systemic issue — Policy review recommended</t>
        </is>
      </c>
      <c r="L18" s="10" t="inlineStr">
        <is>
          <t>Appeal Pending</t>
        </is>
      </c>
    </row>
    <row r="19" ht="22" customHeight="1">
      <c r="B19" s="14" t="inlineStr">
        <is>
          <t>FSGC/2025/0015</t>
        </is>
      </c>
      <c r="C19" s="16" t="inlineStr">
        <is>
          <t>EMP-015</t>
        </is>
      </c>
      <c r="D19" s="14" t="inlineStr">
        <is>
          <t>C — Workplace Environment</t>
        </is>
      </c>
      <c r="E19" s="16" t="inlineStr"/>
      <c r="F19" s="16" t="inlineStr"/>
      <c r="G19" s="16" t="inlineStr">
        <is>
          <t>Y</t>
        </is>
      </c>
      <c r="H19" s="16" t="inlineStr">
        <is>
          <t>Y</t>
        </is>
      </c>
      <c r="I19" s="16" t="inlineStr"/>
      <c r="J19" s="16">
        <f>IFERROR(I19-E19,"")</f>
        <v/>
      </c>
      <c r="K19" s="15" t="inlineStr">
        <is>
          <t>Grievance upheld — Immediate corrective action</t>
        </is>
      </c>
      <c r="L19" s="16" t="inlineStr">
        <is>
          <t>Referred External</t>
        </is>
      </c>
    </row>
    <row r="20" ht="22" customHeight="1">
      <c r="B20" s="8" t="inlineStr">
        <is>
          <t>FSGC/2025/0016</t>
        </is>
      </c>
      <c r="C20" s="10" t="inlineStr">
        <is>
          <t>EMP-016</t>
        </is>
      </c>
      <c r="D20" s="8" t="inlineStr">
        <is>
          <t>D — Discrimination</t>
        </is>
      </c>
      <c r="E20" s="10" t="inlineStr"/>
      <c r="F20" s="10" t="inlineStr"/>
      <c r="G20" s="10" t="inlineStr">
        <is>
          <t>Y</t>
        </is>
      </c>
      <c r="H20" s="10" t="inlineStr">
        <is>
          <t>Y</t>
        </is>
      </c>
      <c r="I20" s="10" t="inlineStr"/>
      <c r="J20" s="10">
        <f>IFERROR(I20-E20,"")</f>
        <v/>
      </c>
      <c r="K20" s="9" t="inlineStr">
        <is>
          <t>Grievance partially upheld — Partial remedy</t>
        </is>
      </c>
      <c r="L20" s="10" t="inlineStr">
        <is>
          <t>Resolved</t>
        </is>
      </c>
    </row>
    <row r="21" ht="22" customHeight="1">
      <c r="B21" s="14" t="inlineStr">
        <is>
          <t>FSGC/2025/0017</t>
        </is>
      </c>
      <c r="C21" s="16" t="inlineStr">
        <is>
          <t>EMP-017</t>
        </is>
      </c>
      <c r="D21" s="14" t="inlineStr">
        <is>
          <t>E — Infrastructure</t>
        </is>
      </c>
      <c r="E21" s="16" t="inlineStr"/>
      <c r="F21" s="16" t="inlineStr"/>
      <c r="G21" s="16" t="inlineStr">
        <is>
          <t>Y</t>
        </is>
      </c>
      <c r="H21" s="16" t="inlineStr">
        <is>
          <t>Y</t>
        </is>
      </c>
      <c r="I21" s="16" t="inlineStr"/>
      <c r="J21" s="16">
        <f>IFERROR(I21-E21,"")</f>
        <v/>
      </c>
      <c r="K21" s="15" t="inlineStr">
        <is>
          <t>Grievance not upheld — No merit found</t>
        </is>
      </c>
      <c r="L21" s="16" t="inlineStr">
        <is>
          <t>Closed — No Merit</t>
        </is>
      </c>
    </row>
    <row r="22" ht="22" customHeight="1">
      <c r="B22" s="8" t="inlineStr">
        <is>
          <t>FSGC/2025/0018</t>
        </is>
      </c>
      <c r="C22" s="10" t="inlineStr">
        <is>
          <t>EMP-018</t>
        </is>
      </c>
      <c r="D22" s="8" t="inlineStr">
        <is>
          <t>F — Admin / HR Process</t>
        </is>
      </c>
      <c r="E22" s="10" t="inlineStr"/>
      <c r="F22" s="10" t="inlineStr"/>
      <c r="G22" s="10" t="inlineStr">
        <is>
          <t>Y</t>
        </is>
      </c>
      <c r="H22" s="10" t="inlineStr">
        <is>
          <t>Y</t>
        </is>
      </c>
      <c r="I22" s="10" t="inlineStr"/>
      <c r="J22" s="10">
        <f>IFERROR(I22-E22,"")</f>
        <v/>
      </c>
      <c r="K22" s="9" t="inlineStr">
        <is>
          <t>Referred to external authority</t>
        </is>
      </c>
      <c r="L22" s="10" t="inlineStr">
        <is>
          <t>Withdrawn</t>
        </is>
      </c>
    </row>
    <row r="23" ht="22" customHeight="1">
      <c r="B23" s="14" t="inlineStr">
        <is>
          <t>FSGC/2025/0019</t>
        </is>
      </c>
      <c r="C23" s="16" t="inlineStr">
        <is>
          <t>EMP-019</t>
        </is>
      </c>
      <c r="D23" s="14" t="inlineStr">
        <is>
          <t>A — Service Conditions</t>
        </is>
      </c>
      <c r="E23" s="16" t="inlineStr"/>
      <c r="F23" s="16" t="inlineStr"/>
      <c r="G23" s="16" t="inlineStr">
        <is>
          <t>Y</t>
        </is>
      </c>
      <c r="H23" s="16" t="inlineStr">
        <is>
          <t>Y</t>
        </is>
      </c>
      <c r="I23" s="16" t="inlineStr"/>
      <c r="J23" s="16">
        <f>IFERROR(I23-E23,"")</f>
        <v/>
      </c>
      <c r="K23" s="15" t="inlineStr">
        <is>
          <t>Settled through mediation</t>
        </is>
      </c>
      <c r="L23" s="16" t="inlineStr">
        <is>
          <t>Appeal Pending</t>
        </is>
      </c>
    </row>
    <row r="24" ht="22" customHeight="1">
      <c r="B24" s="8" t="inlineStr">
        <is>
          <t>FSGC/2025/0020</t>
        </is>
      </c>
      <c r="C24" s="10" t="inlineStr">
        <is>
          <t>EMP-020</t>
        </is>
      </c>
      <c r="D24" s="8" t="inlineStr">
        <is>
          <t>B — Workload / Assignment</t>
        </is>
      </c>
      <c r="E24" s="10" t="inlineStr"/>
      <c r="F24" s="10" t="inlineStr"/>
      <c r="G24" s="10" t="inlineStr">
        <is>
          <t>Y</t>
        </is>
      </c>
      <c r="H24" s="10" t="inlineStr">
        <is>
          <t>Y</t>
        </is>
      </c>
      <c r="I24" s="10" t="inlineStr"/>
      <c r="J24" s="10">
        <f>IFERROR(I24-E24,"")</f>
        <v/>
      </c>
      <c r="K24" s="9" t="inlineStr">
        <is>
          <t>Complainant withdrew — Case closed</t>
        </is>
      </c>
      <c r="L24" s="10" t="inlineStr">
        <is>
          <t>Referred External</t>
        </is>
      </c>
    </row>
    <row r="25" ht="22" customHeight="1">
      <c r="B25" s="14" t="inlineStr">
        <is>
          <t>FSGC/2025/0021</t>
        </is>
      </c>
      <c r="C25" s="16" t="inlineStr">
        <is>
          <t>EMP-021</t>
        </is>
      </c>
      <c r="D25" s="14" t="inlineStr">
        <is>
          <t>C — Workplace Environment</t>
        </is>
      </c>
      <c r="E25" s="16" t="inlineStr"/>
      <c r="F25" s="16" t="inlineStr"/>
      <c r="G25" s="16" t="inlineStr">
        <is>
          <t>Y</t>
        </is>
      </c>
      <c r="H25" s="16" t="inlineStr">
        <is>
          <t>Y</t>
        </is>
      </c>
      <c r="I25" s="16" t="inlineStr"/>
      <c r="J25" s="16">
        <f>IFERROR(I25-E25,"")</f>
        <v/>
      </c>
      <c r="K25" s="15" t="inlineStr">
        <is>
          <t>Systemic issue — Policy review recommended</t>
        </is>
      </c>
      <c r="L25" s="16" t="inlineStr">
        <is>
          <t>Resolved</t>
        </is>
      </c>
    </row>
    <row r="26" ht="22" customHeight="1">
      <c r="B26" s="8" t="inlineStr">
        <is>
          <t>FSGC/2025/0022</t>
        </is>
      </c>
      <c r="C26" s="10" t="inlineStr">
        <is>
          <t>EMP-022</t>
        </is>
      </c>
      <c r="D26" s="8" t="inlineStr">
        <is>
          <t>D — Discrimination</t>
        </is>
      </c>
      <c r="E26" s="10" t="inlineStr"/>
      <c r="F26" s="10" t="inlineStr"/>
      <c r="G26" s="10" t="inlineStr">
        <is>
          <t>Y</t>
        </is>
      </c>
      <c r="H26" s="10" t="inlineStr">
        <is>
          <t>Y</t>
        </is>
      </c>
      <c r="I26" s="10" t="inlineStr"/>
      <c r="J26" s="10">
        <f>IFERROR(I26-E26,"")</f>
        <v/>
      </c>
      <c r="K26" s="9" t="inlineStr">
        <is>
          <t>Grievance upheld — Immediate corrective action</t>
        </is>
      </c>
      <c r="L26" s="10" t="inlineStr">
        <is>
          <t>Closed — No Merit</t>
        </is>
      </c>
    </row>
    <row r="27" ht="22" customHeight="1">
      <c r="B27" s="14" t="inlineStr">
        <is>
          <t>FSGC/2025/0023</t>
        </is>
      </c>
      <c r="C27" s="16" t="inlineStr">
        <is>
          <t>EMP-023</t>
        </is>
      </c>
      <c r="D27" s="14" t="inlineStr">
        <is>
          <t>E — Infrastructure</t>
        </is>
      </c>
      <c r="E27" s="16" t="inlineStr"/>
      <c r="F27" s="16" t="inlineStr"/>
      <c r="G27" s="16" t="inlineStr">
        <is>
          <t>Y</t>
        </is>
      </c>
      <c r="H27" s="16" t="inlineStr">
        <is>
          <t>Y</t>
        </is>
      </c>
      <c r="I27" s="16" t="inlineStr"/>
      <c r="J27" s="16">
        <f>IFERROR(I27-E27,"")</f>
        <v/>
      </c>
      <c r="K27" s="15" t="inlineStr">
        <is>
          <t>Grievance partially upheld — Partial remedy</t>
        </is>
      </c>
      <c r="L27" s="16" t="inlineStr">
        <is>
          <t>Withdrawn</t>
        </is>
      </c>
    </row>
    <row r="28" ht="22" customHeight="1">
      <c r="B28" s="8" t="inlineStr">
        <is>
          <t>FSGC/2025/0024</t>
        </is>
      </c>
      <c r="C28" s="10" t="inlineStr">
        <is>
          <t>EMP-024</t>
        </is>
      </c>
      <c r="D28" s="8" t="inlineStr">
        <is>
          <t>F — Admin / HR Process</t>
        </is>
      </c>
      <c r="E28" s="10" t="inlineStr"/>
      <c r="F28" s="10" t="inlineStr"/>
      <c r="G28" s="10" t="inlineStr">
        <is>
          <t>Y</t>
        </is>
      </c>
      <c r="H28" s="10" t="inlineStr">
        <is>
          <t>Y</t>
        </is>
      </c>
      <c r="I28" s="10" t="inlineStr"/>
      <c r="J28" s="10">
        <f>IFERROR(I28-E28,"")</f>
        <v/>
      </c>
      <c r="K28" s="9" t="inlineStr">
        <is>
          <t>Grievance not upheld — No merit found</t>
        </is>
      </c>
      <c r="L28" s="10" t="inlineStr">
        <is>
          <t>Appeal Pending</t>
        </is>
      </c>
    </row>
    <row r="29" ht="22" customHeight="1">
      <c r="B29" s="14" t="inlineStr">
        <is>
          <t>FSGC/2025/0025</t>
        </is>
      </c>
      <c r="C29" s="16" t="inlineStr">
        <is>
          <t>EMP-025</t>
        </is>
      </c>
      <c r="D29" s="14" t="inlineStr">
        <is>
          <t>A — Service Conditions</t>
        </is>
      </c>
      <c r="E29" s="16" t="inlineStr"/>
      <c r="F29" s="16" t="inlineStr"/>
      <c r="G29" s="16" t="inlineStr">
        <is>
          <t>Y</t>
        </is>
      </c>
      <c r="H29" s="16" t="inlineStr">
        <is>
          <t>Y</t>
        </is>
      </c>
      <c r="I29" s="16" t="inlineStr"/>
      <c r="J29" s="16">
        <f>IFERROR(I29-E29,"")</f>
        <v/>
      </c>
      <c r="K29" s="15" t="inlineStr">
        <is>
          <t>Referred to external authority</t>
        </is>
      </c>
      <c r="L29" s="16" t="inlineStr">
        <is>
          <t>Referred External</t>
        </is>
      </c>
    </row>
    <row r="30" ht="22" customHeight="1">
      <c r="B30" s="8" t="inlineStr">
        <is>
          <t>FSGC/2025/0026</t>
        </is>
      </c>
      <c r="C30" s="10" t="inlineStr">
        <is>
          <t>EMP-026</t>
        </is>
      </c>
      <c r="D30" s="8" t="inlineStr">
        <is>
          <t>B — Workload / Assignment</t>
        </is>
      </c>
      <c r="E30" s="10" t="inlineStr"/>
      <c r="F30" s="10" t="inlineStr"/>
      <c r="G30" s="10" t="inlineStr">
        <is>
          <t>Y</t>
        </is>
      </c>
      <c r="H30" s="10" t="inlineStr">
        <is>
          <t>Y</t>
        </is>
      </c>
      <c r="I30" s="10" t="inlineStr"/>
      <c r="J30" s="10">
        <f>IFERROR(I30-E30,"")</f>
        <v/>
      </c>
      <c r="K30" s="9" t="inlineStr">
        <is>
          <t>Settled through mediation</t>
        </is>
      </c>
      <c r="L30" s="10" t="inlineStr">
        <is>
          <t>Resolved</t>
        </is>
      </c>
    </row>
    <row r="31" ht="22" customHeight="1">
      <c r="B31" s="14" t="inlineStr">
        <is>
          <t>FSGC/2025/0027</t>
        </is>
      </c>
      <c r="C31" s="16" t="inlineStr">
        <is>
          <t>EMP-027</t>
        </is>
      </c>
      <c r="D31" s="14" t="inlineStr">
        <is>
          <t>C — Workplace Environment</t>
        </is>
      </c>
      <c r="E31" s="16" t="inlineStr"/>
      <c r="F31" s="16" t="inlineStr"/>
      <c r="G31" s="16" t="inlineStr">
        <is>
          <t>Y</t>
        </is>
      </c>
      <c r="H31" s="16" t="inlineStr">
        <is>
          <t>Y</t>
        </is>
      </c>
      <c r="I31" s="16" t="inlineStr"/>
      <c r="J31" s="16">
        <f>IFERROR(I31-E31,"")</f>
        <v/>
      </c>
      <c r="K31" s="15" t="inlineStr">
        <is>
          <t>Complainant withdrew — Case closed</t>
        </is>
      </c>
      <c r="L31" s="16" t="inlineStr">
        <is>
          <t>Closed — No Merit</t>
        </is>
      </c>
    </row>
    <row r="32" ht="22" customHeight="1">
      <c r="B32" s="8" t="inlineStr">
        <is>
          <t>FSGC/2025/0028</t>
        </is>
      </c>
      <c r="C32" s="10" t="inlineStr">
        <is>
          <t>EMP-028</t>
        </is>
      </c>
      <c r="D32" s="8" t="inlineStr">
        <is>
          <t>D — Discrimination</t>
        </is>
      </c>
      <c r="E32" s="10" t="inlineStr"/>
      <c r="F32" s="10" t="inlineStr"/>
      <c r="G32" s="10" t="inlineStr">
        <is>
          <t>Y</t>
        </is>
      </c>
      <c r="H32" s="10" t="inlineStr">
        <is>
          <t>Y</t>
        </is>
      </c>
      <c r="I32" s="10" t="inlineStr"/>
      <c r="J32" s="10">
        <f>IFERROR(I32-E32,"")</f>
        <v/>
      </c>
      <c r="K32" s="9" t="inlineStr">
        <is>
          <t>Systemic issue — Policy review recommended</t>
        </is>
      </c>
      <c r="L32" s="10" t="inlineStr">
        <is>
          <t>Withdrawn</t>
        </is>
      </c>
    </row>
    <row r="33" ht="22" customHeight="1"/>
    <row r="34" ht="24" customHeight="1">
      <c r="B34" s="36" t="inlineStr">
        <is>
          <t>MASTER REGISTER SUMMARY</t>
        </is>
      </c>
    </row>
    <row r="35" ht="22" customHeight="1">
      <c r="B35" s="73" t="inlineStr">
        <is>
          <t>Total Cases (All Years)</t>
        </is>
      </c>
      <c r="F35" s="38">
        <f>COUNTA(B5:B32)</f>
        <v/>
      </c>
    </row>
    <row r="36">
      <c r="B36" s="27" t="inlineStr">
        <is>
          <t>Resolved / Closed</t>
        </is>
      </c>
      <c r="F36" s="39">
        <f>COUNTIF(L5:L32,"Resolved")+COUNTIF(L5:L32,"Closed — No Merit")</f>
        <v/>
      </c>
    </row>
    <row r="37">
      <c r="B37" s="73" t="inlineStr">
        <is>
          <t>Average Days to Resolution</t>
        </is>
      </c>
      <c r="F37" s="38">
        <f>IFERROR(ROUND(AVERAGE(J5:J32),0),"")</f>
        <v/>
      </c>
    </row>
    <row r="38">
      <c r="B38" s="27" t="inlineStr">
        <is>
          <t>Cases Referred to External Authority</t>
        </is>
      </c>
      <c r="F38" s="39">
        <f>COUNTIF(L5:L32,"Referred External")</f>
        <v/>
      </c>
    </row>
    <row r="39">
      <c r="B39" s="73" t="inlineStr">
        <is>
          <t>Complainants Withdrew</t>
        </is>
      </c>
      <c r="F39" s="38">
        <f>COUNTIF(L5:L32,"Withdrawn")</f>
        <v/>
      </c>
    </row>
    <row r="40">
      <c r="B40" s="27" t="inlineStr">
        <is>
          <t>Systemic Issues Escalated</t>
        </is>
      </c>
      <c r="F40" s="39" t="inlineStr"/>
    </row>
  </sheetData>
  <mergeCells count="16">
    <mergeCell ref="B4:L4"/>
    <mergeCell ref="B40:E40"/>
    <mergeCell ref="F36:L36"/>
    <mergeCell ref="B35:E35"/>
    <mergeCell ref="F40:L40"/>
    <mergeCell ref="F35:L35"/>
    <mergeCell ref="B38:E38"/>
    <mergeCell ref="B3:L3"/>
    <mergeCell ref="B2:L2"/>
    <mergeCell ref="B34:L34"/>
    <mergeCell ref="F37:L37"/>
    <mergeCell ref="B39:E39"/>
    <mergeCell ref="F39:L39"/>
    <mergeCell ref="B37:E37"/>
    <mergeCell ref="B36:E36"/>
    <mergeCell ref="F38:L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I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FSGC-27: SYSTEMIC ISSUE TRACKING &amp; ESCALATION REGISTER</t>
        </is>
      </c>
    </row>
    <row r="3" ht="20" customHeight="1">
      <c r="B3" s="17" t="inlineStr">
        <is>
          <t>Systemic issues are recurring patterns identified across multiple grievances pointing to structural/policy problems. FSGC must escalate systemic issues to management with recommendations for institutional policy change.</t>
        </is>
      </c>
    </row>
    <row r="4" ht="25" customHeight="1">
      <c r="B4" s="21" t="inlineStr">
        <is>
          <t>Issue
Ref.</t>
        </is>
      </c>
      <c r="C4" s="21" t="inlineStr">
        <is>
          <t>Systemic Issue Description</t>
        </is>
      </c>
      <c r="D4" s="21" t="inlineStr">
        <is>
          <t>No. of Related
Grievances</t>
        </is>
      </c>
      <c r="E4" s="21" t="inlineStr">
        <is>
          <t>Category</t>
        </is>
      </c>
      <c r="F4" s="21" t="inlineStr">
        <is>
          <t>First Identified</t>
        </is>
      </c>
      <c r="G4" s="21" t="inlineStr">
        <is>
          <t>Escalated to
Management</t>
        </is>
      </c>
      <c r="H4" s="21" t="inlineStr">
        <is>
          <t>Management
Response</t>
        </is>
      </c>
      <c r="I4" s="21" t="inlineStr">
        <is>
          <t>Status</t>
        </is>
      </c>
    </row>
    <row r="5" ht="24" customHeight="1">
      <c r="B5" s="14" t="inlineStr">
        <is>
          <t>SYS/001</t>
        </is>
      </c>
      <c r="C5" s="15" t="inlineStr">
        <is>
          <t>Delay in pay fixation on joining / promotion</t>
        </is>
      </c>
      <c r="D5" s="16" t="inlineStr"/>
      <c r="E5" s="16" t="inlineStr">
        <is>
          <t>A — Service</t>
        </is>
      </c>
      <c r="F5" s="16" t="inlineStr"/>
      <c r="G5" s="16" t="inlineStr">
        <is>
          <t>Y</t>
        </is>
      </c>
      <c r="H5" s="15" t="inlineStr"/>
      <c r="I5" s="16" t="inlineStr">
        <is>
          <t>Under Review</t>
        </is>
      </c>
    </row>
    <row r="6" ht="24" customHeight="1">
      <c r="B6" s="8" t="inlineStr">
        <is>
          <t>SYS/002</t>
        </is>
      </c>
      <c r="C6" s="9" t="inlineStr">
        <is>
          <t>Consistent denial of leave applications without justification</t>
        </is>
      </c>
      <c r="D6" s="10" t="inlineStr"/>
      <c r="E6" s="10" t="inlineStr">
        <is>
          <t>A — Service</t>
        </is>
      </c>
      <c r="F6" s="10" t="inlineStr"/>
      <c r="G6" s="10" t="inlineStr">
        <is>
          <t>Y</t>
        </is>
      </c>
      <c r="H6" s="9" t="inlineStr"/>
      <c r="I6" s="10" t="inlineStr">
        <is>
          <t>Under Review</t>
        </is>
      </c>
    </row>
    <row r="7" ht="24" customHeight="1">
      <c r="B7" s="14" t="inlineStr">
        <is>
          <t>SYS/003</t>
        </is>
      </c>
      <c r="C7" s="15" t="inlineStr">
        <is>
          <t>Faculty workload inequity across departments</t>
        </is>
      </c>
      <c r="D7" s="16" t="inlineStr"/>
      <c r="E7" s="16" t="inlineStr">
        <is>
          <t>B — Workload</t>
        </is>
      </c>
      <c r="F7" s="16" t="inlineStr"/>
      <c r="G7" s="16" t="inlineStr">
        <is>
          <t>Y</t>
        </is>
      </c>
      <c r="H7" s="15" t="inlineStr"/>
      <c r="I7" s="16" t="inlineStr">
        <is>
          <t>Under Review</t>
        </is>
      </c>
    </row>
    <row r="8" ht="24" customHeight="1">
      <c r="B8" s="8" t="inlineStr">
        <is>
          <t>SYS/004</t>
        </is>
      </c>
      <c r="C8" s="9" t="inlineStr">
        <is>
          <t>Lack of transparent appraisal process (PBAS / API)</t>
        </is>
      </c>
      <c r="D8" s="10" t="inlineStr"/>
      <c r="E8" s="10" t="inlineStr">
        <is>
          <t>F — Admin / HR</t>
        </is>
      </c>
      <c r="F8" s="10" t="inlineStr"/>
      <c r="G8" s="10" t="inlineStr">
        <is>
          <t>Y</t>
        </is>
      </c>
      <c r="H8" s="9" t="inlineStr"/>
      <c r="I8" s="10" t="inlineStr">
        <is>
          <t>Under Review</t>
        </is>
      </c>
    </row>
    <row r="9" ht="24" customHeight="1">
      <c r="B9" s="14" t="inlineStr">
        <is>
          <t>SYS/005</t>
        </is>
      </c>
      <c r="C9" s="15" t="inlineStr">
        <is>
          <t>Inadequate research / lab infrastructure support</t>
        </is>
      </c>
      <c r="D9" s="16" t="inlineStr"/>
      <c r="E9" s="16" t="inlineStr">
        <is>
          <t>E — Infrastructure</t>
        </is>
      </c>
      <c r="F9" s="16" t="inlineStr"/>
      <c r="G9" s="16" t="inlineStr">
        <is>
          <t>Y</t>
        </is>
      </c>
      <c r="H9" s="15" t="inlineStr"/>
      <c r="I9" s="16" t="inlineStr">
        <is>
          <t>Under Review</t>
        </is>
      </c>
    </row>
    <row r="10" ht="24" customHeight="1">
      <c r="B10" s="8" t="inlineStr">
        <is>
          <t>SYS/006</t>
        </is>
      </c>
      <c r="C10" s="9" t="inlineStr">
        <is>
          <t>Insufficient women's safety facilities on campus</t>
        </is>
      </c>
      <c r="D10" s="10" t="inlineStr"/>
      <c r="E10" s="10" t="inlineStr">
        <is>
          <t>E — Infrastructure</t>
        </is>
      </c>
      <c r="F10" s="10" t="inlineStr"/>
      <c r="G10" s="10" t="inlineStr">
        <is>
          <t>Y</t>
        </is>
      </c>
      <c r="H10" s="9" t="inlineStr"/>
      <c r="I10" s="10" t="inlineStr">
        <is>
          <t>Under Review</t>
        </is>
      </c>
    </row>
    <row r="11" ht="24" customHeight="1">
      <c r="B11" s="14" t="inlineStr">
        <is>
          <t>SYS/007</t>
        </is>
      </c>
      <c r="C11" s="15" t="inlineStr">
        <is>
          <t>Irregular / unexplained transfer patterns</t>
        </is>
      </c>
      <c r="D11" s="16" t="inlineStr"/>
      <c r="E11" s="16" t="inlineStr">
        <is>
          <t>A — Service</t>
        </is>
      </c>
      <c r="F11" s="16" t="inlineStr"/>
      <c r="G11" s="16" t="inlineStr">
        <is>
          <t>Y</t>
        </is>
      </c>
      <c r="H11" s="15" t="inlineStr"/>
      <c r="I11" s="16" t="inlineStr">
        <is>
          <t>Under Review</t>
        </is>
      </c>
    </row>
    <row r="12" ht="24" customHeight="1">
      <c r="B12" s="8" t="inlineStr">
        <is>
          <t>SYS/008</t>
        </is>
      </c>
      <c r="C12" s="9" t="inlineStr">
        <is>
          <t>Non-implementation of promotion policy timelines</t>
        </is>
      </c>
      <c r="D12" s="10" t="inlineStr"/>
      <c r="E12" s="10" t="inlineStr">
        <is>
          <t>A — Service</t>
        </is>
      </c>
      <c r="F12" s="10" t="inlineStr"/>
      <c r="G12" s="10" t="inlineStr">
        <is>
          <t>Y</t>
        </is>
      </c>
      <c r="H12" s="9" t="inlineStr"/>
      <c r="I12" s="10" t="inlineStr">
        <is>
          <t>Under Review</t>
        </is>
      </c>
    </row>
    <row r="13" ht="24" customHeight="1">
      <c r="B13" s="14" t="inlineStr">
        <is>
          <t>SYS/009</t>
        </is>
      </c>
      <c r="C13" s="15" t="inlineStr">
        <is>
          <t>Hostile departmental climate / favoritism pattern</t>
        </is>
      </c>
      <c r="D13" s="16" t="inlineStr"/>
      <c r="E13" s="16" t="inlineStr">
        <is>
          <t>C — Workplace</t>
        </is>
      </c>
      <c r="F13" s="16" t="inlineStr"/>
      <c r="G13" s="16" t="inlineStr">
        <is>
          <t>Y</t>
        </is>
      </c>
      <c r="H13" s="15" t="inlineStr"/>
      <c r="I13" s="16" t="inlineStr">
        <is>
          <t>Under Review</t>
        </is>
      </c>
    </row>
    <row r="14" ht="24" customHeight="1">
      <c r="B14" s="8" t="inlineStr">
        <is>
          <t>SYS/010</t>
        </is>
      </c>
      <c r="C14" s="9" t="inlineStr">
        <is>
          <t>Inadequate grievance awareness among new staff</t>
        </is>
      </c>
      <c r="D14" s="10" t="inlineStr"/>
      <c r="E14" s="10" t="inlineStr">
        <is>
          <t>Awareness Gap</t>
        </is>
      </c>
      <c r="F14" s="10" t="inlineStr"/>
      <c r="G14" s="10" t="inlineStr">
        <is>
          <t>Y</t>
        </is>
      </c>
      <c r="H14" s="9" t="inlineStr"/>
      <c r="I14" s="10" t="inlineStr">
        <is>
          <t>Under Review</t>
        </is>
      </c>
    </row>
    <row r="15" ht="24" customHeight="1">
      <c r="B15" s="14" t="inlineStr">
        <is>
          <t>SYS/011</t>
        </is>
      </c>
      <c r="C15" s="15" t="inlineStr">
        <is>
          <t>Language / communication barriers in HR processes</t>
        </is>
      </c>
      <c r="D15" s="16" t="inlineStr"/>
      <c r="E15" s="16" t="inlineStr">
        <is>
          <t>F — Admin / HR</t>
        </is>
      </c>
      <c r="F15" s="16" t="inlineStr"/>
      <c r="G15" s="16" t="inlineStr">
        <is>
          <t>Y</t>
        </is>
      </c>
      <c r="H15" s="15" t="inlineStr"/>
      <c r="I15" s="16" t="inlineStr">
        <is>
          <t>Under Review</t>
        </is>
      </c>
    </row>
    <row r="16" ht="24" customHeight="1">
      <c r="B16" s="8" t="inlineStr">
        <is>
          <t>SYS/012</t>
        </is>
      </c>
      <c r="C16" s="9" t="inlineStr">
        <is>
          <t>Unequal access to FDP / training opportunities</t>
        </is>
      </c>
      <c r="D16" s="10" t="inlineStr"/>
      <c r="E16" s="10" t="inlineStr">
        <is>
          <t>B — Workload</t>
        </is>
      </c>
      <c r="F16" s="10" t="inlineStr"/>
      <c r="G16" s="10" t="inlineStr">
        <is>
          <t>Y</t>
        </is>
      </c>
      <c r="H16" s="9" t="inlineStr"/>
      <c r="I16" s="10" t="inlineStr">
        <is>
          <t>Under Review</t>
        </is>
      </c>
    </row>
    <row r="17" ht="24" customHeight="1"/>
    <row r="18" ht="24" customHeight="1">
      <c r="B18" s="36" t="inlineStr">
        <is>
          <t>SYSTEMIC ISSUE RESOLUTION SUMMARY</t>
        </is>
      </c>
    </row>
    <row r="19" ht="24" customHeight="1">
      <c r="B19" s="73" t="inlineStr">
        <is>
          <t>Total Systemic Issues Identified</t>
        </is>
      </c>
      <c r="F19" s="38">
        <f>COUNTA(B5:B16)</f>
        <v/>
      </c>
    </row>
    <row r="20" ht="24" customHeight="1">
      <c r="B20" s="27" t="inlineStr">
        <is>
          <t>Escalated to Management</t>
        </is>
      </c>
      <c r="F20" s="39">
        <f>COUNTIF(G5:G16,"Y")</f>
        <v/>
      </c>
    </row>
    <row r="21" ht="24" customHeight="1">
      <c r="B21" s="73" t="inlineStr">
        <is>
          <t>Management Response Received</t>
        </is>
      </c>
      <c r="F21" s="38">
        <f>COUNTIF(H5:H16,"&lt;&gt;"&amp;"")</f>
        <v/>
      </c>
    </row>
    <row r="22" ht="24" customHeight="1">
      <c r="B22" s="27" t="inlineStr">
        <is>
          <t>Resolved / Policy Changed</t>
        </is>
      </c>
      <c r="F22" s="39">
        <f>COUNTIF(I5:I16,"Resolved")</f>
        <v/>
      </c>
    </row>
    <row r="23" ht="24" customHeight="1">
      <c r="B23" s="73" t="inlineStr">
        <is>
          <t>Under Review</t>
        </is>
      </c>
      <c r="F23" s="38">
        <f>COUNTIF(I5:I16,"Under Review")</f>
        <v/>
      </c>
    </row>
    <row r="24" ht="24" customHeight="1">
      <c r="B24" s="27" t="inlineStr">
        <is>
          <t>Average Related Grievances per Issue</t>
        </is>
      </c>
      <c r="F24" s="39">
        <f>IFERROR(ROUND(AVERAGE(D5:D16),1),"")</f>
        <v/>
      </c>
    </row>
    <row r="25" ht="24" customHeight="1"/>
  </sheetData>
  <mergeCells count="15">
    <mergeCell ref="B18:I18"/>
    <mergeCell ref="F23:I23"/>
    <mergeCell ref="B23:E23"/>
    <mergeCell ref="B2:I2"/>
    <mergeCell ref="B21:E21"/>
    <mergeCell ref="F24:I24"/>
    <mergeCell ref="B3:I3"/>
    <mergeCell ref="F21:I21"/>
    <mergeCell ref="B24:E24"/>
    <mergeCell ref="B19:E19"/>
    <mergeCell ref="B20:E20"/>
    <mergeCell ref="F19:I19"/>
    <mergeCell ref="F20:I20"/>
    <mergeCell ref="B22:E22"/>
    <mergeCell ref="F22:I2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FSGC-10: SHOW-CAUSE NOTICE ISSUE &amp; RESPONSE REGISTER</t>
        </is>
      </c>
    </row>
    <row r="3" ht="18" customHeight="1">
      <c r="B3" s="18" t="inlineStr">
        <is>
          <t>CONFIDENTIAL — Natural Justice Requirement: Show-cause notice mandatory before any adverse recommendation. Respondent must be given minimum 5 working days to respond.</t>
        </is>
      </c>
    </row>
    <row r="4" ht="25" customHeight="1">
      <c r="B4" s="21" t="inlineStr">
        <is>
          <t>SCN
Ref.</t>
        </is>
      </c>
      <c r="C4" s="21" t="inlineStr">
        <is>
          <t>Case Ref.</t>
        </is>
      </c>
      <c r="D4" s="21" t="inlineStr">
        <is>
          <t>Respondent
(Code)</t>
        </is>
      </c>
      <c r="E4" s="21" t="inlineStr">
        <is>
          <t>SCN Issue
Date</t>
        </is>
      </c>
      <c r="F4" s="21" t="inlineStr">
        <is>
          <t>Response
Deadline</t>
        </is>
      </c>
      <c r="G4" s="21" t="inlineStr">
        <is>
          <t>Response
Received</t>
        </is>
      </c>
      <c r="H4" s="21" t="inlineStr">
        <is>
          <t>Response
(Y/N)</t>
        </is>
      </c>
      <c r="I4" s="21" t="inlineStr">
        <is>
          <t>Response
Summary</t>
        </is>
      </c>
      <c r="J4" s="21" t="inlineStr">
        <is>
          <t>Next
Action</t>
        </is>
      </c>
    </row>
    <row r="5" ht="24" customHeight="1">
      <c r="B5" s="14" t="inlineStr">
        <is>
          <t>SCN/001</t>
        </is>
      </c>
      <c r="C5" s="16" t="inlineStr">
        <is>
          <t>FSGC/2024/0001</t>
        </is>
      </c>
      <c r="D5" s="16" t="inlineStr">
        <is>
          <t>RES-001</t>
        </is>
      </c>
      <c r="E5" s="16" t="inlineStr"/>
      <c r="F5" s="16" t="inlineStr"/>
      <c r="G5" s="16" t="inlineStr"/>
      <c r="H5" s="16" t="inlineStr">
        <is>
          <t>Y</t>
        </is>
      </c>
      <c r="I5" s="15" t="inlineStr"/>
      <c r="J5" s="16" t="inlineStr">
        <is>
          <t>Schedule Hearing</t>
        </is>
      </c>
    </row>
    <row r="6" ht="24" customHeight="1">
      <c r="B6" s="8" t="inlineStr">
        <is>
          <t>SCN/002</t>
        </is>
      </c>
      <c r="C6" s="10" t="inlineStr">
        <is>
          <t>FSGC/2024/0002</t>
        </is>
      </c>
      <c r="D6" s="10" t="inlineStr">
        <is>
          <t>RES-002</t>
        </is>
      </c>
      <c r="E6" s="10" t="inlineStr"/>
      <c r="F6" s="10" t="inlineStr"/>
      <c r="G6" s="10" t="inlineStr"/>
      <c r="H6" s="10" t="inlineStr">
        <is>
          <t>Y</t>
        </is>
      </c>
      <c r="I6" s="9" t="inlineStr"/>
      <c r="J6" s="10" t="inlineStr">
        <is>
          <t>Schedule Hearing</t>
        </is>
      </c>
    </row>
    <row r="7" ht="24" customHeight="1">
      <c r="B7" s="14" t="inlineStr">
        <is>
          <t>SCN/003</t>
        </is>
      </c>
      <c r="C7" s="16" t="inlineStr">
        <is>
          <t>FSGC/2024/0003</t>
        </is>
      </c>
      <c r="D7" s="16" t="inlineStr">
        <is>
          <t>RES-003</t>
        </is>
      </c>
      <c r="E7" s="16" t="inlineStr"/>
      <c r="F7" s="16" t="inlineStr"/>
      <c r="G7" s="16" t="inlineStr"/>
      <c r="H7" s="16" t="inlineStr">
        <is>
          <t>Y</t>
        </is>
      </c>
      <c r="I7" s="15" t="inlineStr"/>
      <c r="J7" s="16" t="inlineStr">
        <is>
          <t>Schedule Hearing</t>
        </is>
      </c>
    </row>
    <row r="8" ht="24" customHeight="1">
      <c r="B8" s="8" t="inlineStr">
        <is>
          <t>SCN/004</t>
        </is>
      </c>
      <c r="C8" s="10" t="inlineStr">
        <is>
          <t>FSGC/2024/0004</t>
        </is>
      </c>
      <c r="D8" s="10" t="inlineStr">
        <is>
          <t>RES-004</t>
        </is>
      </c>
      <c r="E8" s="10" t="inlineStr"/>
      <c r="F8" s="10" t="inlineStr"/>
      <c r="G8" s="10" t="inlineStr"/>
      <c r="H8" s="10" t="inlineStr">
        <is>
          <t>Y</t>
        </is>
      </c>
      <c r="I8" s="9" t="inlineStr"/>
      <c r="J8" s="10" t="inlineStr">
        <is>
          <t>Schedule Hearing</t>
        </is>
      </c>
    </row>
    <row r="9" ht="24" customHeight="1">
      <c r="B9" s="14" t="inlineStr">
        <is>
          <t>SCN/005</t>
        </is>
      </c>
      <c r="C9" s="16" t="inlineStr">
        <is>
          <t>FSGC/2024/0005</t>
        </is>
      </c>
      <c r="D9" s="16" t="inlineStr">
        <is>
          <t>RES-005</t>
        </is>
      </c>
      <c r="E9" s="16" t="inlineStr"/>
      <c r="F9" s="16" t="inlineStr"/>
      <c r="G9" s="16" t="inlineStr"/>
      <c r="H9" s="16" t="inlineStr">
        <is>
          <t>Y</t>
        </is>
      </c>
      <c r="I9" s="15" t="inlineStr"/>
      <c r="J9" s="16" t="inlineStr">
        <is>
          <t>Schedule Hearing</t>
        </is>
      </c>
    </row>
    <row r="10" ht="24" customHeight="1">
      <c r="B10" s="8" t="inlineStr">
        <is>
          <t>SCN/006</t>
        </is>
      </c>
      <c r="C10" s="10" t="inlineStr">
        <is>
          <t>FSGC/2024/0006</t>
        </is>
      </c>
      <c r="D10" s="10" t="inlineStr">
        <is>
          <t>RES-006</t>
        </is>
      </c>
      <c r="E10" s="10" t="inlineStr"/>
      <c r="F10" s="10" t="inlineStr"/>
      <c r="G10" s="10" t="inlineStr"/>
      <c r="H10" s="10" t="inlineStr">
        <is>
          <t>Y</t>
        </is>
      </c>
      <c r="I10" s="9" t="inlineStr"/>
      <c r="J10" s="10" t="inlineStr">
        <is>
          <t>Schedule Hearing</t>
        </is>
      </c>
    </row>
    <row r="11" ht="24" customHeight="1">
      <c r="B11" s="14" t="inlineStr">
        <is>
          <t>SCN/007</t>
        </is>
      </c>
      <c r="C11" s="16" t="inlineStr">
        <is>
          <t>FSGC/2024/0007</t>
        </is>
      </c>
      <c r="D11" s="16" t="inlineStr">
        <is>
          <t>RES-007</t>
        </is>
      </c>
      <c r="E11" s="16" t="inlineStr"/>
      <c r="F11" s="16" t="inlineStr"/>
      <c r="G11" s="16" t="inlineStr"/>
      <c r="H11" s="16" t="inlineStr">
        <is>
          <t>Y</t>
        </is>
      </c>
      <c r="I11" s="15" t="inlineStr"/>
      <c r="J11" s="16" t="inlineStr">
        <is>
          <t>Schedule Hearing</t>
        </is>
      </c>
    </row>
    <row r="12" ht="24" customHeight="1">
      <c r="B12" s="8" t="inlineStr">
        <is>
          <t>SCN/008</t>
        </is>
      </c>
      <c r="C12" s="10" t="inlineStr">
        <is>
          <t>FSGC/2025/0008</t>
        </is>
      </c>
      <c r="D12" s="10" t="inlineStr">
        <is>
          <t>RES-008</t>
        </is>
      </c>
      <c r="E12" s="10" t="inlineStr"/>
      <c r="F12" s="10" t="inlineStr"/>
      <c r="G12" s="10" t="inlineStr"/>
      <c r="H12" s="10" t="inlineStr">
        <is>
          <t>Y</t>
        </is>
      </c>
      <c r="I12" s="9" t="inlineStr"/>
      <c r="J12" s="10" t="inlineStr">
        <is>
          <t>Schedule Hearing</t>
        </is>
      </c>
    </row>
    <row r="13" ht="24" customHeight="1">
      <c r="B13" s="14" t="inlineStr">
        <is>
          <t>SCN/009</t>
        </is>
      </c>
      <c r="C13" s="16" t="inlineStr">
        <is>
          <t>FSGC/2025/0009</t>
        </is>
      </c>
      <c r="D13" s="16" t="inlineStr">
        <is>
          <t>RES-009</t>
        </is>
      </c>
      <c r="E13" s="16" t="inlineStr"/>
      <c r="F13" s="16" t="inlineStr"/>
      <c r="G13" s="16" t="inlineStr"/>
      <c r="H13" s="16" t="inlineStr">
        <is>
          <t>Y</t>
        </is>
      </c>
      <c r="I13" s="15" t="inlineStr"/>
      <c r="J13" s="16" t="inlineStr">
        <is>
          <t>Schedule Hearing</t>
        </is>
      </c>
    </row>
    <row r="14" ht="24" customHeight="1">
      <c r="B14" s="8" t="inlineStr">
        <is>
          <t>SCN/010</t>
        </is>
      </c>
      <c r="C14" s="10" t="inlineStr">
        <is>
          <t>FSGC/2025/0010</t>
        </is>
      </c>
      <c r="D14" s="10" t="inlineStr">
        <is>
          <t>RES-010</t>
        </is>
      </c>
      <c r="E14" s="10" t="inlineStr"/>
      <c r="F14" s="10" t="inlineStr"/>
      <c r="G14" s="10" t="inlineStr"/>
      <c r="H14" s="10" t="inlineStr">
        <is>
          <t>Y</t>
        </is>
      </c>
      <c r="I14" s="9" t="inlineStr"/>
      <c r="J14" s="10" t="inlineStr">
        <is>
          <t>Schedule Hearing</t>
        </is>
      </c>
    </row>
    <row r="15" ht="24" customHeight="1">
      <c r="B15" s="14" t="inlineStr">
        <is>
          <t>SCN/011</t>
        </is>
      </c>
      <c r="C15" s="16" t="inlineStr">
        <is>
          <t>FSGC/2025/0011</t>
        </is>
      </c>
      <c r="D15" s="16" t="inlineStr">
        <is>
          <t>RES-011</t>
        </is>
      </c>
      <c r="E15" s="16" t="inlineStr"/>
      <c r="F15" s="16" t="inlineStr"/>
      <c r="G15" s="16" t="inlineStr"/>
      <c r="H15" s="16" t="inlineStr">
        <is>
          <t>Y</t>
        </is>
      </c>
      <c r="I15" s="15" t="inlineStr"/>
      <c r="J15" s="16" t="inlineStr">
        <is>
          <t>Schedule Hearing</t>
        </is>
      </c>
    </row>
    <row r="16" ht="24" customHeight="1">
      <c r="B16" s="8" t="inlineStr">
        <is>
          <t>SCN/012</t>
        </is>
      </c>
      <c r="C16" s="10" t="inlineStr">
        <is>
          <t>FSGC/2025/0012</t>
        </is>
      </c>
      <c r="D16" s="10" t="inlineStr">
        <is>
          <t>RES-012</t>
        </is>
      </c>
      <c r="E16" s="10" t="inlineStr"/>
      <c r="F16" s="10" t="inlineStr"/>
      <c r="G16" s="10" t="inlineStr"/>
      <c r="H16" s="10" t="inlineStr">
        <is>
          <t>Y</t>
        </is>
      </c>
      <c r="I16" s="9" t="inlineStr"/>
      <c r="J16" s="10" t="inlineStr">
        <is>
          <t>Schedule Hearing</t>
        </is>
      </c>
    </row>
    <row r="17" ht="24" customHeight="1">
      <c r="B17" s="14" t="inlineStr">
        <is>
          <t>SCN/013</t>
        </is>
      </c>
      <c r="C17" s="16" t="inlineStr">
        <is>
          <t>FSGC/2025/0013</t>
        </is>
      </c>
      <c r="D17" s="16" t="inlineStr">
        <is>
          <t>RES-013</t>
        </is>
      </c>
      <c r="E17" s="16" t="inlineStr"/>
      <c r="F17" s="16" t="inlineStr"/>
      <c r="G17" s="16" t="inlineStr"/>
      <c r="H17" s="16" t="inlineStr">
        <is>
          <t>Y</t>
        </is>
      </c>
      <c r="I17" s="15" t="inlineStr"/>
      <c r="J17" s="16" t="inlineStr">
        <is>
          <t>Schedule Hearing</t>
        </is>
      </c>
    </row>
    <row r="18" ht="24" customHeight="1">
      <c r="B18" s="8" t="inlineStr">
        <is>
          <t>SCN/014</t>
        </is>
      </c>
      <c r="C18" s="10" t="inlineStr">
        <is>
          <t>FSGC/2025/0014</t>
        </is>
      </c>
      <c r="D18" s="10" t="inlineStr">
        <is>
          <t>RES-014</t>
        </is>
      </c>
      <c r="E18" s="10" t="inlineStr"/>
      <c r="F18" s="10" t="inlineStr"/>
      <c r="G18" s="10" t="inlineStr"/>
      <c r="H18" s="10" t="inlineStr">
        <is>
          <t>Y</t>
        </is>
      </c>
      <c r="I18" s="9" t="inlineStr"/>
      <c r="J18" s="10" t="inlineStr">
        <is>
          <t>Schedule Hearing</t>
        </is>
      </c>
    </row>
    <row r="19" ht="24" customHeight="1"/>
    <row r="20" ht="24" customHeight="1">
      <c r="B20" s="36" t="inlineStr">
        <is>
          <t>SCN COMPLIANCE SUMMARY</t>
        </is>
      </c>
    </row>
    <row r="21" ht="24" customHeight="1">
      <c r="B21" s="73" t="inlineStr">
        <is>
          <t>Total SCNs Issued</t>
        </is>
      </c>
      <c r="F21" s="38">
        <f>COUNTA(B5:B18)</f>
        <v/>
      </c>
    </row>
    <row r="22" ht="24" customHeight="1">
      <c r="B22" s="27" t="inlineStr">
        <is>
          <t>Respondents Replied</t>
        </is>
      </c>
      <c r="F22" s="39">
        <f>COUNTIF(H5:H18,"Y")</f>
        <v/>
      </c>
    </row>
    <row r="23" ht="24" customHeight="1">
      <c r="B23" s="73" t="inlineStr">
        <is>
          <t>Respondents Did Not Reply</t>
        </is>
      </c>
      <c r="F23" s="38">
        <f>COUNTIF(H5:H18,"N")</f>
        <v/>
      </c>
    </row>
    <row r="24">
      <c r="B24" s="27" t="inlineStr">
        <is>
          <t>Ex-parte Proceedings Initiated</t>
        </is>
      </c>
      <c r="F24" s="39" t="inlineStr"/>
    </row>
    <row r="25">
      <c r="B25" s="73" t="inlineStr">
        <is>
          <t>Average Response Time (Working Days)</t>
        </is>
      </c>
      <c r="F25" s="38" t="inlineStr"/>
    </row>
    <row r="26">
      <c r="B26" s="27" t="inlineStr">
        <is>
          <t>Response Rate (%)</t>
        </is>
      </c>
      <c r="F26" s="39">
        <f>IFERROR(ROUND(C22/C21*100,1),"")</f>
        <v/>
      </c>
    </row>
  </sheetData>
  <mergeCells count="15">
    <mergeCell ref="B23:E23"/>
    <mergeCell ref="B26:E26"/>
    <mergeCell ref="B3:J3"/>
    <mergeCell ref="F21:J21"/>
    <mergeCell ref="B20:J20"/>
    <mergeCell ref="F24:J24"/>
    <mergeCell ref="F23:J23"/>
    <mergeCell ref="F26:J26"/>
    <mergeCell ref="B21:E21"/>
    <mergeCell ref="F25:J25"/>
    <mergeCell ref="B25:E25"/>
    <mergeCell ref="B24:E24"/>
    <mergeCell ref="F22:J22"/>
    <mergeCell ref="B22:E22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0" customWidth="1" min="3" max="3"/>
    <col width="12" customWidth="1" min="4" max="4"/>
    <col width="14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FSGC-16 / 17: APPEAL APPLICATION &amp; HEARING REGISTER</t>
        </is>
      </c>
    </row>
    <row r="3" ht="18" customHeight="1">
      <c r="B3" s="18" t="inlineStr">
        <is>
          <t>CONFIDENTIAL — Appeals to be filed within 15 working days of FSGC decision. Appeal Authority (higher management / Governing Body) to decide within 30 working days.</t>
        </is>
      </c>
    </row>
    <row r="4" ht="25" customHeight="1">
      <c r="B4" s="75" t="inlineStr">
        <is>
          <t>Appeal
Ref.</t>
        </is>
      </c>
      <c r="C4" s="75" t="inlineStr">
        <is>
          <t>Case Ref.
(Original)</t>
        </is>
      </c>
      <c r="D4" s="75" t="inlineStr">
        <is>
          <t>Appellant
(Code)</t>
        </is>
      </c>
      <c r="E4" s="75" t="inlineStr">
        <is>
          <t>Appeal
Date</t>
        </is>
      </c>
      <c r="F4" s="75" t="inlineStr">
        <is>
          <t>Original
Finding</t>
        </is>
      </c>
      <c r="G4" s="75" t="inlineStr">
        <is>
          <t>Grounds of
Appeal</t>
        </is>
      </c>
      <c r="H4" s="75" t="inlineStr">
        <is>
          <t>Appeal
Hearing Date</t>
        </is>
      </c>
      <c r="I4" s="75" t="inlineStr">
        <is>
          <t>Appeal
Outcome</t>
        </is>
      </c>
      <c r="J4" s="75" t="inlineStr">
        <is>
          <t>Final
Status</t>
        </is>
      </c>
    </row>
    <row r="5" ht="24" customHeight="1">
      <c r="B5" s="76" t="inlineStr">
        <is>
          <t>APPL/001</t>
        </is>
      </c>
      <c r="C5" s="77" t="inlineStr">
        <is>
          <t>FSGC/2024/0001</t>
        </is>
      </c>
      <c r="D5" s="77" t="inlineStr">
        <is>
          <t>EMP-001</t>
        </is>
      </c>
      <c r="E5" s="77" t="inlineStr"/>
      <c r="F5" s="78" t="inlineStr"/>
      <c r="G5" s="77" t="inlineStr">
        <is>
          <t>FSGC proceeding was biased</t>
        </is>
      </c>
      <c r="H5" s="77" t="inlineStr"/>
      <c r="I5" s="77" t="inlineStr">
        <is>
          <t>Upheld — Original Finding Confirmed</t>
        </is>
      </c>
      <c r="J5" s="77" t="inlineStr">
        <is>
          <t>Closed</t>
        </is>
      </c>
    </row>
    <row r="6" ht="24" customHeight="1">
      <c r="B6" s="8" t="inlineStr">
        <is>
          <t>APPL/002</t>
        </is>
      </c>
      <c r="C6" s="10" t="inlineStr">
        <is>
          <t>FSGC/2024/0002</t>
        </is>
      </c>
      <c r="D6" s="10" t="inlineStr">
        <is>
          <t>EMP-002</t>
        </is>
      </c>
      <c r="E6" s="10" t="inlineStr"/>
      <c r="F6" s="9" t="inlineStr"/>
      <c r="G6" s="10" t="inlineStr">
        <is>
          <t>Procedural irregularity</t>
        </is>
      </c>
      <c r="H6" s="10" t="inlineStr"/>
      <c r="I6" s="10" t="inlineStr">
        <is>
          <t>Partially Upheld — Remedy Modified</t>
        </is>
      </c>
      <c r="J6" s="10" t="inlineStr">
        <is>
          <t>Closed</t>
        </is>
      </c>
    </row>
    <row r="7" ht="24" customHeight="1">
      <c r="B7" s="76" t="inlineStr">
        <is>
          <t>APPL/003</t>
        </is>
      </c>
      <c r="C7" s="77" t="inlineStr">
        <is>
          <t>FSGC/2024/0003</t>
        </is>
      </c>
      <c r="D7" s="77" t="inlineStr">
        <is>
          <t>EMP-003</t>
        </is>
      </c>
      <c r="E7" s="77" t="inlineStr"/>
      <c r="F7" s="78" t="inlineStr"/>
      <c r="G7" s="77" t="inlineStr">
        <is>
          <t>New evidence available</t>
        </is>
      </c>
      <c r="H7" s="77" t="inlineStr"/>
      <c r="I7" s="77" t="inlineStr">
        <is>
          <t>Appeal Allowed — Original Decision Reversed</t>
        </is>
      </c>
      <c r="J7" s="77" t="inlineStr">
        <is>
          <t>Closed</t>
        </is>
      </c>
    </row>
    <row r="8" ht="24" customHeight="1">
      <c r="B8" s="8" t="inlineStr">
        <is>
          <t>APPL/004</t>
        </is>
      </c>
      <c r="C8" s="10" t="inlineStr">
        <is>
          <t>FSGC/2024/0004</t>
        </is>
      </c>
      <c r="D8" s="10" t="inlineStr">
        <is>
          <t>EMP-004</t>
        </is>
      </c>
      <c r="E8" s="10" t="inlineStr"/>
      <c r="F8" s="9" t="inlineStr"/>
      <c r="G8" s="10" t="inlineStr">
        <is>
          <t>Decision disproportionate</t>
        </is>
      </c>
      <c r="H8" s="10" t="inlineStr"/>
      <c r="I8" s="10" t="inlineStr">
        <is>
          <t>Referred for Re-inquiry</t>
        </is>
      </c>
      <c r="J8" s="10" t="inlineStr">
        <is>
          <t>Closed</t>
        </is>
      </c>
    </row>
    <row r="9" ht="24" customHeight="1">
      <c r="B9" s="76" t="inlineStr">
        <is>
          <t>APPL/005</t>
        </is>
      </c>
      <c r="C9" s="77" t="inlineStr">
        <is>
          <t>FSGC/2024/0005</t>
        </is>
      </c>
      <c r="D9" s="77" t="inlineStr">
        <is>
          <t>EMP-005</t>
        </is>
      </c>
      <c r="E9" s="77" t="inlineStr"/>
      <c r="F9" s="78" t="inlineStr"/>
      <c r="G9" s="77" t="inlineStr">
        <is>
          <t>Respondent not heard fairly</t>
        </is>
      </c>
      <c r="H9" s="77" t="inlineStr"/>
      <c r="I9" s="77" t="inlineStr">
        <is>
          <t>Dismissed — Filed Late</t>
        </is>
      </c>
      <c r="J9" s="77" t="inlineStr">
        <is>
          <t>Closed</t>
        </is>
      </c>
    </row>
    <row r="10" ht="24" customHeight="1">
      <c r="B10" s="8" t="inlineStr">
        <is>
          <t>APPL/006</t>
        </is>
      </c>
      <c r="C10" s="10" t="inlineStr">
        <is>
          <t>FSGC/2024/0006</t>
        </is>
      </c>
      <c r="D10" s="10" t="inlineStr">
        <is>
          <t>EMP-006</t>
        </is>
      </c>
      <c r="E10" s="10" t="inlineStr"/>
      <c r="F10" s="9" t="inlineStr"/>
      <c r="G10" s="10" t="inlineStr">
        <is>
          <t>Fact misapplied</t>
        </is>
      </c>
      <c r="H10" s="10" t="inlineStr"/>
      <c r="I10" s="10" t="inlineStr">
        <is>
          <t>Upheld — Original Finding Confirmed</t>
        </is>
      </c>
      <c r="J10" s="10" t="inlineStr">
        <is>
          <t>Closed</t>
        </is>
      </c>
    </row>
    <row r="11" ht="24" customHeight="1">
      <c r="B11" s="76" t="inlineStr">
        <is>
          <t>APPL/007</t>
        </is>
      </c>
      <c r="C11" s="77" t="inlineStr">
        <is>
          <t>FSGC/2025/0007</t>
        </is>
      </c>
      <c r="D11" s="77" t="inlineStr">
        <is>
          <t>EMP-007</t>
        </is>
      </c>
      <c r="E11" s="77" t="inlineStr"/>
      <c r="F11" s="78" t="inlineStr"/>
      <c r="G11" s="77" t="inlineStr">
        <is>
          <t>Other ground</t>
        </is>
      </c>
      <c r="H11" s="77" t="inlineStr"/>
      <c r="I11" s="77" t="inlineStr">
        <is>
          <t>Partially Upheld — Remedy Modified</t>
        </is>
      </c>
      <c r="J11" s="77" t="inlineStr">
        <is>
          <t>Closed</t>
        </is>
      </c>
    </row>
    <row r="12" ht="24" customHeight="1">
      <c r="B12" s="8" t="inlineStr">
        <is>
          <t>APPL/008</t>
        </is>
      </c>
      <c r="C12" s="10" t="inlineStr">
        <is>
          <t>FSGC/2025/0008</t>
        </is>
      </c>
      <c r="D12" s="10" t="inlineStr">
        <is>
          <t>EMP-008</t>
        </is>
      </c>
      <c r="E12" s="10" t="inlineStr"/>
      <c r="F12" s="9" t="inlineStr"/>
      <c r="G12" s="10" t="inlineStr">
        <is>
          <t>FSGC proceeding was biased</t>
        </is>
      </c>
      <c r="H12" s="10" t="inlineStr"/>
      <c r="I12" s="10" t="inlineStr">
        <is>
          <t>Appeal Allowed — Original Decision Reversed</t>
        </is>
      </c>
      <c r="J12" s="10" t="inlineStr">
        <is>
          <t>Closed</t>
        </is>
      </c>
    </row>
    <row r="13" ht="24" customHeight="1">
      <c r="B13" s="76" t="inlineStr">
        <is>
          <t>APPL/009</t>
        </is>
      </c>
      <c r="C13" s="77" t="inlineStr">
        <is>
          <t>FSGC/2025/0009</t>
        </is>
      </c>
      <c r="D13" s="77" t="inlineStr">
        <is>
          <t>EMP-009</t>
        </is>
      </c>
      <c r="E13" s="77" t="inlineStr"/>
      <c r="F13" s="78" t="inlineStr"/>
      <c r="G13" s="77" t="inlineStr">
        <is>
          <t>Procedural irregularity</t>
        </is>
      </c>
      <c r="H13" s="77" t="inlineStr"/>
      <c r="I13" s="77" t="inlineStr">
        <is>
          <t>Referred for Re-inquiry</t>
        </is>
      </c>
      <c r="J13" s="77" t="inlineStr">
        <is>
          <t>Closed</t>
        </is>
      </c>
    </row>
    <row r="14" ht="24" customHeight="1">
      <c r="B14" s="8" t="inlineStr">
        <is>
          <t>APPL/010</t>
        </is>
      </c>
      <c r="C14" s="10" t="inlineStr">
        <is>
          <t>FSGC/2025/0010</t>
        </is>
      </c>
      <c r="D14" s="10" t="inlineStr">
        <is>
          <t>EMP-010</t>
        </is>
      </c>
      <c r="E14" s="10" t="inlineStr"/>
      <c r="F14" s="9" t="inlineStr"/>
      <c r="G14" s="10" t="inlineStr">
        <is>
          <t>New evidence available</t>
        </is>
      </c>
      <c r="H14" s="10" t="inlineStr"/>
      <c r="I14" s="10" t="inlineStr">
        <is>
          <t>Dismissed — Filed Late</t>
        </is>
      </c>
      <c r="J14" s="10" t="inlineStr">
        <is>
          <t>Closed</t>
        </is>
      </c>
    </row>
    <row r="15" ht="24" customHeight="1">
      <c r="B15" s="76" t="inlineStr">
        <is>
          <t>APPL/011</t>
        </is>
      </c>
      <c r="C15" s="77" t="inlineStr">
        <is>
          <t>FSGC/2025/0011</t>
        </is>
      </c>
      <c r="D15" s="77" t="inlineStr">
        <is>
          <t>EMP-011</t>
        </is>
      </c>
      <c r="E15" s="77" t="inlineStr"/>
      <c r="F15" s="78" t="inlineStr"/>
      <c r="G15" s="77" t="inlineStr">
        <is>
          <t>Decision disproportionate</t>
        </is>
      </c>
      <c r="H15" s="77" t="inlineStr"/>
      <c r="I15" s="77" t="inlineStr">
        <is>
          <t>Upheld — Original Finding Confirmed</t>
        </is>
      </c>
      <c r="J15" s="77" t="inlineStr">
        <is>
          <t>Closed</t>
        </is>
      </c>
    </row>
    <row r="16" ht="24" customHeight="1">
      <c r="B16" s="8" t="inlineStr">
        <is>
          <t>APPL/012</t>
        </is>
      </c>
      <c r="C16" s="10" t="inlineStr">
        <is>
          <t>FSGC/2025/0012</t>
        </is>
      </c>
      <c r="D16" s="10" t="inlineStr">
        <is>
          <t>EMP-012</t>
        </is>
      </c>
      <c r="E16" s="10" t="inlineStr"/>
      <c r="F16" s="9" t="inlineStr"/>
      <c r="G16" s="10" t="inlineStr">
        <is>
          <t>Respondent not heard fairly</t>
        </is>
      </c>
      <c r="H16" s="10" t="inlineStr"/>
      <c r="I16" s="10" t="inlineStr">
        <is>
          <t>Partially Upheld — Remedy Modified</t>
        </is>
      </c>
      <c r="J16" s="10" t="inlineStr">
        <is>
          <t>Closed</t>
        </is>
      </c>
    </row>
    <row r="17" ht="24" customHeight="1"/>
    <row r="18" ht="24" customHeight="1">
      <c r="B18" s="79" t="inlineStr">
        <is>
          <t>APPEAL STATISTICS</t>
        </is>
      </c>
    </row>
    <row r="19" ht="24" customHeight="1">
      <c r="B19" s="80" t="inlineStr">
        <is>
          <t>Total Appeals Filed</t>
        </is>
      </c>
      <c r="F19" s="38">
        <f>COUNTA(B5:B16)</f>
        <v/>
      </c>
    </row>
    <row r="20" ht="24" customHeight="1">
      <c r="B20" s="27" t="inlineStr">
        <is>
          <t>Appeals Upheld (Original confirmed)</t>
        </is>
      </c>
      <c r="F20" s="39">
        <f>COUNTIF(I5:I16,"Upheld — Original Finding Confirmed")</f>
        <v/>
      </c>
    </row>
    <row r="21" ht="24" customHeight="1">
      <c r="B21" s="80" t="inlineStr">
        <is>
          <t>Appeal Allowed (Decision reversed)</t>
        </is>
      </c>
      <c r="F21" s="38">
        <f>COUNTIF(I5:I16,"Appeal Allowed — Original Decision Reversed")</f>
        <v/>
      </c>
    </row>
    <row r="22">
      <c r="B22" s="27" t="inlineStr">
        <is>
          <t>Remedy Modified</t>
        </is>
      </c>
      <c r="F22" s="39">
        <f>COUNTIF(I5:I16,"Partially Upheld — Remedy Modified")</f>
        <v/>
      </c>
    </row>
    <row r="23">
      <c r="B23" s="80" t="inlineStr">
        <is>
          <t>Appeal Rate (% of decisions)</t>
        </is>
      </c>
      <c r="F23" s="38" t="inlineStr"/>
    </row>
    <row r="24">
      <c r="B24" s="27" t="inlineStr">
        <is>
          <t>Average Appeal Resolution Days</t>
        </is>
      </c>
      <c r="F24" s="39" t="inlineStr"/>
    </row>
  </sheetData>
  <mergeCells count="15">
    <mergeCell ref="B23:E23"/>
    <mergeCell ref="B3:J3"/>
    <mergeCell ref="F21:J21"/>
    <mergeCell ref="F24:J24"/>
    <mergeCell ref="F20:J20"/>
    <mergeCell ref="F23:J23"/>
    <mergeCell ref="B21:E21"/>
    <mergeCell ref="F19:J19"/>
    <mergeCell ref="B18:J18"/>
    <mergeCell ref="B24:E24"/>
    <mergeCell ref="B19:E19"/>
    <mergeCell ref="B20:E20"/>
    <mergeCell ref="F22:J22"/>
    <mergeCell ref="B22:E22"/>
    <mergeCell ref="B2:J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J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FSGC-28 / 29: GRIEVANCE AWARENESS &amp; COMMUNICATION REGISTER</t>
        </is>
      </c>
    </row>
    <row r="3" ht="25" customHeight="1">
      <c r="B3" s="2" t="inlineStr">
        <is>
          <t>A.Y.: _______  FSGC Coordinator: ___________________  NAAC Ref.: Criterion VI.3</t>
        </is>
      </c>
    </row>
    <row r="4" ht="25" customHeight="1">
      <c r="B4" s="21" t="inlineStr">
        <is>
          <t>Sl.</t>
        </is>
      </c>
      <c r="C4" s="21" t="inlineStr">
        <is>
          <t>Programme Title</t>
        </is>
      </c>
      <c r="D4" s="21" t="inlineStr">
        <is>
          <t>Type / Theme</t>
        </is>
      </c>
      <c r="E4" s="21" t="inlineStr">
        <is>
          <t>Date</t>
        </is>
      </c>
      <c r="F4" s="21" t="inlineStr">
        <is>
          <t>Target Audience</t>
        </is>
      </c>
      <c r="G4" s="21" t="inlineStr">
        <is>
          <t>Mode</t>
        </is>
      </c>
      <c r="H4" s="21" t="inlineStr">
        <is>
          <t>Staff
Reached</t>
        </is>
      </c>
      <c r="I4" s="21" t="inlineStr">
        <is>
          <t>Resource
Person</t>
        </is>
      </c>
      <c r="J4" s="21" t="inlineStr">
        <is>
          <t>Feedback
Score (/5)</t>
        </is>
      </c>
    </row>
    <row r="5" ht="22" customHeight="1">
      <c r="B5" s="14" t="n">
        <v>1</v>
      </c>
      <c r="C5" s="15" t="inlineStr">
        <is>
          <t>New Staff Induction — Grievance Rights &amp; Procedure</t>
        </is>
      </c>
      <c r="D5" s="16" t="inlineStr">
        <is>
          <t>Rights Awareness</t>
        </is>
      </c>
      <c r="E5" s="16" t="inlineStr">
        <is>
          <t>June / July</t>
        </is>
      </c>
      <c r="F5" s="15" t="inlineStr">
        <is>
          <t>All New Faculty &amp; Staff</t>
        </is>
      </c>
      <c r="G5" s="16" t="inlineStr">
        <is>
          <t>Physical</t>
        </is>
      </c>
      <c r="H5" s="16" t="inlineStr"/>
      <c r="I5" s="15" t="inlineStr"/>
      <c r="J5" s="16" t="inlineStr"/>
    </row>
    <row r="6" ht="22" customHeight="1">
      <c r="B6" s="8" t="n">
        <v>2</v>
      </c>
      <c r="C6" s="9" t="inlineStr">
        <is>
          <t>FSGC Constitution &amp; Members — Annual Notification</t>
        </is>
      </c>
      <c r="D6" s="10" t="inlineStr">
        <is>
          <t>Institutional Communication</t>
        </is>
      </c>
      <c r="E6" s="10" t="inlineStr">
        <is>
          <t>August</t>
        </is>
      </c>
      <c r="F6" s="9" t="inlineStr">
        <is>
          <t>All Faculty &amp; Staff</t>
        </is>
      </c>
      <c r="G6" s="10" t="inlineStr">
        <is>
          <t>Physical</t>
        </is>
      </c>
      <c r="H6" s="10" t="inlineStr"/>
      <c r="I6" s="9" t="inlineStr"/>
      <c r="J6" s="10" t="inlineStr"/>
    </row>
    <row r="7" ht="22" customHeight="1">
      <c r="B7" s="14" t="n">
        <v>3</v>
      </c>
      <c r="C7" s="15" t="inlineStr">
        <is>
          <t>Grievance Form &amp; Portal — How to Submit</t>
        </is>
      </c>
      <c r="D7" s="16" t="inlineStr">
        <is>
          <t>Procedure Awareness</t>
        </is>
      </c>
      <c r="E7" s="16" t="inlineStr">
        <is>
          <t>August</t>
        </is>
      </c>
      <c r="F7" s="15" t="inlineStr">
        <is>
          <t>All Staff</t>
        </is>
      </c>
      <c r="G7" s="16" t="inlineStr">
        <is>
          <t>Physical</t>
        </is>
      </c>
      <c r="H7" s="16" t="inlineStr"/>
      <c r="I7" s="15" t="inlineStr"/>
      <c r="J7" s="16" t="inlineStr"/>
    </row>
    <row r="8" ht="22" customHeight="1">
      <c r="B8" s="8" t="n">
        <v>4</v>
      </c>
      <c r="C8" s="9" t="inlineStr">
        <is>
          <t>Know Your Rights — Service Conditions Workshop</t>
        </is>
      </c>
      <c r="D8" s="10" t="inlineStr">
        <is>
          <t>Service Rules</t>
        </is>
      </c>
      <c r="E8" s="10" t="inlineStr">
        <is>
          <t>September</t>
        </is>
      </c>
      <c r="F8" s="9" t="inlineStr">
        <is>
          <t>All Regular Faculty</t>
        </is>
      </c>
      <c r="G8" s="10" t="inlineStr">
        <is>
          <t>Physical</t>
        </is>
      </c>
      <c r="H8" s="10" t="inlineStr"/>
      <c r="I8" s="9" t="inlineStr"/>
      <c r="J8" s="10" t="inlineStr"/>
    </row>
    <row r="9" ht="22" customHeight="1">
      <c r="B9" s="14" t="n">
        <v>5</v>
      </c>
      <c r="C9" s="15" t="inlineStr">
        <is>
          <t>Workplace Dignity — Anti-Harassment Awareness</t>
        </is>
      </c>
      <c r="D9" s="16" t="inlineStr">
        <is>
          <t>Behaviour &amp; Ethics</t>
        </is>
      </c>
      <c r="E9" s="16" t="inlineStr">
        <is>
          <t>October</t>
        </is>
      </c>
      <c r="F9" s="15" t="inlineStr">
        <is>
          <t>All Faculty &amp; Staff</t>
        </is>
      </c>
      <c r="G9" s="16" t="inlineStr">
        <is>
          <t>Physical</t>
        </is>
      </c>
      <c r="H9" s="16" t="inlineStr"/>
      <c r="I9" s="15" t="inlineStr"/>
      <c r="J9" s="16" t="inlineStr"/>
    </row>
    <row r="10" ht="22" customHeight="1">
      <c r="B10" s="8" t="n">
        <v>6</v>
      </c>
      <c r="C10" s="9" t="inlineStr">
        <is>
          <t>SC/ST Staff Rights &amp; Protections Workshop</t>
        </is>
      </c>
      <c r="D10" s="10" t="inlineStr">
        <is>
          <t>Equity &amp; Inclusion</t>
        </is>
      </c>
      <c r="E10" s="10" t="inlineStr">
        <is>
          <t>November</t>
        </is>
      </c>
      <c r="F10" s="9" t="inlineStr">
        <is>
          <t>SC/ST Category Staff</t>
        </is>
      </c>
      <c r="G10" s="10" t="inlineStr">
        <is>
          <t>Physical</t>
        </is>
      </c>
      <c r="H10" s="10" t="inlineStr"/>
      <c r="I10" s="9" t="inlineStr"/>
      <c r="J10" s="10" t="inlineStr"/>
    </row>
    <row r="11" ht="22" customHeight="1">
      <c r="B11" s="14" t="n">
        <v>7</v>
      </c>
      <c r="C11" s="15" t="inlineStr">
        <is>
          <t>Women Staff Rights — POSH, Maternity, Safety</t>
        </is>
      </c>
      <c r="D11" s="16" t="inlineStr">
        <is>
          <t>Gender Sensitisation</t>
        </is>
      </c>
      <c r="E11" s="16" t="inlineStr">
        <is>
          <t>November</t>
        </is>
      </c>
      <c r="F11" s="15" t="inlineStr">
        <is>
          <t>All Women Staff</t>
        </is>
      </c>
      <c r="G11" s="16" t="inlineStr">
        <is>
          <t>Physical</t>
        </is>
      </c>
      <c r="H11" s="16" t="inlineStr"/>
      <c r="I11" s="15" t="inlineStr"/>
      <c r="J11" s="16" t="inlineStr"/>
    </row>
    <row r="12" ht="22" customHeight="1">
      <c r="B12" s="8" t="n">
        <v>8</v>
      </c>
      <c r="C12" s="9" t="inlineStr">
        <is>
          <t>Grievance Redressal — Case Study Discussion</t>
        </is>
      </c>
      <c r="D12" s="10" t="inlineStr">
        <is>
          <t>Experiential</t>
        </is>
      </c>
      <c r="E12" s="10" t="inlineStr">
        <is>
          <t>January</t>
        </is>
      </c>
      <c r="F12" s="9" t="inlineStr">
        <is>
          <t>All Faculty &amp; Staff</t>
        </is>
      </c>
      <c r="G12" s="10" t="inlineStr">
        <is>
          <t>Physical</t>
        </is>
      </c>
      <c r="H12" s="10" t="inlineStr"/>
      <c r="I12" s="9" t="inlineStr"/>
      <c r="J12" s="10" t="inlineStr"/>
    </row>
    <row r="13" ht="22" customHeight="1">
      <c r="B13" s="14" t="n">
        <v>9</v>
      </c>
      <c r="C13" s="15" t="inlineStr">
        <is>
          <t>FSGC Annual Report Sharing — Transparency</t>
        </is>
      </c>
      <c r="D13" s="16" t="inlineStr">
        <is>
          <t>Transparency</t>
        </is>
      </c>
      <c r="E13" s="16" t="inlineStr">
        <is>
          <t>March</t>
        </is>
      </c>
      <c r="F13" s="15" t="inlineStr">
        <is>
          <t>All Faculty &amp; Staff</t>
        </is>
      </c>
      <c r="G13" s="16" t="inlineStr">
        <is>
          <t>Physical</t>
        </is>
      </c>
      <c r="H13" s="16" t="inlineStr"/>
      <c r="I13" s="15" t="inlineStr"/>
      <c r="J13" s="16" t="inlineStr"/>
    </row>
    <row r="14" ht="22" customHeight="1">
      <c r="B14" s="8" t="n">
        <v>10</v>
      </c>
      <c r="C14" s="9" t="inlineStr">
        <is>
          <t>Mid-Year Check-In — Pending Issues Forum</t>
        </is>
      </c>
      <c r="D14" s="10" t="inlineStr">
        <is>
          <t>Dialogue</t>
        </is>
      </c>
      <c r="E14" s="10" t="inlineStr">
        <is>
          <t>February</t>
        </is>
      </c>
      <c r="F14" s="9" t="inlineStr">
        <is>
          <t>Elected Staff Reps</t>
        </is>
      </c>
      <c r="G14" s="10" t="inlineStr">
        <is>
          <t>Physical</t>
        </is>
      </c>
      <c r="H14" s="10" t="inlineStr"/>
      <c r="I14" s="9" t="inlineStr"/>
      <c r="J14" s="10" t="inlineStr"/>
    </row>
    <row r="15" ht="22" customHeight="1"/>
    <row r="16" ht="24" customHeight="1">
      <c r="B16" s="36" t="inlineStr">
        <is>
          <t>AWARENESS PROGRAMME IMPACT SUMMARY</t>
        </is>
      </c>
    </row>
    <row r="17" ht="22" customHeight="1">
      <c r="B17" s="73" t="inlineStr">
        <is>
          <t>Total Programmes Conducted</t>
        </is>
      </c>
      <c r="F17" s="38">
        <f>COUNTA(B5:B14)</f>
        <v/>
      </c>
    </row>
    <row r="18" ht="22" customHeight="1">
      <c r="B18" s="27" t="inlineStr">
        <is>
          <t>Total Staff Reached</t>
        </is>
      </c>
      <c r="F18" s="39">
        <f>IFERROR(SUM(H5:H14),"")</f>
        <v/>
      </c>
    </row>
    <row r="19" ht="22" customHeight="1">
      <c r="B19" s="73" t="inlineStr">
        <is>
          <t>Average Feedback Score (/5)</t>
        </is>
      </c>
      <c r="F19" s="38">
        <f>IFERROR(ROUND(AVERAGE(J5:J14),2),"")</f>
        <v/>
      </c>
    </row>
    <row r="20" ht="22" customHeight="1">
      <c r="B20" s="27" t="inlineStr">
        <is>
          <t>New Staff Awareness Sessions</t>
        </is>
      </c>
      <c r="F20" s="39" t="inlineStr"/>
    </row>
    <row r="21" ht="22" customHeight="1">
      <c r="B21" s="73" t="inlineStr">
        <is>
          <t>Helpline / Grievance Box Installed</t>
        </is>
      </c>
      <c r="F21" s="38" t="inlineStr">
        <is>
          <t>Y/N</t>
        </is>
      </c>
    </row>
    <row r="22" ht="22" customHeight="1">
      <c r="B22" s="27" t="inlineStr">
        <is>
          <t>FSGC Notice Board Updated Annually</t>
        </is>
      </c>
      <c r="F22" s="39" t="inlineStr">
        <is>
          <t>Y/N</t>
        </is>
      </c>
    </row>
    <row r="23" ht="22" customHeight="1"/>
    <row r="24" ht="22" customHeight="1"/>
    <row r="25" ht="22" customHeight="1"/>
    <row r="26" ht="22" customHeight="1"/>
    <row r="27" ht="22" customHeight="1"/>
  </sheetData>
  <mergeCells count="15">
    <mergeCell ref="F17:J17"/>
    <mergeCell ref="B17:E17"/>
    <mergeCell ref="B18:E18"/>
    <mergeCell ref="B3:J3"/>
    <mergeCell ref="F21:J21"/>
    <mergeCell ref="F20:J20"/>
    <mergeCell ref="B21:E21"/>
    <mergeCell ref="F19:J19"/>
    <mergeCell ref="F18:J18"/>
    <mergeCell ref="B19:E19"/>
    <mergeCell ref="B20:E20"/>
    <mergeCell ref="F22:J22"/>
    <mergeCell ref="B2:J2"/>
    <mergeCell ref="B22:E22"/>
    <mergeCell ref="B16:J1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I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FSGC-30: FACULTY / STAFF GRIEVANCE COMMITTEE KPI DASHBOARD</t>
        </is>
      </c>
    </row>
    <row r="3" ht="25" customHeight="1">
      <c r="B3" s="2" t="inlineStr">
        <is>
          <t>A.Y.: _______  Quarter: Q1/Q2/Q3/Q4  FSGC Member Secretary: ___________________  Date: _______</t>
        </is>
      </c>
    </row>
    <row r="4" ht="24" customHeight="1">
      <c r="B4" s="20" t="inlineStr">
        <is>
          <t>COMPLAINT HANDLING KPIs</t>
        </is>
      </c>
    </row>
    <row r="5" ht="22" customHeight="1">
      <c r="B5" s="21" t="inlineStr">
        <is>
          <t>Sl.</t>
        </is>
      </c>
      <c r="C5" s="21" t="inlineStr">
        <is>
          <t>Key Performance Indicator</t>
        </is>
      </c>
      <c r="D5" s="21" t="inlineStr">
        <is>
          <t>Unit</t>
        </is>
      </c>
      <c r="E5" s="21" t="inlineStr">
        <is>
          <t>Target</t>
        </is>
      </c>
      <c r="F5" s="21" t="inlineStr">
        <is>
          <t>Prev. Year
Actual</t>
        </is>
      </c>
      <c r="G5" s="21" t="inlineStr">
        <is>
          <t>Current Year
Actual</t>
        </is>
      </c>
      <c r="H5" s="21" t="inlineStr">
        <is>
          <t>Status</t>
        </is>
      </c>
      <c r="I5" s="21" t="inlineStr">
        <is>
          <t>Action Required</t>
        </is>
      </c>
    </row>
    <row r="6" ht="22" customHeight="1">
      <c r="B6" s="14" t="n">
        <v>1</v>
      </c>
      <c r="C6" s="15" t="inlineStr">
        <is>
          <t>Grievances acknowledged within 3 working days</t>
        </is>
      </c>
      <c r="D6" s="16" t="inlineStr">
        <is>
          <t>% acknowledged</t>
        </is>
      </c>
      <c r="E6" s="16" t="inlineStr">
        <is>
          <t>100%</t>
        </is>
      </c>
      <c r="F6" s="16" t="inlineStr"/>
      <c r="G6" s="16" t="inlineStr"/>
      <c r="H6" s="16" t="inlineStr">
        <is>
          <t>On Track</t>
        </is>
      </c>
      <c r="I6" s="15" t="inlineStr"/>
    </row>
    <row r="7" ht="22" customHeight="1">
      <c r="B7" s="8" t="n">
        <v>2</v>
      </c>
      <c r="C7" s="9" t="inlineStr">
        <is>
          <t>Grievances resolved within 30 working days</t>
        </is>
      </c>
      <c r="D7" s="10" t="inlineStr">
        <is>
          <t>% resolved</t>
        </is>
      </c>
      <c r="E7" s="10" t="inlineStr">
        <is>
          <t>≥90%</t>
        </is>
      </c>
      <c r="F7" s="10" t="inlineStr"/>
      <c r="G7" s="10" t="inlineStr"/>
      <c r="H7" s="10" t="inlineStr">
        <is>
          <t>On Track</t>
        </is>
      </c>
      <c r="I7" s="9" t="inlineStr"/>
    </row>
    <row r="8" ht="22" customHeight="1">
      <c r="B8" s="14" t="n">
        <v>3</v>
      </c>
      <c r="C8" s="15" t="inlineStr">
        <is>
          <t>Urgent grievances resolved within 7 days</t>
        </is>
      </c>
      <c r="D8" s="16" t="inlineStr">
        <is>
          <t>% resolved</t>
        </is>
      </c>
      <c r="E8" s="16" t="inlineStr">
        <is>
          <t>100%</t>
        </is>
      </c>
      <c r="F8" s="16" t="inlineStr"/>
      <c r="G8" s="16" t="inlineStr"/>
      <c r="H8" s="16" t="inlineStr">
        <is>
          <t>On Track</t>
        </is>
      </c>
      <c r="I8" s="15" t="inlineStr"/>
    </row>
    <row r="9" ht="22" customHeight="1">
      <c r="B9" s="8" t="n">
        <v>4</v>
      </c>
      <c r="C9" s="9" t="inlineStr">
        <is>
          <t>Show-cause notice issued before adverse recommendation</t>
        </is>
      </c>
      <c r="D9" s="10" t="inlineStr">
        <is>
          <t>% of cases</t>
        </is>
      </c>
      <c r="E9" s="10" t="inlineStr">
        <is>
          <t>100%</t>
        </is>
      </c>
      <c r="F9" s="10" t="inlineStr"/>
      <c r="G9" s="10" t="inlineStr"/>
      <c r="H9" s="10" t="inlineStr">
        <is>
          <t>On Track</t>
        </is>
      </c>
      <c r="I9" s="9" t="inlineStr"/>
    </row>
    <row r="10" ht="22" customHeight="1">
      <c r="B10" s="14" t="n">
        <v>5</v>
      </c>
      <c r="C10" s="15" t="inlineStr">
        <is>
          <t>Natural justice followed in all cases</t>
        </is>
      </c>
      <c r="D10" s="16" t="inlineStr">
        <is>
          <t>% compliant</t>
        </is>
      </c>
      <c r="E10" s="16" t="inlineStr">
        <is>
          <t>100%</t>
        </is>
      </c>
      <c r="F10" s="16" t="inlineStr"/>
      <c r="G10" s="16" t="inlineStr"/>
      <c r="H10" s="16" t="inlineStr">
        <is>
          <t>On Track</t>
        </is>
      </c>
      <c r="I10" s="15" t="inlineStr"/>
    </row>
    <row r="11" ht="22" customHeight="1">
      <c r="B11" s="8" t="n">
        <v>6</v>
      </c>
      <c r="C11" s="9" t="inlineStr">
        <is>
          <t>Both parties informed in writing of decision</t>
        </is>
      </c>
      <c r="D11" s="10" t="inlineStr">
        <is>
          <t>% communicated</t>
        </is>
      </c>
      <c r="E11" s="10" t="inlineStr">
        <is>
          <t>100%</t>
        </is>
      </c>
      <c r="F11" s="10" t="inlineStr"/>
      <c r="G11" s="10" t="inlineStr"/>
      <c r="H11" s="10" t="inlineStr">
        <is>
          <t>On Track</t>
        </is>
      </c>
      <c r="I11" s="9" t="inlineStr"/>
    </row>
    <row r="12" ht="22" customHeight="1"/>
    <row r="13" ht="24" customHeight="1">
      <c r="B13" s="36" t="inlineStr">
        <is>
          <t>RESOLUTION QUALITY KPIs</t>
        </is>
      </c>
    </row>
    <row r="14" ht="22" customHeight="1">
      <c r="B14" s="32" t="inlineStr">
        <is>
          <t>Sl.</t>
        </is>
      </c>
      <c r="C14" s="32" t="inlineStr">
        <is>
          <t>Key Performance Indicator</t>
        </is>
      </c>
      <c r="D14" s="32" t="inlineStr">
        <is>
          <t>Unit</t>
        </is>
      </c>
      <c r="E14" s="32" t="inlineStr">
        <is>
          <t>Target</t>
        </is>
      </c>
      <c r="F14" s="32" t="inlineStr">
        <is>
          <t>Prev. Year
Actual</t>
        </is>
      </c>
      <c r="G14" s="32" t="inlineStr">
        <is>
          <t>Current Year
Actual</t>
        </is>
      </c>
      <c r="H14" s="32" t="inlineStr">
        <is>
          <t>Status</t>
        </is>
      </c>
      <c r="I14" s="32" t="inlineStr">
        <is>
          <t>Action Required</t>
        </is>
      </c>
    </row>
    <row r="15" ht="22" customHeight="1">
      <c r="B15" s="33" t="n">
        <v>1</v>
      </c>
      <c r="C15" s="34" t="inlineStr">
        <is>
          <t>Grievance resolution rate (% of registered)</t>
        </is>
      </c>
      <c r="D15" s="35" t="inlineStr">
        <is>
          <t>% resolved</t>
        </is>
      </c>
      <c r="E15" s="35" t="inlineStr">
        <is>
          <t>≥90%</t>
        </is>
      </c>
      <c r="F15" s="35" t="inlineStr"/>
      <c r="G15" s="35" t="inlineStr"/>
      <c r="H15" s="35" t="inlineStr">
        <is>
          <t>On Track</t>
        </is>
      </c>
      <c r="I15" s="34" t="inlineStr"/>
    </row>
    <row r="16" ht="22" customHeight="1">
      <c r="B16" s="8" t="n">
        <v>2</v>
      </c>
      <c r="C16" s="9" t="inlineStr">
        <is>
          <t>Mediation success rate (% resolved via mediation)</t>
        </is>
      </c>
      <c r="D16" s="10" t="inlineStr">
        <is>
          <t>% settled</t>
        </is>
      </c>
      <c r="E16" s="10" t="inlineStr">
        <is>
          <t>≥50%</t>
        </is>
      </c>
      <c r="F16" s="10" t="inlineStr"/>
      <c r="G16" s="10" t="inlineStr"/>
      <c r="H16" s="10" t="inlineStr">
        <is>
          <t>On Track</t>
        </is>
      </c>
      <c r="I16" s="9" t="inlineStr"/>
    </row>
    <row r="17" ht="22" customHeight="1">
      <c r="B17" s="33" t="n">
        <v>3</v>
      </c>
      <c r="C17" s="34" t="inlineStr">
        <is>
          <t>Grievances upheld (% of decided)</t>
        </is>
      </c>
      <c r="D17" s="35" t="inlineStr">
        <is>
          <t>% upheld</t>
        </is>
      </c>
      <c r="E17" s="35" t="inlineStr">
        <is>
          <t>Tracked</t>
        </is>
      </c>
      <c r="F17" s="35" t="inlineStr"/>
      <c r="G17" s="35" t="inlineStr"/>
      <c r="H17" s="35" t="inlineStr">
        <is>
          <t>On Track</t>
        </is>
      </c>
      <c r="I17" s="34" t="inlineStr"/>
    </row>
    <row r="18" ht="22" customHeight="1">
      <c r="B18" s="8" t="n">
        <v>4</v>
      </c>
      <c r="C18" s="9" t="inlineStr">
        <is>
          <t>Appeal rate (% of decisions appealed)</t>
        </is>
      </c>
      <c r="D18" s="10" t="inlineStr">
        <is>
          <t>% appealed</t>
        </is>
      </c>
      <c r="E18" s="10" t="inlineStr">
        <is>
          <t>&lt; 15%</t>
        </is>
      </c>
      <c r="F18" s="10" t="inlineStr"/>
      <c r="G18" s="10" t="inlineStr"/>
      <c r="H18" s="10" t="inlineStr">
        <is>
          <t>On Track</t>
        </is>
      </c>
      <c r="I18" s="9" t="inlineStr"/>
    </row>
    <row r="19" ht="22" customHeight="1">
      <c r="B19" s="33" t="n">
        <v>5</v>
      </c>
      <c r="C19" s="34" t="inlineStr">
        <is>
          <t>Complainant satisfaction (post-resolution survey)</t>
        </is>
      </c>
      <c r="D19" s="35" t="inlineStr">
        <is>
          <t>Score /5</t>
        </is>
      </c>
      <c r="E19" s="35" t="inlineStr">
        <is>
          <t>≥3.5</t>
        </is>
      </c>
      <c r="F19" s="35" t="inlineStr"/>
      <c r="G19" s="35" t="inlineStr"/>
      <c r="H19" s="35" t="inlineStr">
        <is>
          <t>On Track</t>
        </is>
      </c>
      <c r="I19" s="34" t="inlineStr"/>
    </row>
    <row r="20" ht="22" customHeight="1">
      <c r="B20" s="8" t="n">
        <v>6</v>
      </c>
      <c r="C20" s="9" t="inlineStr">
        <is>
          <t>Recurrence rate (same issue within 1 year)</t>
        </is>
      </c>
      <c r="D20" s="10" t="inlineStr">
        <is>
          <t>% recurrence</t>
        </is>
      </c>
      <c r="E20" s="10" t="inlineStr">
        <is>
          <t>0 target</t>
        </is>
      </c>
      <c r="F20" s="10" t="inlineStr"/>
      <c r="G20" s="10" t="inlineStr"/>
      <c r="H20" s="10" t="inlineStr">
        <is>
          <t>On Track</t>
        </is>
      </c>
      <c r="I20" s="9" t="inlineStr"/>
    </row>
    <row r="21" ht="22" customHeight="1"/>
    <row r="22" ht="24" customHeight="1">
      <c r="B22" s="49" t="inlineStr">
        <is>
          <t>SYSTEMIC &amp; PREVENTION KPIs</t>
        </is>
      </c>
    </row>
    <row r="23" ht="22" customHeight="1">
      <c r="B23" s="50" t="inlineStr">
        <is>
          <t>Sl.</t>
        </is>
      </c>
      <c r="C23" s="50" t="inlineStr">
        <is>
          <t>Key Performance Indicator</t>
        </is>
      </c>
      <c r="D23" s="50" t="inlineStr">
        <is>
          <t>Unit</t>
        </is>
      </c>
      <c r="E23" s="50" t="inlineStr">
        <is>
          <t>Target</t>
        </is>
      </c>
      <c r="F23" s="50" t="inlineStr">
        <is>
          <t>Prev. Year
Actual</t>
        </is>
      </c>
      <c r="G23" s="50" t="inlineStr">
        <is>
          <t>Current Year
Actual</t>
        </is>
      </c>
      <c r="H23" s="50" t="inlineStr">
        <is>
          <t>Status</t>
        </is>
      </c>
      <c r="I23" s="50" t="inlineStr">
        <is>
          <t>Action Required</t>
        </is>
      </c>
    </row>
    <row r="24" ht="22" customHeight="1">
      <c r="B24" s="81" t="n">
        <v>1</v>
      </c>
      <c r="C24" s="82" t="inlineStr">
        <is>
          <t>Systemic issues escalated to management</t>
        </is>
      </c>
      <c r="D24" s="83" t="inlineStr">
        <is>
          <t>No. per year</t>
        </is>
      </c>
      <c r="E24" s="83" t="inlineStr">
        <is>
          <t>All identified</t>
        </is>
      </c>
      <c r="F24" s="83" t="inlineStr"/>
      <c r="G24" s="83" t="inlineStr"/>
      <c r="H24" s="83" t="inlineStr">
        <is>
          <t>On Track</t>
        </is>
      </c>
      <c r="I24" s="82" t="inlineStr"/>
    </row>
    <row r="25" ht="22" customHeight="1">
      <c r="B25" s="8" t="n">
        <v>2</v>
      </c>
      <c r="C25" s="9" t="inlineStr">
        <is>
          <t>Systemic issues with management response</t>
        </is>
      </c>
      <c r="D25" s="10" t="inlineStr">
        <is>
          <t>% responded</t>
        </is>
      </c>
      <c r="E25" s="10" t="inlineStr">
        <is>
          <t>100%</t>
        </is>
      </c>
      <c r="F25" s="10" t="inlineStr"/>
      <c r="G25" s="10" t="inlineStr"/>
      <c r="H25" s="10" t="inlineStr">
        <is>
          <t>On Track</t>
        </is>
      </c>
      <c r="I25" s="9" t="inlineStr"/>
    </row>
    <row r="26" ht="22" customHeight="1">
      <c r="B26" s="81" t="n">
        <v>3</v>
      </c>
      <c r="C26" s="82" t="inlineStr">
        <is>
          <t>Awareness sessions conducted</t>
        </is>
      </c>
      <c r="D26" s="83" t="inlineStr">
        <is>
          <t>No. per year</t>
        </is>
      </c>
      <c r="E26" s="83" t="inlineStr">
        <is>
          <t>≥8</t>
        </is>
      </c>
      <c r="F26" s="83" t="inlineStr"/>
      <c r="G26" s="83" t="inlineStr"/>
      <c r="H26" s="83" t="inlineStr">
        <is>
          <t>On Track</t>
        </is>
      </c>
      <c r="I26" s="82" t="inlineStr"/>
    </row>
    <row r="27" ht="22" customHeight="1">
      <c r="B27" s="8" t="n">
        <v>4</v>
      </c>
      <c r="C27" s="9" t="inlineStr">
        <is>
          <t>Staff covered through awareness (% of total)</t>
        </is>
      </c>
      <c r="D27" s="10" t="inlineStr">
        <is>
          <t>% covered</t>
        </is>
      </c>
      <c r="E27" s="10" t="inlineStr">
        <is>
          <t>100%</t>
        </is>
      </c>
      <c r="F27" s="10" t="inlineStr"/>
      <c r="G27" s="10" t="inlineStr"/>
      <c r="H27" s="10" t="inlineStr">
        <is>
          <t>On Track</t>
        </is>
      </c>
      <c r="I27" s="9" t="inlineStr"/>
    </row>
    <row r="28" ht="22" customHeight="1">
      <c r="B28" s="81" t="n">
        <v>5</v>
      </c>
      <c r="C28" s="82" t="inlineStr">
        <is>
          <t>FSGC meetings held per quarter</t>
        </is>
      </c>
      <c r="D28" s="83" t="inlineStr">
        <is>
          <t>No.</t>
        </is>
      </c>
      <c r="E28" s="83" t="inlineStr">
        <is>
          <t>≥1 per quarter</t>
        </is>
      </c>
      <c r="F28" s="83" t="inlineStr"/>
      <c r="G28" s="83" t="inlineStr"/>
      <c r="H28" s="83" t="inlineStr">
        <is>
          <t>On Track</t>
        </is>
      </c>
      <c r="I28" s="82" t="inlineStr"/>
    </row>
    <row r="29" ht="22" customHeight="1">
      <c r="B29" s="8" t="n">
        <v>6</v>
      </c>
      <c r="C29" s="9" t="inlineStr">
        <is>
          <t>Grievance mechanism publicly communicated</t>
        </is>
      </c>
      <c r="D29" s="10" t="inlineStr">
        <is>
          <t>Y/N</t>
        </is>
      </c>
      <c r="E29" s="10" t="inlineStr">
        <is>
          <t>Yes annually</t>
        </is>
      </c>
      <c r="F29" s="10" t="inlineStr"/>
      <c r="G29" s="10" t="inlineStr"/>
      <c r="H29" s="10" t="inlineStr">
        <is>
          <t>On Track</t>
        </is>
      </c>
      <c r="I29" s="9" t="inlineStr"/>
    </row>
    <row r="30" ht="22" customHeight="1"/>
    <row r="31" ht="24" customHeight="1">
      <c r="B31" s="54" t="inlineStr">
        <is>
          <t>COMPLIANCE &amp; ACCREDITATION KPIs</t>
        </is>
      </c>
    </row>
    <row r="32" ht="22" customHeight="1">
      <c r="B32" s="55" t="inlineStr">
        <is>
          <t>Sl.</t>
        </is>
      </c>
      <c r="C32" s="55" t="inlineStr">
        <is>
          <t>Key Performance Indicator</t>
        </is>
      </c>
      <c r="D32" s="55" t="inlineStr">
        <is>
          <t>Unit</t>
        </is>
      </c>
      <c r="E32" s="55" t="inlineStr">
        <is>
          <t>Target</t>
        </is>
      </c>
      <c r="F32" s="55" t="inlineStr">
        <is>
          <t>Prev. Year
Actual</t>
        </is>
      </c>
      <c r="G32" s="55" t="inlineStr">
        <is>
          <t>Current Year
Actual</t>
        </is>
      </c>
      <c r="H32" s="55" t="inlineStr">
        <is>
          <t>Status</t>
        </is>
      </c>
      <c r="I32" s="55" t="inlineStr">
        <is>
          <t>Action Required</t>
        </is>
      </c>
    </row>
    <row r="33" ht="22" customHeight="1">
      <c r="B33" s="84" t="n">
        <v>1</v>
      </c>
      <c r="C33" s="85" t="inlineStr">
        <is>
          <t>FSGC composition as per UGC / institutional norms</t>
        </is>
      </c>
      <c r="D33" s="24" t="inlineStr">
        <is>
          <t>Y/N</t>
        </is>
      </c>
      <c r="E33" s="24" t="inlineStr">
        <is>
          <t>Yes — with elected reps</t>
        </is>
      </c>
      <c r="F33" s="24" t="inlineStr"/>
      <c r="G33" s="24" t="inlineStr"/>
      <c r="H33" s="24" t="inlineStr">
        <is>
          <t>On Track</t>
        </is>
      </c>
      <c r="I33" s="85" t="inlineStr"/>
    </row>
    <row r="34" ht="22" customHeight="1">
      <c r="B34" s="8" t="n">
        <v>2</v>
      </c>
      <c r="C34" s="9" t="inlineStr">
        <is>
          <t>FSGC records archived per norms (5 years)</t>
        </is>
      </c>
      <c r="D34" s="10" t="inlineStr">
        <is>
          <t>Y/N</t>
        </is>
      </c>
      <c r="E34" s="10" t="inlineStr">
        <is>
          <t>Yes</t>
        </is>
      </c>
      <c r="F34" s="10" t="inlineStr"/>
      <c r="G34" s="10" t="inlineStr"/>
      <c r="H34" s="10" t="inlineStr">
        <is>
          <t>On Track</t>
        </is>
      </c>
      <c r="I34" s="9" t="inlineStr"/>
    </row>
    <row r="35" ht="22" customHeight="1">
      <c r="B35" s="84" t="n">
        <v>3</v>
      </c>
      <c r="C35" s="85" t="inlineStr">
        <is>
          <t>NAAC data compiled — Criterion VI.3</t>
        </is>
      </c>
      <c r="D35" s="24" t="inlineStr">
        <is>
          <t>Y/N</t>
        </is>
      </c>
      <c r="E35" s="24" t="inlineStr">
        <is>
          <t>Yes by Jul 31</t>
        </is>
      </c>
      <c r="F35" s="24" t="inlineStr"/>
      <c r="G35" s="24" t="inlineStr"/>
      <c r="H35" s="24" t="inlineStr">
        <is>
          <t>On Track</t>
        </is>
      </c>
      <c r="I35" s="85" t="inlineStr"/>
    </row>
    <row r="36" ht="22" customHeight="1">
      <c r="B36" s="8" t="n">
        <v>4</v>
      </c>
      <c r="C36" s="9" t="inlineStr">
        <is>
          <t>NIRF staff welfare data submitted</t>
        </is>
      </c>
      <c r="D36" s="10" t="inlineStr">
        <is>
          <t>Y/N</t>
        </is>
      </c>
      <c r="E36" s="10" t="inlineStr">
        <is>
          <t>Yes annually</t>
        </is>
      </c>
      <c r="F36" s="10" t="inlineStr"/>
      <c r="G36" s="10" t="inlineStr"/>
      <c r="H36" s="10" t="inlineStr">
        <is>
          <t>On Track</t>
        </is>
      </c>
      <c r="I36" s="9" t="inlineStr"/>
    </row>
    <row r="37" ht="22" customHeight="1">
      <c r="B37" s="84" t="n">
        <v>5</v>
      </c>
      <c r="C37" s="85" t="inlineStr">
        <is>
          <t>Gender balance in FSGC composition</t>
        </is>
      </c>
      <c r="D37" s="24" t="inlineStr">
        <is>
          <t>Y/N</t>
        </is>
      </c>
      <c r="E37" s="24" t="inlineStr">
        <is>
          <t>Yes</t>
        </is>
      </c>
      <c r="F37" s="24" t="inlineStr"/>
      <c r="G37" s="24" t="inlineStr"/>
      <c r="H37" s="24" t="inlineStr">
        <is>
          <t>On Track</t>
        </is>
      </c>
      <c r="I37" s="85" t="inlineStr"/>
    </row>
    <row r="38" ht="22" customHeight="1">
      <c r="B38" s="8" t="n">
        <v>6</v>
      </c>
      <c r="C38" s="9" t="inlineStr">
        <is>
          <t>Legal Advisor available for complex cases</t>
        </is>
      </c>
      <c r="D38" s="10" t="inlineStr">
        <is>
          <t>Y/N</t>
        </is>
      </c>
      <c r="E38" s="10" t="inlineStr">
        <is>
          <t>Yes</t>
        </is>
      </c>
      <c r="F38" s="10" t="inlineStr"/>
      <c r="G38" s="10" t="inlineStr"/>
      <c r="H38" s="10" t="inlineStr">
        <is>
          <t>On Track</t>
        </is>
      </c>
      <c r="I38" s="9" t="inlineStr"/>
    </row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</sheetData>
  <mergeCells count="6">
    <mergeCell ref="B13:I13"/>
    <mergeCell ref="B2:I2"/>
    <mergeCell ref="B3:I3"/>
    <mergeCell ref="B22:I22"/>
    <mergeCell ref="B31:I31"/>
    <mergeCell ref="B4:I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H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2" t="inlineStr">
        <is>
          <t>FSGC-31: FACULTY / STAFF GRIEVANCE COMMITTEE ANNUAL REPORT</t>
        </is>
      </c>
    </row>
    <row r="3" ht="18" customHeight="1">
      <c r="B3" s="18" t="inlineStr">
        <is>
          <t>CONFIDENTIAL — Annual Report contains AGGREGATE data only. Individual case identities must NOT appear in any public version of this report.</t>
        </is>
      </c>
    </row>
    <row r="4" ht="25" customHeight="1">
      <c r="B4" s="2" t="inlineStr">
        <is>
          <t>A.Y.: _______  Member Secretary: ___________________  Submitted to: Principal / Governing Body / IQAC  Date: _______</t>
        </is>
      </c>
    </row>
    <row r="5" ht="24" customHeight="1">
      <c r="B5" s="20" t="inlineStr">
        <is>
          <t>SECTION 1 — GRIEVANCE RECEIPT &amp; REGISTRATION</t>
        </is>
      </c>
    </row>
    <row r="6" ht="22" customHeight="1">
      <c r="B6" s="21" t="inlineStr">
        <is>
          <t>Sl.</t>
        </is>
      </c>
      <c r="C6" s="21" t="inlineStr">
        <is>
          <t>Performance Metric</t>
        </is>
      </c>
      <c r="D6" s="21" t="inlineStr">
        <is>
          <t>Unit</t>
        </is>
      </c>
      <c r="E6" s="21" t="inlineStr">
        <is>
          <t>Current A.Y.</t>
        </is>
      </c>
      <c r="F6" s="21" t="inlineStr">
        <is>
          <t>Previous A.Y.</t>
        </is>
      </c>
      <c r="G6" s="21" t="inlineStr">
        <is>
          <t>Change</t>
        </is>
      </c>
      <c r="H6" s="21" t="inlineStr">
        <is>
          <t>Remarks</t>
        </is>
      </c>
    </row>
    <row r="7" ht="22" customHeight="1">
      <c r="B7" s="14" t="n">
        <v>1</v>
      </c>
      <c r="C7" s="15" t="inlineStr">
        <is>
          <t>Total grievances received</t>
        </is>
      </c>
      <c r="D7" s="16" t="inlineStr">
        <is>
          <t>No.</t>
        </is>
      </c>
      <c r="E7" s="16" t="inlineStr"/>
      <c r="F7" s="16" t="inlineStr"/>
      <c r="G7" s="16">
        <f>IFERROR(ROUND((E7-F7)/IF(F7=0,1,F7)*100,1),"")</f>
        <v/>
      </c>
      <c r="H7" s="15" t="inlineStr"/>
    </row>
    <row r="8" ht="22" customHeight="1">
      <c r="B8" s="8" t="n">
        <v>2</v>
      </c>
      <c r="C8" s="9" t="inlineStr">
        <is>
          <t>Teaching faculty grievances</t>
        </is>
      </c>
      <c r="D8" s="10" t="inlineStr">
        <is>
          <t>No.</t>
        </is>
      </c>
      <c r="E8" s="10" t="inlineStr"/>
      <c r="F8" s="10" t="inlineStr"/>
      <c r="G8" s="10">
        <f>IFERROR(ROUND((E8-F8)/IF(F8=0,1,F8)*100,1),"")</f>
        <v/>
      </c>
      <c r="H8" s="9" t="inlineStr"/>
    </row>
    <row r="9" ht="22" customHeight="1">
      <c r="B9" s="14" t="n">
        <v>3</v>
      </c>
      <c r="C9" s="15" t="inlineStr">
        <is>
          <t>Non-teaching staff grievances</t>
        </is>
      </c>
      <c r="D9" s="16" t="inlineStr">
        <is>
          <t>No.</t>
        </is>
      </c>
      <c r="E9" s="16" t="inlineStr"/>
      <c r="F9" s="16" t="inlineStr"/>
      <c r="G9" s="16">
        <f>IFERROR(ROUND((E9-F9)/IF(F9=0,1,F9)*100,1),"")</f>
        <v/>
      </c>
      <c r="H9" s="15" t="inlineStr"/>
    </row>
    <row r="10" ht="22" customHeight="1">
      <c r="B10" s="8" t="n">
        <v>4</v>
      </c>
      <c r="C10" s="9" t="inlineStr">
        <is>
          <t>Anonymous / confidential grievances</t>
        </is>
      </c>
      <c r="D10" s="10" t="inlineStr">
        <is>
          <t>No.</t>
        </is>
      </c>
      <c r="E10" s="10" t="inlineStr"/>
      <c r="F10" s="10" t="inlineStr"/>
      <c r="G10" s="10">
        <f>IFERROR(ROUND((E10-F10)/IF(F10=0,1,F10)*100,1),"")</f>
        <v/>
      </c>
      <c r="H10" s="9" t="inlineStr"/>
    </row>
    <row r="11" ht="22" customHeight="1">
      <c r="B11" s="14" t="n">
        <v>5</v>
      </c>
      <c r="C11" s="15" t="inlineStr">
        <is>
          <t>Category A — Service Conditions</t>
        </is>
      </c>
      <c r="D11" s="16" t="inlineStr">
        <is>
          <t>No.</t>
        </is>
      </c>
      <c r="E11" s="16" t="inlineStr"/>
      <c r="F11" s="16" t="inlineStr"/>
      <c r="G11" s="16">
        <f>IFERROR(ROUND((E11-F11)/IF(F11=0,1,F11)*100,1),"")</f>
        <v/>
      </c>
      <c r="H11" s="15" t="inlineStr"/>
    </row>
    <row r="12" ht="22" customHeight="1">
      <c r="B12" s="8" t="n">
        <v>6</v>
      </c>
      <c r="C12" s="9" t="inlineStr">
        <is>
          <t>Category B — Workload</t>
        </is>
      </c>
      <c r="D12" s="10" t="inlineStr">
        <is>
          <t>No.</t>
        </is>
      </c>
      <c r="E12" s="10" t="inlineStr"/>
      <c r="F12" s="10" t="inlineStr"/>
      <c r="G12" s="10">
        <f>IFERROR(ROUND((E12-F12)/IF(F12=0,1,F12)*100,1),"")</f>
        <v/>
      </c>
      <c r="H12" s="9" t="inlineStr"/>
    </row>
    <row r="13" ht="22" customHeight="1">
      <c r="B13" s="14" t="n">
        <v>7</v>
      </c>
      <c r="C13" s="15" t="inlineStr">
        <is>
          <t>Category C — Workplace Environment</t>
        </is>
      </c>
      <c r="D13" s="16" t="inlineStr">
        <is>
          <t>No.</t>
        </is>
      </c>
      <c r="E13" s="16" t="inlineStr"/>
      <c r="F13" s="16" t="inlineStr"/>
      <c r="G13" s="16">
        <f>IFERROR(ROUND((E13-F13)/IF(F13=0,1,F13)*100,1),"")</f>
        <v/>
      </c>
      <c r="H13" s="15" t="inlineStr"/>
    </row>
    <row r="14" ht="22" customHeight="1">
      <c r="B14" s="8" t="n">
        <v>8</v>
      </c>
      <c r="C14" s="9" t="inlineStr">
        <is>
          <t>Category D — Discrimination</t>
        </is>
      </c>
      <c r="D14" s="10" t="inlineStr">
        <is>
          <t>No.</t>
        </is>
      </c>
      <c r="E14" s="10" t="inlineStr"/>
      <c r="F14" s="10" t="inlineStr"/>
      <c r="G14" s="10">
        <f>IFERROR(ROUND((E14-F14)/IF(F14=0,1,F14)*100,1),"")</f>
        <v/>
      </c>
      <c r="H14" s="9" t="inlineStr"/>
    </row>
    <row r="15" ht="22" customHeight="1"/>
    <row r="16" ht="24" customHeight="1">
      <c r="B16" s="36" t="inlineStr">
        <is>
          <t>SECTION 2 — RESOLUTION METRICS</t>
        </is>
      </c>
    </row>
    <row r="17" ht="22" customHeight="1">
      <c r="B17" s="32" t="inlineStr">
        <is>
          <t>Sl.</t>
        </is>
      </c>
      <c r="C17" s="32" t="inlineStr">
        <is>
          <t>Performance Metric</t>
        </is>
      </c>
      <c r="D17" s="32" t="inlineStr">
        <is>
          <t>Unit</t>
        </is>
      </c>
      <c r="E17" s="32" t="inlineStr">
        <is>
          <t>Current A.Y.</t>
        </is>
      </c>
      <c r="F17" s="32" t="inlineStr">
        <is>
          <t>Previous A.Y.</t>
        </is>
      </c>
      <c r="G17" s="32" t="inlineStr">
        <is>
          <t>Change</t>
        </is>
      </c>
      <c r="H17" s="32" t="inlineStr">
        <is>
          <t>Remarks</t>
        </is>
      </c>
    </row>
    <row r="18" ht="22" customHeight="1">
      <c r="B18" s="33" t="n">
        <v>1</v>
      </c>
      <c r="C18" s="34" t="inlineStr">
        <is>
          <t>Grievances resolved within 30 days (%)</t>
        </is>
      </c>
      <c r="D18" s="35" t="inlineStr">
        <is>
          <t>% on time</t>
        </is>
      </c>
      <c r="E18" s="35" t="inlineStr"/>
      <c r="F18" s="35" t="inlineStr"/>
      <c r="G18" s="35">
        <f>IFERROR(ROUND((E18-F18)/IF(F18=0,1,F18)*100,1),"")</f>
        <v/>
      </c>
      <c r="H18" s="34" t="inlineStr"/>
    </row>
    <row r="19" ht="22" customHeight="1">
      <c r="B19" s="8" t="n">
        <v>2</v>
      </c>
      <c r="C19" s="9" t="inlineStr">
        <is>
          <t>Total mediation sessions</t>
        </is>
      </c>
      <c r="D19" s="10" t="inlineStr">
        <is>
          <t>No.</t>
        </is>
      </c>
      <c r="E19" s="10" t="inlineStr"/>
      <c r="F19" s="10" t="inlineStr"/>
      <c r="G19" s="10">
        <f>IFERROR(ROUND((E19-F19)/IF(F19=0,1,F19)*100,1),"")</f>
        <v/>
      </c>
      <c r="H19" s="9" t="inlineStr"/>
    </row>
    <row r="20" ht="22" customHeight="1">
      <c r="B20" s="33" t="n">
        <v>3</v>
      </c>
      <c r="C20" s="34" t="inlineStr">
        <is>
          <t>Mediation success rate (%)</t>
        </is>
      </c>
      <c r="D20" s="35" t="inlineStr">
        <is>
          <t>% settled</t>
        </is>
      </c>
      <c r="E20" s="35" t="inlineStr"/>
      <c r="F20" s="35" t="inlineStr"/>
      <c r="G20" s="35">
        <f>IFERROR(ROUND((E20-F20)/IF(F20=0,1,F20)*100,1),"")</f>
        <v/>
      </c>
      <c r="H20" s="34" t="inlineStr"/>
    </row>
    <row r="21" ht="22" customHeight="1">
      <c r="B21" s="8" t="n">
        <v>4</v>
      </c>
      <c r="C21" s="9" t="inlineStr">
        <is>
          <t>Average resolution time (working days)</t>
        </is>
      </c>
      <c r="D21" s="10" t="inlineStr">
        <is>
          <t>Days</t>
        </is>
      </c>
      <c r="E21" s="10" t="inlineStr"/>
      <c r="F21" s="10" t="inlineStr"/>
      <c r="G21" s="10">
        <f>IFERROR(ROUND((E21-F21)/IF(F21=0,1,F21)*100,1),"")</f>
        <v/>
      </c>
      <c r="H21" s="9" t="inlineStr"/>
    </row>
    <row r="22" ht="22" customHeight="1">
      <c r="B22" s="33" t="n">
        <v>5</v>
      </c>
      <c r="C22" s="34" t="inlineStr">
        <is>
          <t>SCNs issued</t>
        </is>
      </c>
      <c r="D22" s="35" t="inlineStr">
        <is>
          <t>No.</t>
        </is>
      </c>
      <c r="E22" s="35" t="inlineStr"/>
      <c r="F22" s="35" t="inlineStr"/>
      <c r="G22" s="35">
        <f>IFERROR(ROUND((E22-F22)/IF(F22=0,1,F22)*100,1),"")</f>
        <v/>
      </c>
      <c r="H22" s="34" t="inlineStr"/>
    </row>
    <row r="23" ht="22" customHeight="1">
      <c r="B23" s="8" t="n">
        <v>6</v>
      </c>
      <c r="C23" s="9" t="inlineStr">
        <is>
          <t>Appeals filed</t>
        </is>
      </c>
      <c r="D23" s="10" t="inlineStr">
        <is>
          <t>No.</t>
        </is>
      </c>
      <c r="E23" s="10" t="inlineStr"/>
      <c r="F23" s="10" t="inlineStr"/>
      <c r="G23" s="10">
        <f>IFERROR(ROUND((E23-F23)/IF(F23=0,1,F23)*100,1),"")</f>
        <v/>
      </c>
      <c r="H23" s="9" t="inlineStr"/>
    </row>
    <row r="24" ht="22" customHeight="1">
      <c r="B24" s="33" t="n">
        <v>7</v>
      </c>
      <c r="C24" s="34" t="inlineStr">
        <is>
          <t>Appeals resolved</t>
        </is>
      </c>
      <c r="D24" s="35" t="inlineStr">
        <is>
          <t>No.</t>
        </is>
      </c>
      <c r="E24" s="35" t="inlineStr"/>
      <c r="F24" s="35" t="inlineStr"/>
      <c r="G24" s="35">
        <f>IFERROR(ROUND((E24-F24)/IF(F24=0,1,F24)*100,1),"")</f>
        <v/>
      </c>
      <c r="H24" s="34" t="inlineStr"/>
    </row>
    <row r="25" ht="22" customHeight="1">
      <c r="B25" s="8" t="n">
        <v>8</v>
      </c>
      <c r="C25" s="9" t="inlineStr">
        <is>
          <t>Grievances pending (end of year)</t>
        </is>
      </c>
      <c r="D25" s="10" t="inlineStr">
        <is>
          <t>No.</t>
        </is>
      </c>
      <c r="E25" s="10" t="inlineStr"/>
      <c r="F25" s="10" t="inlineStr"/>
      <c r="G25" s="10">
        <f>IFERROR(ROUND((E25-F25)/IF(F25=0,1,F25)*100,1),"")</f>
        <v/>
      </c>
      <c r="H25" s="9" t="inlineStr"/>
    </row>
    <row r="26" ht="22" customHeight="1"/>
    <row r="27" ht="24" customHeight="1">
      <c r="B27" s="49" t="inlineStr">
        <is>
          <t>SECTION 3 — OUTCOMES &amp; FINDINGS</t>
        </is>
      </c>
    </row>
    <row r="28" ht="22" customHeight="1">
      <c r="B28" s="50" t="inlineStr">
        <is>
          <t>Sl.</t>
        </is>
      </c>
      <c r="C28" s="50" t="inlineStr">
        <is>
          <t>Performance Metric</t>
        </is>
      </c>
      <c r="D28" s="50" t="inlineStr">
        <is>
          <t>Unit</t>
        </is>
      </c>
      <c r="E28" s="50" t="inlineStr">
        <is>
          <t>Current A.Y.</t>
        </is>
      </c>
      <c r="F28" s="50" t="inlineStr">
        <is>
          <t>Previous A.Y.</t>
        </is>
      </c>
      <c r="G28" s="50" t="inlineStr">
        <is>
          <t>Change</t>
        </is>
      </c>
      <c r="H28" s="50" t="inlineStr">
        <is>
          <t>Remarks</t>
        </is>
      </c>
    </row>
    <row r="29" ht="22" customHeight="1">
      <c r="B29" s="81" t="n">
        <v>1</v>
      </c>
      <c r="C29" s="82" t="inlineStr">
        <is>
          <t>Grievances upheld</t>
        </is>
      </c>
      <c r="D29" s="83" t="inlineStr">
        <is>
          <t>No. / %</t>
        </is>
      </c>
      <c r="E29" s="83" t="inlineStr"/>
      <c r="F29" s="83" t="inlineStr"/>
      <c r="G29" s="83">
        <f>IFERROR(ROUND((E29-F29)/IF(F29=0,1,F29)*100,1),"")</f>
        <v/>
      </c>
      <c r="H29" s="82" t="inlineStr"/>
    </row>
    <row r="30" ht="22" customHeight="1">
      <c r="B30" s="8" t="n">
        <v>2</v>
      </c>
      <c r="C30" s="9" t="inlineStr">
        <is>
          <t>Grievances not upheld</t>
        </is>
      </c>
      <c r="D30" s="10" t="inlineStr">
        <is>
          <t>No. / %</t>
        </is>
      </c>
      <c r="E30" s="10" t="inlineStr"/>
      <c r="F30" s="10" t="inlineStr"/>
      <c r="G30" s="10">
        <f>IFERROR(ROUND((E30-F30)/IF(F30=0,1,F30)*100,1),"")</f>
        <v/>
      </c>
      <c r="H30" s="9" t="inlineStr"/>
    </row>
    <row r="31" ht="22" customHeight="1">
      <c r="B31" s="81" t="n">
        <v>3</v>
      </c>
      <c r="C31" s="82" t="inlineStr">
        <is>
          <t>Settled via mediation</t>
        </is>
      </c>
      <c r="D31" s="83" t="inlineStr">
        <is>
          <t>No.</t>
        </is>
      </c>
      <c r="E31" s="83" t="inlineStr"/>
      <c r="F31" s="83" t="inlineStr"/>
      <c r="G31" s="83">
        <f>IFERROR(ROUND((E31-F31)/IF(F31=0,1,F31)*100,1),"")</f>
        <v/>
      </c>
      <c r="H31" s="82" t="inlineStr"/>
    </row>
    <row r="32" ht="22" customHeight="1">
      <c r="B32" s="8" t="n">
        <v>4</v>
      </c>
      <c r="C32" s="9" t="inlineStr">
        <is>
          <t>Referred to external authority</t>
        </is>
      </c>
      <c r="D32" s="10" t="inlineStr">
        <is>
          <t>No.</t>
        </is>
      </c>
      <c r="E32" s="10" t="inlineStr"/>
      <c r="F32" s="10" t="inlineStr"/>
      <c r="G32" s="10">
        <f>IFERROR(ROUND((E32-F32)/IF(F32=0,1,F32)*100,1),"")</f>
        <v/>
      </c>
      <c r="H32" s="9" t="inlineStr"/>
    </row>
    <row r="33" ht="22" customHeight="1">
      <c r="B33" s="81" t="n">
        <v>5</v>
      </c>
      <c r="C33" s="82" t="inlineStr">
        <is>
          <t>Systemic issues escalated to management</t>
        </is>
      </c>
      <c r="D33" s="83" t="inlineStr">
        <is>
          <t>No.</t>
        </is>
      </c>
      <c r="E33" s="83" t="inlineStr"/>
      <c r="F33" s="83" t="inlineStr"/>
      <c r="G33" s="83">
        <f>IFERROR(ROUND((E33-F33)/IF(F33=0,1,F33)*100,1),"")</f>
        <v/>
      </c>
      <c r="H33" s="82" t="inlineStr"/>
    </row>
    <row r="34" ht="22" customHeight="1">
      <c r="B34" s="8" t="n">
        <v>6</v>
      </c>
      <c r="C34" s="9" t="inlineStr">
        <is>
          <t>Policy changes recommended by FSGC</t>
        </is>
      </c>
      <c r="D34" s="10" t="inlineStr">
        <is>
          <t>No.</t>
        </is>
      </c>
      <c r="E34" s="10" t="inlineStr"/>
      <c r="F34" s="10" t="inlineStr"/>
      <c r="G34" s="10">
        <f>IFERROR(ROUND((E34-F34)/IF(F34=0,1,F34)*100,1),"")</f>
        <v/>
      </c>
      <c r="H34" s="9" t="inlineStr"/>
    </row>
    <row r="35" ht="22" customHeight="1"/>
    <row r="36" ht="24" customHeight="1">
      <c r="B36" s="54" t="inlineStr">
        <is>
          <t>SECTION 4 — AWARENESS &amp; QUALITY</t>
        </is>
      </c>
    </row>
    <row r="37" ht="22" customHeight="1">
      <c r="B37" s="55" t="inlineStr">
        <is>
          <t>Sl.</t>
        </is>
      </c>
      <c r="C37" s="55" t="inlineStr">
        <is>
          <t>Performance Metric</t>
        </is>
      </c>
      <c r="D37" s="55" t="inlineStr">
        <is>
          <t>Unit</t>
        </is>
      </c>
      <c r="E37" s="55" t="inlineStr">
        <is>
          <t>Current A.Y.</t>
        </is>
      </c>
      <c r="F37" s="55" t="inlineStr">
        <is>
          <t>Previous A.Y.</t>
        </is>
      </c>
      <c r="G37" s="55" t="inlineStr">
        <is>
          <t>Change</t>
        </is>
      </c>
      <c r="H37" s="55" t="inlineStr">
        <is>
          <t>Remarks</t>
        </is>
      </c>
    </row>
    <row r="38" ht="22" customHeight="1">
      <c r="B38" s="84" t="n">
        <v>1</v>
      </c>
      <c r="C38" s="85" t="inlineStr">
        <is>
          <t>Awareness sessions conducted</t>
        </is>
      </c>
      <c r="D38" s="24" t="inlineStr">
        <is>
          <t>No.</t>
        </is>
      </c>
      <c r="E38" s="24" t="inlineStr"/>
      <c r="F38" s="24" t="inlineStr"/>
      <c r="G38" s="24">
        <f>IFERROR(ROUND((E38-F38)/IF(F38=0,1,F38)*100,1),"")</f>
        <v/>
      </c>
      <c r="H38" s="85" t="inlineStr"/>
    </row>
    <row r="39" ht="22" customHeight="1">
      <c r="B39" s="8" t="n">
        <v>2</v>
      </c>
      <c r="C39" s="9" t="inlineStr">
        <is>
          <t>Staff reached through awareness</t>
        </is>
      </c>
      <c r="D39" s="10" t="inlineStr">
        <is>
          <t>No.</t>
        </is>
      </c>
      <c r="E39" s="10" t="inlineStr"/>
      <c r="F39" s="10" t="inlineStr"/>
      <c r="G39" s="10">
        <f>IFERROR(ROUND((E39-F39)/IF(F39=0,1,F39)*100,1),"")</f>
        <v/>
      </c>
      <c r="H39" s="9" t="inlineStr"/>
    </row>
    <row r="40" ht="22" customHeight="1">
      <c r="B40" s="84" t="n">
        <v>3</v>
      </c>
      <c r="C40" s="85" t="inlineStr">
        <is>
          <t>FSGC meetings held</t>
        </is>
      </c>
      <c r="D40" s="24" t="inlineStr">
        <is>
          <t>No.</t>
        </is>
      </c>
      <c r="E40" s="24" t="inlineStr"/>
      <c r="F40" s="24" t="inlineStr"/>
      <c r="G40" s="24">
        <f>IFERROR(ROUND((E40-F40)/IF(F40=0,1,F40)*100,1),"")</f>
        <v/>
      </c>
      <c r="H40" s="85" t="inlineStr"/>
    </row>
    <row r="41" ht="22" customHeight="1">
      <c r="B41" s="8" t="n">
        <v>4</v>
      </c>
      <c r="C41" s="9" t="inlineStr">
        <is>
          <t>Complainant satisfaction score (/5)</t>
        </is>
      </c>
      <c r="D41" s="10" t="inlineStr">
        <is>
          <t>Score</t>
        </is>
      </c>
      <c r="E41" s="10" t="inlineStr"/>
      <c r="F41" s="10" t="inlineStr"/>
      <c r="G41" s="10">
        <f>IFERROR(ROUND((E41-F41)/IF(F41=0,1,F41)*100,1),"")</f>
        <v/>
      </c>
      <c r="H41" s="9" t="inlineStr"/>
    </row>
    <row r="42" ht="22" customHeight="1">
      <c r="B42" s="84" t="n">
        <v>5</v>
      </c>
      <c r="C42" s="85" t="inlineStr">
        <is>
          <t>NAAC data submitted</t>
        </is>
      </c>
      <c r="D42" s="24" t="inlineStr">
        <is>
          <t>Y/N</t>
        </is>
      </c>
      <c r="E42" s="24" t="inlineStr"/>
      <c r="F42" s="24" t="inlineStr"/>
      <c r="G42" s="24">
        <f>IFERROR(ROUND((E42-F42)/IF(F42=0,1,F42)*100,1),"")</f>
        <v/>
      </c>
      <c r="H42" s="85" t="inlineStr"/>
    </row>
    <row r="43" ht="22" customHeight="1">
      <c r="B43" s="8" t="n">
        <v>6</v>
      </c>
      <c r="C43" s="9" t="inlineStr">
        <is>
          <t>Legal Advisor cases handled</t>
        </is>
      </c>
      <c r="D43" s="10" t="inlineStr">
        <is>
          <t>No.</t>
        </is>
      </c>
      <c r="E43" s="10" t="inlineStr"/>
      <c r="F43" s="10" t="inlineStr"/>
      <c r="G43" s="10">
        <f>IFERROR(ROUND((E43-F43)/IF(F43=0,1,F43)*100,1),"")</f>
        <v/>
      </c>
      <c r="H43" s="9" t="inlineStr"/>
    </row>
    <row r="44" ht="22" customHeight="1"/>
    <row r="45" ht="20" customHeight="1">
      <c r="B45" s="17" t="inlineStr">
        <is>
          <t>Annual Report (aggregate data only) submitted to: Principal, Governing Body, IQAC (NAAC AQAR Criterion VI.3 — Faculty Empowerment), UGC, NIRF. Retain full case records (with identities) separately under lock and key for 5 years.</t>
        </is>
      </c>
    </row>
    <row r="46" ht="22" customHeight="1">
      <c r="B46" s="31" t="inlineStr">
        <is>
          <t>Member Secretary: ___________________    FSGC Chairperson (Principal): ___________________    IQAC Coordinator: ___________________    Date: ___________________</t>
        </is>
      </c>
    </row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</sheetData>
  <mergeCells count="9">
    <mergeCell ref="B36:H36"/>
    <mergeCell ref="B27:H27"/>
    <mergeCell ref="B4:H4"/>
    <mergeCell ref="B16:H16"/>
    <mergeCell ref="B2:H2"/>
    <mergeCell ref="B3:H3"/>
    <mergeCell ref="B5:H5"/>
    <mergeCell ref="B45:H45"/>
    <mergeCell ref="B46:H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2026-04-26T09:11:09Z</dcterms:created>
  <dcterms:modified xmlns:dcterms="http://purl.org/dc/terms/" xmlns:xsi="http://www.w3.org/2001/XMLSchema-instance" xsi:type="dcterms:W3CDTF">2026-04-26T09:11:10Z</dcterms:modified>
</cp:coreProperties>
</file>