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WC-00 Composition" sheetId="2" state="visible" r:id="rId2"/>
    <sheet xmlns:r="http://schemas.openxmlformats.org/officeDocument/2006/relationships" name="SWC-NA Notice &amp; Agenda" sheetId="3" state="visible" r:id="rId3"/>
    <sheet xmlns:r="http://schemas.openxmlformats.org/officeDocument/2006/relationships" name="SWC-AT Attendance" sheetId="4" state="visible" r:id="rId4"/>
    <sheet xmlns:r="http://schemas.openxmlformats.org/officeDocument/2006/relationships" name="SWC-MM Minutes" sheetId="5" state="visible" r:id="rId5"/>
    <sheet xmlns:r="http://schemas.openxmlformats.org/officeDocument/2006/relationships" name="SWC-ATR Action Report" sheetId="6" state="visible" r:id="rId6"/>
    <sheet xmlns:r="http://schemas.openxmlformats.org/officeDocument/2006/relationships" name="SWC-03 Welfare Grievance" sheetId="7" state="visible" r:id="rId7"/>
    <sheet xmlns:r="http://schemas.openxmlformats.org/officeDocument/2006/relationships" name="SC-02 SC-ST Profile Register" sheetId="8" state="visible" r:id="rId8"/>
    <sheet xmlns:r="http://schemas.openxmlformats.org/officeDocument/2006/relationships" name="SC-03 SC-ST Scholarship" sheetId="9" state="visible" r:id="rId9"/>
    <sheet xmlns:r="http://schemas.openxmlformats.org/officeDocument/2006/relationships" name="SC-05 SC-ST Academic Support" sheetId="10" state="visible" r:id="rId10"/>
    <sheet xmlns:r="http://schemas.openxmlformats.org/officeDocument/2006/relationships" name="SC-06 SC-ST Grievance" sheetId="11" state="visible" r:id="rId11"/>
    <sheet xmlns:r="http://schemas.openxmlformats.org/officeDocument/2006/relationships" name="OBC-02 OBC-EWS Scholarship" sheetId="12" state="visible" r:id="rId12"/>
    <sheet xmlns:r="http://schemas.openxmlformats.org/officeDocument/2006/relationships" name="OBC-03 NCL Verification" sheetId="13" state="visible" r:id="rId13"/>
    <sheet xmlns:r="http://schemas.openxmlformats.org/officeDocument/2006/relationships" name="MIN-02 Minority Scholarship" sheetId="14" state="visible" r:id="rId14"/>
    <sheet xmlns:r="http://schemas.openxmlformats.org/officeDocument/2006/relationships" name="DIV-01 Divyangjan Profile" sheetId="15" state="visible" r:id="rId15"/>
    <sheet xmlns:r="http://schemas.openxmlformats.org/officeDocument/2006/relationships" name="DIV-03 Accessibility Audit" sheetId="16" state="visible" r:id="rId16"/>
    <sheet xmlns:r="http://schemas.openxmlformats.org/officeDocument/2006/relationships" name="SCH-01 Scholarship Database" sheetId="17" state="visible" r:id="rId17"/>
    <sheet xmlns:r="http://schemas.openxmlformats.org/officeDocument/2006/relationships" name="SWC-06 Counselling Register" sheetId="18" state="visible" r:id="rId18"/>
    <sheet xmlns:r="http://schemas.openxmlformats.org/officeDocument/2006/relationships" name="SWC-30 Welfare Survey" sheetId="19" state="visible" r:id="rId19"/>
    <sheet xmlns:r="http://schemas.openxmlformats.org/officeDocument/2006/relationships" name="SWC-31 KPI Dashboard" sheetId="20" state="visible" r:id="rId20"/>
    <sheet xmlns:r="http://schemas.openxmlformats.org/officeDocument/2006/relationships" name="SWC-32 Annual Repor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1E3A5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1E3A5F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92400E"/>
      <sz val="10"/>
    </font>
    <font>
      <name val="Arial"/>
      <b val="1"/>
      <color rgb="003F2000"/>
      <sz val="10"/>
    </font>
  </fonts>
  <fills count="2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92400E"/>
      </patternFill>
    </fill>
    <fill>
      <patternFill patternType="solid">
        <fgColor rgb="007B1D1D"/>
      </patternFill>
    </fill>
    <fill>
      <patternFill patternType="solid">
        <fgColor rgb="00FEE2E2"/>
      </patternFill>
    </fill>
    <fill>
      <patternFill patternType="solid">
        <fgColor rgb="00166534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4338CA"/>
      </patternFill>
    </fill>
    <fill>
      <patternFill patternType="solid">
        <fgColor rgb="00E0E7FF"/>
      </patternFill>
    </fill>
    <fill>
      <patternFill patternType="solid">
        <fgColor rgb="00BE123C"/>
      </patternFill>
    </fill>
    <fill>
      <patternFill patternType="solid">
        <fgColor rgb="00FFE4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4" fillId="1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3" fillId="23" borderId="0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STUDENTS WELFARE COMMITTEE
(Including SC / ST / OBC / Minority / Divyangjan Cell)
Data Collection Formats — Master Workbook</t>
        </is>
      </c>
    </row>
    <row r="3" ht="28" customHeight="1">
      <c r="B3" s="2" t="inlineStr">
        <is>
          <t>Institution: _________________________  Welfare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SWC-00</t>
        </is>
      </c>
      <c r="C6" s="6" t="inlineStr">
        <is>
          <t>Committee Composition &amp; Members Register</t>
        </is>
      </c>
      <c r="D6" s="6" t="inlineStr">
        <is>
          <t>Record SWC members, cell coordinators &amp; student reps</t>
        </is>
      </c>
      <c r="E6" s="7" t="inlineStr">
        <is>
          <t>Annual</t>
        </is>
      </c>
    </row>
    <row r="7" ht="20" customHeight="1">
      <c r="B7" s="8" t="inlineStr">
        <is>
          <t>SWC-NA</t>
        </is>
      </c>
      <c r="C7" s="9" t="inlineStr">
        <is>
          <t>Meeting Notice, Agenda &amp; Dispatch Record</t>
        </is>
      </c>
      <c r="D7" s="9" t="inlineStr">
        <is>
          <t>Formal notice and agenda for SWC meetings</t>
        </is>
      </c>
      <c r="E7" s="10" t="inlineStr">
        <is>
          <t>Each Meeting</t>
        </is>
      </c>
    </row>
    <row r="8" ht="20" customHeight="1">
      <c r="B8" s="5" t="inlineStr">
        <is>
          <t>SWC-AT</t>
        </is>
      </c>
      <c r="C8" s="6" t="inlineStr">
        <is>
          <t>Attendance &amp; Quorum Register</t>
        </is>
      </c>
      <c r="D8" s="6" t="inlineStr">
        <is>
          <t>Confirm attendance and quorum</t>
        </is>
      </c>
      <c r="E8" s="7" t="inlineStr">
        <is>
          <t>Each Meeting</t>
        </is>
      </c>
    </row>
    <row r="9" ht="20" customHeight="1">
      <c r="B9" s="8" t="inlineStr">
        <is>
          <t>SWC-MM</t>
        </is>
      </c>
      <c r="C9" s="9" t="inlineStr">
        <is>
          <t>Meeting Minutes &amp; Resolutions</t>
        </is>
      </c>
      <c r="D9" s="9" t="inlineStr">
        <is>
          <t>Record decisions,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SWC-ATR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STUDENT WELFARE — GENERAL ──</t>
        </is>
      </c>
    </row>
    <row r="12" ht="20" customHeight="1">
      <c r="B12" s="5" t="inlineStr">
        <is>
          <t>SWC-01</t>
        </is>
      </c>
      <c r="C12" s="6" t="inlineStr">
        <is>
          <t>Student Welfare Policy &amp; Service Framework</t>
        </is>
      </c>
      <c r="D12" s="6" t="inlineStr">
        <is>
          <t>Document institutional student welfare vision &amp; services</t>
        </is>
      </c>
      <c r="E12" s="7" t="inlineStr">
        <is>
          <t>Annual</t>
        </is>
      </c>
    </row>
    <row r="13" ht="20" customHeight="1">
      <c r="B13" s="8" t="inlineStr">
        <is>
          <t>SWC-02</t>
        </is>
      </c>
      <c r="C13" s="9" t="inlineStr">
        <is>
          <t>Annual Student Welfare Calendar</t>
        </is>
      </c>
      <c r="D13" s="9" t="inlineStr">
        <is>
          <t>Plan all welfare activities and events for the year</t>
        </is>
      </c>
      <c r="E13" s="10" t="inlineStr">
        <is>
          <t>Annual</t>
        </is>
      </c>
    </row>
    <row r="14" ht="20" customHeight="1">
      <c r="B14" s="5" t="inlineStr">
        <is>
          <t>SWC-03</t>
        </is>
      </c>
      <c r="C14" s="6" t="inlineStr">
        <is>
          <t>Student Welfare Grievance Register</t>
        </is>
      </c>
      <c r="D14" s="6" t="inlineStr">
        <is>
          <t>Receive and resolve general student welfare grievances</t>
        </is>
      </c>
      <c r="E14" s="7" t="inlineStr">
        <is>
          <t>Continuous</t>
        </is>
      </c>
    </row>
    <row r="15" ht="20" customHeight="1">
      <c r="B15" s="8" t="inlineStr">
        <is>
          <t>SWC-04</t>
        </is>
      </c>
      <c r="C15" s="9" t="inlineStr">
        <is>
          <t>Student Financial Assistance Register</t>
        </is>
      </c>
      <c r="D15" s="9" t="inlineStr">
        <is>
          <t>Track emergency financial aid given to students</t>
        </is>
      </c>
      <c r="E15" s="10" t="inlineStr">
        <is>
          <t>Continuous</t>
        </is>
      </c>
    </row>
    <row r="16" ht="20" customHeight="1">
      <c r="B16" s="5" t="inlineStr">
        <is>
          <t>SWC-05</t>
        </is>
      </c>
      <c r="C16" s="6" t="inlineStr">
        <is>
          <t>Student Health &amp; Medical Assistance Register</t>
        </is>
      </c>
      <c r="D16" s="6" t="inlineStr">
        <is>
          <t>Track health support, first aid and medical referrals</t>
        </is>
      </c>
      <c r="E16" s="7" t="inlineStr">
        <is>
          <t>Continuous</t>
        </is>
      </c>
    </row>
    <row r="17" ht="20" customHeight="1">
      <c r="B17" s="8" t="inlineStr">
        <is>
          <t>SWC-06</t>
        </is>
      </c>
      <c r="C17" s="9" t="inlineStr">
        <is>
          <t>Student Counselling &amp; Mental Health Register</t>
        </is>
      </c>
      <c r="D17" s="9" t="inlineStr">
        <is>
          <t>Track mental health counselling sessions and outcomes</t>
        </is>
      </c>
      <c r="E17" s="10" t="inlineStr">
        <is>
          <t>Continuous</t>
        </is>
      </c>
    </row>
    <row r="18" ht="20" customHeight="1">
      <c r="B18" s="5" t="inlineStr">
        <is>
          <t>SWC-07</t>
        </is>
      </c>
      <c r="C18" s="6" t="inlineStr">
        <is>
          <t>Student Insurance &amp; Accident Claim Register</t>
        </is>
      </c>
      <c r="D18" s="6" t="inlineStr">
        <is>
          <t>Manage student group insurance and accident claims</t>
        </is>
      </c>
      <c r="E18" s="7" t="inlineStr">
        <is>
          <t>Annual / Per Claim</t>
        </is>
      </c>
    </row>
    <row r="19" ht="20" customHeight="1">
      <c r="B19" s="8" t="inlineStr">
        <is>
          <t>SWC-08</t>
        </is>
      </c>
      <c r="C19" s="9" t="inlineStr">
        <is>
          <t>Hostel Welfare &amp; Facilities Register</t>
        </is>
      </c>
      <c r="D19" s="9" t="inlineStr">
        <is>
          <t>Track hostel welfare issues, amenities and resolution</t>
        </is>
      </c>
      <c r="E19" s="10" t="inlineStr">
        <is>
          <t>Monthly</t>
        </is>
      </c>
    </row>
    <row r="20" ht="20" customHeight="1">
      <c r="B20" s="5" t="inlineStr">
        <is>
          <t>SWC-09</t>
        </is>
      </c>
      <c r="C20" s="6" t="inlineStr">
        <is>
          <t>Student Canteen &amp; Food Quality Register</t>
        </is>
      </c>
      <c r="D20" s="6" t="inlineStr">
        <is>
          <t>Monitor canteen quality, hygiene and complaints</t>
        </is>
      </c>
      <c r="E20" s="7" t="inlineStr">
        <is>
          <t>Monthly</t>
        </is>
      </c>
    </row>
    <row r="21" ht="20" customHeight="1">
      <c r="B21" s="8" t="inlineStr">
        <is>
          <t>SWC-10</t>
        </is>
      </c>
      <c r="C21" s="9" t="inlineStr">
        <is>
          <t>Anti-Ragging Welfare Support Register</t>
        </is>
      </c>
      <c r="D21" s="9" t="inlineStr">
        <is>
          <t>Track welfare support to ragging victims</t>
        </is>
      </c>
      <c r="E21" s="10" t="inlineStr">
        <is>
          <t>Per Incident</t>
        </is>
      </c>
    </row>
    <row r="22" ht="20" customHeight="1">
      <c r="B22" s="5" t="inlineStr">
        <is>
          <t>SWC-11</t>
        </is>
      </c>
      <c r="C22" s="6" t="inlineStr">
        <is>
          <t>Student Welfare Events &amp; Activities Register</t>
        </is>
      </c>
      <c r="D22" s="6" t="inlineStr">
        <is>
          <t>Document student welfare events, fests &amp; activities</t>
        </is>
      </c>
      <c r="E22" s="7" t="inlineStr">
        <is>
          <t>Continuous</t>
        </is>
      </c>
    </row>
    <row r="23" ht="20" customHeight="1">
      <c r="B23" s="4" t="inlineStr">
        <is>
          <t>── SC / ST CELL ──</t>
        </is>
      </c>
    </row>
    <row r="24" ht="20" customHeight="1">
      <c r="B24" s="5" t="inlineStr">
        <is>
          <t>SC-01</t>
        </is>
      </c>
      <c r="C24" s="6" t="inlineStr">
        <is>
          <t>SC/ST Cell Composition &amp; Policy Register</t>
        </is>
      </c>
      <c r="D24" s="6" t="inlineStr">
        <is>
          <t>Document SC/ST Cell setup, policy &amp; statutory obligations</t>
        </is>
      </c>
      <c r="E24" s="7" t="inlineStr">
        <is>
          <t>Annual</t>
        </is>
      </c>
    </row>
    <row r="25" ht="20" customHeight="1">
      <c r="B25" s="8" t="inlineStr">
        <is>
          <t>SC-02</t>
        </is>
      </c>
      <c r="C25" s="9" t="inlineStr">
        <is>
          <t>SC/ST Student Enrolment &amp; Profile Register</t>
        </is>
      </c>
      <c r="D25" s="9" t="inlineStr">
        <is>
          <t>Maintain profile of all SC/ST students</t>
        </is>
      </c>
      <c r="E25" s="10" t="inlineStr">
        <is>
          <t>Annual</t>
        </is>
      </c>
    </row>
    <row r="26" ht="20" customHeight="1">
      <c r="B26" s="5" t="inlineStr">
        <is>
          <t>SC-03</t>
        </is>
      </c>
      <c r="C26" s="6" t="inlineStr">
        <is>
          <t>SC/ST Scholarship &amp; Fee Concession Register</t>
        </is>
      </c>
      <c r="D26" s="6" t="inlineStr">
        <is>
          <t>Track all SC/ST scholarships — state, central &amp; institutional</t>
        </is>
      </c>
      <c r="E26" s="7" t="inlineStr">
        <is>
          <t>Annual</t>
        </is>
      </c>
    </row>
    <row r="27" ht="20" customHeight="1">
      <c r="B27" s="8" t="inlineStr">
        <is>
          <t>SC-04</t>
        </is>
      </c>
      <c r="C27" s="9" t="inlineStr">
        <is>
          <t>SC/ST Post-Matric Scholarship Register</t>
        </is>
      </c>
      <c r="D27" s="9" t="inlineStr">
        <is>
          <t>Track Post-Matric Scholarship applications and disbursals</t>
        </is>
      </c>
      <c r="E27" s="10" t="inlineStr">
        <is>
          <t>Annual</t>
        </is>
      </c>
    </row>
    <row r="28" ht="20" customHeight="1">
      <c r="B28" s="5" t="inlineStr">
        <is>
          <t>SC-05</t>
        </is>
      </c>
      <c r="C28" s="6" t="inlineStr">
        <is>
          <t>SC/ST Academic Support &amp; Remedial Class Reg.</t>
        </is>
      </c>
      <c r="D28" s="6" t="inlineStr">
        <is>
          <t>Document remedial classes and academic support given</t>
        </is>
      </c>
      <c r="E28" s="7" t="inlineStr">
        <is>
          <t>Each Semester</t>
        </is>
      </c>
    </row>
    <row r="29" ht="20" customHeight="1">
      <c r="B29" s="8" t="inlineStr">
        <is>
          <t>SC-06</t>
        </is>
      </c>
      <c r="C29" s="9" t="inlineStr">
        <is>
          <t>SC/ST Grievance &amp; Atrocity Complaint Register</t>
        </is>
      </c>
      <c r="D29" s="9" t="inlineStr">
        <is>
          <t>Handle discrimination, atrocity &amp; harassment complaints</t>
        </is>
      </c>
      <c r="E29" s="10" t="inlineStr">
        <is>
          <t>Per Complaint</t>
        </is>
      </c>
    </row>
    <row r="30" ht="20" customHeight="1">
      <c r="B30" s="5" t="inlineStr">
        <is>
          <t>SC-07</t>
        </is>
      </c>
      <c r="C30" s="6" t="inlineStr">
        <is>
          <t>SC/ST Cultural &amp; Awareness Programme Reg.</t>
        </is>
      </c>
      <c r="D30" s="6" t="inlineStr">
        <is>
          <t>Log SC/ST awareness events, Ambedkar Jayanti etc.</t>
        </is>
      </c>
      <c r="E30" s="7" t="inlineStr">
        <is>
          <t>Annual</t>
        </is>
      </c>
    </row>
    <row r="31" ht="20" customHeight="1">
      <c r="B31" s="8" t="inlineStr">
        <is>
          <t>SC-08</t>
        </is>
      </c>
      <c r="C31" s="9" t="inlineStr">
        <is>
          <t>SC/ST Placement &amp; Career Support Register</t>
        </is>
      </c>
      <c r="D31" s="9" t="inlineStr">
        <is>
          <t>Track placement assistance and career support for SC/ST</t>
        </is>
      </c>
      <c r="E31" s="10" t="inlineStr">
        <is>
          <t>Annual</t>
        </is>
      </c>
    </row>
    <row r="32" ht="20" customHeight="1">
      <c r="B32" s="5" t="inlineStr">
        <is>
          <t>SC-09</t>
        </is>
      </c>
      <c r="C32" s="6" t="inlineStr">
        <is>
          <t>SC/ST Research &amp; Higher Studies Support Reg.</t>
        </is>
      </c>
      <c r="D32" s="6" t="inlineStr">
        <is>
          <t>Track fellowship, research guidance &amp; higher study support</t>
        </is>
      </c>
      <c r="E32" s="7" t="inlineStr">
        <is>
          <t>Annual</t>
        </is>
      </c>
    </row>
    <row r="33" ht="20" customHeight="1">
      <c r="B33" s="4" t="inlineStr">
        <is>
          <t>── OBC / EWS CELL ──</t>
        </is>
      </c>
    </row>
    <row r="34" ht="20" customHeight="1">
      <c r="B34" s="5" t="inlineStr">
        <is>
          <t>OBC-01</t>
        </is>
      </c>
      <c r="C34" s="6" t="inlineStr">
        <is>
          <t>OBC/EWS Student Enrolment &amp; Profile Register</t>
        </is>
      </c>
      <c r="D34" s="6" t="inlineStr">
        <is>
          <t>Maintain profile of all OBC and EWS students</t>
        </is>
      </c>
      <c r="E34" s="7" t="inlineStr">
        <is>
          <t>Annual</t>
        </is>
      </c>
    </row>
    <row r="35" ht="20" customHeight="1">
      <c r="B35" s="8" t="inlineStr">
        <is>
          <t>OBC-02</t>
        </is>
      </c>
      <c r="C35" s="9" t="inlineStr">
        <is>
          <t>OBC/EWS Scholarship &amp; Concession Register</t>
        </is>
      </c>
      <c r="D35" s="9" t="inlineStr">
        <is>
          <t>Track all OBC/EWS scholarships and fee concessions</t>
        </is>
      </c>
      <c r="E35" s="10" t="inlineStr">
        <is>
          <t>Annual</t>
        </is>
      </c>
    </row>
    <row r="36" ht="20" customHeight="1">
      <c r="B36" s="5" t="inlineStr">
        <is>
          <t>OBC-03</t>
        </is>
      </c>
      <c r="C36" s="6" t="inlineStr">
        <is>
          <t>OBC Non-Creamy Layer Certificate Register</t>
        </is>
      </c>
      <c r="D36" s="6" t="inlineStr">
        <is>
          <t>Verify and track NCL certificates of OBC students</t>
        </is>
      </c>
      <c r="E36" s="7" t="inlineStr">
        <is>
          <t>Annual</t>
        </is>
      </c>
    </row>
    <row r="37" ht="20" customHeight="1">
      <c r="B37" s="8" t="inlineStr">
        <is>
          <t>OBC-04</t>
        </is>
      </c>
      <c r="C37" s="9" t="inlineStr">
        <is>
          <t>OBC/EWS Academic Support Register</t>
        </is>
      </c>
      <c r="D37" s="9" t="inlineStr">
        <is>
          <t>Document academic support and remedial programmes</t>
        </is>
      </c>
      <c r="E37" s="10" t="inlineStr">
        <is>
          <t>Each Semester</t>
        </is>
      </c>
    </row>
    <row r="38" ht="20" customHeight="1">
      <c r="B38" s="5" t="inlineStr">
        <is>
          <t>OBC-05</t>
        </is>
      </c>
      <c r="C38" s="6" t="inlineStr">
        <is>
          <t>OBC/EWS Grievance Register</t>
        </is>
      </c>
      <c r="D38" s="6" t="inlineStr">
        <is>
          <t>Handle discrimination and welfare grievances</t>
        </is>
      </c>
      <c r="E38" s="7" t="inlineStr">
        <is>
          <t>Per Complaint</t>
        </is>
      </c>
    </row>
    <row r="39" ht="20" customHeight="1">
      <c r="B39" s="8" t="inlineStr">
        <is>
          <t>OBC-06</t>
        </is>
      </c>
      <c r="C39" s="9" t="inlineStr">
        <is>
          <t>OBC/EWS Placement &amp; Career Support Register</t>
        </is>
      </c>
      <c r="D39" s="9" t="inlineStr">
        <is>
          <t>Track placement assistance for OBC and EWS students</t>
        </is>
      </c>
      <c r="E39" s="10" t="inlineStr">
        <is>
          <t>Annual</t>
        </is>
      </c>
    </row>
    <row r="40" ht="20" customHeight="1">
      <c r="B40" s="4" t="inlineStr">
        <is>
          <t>── MINORITY CELL ──</t>
        </is>
      </c>
    </row>
    <row r="41" ht="20" customHeight="1">
      <c r="B41" s="8" t="inlineStr">
        <is>
          <t>MIN-01</t>
        </is>
      </c>
      <c r="C41" s="9" t="inlineStr">
        <is>
          <t>Minority Student Enrolment &amp; Profile Register</t>
        </is>
      </c>
      <c r="D41" s="9" t="inlineStr">
        <is>
          <t>Maintain profile of all minority students</t>
        </is>
      </c>
      <c r="E41" s="10" t="inlineStr">
        <is>
          <t>Annual</t>
        </is>
      </c>
    </row>
    <row r="42" ht="20" customHeight="1">
      <c r="B42" s="5" t="inlineStr">
        <is>
          <t>MIN-02</t>
        </is>
      </c>
      <c r="C42" s="6" t="inlineStr">
        <is>
          <t>Minority Scholarship Register</t>
        </is>
      </c>
      <c r="D42" s="6" t="inlineStr">
        <is>
          <t>Track Maulana Azad, state &amp; central minority scholarships</t>
        </is>
      </c>
      <c r="E42" s="7" t="inlineStr">
        <is>
          <t>Annual</t>
        </is>
      </c>
    </row>
    <row r="43" ht="20" customHeight="1">
      <c r="B43" s="8" t="inlineStr">
        <is>
          <t>MIN-03</t>
        </is>
      </c>
      <c r="C43" s="9" t="inlineStr">
        <is>
          <t>Minority Welfare Grievance Register</t>
        </is>
      </c>
      <c r="D43" s="9" t="inlineStr">
        <is>
          <t>Handle minority-related welfare grievances</t>
        </is>
      </c>
      <c r="E43" s="10" t="inlineStr">
        <is>
          <t>Per Complaint</t>
        </is>
      </c>
    </row>
    <row r="44" ht="20" customHeight="1">
      <c r="B44" s="5" t="inlineStr">
        <is>
          <t>MIN-04</t>
        </is>
      </c>
      <c r="C44" s="6" t="inlineStr">
        <is>
          <t>Minority Cultural &amp; Awareness Programme Reg.</t>
        </is>
      </c>
      <c r="D44" s="6" t="inlineStr">
        <is>
          <t>Log minority awareness events and cultural activities</t>
        </is>
      </c>
      <c r="E44" s="7" t="inlineStr">
        <is>
          <t>Annual</t>
        </is>
      </c>
    </row>
    <row r="45" ht="20" customHeight="1">
      <c r="B45" s="4" t="inlineStr">
        <is>
          <t>── DIVYANGJAN / PERSONS WITH DISABILITY CELL ──</t>
        </is>
      </c>
    </row>
    <row r="46" ht="20" customHeight="1">
      <c r="B46" s="5" t="inlineStr">
        <is>
          <t>DIV-01</t>
        </is>
      </c>
      <c r="C46" s="6" t="inlineStr">
        <is>
          <t>Divyangjan Student Enrolment &amp; Profile Reg.</t>
        </is>
      </c>
      <c r="D46" s="6" t="inlineStr">
        <is>
          <t>Profile of all students with disabilities</t>
        </is>
      </c>
      <c r="E46" s="7" t="inlineStr">
        <is>
          <t>Annual</t>
        </is>
      </c>
    </row>
    <row r="47" ht="20" customHeight="1">
      <c r="B47" s="8" t="inlineStr">
        <is>
          <t>DIV-02</t>
        </is>
      </c>
      <c r="C47" s="9" t="inlineStr">
        <is>
          <t>Divyangjan Scholarship &amp; Fee Waiver Register</t>
        </is>
      </c>
      <c r="D47" s="9" t="inlineStr">
        <is>
          <t>Track disability scholarships and fee concessions</t>
        </is>
      </c>
      <c r="E47" s="10" t="inlineStr">
        <is>
          <t>Annual</t>
        </is>
      </c>
    </row>
    <row r="48" ht="20" customHeight="1">
      <c r="B48" s="5" t="inlineStr">
        <is>
          <t>DIV-03</t>
        </is>
      </c>
      <c r="C48" s="6" t="inlineStr">
        <is>
          <t>Accessibility &amp; Infrastructure Audit Register</t>
        </is>
      </c>
      <c r="D48" s="6" t="inlineStr">
        <is>
          <t>Audit campus accessibility for Divyangjan students</t>
        </is>
      </c>
      <c r="E48" s="7" t="inlineStr">
        <is>
          <t>Annual</t>
        </is>
      </c>
    </row>
    <row r="49" ht="20" customHeight="1">
      <c r="B49" s="8" t="inlineStr">
        <is>
          <t>DIV-04</t>
        </is>
      </c>
      <c r="C49" s="9" t="inlineStr">
        <is>
          <t>Assistive Technology &amp; Special Aid Register</t>
        </is>
      </c>
      <c r="D49" s="9" t="inlineStr">
        <is>
          <t>Track special equipment, scribes and assistive devices</t>
        </is>
      </c>
      <c r="E49" s="10" t="inlineStr">
        <is>
          <t>Per Student</t>
        </is>
      </c>
    </row>
    <row r="50" ht="20" customHeight="1">
      <c r="B50" s="5" t="inlineStr">
        <is>
          <t>DIV-05</t>
        </is>
      </c>
      <c r="C50" s="6" t="inlineStr">
        <is>
          <t>Divyangjan Grievance &amp; Support Register</t>
        </is>
      </c>
      <c r="D50" s="6" t="inlineStr">
        <is>
          <t>Handle complaints and welfare requests from PwD students</t>
        </is>
      </c>
      <c r="E50" s="7" t="inlineStr">
        <is>
          <t>Per Complaint</t>
        </is>
      </c>
    </row>
    <row r="51" ht="20" customHeight="1">
      <c r="B51" s="4" t="inlineStr">
        <is>
          <t>── WOMEN STUDENTS WELFARE ──</t>
        </is>
      </c>
    </row>
    <row r="52" ht="20" customHeight="1">
      <c r="B52" s="5" t="inlineStr">
        <is>
          <t>WSW-01</t>
        </is>
      </c>
      <c r="C52" s="6" t="inlineStr">
        <is>
          <t>Women Students Welfare Cell Composition</t>
        </is>
      </c>
      <c r="D52" s="6" t="inlineStr">
        <is>
          <t>Record WSWC members and activities</t>
        </is>
      </c>
      <c r="E52" s="7" t="inlineStr">
        <is>
          <t>Annual</t>
        </is>
      </c>
    </row>
    <row r="53" ht="20" customHeight="1">
      <c r="B53" s="8" t="inlineStr">
        <is>
          <t>WSW-02</t>
        </is>
      </c>
      <c r="C53" s="9" t="inlineStr">
        <is>
          <t>Women Safety &amp; Anti-Harassment Register</t>
        </is>
      </c>
      <c r="D53" s="9" t="inlineStr">
        <is>
          <t>Track safety incidents and support given to women students</t>
        </is>
      </c>
      <c r="E53" s="10" t="inlineStr">
        <is>
          <t>Per Incident</t>
        </is>
      </c>
    </row>
    <row r="54" ht="20" customHeight="1">
      <c r="B54" s="5" t="inlineStr">
        <is>
          <t>WSW-03</t>
        </is>
      </c>
      <c r="C54" s="6" t="inlineStr">
        <is>
          <t>Women Empowerment &amp; Skill Development Reg.</t>
        </is>
      </c>
      <c r="D54" s="6" t="inlineStr">
        <is>
          <t>Log women empowerment programmes and workshops</t>
        </is>
      </c>
      <c r="E54" s="7" t="inlineStr">
        <is>
          <t>Annual</t>
        </is>
      </c>
    </row>
    <row r="55" ht="20" customHeight="1">
      <c r="B55" s="4" t="inlineStr">
        <is>
          <t>── SCHOLARSHIP &amp; FINANCIAL AID ──</t>
        </is>
      </c>
    </row>
    <row r="56" ht="20" customHeight="1">
      <c r="B56" s="5" t="inlineStr">
        <is>
          <t>SCH-01</t>
        </is>
      </c>
      <c r="C56" s="6" t="inlineStr">
        <is>
          <t>Scholarship Database — All Categories</t>
        </is>
      </c>
      <c r="D56" s="6" t="inlineStr">
        <is>
          <t>Centralised scholarship register across all categories</t>
        </is>
      </c>
      <c r="E56" s="7" t="inlineStr">
        <is>
          <t>Annual</t>
        </is>
      </c>
    </row>
    <row r="57" ht="20" customHeight="1">
      <c r="B57" s="8" t="inlineStr">
        <is>
          <t>SCH-02</t>
        </is>
      </c>
      <c r="C57" s="9" t="inlineStr">
        <is>
          <t>Scholarship Application &amp; Processing Register</t>
        </is>
      </c>
      <c r="D57" s="9" t="inlineStr">
        <is>
          <t>Track scholarship application submission and approval</t>
        </is>
      </c>
      <c r="E57" s="10" t="inlineStr">
        <is>
          <t>Annual</t>
        </is>
      </c>
    </row>
    <row r="58" ht="20" customHeight="1">
      <c r="B58" s="5" t="inlineStr">
        <is>
          <t>SCH-03</t>
        </is>
      </c>
      <c r="C58" s="6" t="inlineStr">
        <is>
          <t>Scholarship Disbursement &amp; Receipt Register</t>
        </is>
      </c>
      <c r="D58" s="6" t="inlineStr">
        <is>
          <t>Track scholarship disbursement to student accounts</t>
        </is>
      </c>
      <c r="E58" s="7" t="inlineStr">
        <is>
          <t>Annual</t>
        </is>
      </c>
    </row>
    <row r="59" ht="20" customHeight="1">
      <c r="B59" s="8" t="inlineStr">
        <is>
          <t>SCH-04</t>
        </is>
      </c>
      <c r="C59" s="9" t="inlineStr">
        <is>
          <t>Fee Concession &amp; Waiver Register</t>
        </is>
      </c>
      <c r="D59" s="9" t="inlineStr">
        <is>
          <t>Track institutional fee concessions given to students</t>
        </is>
      </c>
      <c r="E59" s="10" t="inlineStr">
        <is>
          <t>Annual</t>
        </is>
      </c>
    </row>
    <row r="60" ht="20" customHeight="1">
      <c r="B60" s="5" t="inlineStr">
        <is>
          <t>SCH-05</t>
        </is>
      </c>
      <c r="C60" s="6" t="inlineStr">
        <is>
          <t>Students in Financial Difficulty Register</t>
        </is>
      </c>
      <c r="D60" s="6" t="inlineStr">
        <is>
          <t>Track students with financial hardship and support given</t>
        </is>
      </c>
      <c r="E60" s="7" t="inlineStr">
        <is>
          <t>Continuous</t>
        </is>
      </c>
    </row>
    <row r="61" ht="20" customHeight="1">
      <c r="B61" s="4" t="inlineStr">
        <is>
          <t>── MONITORING &amp; REPORTING ──</t>
        </is>
      </c>
    </row>
    <row r="62" ht="20" customHeight="1">
      <c r="B62" s="5" t="inlineStr">
        <is>
          <t>SWC-30</t>
        </is>
      </c>
      <c r="C62" s="6" t="inlineStr">
        <is>
          <t>Student Welfare Satisfaction Survey</t>
        </is>
      </c>
      <c r="D62" s="6" t="inlineStr">
        <is>
          <t>Annual survey on welfare services across all categories</t>
        </is>
      </c>
      <c r="E62" s="7" t="inlineStr">
        <is>
          <t>Annual</t>
        </is>
      </c>
    </row>
    <row r="63" ht="20" customHeight="1">
      <c r="B63" s="8" t="inlineStr">
        <is>
          <t>SWC-31</t>
        </is>
      </c>
      <c r="C63" s="9" t="inlineStr">
        <is>
          <t>SWC KPI Dashboard</t>
        </is>
      </c>
      <c r="D63" s="9" t="inlineStr">
        <is>
          <t>Track welfare KPIs across general, SC/ST, OBC, minority</t>
        </is>
      </c>
      <c r="E63" s="10" t="inlineStr">
        <is>
          <t>Quarterly / Annual</t>
        </is>
      </c>
    </row>
    <row r="64" ht="20" customHeight="1">
      <c r="B64" s="5" t="inlineStr">
        <is>
          <t>SWC-32</t>
        </is>
      </c>
      <c r="C64" s="6" t="inlineStr">
        <is>
          <t>SWC Annual Report Compilation Form</t>
        </is>
      </c>
      <c r="D64" s="6" t="inlineStr">
        <is>
          <t>Year-end report for management, UGC, NAAC</t>
        </is>
      </c>
      <c r="E64" s="7" t="inlineStr">
        <is>
          <t>Annual</t>
        </is>
      </c>
    </row>
    <row r="132">
      <c r="B132" s="11" t="inlineStr">
        <is>
          <t>• SWC covers: General Student Welfare, SC/ST Cell, OBC/EWS Cell, Minority Cell, Divyangjan Cell, Women Students Welfare.</t>
        </is>
      </c>
    </row>
    <row r="133">
      <c r="B133" s="11" t="inlineStr">
        <is>
          <t>• Statutory obligations: SC/ST Prevention of Atrocities Act, RPwD Act 2016, UGC (Promotion of Equity) Regulations, Minority Welfare Schemes.</t>
        </is>
      </c>
    </row>
    <row r="134">
      <c r="B134" s="11" t="inlineStr">
        <is>
          <t>• All scholarship data feeds into: NAAC AQAR Criterion V.1 (Student Support), NIRF, UGC / State Higher Education reports.</t>
        </is>
      </c>
    </row>
    <row r="135">
      <c r="B135" s="11" t="inlineStr">
        <is>
          <t>• SC/ST grievances related to atrocity / discrimination must be forwarded to the SC/ST Cell (External Liaison) within 24 hours.</t>
        </is>
      </c>
    </row>
    <row r="136">
      <c r="B136" s="11" t="inlineStr">
        <is>
          <t>• OBC Non-Creamy Layer certificates must be verified annually — expired NCL = ineligible for OBC reservation benefits.</t>
        </is>
      </c>
    </row>
    <row r="137">
      <c r="B137" s="11" t="inlineStr">
        <is>
          <t>• Divyangjan students: UDiD (Unique Disability ID) to be verified; campus accessibility audit mandatory as per RPwD Act.</t>
        </is>
      </c>
    </row>
    <row r="138">
      <c r="B138" s="11" t="inlineStr">
        <is>
          <t>• Scholarship data reconciliation with Finance: scholarship disbursed must match bank records quarterly.</t>
        </is>
      </c>
    </row>
    <row r="139">
      <c r="B139" s="11" t="inlineStr">
        <is>
          <t>• Women safety: ICC/POSH committee handles sexual harassment; WSWC handles broader safety and empowerment.</t>
        </is>
      </c>
    </row>
  </sheetData>
  <mergeCells count="19">
    <mergeCell ref="B40:E40"/>
    <mergeCell ref="B139:E139"/>
    <mergeCell ref="B33:E33"/>
    <mergeCell ref="B55:E55"/>
    <mergeCell ref="B5:E5"/>
    <mergeCell ref="B133:E133"/>
    <mergeCell ref="B51:E51"/>
    <mergeCell ref="B45:E45"/>
    <mergeCell ref="B135:E135"/>
    <mergeCell ref="B138:E138"/>
    <mergeCell ref="B3:E3"/>
    <mergeCell ref="B134:E134"/>
    <mergeCell ref="B11:E11"/>
    <mergeCell ref="B2:E2"/>
    <mergeCell ref="B136:E136"/>
    <mergeCell ref="B23:E23"/>
    <mergeCell ref="B61:E61"/>
    <mergeCell ref="B132:E132"/>
    <mergeCell ref="B137:E1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SWC-00: STUDENTS WELFARE COMMITTEE — COMPOSITION REGISTER</t>
        </is>
      </c>
    </row>
    <row r="3" ht="25" customHeight="1">
      <c r="B3" s="2" t="inlineStr">
        <is>
          <t>Institution: _________________________  A.Y.: _______  Constituted on: _______ 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SWC</t>
        </is>
      </c>
      <c r="F4" s="13" t="inlineStr">
        <is>
          <t>Cell / Domain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Overall Welfare Governance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Dean Student Affairs / VP</t>
        </is>
      </c>
      <c r="E6" s="8" t="inlineStr">
        <is>
          <t>Vice-Chairperson</t>
        </is>
      </c>
      <c r="F6" s="10" t="inlineStr">
        <is>
          <t>Welfare Operations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Student Welfare Officer</t>
        </is>
      </c>
      <c r="E7" s="14" t="inlineStr">
        <is>
          <t>Member Secretary</t>
        </is>
      </c>
      <c r="F7" s="16" t="inlineStr">
        <is>
          <t>SWC Coordination &amp; Records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Liaison Officer (SC/ST) / Senior Faculty</t>
        </is>
      </c>
      <c r="E8" s="8" t="inlineStr">
        <is>
          <t>SC/ST Cell Coordinator</t>
        </is>
      </c>
      <c r="F8" s="10" t="inlineStr">
        <is>
          <t>SC/ST Student Welfare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Faculty In-charge — OBC/EWS Cell</t>
        </is>
      </c>
      <c r="E9" s="14" t="inlineStr">
        <is>
          <t>OBC/EWS Cell Coordinator</t>
        </is>
      </c>
      <c r="F9" s="16" t="inlineStr">
        <is>
          <t>OBC &amp; EWS Welfare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Faculty In-charge — Minority Cell</t>
        </is>
      </c>
      <c r="E10" s="8" t="inlineStr">
        <is>
          <t>Minority Cell Coordinator</t>
        </is>
      </c>
      <c r="F10" s="10" t="inlineStr">
        <is>
          <t>Minority Student Welfare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Faculty / Special Educator</t>
        </is>
      </c>
      <c r="E11" s="14" t="inlineStr">
        <is>
          <t>Divyangjan Cell In-charge</t>
        </is>
      </c>
      <c r="F11" s="16" t="inlineStr">
        <is>
          <t>Disability Support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Senior Female Faculty / WSWC Head</t>
        </is>
      </c>
      <c r="E12" s="8" t="inlineStr">
        <is>
          <t>Women Welfare Coordinator</t>
        </is>
      </c>
      <c r="F12" s="10" t="inlineStr">
        <is>
          <t>Women Students Welfare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Faculty / Admin Officer (Scholarship)</t>
        </is>
      </c>
      <c r="E13" s="14" t="inlineStr">
        <is>
          <t>Scholarship Officer</t>
        </is>
      </c>
      <c r="F13" s="16" t="inlineStr">
        <is>
          <t>Scholarship Management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Professional Counsellor / Psychologist</t>
        </is>
      </c>
      <c r="E14" s="8" t="inlineStr">
        <is>
          <t>Counsellor</t>
        </is>
      </c>
      <c r="F14" s="10" t="inlineStr">
        <is>
          <t>Mental Health &amp; Counselling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Chief Warden</t>
        </is>
      </c>
      <c r="E15" s="14" t="inlineStr">
        <is>
          <t>Hostel Warden</t>
        </is>
      </c>
      <c r="F15" s="16" t="inlineStr">
        <is>
          <t>Hostel Student Welfare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Campus Medical Officer / Nurse</t>
        </is>
      </c>
      <c r="E16" s="8" t="inlineStr">
        <is>
          <t>Medical Officer</t>
        </is>
      </c>
      <c r="F16" s="10" t="inlineStr">
        <is>
          <t>Health &amp; Medical Aid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SC Community Faculty Representative</t>
        </is>
      </c>
      <c r="E17" s="14" t="inlineStr">
        <is>
          <t>Faculty Member – SC</t>
        </is>
      </c>
      <c r="F17" s="16" t="inlineStr">
        <is>
          <t>SC Student Voice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ST Community Faculty Representative</t>
        </is>
      </c>
      <c r="E18" s="8" t="inlineStr">
        <is>
          <t>Faculty Member – ST</t>
        </is>
      </c>
      <c r="F18" s="10" t="inlineStr">
        <is>
          <t>ST Student Voice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SC/ST Student Council Member</t>
        </is>
      </c>
      <c r="E19" s="14" t="inlineStr">
        <is>
          <t>Student Rep – SC/ST</t>
        </is>
      </c>
      <c r="F19" s="16" t="inlineStr">
        <is>
          <t>SC/ST Student Perspective</t>
        </is>
      </c>
      <c r="G19" s="15" t="inlineStr"/>
      <c r="H19" s="16" t="inlineStr"/>
      <c r="I19" s="16" t="inlineStr"/>
    </row>
    <row r="20" ht="22" customHeight="1">
      <c r="B20" s="8" t="n">
        <v>16</v>
      </c>
      <c r="C20" s="9" t="inlineStr"/>
      <c r="D20" s="9" t="inlineStr">
        <is>
          <t>OBC Student Council Member</t>
        </is>
      </c>
      <c r="E20" s="8" t="inlineStr">
        <is>
          <t>Student Rep – OBC</t>
        </is>
      </c>
      <c r="F20" s="10" t="inlineStr">
        <is>
          <t>OBC Student Perspective</t>
        </is>
      </c>
      <c r="G20" s="9" t="inlineStr"/>
      <c r="H20" s="10" t="inlineStr"/>
      <c r="I20" s="10" t="inlineStr"/>
    </row>
    <row r="21" ht="22" customHeight="1">
      <c r="B21" s="14" t="n">
        <v>17</v>
      </c>
      <c r="C21" s="15" t="inlineStr"/>
      <c r="D21" s="15" t="inlineStr">
        <is>
          <t>Divyangjan Student Representative</t>
        </is>
      </c>
      <c r="E21" s="14" t="inlineStr">
        <is>
          <t>Student Rep – PwD</t>
        </is>
      </c>
      <c r="F21" s="16" t="inlineStr">
        <is>
          <t>Disability Student Voice</t>
        </is>
      </c>
      <c r="G21" s="15" t="inlineStr"/>
      <c r="H21" s="16" t="inlineStr"/>
      <c r="I21" s="16" t="inlineStr"/>
    </row>
    <row r="22" ht="22" customHeight="1">
      <c r="B22" s="8" t="n">
        <v>18</v>
      </c>
      <c r="C22" s="9" t="inlineStr"/>
      <c r="D22" s="9" t="inlineStr">
        <is>
          <t>SC/ST Liaison Officer / Social Worker</t>
        </is>
      </c>
      <c r="E22" s="8" t="inlineStr">
        <is>
          <t>External SC/ST Expert</t>
        </is>
      </c>
      <c r="F22" s="10" t="inlineStr">
        <is>
          <t>External Advisory</t>
        </is>
      </c>
      <c r="G22" s="9" t="inlineStr"/>
      <c r="H22" s="10" t="inlineStr"/>
      <c r="I22" s="10" t="inlineStr"/>
    </row>
    <row r="23" ht="22" customHeight="1">
      <c r="B23" s="14" t="n">
        <v>19</v>
      </c>
      <c r="C23" s="15" t="inlineStr"/>
      <c r="D23" s="15" t="inlineStr">
        <is>
          <t>IQAC In-charge</t>
        </is>
      </c>
      <c r="E23" s="14" t="inlineStr">
        <is>
          <t>IQAC Coordinator (Ex-off.)</t>
        </is>
      </c>
      <c r="F23" s="16" t="inlineStr">
        <is>
          <t>Quality &amp; Accreditation</t>
        </is>
      </c>
      <c r="G23" s="15" t="inlineStr"/>
      <c r="H23" s="16" t="inlineStr"/>
      <c r="I23" s="16" t="inlineStr"/>
    </row>
    <row r="24" ht="22" customHeight="1">
      <c r="B24" s="8" t="n">
        <v>20</v>
      </c>
      <c r="C24" s="9" t="inlineStr"/>
      <c r="D24" s="9" t="inlineStr">
        <is>
          <t>Finance Officer</t>
        </is>
      </c>
      <c r="E24" s="8" t="inlineStr">
        <is>
          <t>Finance Officer (Ex-off.)</t>
        </is>
      </c>
      <c r="F24" s="10" t="inlineStr">
        <is>
          <t>Scholarship &amp; Aid Finance</t>
        </is>
      </c>
      <c r="G24" s="9" t="inlineStr"/>
      <c r="H24" s="10" t="inlineStr"/>
      <c r="I24" s="10" t="inlineStr"/>
    </row>
    <row r="25" ht="22" customHeight="1"/>
    <row r="26" ht="20" customHeight="1">
      <c r="B26" s="17" t="inlineStr">
        <is>
          <t>SWC meets minimum quarterly. SC/ST Cell, OBC/EWS Cell, Minority Cell and Divyangjan Cell operate as sub-committees with independent registers but report to SWC.</t>
        </is>
      </c>
    </row>
    <row r="27" ht="22" customHeight="1"/>
    <row r="28" ht="22" customHeight="1"/>
    <row r="29" ht="22" customHeight="1"/>
    <row r="30" ht="22" customHeight="1"/>
    <row r="31" ht="22" customHeight="1"/>
  </sheetData>
  <mergeCells count="3">
    <mergeCell ref="B3:I3"/>
    <mergeCell ref="B2:I2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SWC: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SWC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General student welfare — grievances and support update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SC/ST Cell — scholarship, support, grievance report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OBC/EWS Cell — scholarship, NCL verification, support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Minority Cell — scholarship and welfare update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Divyangjan Cell — accessibility, support, complaints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Women Welfare Cell — safety and empowerment update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Scholarship — application, processing, disbursement status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Financial assistance — emergency aid cases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Health &amp; medical support — cases and referrals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Mental health counselling — programme update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Hostel welfare — facilities, complaints, action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Anti-ragging welfare support — victim assistance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Student welfare events — completed and upcoming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Budget review — welfare expenditure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NAAC / NIRF welfare data — compilation status</t>
        </is>
      </c>
      <c r="D29" s="16" t="inlineStr"/>
      <c r="E29" s="16" t="inlineStr"/>
    </row>
    <row r="30" ht="24" customHeight="1">
      <c r="B30" s="8" t="n">
        <v>18</v>
      </c>
      <c r="C30" s="9" t="inlineStr">
        <is>
          <t>Any Other Matter with Permission of Chairperson (AOMPC)</t>
        </is>
      </c>
      <c r="D30" s="10" t="inlineStr"/>
      <c r="E30" s="10" t="inlineStr"/>
    </row>
    <row r="31" ht="24" customHeight="1"/>
    <row r="32" ht="24" customHeight="1">
      <c r="B32" s="20" t="inlineStr">
        <is>
          <t>DISPATCH RECORD</t>
        </is>
      </c>
    </row>
    <row r="33" ht="24" customHeight="1">
      <c r="B33" s="21" t="inlineStr">
        <is>
          <t>Sl.</t>
        </is>
      </c>
      <c r="C33" s="21" t="inlineStr">
        <is>
          <t>Member Name &amp; Role</t>
        </is>
      </c>
      <c r="D33" s="21" t="inlineStr">
        <is>
          <t>Mode</t>
        </is>
      </c>
      <c r="E33" s="21" t="inlineStr">
        <is>
          <t>Date &amp; Acknowledgement</t>
        </is>
      </c>
    </row>
    <row r="34" ht="22" customHeight="1">
      <c r="B34" s="22" t="n"/>
      <c r="C34" s="22" t="n"/>
      <c r="D34" s="22" t="n"/>
      <c r="E34" s="22" t="n"/>
    </row>
    <row r="35" ht="22" customHeight="1">
      <c r="B35" s="10" t="n"/>
      <c r="C35" s="10" t="n"/>
      <c r="D35" s="10" t="n"/>
      <c r="E35" s="10" t="n"/>
    </row>
    <row r="36" ht="22" customHeight="1">
      <c r="B36" s="22" t="n"/>
      <c r="C36" s="22" t="n"/>
      <c r="D36" s="22" t="n"/>
      <c r="E36" s="22" t="n"/>
    </row>
    <row r="37" ht="22" customHeight="1">
      <c r="B37" s="10" t="n"/>
      <c r="C37" s="10" t="n"/>
      <c r="D37" s="10" t="n"/>
      <c r="E37" s="10" t="n"/>
    </row>
  </sheetData>
  <mergeCells count="11">
    <mergeCell ref="C5:E5"/>
    <mergeCell ref="C8:E8"/>
    <mergeCell ref="C9:E9"/>
    <mergeCell ref="C4:E4"/>
    <mergeCell ref="B32:E32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SWC: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>
      <c r="B22" s="8" t="n">
        <v>18</v>
      </c>
      <c r="C22" s="9" t="inlineStr"/>
      <c r="D22" s="9" t="inlineStr"/>
      <c r="E22" s="10" t="inlineStr">
        <is>
          <t>Physical</t>
        </is>
      </c>
      <c r="F22" s="10" t="inlineStr"/>
      <c r="G22" s="10" t="inlineStr">
        <is>
          <t>N</t>
        </is>
      </c>
      <c r="H22" s="10" t="inlineStr"/>
      <c r="I22" s="10" t="inlineStr"/>
    </row>
    <row r="23" ht="22" customHeight="1">
      <c r="B23" s="14" t="n">
        <v>19</v>
      </c>
      <c r="C23" s="15" t="inlineStr"/>
      <c r="D23" s="15" t="inlineStr"/>
      <c r="E23" s="16" t="inlineStr">
        <is>
          <t>Physical</t>
        </is>
      </c>
      <c r="F23" s="16" t="inlineStr"/>
      <c r="G23" s="16" t="inlineStr">
        <is>
          <t>N</t>
        </is>
      </c>
      <c r="H23" s="16" t="inlineStr"/>
      <c r="I23" s="16" t="inlineStr"/>
    </row>
    <row r="24" ht="22" customHeight="1">
      <c r="B24" s="8" t="n">
        <v>20</v>
      </c>
      <c r="C24" s="9" t="inlineStr"/>
      <c r="D24" s="9" t="inlineStr"/>
      <c r="E24" s="10" t="inlineStr">
        <is>
          <t>Physical</t>
        </is>
      </c>
      <c r="F24" s="10" t="inlineStr"/>
      <c r="G24" s="10" t="inlineStr">
        <is>
          <t>N</t>
        </is>
      </c>
      <c r="H24" s="10" t="inlineStr"/>
      <c r="I24" s="10" t="inlineStr"/>
    </row>
    <row r="25" ht="22" customHeight="1">
      <c r="B25" s="14" t="n">
        <v>21</v>
      </c>
      <c r="C25" s="15" t="inlineStr"/>
      <c r="D25" s="15" t="inlineStr"/>
      <c r="E25" s="16" t="inlineStr">
        <is>
          <t>Physical</t>
        </is>
      </c>
      <c r="F25" s="16" t="inlineStr"/>
      <c r="G25" s="16" t="inlineStr">
        <is>
          <t>N</t>
        </is>
      </c>
      <c r="H25" s="16" t="inlineStr"/>
      <c r="I25" s="16" t="inlineStr"/>
    </row>
    <row r="26" ht="22" customHeight="1">
      <c r="B26" s="8" t="n">
        <v>22</v>
      </c>
      <c r="C26" s="9" t="inlineStr"/>
      <c r="D26" s="9" t="inlineStr"/>
      <c r="E26" s="10" t="inlineStr">
        <is>
          <t>Physical</t>
        </is>
      </c>
      <c r="F26" s="10" t="inlineStr"/>
      <c r="G26" s="10" t="inlineStr">
        <is>
          <t>N</t>
        </is>
      </c>
      <c r="H26" s="10" t="inlineStr"/>
      <c r="I26" s="10" t="inlineStr"/>
    </row>
    <row r="27" ht="22" customHeight="1"/>
    <row r="28" ht="24" customHeight="1">
      <c r="B28" s="20" t="inlineStr">
        <is>
          <t>QUORUM VERIFICATION</t>
        </is>
      </c>
    </row>
    <row r="29" ht="22" customHeight="1">
      <c r="B29" s="23" t="inlineStr">
        <is>
          <t>Total SWC Members</t>
        </is>
      </c>
      <c r="G29" s="24" t="inlineStr"/>
    </row>
    <row r="30">
      <c r="B30" s="25" t="inlineStr">
        <is>
          <t>Present (Physical)</t>
        </is>
      </c>
      <c r="G30" s="24">
        <f>COUNTIF(F5:F26,"P")</f>
        <v/>
      </c>
    </row>
    <row r="31">
      <c r="B31" s="23" t="inlineStr">
        <is>
          <t>Present (VC)</t>
        </is>
      </c>
      <c r="G31" s="24" t="inlineStr"/>
    </row>
    <row r="32">
      <c r="B32" s="25" t="inlineStr">
        <is>
          <t>Total Effective</t>
        </is>
      </c>
      <c r="G32" s="24">
        <f>IFERROR(C30+C31,"")</f>
        <v/>
      </c>
    </row>
    <row r="33">
      <c r="B33" s="23" t="inlineStr">
        <is>
          <t>Quorum Required (50%)</t>
        </is>
      </c>
      <c r="G33" s="24" t="inlineStr"/>
    </row>
    <row r="34">
      <c r="B34" s="25" t="inlineStr">
        <is>
          <t>Quorum Achieved?</t>
        </is>
      </c>
      <c r="G34" s="26">
        <f>IFERROR(IF(C32&gt;=C33,"YES — Meeting Valid","NO — Adjourned"),"")</f>
        <v/>
      </c>
    </row>
  </sheetData>
  <mergeCells count="15">
    <mergeCell ref="B30:F30"/>
    <mergeCell ref="B29:F29"/>
    <mergeCell ref="G32:I32"/>
    <mergeCell ref="B34:F34"/>
    <mergeCell ref="B33:F33"/>
    <mergeCell ref="B2:I2"/>
    <mergeCell ref="G31:I31"/>
    <mergeCell ref="B28:I28"/>
    <mergeCell ref="B3:I3"/>
    <mergeCell ref="B31:F31"/>
    <mergeCell ref="G34:I34"/>
    <mergeCell ref="B32:F32"/>
    <mergeCell ref="G29:I29"/>
    <mergeCell ref="G30:I30"/>
    <mergeCell ref="G33:I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SWC: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0" customHeight="1">
      <c r="B6" s="14" t="inlineStr">
        <is>
          <t>SWC/RES/001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SWC/RES/002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SWC/RES/003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SWC/RES/004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SWC/RES/005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SWC/RES/006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SWC/RES/007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SWC/RES/008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SWC/RES/009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SWC/RES/010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SWC/RES/011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SWC/RES/012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SWC/RES/013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SWC/RES/014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Member Secretary: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SWC: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SWC/RES/001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SWC/RES/002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SWC/RES/003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SWC/RES/004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SWC/RES/005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SWC/RES/006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SWC/RES/007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SWC/RES/008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SWC/RES/009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SWC/RES/010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SWC/RES/011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SWC/RES/012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SWC/RES/013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SWC/RES/014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1" t="inlineStr">
        <is>
          <t>SWC/RES/015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In Progress</t>
        </is>
      </c>
    </row>
    <row r="20" ht="26" customHeight="1"/>
    <row r="21" ht="24" customHeight="1">
      <c r="B21" s="34" t="inlineStr">
        <is>
          <t>ATR SUMMARY</t>
        </is>
      </c>
    </row>
    <row r="22" ht="26" customHeight="1">
      <c r="B22" s="35" t="inlineStr">
        <is>
          <t>Total Resolutions Under Review</t>
        </is>
      </c>
      <c r="F22" s="36">
        <f>COUNTA(B5:B19)</f>
        <v/>
      </c>
    </row>
    <row r="23" ht="26" customHeight="1">
      <c r="B23" s="25" t="inlineStr">
        <is>
          <t>Implemented</t>
        </is>
      </c>
      <c r="F23" s="37">
        <f>COUNTIF(H5:H19,"Implemented")</f>
        <v/>
      </c>
    </row>
    <row r="24" ht="26" customHeight="1">
      <c r="B24" s="35" t="inlineStr">
        <is>
          <t>In Progress</t>
        </is>
      </c>
      <c r="F24" s="36">
        <f>COUNTIF(H5:H19,"In Progress")</f>
        <v/>
      </c>
    </row>
    <row r="25" ht="26" customHeight="1">
      <c r="B25" s="25" t="inlineStr">
        <is>
          <t>Pending</t>
        </is>
      </c>
      <c r="F25" s="37">
        <f>COUNTIF(H5:H19,"Pending")</f>
        <v/>
      </c>
    </row>
    <row r="26" ht="26" customHeight="1">
      <c r="B26" s="35" t="inlineStr">
        <is>
          <t>Deferred</t>
        </is>
      </c>
      <c r="F26" s="36">
        <f>COUNTIF(H5:H19,"Deferred")</f>
        <v/>
      </c>
    </row>
    <row r="27" ht="26" customHeight="1">
      <c r="B27" s="25" t="inlineStr">
        <is>
          <t>Implementation Rate (%)</t>
        </is>
      </c>
      <c r="F27" s="37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SWC-03: STUDENT WELFARE GRIEVANCE REGISTER</t>
        </is>
      </c>
    </row>
    <row r="3" ht="25" customHeight="1">
      <c r="B3" s="2" t="inlineStr">
        <is>
          <t>A.Y.: _______  Welfare Officer: ___________________  Resolution Target: 10 working days</t>
        </is>
      </c>
    </row>
    <row r="4" ht="25" customHeight="1">
      <c r="B4" s="13" t="inlineStr">
        <is>
          <t>Grievance
Ref.</t>
        </is>
      </c>
      <c r="C4" s="13" t="inlineStr">
        <is>
          <t>Student Name
/ ID</t>
        </is>
      </c>
      <c r="D4" s="13" t="inlineStr">
        <is>
          <t>Category</t>
        </is>
      </c>
      <c r="E4" s="13" t="inlineStr">
        <is>
          <t>Grievance
Area</t>
        </is>
      </c>
      <c r="F4" s="13" t="inlineStr">
        <is>
          <t>Date
Received</t>
        </is>
      </c>
      <c r="G4" s="13" t="inlineStr">
        <is>
          <t>Assigned
To</t>
        </is>
      </c>
      <c r="H4" s="13" t="inlineStr">
        <is>
          <t>Date
Resolved</t>
        </is>
      </c>
      <c r="I4" s="13" t="inlineStr">
        <is>
          <t>Resolution
Summary</t>
        </is>
      </c>
      <c r="J4" s="13" t="inlineStr">
        <is>
          <t>Status</t>
        </is>
      </c>
    </row>
    <row r="5" ht="24" customHeight="1">
      <c r="B5" s="14" t="inlineStr">
        <is>
          <t>SWC/GRV/2024/001</t>
        </is>
      </c>
      <c r="C5" s="15" t="inlineStr"/>
      <c r="D5" s="14" t="inlineStr">
        <is>
          <t>General</t>
        </is>
      </c>
      <c r="E5" s="16" t="inlineStr">
        <is>
          <t>Scholarship non-receipt</t>
        </is>
      </c>
      <c r="F5" s="16" t="inlineStr"/>
      <c r="G5" s="16" t="inlineStr"/>
      <c r="H5" s="16" t="inlineStr"/>
      <c r="I5" s="15" t="inlineStr"/>
      <c r="J5" s="16" t="inlineStr">
        <is>
          <t>Resolved</t>
        </is>
      </c>
    </row>
    <row r="6" ht="24" customHeight="1">
      <c r="B6" s="8" t="inlineStr">
        <is>
          <t>SWC/GRV/2024/002</t>
        </is>
      </c>
      <c r="C6" s="9" t="inlineStr"/>
      <c r="D6" s="8" t="inlineStr">
        <is>
          <t>SC/ST</t>
        </is>
      </c>
      <c r="E6" s="10" t="inlineStr">
        <is>
          <t>Fee concession not given</t>
        </is>
      </c>
      <c r="F6" s="10" t="inlineStr"/>
      <c r="G6" s="10" t="inlineStr"/>
      <c r="H6" s="10" t="inlineStr"/>
      <c r="I6" s="9" t="inlineStr"/>
      <c r="J6" s="10" t="inlineStr">
        <is>
          <t>In Progress</t>
        </is>
      </c>
    </row>
    <row r="7" ht="24" customHeight="1">
      <c r="B7" s="14" t="inlineStr">
        <is>
          <t>SWC/GRV/2024/003</t>
        </is>
      </c>
      <c r="C7" s="15" t="inlineStr"/>
      <c r="D7" s="14" t="inlineStr">
        <is>
          <t>OBC/EWS</t>
        </is>
      </c>
      <c r="E7" s="16" t="inlineStr">
        <is>
          <t>Hostel issue</t>
        </is>
      </c>
      <c r="F7" s="16" t="inlineStr"/>
      <c r="G7" s="16" t="inlineStr"/>
      <c r="H7" s="16" t="inlineStr"/>
      <c r="I7" s="15" t="inlineStr"/>
      <c r="J7" s="16" t="inlineStr">
        <is>
          <t>Escalated</t>
        </is>
      </c>
    </row>
    <row r="8" ht="24" customHeight="1">
      <c r="B8" s="8" t="inlineStr">
        <is>
          <t>SWC/GRV/2024/004</t>
        </is>
      </c>
      <c r="C8" s="9" t="inlineStr"/>
      <c r="D8" s="8" t="inlineStr">
        <is>
          <t>Minority</t>
        </is>
      </c>
      <c r="E8" s="10" t="inlineStr">
        <is>
          <t>Medical assistance</t>
        </is>
      </c>
      <c r="F8" s="10" t="inlineStr"/>
      <c r="G8" s="10" t="inlineStr"/>
      <c r="H8" s="10" t="inlineStr"/>
      <c r="I8" s="9" t="inlineStr"/>
      <c r="J8" s="10" t="inlineStr">
        <is>
          <t>Pending</t>
        </is>
      </c>
    </row>
    <row r="9" ht="24" customHeight="1">
      <c r="B9" s="14" t="inlineStr">
        <is>
          <t>SWC/GRV/2024/005</t>
        </is>
      </c>
      <c r="C9" s="15" t="inlineStr"/>
      <c r="D9" s="14" t="inlineStr">
        <is>
          <t>Divyangjan</t>
        </is>
      </c>
      <c r="E9" s="16" t="inlineStr">
        <is>
          <t>Financial hardship</t>
        </is>
      </c>
      <c r="F9" s="16" t="inlineStr"/>
      <c r="G9" s="16" t="inlineStr"/>
      <c r="H9" s="16" t="inlineStr"/>
      <c r="I9" s="15" t="inlineStr"/>
      <c r="J9" s="16" t="inlineStr">
        <is>
          <t>Referred to External Authority</t>
        </is>
      </c>
    </row>
    <row r="10" ht="24" customHeight="1">
      <c r="B10" s="8" t="inlineStr">
        <is>
          <t>SWC/GRV/2024/006</t>
        </is>
      </c>
      <c r="C10" s="9" t="inlineStr"/>
      <c r="D10" s="8" t="inlineStr">
        <is>
          <t>Women</t>
        </is>
      </c>
      <c r="E10" s="10" t="inlineStr">
        <is>
          <t>Canteen / food quality</t>
        </is>
      </c>
      <c r="F10" s="10" t="inlineStr"/>
      <c r="G10" s="10" t="inlineStr"/>
      <c r="H10" s="10" t="inlineStr"/>
      <c r="I10" s="9" t="inlineStr"/>
      <c r="J10" s="10" t="inlineStr">
        <is>
          <t>Resolved</t>
        </is>
      </c>
    </row>
    <row r="11" ht="24" customHeight="1">
      <c r="B11" s="14" t="inlineStr">
        <is>
          <t>SWC/GRV/2024/007</t>
        </is>
      </c>
      <c r="C11" s="15" t="inlineStr"/>
      <c r="D11" s="14" t="inlineStr">
        <is>
          <t>General</t>
        </is>
      </c>
      <c r="E11" s="16" t="inlineStr">
        <is>
          <t>Discrimination allegation</t>
        </is>
      </c>
      <c r="F11" s="16" t="inlineStr"/>
      <c r="G11" s="16" t="inlineStr"/>
      <c r="H11" s="16" t="inlineStr"/>
      <c r="I11" s="15" t="inlineStr"/>
      <c r="J11" s="16" t="inlineStr">
        <is>
          <t>In Progress</t>
        </is>
      </c>
    </row>
    <row r="12" ht="24" customHeight="1">
      <c r="B12" s="8" t="inlineStr">
        <is>
          <t>SWC/GRV/2024/008</t>
        </is>
      </c>
      <c r="C12" s="9" t="inlineStr"/>
      <c r="D12" s="8" t="inlineStr">
        <is>
          <t>SC/ST</t>
        </is>
      </c>
      <c r="E12" s="10" t="inlineStr">
        <is>
          <t>Mental health support</t>
        </is>
      </c>
      <c r="F12" s="10" t="inlineStr"/>
      <c r="G12" s="10" t="inlineStr"/>
      <c r="H12" s="10" t="inlineStr"/>
      <c r="I12" s="9" t="inlineStr"/>
      <c r="J12" s="10" t="inlineStr">
        <is>
          <t>Escalated</t>
        </is>
      </c>
    </row>
    <row r="13" ht="24" customHeight="1">
      <c r="B13" s="14" t="inlineStr">
        <is>
          <t>SWC/GRV/2024/009</t>
        </is>
      </c>
      <c r="C13" s="15" t="inlineStr"/>
      <c r="D13" s="14" t="inlineStr">
        <is>
          <t>OBC/EWS</t>
        </is>
      </c>
      <c r="E13" s="16" t="inlineStr">
        <is>
          <t>Anti-ragging welfare</t>
        </is>
      </c>
      <c r="F13" s="16" t="inlineStr"/>
      <c r="G13" s="16" t="inlineStr"/>
      <c r="H13" s="16" t="inlineStr"/>
      <c r="I13" s="15" t="inlineStr"/>
      <c r="J13" s="16" t="inlineStr">
        <is>
          <t>Pending</t>
        </is>
      </c>
    </row>
    <row r="14" ht="24" customHeight="1">
      <c r="B14" s="8" t="inlineStr">
        <is>
          <t>SWC/GRV/2024/010</t>
        </is>
      </c>
      <c r="C14" s="9" t="inlineStr"/>
      <c r="D14" s="8" t="inlineStr">
        <is>
          <t>Minority</t>
        </is>
      </c>
      <c r="E14" s="10" t="inlineStr">
        <is>
          <t>Library access</t>
        </is>
      </c>
      <c r="F14" s="10" t="inlineStr"/>
      <c r="G14" s="10" t="inlineStr"/>
      <c r="H14" s="10" t="inlineStr"/>
      <c r="I14" s="9" t="inlineStr"/>
      <c r="J14" s="10" t="inlineStr">
        <is>
          <t>Referred to External Authority</t>
        </is>
      </c>
    </row>
    <row r="15" ht="24" customHeight="1">
      <c r="B15" s="14" t="inlineStr">
        <is>
          <t>SWC/GRV/2024/011</t>
        </is>
      </c>
      <c r="C15" s="15" t="inlineStr"/>
      <c r="D15" s="14" t="inlineStr">
        <is>
          <t>Divyangjan</t>
        </is>
      </c>
      <c r="E15" s="16" t="inlineStr">
        <is>
          <t>Transportation</t>
        </is>
      </c>
      <c r="F15" s="16" t="inlineStr"/>
      <c r="G15" s="16" t="inlineStr"/>
      <c r="H15" s="16" t="inlineStr"/>
      <c r="I15" s="15" t="inlineStr"/>
      <c r="J15" s="16" t="inlineStr">
        <is>
          <t>Resolved</t>
        </is>
      </c>
    </row>
    <row r="16" ht="24" customHeight="1">
      <c r="B16" s="8" t="inlineStr">
        <is>
          <t>SWC/GRV/2024/012</t>
        </is>
      </c>
      <c r="C16" s="9" t="inlineStr"/>
      <c r="D16" s="8" t="inlineStr">
        <is>
          <t>Women</t>
        </is>
      </c>
      <c r="E16" s="10" t="inlineStr">
        <is>
          <t>General welfare concern</t>
        </is>
      </c>
      <c r="F16" s="10" t="inlineStr"/>
      <c r="G16" s="10" t="inlineStr"/>
      <c r="H16" s="10" t="inlineStr"/>
      <c r="I16" s="9" t="inlineStr"/>
      <c r="J16" s="10" t="inlineStr">
        <is>
          <t>In Progress</t>
        </is>
      </c>
    </row>
    <row r="17" ht="24" customHeight="1">
      <c r="B17" s="14" t="inlineStr">
        <is>
          <t>SWC/GRV/2025/013</t>
        </is>
      </c>
      <c r="C17" s="15" t="inlineStr"/>
      <c r="D17" s="14" t="inlineStr">
        <is>
          <t>General</t>
        </is>
      </c>
      <c r="E17" s="16" t="inlineStr">
        <is>
          <t>Scholarship non-receipt</t>
        </is>
      </c>
      <c r="F17" s="16" t="inlineStr"/>
      <c r="G17" s="16" t="inlineStr"/>
      <c r="H17" s="16" t="inlineStr"/>
      <c r="I17" s="15" t="inlineStr"/>
      <c r="J17" s="16" t="inlineStr">
        <is>
          <t>Escalated</t>
        </is>
      </c>
    </row>
    <row r="18" ht="24" customHeight="1">
      <c r="B18" s="8" t="inlineStr">
        <is>
          <t>SWC/GRV/2025/014</t>
        </is>
      </c>
      <c r="C18" s="9" t="inlineStr"/>
      <c r="D18" s="8" t="inlineStr">
        <is>
          <t>SC/ST</t>
        </is>
      </c>
      <c r="E18" s="10" t="inlineStr">
        <is>
          <t>Fee concession not given</t>
        </is>
      </c>
      <c r="F18" s="10" t="inlineStr"/>
      <c r="G18" s="10" t="inlineStr"/>
      <c r="H18" s="10" t="inlineStr"/>
      <c r="I18" s="9" t="inlineStr"/>
      <c r="J18" s="10" t="inlineStr">
        <is>
          <t>Pending</t>
        </is>
      </c>
    </row>
    <row r="19" ht="24" customHeight="1">
      <c r="B19" s="14" t="inlineStr">
        <is>
          <t>SWC/GRV/2025/015</t>
        </is>
      </c>
      <c r="C19" s="15" t="inlineStr"/>
      <c r="D19" s="14" t="inlineStr">
        <is>
          <t>OBC/EWS</t>
        </is>
      </c>
      <c r="E19" s="16" t="inlineStr">
        <is>
          <t>Hostel issue</t>
        </is>
      </c>
      <c r="F19" s="16" t="inlineStr"/>
      <c r="G19" s="16" t="inlineStr"/>
      <c r="H19" s="16" t="inlineStr"/>
      <c r="I19" s="15" t="inlineStr"/>
      <c r="J19" s="16" t="inlineStr">
        <is>
          <t>Referred to External Authority</t>
        </is>
      </c>
    </row>
    <row r="20" ht="24" customHeight="1">
      <c r="B20" s="8" t="inlineStr">
        <is>
          <t>SWC/GRV/2025/016</t>
        </is>
      </c>
      <c r="C20" s="9" t="inlineStr"/>
      <c r="D20" s="8" t="inlineStr">
        <is>
          <t>Minority</t>
        </is>
      </c>
      <c r="E20" s="10" t="inlineStr">
        <is>
          <t>Medical assistance</t>
        </is>
      </c>
      <c r="F20" s="10" t="inlineStr"/>
      <c r="G20" s="10" t="inlineStr"/>
      <c r="H20" s="10" t="inlineStr"/>
      <c r="I20" s="9" t="inlineStr"/>
      <c r="J20" s="10" t="inlineStr">
        <is>
          <t>Resolved</t>
        </is>
      </c>
    </row>
    <row r="21" ht="24" customHeight="1">
      <c r="B21" s="14" t="inlineStr">
        <is>
          <t>SWC/GRV/2025/017</t>
        </is>
      </c>
      <c r="C21" s="15" t="inlineStr"/>
      <c r="D21" s="14" t="inlineStr">
        <is>
          <t>Divyangjan</t>
        </is>
      </c>
      <c r="E21" s="16" t="inlineStr">
        <is>
          <t>Financial hardship</t>
        </is>
      </c>
      <c r="F21" s="16" t="inlineStr"/>
      <c r="G21" s="16" t="inlineStr"/>
      <c r="H21" s="16" t="inlineStr"/>
      <c r="I21" s="15" t="inlineStr"/>
      <c r="J21" s="16" t="inlineStr">
        <is>
          <t>In Progress</t>
        </is>
      </c>
    </row>
    <row r="22" ht="24" customHeight="1">
      <c r="B22" s="8" t="inlineStr">
        <is>
          <t>SWC/GRV/2025/018</t>
        </is>
      </c>
      <c r="C22" s="9" t="inlineStr"/>
      <c r="D22" s="8" t="inlineStr">
        <is>
          <t>Women</t>
        </is>
      </c>
      <c r="E22" s="10" t="inlineStr">
        <is>
          <t>Canteen / food quality</t>
        </is>
      </c>
      <c r="F22" s="10" t="inlineStr"/>
      <c r="G22" s="10" t="inlineStr"/>
      <c r="H22" s="10" t="inlineStr"/>
      <c r="I22" s="9" t="inlineStr"/>
      <c r="J22" s="10" t="inlineStr">
        <is>
          <t>Escalated</t>
        </is>
      </c>
    </row>
    <row r="23" ht="24" customHeight="1">
      <c r="B23" s="14" t="inlineStr">
        <is>
          <t>SWC/GRV/2025/019</t>
        </is>
      </c>
      <c r="C23" s="15" t="inlineStr"/>
      <c r="D23" s="14" t="inlineStr">
        <is>
          <t>General</t>
        </is>
      </c>
      <c r="E23" s="16" t="inlineStr">
        <is>
          <t>Discrimination allegation</t>
        </is>
      </c>
      <c r="F23" s="16" t="inlineStr"/>
      <c r="G23" s="16" t="inlineStr"/>
      <c r="H23" s="16" t="inlineStr"/>
      <c r="I23" s="15" t="inlineStr"/>
      <c r="J23" s="16" t="inlineStr">
        <is>
          <t>Pending</t>
        </is>
      </c>
    </row>
    <row r="24" ht="24" customHeight="1">
      <c r="B24" s="8" t="inlineStr">
        <is>
          <t>SWC/GRV/2025/020</t>
        </is>
      </c>
      <c r="C24" s="9" t="inlineStr"/>
      <c r="D24" s="8" t="inlineStr">
        <is>
          <t>SC/ST</t>
        </is>
      </c>
      <c r="E24" s="10" t="inlineStr">
        <is>
          <t>Mental health support</t>
        </is>
      </c>
      <c r="F24" s="10" t="inlineStr"/>
      <c r="G24" s="10" t="inlineStr"/>
      <c r="H24" s="10" t="inlineStr"/>
      <c r="I24" s="9" t="inlineStr"/>
      <c r="J24" s="10" t="inlineStr">
        <is>
          <t>Referred to External Authority</t>
        </is>
      </c>
    </row>
    <row r="25" ht="24" customHeight="1">
      <c r="B25" s="14" t="inlineStr">
        <is>
          <t>SWC/GRV/2025/021</t>
        </is>
      </c>
      <c r="C25" s="15" t="inlineStr"/>
      <c r="D25" s="14" t="inlineStr">
        <is>
          <t>OBC/EWS</t>
        </is>
      </c>
      <c r="E25" s="16" t="inlineStr">
        <is>
          <t>Anti-ragging welfare</t>
        </is>
      </c>
      <c r="F25" s="16" t="inlineStr"/>
      <c r="G25" s="16" t="inlineStr"/>
      <c r="H25" s="16" t="inlineStr"/>
      <c r="I25" s="15" t="inlineStr"/>
      <c r="J25" s="16" t="inlineStr">
        <is>
          <t>Resolved</t>
        </is>
      </c>
    </row>
    <row r="26" ht="24" customHeight="1">
      <c r="B26" s="8" t="inlineStr">
        <is>
          <t>SWC/GRV/2025/022</t>
        </is>
      </c>
      <c r="C26" s="9" t="inlineStr"/>
      <c r="D26" s="8" t="inlineStr">
        <is>
          <t>Minority</t>
        </is>
      </c>
      <c r="E26" s="10" t="inlineStr">
        <is>
          <t>Library access</t>
        </is>
      </c>
      <c r="F26" s="10" t="inlineStr"/>
      <c r="G26" s="10" t="inlineStr"/>
      <c r="H26" s="10" t="inlineStr"/>
      <c r="I26" s="9" t="inlineStr"/>
      <c r="J26" s="10" t="inlineStr">
        <is>
          <t>In Progress</t>
        </is>
      </c>
    </row>
    <row r="27" ht="24" customHeight="1">
      <c r="B27" s="14" t="inlineStr">
        <is>
          <t>SWC/GRV/2025/023</t>
        </is>
      </c>
      <c r="C27" s="15" t="inlineStr"/>
      <c r="D27" s="14" t="inlineStr">
        <is>
          <t>Divyangjan</t>
        </is>
      </c>
      <c r="E27" s="16" t="inlineStr">
        <is>
          <t>Transportation</t>
        </is>
      </c>
      <c r="F27" s="16" t="inlineStr"/>
      <c r="G27" s="16" t="inlineStr"/>
      <c r="H27" s="16" t="inlineStr"/>
      <c r="I27" s="15" t="inlineStr"/>
      <c r="J27" s="16" t="inlineStr">
        <is>
          <t>Escalated</t>
        </is>
      </c>
    </row>
    <row r="28" ht="24" customHeight="1">
      <c r="B28" s="8" t="inlineStr">
        <is>
          <t>SWC/GRV/2025/024</t>
        </is>
      </c>
      <c r="C28" s="9" t="inlineStr"/>
      <c r="D28" s="8" t="inlineStr">
        <is>
          <t>Women</t>
        </is>
      </c>
      <c r="E28" s="10" t="inlineStr">
        <is>
          <t>General welfare concern</t>
        </is>
      </c>
      <c r="F28" s="10" t="inlineStr"/>
      <c r="G28" s="10" t="inlineStr"/>
      <c r="H28" s="10" t="inlineStr"/>
      <c r="I28" s="9" t="inlineStr"/>
      <c r="J28" s="10" t="inlineStr">
        <is>
          <t>Pending</t>
        </is>
      </c>
    </row>
    <row r="29" ht="24" customHeight="1"/>
    <row r="30" ht="24" customHeight="1">
      <c r="B30" s="34" t="inlineStr">
        <is>
          <t>GRIEVANCE SUMMARY — BY CATEGORY</t>
        </is>
      </c>
    </row>
    <row r="31" ht="24" customHeight="1">
      <c r="B31" s="30" t="inlineStr">
        <is>
          <t>Category</t>
        </is>
      </c>
      <c r="C31" s="30" t="inlineStr">
        <is>
          <t>Total
Grievances</t>
        </is>
      </c>
      <c r="D31" s="30" t="inlineStr">
        <is>
          <t>Resolved</t>
        </is>
      </c>
      <c r="E31" s="30" t="inlineStr">
        <is>
          <t>Pending</t>
        </is>
      </c>
      <c r="F31" s="30" t="inlineStr">
        <is>
          <t>Escalated</t>
        </is>
      </c>
      <c r="G31" s="30" t="inlineStr">
        <is>
          <t>Resolution
Rate %</t>
        </is>
      </c>
      <c r="H31" s="30" t="inlineStr">
        <is>
          <t>Avg. Days
to Resolve</t>
        </is>
      </c>
    </row>
    <row r="32" ht="24" customHeight="1">
      <c r="B32" s="32" t="inlineStr">
        <is>
          <t>General</t>
        </is>
      </c>
      <c r="C32" s="33" t="inlineStr"/>
      <c r="D32" s="33" t="inlineStr"/>
      <c r="E32" s="33" t="inlineStr"/>
      <c r="F32" s="33" t="inlineStr"/>
      <c r="G32" s="33">
        <f>IFERROR(ROUND(D32/C32*100,1),"")</f>
        <v/>
      </c>
      <c r="H32" s="33" t="inlineStr"/>
      <c r="I32" s="38" t="n"/>
      <c r="J32" s="38" t="n"/>
    </row>
    <row r="33" ht="24" customHeight="1">
      <c r="B33" s="9" t="inlineStr">
        <is>
          <t>SC/ST</t>
        </is>
      </c>
      <c r="C33" s="10" t="inlineStr"/>
      <c r="D33" s="10" t="inlineStr"/>
      <c r="E33" s="10" t="inlineStr"/>
      <c r="F33" s="10" t="inlineStr"/>
      <c r="G33" s="10">
        <f>IFERROR(ROUND(D33/C33*100,1),"")</f>
        <v/>
      </c>
      <c r="H33" s="10" t="inlineStr"/>
      <c r="I33" s="39" t="n"/>
      <c r="J33" s="39" t="n"/>
    </row>
    <row r="34" ht="24" customHeight="1">
      <c r="B34" s="32" t="inlineStr">
        <is>
          <t>OBC/EWS</t>
        </is>
      </c>
      <c r="C34" s="33" t="inlineStr"/>
      <c r="D34" s="33" t="inlineStr"/>
      <c r="E34" s="33" t="inlineStr"/>
      <c r="F34" s="33" t="inlineStr"/>
      <c r="G34" s="33">
        <f>IFERROR(ROUND(D34/C34*100,1),"")</f>
        <v/>
      </c>
      <c r="H34" s="33" t="inlineStr"/>
      <c r="I34" s="38" t="n"/>
      <c r="J34" s="38" t="n"/>
    </row>
    <row r="35" ht="24" customHeight="1">
      <c r="B35" s="9" t="inlineStr">
        <is>
          <t>Minority</t>
        </is>
      </c>
      <c r="C35" s="10" t="inlineStr"/>
      <c r="D35" s="10" t="inlineStr"/>
      <c r="E35" s="10" t="inlineStr"/>
      <c r="F35" s="10" t="inlineStr"/>
      <c r="G35" s="10">
        <f>IFERROR(ROUND(D35/C35*100,1),"")</f>
        <v/>
      </c>
      <c r="H35" s="10" t="inlineStr"/>
      <c r="I35" s="39" t="n"/>
      <c r="J35" s="39" t="n"/>
    </row>
    <row r="36">
      <c r="B36" s="32" t="inlineStr">
        <is>
          <t>Divyangjan</t>
        </is>
      </c>
      <c r="C36" s="33" t="inlineStr"/>
      <c r="D36" s="33" t="inlineStr"/>
      <c r="E36" s="33" t="inlineStr"/>
      <c r="F36" s="33" t="inlineStr"/>
      <c r="G36" s="33">
        <f>IFERROR(ROUND(D36/C36*100,1),"")</f>
        <v/>
      </c>
      <c r="H36" s="33" t="inlineStr"/>
      <c r="I36" s="38" t="n"/>
      <c r="J36" s="38" t="n"/>
    </row>
    <row r="37">
      <c r="B37" s="9" t="inlineStr">
        <is>
          <t>Women</t>
        </is>
      </c>
      <c r="C37" s="10" t="inlineStr"/>
      <c r="D37" s="10" t="inlineStr"/>
      <c r="E37" s="10" t="inlineStr"/>
      <c r="F37" s="10" t="inlineStr"/>
      <c r="G37" s="10">
        <f>IFERROR(ROUND(D37/C37*100,1),"")</f>
        <v/>
      </c>
      <c r="H37" s="10" t="inlineStr"/>
      <c r="I37" s="39" t="n"/>
      <c r="J37" s="39" t="n"/>
    </row>
    <row r="38">
      <c r="B38" s="23" t="inlineStr">
        <is>
          <t>TOTAL</t>
        </is>
      </c>
      <c r="C38" s="40" t="inlineStr"/>
      <c r="D38" s="40" t="inlineStr"/>
      <c r="E38" s="40" t="inlineStr"/>
      <c r="F38" s="40" t="inlineStr"/>
      <c r="G38" s="40">
        <f>IFERROR(ROUND(D38/C38*100,1),"")</f>
        <v/>
      </c>
      <c r="H38" s="40" t="inlineStr"/>
      <c r="I38" s="41" t="n"/>
      <c r="J38" s="41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SC-02: SC/ST STUDENT ENROLMENT &amp; PROFILE REGISTER</t>
        </is>
      </c>
    </row>
    <row r="3" ht="25" customHeight="1">
      <c r="B3" s="2" t="inlineStr">
        <is>
          <t>A.Y.: _______  SC/ST Cell Coordinator: ___________________  Statutory Ref.: SC/ST (PoA) Act 1989 / UGC Equity Regulations</t>
        </is>
      </c>
    </row>
    <row r="4" ht="25" customHeight="1">
      <c r="B4" s="13" t="inlineStr">
        <is>
          <t>Student
Ref.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Category
(SC/ST)</t>
        </is>
      </c>
      <c r="F4" s="13" t="inlineStr">
        <is>
          <t>Sub-Caste
(if applicable)</t>
        </is>
      </c>
      <c r="G4" s="13" t="inlineStr">
        <is>
          <t>Programme
&amp; Year</t>
        </is>
      </c>
      <c r="H4" s="13" t="inlineStr">
        <is>
          <t>Dept.</t>
        </is>
      </c>
      <c r="I4" s="13" t="inlineStr">
        <is>
          <t>Caste
Cert. Verified</t>
        </is>
      </c>
      <c r="J4" s="13" t="inlineStr">
        <is>
          <t>Scholarship
Eligible</t>
        </is>
      </c>
      <c r="K4" s="13" t="inlineStr">
        <is>
          <t>Current
Scholarship</t>
        </is>
      </c>
      <c r="L4" s="13" t="inlineStr">
        <is>
          <t>Academic
Status</t>
        </is>
      </c>
    </row>
    <row r="5" ht="22" customHeight="1">
      <c r="B5" s="14" t="inlineStr">
        <is>
          <t>SC-ST/0001</t>
        </is>
      </c>
      <c r="C5" s="15" t="inlineStr"/>
      <c r="D5" s="16" t="inlineStr"/>
      <c r="E5" s="14" t="inlineStr">
        <is>
          <t>SC</t>
        </is>
      </c>
      <c r="F5" s="16" t="inlineStr"/>
      <c r="G5" s="16" t="inlineStr"/>
      <c r="H5" s="16" t="inlineStr"/>
      <c r="I5" s="16" t="inlineStr">
        <is>
          <t>Y</t>
        </is>
      </c>
      <c r="J5" s="16" t="inlineStr">
        <is>
          <t>Y</t>
        </is>
      </c>
      <c r="K5" s="16" t="inlineStr">
        <is>
          <t>Post-Matric</t>
        </is>
      </c>
      <c r="L5" s="16" t="inlineStr">
        <is>
          <t>Regular</t>
        </is>
      </c>
    </row>
    <row r="6" ht="22" customHeight="1">
      <c r="B6" s="8" t="inlineStr">
        <is>
          <t>SC-ST/0002</t>
        </is>
      </c>
      <c r="C6" s="9" t="inlineStr"/>
      <c r="D6" s="10" t="inlineStr"/>
      <c r="E6" s="8" t="inlineStr">
        <is>
          <t>SC</t>
        </is>
      </c>
      <c r="F6" s="10" t="inlineStr"/>
      <c r="G6" s="10" t="inlineStr"/>
      <c r="H6" s="10" t="inlineStr"/>
      <c r="I6" s="10" t="inlineStr">
        <is>
          <t>Y</t>
        </is>
      </c>
      <c r="J6" s="10" t="inlineStr">
        <is>
          <t>Y</t>
        </is>
      </c>
      <c r="K6" s="10" t="inlineStr">
        <is>
          <t>Post-Matric</t>
        </is>
      </c>
      <c r="L6" s="10" t="inlineStr">
        <is>
          <t>Regular</t>
        </is>
      </c>
    </row>
    <row r="7" ht="22" customHeight="1">
      <c r="B7" s="14" t="inlineStr">
        <is>
          <t>SC-ST/0003</t>
        </is>
      </c>
      <c r="C7" s="15" t="inlineStr"/>
      <c r="D7" s="16" t="inlineStr"/>
      <c r="E7" s="14" t="inlineStr">
        <is>
          <t>ST</t>
        </is>
      </c>
      <c r="F7" s="16" t="inlineStr"/>
      <c r="G7" s="16" t="inlineStr"/>
      <c r="H7" s="16" t="inlineStr"/>
      <c r="I7" s="16" t="inlineStr">
        <is>
          <t>Y</t>
        </is>
      </c>
      <c r="J7" s="16" t="inlineStr">
        <is>
          <t>Y</t>
        </is>
      </c>
      <c r="K7" s="16" t="inlineStr">
        <is>
          <t>Post-Matric</t>
        </is>
      </c>
      <c r="L7" s="16" t="inlineStr">
        <is>
          <t>Regular</t>
        </is>
      </c>
    </row>
    <row r="8" ht="22" customHeight="1">
      <c r="B8" s="8" t="inlineStr">
        <is>
          <t>SC-ST/0004</t>
        </is>
      </c>
      <c r="C8" s="9" t="inlineStr"/>
      <c r="D8" s="10" t="inlineStr"/>
      <c r="E8" s="8" t="inlineStr">
        <is>
          <t>SC</t>
        </is>
      </c>
      <c r="F8" s="10" t="inlineStr"/>
      <c r="G8" s="10" t="inlineStr"/>
      <c r="H8" s="10" t="inlineStr"/>
      <c r="I8" s="10" t="inlineStr">
        <is>
          <t>Y</t>
        </is>
      </c>
      <c r="J8" s="10" t="inlineStr">
        <is>
          <t>Y</t>
        </is>
      </c>
      <c r="K8" s="10" t="inlineStr">
        <is>
          <t>Post-Matric</t>
        </is>
      </c>
      <c r="L8" s="10" t="inlineStr">
        <is>
          <t>Regular</t>
        </is>
      </c>
    </row>
    <row r="9" ht="22" customHeight="1">
      <c r="B9" s="14" t="inlineStr">
        <is>
          <t>SC-ST/0005</t>
        </is>
      </c>
      <c r="C9" s="15" t="inlineStr"/>
      <c r="D9" s="16" t="inlineStr"/>
      <c r="E9" s="14" t="inlineStr">
        <is>
          <t>SC</t>
        </is>
      </c>
      <c r="F9" s="16" t="inlineStr"/>
      <c r="G9" s="16" t="inlineStr"/>
      <c r="H9" s="16" t="inlineStr"/>
      <c r="I9" s="16" t="inlineStr">
        <is>
          <t>Y</t>
        </is>
      </c>
      <c r="J9" s="16" t="inlineStr">
        <is>
          <t>Y</t>
        </is>
      </c>
      <c r="K9" s="16" t="inlineStr">
        <is>
          <t>Post-Matric</t>
        </is>
      </c>
      <c r="L9" s="16" t="inlineStr">
        <is>
          <t>Regular</t>
        </is>
      </c>
    </row>
    <row r="10" ht="22" customHeight="1">
      <c r="B10" s="8" t="inlineStr">
        <is>
          <t>SC-ST/0006</t>
        </is>
      </c>
      <c r="C10" s="9" t="inlineStr"/>
      <c r="D10" s="10" t="inlineStr"/>
      <c r="E10" s="8" t="inlineStr">
        <is>
          <t>ST</t>
        </is>
      </c>
      <c r="F10" s="10" t="inlineStr"/>
      <c r="G10" s="10" t="inlineStr"/>
      <c r="H10" s="10" t="inlineStr"/>
      <c r="I10" s="10" t="inlineStr">
        <is>
          <t>Y</t>
        </is>
      </c>
      <c r="J10" s="10" t="inlineStr">
        <is>
          <t>Y</t>
        </is>
      </c>
      <c r="K10" s="10" t="inlineStr">
        <is>
          <t>Post-Matric</t>
        </is>
      </c>
      <c r="L10" s="10" t="inlineStr">
        <is>
          <t>Regular</t>
        </is>
      </c>
    </row>
    <row r="11" ht="22" customHeight="1">
      <c r="B11" s="14" t="inlineStr">
        <is>
          <t>SC-ST/0007</t>
        </is>
      </c>
      <c r="C11" s="15" t="inlineStr"/>
      <c r="D11" s="16" t="inlineStr"/>
      <c r="E11" s="14" t="inlineStr">
        <is>
          <t>SC</t>
        </is>
      </c>
      <c r="F11" s="16" t="inlineStr"/>
      <c r="G11" s="16" t="inlineStr"/>
      <c r="H11" s="16" t="inlineStr"/>
      <c r="I11" s="16" t="inlineStr">
        <is>
          <t>Y</t>
        </is>
      </c>
      <c r="J11" s="16" t="inlineStr">
        <is>
          <t>Y</t>
        </is>
      </c>
      <c r="K11" s="16" t="inlineStr">
        <is>
          <t>Post-Matric</t>
        </is>
      </c>
      <c r="L11" s="16" t="inlineStr">
        <is>
          <t>Regular</t>
        </is>
      </c>
    </row>
    <row r="12" ht="22" customHeight="1">
      <c r="B12" s="8" t="inlineStr">
        <is>
          <t>SC-ST/0008</t>
        </is>
      </c>
      <c r="C12" s="9" t="inlineStr"/>
      <c r="D12" s="10" t="inlineStr"/>
      <c r="E12" s="8" t="inlineStr">
        <is>
          <t>SC</t>
        </is>
      </c>
      <c r="F12" s="10" t="inlineStr"/>
      <c r="G12" s="10" t="inlineStr"/>
      <c r="H12" s="10" t="inlineStr"/>
      <c r="I12" s="10" t="inlineStr">
        <is>
          <t>Y</t>
        </is>
      </c>
      <c r="J12" s="10" t="inlineStr">
        <is>
          <t>Y</t>
        </is>
      </c>
      <c r="K12" s="10" t="inlineStr">
        <is>
          <t>Post-Matric</t>
        </is>
      </c>
      <c r="L12" s="10" t="inlineStr">
        <is>
          <t>Regular</t>
        </is>
      </c>
    </row>
    <row r="13" ht="22" customHeight="1">
      <c r="B13" s="14" t="inlineStr">
        <is>
          <t>SC-ST/0009</t>
        </is>
      </c>
      <c r="C13" s="15" t="inlineStr"/>
      <c r="D13" s="16" t="inlineStr"/>
      <c r="E13" s="14" t="inlineStr">
        <is>
          <t>ST</t>
        </is>
      </c>
      <c r="F13" s="16" t="inlineStr"/>
      <c r="G13" s="16" t="inlineStr"/>
      <c r="H13" s="16" t="inlineStr"/>
      <c r="I13" s="16" t="inlineStr">
        <is>
          <t>Y</t>
        </is>
      </c>
      <c r="J13" s="16" t="inlineStr">
        <is>
          <t>Y</t>
        </is>
      </c>
      <c r="K13" s="16" t="inlineStr">
        <is>
          <t>Post-Matric</t>
        </is>
      </c>
      <c r="L13" s="16" t="inlineStr">
        <is>
          <t>Regular</t>
        </is>
      </c>
    </row>
    <row r="14" ht="22" customHeight="1">
      <c r="B14" s="8" t="inlineStr">
        <is>
          <t>SC-ST/0010</t>
        </is>
      </c>
      <c r="C14" s="9" t="inlineStr"/>
      <c r="D14" s="10" t="inlineStr"/>
      <c r="E14" s="8" t="inlineStr">
        <is>
          <t>SC</t>
        </is>
      </c>
      <c r="F14" s="10" t="inlineStr"/>
      <c r="G14" s="10" t="inlineStr"/>
      <c r="H14" s="10" t="inlineStr"/>
      <c r="I14" s="10" t="inlineStr">
        <is>
          <t>Y</t>
        </is>
      </c>
      <c r="J14" s="10" t="inlineStr">
        <is>
          <t>Y</t>
        </is>
      </c>
      <c r="K14" s="10" t="inlineStr">
        <is>
          <t>Post-Matric</t>
        </is>
      </c>
      <c r="L14" s="10" t="inlineStr">
        <is>
          <t>Regular</t>
        </is>
      </c>
    </row>
    <row r="15" ht="22" customHeight="1">
      <c r="B15" s="14" t="inlineStr">
        <is>
          <t>SC-ST/0011</t>
        </is>
      </c>
      <c r="C15" s="15" t="inlineStr"/>
      <c r="D15" s="16" t="inlineStr"/>
      <c r="E15" s="14" t="inlineStr">
        <is>
          <t>SC</t>
        </is>
      </c>
      <c r="F15" s="16" t="inlineStr"/>
      <c r="G15" s="16" t="inlineStr"/>
      <c r="H15" s="16" t="inlineStr"/>
      <c r="I15" s="16" t="inlineStr">
        <is>
          <t>Y</t>
        </is>
      </c>
      <c r="J15" s="16" t="inlineStr">
        <is>
          <t>Y</t>
        </is>
      </c>
      <c r="K15" s="16" t="inlineStr">
        <is>
          <t>Post-Matric</t>
        </is>
      </c>
      <c r="L15" s="16" t="inlineStr">
        <is>
          <t>Regular</t>
        </is>
      </c>
    </row>
    <row r="16" ht="22" customHeight="1">
      <c r="B16" s="8" t="inlineStr">
        <is>
          <t>SC-ST/0012</t>
        </is>
      </c>
      <c r="C16" s="9" t="inlineStr"/>
      <c r="D16" s="10" t="inlineStr"/>
      <c r="E16" s="8" t="inlineStr">
        <is>
          <t>ST</t>
        </is>
      </c>
      <c r="F16" s="10" t="inlineStr"/>
      <c r="G16" s="10" t="inlineStr"/>
      <c r="H16" s="10" t="inlineStr"/>
      <c r="I16" s="10" t="inlineStr">
        <is>
          <t>Y</t>
        </is>
      </c>
      <c r="J16" s="10" t="inlineStr">
        <is>
          <t>Y</t>
        </is>
      </c>
      <c r="K16" s="10" t="inlineStr">
        <is>
          <t>Post-Matric</t>
        </is>
      </c>
      <c r="L16" s="10" t="inlineStr">
        <is>
          <t>Regular</t>
        </is>
      </c>
    </row>
    <row r="17" ht="22" customHeight="1">
      <c r="B17" s="14" t="inlineStr">
        <is>
          <t>SC-ST/0013</t>
        </is>
      </c>
      <c r="C17" s="15" t="inlineStr"/>
      <c r="D17" s="16" t="inlineStr"/>
      <c r="E17" s="14" t="inlineStr">
        <is>
          <t>SC</t>
        </is>
      </c>
      <c r="F17" s="16" t="inlineStr"/>
      <c r="G17" s="16" t="inlineStr"/>
      <c r="H17" s="16" t="inlineStr"/>
      <c r="I17" s="16" t="inlineStr">
        <is>
          <t>Y</t>
        </is>
      </c>
      <c r="J17" s="16" t="inlineStr">
        <is>
          <t>Y</t>
        </is>
      </c>
      <c r="K17" s="16" t="inlineStr">
        <is>
          <t>Post-Matric</t>
        </is>
      </c>
      <c r="L17" s="16" t="inlineStr">
        <is>
          <t>Regular</t>
        </is>
      </c>
    </row>
    <row r="18" ht="22" customHeight="1">
      <c r="B18" s="8" t="inlineStr">
        <is>
          <t>SC-ST/0014</t>
        </is>
      </c>
      <c r="C18" s="9" t="inlineStr"/>
      <c r="D18" s="10" t="inlineStr"/>
      <c r="E18" s="8" t="inlineStr">
        <is>
          <t>SC</t>
        </is>
      </c>
      <c r="F18" s="10" t="inlineStr"/>
      <c r="G18" s="10" t="inlineStr"/>
      <c r="H18" s="10" t="inlineStr"/>
      <c r="I18" s="10" t="inlineStr">
        <is>
          <t>Y</t>
        </is>
      </c>
      <c r="J18" s="10" t="inlineStr">
        <is>
          <t>Y</t>
        </is>
      </c>
      <c r="K18" s="10" t="inlineStr">
        <is>
          <t>Post-Matric</t>
        </is>
      </c>
      <c r="L18" s="10" t="inlineStr">
        <is>
          <t>Regular</t>
        </is>
      </c>
    </row>
    <row r="19" ht="22" customHeight="1">
      <c r="B19" s="14" t="inlineStr">
        <is>
          <t>SC-ST/0015</t>
        </is>
      </c>
      <c r="C19" s="15" t="inlineStr"/>
      <c r="D19" s="16" t="inlineStr"/>
      <c r="E19" s="14" t="inlineStr">
        <is>
          <t>ST</t>
        </is>
      </c>
      <c r="F19" s="16" t="inlineStr"/>
      <c r="G19" s="16" t="inlineStr"/>
      <c r="H19" s="16" t="inlineStr"/>
      <c r="I19" s="16" t="inlineStr">
        <is>
          <t>Y</t>
        </is>
      </c>
      <c r="J19" s="16" t="inlineStr">
        <is>
          <t>Y</t>
        </is>
      </c>
      <c r="K19" s="16" t="inlineStr">
        <is>
          <t>Post-Matric</t>
        </is>
      </c>
      <c r="L19" s="16" t="inlineStr">
        <is>
          <t>Regular</t>
        </is>
      </c>
    </row>
    <row r="20" ht="22" customHeight="1">
      <c r="B20" s="8" t="inlineStr">
        <is>
          <t>SC-ST/0016</t>
        </is>
      </c>
      <c r="C20" s="9" t="inlineStr"/>
      <c r="D20" s="10" t="inlineStr"/>
      <c r="E20" s="8" t="inlineStr">
        <is>
          <t>SC</t>
        </is>
      </c>
      <c r="F20" s="10" t="inlineStr"/>
      <c r="G20" s="10" t="inlineStr"/>
      <c r="H20" s="10" t="inlineStr"/>
      <c r="I20" s="10" t="inlineStr">
        <is>
          <t>Y</t>
        </is>
      </c>
      <c r="J20" s="10" t="inlineStr">
        <is>
          <t>Y</t>
        </is>
      </c>
      <c r="K20" s="10" t="inlineStr">
        <is>
          <t>Post-Matric</t>
        </is>
      </c>
      <c r="L20" s="10" t="inlineStr">
        <is>
          <t>Regular</t>
        </is>
      </c>
    </row>
    <row r="21" ht="22" customHeight="1">
      <c r="B21" s="14" t="inlineStr">
        <is>
          <t>SC-ST/0017</t>
        </is>
      </c>
      <c r="C21" s="15" t="inlineStr"/>
      <c r="D21" s="16" t="inlineStr"/>
      <c r="E21" s="14" t="inlineStr">
        <is>
          <t>SC</t>
        </is>
      </c>
      <c r="F21" s="16" t="inlineStr"/>
      <c r="G21" s="16" t="inlineStr"/>
      <c r="H21" s="16" t="inlineStr"/>
      <c r="I21" s="16" t="inlineStr">
        <is>
          <t>Y</t>
        </is>
      </c>
      <c r="J21" s="16" t="inlineStr">
        <is>
          <t>Y</t>
        </is>
      </c>
      <c r="K21" s="16" t="inlineStr">
        <is>
          <t>Post-Matric</t>
        </is>
      </c>
      <c r="L21" s="16" t="inlineStr">
        <is>
          <t>Regular</t>
        </is>
      </c>
    </row>
    <row r="22" ht="22" customHeight="1">
      <c r="B22" s="8" t="inlineStr">
        <is>
          <t>SC-ST/0018</t>
        </is>
      </c>
      <c r="C22" s="9" t="inlineStr"/>
      <c r="D22" s="10" t="inlineStr"/>
      <c r="E22" s="8" t="inlineStr">
        <is>
          <t>ST</t>
        </is>
      </c>
      <c r="F22" s="10" t="inlineStr"/>
      <c r="G22" s="10" t="inlineStr"/>
      <c r="H22" s="10" t="inlineStr"/>
      <c r="I22" s="10" t="inlineStr">
        <is>
          <t>Y</t>
        </is>
      </c>
      <c r="J22" s="10" t="inlineStr">
        <is>
          <t>Y</t>
        </is>
      </c>
      <c r="K22" s="10" t="inlineStr">
        <is>
          <t>Post-Matric</t>
        </is>
      </c>
      <c r="L22" s="10" t="inlineStr">
        <is>
          <t>Regular</t>
        </is>
      </c>
    </row>
    <row r="23" ht="22" customHeight="1">
      <c r="B23" s="14" t="inlineStr">
        <is>
          <t>SC-ST/0019</t>
        </is>
      </c>
      <c r="C23" s="15" t="inlineStr"/>
      <c r="D23" s="16" t="inlineStr"/>
      <c r="E23" s="14" t="inlineStr">
        <is>
          <t>SC</t>
        </is>
      </c>
      <c r="F23" s="16" t="inlineStr"/>
      <c r="G23" s="16" t="inlineStr"/>
      <c r="H23" s="16" t="inlineStr"/>
      <c r="I23" s="16" t="inlineStr">
        <is>
          <t>Y</t>
        </is>
      </c>
      <c r="J23" s="16" t="inlineStr">
        <is>
          <t>Y</t>
        </is>
      </c>
      <c r="K23" s="16" t="inlineStr">
        <is>
          <t>Post-Matric</t>
        </is>
      </c>
      <c r="L23" s="16" t="inlineStr">
        <is>
          <t>Regular</t>
        </is>
      </c>
    </row>
    <row r="24" ht="22" customHeight="1">
      <c r="B24" s="8" t="inlineStr">
        <is>
          <t>SC-ST/0020</t>
        </is>
      </c>
      <c r="C24" s="9" t="inlineStr"/>
      <c r="D24" s="10" t="inlineStr"/>
      <c r="E24" s="8" t="inlineStr">
        <is>
          <t>SC</t>
        </is>
      </c>
      <c r="F24" s="10" t="inlineStr"/>
      <c r="G24" s="10" t="inlineStr"/>
      <c r="H24" s="10" t="inlineStr"/>
      <c r="I24" s="10" t="inlineStr">
        <is>
          <t>Y</t>
        </is>
      </c>
      <c r="J24" s="10" t="inlineStr">
        <is>
          <t>Y</t>
        </is>
      </c>
      <c r="K24" s="10" t="inlineStr">
        <is>
          <t>Post-Matric</t>
        </is>
      </c>
      <c r="L24" s="10" t="inlineStr">
        <is>
          <t>Regular</t>
        </is>
      </c>
    </row>
    <row r="25" ht="22" customHeight="1">
      <c r="B25" s="14" t="inlineStr">
        <is>
          <t>SC-ST/0021</t>
        </is>
      </c>
      <c r="C25" s="15" t="inlineStr"/>
      <c r="D25" s="16" t="inlineStr"/>
      <c r="E25" s="14" t="inlineStr">
        <is>
          <t>ST</t>
        </is>
      </c>
      <c r="F25" s="16" t="inlineStr"/>
      <c r="G25" s="16" t="inlineStr"/>
      <c r="H25" s="16" t="inlineStr"/>
      <c r="I25" s="16" t="inlineStr">
        <is>
          <t>Y</t>
        </is>
      </c>
      <c r="J25" s="16" t="inlineStr">
        <is>
          <t>Y</t>
        </is>
      </c>
      <c r="K25" s="16" t="inlineStr">
        <is>
          <t>Post-Matric</t>
        </is>
      </c>
      <c r="L25" s="16" t="inlineStr">
        <is>
          <t>Regular</t>
        </is>
      </c>
    </row>
    <row r="26" ht="22" customHeight="1">
      <c r="B26" s="8" t="inlineStr">
        <is>
          <t>SC-ST/0022</t>
        </is>
      </c>
      <c r="C26" s="9" t="inlineStr"/>
      <c r="D26" s="10" t="inlineStr"/>
      <c r="E26" s="8" t="inlineStr">
        <is>
          <t>SC</t>
        </is>
      </c>
      <c r="F26" s="10" t="inlineStr"/>
      <c r="G26" s="10" t="inlineStr"/>
      <c r="H26" s="10" t="inlineStr"/>
      <c r="I26" s="10" t="inlineStr">
        <is>
          <t>Y</t>
        </is>
      </c>
      <c r="J26" s="10" t="inlineStr">
        <is>
          <t>Y</t>
        </is>
      </c>
      <c r="K26" s="10" t="inlineStr">
        <is>
          <t>Post-Matric</t>
        </is>
      </c>
      <c r="L26" s="10" t="inlineStr">
        <is>
          <t>Regular</t>
        </is>
      </c>
    </row>
    <row r="27" ht="22" customHeight="1">
      <c r="B27" s="14" t="inlineStr">
        <is>
          <t>SC-ST/0023</t>
        </is>
      </c>
      <c r="C27" s="15" t="inlineStr"/>
      <c r="D27" s="16" t="inlineStr"/>
      <c r="E27" s="14" t="inlineStr">
        <is>
          <t>SC</t>
        </is>
      </c>
      <c r="F27" s="16" t="inlineStr"/>
      <c r="G27" s="16" t="inlineStr"/>
      <c r="H27" s="16" t="inlineStr"/>
      <c r="I27" s="16" t="inlineStr">
        <is>
          <t>Y</t>
        </is>
      </c>
      <c r="J27" s="16" t="inlineStr">
        <is>
          <t>Y</t>
        </is>
      </c>
      <c r="K27" s="16" t="inlineStr">
        <is>
          <t>Post-Matric</t>
        </is>
      </c>
      <c r="L27" s="16" t="inlineStr">
        <is>
          <t>Regular</t>
        </is>
      </c>
    </row>
    <row r="28" ht="22" customHeight="1">
      <c r="B28" s="8" t="inlineStr">
        <is>
          <t>SC-ST/0024</t>
        </is>
      </c>
      <c r="C28" s="9" t="inlineStr"/>
      <c r="D28" s="10" t="inlineStr"/>
      <c r="E28" s="8" t="inlineStr">
        <is>
          <t>ST</t>
        </is>
      </c>
      <c r="F28" s="10" t="inlineStr"/>
      <c r="G28" s="10" t="inlineStr"/>
      <c r="H28" s="10" t="inlineStr"/>
      <c r="I28" s="10" t="inlineStr">
        <is>
          <t>Y</t>
        </is>
      </c>
      <c r="J28" s="10" t="inlineStr">
        <is>
          <t>Y</t>
        </is>
      </c>
      <c r="K28" s="10" t="inlineStr">
        <is>
          <t>Post-Matric</t>
        </is>
      </c>
      <c r="L28" s="10" t="inlineStr">
        <is>
          <t>Regular</t>
        </is>
      </c>
    </row>
    <row r="29" ht="22" customHeight="1">
      <c r="B29" s="14" t="inlineStr">
        <is>
          <t>SC-ST/0025</t>
        </is>
      </c>
      <c r="C29" s="15" t="inlineStr"/>
      <c r="D29" s="16" t="inlineStr"/>
      <c r="E29" s="14" t="inlineStr">
        <is>
          <t>SC</t>
        </is>
      </c>
      <c r="F29" s="16" t="inlineStr"/>
      <c r="G29" s="16" t="inlineStr"/>
      <c r="H29" s="16" t="inlineStr"/>
      <c r="I29" s="16" t="inlineStr">
        <is>
          <t>Y</t>
        </is>
      </c>
      <c r="J29" s="16" t="inlineStr">
        <is>
          <t>Y</t>
        </is>
      </c>
      <c r="K29" s="16" t="inlineStr">
        <is>
          <t>Post-Matric</t>
        </is>
      </c>
      <c r="L29" s="16" t="inlineStr">
        <is>
          <t>Regular</t>
        </is>
      </c>
    </row>
    <row r="30" ht="22" customHeight="1">
      <c r="B30" s="8" t="inlineStr">
        <is>
          <t>SC-ST/0026</t>
        </is>
      </c>
      <c r="C30" s="9" t="inlineStr"/>
      <c r="D30" s="10" t="inlineStr"/>
      <c r="E30" s="8" t="inlineStr">
        <is>
          <t>SC</t>
        </is>
      </c>
      <c r="F30" s="10" t="inlineStr"/>
      <c r="G30" s="10" t="inlineStr"/>
      <c r="H30" s="10" t="inlineStr"/>
      <c r="I30" s="10" t="inlineStr">
        <is>
          <t>Y</t>
        </is>
      </c>
      <c r="J30" s="10" t="inlineStr">
        <is>
          <t>Y</t>
        </is>
      </c>
      <c r="K30" s="10" t="inlineStr">
        <is>
          <t>Post-Matric</t>
        </is>
      </c>
      <c r="L30" s="10" t="inlineStr">
        <is>
          <t>Regular</t>
        </is>
      </c>
    </row>
    <row r="31" ht="22" customHeight="1">
      <c r="B31" s="14" t="inlineStr">
        <is>
          <t>SC-ST/0027</t>
        </is>
      </c>
      <c r="C31" s="15" t="inlineStr"/>
      <c r="D31" s="16" t="inlineStr"/>
      <c r="E31" s="14" t="inlineStr">
        <is>
          <t>ST</t>
        </is>
      </c>
      <c r="F31" s="16" t="inlineStr"/>
      <c r="G31" s="16" t="inlineStr"/>
      <c r="H31" s="16" t="inlineStr"/>
      <c r="I31" s="16" t="inlineStr">
        <is>
          <t>Y</t>
        </is>
      </c>
      <c r="J31" s="16" t="inlineStr">
        <is>
          <t>Y</t>
        </is>
      </c>
      <c r="K31" s="16" t="inlineStr">
        <is>
          <t>Post-Matric</t>
        </is>
      </c>
      <c r="L31" s="16" t="inlineStr">
        <is>
          <t>Regular</t>
        </is>
      </c>
    </row>
    <row r="32" ht="22" customHeight="1">
      <c r="B32" s="8" t="inlineStr">
        <is>
          <t>SC-ST/0028</t>
        </is>
      </c>
      <c r="C32" s="9" t="inlineStr"/>
      <c r="D32" s="10" t="inlineStr"/>
      <c r="E32" s="8" t="inlineStr">
        <is>
          <t>SC</t>
        </is>
      </c>
      <c r="F32" s="10" t="inlineStr"/>
      <c r="G32" s="10" t="inlineStr"/>
      <c r="H32" s="10" t="inlineStr"/>
      <c r="I32" s="10" t="inlineStr">
        <is>
          <t>Y</t>
        </is>
      </c>
      <c r="J32" s="10" t="inlineStr">
        <is>
          <t>Y</t>
        </is>
      </c>
      <c r="K32" s="10" t="inlineStr">
        <is>
          <t>Post-Matric</t>
        </is>
      </c>
      <c r="L32" s="10" t="inlineStr">
        <is>
          <t>Regular</t>
        </is>
      </c>
    </row>
    <row r="33" ht="22" customHeight="1">
      <c r="B33" s="14" t="inlineStr">
        <is>
          <t>SC-ST/0029</t>
        </is>
      </c>
      <c r="C33" s="15" t="inlineStr"/>
      <c r="D33" s="16" t="inlineStr"/>
      <c r="E33" s="14" t="inlineStr">
        <is>
          <t>SC</t>
        </is>
      </c>
      <c r="F33" s="16" t="inlineStr"/>
      <c r="G33" s="16" t="inlineStr"/>
      <c r="H33" s="16" t="inlineStr"/>
      <c r="I33" s="16" t="inlineStr">
        <is>
          <t>Y</t>
        </is>
      </c>
      <c r="J33" s="16" t="inlineStr">
        <is>
          <t>Y</t>
        </is>
      </c>
      <c r="K33" s="16" t="inlineStr">
        <is>
          <t>Post-Matric</t>
        </is>
      </c>
      <c r="L33" s="16" t="inlineStr">
        <is>
          <t>Regular</t>
        </is>
      </c>
    </row>
    <row r="34" ht="22" customHeight="1">
      <c r="B34" s="8" t="inlineStr">
        <is>
          <t>SC-ST/0030</t>
        </is>
      </c>
      <c r="C34" s="9" t="inlineStr"/>
      <c r="D34" s="10" t="inlineStr"/>
      <c r="E34" s="8" t="inlineStr">
        <is>
          <t>ST</t>
        </is>
      </c>
      <c r="F34" s="10" t="inlineStr"/>
      <c r="G34" s="10" t="inlineStr"/>
      <c r="H34" s="10" t="inlineStr"/>
      <c r="I34" s="10" t="inlineStr">
        <is>
          <t>Y</t>
        </is>
      </c>
      <c r="J34" s="10" t="inlineStr">
        <is>
          <t>Y</t>
        </is>
      </c>
      <c r="K34" s="10" t="inlineStr">
        <is>
          <t>Post-Matric</t>
        </is>
      </c>
      <c r="L34" s="10" t="inlineStr">
        <is>
          <t>Regular</t>
        </is>
      </c>
    </row>
    <row r="35" ht="22" customHeight="1"/>
    <row r="36" ht="24" customHeight="1">
      <c r="B36" s="34" t="inlineStr">
        <is>
          <t>SC/ST ENROLMENT SUMMARY</t>
        </is>
      </c>
    </row>
    <row r="37" ht="22" customHeight="1">
      <c r="B37" s="30" t="inlineStr">
        <is>
          <t>Category</t>
        </is>
      </c>
      <c r="C37" s="30" t="inlineStr">
        <is>
          <t>Total
Enrolled</t>
        </is>
      </c>
      <c r="D37" s="30" t="inlineStr">
        <is>
          <t>Male</t>
        </is>
      </c>
      <c r="E37" s="30" t="inlineStr">
        <is>
          <t>Female</t>
        </is>
      </c>
      <c r="F37" s="30" t="inlineStr">
        <is>
          <t>With
Scholarship</t>
        </is>
      </c>
      <c r="G37" s="30" t="inlineStr">
        <is>
          <t>Without
Scholarship</t>
        </is>
      </c>
      <c r="H37" s="30" t="inlineStr">
        <is>
          <t>Irregular
/ Dropout Risk</t>
        </is>
      </c>
      <c r="I37" s="30" t="inlineStr">
        <is>
          <t>Placed
(Final Year)</t>
        </is>
      </c>
      <c r="J37" s="30" t="inlineStr">
        <is>
          <t>Higher
Studies</t>
        </is>
      </c>
    </row>
    <row r="38" ht="22" customHeight="1">
      <c r="B38" s="32" t="inlineStr">
        <is>
          <t>SC</t>
        </is>
      </c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8" t="n"/>
      <c r="L38" s="38" t="n"/>
    </row>
    <row r="39" ht="22" customHeight="1">
      <c r="B39" s="9" t="inlineStr">
        <is>
          <t>ST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39" t="n"/>
      <c r="L39" s="39" t="n"/>
    </row>
    <row r="40" ht="22" customHeight="1">
      <c r="B40" s="23" t="inlineStr">
        <is>
          <t>SC + ST TOTAL</t>
        </is>
      </c>
      <c r="C40" s="40" t="inlineStr"/>
      <c r="D40" s="40" t="inlineStr"/>
      <c r="E40" s="40" t="inlineStr"/>
      <c r="F40" s="40" t="inlineStr"/>
      <c r="G40" s="40" t="inlineStr"/>
      <c r="H40" s="40" t="inlineStr"/>
      <c r="I40" s="40" t="inlineStr"/>
      <c r="J40" s="40" t="inlineStr"/>
      <c r="K40" s="41" t="n"/>
      <c r="L40" s="41" t="n"/>
    </row>
    <row r="41" ht="22" customHeight="1"/>
  </sheetData>
  <mergeCells count="3">
    <mergeCell ref="B2:L2"/>
    <mergeCell ref="B36:L36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SC-03: SC/ST SCHOLARSHIP &amp; FEE CONCESSION REGISTER</t>
        </is>
      </c>
    </row>
    <row r="3" ht="25" customHeight="1">
      <c r="B3" s="2" t="inlineStr">
        <is>
          <t>A.Y.: _______  Scholarship Officer: ___________________  Linked to: NSP Portal / State Scholarship Portal</t>
        </is>
      </c>
    </row>
    <row r="4" ht="25" customHeight="1">
      <c r="B4" s="42" t="inlineStr">
        <is>
          <t>Sl.</t>
        </is>
      </c>
      <c r="C4" s="42" t="inlineStr">
        <is>
          <t>Student Name</t>
        </is>
      </c>
      <c r="D4" s="42" t="inlineStr">
        <is>
          <t>Roll No.</t>
        </is>
      </c>
      <c r="E4" s="42" t="inlineStr">
        <is>
          <t>Category
(SC/ST)</t>
        </is>
      </c>
      <c r="F4" s="42" t="inlineStr">
        <is>
          <t>Scholarship
Scheme</t>
        </is>
      </c>
      <c r="G4" s="42" t="inlineStr">
        <is>
          <t>Amount
Applied (₹)</t>
        </is>
      </c>
      <c r="H4" s="42" t="inlineStr">
        <is>
          <t>Amount
Approved (₹)</t>
        </is>
      </c>
      <c r="I4" s="42" t="inlineStr">
        <is>
          <t>Amount
Received (₹)</t>
        </is>
      </c>
      <c r="J4" s="42" t="inlineStr">
        <is>
          <t>Date
Received</t>
        </is>
      </c>
      <c r="K4" s="42" t="inlineStr">
        <is>
          <t>Status</t>
        </is>
      </c>
    </row>
    <row r="5" ht="22" customHeight="1">
      <c r="B5" s="40" t="n">
        <v>1</v>
      </c>
      <c r="C5" s="43" t="inlineStr"/>
      <c r="D5" s="22" t="inlineStr"/>
      <c r="E5" s="40" t="inlineStr">
        <is>
          <t>SC</t>
        </is>
      </c>
      <c r="F5" s="22" t="inlineStr">
        <is>
          <t>Post-Matric Scholarship (Central — SC)</t>
        </is>
      </c>
      <c r="G5" s="22" t="inlineStr"/>
      <c r="H5" s="22" t="inlineStr"/>
      <c r="I5" s="22" t="inlineStr"/>
      <c r="J5" s="22" t="inlineStr"/>
      <c r="K5" s="22" t="inlineStr">
        <is>
          <t>Received</t>
        </is>
      </c>
    </row>
    <row r="6" ht="22" customHeight="1">
      <c r="B6" s="8" t="n">
        <v>2</v>
      </c>
      <c r="C6" s="9" t="inlineStr"/>
      <c r="D6" s="10" t="inlineStr"/>
      <c r="E6" s="8" t="inlineStr">
        <is>
          <t>SC</t>
        </is>
      </c>
      <c r="F6" s="10" t="inlineStr">
        <is>
          <t>Post-Matric Scholarship (Central — ST)</t>
        </is>
      </c>
      <c r="G6" s="10" t="inlineStr"/>
      <c r="H6" s="10" t="inlineStr"/>
      <c r="I6" s="10" t="inlineStr"/>
      <c r="J6" s="10" t="inlineStr"/>
      <c r="K6" s="10" t="inlineStr">
        <is>
          <t>Received</t>
        </is>
      </c>
    </row>
    <row r="7" ht="22" customHeight="1">
      <c r="B7" s="40" t="n">
        <v>3</v>
      </c>
      <c r="C7" s="43" t="inlineStr"/>
      <c r="D7" s="22" t="inlineStr"/>
      <c r="E7" s="40" t="inlineStr">
        <is>
          <t>ST</t>
        </is>
      </c>
      <c r="F7" s="22" t="inlineStr">
        <is>
          <t>Post-Matric Scholarship (State — SC)</t>
        </is>
      </c>
      <c r="G7" s="22" t="inlineStr"/>
      <c r="H7" s="22" t="inlineStr"/>
      <c r="I7" s="22" t="inlineStr"/>
      <c r="J7" s="22" t="inlineStr"/>
      <c r="K7" s="22" t="inlineStr">
        <is>
          <t>Received</t>
        </is>
      </c>
    </row>
    <row r="8" ht="22" customHeight="1">
      <c r="B8" s="8" t="n">
        <v>4</v>
      </c>
      <c r="C8" s="9" t="inlineStr"/>
      <c r="D8" s="10" t="inlineStr"/>
      <c r="E8" s="8" t="inlineStr">
        <is>
          <t>SC</t>
        </is>
      </c>
      <c r="F8" s="10" t="inlineStr">
        <is>
          <t>Post-Matric Scholarship (State — ST)</t>
        </is>
      </c>
      <c r="G8" s="10" t="inlineStr"/>
      <c r="H8" s="10" t="inlineStr"/>
      <c r="I8" s="10" t="inlineStr"/>
      <c r="J8" s="10" t="inlineStr"/>
      <c r="K8" s="10" t="inlineStr">
        <is>
          <t>Received</t>
        </is>
      </c>
    </row>
    <row r="9" ht="22" customHeight="1">
      <c r="B9" s="40" t="n">
        <v>5</v>
      </c>
      <c r="C9" s="43" t="inlineStr"/>
      <c r="D9" s="22" t="inlineStr"/>
      <c r="E9" s="40" t="inlineStr">
        <is>
          <t>SC</t>
        </is>
      </c>
      <c r="F9" s="22" t="inlineStr">
        <is>
          <t>National Fellowship for SC (UGC)</t>
        </is>
      </c>
      <c r="G9" s="22" t="inlineStr"/>
      <c r="H9" s="22" t="inlineStr"/>
      <c r="I9" s="22" t="inlineStr"/>
      <c r="J9" s="22" t="inlineStr"/>
      <c r="K9" s="22" t="inlineStr">
        <is>
          <t>Received</t>
        </is>
      </c>
    </row>
    <row r="10" ht="22" customHeight="1">
      <c r="B10" s="8" t="n">
        <v>6</v>
      </c>
      <c r="C10" s="9" t="inlineStr"/>
      <c r="D10" s="10" t="inlineStr"/>
      <c r="E10" s="8" t="inlineStr">
        <is>
          <t>ST</t>
        </is>
      </c>
      <c r="F10" s="10" t="inlineStr">
        <is>
          <t>National Fellowship for ST (UGC)</t>
        </is>
      </c>
      <c r="G10" s="10" t="inlineStr"/>
      <c r="H10" s="10" t="inlineStr"/>
      <c r="I10" s="10" t="inlineStr"/>
      <c r="J10" s="10" t="inlineStr"/>
      <c r="K10" s="10" t="inlineStr">
        <is>
          <t>Received</t>
        </is>
      </c>
    </row>
    <row r="11" ht="22" customHeight="1">
      <c r="B11" s="40" t="n">
        <v>7</v>
      </c>
      <c r="C11" s="43" t="inlineStr"/>
      <c r="D11" s="22" t="inlineStr"/>
      <c r="E11" s="40" t="inlineStr">
        <is>
          <t>SC</t>
        </is>
      </c>
      <c r="F11" s="22" t="inlineStr">
        <is>
          <t>Top Class Education Scheme (SC/ST)</t>
        </is>
      </c>
      <c r="G11" s="22" t="inlineStr"/>
      <c r="H11" s="22" t="inlineStr"/>
      <c r="I11" s="22" t="inlineStr"/>
      <c r="J11" s="22" t="inlineStr"/>
      <c r="K11" s="22" t="inlineStr">
        <is>
          <t>Received</t>
        </is>
      </c>
    </row>
    <row r="12" ht="22" customHeight="1">
      <c r="B12" s="8" t="n">
        <v>8</v>
      </c>
      <c r="C12" s="9" t="inlineStr"/>
      <c r="D12" s="10" t="inlineStr"/>
      <c r="E12" s="8" t="inlineStr">
        <is>
          <t>SC</t>
        </is>
      </c>
      <c r="F12" s="10" t="inlineStr">
        <is>
          <t>Dr. Ambedkar Pre / Post Matric Scholarship</t>
        </is>
      </c>
      <c r="G12" s="10" t="inlineStr"/>
      <c r="H12" s="10" t="inlineStr"/>
      <c r="I12" s="10" t="inlineStr"/>
      <c r="J12" s="10" t="inlineStr"/>
      <c r="K12" s="10" t="inlineStr">
        <is>
          <t>Received</t>
        </is>
      </c>
    </row>
    <row r="13" ht="22" customHeight="1">
      <c r="B13" s="40" t="n">
        <v>9</v>
      </c>
      <c r="C13" s="43" t="inlineStr"/>
      <c r="D13" s="22" t="inlineStr"/>
      <c r="E13" s="40" t="inlineStr">
        <is>
          <t>ST</t>
        </is>
      </c>
      <c r="F13" s="22" t="inlineStr">
        <is>
          <t>Institutional Fee Waiver (SC/ST)</t>
        </is>
      </c>
      <c r="G13" s="22" t="inlineStr"/>
      <c r="H13" s="22" t="inlineStr"/>
      <c r="I13" s="22" t="inlineStr"/>
      <c r="J13" s="22" t="inlineStr"/>
      <c r="K13" s="22" t="inlineStr">
        <is>
          <t>Received</t>
        </is>
      </c>
    </row>
    <row r="14" ht="22" customHeight="1">
      <c r="B14" s="8" t="n">
        <v>10</v>
      </c>
      <c r="C14" s="9" t="inlineStr"/>
      <c r="D14" s="10" t="inlineStr"/>
      <c r="E14" s="8" t="inlineStr">
        <is>
          <t>SC</t>
        </is>
      </c>
      <c r="F14" s="10" t="inlineStr">
        <is>
          <t>Central Sector Scholarship</t>
        </is>
      </c>
      <c r="G14" s="10" t="inlineStr"/>
      <c r="H14" s="10" t="inlineStr"/>
      <c r="I14" s="10" t="inlineStr"/>
      <c r="J14" s="10" t="inlineStr"/>
      <c r="K14" s="10" t="inlineStr">
        <is>
          <t>Received</t>
        </is>
      </c>
    </row>
    <row r="15" ht="22" customHeight="1">
      <c r="B15" s="40" t="n">
        <v>11</v>
      </c>
      <c r="C15" s="43" t="inlineStr"/>
      <c r="D15" s="22" t="inlineStr"/>
      <c r="E15" s="40" t="inlineStr">
        <is>
          <t>SC</t>
        </is>
      </c>
      <c r="F15" s="22" t="inlineStr">
        <is>
          <t>INSPIRE Scholarship (if applicable)</t>
        </is>
      </c>
      <c r="G15" s="22" t="inlineStr"/>
      <c r="H15" s="22" t="inlineStr"/>
      <c r="I15" s="22" t="inlineStr"/>
      <c r="J15" s="22" t="inlineStr"/>
      <c r="K15" s="22" t="inlineStr">
        <is>
          <t>Received</t>
        </is>
      </c>
    </row>
    <row r="16" ht="22" customHeight="1">
      <c r="B16" s="8" t="n">
        <v>12</v>
      </c>
      <c r="C16" s="9" t="inlineStr"/>
      <c r="D16" s="10" t="inlineStr"/>
      <c r="E16" s="8" t="inlineStr">
        <is>
          <t>ST</t>
        </is>
      </c>
      <c r="F16" s="10" t="inlineStr">
        <is>
          <t>Research Fellowship (SC/ST)</t>
        </is>
      </c>
      <c r="G16" s="10" t="inlineStr"/>
      <c r="H16" s="10" t="inlineStr"/>
      <c r="I16" s="10" t="inlineStr"/>
      <c r="J16" s="10" t="inlineStr"/>
      <c r="K16" s="10" t="inlineStr">
        <is>
          <t>Received</t>
        </is>
      </c>
    </row>
    <row r="17" ht="22" customHeight="1">
      <c r="B17" s="40" t="n">
        <v>13</v>
      </c>
      <c r="C17" s="43" t="inlineStr"/>
      <c r="D17" s="22" t="inlineStr"/>
      <c r="E17" s="40" t="inlineStr">
        <is>
          <t>SC</t>
        </is>
      </c>
      <c r="F17" s="22" t="inlineStr">
        <is>
          <t>Post-Matric Scholarship (Central — SC)</t>
        </is>
      </c>
      <c r="G17" s="22" t="inlineStr"/>
      <c r="H17" s="22" t="inlineStr"/>
      <c r="I17" s="22" t="inlineStr"/>
      <c r="J17" s="22" t="inlineStr"/>
      <c r="K17" s="22" t="inlineStr">
        <is>
          <t>Received</t>
        </is>
      </c>
    </row>
    <row r="18" ht="22" customHeight="1">
      <c r="B18" s="8" t="n">
        <v>14</v>
      </c>
      <c r="C18" s="9" t="inlineStr"/>
      <c r="D18" s="10" t="inlineStr"/>
      <c r="E18" s="8" t="inlineStr">
        <is>
          <t>SC</t>
        </is>
      </c>
      <c r="F18" s="10" t="inlineStr">
        <is>
          <t>Post-Matric Scholarship (Central — ST)</t>
        </is>
      </c>
      <c r="G18" s="10" t="inlineStr"/>
      <c r="H18" s="10" t="inlineStr"/>
      <c r="I18" s="10" t="inlineStr"/>
      <c r="J18" s="10" t="inlineStr"/>
      <c r="K18" s="10" t="inlineStr">
        <is>
          <t>Received</t>
        </is>
      </c>
    </row>
    <row r="19" ht="22" customHeight="1">
      <c r="B19" s="40" t="n">
        <v>15</v>
      </c>
      <c r="C19" s="43" t="inlineStr"/>
      <c r="D19" s="22" t="inlineStr"/>
      <c r="E19" s="40" t="inlineStr">
        <is>
          <t>ST</t>
        </is>
      </c>
      <c r="F19" s="22" t="inlineStr">
        <is>
          <t>Post-Matric Scholarship (State — SC)</t>
        </is>
      </c>
      <c r="G19" s="22" t="inlineStr"/>
      <c r="H19" s="22" t="inlineStr"/>
      <c r="I19" s="22" t="inlineStr"/>
      <c r="J19" s="22" t="inlineStr"/>
      <c r="K19" s="22" t="inlineStr">
        <is>
          <t>Received</t>
        </is>
      </c>
    </row>
    <row r="20" ht="22" customHeight="1">
      <c r="B20" s="8" t="n">
        <v>16</v>
      </c>
      <c r="C20" s="9" t="inlineStr"/>
      <c r="D20" s="10" t="inlineStr"/>
      <c r="E20" s="8" t="inlineStr">
        <is>
          <t>SC</t>
        </is>
      </c>
      <c r="F20" s="10" t="inlineStr">
        <is>
          <t>Post-Matric Scholarship (State — ST)</t>
        </is>
      </c>
      <c r="G20" s="10" t="inlineStr"/>
      <c r="H20" s="10" t="inlineStr"/>
      <c r="I20" s="10" t="inlineStr"/>
      <c r="J20" s="10" t="inlineStr"/>
      <c r="K20" s="10" t="inlineStr">
        <is>
          <t>Received</t>
        </is>
      </c>
    </row>
    <row r="21" ht="22" customHeight="1">
      <c r="B21" s="40" t="n">
        <v>17</v>
      </c>
      <c r="C21" s="43" t="inlineStr"/>
      <c r="D21" s="22" t="inlineStr"/>
      <c r="E21" s="40" t="inlineStr">
        <is>
          <t>SC</t>
        </is>
      </c>
      <c r="F21" s="22" t="inlineStr">
        <is>
          <t>National Fellowship for SC (UGC)</t>
        </is>
      </c>
      <c r="G21" s="22" t="inlineStr"/>
      <c r="H21" s="22" t="inlineStr"/>
      <c r="I21" s="22" t="inlineStr"/>
      <c r="J21" s="22" t="inlineStr"/>
      <c r="K21" s="22" t="inlineStr">
        <is>
          <t>Received</t>
        </is>
      </c>
    </row>
    <row r="22" ht="22" customHeight="1">
      <c r="B22" s="8" t="n">
        <v>18</v>
      </c>
      <c r="C22" s="9" t="inlineStr"/>
      <c r="D22" s="10" t="inlineStr"/>
      <c r="E22" s="8" t="inlineStr">
        <is>
          <t>ST</t>
        </is>
      </c>
      <c r="F22" s="10" t="inlineStr">
        <is>
          <t>National Fellowship for ST (UGC)</t>
        </is>
      </c>
      <c r="G22" s="10" t="inlineStr"/>
      <c r="H22" s="10" t="inlineStr"/>
      <c r="I22" s="10" t="inlineStr"/>
      <c r="J22" s="10" t="inlineStr"/>
      <c r="K22" s="10" t="inlineStr">
        <is>
          <t>Received</t>
        </is>
      </c>
    </row>
    <row r="23" ht="22" customHeight="1">
      <c r="B23" s="40" t="n">
        <v>19</v>
      </c>
      <c r="C23" s="43" t="inlineStr"/>
      <c r="D23" s="22" t="inlineStr"/>
      <c r="E23" s="40" t="inlineStr">
        <is>
          <t>SC</t>
        </is>
      </c>
      <c r="F23" s="22" t="inlineStr">
        <is>
          <t>Top Class Education Scheme (SC/ST)</t>
        </is>
      </c>
      <c r="G23" s="22" t="inlineStr"/>
      <c r="H23" s="22" t="inlineStr"/>
      <c r="I23" s="22" t="inlineStr"/>
      <c r="J23" s="22" t="inlineStr"/>
      <c r="K23" s="22" t="inlineStr">
        <is>
          <t>Received</t>
        </is>
      </c>
    </row>
    <row r="24" ht="22" customHeight="1">
      <c r="B24" s="8" t="n">
        <v>20</v>
      </c>
      <c r="C24" s="9" t="inlineStr"/>
      <c r="D24" s="10" t="inlineStr"/>
      <c r="E24" s="8" t="inlineStr">
        <is>
          <t>SC</t>
        </is>
      </c>
      <c r="F24" s="10" t="inlineStr">
        <is>
          <t>Dr. Ambedkar Pre / Post Matric Scholarship</t>
        </is>
      </c>
      <c r="G24" s="10" t="inlineStr"/>
      <c r="H24" s="10" t="inlineStr"/>
      <c r="I24" s="10" t="inlineStr"/>
      <c r="J24" s="10" t="inlineStr"/>
      <c r="K24" s="10" t="inlineStr">
        <is>
          <t>Received</t>
        </is>
      </c>
    </row>
    <row r="25" ht="22" customHeight="1">
      <c r="B25" s="40" t="n">
        <v>21</v>
      </c>
      <c r="C25" s="43" t="inlineStr"/>
      <c r="D25" s="22" t="inlineStr"/>
      <c r="E25" s="40" t="inlineStr">
        <is>
          <t>ST</t>
        </is>
      </c>
      <c r="F25" s="22" t="inlineStr">
        <is>
          <t>Institutional Fee Waiver (SC/ST)</t>
        </is>
      </c>
      <c r="G25" s="22" t="inlineStr"/>
      <c r="H25" s="22" t="inlineStr"/>
      <c r="I25" s="22" t="inlineStr"/>
      <c r="J25" s="22" t="inlineStr"/>
      <c r="K25" s="22" t="inlineStr">
        <is>
          <t>Received</t>
        </is>
      </c>
    </row>
    <row r="26" ht="22" customHeight="1">
      <c r="B26" s="8" t="n">
        <v>22</v>
      </c>
      <c r="C26" s="9" t="inlineStr"/>
      <c r="D26" s="10" t="inlineStr"/>
      <c r="E26" s="8" t="inlineStr">
        <is>
          <t>SC</t>
        </is>
      </c>
      <c r="F26" s="10" t="inlineStr">
        <is>
          <t>Central Sector Scholarship</t>
        </is>
      </c>
      <c r="G26" s="10" t="inlineStr"/>
      <c r="H26" s="10" t="inlineStr"/>
      <c r="I26" s="10" t="inlineStr"/>
      <c r="J26" s="10" t="inlineStr"/>
      <c r="K26" s="10" t="inlineStr">
        <is>
          <t>Received</t>
        </is>
      </c>
    </row>
    <row r="27" ht="22" customHeight="1">
      <c r="B27" s="40" t="n">
        <v>23</v>
      </c>
      <c r="C27" s="43" t="inlineStr"/>
      <c r="D27" s="22" t="inlineStr"/>
      <c r="E27" s="40" t="inlineStr">
        <is>
          <t>SC</t>
        </is>
      </c>
      <c r="F27" s="22" t="inlineStr">
        <is>
          <t>INSPIRE Scholarship (if applicable)</t>
        </is>
      </c>
      <c r="G27" s="22" t="inlineStr"/>
      <c r="H27" s="22" t="inlineStr"/>
      <c r="I27" s="22" t="inlineStr"/>
      <c r="J27" s="22" t="inlineStr"/>
      <c r="K27" s="22" t="inlineStr">
        <is>
          <t>Received</t>
        </is>
      </c>
    </row>
    <row r="28" ht="22" customHeight="1">
      <c r="B28" s="8" t="n">
        <v>24</v>
      </c>
      <c r="C28" s="9" t="inlineStr"/>
      <c r="D28" s="10" t="inlineStr"/>
      <c r="E28" s="8" t="inlineStr">
        <is>
          <t>ST</t>
        </is>
      </c>
      <c r="F28" s="10" t="inlineStr">
        <is>
          <t>Research Fellowship (SC/ST)</t>
        </is>
      </c>
      <c r="G28" s="10" t="inlineStr"/>
      <c r="H28" s="10" t="inlineStr"/>
      <c r="I28" s="10" t="inlineStr"/>
      <c r="J28" s="10" t="inlineStr"/>
      <c r="K28" s="10" t="inlineStr">
        <is>
          <t>Received</t>
        </is>
      </c>
    </row>
    <row r="29" ht="22" customHeight="1">
      <c r="B29" s="40" t="n">
        <v>25</v>
      </c>
      <c r="C29" s="43" t="inlineStr"/>
      <c r="D29" s="22" t="inlineStr"/>
      <c r="E29" s="40" t="inlineStr">
        <is>
          <t>SC</t>
        </is>
      </c>
      <c r="F29" s="22" t="inlineStr">
        <is>
          <t>Post-Matric Scholarship (Central — SC)</t>
        </is>
      </c>
      <c r="G29" s="22" t="inlineStr"/>
      <c r="H29" s="22" t="inlineStr"/>
      <c r="I29" s="22" t="inlineStr"/>
      <c r="J29" s="22" t="inlineStr"/>
      <c r="K29" s="22" t="inlineStr">
        <is>
          <t>Received</t>
        </is>
      </c>
    </row>
    <row r="30" ht="22" customHeight="1">
      <c r="B30" s="8" t="n">
        <v>26</v>
      </c>
      <c r="C30" s="9" t="inlineStr"/>
      <c r="D30" s="10" t="inlineStr"/>
      <c r="E30" s="8" t="inlineStr">
        <is>
          <t>SC</t>
        </is>
      </c>
      <c r="F30" s="10" t="inlineStr">
        <is>
          <t>Post-Matric Scholarship (Central — ST)</t>
        </is>
      </c>
      <c r="G30" s="10" t="inlineStr"/>
      <c r="H30" s="10" t="inlineStr"/>
      <c r="I30" s="10" t="inlineStr"/>
      <c r="J30" s="10" t="inlineStr"/>
      <c r="K30" s="10" t="inlineStr">
        <is>
          <t>Received</t>
        </is>
      </c>
    </row>
    <row r="31" ht="22" customHeight="1"/>
    <row r="32" ht="24" customHeight="1">
      <c r="B32" s="34" t="inlineStr">
        <is>
          <t>SCHOLARSHIP DISBURSEMENT SUMMARY</t>
        </is>
      </c>
    </row>
    <row r="33" ht="22" customHeight="1">
      <c r="B33" s="23" t="inlineStr">
        <is>
          <t>Total SC/ST Students with Scholarship</t>
        </is>
      </c>
      <c r="F33" s="36">
        <f>COUNTA(B5:B30)</f>
        <v/>
      </c>
    </row>
    <row r="34" ht="22" customHeight="1">
      <c r="B34" s="25" t="inlineStr">
        <is>
          <t>Total Amount Applied (₹)</t>
        </is>
      </c>
      <c r="F34" s="37">
        <f>IFERROR(SUM(G5:G30),"")</f>
        <v/>
      </c>
    </row>
    <row r="35" ht="22" customHeight="1">
      <c r="B35" s="23" t="inlineStr">
        <is>
          <t>Total Amount Approved (₹)</t>
        </is>
      </c>
      <c r="F35" s="36">
        <f>IFERROR(SUM(H5:H30),"")</f>
        <v/>
      </c>
    </row>
    <row r="36" ht="22" customHeight="1">
      <c r="B36" s="25" t="inlineStr">
        <is>
          <t>Total Amount Received (₹)</t>
        </is>
      </c>
      <c r="F36" s="37">
        <f>IFERROR(SUM(I5:I30),"")</f>
        <v/>
      </c>
    </row>
    <row r="37" ht="22" customHeight="1">
      <c r="B37" s="23" t="inlineStr">
        <is>
          <t>Pending / Not Received</t>
        </is>
      </c>
      <c r="F37" s="36">
        <f>COUNTIF(K5:K30,"Pending")</f>
        <v/>
      </c>
    </row>
    <row r="38">
      <c r="B38" s="25" t="inlineStr">
        <is>
          <t>Disbursement Rate (%)</t>
        </is>
      </c>
      <c r="F38" s="37">
        <f>IFERROR(ROUND(C37/C36*100,1),"")</f>
        <v/>
      </c>
    </row>
  </sheetData>
  <mergeCells count="15">
    <mergeCell ref="F37:K37"/>
    <mergeCell ref="B36:E36"/>
    <mergeCell ref="F34:K34"/>
    <mergeCell ref="F38:K38"/>
    <mergeCell ref="F33:K33"/>
    <mergeCell ref="B32:K32"/>
    <mergeCell ref="B35:E35"/>
    <mergeCell ref="F36:K36"/>
    <mergeCell ref="B37:E37"/>
    <mergeCell ref="B38:E38"/>
    <mergeCell ref="B33:E33"/>
    <mergeCell ref="F35:K35"/>
    <mergeCell ref="B2:K2"/>
    <mergeCell ref="B3:K3"/>
    <mergeCell ref="B34:E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SC-05: SC/ST ACADEMIC SUPPORT &amp; REMEDIAL PROGRAMME REGISTER</t>
        </is>
      </c>
    </row>
    <row r="3" ht="25" customHeight="1">
      <c r="B3" s="2" t="inlineStr">
        <is>
          <t>Semester: _______  A.Y.: _______  SC/ST Cell Coordinator: ___________________</t>
        </is>
      </c>
    </row>
    <row r="4" ht="25" customHeight="1">
      <c r="B4" s="13" t="inlineStr">
        <is>
          <t>Session
Ref.</t>
        </is>
      </c>
      <c r="C4" s="13" t="inlineStr">
        <is>
          <t>Programme Title</t>
        </is>
      </c>
      <c r="D4" s="13" t="inlineStr">
        <is>
          <t>Type</t>
        </is>
      </c>
      <c r="E4" s="13" t="inlineStr">
        <is>
          <t>Date(s)</t>
        </is>
      </c>
      <c r="F4" s="13" t="inlineStr">
        <is>
          <t>Resource
Person</t>
        </is>
      </c>
      <c r="G4" s="13" t="inlineStr">
        <is>
          <t>SC Students
Attended</t>
        </is>
      </c>
      <c r="H4" s="13" t="inlineStr">
        <is>
          <t>ST Students
Attended</t>
        </is>
      </c>
      <c r="I4" s="13" t="inlineStr">
        <is>
          <t>Total
Attended</t>
        </is>
      </c>
      <c r="J4" s="13" t="inlineStr">
        <is>
          <t>Feedback
Score (/5)</t>
        </is>
      </c>
      <c r="K4" s="13" t="inlineStr">
        <is>
          <t>Outcome</t>
        </is>
      </c>
    </row>
    <row r="5" ht="22" customHeight="1">
      <c r="B5" s="14" t="inlineStr">
        <is>
          <t>ACS/001</t>
        </is>
      </c>
      <c r="C5" s="15" t="inlineStr">
        <is>
          <t>Remedial Classes — Mathematics</t>
        </is>
      </c>
      <c r="D5" s="16" t="inlineStr">
        <is>
          <t>Remedial / Support</t>
        </is>
      </c>
      <c r="E5" s="16" t="inlineStr"/>
      <c r="F5" s="15" t="inlineStr"/>
      <c r="G5" s="16" t="inlineStr"/>
      <c r="H5" s="16" t="inlineStr"/>
      <c r="I5" s="44">
        <f>IFERROR(G5+H5,"")</f>
        <v/>
      </c>
      <c r="J5" s="16" t="inlineStr"/>
      <c r="K5" s="15" t="inlineStr"/>
    </row>
    <row r="6" ht="22" customHeight="1">
      <c r="B6" s="8" t="inlineStr">
        <is>
          <t>ACS/002</t>
        </is>
      </c>
      <c r="C6" s="9" t="inlineStr">
        <is>
          <t>Remedial Classes — English Communication</t>
        </is>
      </c>
      <c r="D6" s="10" t="inlineStr">
        <is>
          <t>Remedial / Support</t>
        </is>
      </c>
      <c r="E6" s="10" t="inlineStr"/>
      <c r="F6" s="9" t="inlineStr"/>
      <c r="G6" s="10" t="inlineStr"/>
      <c r="H6" s="10" t="inlineStr"/>
      <c r="I6" s="45">
        <f>IFERROR(G6+H6,"")</f>
        <v/>
      </c>
      <c r="J6" s="10" t="inlineStr"/>
      <c r="K6" s="9" t="inlineStr"/>
    </row>
    <row r="7" ht="22" customHeight="1">
      <c r="B7" s="14" t="inlineStr">
        <is>
          <t>ACS/003</t>
        </is>
      </c>
      <c r="C7" s="15" t="inlineStr">
        <is>
          <t>Remedial Classes — Physics / Chemistry</t>
        </is>
      </c>
      <c r="D7" s="16" t="inlineStr">
        <is>
          <t>Remedial / Support</t>
        </is>
      </c>
      <c r="E7" s="16" t="inlineStr"/>
      <c r="F7" s="15" t="inlineStr"/>
      <c r="G7" s="16" t="inlineStr"/>
      <c r="H7" s="16" t="inlineStr"/>
      <c r="I7" s="44">
        <f>IFERROR(G7+H7,"")</f>
        <v/>
      </c>
      <c r="J7" s="16" t="inlineStr"/>
      <c r="K7" s="15" t="inlineStr"/>
    </row>
    <row r="8" ht="22" customHeight="1">
      <c r="B8" s="8" t="inlineStr">
        <is>
          <t>ACS/004</t>
        </is>
      </c>
      <c r="C8" s="9" t="inlineStr">
        <is>
          <t>Remedial Classes — Core Engineering</t>
        </is>
      </c>
      <c r="D8" s="10" t="inlineStr">
        <is>
          <t>Remedial / Support</t>
        </is>
      </c>
      <c r="E8" s="10" t="inlineStr"/>
      <c r="F8" s="9" t="inlineStr"/>
      <c r="G8" s="10" t="inlineStr"/>
      <c r="H8" s="10" t="inlineStr"/>
      <c r="I8" s="45">
        <f>IFERROR(G8+H8,"")</f>
        <v/>
      </c>
      <c r="J8" s="10" t="inlineStr"/>
      <c r="K8" s="9" t="inlineStr"/>
    </row>
    <row r="9" ht="22" customHeight="1">
      <c r="B9" s="14" t="inlineStr">
        <is>
          <t>ACS/005</t>
        </is>
      </c>
      <c r="C9" s="15" t="inlineStr">
        <is>
          <t>Subject Tutoring — Faculty Mentoring</t>
        </is>
      </c>
      <c r="D9" s="16" t="inlineStr">
        <is>
          <t>Remedial / Support</t>
        </is>
      </c>
      <c r="E9" s="16" t="inlineStr"/>
      <c r="F9" s="15" t="inlineStr"/>
      <c r="G9" s="16" t="inlineStr"/>
      <c r="H9" s="16" t="inlineStr"/>
      <c r="I9" s="44">
        <f>IFERROR(G9+H9,"")</f>
        <v/>
      </c>
      <c r="J9" s="16" t="inlineStr"/>
      <c r="K9" s="15" t="inlineStr"/>
    </row>
    <row r="10" ht="22" customHeight="1">
      <c r="B10" s="8" t="inlineStr">
        <is>
          <t>ACS/006</t>
        </is>
      </c>
      <c r="C10" s="9" t="inlineStr">
        <is>
          <t>Peer Learning Programme</t>
        </is>
      </c>
      <c r="D10" s="10" t="inlineStr">
        <is>
          <t>Remedial / Support</t>
        </is>
      </c>
      <c r="E10" s="10" t="inlineStr"/>
      <c r="F10" s="9" t="inlineStr"/>
      <c r="G10" s="10" t="inlineStr"/>
      <c r="H10" s="10" t="inlineStr"/>
      <c r="I10" s="45">
        <f>IFERROR(G10+H10,"")</f>
        <v/>
      </c>
      <c r="J10" s="10" t="inlineStr"/>
      <c r="K10" s="9" t="inlineStr"/>
    </row>
    <row r="11" ht="22" customHeight="1">
      <c r="B11" s="14" t="inlineStr">
        <is>
          <t>ACS/007</t>
        </is>
      </c>
      <c r="C11" s="15" t="inlineStr">
        <is>
          <t>Study Material / Notes Distribution</t>
        </is>
      </c>
      <c r="D11" s="16" t="inlineStr">
        <is>
          <t>Remedial / Support</t>
        </is>
      </c>
      <c r="E11" s="16" t="inlineStr"/>
      <c r="F11" s="15" t="inlineStr"/>
      <c r="G11" s="16" t="inlineStr"/>
      <c r="H11" s="16" t="inlineStr"/>
      <c r="I11" s="44">
        <f>IFERROR(G11+H11,"")</f>
        <v/>
      </c>
      <c r="J11" s="16" t="inlineStr"/>
      <c r="K11" s="15" t="inlineStr"/>
    </row>
    <row r="12" ht="22" customHeight="1">
      <c r="B12" s="8" t="inlineStr">
        <is>
          <t>ACS/008</t>
        </is>
      </c>
      <c r="C12" s="9" t="inlineStr">
        <is>
          <t>Online Learning Platform Access</t>
        </is>
      </c>
      <c r="D12" s="10" t="inlineStr">
        <is>
          <t>Remedial / Support</t>
        </is>
      </c>
      <c r="E12" s="10" t="inlineStr"/>
      <c r="F12" s="9" t="inlineStr"/>
      <c r="G12" s="10" t="inlineStr"/>
      <c r="H12" s="10" t="inlineStr"/>
      <c r="I12" s="45">
        <f>IFERROR(G12+H12,"")</f>
        <v/>
      </c>
      <c r="J12" s="10" t="inlineStr"/>
      <c r="K12" s="9" t="inlineStr"/>
    </row>
    <row r="13" ht="22" customHeight="1">
      <c r="B13" s="14" t="inlineStr">
        <is>
          <t>ACS/009</t>
        </is>
      </c>
      <c r="C13" s="15" t="inlineStr">
        <is>
          <t>Special Lab Practice Sessions</t>
        </is>
      </c>
      <c r="D13" s="16" t="inlineStr">
        <is>
          <t>Remedial / Support</t>
        </is>
      </c>
      <c r="E13" s="16" t="inlineStr"/>
      <c r="F13" s="15" t="inlineStr"/>
      <c r="G13" s="16" t="inlineStr"/>
      <c r="H13" s="16" t="inlineStr"/>
      <c r="I13" s="44">
        <f>IFERROR(G13+H13,"")</f>
        <v/>
      </c>
      <c r="J13" s="16" t="inlineStr"/>
      <c r="K13" s="15" t="inlineStr"/>
    </row>
    <row r="14" ht="22" customHeight="1">
      <c r="B14" s="8" t="inlineStr">
        <is>
          <t>ACS/010</t>
        </is>
      </c>
      <c r="C14" s="9" t="inlineStr">
        <is>
          <t>Pre-Exam Guidance Workshop</t>
        </is>
      </c>
      <c r="D14" s="10" t="inlineStr">
        <is>
          <t>Remedial / Support</t>
        </is>
      </c>
      <c r="E14" s="10" t="inlineStr"/>
      <c r="F14" s="9" t="inlineStr"/>
      <c r="G14" s="10" t="inlineStr"/>
      <c r="H14" s="10" t="inlineStr"/>
      <c r="I14" s="45">
        <f>IFERROR(G14+H14,"")</f>
        <v/>
      </c>
      <c r="J14" s="10" t="inlineStr"/>
      <c r="K14" s="9" t="inlineStr"/>
    </row>
    <row r="15" ht="22" customHeight="1">
      <c r="B15" s="14" t="inlineStr">
        <is>
          <t>ACS/011</t>
        </is>
      </c>
      <c r="C15" s="15" t="inlineStr">
        <is>
          <t>Time Management &amp; Study Skills</t>
        </is>
      </c>
      <c r="D15" s="16" t="inlineStr">
        <is>
          <t>Remedial / Support</t>
        </is>
      </c>
      <c r="E15" s="16" t="inlineStr"/>
      <c r="F15" s="15" t="inlineStr"/>
      <c r="G15" s="16" t="inlineStr"/>
      <c r="H15" s="16" t="inlineStr"/>
      <c r="I15" s="44">
        <f>IFERROR(G15+H15,"")</f>
        <v/>
      </c>
      <c r="J15" s="16" t="inlineStr"/>
      <c r="K15" s="15" t="inlineStr"/>
    </row>
    <row r="16" ht="22" customHeight="1">
      <c r="B16" s="8" t="inlineStr">
        <is>
          <t>ACS/012</t>
        </is>
      </c>
      <c r="C16" s="9" t="inlineStr">
        <is>
          <t>Career Readiness &amp; Placement Training</t>
        </is>
      </c>
      <c r="D16" s="10" t="inlineStr">
        <is>
          <t>Remedial / Support</t>
        </is>
      </c>
      <c r="E16" s="10" t="inlineStr"/>
      <c r="F16" s="9" t="inlineStr"/>
      <c r="G16" s="10" t="inlineStr"/>
      <c r="H16" s="10" t="inlineStr"/>
      <c r="I16" s="45">
        <f>IFERROR(G16+H16,"")</f>
        <v/>
      </c>
      <c r="J16" s="10" t="inlineStr"/>
      <c r="K16" s="9" t="inlineStr"/>
    </row>
    <row r="17" ht="22" customHeight="1">
      <c r="B17" s="14" t="inlineStr">
        <is>
          <t>ACS/013</t>
        </is>
      </c>
      <c r="C17" s="15" t="inlineStr">
        <is>
          <t>Remedial Classes — Mathematics</t>
        </is>
      </c>
      <c r="D17" s="16" t="inlineStr">
        <is>
          <t>Remedial / Support</t>
        </is>
      </c>
      <c r="E17" s="16" t="inlineStr"/>
      <c r="F17" s="15" t="inlineStr"/>
      <c r="G17" s="16" t="inlineStr"/>
      <c r="H17" s="16" t="inlineStr"/>
      <c r="I17" s="44">
        <f>IFERROR(G17+H17,"")</f>
        <v/>
      </c>
      <c r="J17" s="16" t="inlineStr"/>
      <c r="K17" s="15" t="inlineStr"/>
    </row>
    <row r="18" ht="22" customHeight="1">
      <c r="B18" s="8" t="inlineStr">
        <is>
          <t>ACS/014</t>
        </is>
      </c>
      <c r="C18" s="9" t="inlineStr">
        <is>
          <t>Remedial Classes — English Communication</t>
        </is>
      </c>
      <c r="D18" s="10" t="inlineStr">
        <is>
          <t>Remedial / Support</t>
        </is>
      </c>
      <c r="E18" s="10" t="inlineStr"/>
      <c r="F18" s="9" t="inlineStr"/>
      <c r="G18" s="10" t="inlineStr"/>
      <c r="H18" s="10" t="inlineStr"/>
      <c r="I18" s="45">
        <f>IFERROR(G18+H18,"")</f>
        <v/>
      </c>
      <c r="J18" s="10" t="inlineStr"/>
      <c r="K18" s="9" t="inlineStr"/>
    </row>
    <row r="19" ht="22" customHeight="1">
      <c r="B19" s="14" t="inlineStr">
        <is>
          <t>ACS/015</t>
        </is>
      </c>
      <c r="C19" s="15" t="inlineStr">
        <is>
          <t>Remedial Classes — Physics / Chemistry</t>
        </is>
      </c>
      <c r="D19" s="16" t="inlineStr">
        <is>
          <t>Remedial / Support</t>
        </is>
      </c>
      <c r="E19" s="16" t="inlineStr"/>
      <c r="F19" s="15" t="inlineStr"/>
      <c r="G19" s="16" t="inlineStr"/>
      <c r="H19" s="16" t="inlineStr"/>
      <c r="I19" s="44">
        <f>IFERROR(G19+H19,"")</f>
        <v/>
      </c>
      <c r="J19" s="16" t="inlineStr"/>
      <c r="K19" s="15" t="inlineStr"/>
    </row>
    <row r="20" ht="22" customHeight="1">
      <c r="B20" s="8" t="inlineStr">
        <is>
          <t>ACS/016</t>
        </is>
      </c>
      <c r="C20" s="9" t="inlineStr">
        <is>
          <t>Remedial Classes — Core Engineering</t>
        </is>
      </c>
      <c r="D20" s="10" t="inlineStr">
        <is>
          <t>Remedial / Support</t>
        </is>
      </c>
      <c r="E20" s="10" t="inlineStr"/>
      <c r="F20" s="9" t="inlineStr"/>
      <c r="G20" s="10" t="inlineStr"/>
      <c r="H20" s="10" t="inlineStr"/>
      <c r="I20" s="45">
        <f>IFERROR(G20+H20,"")</f>
        <v/>
      </c>
      <c r="J20" s="10" t="inlineStr"/>
      <c r="K20" s="9" t="inlineStr"/>
    </row>
    <row r="21" ht="22" customHeight="1">
      <c r="B21" s="14" t="inlineStr">
        <is>
          <t>ACS/017</t>
        </is>
      </c>
      <c r="C21" s="15" t="inlineStr">
        <is>
          <t>Subject Tutoring — Faculty Mentoring</t>
        </is>
      </c>
      <c r="D21" s="16" t="inlineStr">
        <is>
          <t>Remedial / Support</t>
        </is>
      </c>
      <c r="E21" s="16" t="inlineStr"/>
      <c r="F21" s="15" t="inlineStr"/>
      <c r="G21" s="16" t="inlineStr"/>
      <c r="H21" s="16" t="inlineStr"/>
      <c r="I21" s="44">
        <f>IFERROR(G21+H21,"")</f>
        <v/>
      </c>
      <c r="J21" s="16" t="inlineStr"/>
      <c r="K21" s="15" t="inlineStr"/>
    </row>
    <row r="22" ht="22" customHeight="1">
      <c r="B22" s="8" t="inlineStr">
        <is>
          <t>ACS/018</t>
        </is>
      </c>
      <c r="C22" s="9" t="inlineStr">
        <is>
          <t>Peer Learning Programme</t>
        </is>
      </c>
      <c r="D22" s="10" t="inlineStr">
        <is>
          <t>Remedial / Support</t>
        </is>
      </c>
      <c r="E22" s="10" t="inlineStr"/>
      <c r="F22" s="9" t="inlineStr"/>
      <c r="G22" s="10" t="inlineStr"/>
      <c r="H22" s="10" t="inlineStr"/>
      <c r="I22" s="45">
        <f>IFERROR(G22+H22,"")</f>
        <v/>
      </c>
      <c r="J22" s="10" t="inlineStr"/>
      <c r="K22" s="9" t="inlineStr"/>
    </row>
    <row r="23" ht="22" customHeight="1">
      <c r="B23" s="14" t="inlineStr">
        <is>
          <t>ACS/019</t>
        </is>
      </c>
      <c r="C23" s="15" t="inlineStr">
        <is>
          <t>Study Material / Notes Distribution</t>
        </is>
      </c>
      <c r="D23" s="16" t="inlineStr">
        <is>
          <t>Remedial / Support</t>
        </is>
      </c>
      <c r="E23" s="16" t="inlineStr"/>
      <c r="F23" s="15" t="inlineStr"/>
      <c r="G23" s="16" t="inlineStr"/>
      <c r="H23" s="16" t="inlineStr"/>
      <c r="I23" s="44">
        <f>IFERROR(G23+H23,"")</f>
        <v/>
      </c>
      <c r="J23" s="16" t="inlineStr"/>
      <c r="K23" s="15" t="inlineStr"/>
    </row>
    <row r="24" ht="22" customHeight="1">
      <c r="B24" s="8" t="inlineStr">
        <is>
          <t>ACS/020</t>
        </is>
      </c>
      <c r="C24" s="9" t="inlineStr">
        <is>
          <t>Online Learning Platform Access</t>
        </is>
      </c>
      <c r="D24" s="10" t="inlineStr">
        <is>
          <t>Remedial / Support</t>
        </is>
      </c>
      <c r="E24" s="10" t="inlineStr"/>
      <c r="F24" s="9" t="inlineStr"/>
      <c r="G24" s="10" t="inlineStr"/>
      <c r="H24" s="10" t="inlineStr"/>
      <c r="I24" s="45">
        <f>IFERROR(G24+H24,"")</f>
        <v/>
      </c>
      <c r="J24" s="10" t="inlineStr"/>
      <c r="K24" s="9" t="inlineStr"/>
    </row>
    <row r="25" ht="22" customHeight="1"/>
    <row r="26" ht="24" customHeight="1">
      <c r="B26" s="34" t="inlineStr">
        <is>
          <t>ACADEMIC SUPPORT IMPACT SUMMARY</t>
        </is>
      </c>
    </row>
    <row r="27" ht="22" customHeight="1">
      <c r="B27" s="46" t="inlineStr">
        <is>
          <t>Total Support Sessions Conducted</t>
        </is>
      </c>
      <c r="F27" s="36">
        <f>COUNTA(B5:B24)</f>
        <v/>
      </c>
    </row>
    <row r="28" ht="22" customHeight="1">
      <c r="B28" s="25" t="inlineStr">
        <is>
          <t>SC Students Reached</t>
        </is>
      </c>
      <c r="F28" s="37">
        <f>IFERROR(SUM(G5:G24),"")</f>
        <v/>
      </c>
    </row>
    <row r="29" ht="22" customHeight="1">
      <c r="B29" s="46" t="inlineStr">
        <is>
          <t>ST Students Reached</t>
        </is>
      </c>
      <c r="F29" s="36">
        <f>IFERROR(SUM(H5:H24),"")</f>
        <v/>
      </c>
    </row>
    <row r="30" ht="22" customHeight="1">
      <c r="B30" s="25" t="inlineStr">
        <is>
          <t>Total Student-Sessions</t>
        </is>
      </c>
      <c r="F30" s="37">
        <f>IFERROR(SUM(I5:I24),"")</f>
        <v/>
      </c>
    </row>
    <row r="31" ht="22" customHeight="1">
      <c r="B31" s="46" t="inlineStr">
        <is>
          <t>Average Feedback Score (/5)</t>
        </is>
      </c>
      <c r="F31" s="36">
        <f>IFERROR(ROUND(AVERAGE(J5:J24),2),"")</f>
        <v/>
      </c>
    </row>
    <row r="32" ht="22" customHeight="1">
      <c r="B32" s="25" t="inlineStr">
        <is>
          <t>Pass Rate Improvement (%)</t>
        </is>
      </c>
      <c r="F32" s="37" t="inlineStr"/>
    </row>
    <row r="33" ht="22" customHeight="1"/>
    <row r="34" ht="22" customHeight="1"/>
    <row r="35" ht="22" customHeight="1"/>
  </sheetData>
  <mergeCells count="15">
    <mergeCell ref="B31:E31"/>
    <mergeCell ref="B27:E27"/>
    <mergeCell ref="B26:K26"/>
    <mergeCell ref="F28:K28"/>
    <mergeCell ref="F32:K32"/>
    <mergeCell ref="B30:E30"/>
    <mergeCell ref="F31:K31"/>
    <mergeCell ref="F27:K27"/>
    <mergeCell ref="B29:E29"/>
    <mergeCell ref="B2:K2"/>
    <mergeCell ref="B28:E28"/>
    <mergeCell ref="F30:K30"/>
    <mergeCell ref="B3:K3"/>
    <mergeCell ref="F29:K29"/>
    <mergeCell ref="B32:E3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SC-06: SC/ST GRIEVANCE, DISCRIMINATION &amp; ATROCITY COMPLAINT REGISTER</t>
        </is>
      </c>
    </row>
    <row r="3" ht="20" customHeight="1">
      <c r="B3" s="17" t="inlineStr">
        <is>
          <t>Atrocity complaints under SC/ST (PoA) Act 1989 must be reported to District SC/ST Cell and police within 24 hours. Do NOT suppress or delay. Legal obligation of institution.</t>
        </is>
      </c>
    </row>
    <row r="4" ht="25" customHeight="1">
      <c r="B4" s="47" t="inlineStr">
        <is>
          <t>Complaint
Ref.</t>
        </is>
      </c>
      <c r="C4" s="47" t="inlineStr">
        <is>
          <t>Student
Name / ID</t>
        </is>
      </c>
      <c r="D4" s="47" t="inlineStr">
        <is>
          <t>Category
(SC/ST)</t>
        </is>
      </c>
      <c r="E4" s="47" t="inlineStr">
        <is>
          <t>Nature of
Complaint</t>
        </is>
      </c>
      <c r="F4" s="47" t="inlineStr">
        <is>
          <t>Date
Received</t>
        </is>
      </c>
      <c r="G4" s="47" t="inlineStr">
        <is>
          <t>Complainant
Statement</t>
        </is>
      </c>
      <c r="H4" s="47" t="inlineStr">
        <is>
          <t>Action
Taken</t>
        </is>
      </c>
      <c r="I4" s="47" t="inlineStr">
        <is>
          <t>External
Referral</t>
        </is>
      </c>
      <c r="J4" s="47" t="inlineStr">
        <is>
          <t>Final
Status</t>
        </is>
      </c>
    </row>
    <row r="5" ht="26" customHeight="1">
      <c r="B5" s="48" t="inlineStr">
        <is>
          <t>SCST/GRV/2024/001</t>
        </is>
      </c>
      <c r="C5" s="49" t="inlineStr"/>
      <c r="D5" s="48" t="inlineStr">
        <is>
          <t>SC</t>
        </is>
      </c>
      <c r="E5" s="49" t="inlineStr">
        <is>
          <t>Verbal abuse / caste slur</t>
        </is>
      </c>
      <c r="F5" s="50" t="inlineStr"/>
      <c r="G5" s="50" t="inlineStr">
        <is>
          <t>Y</t>
        </is>
      </c>
      <c r="H5" s="49" t="inlineStr"/>
      <c r="I5" s="50" t="inlineStr">
        <is>
          <t>District SC/ST Cell</t>
        </is>
      </c>
      <c r="J5" s="50" t="inlineStr">
        <is>
          <t>Under Investigation</t>
        </is>
      </c>
    </row>
    <row r="6" ht="26" customHeight="1">
      <c r="B6" s="8" t="inlineStr">
        <is>
          <t>SCST/GRV/2024/002</t>
        </is>
      </c>
      <c r="C6" s="9" t="inlineStr"/>
      <c r="D6" s="8" t="inlineStr">
        <is>
          <t>SC</t>
        </is>
      </c>
      <c r="E6" s="9" t="inlineStr">
        <is>
          <t>Physical harassment</t>
        </is>
      </c>
      <c r="F6" s="10" t="inlineStr"/>
      <c r="G6" s="10" t="inlineStr">
        <is>
          <t>Y</t>
        </is>
      </c>
      <c r="H6" s="9" t="inlineStr"/>
      <c r="I6" s="10" t="inlineStr">
        <is>
          <t>District SC/ST Cell</t>
        </is>
      </c>
      <c r="J6" s="10" t="inlineStr">
        <is>
          <t>Under Investigation</t>
        </is>
      </c>
    </row>
    <row r="7" ht="26" customHeight="1">
      <c r="B7" s="48" t="inlineStr">
        <is>
          <t>SCST/GRV/2024/003</t>
        </is>
      </c>
      <c r="C7" s="49" t="inlineStr"/>
      <c r="D7" s="48" t="inlineStr">
        <is>
          <t>ST</t>
        </is>
      </c>
      <c r="E7" s="49" t="inlineStr">
        <is>
          <t>Social exclusion / untouchability</t>
        </is>
      </c>
      <c r="F7" s="50" t="inlineStr"/>
      <c r="G7" s="50" t="inlineStr">
        <is>
          <t>Y</t>
        </is>
      </c>
      <c r="H7" s="49" t="inlineStr"/>
      <c r="I7" s="50" t="inlineStr">
        <is>
          <t>District SC/ST Cell</t>
        </is>
      </c>
      <c r="J7" s="50" t="inlineStr">
        <is>
          <t>Under Investigation</t>
        </is>
      </c>
    </row>
    <row r="8" ht="26" customHeight="1">
      <c r="B8" s="8" t="inlineStr">
        <is>
          <t>SCST/GRV/2024/004</t>
        </is>
      </c>
      <c r="C8" s="9" t="inlineStr"/>
      <c r="D8" s="8" t="inlineStr">
        <is>
          <t>SC</t>
        </is>
      </c>
      <c r="E8" s="9" t="inlineStr">
        <is>
          <t>Denial of hostel / facilities</t>
        </is>
      </c>
      <c r="F8" s="10" t="inlineStr"/>
      <c r="G8" s="10" t="inlineStr">
        <is>
          <t>Y</t>
        </is>
      </c>
      <c r="H8" s="9" t="inlineStr"/>
      <c r="I8" s="10" t="inlineStr">
        <is>
          <t>District SC/ST Cell</t>
        </is>
      </c>
      <c r="J8" s="10" t="inlineStr">
        <is>
          <t>Under Investigation</t>
        </is>
      </c>
    </row>
    <row r="9" ht="26" customHeight="1">
      <c r="B9" s="48" t="inlineStr">
        <is>
          <t>SCST/GRV/2024/005</t>
        </is>
      </c>
      <c r="C9" s="49" t="inlineStr"/>
      <c r="D9" s="48" t="inlineStr">
        <is>
          <t>SC</t>
        </is>
      </c>
      <c r="E9" s="49" t="inlineStr">
        <is>
          <t>Academic discrimination by faculty</t>
        </is>
      </c>
      <c r="F9" s="50" t="inlineStr"/>
      <c r="G9" s="50" t="inlineStr">
        <is>
          <t>Y</t>
        </is>
      </c>
      <c r="H9" s="49" t="inlineStr"/>
      <c r="I9" s="50" t="inlineStr">
        <is>
          <t>District SC/ST Cell</t>
        </is>
      </c>
      <c r="J9" s="50" t="inlineStr">
        <is>
          <t>Under Investigation</t>
        </is>
      </c>
    </row>
    <row r="10" ht="26" customHeight="1">
      <c r="B10" s="8" t="inlineStr">
        <is>
          <t>SCST/GRV/2024/006</t>
        </is>
      </c>
      <c r="C10" s="9" t="inlineStr"/>
      <c r="D10" s="8" t="inlineStr">
        <is>
          <t>ST</t>
        </is>
      </c>
      <c r="E10" s="9" t="inlineStr">
        <is>
          <t>Scholarship non-disbursement</t>
        </is>
      </c>
      <c r="F10" s="10" t="inlineStr"/>
      <c r="G10" s="10" t="inlineStr">
        <is>
          <t>Y</t>
        </is>
      </c>
      <c r="H10" s="9" t="inlineStr"/>
      <c r="I10" s="10" t="inlineStr">
        <is>
          <t>District SC/ST Cell</t>
        </is>
      </c>
      <c r="J10" s="10" t="inlineStr">
        <is>
          <t>Under Investigation</t>
        </is>
      </c>
    </row>
    <row r="11" ht="26" customHeight="1">
      <c r="B11" s="48" t="inlineStr">
        <is>
          <t>SCST/GRV/2024/007</t>
        </is>
      </c>
      <c r="C11" s="49" t="inlineStr"/>
      <c r="D11" s="48" t="inlineStr">
        <is>
          <t>SC</t>
        </is>
      </c>
      <c r="E11" s="49" t="inlineStr">
        <is>
          <t>Cyberbullying / social media abuse</t>
        </is>
      </c>
      <c r="F11" s="50" t="inlineStr"/>
      <c r="G11" s="50" t="inlineStr">
        <is>
          <t>Y</t>
        </is>
      </c>
      <c r="H11" s="49" t="inlineStr"/>
      <c r="I11" s="50" t="inlineStr">
        <is>
          <t>District SC/ST Cell</t>
        </is>
      </c>
      <c r="J11" s="50" t="inlineStr">
        <is>
          <t>Under Investigation</t>
        </is>
      </c>
    </row>
    <row r="12" ht="26" customHeight="1">
      <c r="B12" s="8" t="inlineStr">
        <is>
          <t>SCST/GRV/2024/008</t>
        </is>
      </c>
      <c r="C12" s="9" t="inlineStr"/>
      <c r="D12" s="8" t="inlineStr">
        <is>
          <t>SC</t>
        </is>
      </c>
      <c r="E12" s="9" t="inlineStr">
        <is>
          <t>Atrocity under PoA Act</t>
        </is>
      </c>
      <c r="F12" s="10" t="inlineStr"/>
      <c r="G12" s="10" t="inlineStr">
        <is>
          <t>Y</t>
        </is>
      </c>
      <c r="H12" s="9" t="inlineStr"/>
      <c r="I12" s="10" t="inlineStr">
        <is>
          <t>District SC/ST Cell</t>
        </is>
      </c>
      <c r="J12" s="10" t="inlineStr">
        <is>
          <t>Under Investigation</t>
        </is>
      </c>
    </row>
    <row r="13" ht="26" customHeight="1">
      <c r="B13" s="48" t="inlineStr">
        <is>
          <t>SCST/GRV/2025/009</t>
        </is>
      </c>
      <c r="C13" s="49" t="inlineStr"/>
      <c r="D13" s="48" t="inlineStr">
        <is>
          <t>ST</t>
        </is>
      </c>
      <c r="E13" s="49" t="inlineStr">
        <is>
          <t>Ragging with caste angle</t>
        </is>
      </c>
      <c r="F13" s="50" t="inlineStr"/>
      <c r="G13" s="50" t="inlineStr">
        <is>
          <t>Y</t>
        </is>
      </c>
      <c r="H13" s="49" t="inlineStr"/>
      <c r="I13" s="50" t="inlineStr">
        <is>
          <t>District SC/ST Cell</t>
        </is>
      </c>
      <c r="J13" s="50" t="inlineStr">
        <is>
          <t>Under Investigation</t>
        </is>
      </c>
    </row>
    <row r="14" ht="26" customHeight="1">
      <c r="B14" s="8" t="inlineStr">
        <is>
          <t>SCST/GRV/2025/010</t>
        </is>
      </c>
      <c r="C14" s="9" t="inlineStr"/>
      <c r="D14" s="8" t="inlineStr">
        <is>
          <t>SC</t>
        </is>
      </c>
      <c r="E14" s="9" t="inlineStr">
        <is>
          <t>Other discrimination</t>
        </is>
      </c>
      <c r="F14" s="10" t="inlineStr"/>
      <c r="G14" s="10" t="inlineStr">
        <is>
          <t>Y</t>
        </is>
      </c>
      <c r="H14" s="9" t="inlineStr"/>
      <c r="I14" s="10" t="inlineStr">
        <is>
          <t>District SC/ST Cell</t>
        </is>
      </c>
      <c r="J14" s="10" t="inlineStr">
        <is>
          <t>Under Investigation</t>
        </is>
      </c>
    </row>
    <row r="15" ht="26" customHeight="1">
      <c r="B15" s="48" t="inlineStr">
        <is>
          <t>SCST/GRV/2025/011</t>
        </is>
      </c>
      <c r="C15" s="49" t="inlineStr"/>
      <c r="D15" s="48" t="inlineStr">
        <is>
          <t>SC</t>
        </is>
      </c>
      <c r="E15" s="49" t="inlineStr">
        <is>
          <t>Verbal abuse / caste slur</t>
        </is>
      </c>
      <c r="F15" s="50" t="inlineStr"/>
      <c r="G15" s="50" t="inlineStr">
        <is>
          <t>Y</t>
        </is>
      </c>
      <c r="H15" s="49" t="inlineStr"/>
      <c r="I15" s="50" t="inlineStr">
        <is>
          <t>District SC/ST Cell</t>
        </is>
      </c>
      <c r="J15" s="50" t="inlineStr">
        <is>
          <t>Under Investigation</t>
        </is>
      </c>
    </row>
    <row r="16" ht="26" customHeight="1">
      <c r="B16" s="8" t="inlineStr">
        <is>
          <t>SCST/GRV/2025/012</t>
        </is>
      </c>
      <c r="C16" s="9" t="inlineStr"/>
      <c r="D16" s="8" t="inlineStr">
        <is>
          <t>ST</t>
        </is>
      </c>
      <c r="E16" s="9" t="inlineStr">
        <is>
          <t>Physical harassment</t>
        </is>
      </c>
      <c r="F16" s="10" t="inlineStr"/>
      <c r="G16" s="10" t="inlineStr">
        <is>
          <t>Y</t>
        </is>
      </c>
      <c r="H16" s="9" t="inlineStr"/>
      <c r="I16" s="10" t="inlineStr">
        <is>
          <t>District SC/ST Cell</t>
        </is>
      </c>
      <c r="J16" s="10" t="inlineStr">
        <is>
          <t>Under Investigation</t>
        </is>
      </c>
    </row>
    <row r="17" ht="26" customHeight="1">
      <c r="B17" s="48" t="inlineStr">
        <is>
          <t>SCST/GRV/2025/013</t>
        </is>
      </c>
      <c r="C17" s="49" t="inlineStr"/>
      <c r="D17" s="48" t="inlineStr">
        <is>
          <t>SC</t>
        </is>
      </c>
      <c r="E17" s="49" t="inlineStr">
        <is>
          <t>Social exclusion / untouchability</t>
        </is>
      </c>
      <c r="F17" s="50" t="inlineStr"/>
      <c r="G17" s="50" t="inlineStr">
        <is>
          <t>Y</t>
        </is>
      </c>
      <c r="H17" s="49" t="inlineStr"/>
      <c r="I17" s="50" t="inlineStr">
        <is>
          <t>District SC/ST Cell</t>
        </is>
      </c>
      <c r="J17" s="50" t="inlineStr">
        <is>
          <t>Under Investigation</t>
        </is>
      </c>
    </row>
    <row r="18" ht="26" customHeight="1">
      <c r="B18" s="8" t="inlineStr">
        <is>
          <t>SCST/GRV/2025/014</t>
        </is>
      </c>
      <c r="C18" s="9" t="inlineStr"/>
      <c r="D18" s="8" t="inlineStr">
        <is>
          <t>SC</t>
        </is>
      </c>
      <c r="E18" s="9" t="inlineStr">
        <is>
          <t>Denial of hostel / facilities</t>
        </is>
      </c>
      <c r="F18" s="10" t="inlineStr"/>
      <c r="G18" s="10" t="inlineStr">
        <is>
          <t>Y</t>
        </is>
      </c>
      <c r="H18" s="9" t="inlineStr"/>
      <c r="I18" s="10" t="inlineStr">
        <is>
          <t>District SC/ST Cell</t>
        </is>
      </c>
      <c r="J18" s="10" t="inlineStr">
        <is>
          <t>Under Investigation</t>
        </is>
      </c>
    </row>
    <row r="19" ht="26" customHeight="1">
      <c r="B19" s="48" t="inlineStr">
        <is>
          <t>SCST/GRV/2025/015</t>
        </is>
      </c>
      <c r="C19" s="49" t="inlineStr"/>
      <c r="D19" s="48" t="inlineStr">
        <is>
          <t>ST</t>
        </is>
      </c>
      <c r="E19" s="49" t="inlineStr">
        <is>
          <t>Academic discrimination by faculty</t>
        </is>
      </c>
      <c r="F19" s="50" t="inlineStr"/>
      <c r="G19" s="50" t="inlineStr">
        <is>
          <t>Y</t>
        </is>
      </c>
      <c r="H19" s="49" t="inlineStr"/>
      <c r="I19" s="50" t="inlineStr">
        <is>
          <t>District SC/ST Cell</t>
        </is>
      </c>
      <c r="J19" s="50" t="inlineStr">
        <is>
          <t>Under Investigation</t>
        </is>
      </c>
    </row>
    <row r="20" ht="26" customHeight="1">
      <c r="B20" s="8" t="inlineStr">
        <is>
          <t>SCST/GRV/2025/016</t>
        </is>
      </c>
      <c r="C20" s="9" t="inlineStr"/>
      <c r="D20" s="8" t="inlineStr">
        <is>
          <t>SC</t>
        </is>
      </c>
      <c r="E20" s="9" t="inlineStr">
        <is>
          <t>Scholarship non-disbursement</t>
        </is>
      </c>
      <c r="F20" s="10" t="inlineStr"/>
      <c r="G20" s="10" t="inlineStr">
        <is>
          <t>Y</t>
        </is>
      </c>
      <c r="H20" s="9" t="inlineStr"/>
      <c r="I20" s="10" t="inlineStr">
        <is>
          <t>District SC/ST Cell</t>
        </is>
      </c>
      <c r="J20" s="10" t="inlineStr">
        <is>
          <t>Under Investigation</t>
        </is>
      </c>
    </row>
    <row r="21" ht="26" customHeight="1"/>
    <row r="22" ht="24" customHeight="1">
      <c r="B22" s="51" t="inlineStr">
        <is>
          <t>COMPLAINT STATISTICS</t>
        </is>
      </c>
    </row>
    <row r="23" ht="26" customHeight="1">
      <c r="B23" s="52" t="inlineStr">
        <is>
          <t>Total Complaints Received</t>
        </is>
      </c>
      <c r="F23" s="36">
        <f>COUNTA(B5:B20)</f>
        <v/>
      </c>
    </row>
    <row r="24" ht="26" customHeight="1">
      <c r="B24" s="25" t="inlineStr">
        <is>
          <t>Atrocity Cases (PoA Act)</t>
        </is>
      </c>
      <c r="F24" s="37">
        <f>COUNTIF(E5:E20,"Atrocity under PoA Act")</f>
        <v/>
      </c>
    </row>
    <row r="25" ht="26" customHeight="1">
      <c r="B25" s="52" t="inlineStr">
        <is>
          <t>Reported to External Authority</t>
        </is>
      </c>
      <c r="F25" s="36">
        <f>COUNTIF(I5:I20,"District SC/ST Cell")</f>
        <v/>
      </c>
    </row>
    <row r="26" ht="26" customHeight="1">
      <c r="B26" s="25" t="inlineStr">
        <is>
          <t>Resolved</t>
        </is>
      </c>
      <c r="F26" s="37">
        <f>COUNTIF(J5:J20,"Resolved")</f>
        <v/>
      </c>
    </row>
    <row r="27" ht="26" customHeight="1">
      <c r="B27" s="52" t="inlineStr">
        <is>
          <t>Pending / Under Investigation</t>
        </is>
      </c>
      <c r="F27" s="36" t="inlineStr"/>
    </row>
    <row r="28" ht="26" customHeight="1">
      <c r="B28" s="25" t="inlineStr">
        <is>
          <t>Victim Support Provided</t>
        </is>
      </c>
      <c r="F28" s="37" t="inlineStr"/>
    </row>
    <row r="29" ht="26" customHeight="1"/>
  </sheetData>
  <mergeCells count="15">
    <mergeCell ref="B23:E23"/>
    <mergeCell ref="B26:E26"/>
    <mergeCell ref="B3:J3"/>
    <mergeCell ref="B27:E27"/>
    <mergeCell ref="F24:J24"/>
    <mergeCell ref="F23:J23"/>
    <mergeCell ref="B22:J22"/>
    <mergeCell ref="F25:J25"/>
    <mergeCell ref="F27:J27"/>
    <mergeCell ref="B25:E25"/>
    <mergeCell ref="F28:J28"/>
    <mergeCell ref="B24:E24"/>
    <mergeCell ref="B28:E28"/>
    <mergeCell ref="F26:J26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OBC-02: OBC / EWS SCHOLARSHIP &amp; FEE CONCESSION REGISTER</t>
        </is>
      </c>
    </row>
    <row r="3" ht="25" customHeight="1">
      <c r="B3" s="2" t="inlineStr">
        <is>
          <t>A.Y.: _______  OBC/EWS Cell Coordinator: ___________________  NSP Portal / State Portal Reference</t>
        </is>
      </c>
    </row>
    <row r="4" ht="25" customHeight="1">
      <c r="B4" s="53" t="inlineStr">
        <is>
          <t>Sl.</t>
        </is>
      </c>
      <c r="C4" s="53" t="inlineStr">
        <is>
          <t>Student Name</t>
        </is>
      </c>
      <c r="D4" s="53" t="inlineStr">
        <is>
          <t>Roll No.</t>
        </is>
      </c>
      <c r="E4" s="53" t="inlineStr">
        <is>
          <t>Category
(OBC/EWS)</t>
        </is>
      </c>
      <c r="F4" s="53" t="inlineStr">
        <is>
          <t>NCL Valid
(Y/N)</t>
        </is>
      </c>
      <c r="G4" s="53" t="inlineStr">
        <is>
          <t>Scholarship
Scheme</t>
        </is>
      </c>
      <c r="H4" s="53" t="inlineStr">
        <is>
          <t>Amount
Applied (₹)</t>
        </is>
      </c>
      <c r="I4" s="53" t="inlineStr">
        <is>
          <t>Amount
Approved (₹)</t>
        </is>
      </c>
      <c r="J4" s="53" t="inlineStr">
        <is>
          <t>Amount
Received (₹)</t>
        </is>
      </c>
      <c r="K4" s="53" t="inlineStr">
        <is>
          <t>Status</t>
        </is>
      </c>
    </row>
    <row r="5" ht="22" customHeight="1">
      <c r="B5" s="54" t="n">
        <v>1</v>
      </c>
      <c r="C5" s="55" t="inlineStr"/>
      <c r="D5" s="56" t="inlineStr"/>
      <c r="E5" s="54" t="inlineStr">
        <is>
          <t>OBC</t>
        </is>
      </c>
      <c r="F5" s="56" t="inlineStr">
        <is>
          <t>Y</t>
        </is>
      </c>
      <c r="G5" s="56" t="inlineStr">
        <is>
          <t>Post-Matric Scholarship (Central — OBC)</t>
        </is>
      </c>
      <c r="H5" s="56" t="inlineStr"/>
      <c r="I5" s="56" t="inlineStr"/>
      <c r="J5" s="56" t="inlineStr"/>
      <c r="K5" s="56" t="inlineStr">
        <is>
          <t>Received</t>
        </is>
      </c>
    </row>
    <row r="6" ht="22" customHeight="1">
      <c r="B6" s="8" t="n">
        <v>2</v>
      </c>
      <c r="C6" s="9" t="inlineStr"/>
      <c r="D6" s="10" t="inlineStr"/>
      <c r="E6" s="8" t="inlineStr">
        <is>
          <t>OBC</t>
        </is>
      </c>
      <c r="F6" s="10" t="inlineStr">
        <is>
          <t>Y</t>
        </is>
      </c>
      <c r="G6" s="10" t="inlineStr">
        <is>
          <t>Post-Matric Scholarship (State — OBC)</t>
        </is>
      </c>
      <c r="H6" s="10" t="inlineStr"/>
      <c r="I6" s="10" t="inlineStr"/>
      <c r="J6" s="10" t="inlineStr"/>
      <c r="K6" s="10" t="inlineStr">
        <is>
          <t>Received</t>
        </is>
      </c>
    </row>
    <row r="7" ht="22" customHeight="1">
      <c r="B7" s="54" t="n">
        <v>3</v>
      </c>
      <c r="C7" s="55" t="inlineStr"/>
      <c r="D7" s="56" t="inlineStr"/>
      <c r="E7" s="54" t="inlineStr">
        <is>
          <t>OBC</t>
        </is>
      </c>
      <c r="F7" s="56" t="inlineStr">
        <is>
          <t>Y</t>
        </is>
      </c>
      <c r="G7" s="56" t="inlineStr">
        <is>
          <t>OBC Pre-Matric Scholarship</t>
        </is>
      </c>
      <c r="H7" s="56" t="inlineStr"/>
      <c r="I7" s="56" t="inlineStr"/>
      <c r="J7" s="56" t="inlineStr"/>
      <c r="K7" s="56" t="inlineStr">
        <is>
          <t>Received</t>
        </is>
      </c>
    </row>
    <row r="8" ht="22" customHeight="1">
      <c r="B8" s="8" t="n">
        <v>4</v>
      </c>
      <c r="C8" s="9" t="inlineStr"/>
      <c r="D8" s="10" t="inlineStr"/>
      <c r="E8" s="8" t="inlineStr">
        <is>
          <t>EWS</t>
        </is>
      </c>
      <c r="F8" s="10" t="inlineStr">
        <is>
          <t>N/A</t>
        </is>
      </c>
      <c r="G8" s="10" t="inlineStr">
        <is>
          <t>EWS Scholarship (State)</t>
        </is>
      </c>
      <c r="H8" s="10" t="inlineStr"/>
      <c r="I8" s="10" t="inlineStr"/>
      <c r="J8" s="10" t="inlineStr"/>
      <c r="K8" s="10" t="inlineStr">
        <is>
          <t>Received</t>
        </is>
      </c>
    </row>
    <row r="9" ht="22" customHeight="1">
      <c r="B9" s="54" t="n">
        <v>5</v>
      </c>
      <c r="C9" s="55" t="inlineStr"/>
      <c r="D9" s="56" t="inlineStr"/>
      <c r="E9" s="54" t="inlineStr">
        <is>
          <t>OBC</t>
        </is>
      </c>
      <c r="F9" s="56" t="inlineStr">
        <is>
          <t>Y</t>
        </is>
      </c>
      <c r="G9" s="56" t="inlineStr">
        <is>
          <t>EWS Scholarship (Central)</t>
        </is>
      </c>
      <c r="H9" s="56" t="inlineStr"/>
      <c r="I9" s="56" t="inlineStr"/>
      <c r="J9" s="56" t="inlineStr"/>
      <c r="K9" s="56" t="inlineStr">
        <is>
          <t>Received</t>
        </is>
      </c>
    </row>
    <row r="10" ht="22" customHeight="1">
      <c r="B10" s="8" t="n">
        <v>6</v>
      </c>
      <c r="C10" s="9" t="inlineStr"/>
      <c r="D10" s="10" t="inlineStr"/>
      <c r="E10" s="8" t="inlineStr">
        <is>
          <t>OBC</t>
        </is>
      </c>
      <c r="F10" s="10" t="inlineStr">
        <is>
          <t>Y</t>
        </is>
      </c>
      <c r="G10" s="10" t="inlineStr">
        <is>
          <t>Central Sector Scholarship (OBC)</t>
        </is>
      </c>
      <c r="H10" s="10" t="inlineStr"/>
      <c r="I10" s="10" t="inlineStr"/>
      <c r="J10" s="10" t="inlineStr"/>
      <c r="K10" s="10" t="inlineStr">
        <is>
          <t>Received</t>
        </is>
      </c>
    </row>
    <row r="11" ht="22" customHeight="1">
      <c r="B11" s="54" t="n">
        <v>7</v>
      </c>
      <c r="C11" s="55" t="inlineStr"/>
      <c r="D11" s="56" t="inlineStr"/>
      <c r="E11" s="54" t="inlineStr">
        <is>
          <t>OBC</t>
        </is>
      </c>
      <c r="F11" s="56" t="inlineStr">
        <is>
          <t>Y</t>
        </is>
      </c>
      <c r="G11" s="56" t="inlineStr">
        <is>
          <t>PM-YASASVI Scholarship (OBC/EWS/DNT)</t>
        </is>
      </c>
      <c r="H11" s="56" t="inlineStr"/>
      <c r="I11" s="56" t="inlineStr"/>
      <c r="J11" s="56" t="inlineStr"/>
      <c r="K11" s="56" t="inlineStr">
        <is>
          <t>Received</t>
        </is>
      </c>
    </row>
    <row r="12" ht="22" customHeight="1">
      <c r="B12" s="8" t="n">
        <v>8</v>
      </c>
      <c r="C12" s="9" t="inlineStr"/>
      <c r="D12" s="10" t="inlineStr"/>
      <c r="E12" s="8" t="inlineStr">
        <is>
          <t>EWS</t>
        </is>
      </c>
      <c r="F12" s="10" t="inlineStr">
        <is>
          <t>N/A</t>
        </is>
      </c>
      <c r="G12" s="10" t="inlineStr">
        <is>
          <t>Institutional Fee Concession (OBC)</t>
        </is>
      </c>
      <c r="H12" s="10" t="inlineStr"/>
      <c r="I12" s="10" t="inlineStr"/>
      <c r="J12" s="10" t="inlineStr"/>
      <c r="K12" s="10" t="inlineStr">
        <is>
          <t>Received</t>
        </is>
      </c>
    </row>
    <row r="13" ht="22" customHeight="1">
      <c r="B13" s="54" t="n">
        <v>9</v>
      </c>
      <c r="C13" s="55" t="inlineStr"/>
      <c r="D13" s="56" t="inlineStr"/>
      <c r="E13" s="54" t="inlineStr">
        <is>
          <t>OBC</t>
        </is>
      </c>
      <c r="F13" s="56" t="inlineStr">
        <is>
          <t>Y</t>
        </is>
      </c>
      <c r="G13" s="56" t="inlineStr">
        <is>
          <t>Institutional Fee Concession (EWS)</t>
        </is>
      </c>
      <c r="H13" s="56" t="inlineStr"/>
      <c r="I13" s="56" t="inlineStr"/>
      <c r="J13" s="56" t="inlineStr"/>
      <c r="K13" s="56" t="inlineStr">
        <is>
          <t>Received</t>
        </is>
      </c>
    </row>
    <row r="14" ht="22" customHeight="1">
      <c r="B14" s="8" t="n">
        <v>10</v>
      </c>
      <c r="C14" s="9" t="inlineStr"/>
      <c r="D14" s="10" t="inlineStr"/>
      <c r="E14" s="8" t="inlineStr">
        <is>
          <t>OBC</t>
        </is>
      </c>
      <c r="F14" s="10" t="inlineStr">
        <is>
          <t>Y</t>
        </is>
      </c>
      <c r="G14" s="10" t="inlineStr">
        <is>
          <t>State Merit-cum-Means Scholarship</t>
        </is>
      </c>
      <c r="H14" s="10" t="inlineStr"/>
      <c r="I14" s="10" t="inlineStr"/>
      <c r="J14" s="10" t="inlineStr"/>
      <c r="K14" s="10" t="inlineStr">
        <is>
          <t>Received</t>
        </is>
      </c>
    </row>
    <row r="15" ht="22" customHeight="1">
      <c r="B15" s="54" t="n">
        <v>11</v>
      </c>
      <c r="C15" s="55" t="inlineStr"/>
      <c r="D15" s="56" t="inlineStr"/>
      <c r="E15" s="54" t="inlineStr">
        <is>
          <t>OBC</t>
        </is>
      </c>
      <c r="F15" s="56" t="inlineStr">
        <is>
          <t>Y</t>
        </is>
      </c>
      <c r="G15" s="56" t="inlineStr">
        <is>
          <t>Dr. Ambedkar Post-Matric (OBC)</t>
        </is>
      </c>
      <c r="H15" s="56" t="inlineStr"/>
      <c r="I15" s="56" t="inlineStr"/>
      <c r="J15" s="56" t="inlineStr"/>
      <c r="K15" s="56" t="inlineStr">
        <is>
          <t>Received</t>
        </is>
      </c>
    </row>
    <row r="16" ht="22" customHeight="1">
      <c r="B16" s="8" t="n">
        <v>12</v>
      </c>
      <c r="C16" s="9" t="inlineStr"/>
      <c r="D16" s="10" t="inlineStr"/>
      <c r="E16" s="8" t="inlineStr">
        <is>
          <t>EWS</t>
        </is>
      </c>
      <c r="F16" s="10" t="inlineStr">
        <is>
          <t>N/A</t>
        </is>
      </c>
      <c r="G16" s="10" t="inlineStr">
        <is>
          <t>Post-Matric Scholarship (Central — OBC)</t>
        </is>
      </c>
      <c r="H16" s="10" t="inlineStr"/>
      <c r="I16" s="10" t="inlineStr"/>
      <c r="J16" s="10" t="inlineStr"/>
      <c r="K16" s="10" t="inlineStr">
        <is>
          <t>Received</t>
        </is>
      </c>
    </row>
    <row r="17" ht="22" customHeight="1">
      <c r="B17" s="54" t="n">
        <v>13</v>
      </c>
      <c r="C17" s="55" t="inlineStr"/>
      <c r="D17" s="56" t="inlineStr"/>
      <c r="E17" s="54" t="inlineStr">
        <is>
          <t>OBC</t>
        </is>
      </c>
      <c r="F17" s="56" t="inlineStr">
        <is>
          <t>Y</t>
        </is>
      </c>
      <c r="G17" s="56" t="inlineStr">
        <is>
          <t>Post-Matric Scholarship (State — OBC)</t>
        </is>
      </c>
      <c r="H17" s="56" t="inlineStr"/>
      <c r="I17" s="56" t="inlineStr"/>
      <c r="J17" s="56" t="inlineStr"/>
      <c r="K17" s="56" t="inlineStr">
        <is>
          <t>Received</t>
        </is>
      </c>
    </row>
    <row r="18" ht="22" customHeight="1">
      <c r="B18" s="8" t="n">
        <v>14</v>
      </c>
      <c r="C18" s="9" t="inlineStr"/>
      <c r="D18" s="10" t="inlineStr"/>
      <c r="E18" s="8" t="inlineStr">
        <is>
          <t>OBC</t>
        </is>
      </c>
      <c r="F18" s="10" t="inlineStr">
        <is>
          <t>Y</t>
        </is>
      </c>
      <c r="G18" s="10" t="inlineStr">
        <is>
          <t>OBC Pre-Matric Scholarship</t>
        </is>
      </c>
      <c r="H18" s="10" t="inlineStr"/>
      <c r="I18" s="10" t="inlineStr"/>
      <c r="J18" s="10" t="inlineStr"/>
      <c r="K18" s="10" t="inlineStr">
        <is>
          <t>Received</t>
        </is>
      </c>
    </row>
    <row r="19" ht="22" customHeight="1">
      <c r="B19" s="54" t="n">
        <v>15</v>
      </c>
      <c r="C19" s="55" t="inlineStr"/>
      <c r="D19" s="56" t="inlineStr"/>
      <c r="E19" s="54" t="inlineStr">
        <is>
          <t>OBC</t>
        </is>
      </c>
      <c r="F19" s="56" t="inlineStr">
        <is>
          <t>Y</t>
        </is>
      </c>
      <c r="G19" s="56" t="inlineStr">
        <is>
          <t>EWS Scholarship (State)</t>
        </is>
      </c>
      <c r="H19" s="56" t="inlineStr"/>
      <c r="I19" s="56" t="inlineStr"/>
      <c r="J19" s="56" t="inlineStr"/>
      <c r="K19" s="56" t="inlineStr">
        <is>
          <t>Received</t>
        </is>
      </c>
    </row>
    <row r="20" ht="22" customHeight="1">
      <c r="B20" s="8" t="n">
        <v>16</v>
      </c>
      <c r="C20" s="9" t="inlineStr"/>
      <c r="D20" s="10" t="inlineStr"/>
      <c r="E20" s="8" t="inlineStr">
        <is>
          <t>EWS</t>
        </is>
      </c>
      <c r="F20" s="10" t="inlineStr">
        <is>
          <t>N/A</t>
        </is>
      </c>
      <c r="G20" s="10" t="inlineStr">
        <is>
          <t>EWS Scholarship (Central)</t>
        </is>
      </c>
      <c r="H20" s="10" t="inlineStr"/>
      <c r="I20" s="10" t="inlineStr"/>
      <c r="J20" s="10" t="inlineStr"/>
      <c r="K20" s="10" t="inlineStr">
        <is>
          <t>Received</t>
        </is>
      </c>
    </row>
    <row r="21" ht="22" customHeight="1">
      <c r="B21" s="54" t="n">
        <v>17</v>
      </c>
      <c r="C21" s="55" t="inlineStr"/>
      <c r="D21" s="56" t="inlineStr"/>
      <c r="E21" s="54" t="inlineStr">
        <is>
          <t>OBC</t>
        </is>
      </c>
      <c r="F21" s="56" t="inlineStr">
        <is>
          <t>Y</t>
        </is>
      </c>
      <c r="G21" s="56" t="inlineStr">
        <is>
          <t>Central Sector Scholarship (OBC)</t>
        </is>
      </c>
      <c r="H21" s="56" t="inlineStr"/>
      <c r="I21" s="56" t="inlineStr"/>
      <c r="J21" s="56" t="inlineStr"/>
      <c r="K21" s="56" t="inlineStr">
        <is>
          <t>Received</t>
        </is>
      </c>
    </row>
    <row r="22" ht="22" customHeight="1">
      <c r="B22" s="8" t="n">
        <v>18</v>
      </c>
      <c r="C22" s="9" t="inlineStr"/>
      <c r="D22" s="10" t="inlineStr"/>
      <c r="E22" s="8" t="inlineStr">
        <is>
          <t>OBC</t>
        </is>
      </c>
      <c r="F22" s="10" t="inlineStr">
        <is>
          <t>Y</t>
        </is>
      </c>
      <c r="G22" s="10" t="inlineStr">
        <is>
          <t>PM-YASASVI Scholarship (OBC/EWS/DNT)</t>
        </is>
      </c>
      <c r="H22" s="10" t="inlineStr"/>
      <c r="I22" s="10" t="inlineStr"/>
      <c r="J22" s="10" t="inlineStr"/>
      <c r="K22" s="10" t="inlineStr">
        <is>
          <t>Received</t>
        </is>
      </c>
    </row>
    <row r="23" ht="22" customHeight="1">
      <c r="B23" s="54" t="n">
        <v>19</v>
      </c>
      <c r="C23" s="55" t="inlineStr"/>
      <c r="D23" s="56" t="inlineStr"/>
      <c r="E23" s="54" t="inlineStr">
        <is>
          <t>OBC</t>
        </is>
      </c>
      <c r="F23" s="56" t="inlineStr">
        <is>
          <t>Y</t>
        </is>
      </c>
      <c r="G23" s="56" t="inlineStr">
        <is>
          <t>Institutional Fee Concession (OBC)</t>
        </is>
      </c>
      <c r="H23" s="56" t="inlineStr"/>
      <c r="I23" s="56" t="inlineStr"/>
      <c r="J23" s="56" t="inlineStr"/>
      <c r="K23" s="56" t="inlineStr">
        <is>
          <t>Received</t>
        </is>
      </c>
    </row>
    <row r="24" ht="22" customHeight="1">
      <c r="B24" s="8" t="n">
        <v>20</v>
      </c>
      <c r="C24" s="9" t="inlineStr"/>
      <c r="D24" s="10" t="inlineStr"/>
      <c r="E24" s="8" t="inlineStr">
        <is>
          <t>EWS</t>
        </is>
      </c>
      <c r="F24" s="10" t="inlineStr">
        <is>
          <t>N/A</t>
        </is>
      </c>
      <c r="G24" s="10" t="inlineStr">
        <is>
          <t>Institutional Fee Concession (EWS)</t>
        </is>
      </c>
      <c r="H24" s="10" t="inlineStr"/>
      <c r="I24" s="10" t="inlineStr"/>
      <c r="J24" s="10" t="inlineStr"/>
      <c r="K24" s="10" t="inlineStr">
        <is>
          <t>Received</t>
        </is>
      </c>
    </row>
    <row r="25" ht="22" customHeight="1">
      <c r="B25" s="54" t="n">
        <v>21</v>
      </c>
      <c r="C25" s="55" t="inlineStr"/>
      <c r="D25" s="56" t="inlineStr"/>
      <c r="E25" s="54" t="inlineStr">
        <is>
          <t>OBC</t>
        </is>
      </c>
      <c r="F25" s="56" t="inlineStr">
        <is>
          <t>Y</t>
        </is>
      </c>
      <c r="G25" s="56" t="inlineStr">
        <is>
          <t>State Merit-cum-Means Scholarship</t>
        </is>
      </c>
      <c r="H25" s="56" t="inlineStr"/>
      <c r="I25" s="56" t="inlineStr"/>
      <c r="J25" s="56" t="inlineStr"/>
      <c r="K25" s="56" t="inlineStr">
        <is>
          <t>Received</t>
        </is>
      </c>
    </row>
    <row r="26" ht="22" customHeight="1">
      <c r="B26" s="8" t="n">
        <v>22</v>
      </c>
      <c r="C26" s="9" t="inlineStr"/>
      <c r="D26" s="10" t="inlineStr"/>
      <c r="E26" s="8" t="inlineStr">
        <is>
          <t>OBC</t>
        </is>
      </c>
      <c r="F26" s="10" t="inlineStr">
        <is>
          <t>Y</t>
        </is>
      </c>
      <c r="G26" s="10" t="inlineStr">
        <is>
          <t>Dr. Ambedkar Post-Matric (OBC)</t>
        </is>
      </c>
      <c r="H26" s="10" t="inlineStr"/>
      <c r="I26" s="10" t="inlineStr"/>
      <c r="J26" s="10" t="inlineStr"/>
      <c r="K26" s="10" t="inlineStr">
        <is>
          <t>Received</t>
        </is>
      </c>
    </row>
    <row r="27" ht="22" customHeight="1">
      <c r="B27" s="54" t="n">
        <v>23</v>
      </c>
      <c r="C27" s="55" t="inlineStr"/>
      <c r="D27" s="56" t="inlineStr"/>
      <c r="E27" s="54" t="inlineStr">
        <is>
          <t>OBC</t>
        </is>
      </c>
      <c r="F27" s="56" t="inlineStr">
        <is>
          <t>Y</t>
        </is>
      </c>
      <c r="G27" s="56" t="inlineStr">
        <is>
          <t>Post-Matric Scholarship (Central — OBC)</t>
        </is>
      </c>
      <c r="H27" s="56" t="inlineStr"/>
      <c r="I27" s="56" t="inlineStr"/>
      <c r="J27" s="56" t="inlineStr"/>
      <c r="K27" s="56" t="inlineStr">
        <is>
          <t>Received</t>
        </is>
      </c>
    </row>
    <row r="28" ht="22" customHeight="1">
      <c r="B28" s="8" t="n">
        <v>24</v>
      </c>
      <c r="C28" s="9" t="inlineStr"/>
      <c r="D28" s="10" t="inlineStr"/>
      <c r="E28" s="8" t="inlineStr">
        <is>
          <t>EWS</t>
        </is>
      </c>
      <c r="F28" s="10" t="inlineStr">
        <is>
          <t>N/A</t>
        </is>
      </c>
      <c r="G28" s="10" t="inlineStr">
        <is>
          <t>Post-Matric Scholarship (State — OBC)</t>
        </is>
      </c>
      <c r="H28" s="10" t="inlineStr"/>
      <c r="I28" s="10" t="inlineStr"/>
      <c r="J28" s="10" t="inlineStr"/>
      <c r="K28" s="10" t="inlineStr">
        <is>
          <t>Received</t>
        </is>
      </c>
    </row>
    <row r="29" ht="22" customHeight="1">
      <c r="B29" s="54" t="n">
        <v>25</v>
      </c>
      <c r="C29" s="55" t="inlineStr"/>
      <c r="D29" s="56" t="inlineStr"/>
      <c r="E29" s="54" t="inlineStr">
        <is>
          <t>OBC</t>
        </is>
      </c>
      <c r="F29" s="56" t="inlineStr">
        <is>
          <t>Y</t>
        </is>
      </c>
      <c r="G29" s="56" t="inlineStr">
        <is>
          <t>OBC Pre-Matric Scholarship</t>
        </is>
      </c>
      <c r="H29" s="56" t="inlineStr"/>
      <c r="I29" s="56" t="inlineStr"/>
      <c r="J29" s="56" t="inlineStr"/>
      <c r="K29" s="56" t="inlineStr">
        <is>
          <t>Received</t>
        </is>
      </c>
    </row>
    <row r="30" ht="22" customHeight="1">
      <c r="B30" s="8" t="n">
        <v>26</v>
      </c>
      <c r="C30" s="9" t="inlineStr"/>
      <c r="D30" s="10" t="inlineStr"/>
      <c r="E30" s="8" t="inlineStr">
        <is>
          <t>OBC</t>
        </is>
      </c>
      <c r="F30" s="10" t="inlineStr">
        <is>
          <t>Y</t>
        </is>
      </c>
      <c r="G30" s="10" t="inlineStr">
        <is>
          <t>EWS Scholarship (State)</t>
        </is>
      </c>
      <c r="H30" s="10" t="inlineStr"/>
      <c r="I30" s="10" t="inlineStr"/>
      <c r="J30" s="10" t="inlineStr"/>
      <c r="K30" s="10" t="inlineStr">
        <is>
          <t>Received</t>
        </is>
      </c>
    </row>
    <row r="31" ht="22" customHeight="1"/>
    <row r="32" ht="24" customHeight="1">
      <c r="B32" s="34" t="inlineStr">
        <is>
          <t>OBC/EWS SCHOLARSHIP SUMMARY</t>
        </is>
      </c>
    </row>
    <row r="33" ht="22" customHeight="1">
      <c r="B33" s="57" t="inlineStr">
        <is>
          <t>Total OBC/EWS Students with Scholarship</t>
        </is>
      </c>
      <c r="F33" s="36">
        <f>COUNTA(B5:B30)</f>
        <v/>
      </c>
    </row>
    <row r="34" ht="22" customHeight="1">
      <c r="B34" s="25" t="inlineStr">
        <is>
          <t>OBC Students</t>
        </is>
      </c>
      <c r="F34" s="37">
        <f>COUNTIF(E5:E30,"OBC")</f>
        <v/>
      </c>
    </row>
    <row r="35" ht="22" customHeight="1">
      <c r="B35" s="57" t="inlineStr">
        <is>
          <t>EWS Students</t>
        </is>
      </c>
      <c r="F35" s="36">
        <f>COUNTIF(E5:E30,"EWS")</f>
        <v/>
      </c>
    </row>
    <row r="36">
      <c r="B36" s="25" t="inlineStr">
        <is>
          <t>NCL Verified (OBC)</t>
        </is>
      </c>
      <c r="F36" s="37">
        <f>COUNTIF(F5:F30,"Y")</f>
        <v/>
      </c>
    </row>
    <row r="37">
      <c r="B37" s="57" t="inlineStr">
        <is>
          <t>Total Disbursed (₹)</t>
        </is>
      </c>
      <c r="F37" s="36">
        <f>IFERROR(SUM(J5:J30),"")</f>
        <v/>
      </c>
    </row>
    <row r="38">
      <c r="B38" s="25" t="inlineStr">
        <is>
          <t>Pending Disbursement</t>
        </is>
      </c>
      <c r="F38" s="37">
        <f>COUNTIF(K5:K30,"Pending")</f>
        <v/>
      </c>
    </row>
  </sheetData>
  <mergeCells count="15">
    <mergeCell ref="F37:K37"/>
    <mergeCell ref="B36:E36"/>
    <mergeCell ref="F34:K34"/>
    <mergeCell ref="F38:K38"/>
    <mergeCell ref="F33:K33"/>
    <mergeCell ref="B32:K32"/>
    <mergeCell ref="B35:E35"/>
    <mergeCell ref="F36:K36"/>
    <mergeCell ref="B37:E37"/>
    <mergeCell ref="B38:E38"/>
    <mergeCell ref="B33:E33"/>
    <mergeCell ref="F35:K35"/>
    <mergeCell ref="B2:K2"/>
    <mergeCell ref="B3:K3"/>
    <mergeCell ref="B34:E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OBC-03: OBC NON-CREAMY LAYER (NCL) CERTIFICATE VERIFICATION REGISTER</t>
        </is>
      </c>
    </row>
    <row r="3" ht="20" customHeight="1">
      <c r="B3" s="17" t="inlineStr">
        <is>
          <t>OBC NCL certificate must be current (issued in current financial year or previous year). Expired NCL = student reverts to general category for reservation. Verify annually before scholarship processing.</t>
        </is>
      </c>
    </row>
    <row r="4" ht="25" customHeight="1">
      <c r="B4" s="53" t="inlineStr">
        <is>
          <t>Sl.</t>
        </is>
      </c>
      <c r="C4" s="53" t="inlineStr">
        <is>
          <t>Student Name</t>
        </is>
      </c>
      <c r="D4" s="53" t="inlineStr">
        <is>
          <t>Roll No.</t>
        </is>
      </c>
      <c r="E4" s="53" t="inlineStr">
        <is>
          <t>Programme
&amp; Year</t>
        </is>
      </c>
      <c r="F4" s="53" t="inlineStr">
        <is>
          <t>NCL Cert.
Issue Date</t>
        </is>
      </c>
      <c r="G4" s="53" t="inlineStr">
        <is>
          <t>Issuing
Authority</t>
        </is>
      </c>
      <c r="H4" s="53" t="inlineStr">
        <is>
          <t>Certificate
Valid Upto</t>
        </is>
      </c>
      <c r="I4" s="53" t="inlineStr">
        <is>
          <t>Current
Status</t>
        </is>
      </c>
      <c r="J4" s="53" t="inlineStr">
        <is>
          <t>Action Required</t>
        </is>
      </c>
    </row>
    <row r="5" ht="22" customHeight="1">
      <c r="B5" s="54" t="n">
        <v>1</v>
      </c>
      <c r="C5" s="55" t="inlineStr"/>
      <c r="D5" s="56" t="inlineStr"/>
      <c r="E5" s="56" t="inlineStr"/>
      <c r="F5" s="56" t="inlineStr"/>
      <c r="G5" s="56" t="inlineStr">
        <is>
          <t>District Collector / SDO</t>
        </is>
      </c>
      <c r="H5" s="56" t="inlineStr"/>
      <c r="I5" s="56" t="inlineStr">
        <is>
          <t>Valid</t>
        </is>
      </c>
      <c r="J5" s="55" t="inlineStr">
        <is>
          <t>None</t>
        </is>
      </c>
    </row>
    <row r="6" ht="22" customHeight="1">
      <c r="B6" s="8" t="n">
        <v>2</v>
      </c>
      <c r="C6" s="9" t="inlineStr"/>
      <c r="D6" s="10" t="inlineStr"/>
      <c r="E6" s="10" t="inlineStr"/>
      <c r="F6" s="10" t="inlineStr"/>
      <c r="G6" s="10" t="inlineStr">
        <is>
          <t>District Collector / SDO</t>
        </is>
      </c>
      <c r="H6" s="10" t="inlineStr"/>
      <c r="I6" s="10" t="inlineStr">
        <is>
          <t>Valid</t>
        </is>
      </c>
      <c r="J6" s="9" t="inlineStr">
        <is>
          <t>None</t>
        </is>
      </c>
    </row>
    <row r="7" ht="22" customHeight="1">
      <c r="B7" s="54" t="n">
        <v>3</v>
      </c>
      <c r="C7" s="55" t="inlineStr"/>
      <c r="D7" s="56" t="inlineStr"/>
      <c r="E7" s="56" t="inlineStr"/>
      <c r="F7" s="56" t="inlineStr"/>
      <c r="G7" s="56" t="inlineStr">
        <is>
          <t>District Collector / SDO</t>
        </is>
      </c>
      <c r="H7" s="56" t="inlineStr"/>
      <c r="I7" s="56" t="inlineStr">
        <is>
          <t>Valid</t>
        </is>
      </c>
      <c r="J7" s="55" t="inlineStr">
        <is>
          <t>None</t>
        </is>
      </c>
    </row>
    <row r="8" ht="22" customHeight="1">
      <c r="B8" s="8" t="n">
        <v>4</v>
      </c>
      <c r="C8" s="9" t="inlineStr"/>
      <c r="D8" s="10" t="inlineStr"/>
      <c r="E8" s="10" t="inlineStr"/>
      <c r="F8" s="10" t="inlineStr"/>
      <c r="G8" s="10" t="inlineStr">
        <is>
          <t>District Collector / SDO</t>
        </is>
      </c>
      <c r="H8" s="10" t="inlineStr"/>
      <c r="I8" s="10" t="inlineStr">
        <is>
          <t>Valid</t>
        </is>
      </c>
      <c r="J8" s="9" t="inlineStr">
        <is>
          <t>None</t>
        </is>
      </c>
    </row>
    <row r="9" ht="22" customHeight="1">
      <c r="B9" s="54" t="n">
        <v>5</v>
      </c>
      <c r="C9" s="55" t="inlineStr"/>
      <c r="D9" s="56" t="inlineStr"/>
      <c r="E9" s="56" t="inlineStr"/>
      <c r="F9" s="56" t="inlineStr"/>
      <c r="G9" s="56" t="inlineStr">
        <is>
          <t>District Collector / SDO</t>
        </is>
      </c>
      <c r="H9" s="56" t="inlineStr"/>
      <c r="I9" s="56" t="inlineStr">
        <is>
          <t>Expired — Renewal Required</t>
        </is>
      </c>
      <c r="J9" s="55" t="inlineStr">
        <is>
          <t>Issue notice for renewal</t>
        </is>
      </c>
    </row>
    <row r="10" ht="22" customHeight="1">
      <c r="B10" s="8" t="n">
        <v>6</v>
      </c>
      <c r="C10" s="9" t="inlineStr"/>
      <c r="D10" s="10" t="inlineStr"/>
      <c r="E10" s="10" t="inlineStr"/>
      <c r="F10" s="10" t="inlineStr"/>
      <c r="G10" s="10" t="inlineStr">
        <is>
          <t>District Collector / SDO</t>
        </is>
      </c>
      <c r="H10" s="10" t="inlineStr"/>
      <c r="I10" s="10" t="inlineStr">
        <is>
          <t>Valid</t>
        </is>
      </c>
      <c r="J10" s="9" t="inlineStr">
        <is>
          <t>None</t>
        </is>
      </c>
    </row>
    <row r="11" ht="22" customHeight="1">
      <c r="B11" s="54" t="n">
        <v>7</v>
      </c>
      <c r="C11" s="55" t="inlineStr"/>
      <c r="D11" s="56" t="inlineStr"/>
      <c r="E11" s="56" t="inlineStr"/>
      <c r="F11" s="56" t="inlineStr"/>
      <c r="G11" s="56" t="inlineStr">
        <is>
          <t>District Collector / SDO</t>
        </is>
      </c>
      <c r="H11" s="56" t="inlineStr"/>
      <c r="I11" s="56" t="inlineStr">
        <is>
          <t>Valid</t>
        </is>
      </c>
      <c r="J11" s="55" t="inlineStr">
        <is>
          <t>None</t>
        </is>
      </c>
    </row>
    <row r="12" ht="22" customHeight="1">
      <c r="B12" s="8" t="n">
        <v>8</v>
      </c>
      <c r="C12" s="9" t="inlineStr"/>
      <c r="D12" s="10" t="inlineStr"/>
      <c r="E12" s="10" t="inlineStr"/>
      <c r="F12" s="10" t="inlineStr"/>
      <c r="G12" s="10" t="inlineStr">
        <is>
          <t>District Collector / SDO</t>
        </is>
      </c>
      <c r="H12" s="10" t="inlineStr"/>
      <c r="I12" s="10" t="inlineStr">
        <is>
          <t>Valid</t>
        </is>
      </c>
      <c r="J12" s="9" t="inlineStr">
        <is>
          <t>None</t>
        </is>
      </c>
    </row>
    <row r="13" ht="22" customHeight="1">
      <c r="B13" s="54" t="n">
        <v>9</v>
      </c>
      <c r="C13" s="55" t="inlineStr"/>
      <c r="D13" s="56" t="inlineStr"/>
      <c r="E13" s="56" t="inlineStr"/>
      <c r="F13" s="56" t="inlineStr"/>
      <c r="G13" s="56" t="inlineStr">
        <is>
          <t>District Collector / SDO</t>
        </is>
      </c>
      <c r="H13" s="56" t="inlineStr"/>
      <c r="I13" s="56" t="inlineStr">
        <is>
          <t>Valid</t>
        </is>
      </c>
      <c r="J13" s="55" t="inlineStr">
        <is>
          <t>None</t>
        </is>
      </c>
    </row>
    <row r="14" ht="22" customHeight="1">
      <c r="B14" s="8" t="n">
        <v>10</v>
      </c>
      <c r="C14" s="9" t="inlineStr"/>
      <c r="D14" s="10" t="inlineStr"/>
      <c r="E14" s="10" t="inlineStr"/>
      <c r="F14" s="10" t="inlineStr"/>
      <c r="G14" s="10" t="inlineStr">
        <is>
          <t>District Collector / SDO</t>
        </is>
      </c>
      <c r="H14" s="10" t="inlineStr"/>
      <c r="I14" s="10" t="inlineStr">
        <is>
          <t>Expired — Renewal Required</t>
        </is>
      </c>
      <c r="J14" s="9" t="inlineStr">
        <is>
          <t>Issue notice for renewal</t>
        </is>
      </c>
    </row>
    <row r="15" ht="22" customHeight="1">
      <c r="B15" s="54" t="n">
        <v>11</v>
      </c>
      <c r="C15" s="55" t="inlineStr"/>
      <c r="D15" s="56" t="inlineStr"/>
      <c r="E15" s="56" t="inlineStr"/>
      <c r="F15" s="56" t="inlineStr"/>
      <c r="G15" s="56" t="inlineStr">
        <is>
          <t>District Collector / SDO</t>
        </is>
      </c>
      <c r="H15" s="56" t="inlineStr"/>
      <c r="I15" s="56" t="inlineStr">
        <is>
          <t>Valid</t>
        </is>
      </c>
      <c r="J15" s="55" t="inlineStr">
        <is>
          <t>None</t>
        </is>
      </c>
    </row>
    <row r="16" ht="22" customHeight="1">
      <c r="B16" s="8" t="n">
        <v>12</v>
      </c>
      <c r="C16" s="9" t="inlineStr"/>
      <c r="D16" s="10" t="inlineStr"/>
      <c r="E16" s="10" t="inlineStr"/>
      <c r="F16" s="10" t="inlineStr"/>
      <c r="G16" s="10" t="inlineStr">
        <is>
          <t>District Collector / SDO</t>
        </is>
      </c>
      <c r="H16" s="10" t="inlineStr"/>
      <c r="I16" s="10" t="inlineStr">
        <is>
          <t>Valid</t>
        </is>
      </c>
      <c r="J16" s="9" t="inlineStr">
        <is>
          <t>None</t>
        </is>
      </c>
    </row>
    <row r="17" ht="22" customHeight="1">
      <c r="B17" s="54" t="n">
        <v>13</v>
      </c>
      <c r="C17" s="55" t="inlineStr"/>
      <c r="D17" s="56" t="inlineStr"/>
      <c r="E17" s="56" t="inlineStr"/>
      <c r="F17" s="56" t="inlineStr"/>
      <c r="G17" s="56" t="inlineStr">
        <is>
          <t>District Collector / SDO</t>
        </is>
      </c>
      <c r="H17" s="56" t="inlineStr"/>
      <c r="I17" s="56" t="inlineStr">
        <is>
          <t>Valid</t>
        </is>
      </c>
      <c r="J17" s="55" t="inlineStr">
        <is>
          <t>None</t>
        </is>
      </c>
    </row>
    <row r="18" ht="22" customHeight="1">
      <c r="B18" s="8" t="n">
        <v>14</v>
      </c>
      <c r="C18" s="9" t="inlineStr"/>
      <c r="D18" s="10" t="inlineStr"/>
      <c r="E18" s="10" t="inlineStr"/>
      <c r="F18" s="10" t="inlineStr"/>
      <c r="G18" s="10" t="inlineStr">
        <is>
          <t>District Collector / SDO</t>
        </is>
      </c>
      <c r="H18" s="10" t="inlineStr"/>
      <c r="I18" s="10" t="inlineStr">
        <is>
          <t>Valid</t>
        </is>
      </c>
      <c r="J18" s="9" t="inlineStr">
        <is>
          <t>None</t>
        </is>
      </c>
    </row>
    <row r="19" ht="22" customHeight="1">
      <c r="B19" s="54" t="n">
        <v>15</v>
      </c>
      <c r="C19" s="55" t="inlineStr"/>
      <c r="D19" s="56" t="inlineStr"/>
      <c r="E19" s="56" t="inlineStr"/>
      <c r="F19" s="56" t="inlineStr"/>
      <c r="G19" s="56" t="inlineStr">
        <is>
          <t>District Collector / SDO</t>
        </is>
      </c>
      <c r="H19" s="56" t="inlineStr"/>
      <c r="I19" s="56" t="inlineStr">
        <is>
          <t>Expired — Renewal Required</t>
        </is>
      </c>
      <c r="J19" s="55" t="inlineStr">
        <is>
          <t>Issue notice for renewal</t>
        </is>
      </c>
    </row>
    <row r="20" ht="22" customHeight="1">
      <c r="B20" s="8" t="n">
        <v>16</v>
      </c>
      <c r="C20" s="9" t="inlineStr"/>
      <c r="D20" s="10" t="inlineStr"/>
      <c r="E20" s="10" t="inlineStr"/>
      <c r="F20" s="10" t="inlineStr"/>
      <c r="G20" s="10" t="inlineStr">
        <is>
          <t>District Collector / SDO</t>
        </is>
      </c>
      <c r="H20" s="10" t="inlineStr"/>
      <c r="I20" s="10" t="inlineStr">
        <is>
          <t>Valid</t>
        </is>
      </c>
      <c r="J20" s="9" t="inlineStr">
        <is>
          <t>None</t>
        </is>
      </c>
    </row>
    <row r="21" ht="22" customHeight="1">
      <c r="B21" s="54" t="n">
        <v>17</v>
      </c>
      <c r="C21" s="55" t="inlineStr"/>
      <c r="D21" s="56" t="inlineStr"/>
      <c r="E21" s="56" t="inlineStr"/>
      <c r="F21" s="56" t="inlineStr"/>
      <c r="G21" s="56" t="inlineStr">
        <is>
          <t>District Collector / SDO</t>
        </is>
      </c>
      <c r="H21" s="56" t="inlineStr"/>
      <c r="I21" s="56" t="inlineStr">
        <is>
          <t>Valid</t>
        </is>
      </c>
      <c r="J21" s="55" t="inlineStr">
        <is>
          <t>None</t>
        </is>
      </c>
    </row>
    <row r="22" ht="22" customHeight="1">
      <c r="B22" s="8" t="n">
        <v>18</v>
      </c>
      <c r="C22" s="9" t="inlineStr"/>
      <c r="D22" s="10" t="inlineStr"/>
      <c r="E22" s="10" t="inlineStr"/>
      <c r="F22" s="10" t="inlineStr"/>
      <c r="G22" s="10" t="inlineStr">
        <is>
          <t>District Collector / SDO</t>
        </is>
      </c>
      <c r="H22" s="10" t="inlineStr"/>
      <c r="I22" s="10" t="inlineStr">
        <is>
          <t>Valid</t>
        </is>
      </c>
      <c r="J22" s="9" t="inlineStr">
        <is>
          <t>None</t>
        </is>
      </c>
    </row>
    <row r="23" ht="22" customHeight="1">
      <c r="B23" s="54" t="n">
        <v>19</v>
      </c>
      <c r="C23" s="55" t="inlineStr"/>
      <c r="D23" s="56" t="inlineStr"/>
      <c r="E23" s="56" t="inlineStr"/>
      <c r="F23" s="56" t="inlineStr"/>
      <c r="G23" s="56" t="inlineStr">
        <is>
          <t>District Collector / SDO</t>
        </is>
      </c>
      <c r="H23" s="56" t="inlineStr"/>
      <c r="I23" s="56" t="inlineStr">
        <is>
          <t>Valid</t>
        </is>
      </c>
      <c r="J23" s="55" t="inlineStr">
        <is>
          <t>None</t>
        </is>
      </c>
    </row>
    <row r="24" ht="22" customHeight="1">
      <c r="B24" s="8" t="n">
        <v>20</v>
      </c>
      <c r="C24" s="9" t="inlineStr"/>
      <c r="D24" s="10" t="inlineStr"/>
      <c r="E24" s="10" t="inlineStr"/>
      <c r="F24" s="10" t="inlineStr"/>
      <c r="G24" s="10" t="inlineStr">
        <is>
          <t>District Collector / SDO</t>
        </is>
      </c>
      <c r="H24" s="10" t="inlineStr"/>
      <c r="I24" s="10" t="inlineStr">
        <is>
          <t>Expired — Renewal Required</t>
        </is>
      </c>
      <c r="J24" s="9" t="inlineStr">
        <is>
          <t>Issue notice for renewal</t>
        </is>
      </c>
    </row>
    <row r="25" ht="22" customHeight="1">
      <c r="B25" s="54" t="n">
        <v>21</v>
      </c>
      <c r="C25" s="55" t="inlineStr"/>
      <c r="D25" s="56" t="inlineStr"/>
      <c r="E25" s="56" t="inlineStr"/>
      <c r="F25" s="56" t="inlineStr"/>
      <c r="G25" s="56" t="inlineStr">
        <is>
          <t>District Collector / SDO</t>
        </is>
      </c>
      <c r="H25" s="56" t="inlineStr"/>
      <c r="I25" s="56" t="inlineStr">
        <is>
          <t>Valid</t>
        </is>
      </c>
      <c r="J25" s="55" t="inlineStr">
        <is>
          <t>None</t>
        </is>
      </c>
    </row>
    <row r="26" ht="22" customHeight="1">
      <c r="B26" s="8" t="n">
        <v>22</v>
      </c>
      <c r="C26" s="9" t="inlineStr"/>
      <c r="D26" s="10" t="inlineStr"/>
      <c r="E26" s="10" t="inlineStr"/>
      <c r="F26" s="10" t="inlineStr"/>
      <c r="G26" s="10" t="inlineStr">
        <is>
          <t>District Collector / SDO</t>
        </is>
      </c>
      <c r="H26" s="10" t="inlineStr"/>
      <c r="I26" s="10" t="inlineStr">
        <is>
          <t>Valid</t>
        </is>
      </c>
      <c r="J26" s="9" t="inlineStr">
        <is>
          <t>None</t>
        </is>
      </c>
    </row>
    <row r="27" ht="22" customHeight="1">
      <c r="B27" s="54" t="n">
        <v>23</v>
      </c>
      <c r="C27" s="55" t="inlineStr"/>
      <c r="D27" s="56" t="inlineStr"/>
      <c r="E27" s="56" t="inlineStr"/>
      <c r="F27" s="56" t="inlineStr"/>
      <c r="G27" s="56" t="inlineStr">
        <is>
          <t>District Collector / SDO</t>
        </is>
      </c>
      <c r="H27" s="56" t="inlineStr"/>
      <c r="I27" s="56" t="inlineStr">
        <is>
          <t>Valid</t>
        </is>
      </c>
      <c r="J27" s="55" t="inlineStr">
        <is>
          <t>None</t>
        </is>
      </c>
    </row>
    <row r="28" ht="22" customHeight="1">
      <c r="B28" s="8" t="n">
        <v>24</v>
      </c>
      <c r="C28" s="9" t="inlineStr"/>
      <c r="D28" s="10" t="inlineStr"/>
      <c r="E28" s="10" t="inlineStr"/>
      <c r="F28" s="10" t="inlineStr"/>
      <c r="G28" s="10" t="inlineStr">
        <is>
          <t>District Collector / SDO</t>
        </is>
      </c>
      <c r="H28" s="10" t="inlineStr"/>
      <c r="I28" s="10" t="inlineStr">
        <is>
          <t>Valid</t>
        </is>
      </c>
      <c r="J28" s="9" t="inlineStr">
        <is>
          <t>None</t>
        </is>
      </c>
    </row>
    <row r="29" ht="22" customHeight="1"/>
    <row r="30" ht="24" customHeight="1">
      <c r="B30" s="34" t="inlineStr">
        <is>
          <t>NCL VERIFICATION SUMMARY</t>
        </is>
      </c>
    </row>
    <row r="31" ht="22" customHeight="1">
      <c r="B31" s="57" t="inlineStr">
        <is>
          <t>Total OBC Students</t>
        </is>
      </c>
      <c r="F31" s="36">
        <f>COUNTA(B5:B28)</f>
        <v/>
      </c>
    </row>
    <row r="32">
      <c r="B32" s="25" t="inlineStr">
        <is>
          <t>NCL Valid</t>
        </is>
      </c>
      <c r="F32" s="37">
        <f>COUNTIF(I5:I28,"Valid")</f>
        <v/>
      </c>
    </row>
    <row r="33">
      <c r="B33" s="57" t="inlineStr">
        <is>
          <t>NCL Expired — Renewal Pending</t>
        </is>
      </c>
      <c r="F33" s="36">
        <f>COUNTIF(I5:I28,"Expired — Renewal Required")</f>
        <v/>
      </c>
    </row>
    <row r="34">
      <c r="B34" s="25" t="inlineStr">
        <is>
          <t>NCL Not Submitted</t>
        </is>
      </c>
      <c r="F34" s="37" t="inlineStr"/>
    </row>
    <row r="35">
      <c r="B35" s="57" t="inlineStr">
        <is>
          <t>% with Valid NCL</t>
        </is>
      </c>
      <c r="F35" s="36">
        <f>IFERROR(ROUND(C32/C31*100,1),"")</f>
        <v/>
      </c>
    </row>
  </sheetData>
  <mergeCells count="13">
    <mergeCell ref="B31:E31"/>
    <mergeCell ref="B3:J3"/>
    <mergeCell ref="B35:E35"/>
    <mergeCell ref="F35:J35"/>
    <mergeCell ref="F34:J34"/>
    <mergeCell ref="B33:E33"/>
    <mergeCell ref="F33:J33"/>
    <mergeCell ref="F31:J31"/>
    <mergeCell ref="B34:E34"/>
    <mergeCell ref="F32:J32"/>
    <mergeCell ref="B30:J30"/>
    <mergeCell ref="B2:J2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MIN-02: MINORITY STUDENT SCHOLARSHIP REGISTER</t>
        </is>
      </c>
    </row>
    <row r="3" ht="25" customHeight="1">
      <c r="B3" s="2" t="inlineStr">
        <is>
          <t>A.Y.: _______  Minority Cell Coordinator: ___________________  NSP Portal / State Minority Welfare Portal</t>
        </is>
      </c>
    </row>
    <row r="4" ht="25" customHeight="1">
      <c r="B4" s="58" t="inlineStr">
        <is>
          <t>Sl.</t>
        </is>
      </c>
      <c r="C4" s="58" t="inlineStr">
        <is>
          <t>Student Name</t>
        </is>
      </c>
      <c r="D4" s="58" t="inlineStr">
        <is>
          <t>Roll No.</t>
        </is>
      </c>
      <c r="E4" s="58" t="inlineStr">
        <is>
          <t>Minority
Community</t>
        </is>
      </c>
      <c r="F4" s="58" t="inlineStr">
        <is>
          <t>Scholarship
Scheme</t>
        </is>
      </c>
      <c r="G4" s="58" t="inlineStr">
        <is>
          <t>Amount
Applied (₹)</t>
        </is>
      </c>
      <c r="H4" s="58" t="inlineStr">
        <is>
          <t>Amount
Approved (₹)</t>
        </is>
      </c>
      <c r="I4" s="58" t="inlineStr">
        <is>
          <t>Amount
Received (₹)</t>
        </is>
      </c>
      <c r="J4" s="58" t="inlineStr">
        <is>
          <t>Date
Received</t>
        </is>
      </c>
      <c r="K4" s="58" t="inlineStr">
        <is>
          <t>Status</t>
        </is>
      </c>
    </row>
    <row r="5" ht="22" customHeight="1">
      <c r="B5" s="59" t="n">
        <v>1</v>
      </c>
      <c r="C5" s="60" t="inlineStr"/>
      <c r="D5" s="61" t="inlineStr"/>
      <c r="E5" s="59" t="inlineStr">
        <is>
          <t>Muslim</t>
        </is>
      </c>
      <c r="F5" s="61" t="inlineStr">
        <is>
          <t>Maulana Azad National Fellowship (MANF)</t>
        </is>
      </c>
      <c r="G5" s="61" t="inlineStr"/>
      <c r="H5" s="61" t="inlineStr"/>
      <c r="I5" s="61" t="inlineStr"/>
      <c r="J5" s="61" t="inlineStr"/>
      <c r="K5" s="61" t="inlineStr">
        <is>
          <t>Received</t>
        </is>
      </c>
    </row>
    <row r="6" ht="22" customHeight="1">
      <c r="B6" s="8" t="n">
        <v>2</v>
      </c>
      <c r="C6" s="9" t="inlineStr"/>
      <c r="D6" s="10" t="inlineStr"/>
      <c r="E6" s="8" t="inlineStr">
        <is>
          <t>Christian</t>
        </is>
      </c>
      <c r="F6" s="10" t="inlineStr">
        <is>
          <t>Pre-Matric Minority Scholarship</t>
        </is>
      </c>
      <c r="G6" s="10" t="inlineStr"/>
      <c r="H6" s="10" t="inlineStr"/>
      <c r="I6" s="10" t="inlineStr"/>
      <c r="J6" s="10" t="inlineStr"/>
      <c r="K6" s="10" t="inlineStr">
        <is>
          <t>Received</t>
        </is>
      </c>
    </row>
    <row r="7" ht="22" customHeight="1">
      <c r="B7" s="59" t="n">
        <v>3</v>
      </c>
      <c r="C7" s="60" t="inlineStr"/>
      <c r="D7" s="61" t="inlineStr"/>
      <c r="E7" s="59" t="inlineStr">
        <is>
          <t>Sikh</t>
        </is>
      </c>
      <c r="F7" s="61" t="inlineStr">
        <is>
          <t>Post-Matric Minority Scholarship</t>
        </is>
      </c>
      <c r="G7" s="61" t="inlineStr"/>
      <c r="H7" s="61" t="inlineStr"/>
      <c r="I7" s="61" t="inlineStr"/>
      <c r="J7" s="61" t="inlineStr"/>
      <c r="K7" s="61" t="inlineStr">
        <is>
          <t>Received</t>
        </is>
      </c>
    </row>
    <row r="8" ht="22" customHeight="1">
      <c r="B8" s="8" t="n">
        <v>4</v>
      </c>
      <c r="C8" s="9" t="inlineStr"/>
      <c r="D8" s="10" t="inlineStr"/>
      <c r="E8" s="8" t="inlineStr">
        <is>
          <t>Buddhist</t>
        </is>
      </c>
      <c r="F8" s="10" t="inlineStr">
        <is>
          <t>Merit-cum-Means Scholarship (Minority)</t>
        </is>
      </c>
      <c r="G8" s="10" t="inlineStr"/>
      <c r="H8" s="10" t="inlineStr"/>
      <c r="I8" s="10" t="inlineStr"/>
      <c r="J8" s="10" t="inlineStr"/>
      <c r="K8" s="10" t="inlineStr">
        <is>
          <t>Received</t>
        </is>
      </c>
    </row>
    <row r="9" ht="22" customHeight="1">
      <c r="B9" s="59" t="n">
        <v>5</v>
      </c>
      <c r="C9" s="60" t="inlineStr"/>
      <c r="D9" s="61" t="inlineStr"/>
      <c r="E9" s="59" t="inlineStr">
        <is>
          <t>Parsi (Zoroastrian)</t>
        </is>
      </c>
      <c r="F9" s="61" t="inlineStr">
        <is>
          <t>Begum Hazrat Mahal Girls Scholarship</t>
        </is>
      </c>
      <c r="G9" s="61" t="inlineStr"/>
      <c r="H9" s="61" t="inlineStr"/>
      <c r="I9" s="61" t="inlineStr"/>
      <c r="J9" s="61" t="inlineStr"/>
      <c r="K9" s="61" t="inlineStr">
        <is>
          <t>Received</t>
        </is>
      </c>
    </row>
    <row r="10" ht="22" customHeight="1">
      <c r="B10" s="8" t="n">
        <v>6</v>
      </c>
      <c r="C10" s="9" t="inlineStr"/>
      <c r="D10" s="10" t="inlineStr"/>
      <c r="E10" s="8" t="inlineStr">
        <is>
          <t>Jain</t>
        </is>
      </c>
      <c r="F10" s="10" t="inlineStr">
        <is>
          <t>State Minority Scholarship</t>
        </is>
      </c>
      <c r="G10" s="10" t="inlineStr"/>
      <c r="H10" s="10" t="inlineStr"/>
      <c r="I10" s="10" t="inlineStr"/>
      <c r="J10" s="10" t="inlineStr"/>
      <c r="K10" s="10" t="inlineStr">
        <is>
          <t>Received</t>
        </is>
      </c>
    </row>
    <row r="11" ht="22" customHeight="1">
      <c r="B11" s="59" t="n">
        <v>7</v>
      </c>
      <c r="C11" s="60" t="inlineStr"/>
      <c r="D11" s="61" t="inlineStr"/>
      <c r="E11" s="59" t="inlineStr">
        <is>
          <t>Muslim</t>
        </is>
      </c>
      <c r="F11" s="61" t="inlineStr">
        <is>
          <t>Institutional Fee Concession (Minority)</t>
        </is>
      </c>
      <c r="G11" s="61" t="inlineStr"/>
      <c r="H11" s="61" t="inlineStr"/>
      <c r="I11" s="61" t="inlineStr"/>
      <c r="J11" s="61" t="inlineStr"/>
      <c r="K11" s="61" t="inlineStr">
        <is>
          <t>Received</t>
        </is>
      </c>
    </row>
    <row r="12" ht="22" customHeight="1">
      <c r="B12" s="8" t="n">
        <v>8</v>
      </c>
      <c r="C12" s="9" t="inlineStr"/>
      <c r="D12" s="10" t="inlineStr"/>
      <c r="E12" s="8" t="inlineStr">
        <is>
          <t>Christian</t>
        </is>
      </c>
      <c r="F12" s="10" t="inlineStr">
        <is>
          <t>AICTE Pragati / Saksham (if Minority)</t>
        </is>
      </c>
      <c r="G12" s="10" t="inlineStr"/>
      <c r="H12" s="10" t="inlineStr"/>
      <c r="I12" s="10" t="inlineStr"/>
      <c r="J12" s="10" t="inlineStr"/>
      <c r="K12" s="10" t="inlineStr">
        <is>
          <t>Received</t>
        </is>
      </c>
    </row>
    <row r="13" ht="22" customHeight="1">
      <c r="B13" s="59" t="n">
        <v>9</v>
      </c>
      <c r="C13" s="60" t="inlineStr"/>
      <c r="D13" s="61" t="inlineStr"/>
      <c r="E13" s="59" t="inlineStr">
        <is>
          <t>Sikh</t>
        </is>
      </c>
      <c r="F13" s="61" t="inlineStr">
        <is>
          <t>Other Central Minority Scheme</t>
        </is>
      </c>
      <c r="G13" s="61" t="inlineStr"/>
      <c r="H13" s="61" t="inlineStr"/>
      <c r="I13" s="61" t="inlineStr"/>
      <c r="J13" s="61" t="inlineStr"/>
      <c r="K13" s="61" t="inlineStr">
        <is>
          <t>Received</t>
        </is>
      </c>
    </row>
    <row r="14" ht="22" customHeight="1">
      <c r="B14" s="8" t="n">
        <v>10</v>
      </c>
      <c r="C14" s="9" t="inlineStr"/>
      <c r="D14" s="10" t="inlineStr"/>
      <c r="E14" s="8" t="inlineStr">
        <is>
          <t>Buddhist</t>
        </is>
      </c>
      <c r="F14" s="10" t="inlineStr">
        <is>
          <t>Maulana Azad National Fellowship (MANF)</t>
        </is>
      </c>
      <c r="G14" s="10" t="inlineStr"/>
      <c r="H14" s="10" t="inlineStr"/>
      <c r="I14" s="10" t="inlineStr"/>
      <c r="J14" s="10" t="inlineStr"/>
      <c r="K14" s="10" t="inlineStr">
        <is>
          <t>Received</t>
        </is>
      </c>
    </row>
    <row r="15" ht="22" customHeight="1">
      <c r="B15" s="59" t="n">
        <v>11</v>
      </c>
      <c r="C15" s="60" t="inlineStr"/>
      <c r="D15" s="61" t="inlineStr"/>
      <c r="E15" s="59" t="inlineStr">
        <is>
          <t>Parsi (Zoroastrian)</t>
        </is>
      </c>
      <c r="F15" s="61" t="inlineStr">
        <is>
          <t>Pre-Matric Minority Scholarship</t>
        </is>
      </c>
      <c r="G15" s="61" t="inlineStr"/>
      <c r="H15" s="61" t="inlineStr"/>
      <c r="I15" s="61" t="inlineStr"/>
      <c r="J15" s="61" t="inlineStr"/>
      <c r="K15" s="61" t="inlineStr">
        <is>
          <t>Received</t>
        </is>
      </c>
    </row>
    <row r="16" ht="22" customHeight="1">
      <c r="B16" s="8" t="n">
        <v>12</v>
      </c>
      <c r="C16" s="9" t="inlineStr"/>
      <c r="D16" s="10" t="inlineStr"/>
      <c r="E16" s="8" t="inlineStr">
        <is>
          <t>Jain</t>
        </is>
      </c>
      <c r="F16" s="10" t="inlineStr">
        <is>
          <t>Post-Matric Minority Scholarship</t>
        </is>
      </c>
      <c r="G16" s="10" t="inlineStr"/>
      <c r="H16" s="10" t="inlineStr"/>
      <c r="I16" s="10" t="inlineStr"/>
      <c r="J16" s="10" t="inlineStr"/>
      <c r="K16" s="10" t="inlineStr">
        <is>
          <t>Received</t>
        </is>
      </c>
    </row>
    <row r="17" ht="22" customHeight="1">
      <c r="B17" s="59" t="n">
        <v>13</v>
      </c>
      <c r="C17" s="60" t="inlineStr"/>
      <c r="D17" s="61" t="inlineStr"/>
      <c r="E17" s="59" t="inlineStr">
        <is>
          <t>Muslim</t>
        </is>
      </c>
      <c r="F17" s="61" t="inlineStr">
        <is>
          <t>Merit-cum-Means Scholarship (Minority)</t>
        </is>
      </c>
      <c r="G17" s="61" t="inlineStr"/>
      <c r="H17" s="61" t="inlineStr"/>
      <c r="I17" s="61" t="inlineStr"/>
      <c r="J17" s="61" t="inlineStr"/>
      <c r="K17" s="61" t="inlineStr">
        <is>
          <t>Received</t>
        </is>
      </c>
    </row>
    <row r="18" ht="22" customHeight="1">
      <c r="B18" s="8" t="n">
        <v>14</v>
      </c>
      <c r="C18" s="9" t="inlineStr"/>
      <c r="D18" s="10" t="inlineStr"/>
      <c r="E18" s="8" t="inlineStr">
        <is>
          <t>Christian</t>
        </is>
      </c>
      <c r="F18" s="10" t="inlineStr">
        <is>
          <t>Begum Hazrat Mahal Girls Scholarship</t>
        </is>
      </c>
      <c r="G18" s="10" t="inlineStr"/>
      <c r="H18" s="10" t="inlineStr"/>
      <c r="I18" s="10" t="inlineStr"/>
      <c r="J18" s="10" t="inlineStr"/>
      <c r="K18" s="10" t="inlineStr">
        <is>
          <t>Received</t>
        </is>
      </c>
    </row>
    <row r="19" ht="22" customHeight="1">
      <c r="B19" s="59" t="n">
        <v>15</v>
      </c>
      <c r="C19" s="60" t="inlineStr"/>
      <c r="D19" s="61" t="inlineStr"/>
      <c r="E19" s="59" t="inlineStr">
        <is>
          <t>Sikh</t>
        </is>
      </c>
      <c r="F19" s="61" t="inlineStr">
        <is>
          <t>State Minority Scholarship</t>
        </is>
      </c>
      <c r="G19" s="61" t="inlineStr"/>
      <c r="H19" s="61" t="inlineStr"/>
      <c r="I19" s="61" t="inlineStr"/>
      <c r="J19" s="61" t="inlineStr"/>
      <c r="K19" s="61" t="inlineStr">
        <is>
          <t>Received</t>
        </is>
      </c>
    </row>
    <row r="20" ht="22" customHeight="1">
      <c r="B20" s="8" t="n">
        <v>16</v>
      </c>
      <c r="C20" s="9" t="inlineStr"/>
      <c r="D20" s="10" t="inlineStr"/>
      <c r="E20" s="8" t="inlineStr">
        <is>
          <t>Buddhist</t>
        </is>
      </c>
      <c r="F20" s="10" t="inlineStr">
        <is>
          <t>Institutional Fee Concession (Minority)</t>
        </is>
      </c>
      <c r="G20" s="10" t="inlineStr"/>
      <c r="H20" s="10" t="inlineStr"/>
      <c r="I20" s="10" t="inlineStr"/>
      <c r="J20" s="10" t="inlineStr"/>
      <c r="K20" s="10" t="inlineStr">
        <is>
          <t>Received</t>
        </is>
      </c>
    </row>
    <row r="21" ht="22" customHeight="1">
      <c r="B21" s="59" t="n">
        <v>17</v>
      </c>
      <c r="C21" s="60" t="inlineStr"/>
      <c r="D21" s="61" t="inlineStr"/>
      <c r="E21" s="59" t="inlineStr">
        <is>
          <t>Parsi (Zoroastrian)</t>
        </is>
      </c>
      <c r="F21" s="61" t="inlineStr">
        <is>
          <t>AICTE Pragati / Saksham (if Minority)</t>
        </is>
      </c>
      <c r="G21" s="61" t="inlineStr"/>
      <c r="H21" s="61" t="inlineStr"/>
      <c r="I21" s="61" t="inlineStr"/>
      <c r="J21" s="61" t="inlineStr"/>
      <c r="K21" s="61" t="inlineStr">
        <is>
          <t>Received</t>
        </is>
      </c>
    </row>
    <row r="22" ht="22" customHeight="1">
      <c r="B22" s="8" t="n">
        <v>18</v>
      </c>
      <c r="C22" s="9" t="inlineStr"/>
      <c r="D22" s="10" t="inlineStr"/>
      <c r="E22" s="8" t="inlineStr">
        <is>
          <t>Jain</t>
        </is>
      </c>
      <c r="F22" s="10" t="inlineStr">
        <is>
          <t>Other Central Minority Scheme</t>
        </is>
      </c>
      <c r="G22" s="10" t="inlineStr"/>
      <c r="H22" s="10" t="inlineStr"/>
      <c r="I22" s="10" t="inlineStr"/>
      <c r="J22" s="10" t="inlineStr"/>
      <c r="K22" s="10" t="inlineStr">
        <is>
          <t>Received</t>
        </is>
      </c>
    </row>
    <row r="23" ht="22" customHeight="1">
      <c r="B23" s="59" t="n">
        <v>19</v>
      </c>
      <c r="C23" s="60" t="inlineStr"/>
      <c r="D23" s="61" t="inlineStr"/>
      <c r="E23" s="59" t="inlineStr">
        <is>
          <t>Muslim</t>
        </is>
      </c>
      <c r="F23" s="61" t="inlineStr">
        <is>
          <t>Maulana Azad National Fellowship (MANF)</t>
        </is>
      </c>
      <c r="G23" s="61" t="inlineStr"/>
      <c r="H23" s="61" t="inlineStr"/>
      <c r="I23" s="61" t="inlineStr"/>
      <c r="J23" s="61" t="inlineStr"/>
      <c r="K23" s="61" t="inlineStr">
        <is>
          <t>Received</t>
        </is>
      </c>
    </row>
    <row r="24" ht="22" customHeight="1">
      <c r="B24" s="8" t="n">
        <v>20</v>
      </c>
      <c r="C24" s="9" t="inlineStr"/>
      <c r="D24" s="10" t="inlineStr"/>
      <c r="E24" s="8" t="inlineStr">
        <is>
          <t>Christian</t>
        </is>
      </c>
      <c r="F24" s="10" t="inlineStr">
        <is>
          <t>Pre-Matric Minority Scholarship</t>
        </is>
      </c>
      <c r="G24" s="10" t="inlineStr"/>
      <c r="H24" s="10" t="inlineStr"/>
      <c r="I24" s="10" t="inlineStr"/>
      <c r="J24" s="10" t="inlineStr"/>
      <c r="K24" s="10" t="inlineStr">
        <is>
          <t>Received</t>
        </is>
      </c>
    </row>
    <row r="25" ht="22" customHeight="1">
      <c r="B25" s="59" t="n">
        <v>21</v>
      </c>
      <c r="C25" s="60" t="inlineStr"/>
      <c r="D25" s="61" t="inlineStr"/>
      <c r="E25" s="59" t="inlineStr">
        <is>
          <t>Sikh</t>
        </is>
      </c>
      <c r="F25" s="61" t="inlineStr">
        <is>
          <t>Post-Matric Minority Scholarship</t>
        </is>
      </c>
      <c r="G25" s="61" t="inlineStr"/>
      <c r="H25" s="61" t="inlineStr"/>
      <c r="I25" s="61" t="inlineStr"/>
      <c r="J25" s="61" t="inlineStr"/>
      <c r="K25" s="61" t="inlineStr">
        <is>
          <t>Received</t>
        </is>
      </c>
    </row>
    <row r="26" ht="22" customHeight="1">
      <c r="B26" s="8" t="n">
        <v>22</v>
      </c>
      <c r="C26" s="9" t="inlineStr"/>
      <c r="D26" s="10" t="inlineStr"/>
      <c r="E26" s="8" t="inlineStr">
        <is>
          <t>Buddhist</t>
        </is>
      </c>
      <c r="F26" s="10" t="inlineStr">
        <is>
          <t>Merit-cum-Means Scholarship (Minority)</t>
        </is>
      </c>
      <c r="G26" s="10" t="inlineStr"/>
      <c r="H26" s="10" t="inlineStr"/>
      <c r="I26" s="10" t="inlineStr"/>
      <c r="J26" s="10" t="inlineStr"/>
      <c r="K26" s="10" t="inlineStr">
        <is>
          <t>Received</t>
        </is>
      </c>
    </row>
    <row r="27" ht="22" customHeight="1"/>
    <row r="28" ht="24" customHeight="1">
      <c r="B28" s="34" t="inlineStr">
        <is>
          <t>MINORITY SCHOLARSHIP SUMMARY</t>
        </is>
      </c>
    </row>
    <row r="29" ht="22" customHeight="1">
      <c r="B29" s="62" t="inlineStr">
        <is>
          <t>Total Minority Students</t>
        </is>
      </c>
      <c r="F29" s="36">
        <f>COUNTA(B5:B26)</f>
        <v/>
      </c>
    </row>
    <row r="30" ht="22" customHeight="1">
      <c r="B30" s="25" t="inlineStr">
        <is>
          <t>Total Disbursed (₹)</t>
        </is>
      </c>
      <c r="F30" s="37">
        <f>IFERROR(SUM(I5:I26),"")</f>
        <v/>
      </c>
    </row>
    <row r="31" ht="22" customHeight="1">
      <c r="B31" s="62" t="inlineStr">
        <is>
          <t>Pending Disbursement</t>
        </is>
      </c>
      <c r="F31" s="36">
        <f>COUNTIF(K5:K26,"Pending")</f>
        <v/>
      </c>
    </row>
    <row r="32" ht="22" customHeight="1">
      <c r="B32" s="25" t="inlineStr">
        <is>
          <t>Muslim Students</t>
        </is>
      </c>
      <c r="F32" s="37">
        <f>COUNTIF(E5:E26,"Muslim")</f>
        <v/>
      </c>
    </row>
    <row r="33" ht="22" customHeight="1">
      <c r="B33" s="62" t="inlineStr">
        <is>
          <t>Christian Students</t>
        </is>
      </c>
      <c r="F33" s="36">
        <f>COUNTIF(E5:E26,"Christian")</f>
        <v/>
      </c>
    </row>
    <row r="34">
      <c r="B34" s="25" t="inlineStr">
        <is>
          <t>Other Minority</t>
        </is>
      </c>
      <c r="F34" s="37" t="inlineStr"/>
    </row>
  </sheetData>
  <mergeCells count="15">
    <mergeCell ref="B31:E31"/>
    <mergeCell ref="F34:K34"/>
    <mergeCell ref="F33:K33"/>
    <mergeCell ref="F32:K32"/>
    <mergeCell ref="B34:E34"/>
    <mergeCell ref="B30:E30"/>
    <mergeCell ref="F31:K31"/>
    <mergeCell ref="B32:E32"/>
    <mergeCell ref="B29:E29"/>
    <mergeCell ref="B33:E33"/>
    <mergeCell ref="B2:K2"/>
    <mergeCell ref="B28:K28"/>
    <mergeCell ref="B3:K3"/>
    <mergeCell ref="F29:K29"/>
    <mergeCell ref="F30:K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DIV-01: DIVYANGJAN (PERSONS WITH DISABILITIES) STUDENT PROFILE REGISTER</t>
        </is>
      </c>
    </row>
    <row r="3" ht="20" customHeight="1">
      <c r="B3" s="17" t="inlineStr">
        <is>
          <t>Statutory Ref.: Rights of Persons with Disabilities (RPwD) Act 2016. UDiD (Unique Disability ID) mandatory for benefits. Disability % from certified medical authority required.</t>
        </is>
      </c>
    </row>
    <row r="4" ht="25" customHeight="1">
      <c r="B4" s="63" t="inlineStr">
        <is>
          <t>Student
Ref.</t>
        </is>
      </c>
      <c r="C4" s="63" t="inlineStr">
        <is>
          <t>Student Name</t>
        </is>
      </c>
      <c r="D4" s="63" t="inlineStr">
        <is>
          <t>Roll No.</t>
        </is>
      </c>
      <c r="E4" s="63" t="inlineStr">
        <is>
          <t>Type of
Disability</t>
        </is>
      </c>
      <c r="F4" s="63" t="inlineStr">
        <is>
          <t>Disability
%</t>
        </is>
      </c>
      <c r="G4" s="63" t="inlineStr">
        <is>
          <t>UDiD
No.</t>
        </is>
      </c>
      <c r="H4" s="63" t="inlineStr">
        <is>
          <t>Scholarship
Eligible</t>
        </is>
      </c>
      <c r="I4" s="63" t="inlineStr">
        <is>
          <t>Scribe
Required</t>
        </is>
      </c>
      <c r="J4" s="63" t="inlineStr">
        <is>
          <t>Assistive
Device</t>
        </is>
      </c>
      <c r="K4" s="63" t="inlineStr">
        <is>
          <t>Accommodation
Provided</t>
        </is>
      </c>
    </row>
    <row r="5" ht="22" customHeight="1">
      <c r="B5" s="64" t="inlineStr">
        <is>
          <t>DIV/001</t>
        </is>
      </c>
      <c r="C5" s="65" t="inlineStr"/>
      <c r="D5" s="66" t="inlineStr"/>
      <c r="E5" s="66" t="inlineStr">
        <is>
          <t>Visual Impairment (VI)</t>
        </is>
      </c>
      <c r="F5" s="66" t="inlineStr"/>
      <c r="G5" s="66" t="inlineStr"/>
      <c r="H5" s="66" t="inlineStr">
        <is>
          <t>Y</t>
        </is>
      </c>
      <c r="I5" s="66" t="inlineStr">
        <is>
          <t>N</t>
        </is>
      </c>
      <c r="J5" s="66" t="inlineStr"/>
      <c r="K5" s="66" t="inlineStr">
        <is>
          <t>Extended Time</t>
        </is>
      </c>
    </row>
    <row r="6" ht="22" customHeight="1">
      <c r="B6" s="8" t="inlineStr">
        <is>
          <t>DIV/002</t>
        </is>
      </c>
      <c r="C6" s="9" t="inlineStr"/>
      <c r="D6" s="10" t="inlineStr"/>
      <c r="E6" s="10" t="inlineStr">
        <is>
          <t>Hearing Impairment (HI)</t>
        </is>
      </c>
      <c r="F6" s="10" t="inlineStr"/>
      <c r="G6" s="10" t="inlineStr"/>
      <c r="H6" s="10" t="inlineStr">
        <is>
          <t>Y</t>
        </is>
      </c>
      <c r="I6" s="10" t="inlineStr">
        <is>
          <t>N</t>
        </is>
      </c>
      <c r="J6" s="10" t="inlineStr"/>
      <c r="K6" s="10" t="inlineStr">
        <is>
          <t>Extended Time</t>
        </is>
      </c>
    </row>
    <row r="7" ht="22" customHeight="1">
      <c r="B7" s="64" t="inlineStr">
        <is>
          <t>DIV/003</t>
        </is>
      </c>
      <c r="C7" s="65" t="inlineStr"/>
      <c r="D7" s="66" t="inlineStr"/>
      <c r="E7" s="66" t="inlineStr">
        <is>
          <t>Locomotor Disability</t>
        </is>
      </c>
      <c r="F7" s="66" t="inlineStr"/>
      <c r="G7" s="66" t="inlineStr"/>
      <c r="H7" s="66" t="inlineStr">
        <is>
          <t>Y</t>
        </is>
      </c>
      <c r="I7" s="66" t="inlineStr">
        <is>
          <t>N</t>
        </is>
      </c>
      <c r="J7" s="66" t="inlineStr"/>
      <c r="K7" s="66" t="inlineStr">
        <is>
          <t>Extended Time</t>
        </is>
      </c>
    </row>
    <row r="8" ht="22" customHeight="1">
      <c r="B8" s="8" t="inlineStr">
        <is>
          <t>DIV/004</t>
        </is>
      </c>
      <c r="C8" s="9" t="inlineStr"/>
      <c r="D8" s="10" t="inlineStr"/>
      <c r="E8" s="10" t="inlineStr">
        <is>
          <t>Intellectual Disability</t>
        </is>
      </c>
      <c r="F8" s="10" t="inlineStr"/>
      <c r="G8" s="10" t="inlineStr"/>
      <c r="H8" s="10" t="inlineStr">
        <is>
          <t>Y</t>
        </is>
      </c>
      <c r="I8" s="10" t="inlineStr">
        <is>
          <t>N</t>
        </is>
      </c>
      <c r="J8" s="10" t="inlineStr"/>
      <c r="K8" s="10" t="inlineStr">
        <is>
          <t>Extended Time</t>
        </is>
      </c>
    </row>
    <row r="9" ht="22" customHeight="1">
      <c r="B9" s="64" t="inlineStr">
        <is>
          <t>DIV/005</t>
        </is>
      </c>
      <c r="C9" s="65" t="inlineStr"/>
      <c r="D9" s="66" t="inlineStr"/>
      <c r="E9" s="66" t="inlineStr">
        <is>
          <t>Speech &amp; Language Disability</t>
        </is>
      </c>
      <c r="F9" s="66" t="inlineStr"/>
      <c r="G9" s="66" t="inlineStr"/>
      <c r="H9" s="66" t="inlineStr">
        <is>
          <t>Y</t>
        </is>
      </c>
      <c r="I9" s="66" t="inlineStr">
        <is>
          <t>N</t>
        </is>
      </c>
      <c r="J9" s="66" t="inlineStr"/>
      <c r="K9" s="66" t="inlineStr">
        <is>
          <t>Extended Time</t>
        </is>
      </c>
    </row>
    <row r="10" ht="22" customHeight="1">
      <c r="B10" s="8" t="inlineStr">
        <is>
          <t>DIV/006</t>
        </is>
      </c>
      <c r="C10" s="9" t="inlineStr"/>
      <c r="D10" s="10" t="inlineStr"/>
      <c r="E10" s="10" t="inlineStr">
        <is>
          <t>Mental Illness</t>
        </is>
      </c>
      <c r="F10" s="10" t="inlineStr"/>
      <c r="G10" s="10" t="inlineStr"/>
      <c r="H10" s="10" t="inlineStr">
        <is>
          <t>Y</t>
        </is>
      </c>
      <c r="I10" s="10" t="inlineStr">
        <is>
          <t>N</t>
        </is>
      </c>
      <c r="J10" s="10" t="inlineStr"/>
      <c r="K10" s="10" t="inlineStr">
        <is>
          <t>Extended Time</t>
        </is>
      </c>
    </row>
    <row r="11" ht="22" customHeight="1">
      <c r="B11" s="64" t="inlineStr">
        <is>
          <t>DIV/007</t>
        </is>
      </c>
      <c r="C11" s="65" t="inlineStr"/>
      <c r="D11" s="66" t="inlineStr"/>
      <c r="E11" s="66" t="inlineStr">
        <is>
          <t>Autism Spectrum Disorder</t>
        </is>
      </c>
      <c r="F11" s="66" t="inlineStr"/>
      <c r="G11" s="66" t="inlineStr"/>
      <c r="H11" s="66" t="inlineStr">
        <is>
          <t>Y</t>
        </is>
      </c>
      <c r="I11" s="66" t="inlineStr">
        <is>
          <t>N</t>
        </is>
      </c>
      <c r="J11" s="66" t="inlineStr"/>
      <c r="K11" s="66" t="inlineStr">
        <is>
          <t>Extended Time</t>
        </is>
      </c>
    </row>
    <row r="12" ht="22" customHeight="1">
      <c r="B12" s="8" t="inlineStr">
        <is>
          <t>DIV/008</t>
        </is>
      </c>
      <c r="C12" s="9" t="inlineStr"/>
      <c r="D12" s="10" t="inlineStr"/>
      <c r="E12" s="10" t="inlineStr">
        <is>
          <t>Cerebral Palsy</t>
        </is>
      </c>
      <c r="F12" s="10" t="inlineStr"/>
      <c r="G12" s="10" t="inlineStr"/>
      <c r="H12" s="10" t="inlineStr">
        <is>
          <t>Y</t>
        </is>
      </c>
      <c r="I12" s="10" t="inlineStr">
        <is>
          <t>N</t>
        </is>
      </c>
      <c r="J12" s="10" t="inlineStr"/>
      <c r="K12" s="10" t="inlineStr">
        <is>
          <t>Extended Time</t>
        </is>
      </c>
    </row>
    <row r="13" ht="22" customHeight="1">
      <c r="B13" s="64" t="inlineStr">
        <is>
          <t>DIV/009</t>
        </is>
      </c>
      <c r="C13" s="65" t="inlineStr"/>
      <c r="D13" s="66" t="inlineStr"/>
      <c r="E13" s="66" t="inlineStr">
        <is>
          <t>Specific Learning Disability (SLD)</t>
        </is>
      </c>
      <c r="F13" s="66" t="inlineStr"/>
      <c r="G13" s="66" t="inlineStr"/>
      <c r="H13" s="66" t="inlineStr">
        <is>
          <t>Y</t>
        </is>
      </c>
      <c r="I13" s="66" t="inlineStr">
        <is>
          <t>N</t>
        </is>
      </c>
      <c r="J13" s="66" t="inlineStr"/>
      <c r="K13" s="66" t="inlineStr">
        <is>
          <t>Extended Time</t>
        </is>
      </c>
    </row>
    <row r="14" ht="22" customHeight="1">
      <c r="B14" s="8" t="inlineStr">
        <is>
          <t>DIV/010</t>
        </is>
      </c>
      <c r="C14" s="9" t="inlineStr"/>
      <c r="D14" s="10" t="inlineStr"/>
      <c r="E14" s="10" t="inlineStr">
        <is>
          <t>Multiple Disabilities</t>
        </is>
      </c>
      <c r="F14" s="10" t="inlineStr"/>
      <c r="G14" s="10" t="inlineStr"/>
      <c r="H14" s="10" t="inlineStr">
        <is>
          <t>Y</t>
        </is>
      </c>
      <c r="I14" s="10" t="inlineStr">
        <is>
          <t>N</t>
        </is>
      </c>
      <c r="J14" s="10" t="inlineStr"/>
      <c r="K14" s="10" t="inlineStr">
        <is>
          <t>Extended Time</t>
        </is>
      </c>
    </row>
    <row r="15" ht="22" customHeight="1">
      <c r="B15" s="64" t="inlineStr">
        <is>
          <t>DIV/011</t>
        </is>
      </c>
      <c r="C15" s="65" t="inlineStr"/>
      <c r="D15" s="66" t="inlineStr"/>
      <c r="E15" s="66" t="inlineStr">
        <is>
          <t>Chronic Neurological Conditions</t>
        </is>
      </c>
      <c r="F15" s="66" t="inlineStr"/>
      <c r="G15" s="66" t="inlineStr"/>
      <c r="H15" s="66" t="inlineStr">
        <is>
          <t>Y</t>
        </is>
      </c>
      <c r="I15" s="66" t="inlineStr">
        <is>
          <t>N</t>
        </is>
      </c>
      <c r="J15" s="66" t="inlineStr"/>
      <c r="K15" s="66" t="inlineStr">
        <is>
          <t>Extended Time</t>
        </is>
      </c>
    </row>
    <row r="16" ht="22" customHeight="1">
      <c r="B16" s="8" t="inlineStr">
        <is>
          <t>DIV/012</t>
        </is>
      </c>
      <c r="C16" s="9" t="inlineStr"/>
      <c r="D16" s="10" t="inlineStr"/>
      <c r="E16" s="10" t="inlineStr">
        <is>
          <t>Other</t>
        </is>
      </c>
      <c r="F16" s="10" t="inlineStr"/>
      <c r="G16" s="10" t="inlineStr"/>
      <c r="H16" s="10" t="inlineStr">
        <is>
          <t>Y</t>
        </is>
      </c>
      <c r="I16" s="10" t="inlineStr">
        <is>
          <t>N</t>
        </is>
      </c>
      <c r="J16" s="10" t="inlineStr"/>
      <c r="K16" s="10" t="inlineStr">
        <is>
          <t>Extended Time</t>
        </is>
      </c>
    </row>
    <row r="17" ht="22" customHeight="1">
      <c r="B17" s="64" t="inlineStr">
        <is>
          <t>DIV/013</t>
        </is>
      </c>
      <c r="C17" s="65" t="inlineStr"/>
      <c r="D17" s="66" t="inlineStr"/>
      <c r="E17" s="66" t="inlineStr">
        <is>
          <t>Visual Impairment (VI)</t>
        </is>
      </c>
      <c r="F17" s="66" t="inlineStr"/>
      <c r="G17" s="66" t="inlineStr"/>
      <c r="H17" s="66" t="inlineStr">
        <is>
          <t>Y</t>
        </is>
      </c>
      <c r="I17" s="66" t="inlineStr">
        <is>
          <t>N</t>
        </is>
      </c>
      <c r="J17" s="66" t="inlineStr"/>
      <c r="K17" s="66" t="inlineStr">
        <is>
          <t>Extended Time</t>
        </is>
      </c>
    </row>
    <row r="18" ht="22" customHeight="1">
      <c r="B18" s="8" t="inlineStr">
        <is>
          <t>DIV/014</t>
        </is>
      </c>
      <c r="C18" s="9" t="inlineStr"/>
      <c r="D18" s="10" t="inlineStr"/>
      <c r="E18" s="10" t="inlineStr">
        <is>
          <t>Hearing Impairment (HI)</t>
        </is>
      </c>
      <c r="F18" s="10" t="inlineStr"/>
      <c r="G18" s="10" t="inlineStr"/>
      <c r="H18" s="10" t="inlineStr">
        <is>
          <t>Y</t>
        </is>
      </c>
      <c r="I18" s="10" t="inlineStr">
        <is>
          <t>N</t>
        </is>
      </c>
      <c r="J18" s="10" t="inlineStr"/>
      <c r="K18" s="10" t="inlineStr">
        <is>
          <t>Extended Time</t>
        </is>
      </c>
    </row>
    <row r="19" ht="22" customHeight="1">
      <c r="B19" s="64" t="inlineStr">
        <is>
          <t>DIV/015</t>
        </is>
      </c>
      <c r="C19" s="65" t="inlineStr"/>
      <c r="D19" s="66" t="inlineStr"/>
      <c r="E19" s="66" t="inlineStr">
        <is>
          <t>Locomotor Disability</t>
        </is>
      </c>
      <c r="F19" s="66" t="inlineStr"/>
      <c r="G19" s="66" t="inlineStr"/>
      <c r="H19" s="66" t="inlineStr">
        <is>
          <t>Y</t>
        </is>
      </c>
      <c r="I19" s="66" t="inlineStr">
        <is>
          <t>N</t>
        </is>
      </c>
      <c r="J19" s="66" t="inlineStr"/>
      <c r="K19" s="66" t="inlineStr">
        <is>
          <t>Extended Time</t>
        </is>
      </c>
    </row>
    <row r="20" ht="22" customHeight="1">
      <c r="B20" s="8" t="inlineStr">
        <is>
          <t>DIV/016</t>
        </is>
      </c>
      <c r="C20" s="9" t="inlineStr"/>
      <c r="D20" s="10" t="inlineStr"/>
      <c r="E20" s="10" t="inlineStr">
        <is>
          <t>Intellectual Disability</t>
        </is>
      </c>
      <c r="F20" s="10" t="inlineStr"/>
      <c r="G20" s="10" t="inlineStr"/>
      <c r="H20" s="10" t="inlineStr">
        <is>
          <t>Y</t>
        </is>
      </c>
      <c r="I20" s="10" t="inlineStr">
        <is>
          <t>N</t>
        </is>
      </c>
      <c r="J20" s="10" t="inlineStr"/>
      <c r="K20" s="10" t="inlineStr">
        <is>
          <t>Extended Time</t>
        </is>
      </c>
    </row>
    <row r="21" ht="22" customHeight="1">
      <c r="B21" s="64" t="inlineStr">
        <is>
          <t>DIV/017</t>
        </is>
      </c>
      <c r="C21" s="65" t="inlineStr"/>
      <c r="D21" s="66" t="inlineStr"/>
      <c r="E21" s="66" t="inlineStr">
        <is>
          <t>Speech &amp; Language Disability</t>
        </is>
      </c>
      <c r="F21" s="66" t="inlineStr"/>
      <c r="G21" s="66" t="inlineStr"/>
      <c r="H21" s="66" t="inlineStr">
        <is>
          <t>Y</t>
        </is>
      </c>
      <c r="I21" s="66" t="inlineStr">
        <is>
          <t>N</t>
        </is>
      </c>
      <c r="J21" s="66" t="inlineStr"/>
      <c r="K21" s="66" t="inlineStr">
        <is>
          <t>Extended Time</t>
        </is>
      </c>
    </row>
    <row r="22" ht="22" customHeight="1">
      <c r="B22" s="8" t="inlineStr">
        <is>
          <t>DIV/018</t>
        </is>
      </c>
      <c r="C22" s="9" t="inlineStr"/>
      <c r="D22" s="10" t="inlineStr"/>
      <c r="E22" s="10" t="inlineStr">
        <is>
          <t>Mental Illness</t>
        </is>
      </c>
      <c r="F22" s="10" t="inlineStr"/>
      <c r="G22" s="10" t="inlineStr"/>
      <c r="H22" s="10" t="inlineStr">
        <is>
          <t>Y</t>
        </is>
      </c>
      <c r="I22" s="10" t="inlineStr">
        <is>
          <t>N</t>
        </is>
      </c>
      <c r="J22" s="10" t="inlineStr"/>
      <c r="K22" s="10" t="inlineStr">
        <is>
          <t>Extended Time</t>
        </is>
      </c>
    </row>
    <row r="23" ht="22" customHeight="1">
      <c r="B23" s="64" t="inlineStr">
        <is>
          <t>DIV/019</t>
        </is>
      </c>
      <c r="C23" s="65" t="inlineStr"/>
      <c r="D23" s="66" t="inlineStr"/>
      <c r="E23" s="66" t="inlineStr">
        <is>
          <t>Autism Spectrum Disorder</t>
        </is>
      </c>
      <c r="F23" s="66" t="inlineStr"/>
      <c r="G23" s="66" t="inlineStr"/>
      <c r="H23" s="66" t="inlineStr">
        <is>
          <t>Y</t>
        </is>
      </c>
      <c r="I23" s="66" t="inlineStr">
        <is>
          <t>N</t>
        </is>
      </c>
      <c r="J23" s="66" t="inlineStr"/>
      <c r="K23" s="66" t="inlineStr">
        <is>
          <t>Extended Time</t>
        </is>
      </c>
    </row>
    <row r="24" ht="22" customHeight="1">
      <c r="B24" s="8" t="inlineStr">
        <is>
          <t>DIV/020</t>
        </is>
      </c>
      <c r="C24" s="9" t="inlineStr"/>
      <c r="D24" s="10" t="inlineStr"/>
      <c r="E24" s="10" t="inlineStr">
        <is>
          <t>Cerebral Palsy</t>
        </is>
      </c>
      <c r="F24" s="10" t="inlineStr"/>
      <c r="G24" s="10" t="inlineStr"/>
      <c r="H24" s="10" t="inlineStr">
        <is>
          <t>Y</t>
        </is>
      </c>
      <c r="I24" s="10" t="inlineStr">
        <is>
          <t>N</t>
        </is>
      </c>
      <c r="J24" s="10" t="inlineStr"/>
      <c r="K24" s="10" t="inlineStr">
        <is>
          <t>Extended Time</t>
        </is>
      </c>
    </row>
    <row r="25" ht="22" customHeight="1"/>
    <row r="26" ht="24" customHeight="1">
      <c r="B26" s="34" t="inlineStr">
        <is>
          <t>DIVYANGJAN STUDENT SUMMARY</t>
        </is>
      </c>
    </row>
    <row r="27" ht="22" customHeight="1">
      <c r="B27" s="67" t="inlineStr">
        <is>
          <t>Total Divyangjan Students</t>
        </is>
      </c>
      <c r="F27" s="36">
        <f>COUNTA(B5:B24)</f>
        <v/>
      </c>
    </row>
    <row r="28" ht="22" customHeight="1">
      <c r="B28" s="25" t="inlineStr">
        <is>
          <t>Visual Impairment</t>
        </is>
      </c>
      <c r="F28" s="37">
        <f>COUNTIF(E5:E24,"Visual Impairment (VI)")</f>
        <v/>
      </c>
    </row>
    <row r="29" ht="22" customHeight="1">
      <c r="B29" s="67" t="inlineStr">
        <is>
          <t>Hearing Impairment</t>
        </is>
      </c>
      <c r="F29" s="36">
        <f>COUNTIF(E5:E24,"Hearing Impairment (HI)")</f>
        <v/>
      </c>
    </row>
    <row r="30" ht="22" customHeight="1">
      <c r="B30" s="25" t="inlineStr">
        <is>
          <t>Locomotor Disability</t>
        </is>
      </c>
      <c r="F30" s="37">
        <f>COUNTIF(E5:E24,"Locomotor Disability")</f>
        <v/>
      </c>
    </row>
    <row r="31" ht="22" customHeight="1">
      <c r="B31" s="67" t="inlineStr">
        <is>
          <t>Students with Scribe Required</t>
        </is>
      </c>
      <c r="F31" s="36">
        <f>COUNTIF(I5:I24,"Y")</f>
        <v/>
      </c>
    </row>
    <row r="32" ht="22" customHeight="1">
      <c r="B32" s="25" t="inlineStr">
        <is>
          <t>UDiD Verified</t>
        </is>
      </c>
      <c r="F32" s="37">
        <f>COUNTIF(G5:G24,"&lt;&gt;"&amp;"")</f>
        <v/>
      </c>
    </row>
    <row r="33" ht="22" customHeight="1"/>
    <row r="34" ht="22" customHeight="1"/>
    <row r="35" ht="22" customHeight="1"/>
    <row r="36" ht="22" customHeight="1"/>
    <row r="37" ht="22" customHeight="1"/>
  </sheetData>
  <mergeCells count="15">
    <mergeCell ref="B31:E31"/>
    <mergeCell ref="B27:E27"/>
    <mergeCell ref="B26:K26"/>
    <mergeCell ref="F28:K28"/>
    <mergeCell ref="F32:K32"/>
    <mergeCell ref="B30:E30"/>
    <mergeCell ref="F31:K31"/>
    <mergeCell ref="F27:K27"/>
    <mergeCell ref="B29:E29"/>
    <mergeCell ref="B2:K2"/>
    <mergeCell ref="B28:E28"/>
    <mergeCell ref="F30:K30"/>
    <mergeCell ref="B3:K3"/>
    <mergeCell ref="F29:K29"/>
    <mergeCell ref="B32:E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DIV-03: CAMPUS ACCESSIBILITY AUDIT REGISTER (RPwD Act 2016)</t>
        </is>
      </c>
    </row>
    <row r="3" ht="20" customHeight="1">
      <c r="B3" s="17" t="inlineStr">
        <is>
          <t>Accessibility audit mandatory under RPwD Act 2016. Institutions must make campuses fully accessible. Rating: 1=Non-compliant, 2=Partially compliant, 3=Compliant, 4=Fully accessible, 5=Exemplary.</t>
        </is>
      </c>
    </row>
    <row r="4" ht="25" customHeight="1">
      <c r="B4" s="63" t="inlineStr">
        <is>
          <t>Sl.</t>
        </is>
      </c>
      <c r="C4" s="63" t="inlineStr">
        <is>
          <t>Accessibility Parameter</t>
        </is>
      </c>
      <c r="D4" s="63" t="inlineStr">
        <is>
          <t>Location /
Area Audited</t>
        </is>
      </c>
      <c r="E4" s="63" t="inlineStr">
        <is>
          <t>Rating
(1–5)</t>
        </is>
      </c>
      <c r="F4" s="63" t="inlineStr">
        <is>
          <t>Current
Status</t>
        </is>
      </c>
      <c r="G4" s="63" t="inlineStr">
        <is>
          <t>Action
Required</t>
        </is>
      </c>
      <c r="H4" s="63" t="inlineStr">
        <is>
          <t>Target
Date</t>
        </is>
      </c>
    </row>
    <row r="5" ht="26" customHeight="1">
      <c r="B5" s="64" t="n">
        <v>1</v>
      </c>
      <c r="C5" s="65" t="inlineStr">
        <is>
          <t>Ramps / Slopes at all entrances — ≤1:12 gradient</t>
        </is>
      </c>
      <c r="D5" s="66" t="inlineStr">
        <is>
          <t>Main entrance, all buildings</t>
        </is>
      </c>
      <c r="E5" s="66" t="inlineStr"/>
      <c r="F5" s="66" t="inlineStr"/>
      <c r="G5" s="65" t="inlineStr"/>
      <c r="H5" s="66" t="inlineStr"/>
    </row>
    <row r="6" ht="26" customHeight="1">
      <c r="B6" s="8" t="n">
        <v>2</v>
      </c>
      <c r="C6" s="9" t="inlineStr">
        <is>
          <t>Lifts with Braille / audio buttons</t>
        </is>
      </c>
      <c r="D6" s="10" t="inlineStr">
        <is>
          <t>All multi-storey buildings</t>
        </is>
      </c>
      <c r="E6" s="10" t="inlineStr"/>
      <c r="F6" s="10" t="inlineStr"/>
      <c r="G6" s="9" t="inlineStr"/>
      <c r="H6" s="10" t="inlineStr"/>
    </row>
    <row r="7" ht="26" customHeight="1">
      <c r="B7" s="64" t="n">
        <v>3</v>
      </c>
      <c r="C7" s="65" t="inlineStr">
        <is>
          <t>Accessible washrooms (wider doors, grab bars, low fittings)</t>
        </is>
      </c>
      <c r="D7" s="66" t="inlineStr">
        <is>
          <t>All campus toilet blocks</t>
        </is>
      </c>
      <c r="E7" s="66" t="inlineStr"/>
      <c r="F7" s="66" t="inlineStr"/>
      <c r="G7" s="65" t="inlineStr"/>
      <c r="H7" s="66" t="inlineStr"/>
    </row>
    <row r="8" ht="26" customHeight="1">
      <c r="B8" s="8" t="n">
        <v>4</v>
      </c>
      <c r="C8" s="9" t="inlineStr">
        <is>
          <t>Tactile paving / guiding blocks for VI students</t>
        </is>
      </c>
      <c r="D8" s="10" t="inlineStr">
        <is>
          <t>Pathways between key buildings</t>
        </is>
      </c>
      <c r="E8" s="10" t="inlineStr"/>
      <c r="F8" s="10" t="inlineStr"/>
      <c r="G8" s="9" t="inlineStr"/>
      <c r="H8" s="10" t="inlineStr"/>
    </row>
    <row r="9" ht="26" customHeight="1">
      <c r="B9" s="64" t="n">
        <v>5</v>
      </c>
      <c r="C9" s="65" t="inlineStr">
        <is>
          <t>Ramps to all classrooms and lecture halls</t>
        </is>
      </c>
      <c r="D9" s="66" t="inlineStr">
        <is>
          <t>Academic block</t>
        </is>
      </c>
      <c r="E9" s="66" t="inlineStr"/>
      <c r="F9" s="66" t="inlineStr"/>
      <c r="G9" s="65" t="inlineStr"/>
      <c r="H9" s="66" t="inlineStr"/>
    </row>
    <row r="10" ht="26" customHeight="1">
      <c r="B10" s="8" t="n">
        <v>6</v>
      </c>
      <c r="C10" s="9" t="inlineStr">
        <is>
          <t>Accessible seating in classrooms (ground floor / front)</t>
        </is>
      </c>
      <c r="D10" s="10" t="inlineStr">
        <is>
          <t>All classrooms</t>
        </is>
      </c>
      <c r="E10" s="10" t="inlineStr"/>
      <c r="F10" s="10" t="inlineStr"/>
      <c r="G10" s="9" t="inlineStr"/>
      <c r="H10" s="10" t="inlineStr"/>
    </row>
    <row r="11" ht="26" customHeight="1">
      <c r="B11" s="64" t="n">
        <v>7</v>
      </c>
      <c r="C11" s="65" t="inlineStr">
        <is>
          <t>Special exam room with accessible furniture</t>
        </is>
      </c>
      <c r="D11" s="66" t="inlineStr">
        <is>
          <t>Examination halls</t>
        </is>
      </c>
      <c r="E11" s="66" t="inlineStr"/>
      <c r="F11" s="66" t="inlineStr"/>
      <c r="G11" s="65" t="inlineStr"/>
      <c r="H11" s="66" t="inlineStr"/>
    </row>
    <row r="12" ht="26" customHeight="1">
      <c r="B12" s="8" t="n">
        <v>8</v>
      </c>
      <c r="C12" s="9" t="inlineStr">
        <is>
          <t>Accessible laboratory benches</t>
        </is>
      </c>
      <c r="D12" s="10" t="inlineStr">
        <is>
          <t>All laboratories</t>
        </is>
      </c>
      <c r="E12" s="10" t="inlineStr"/>
      <c r="F12" s="10" t="inlineStr"/>
      <c r="G12" s="9" t="inlineStr"/>
      <c r="H12" s="10" t="inlineStr"/>
    </row>
    <row r="13" ht="26" customHeight="1">
      <c r="B13" s="64" t="n">
        <v>9</v>
      </c>
      <c r="C13" s="65" t="inlineStr">
        <is>
          <t>Accessible library seating and shelving</t>
        </is>
      </c>
      <c r="D13" s="66" t="inlineStr">
        <is>
          <t>Central library</t>
        </is>
      </c>
      <c r="E13" s="66" t="inlineStr"/>
      <c r="F13" s="66" t="inlineStr"/>
      <c r="G13" s="65" t="inlineStr"/>
      <c r="H13" s="66" t="inlineStr"/>
    </row>
    <row r="14" ht="26" customHeight="1">
      <c r="B14" s="8" t="n">
        <v>10</v>
      </c>
      <c r="C14" s="9" t="inlineStr">
        <is>
          <t>Accessible canteen / cafeteria</t>
        </is>
      </c>
      <c r="D14" s="10" t="inlineStr">
        <is>
          <t>Main canteen</t>
        </is>
      </c>
      <c r="E14" s="10" t="inlineStr"/>
      <c r="F14" s="10" t="inlineStr"/>
      <c r="G14" s="9" t="inlineStr"/>
      <c r="H14" s="10" t="inlineStr"/>
    </row>
    <row r="15" ht="26" customHeight="1">
      <c r="B15" s="64" t="n">
        <v>11</v>
      </c>
      <c r="C15" s="65" t="inlineStr">
        <is>
          <t>Accessible sports and recreation facilities</t>
        </is>
      </c>
      <c r="D15" s="66" t="inlineStr">
        <is>
          <t>Sports complex</t>
        </is>
      </c>
      <c r="E15" s="66" t="inlineStr"/>
      <c r="F15" s="66" t="inlineStr"/>
      <c r="G15" s="65" t="inlineStr"/>
      <c r="H15" s="66" t="inlineStr"/>
    </row>
    <row r="16" ht="26" customHeight="1">
      <c r="B16" s="8" t="n">
        <v>12</v>
      </c>
      <c r="C16" s="9" t="inlineStr">
        <is>
          <t>Accessible hostel rooms</t>
        </is>
      </c>
      <c r="D16" s="10" t="inlineStr">
        <is>
          <t>Boys and Girls hostels</t>
        </is>
      </c>
      <c r="E16" s="10" t="inlineStr"/>
      <c r="F16" s="10" t="inlineStr"/>
      <c r="G16" s="9" t="inlineStr"/>
      <c r="H16" s="10" t="inlineStr"/>
    </row>
    <row r="17" ht="26" customHeight="1">
      <c r="B17" s="64" t="n">
        <v>13</v>
      </c>
      <c r="C17" s="65" t="inlineStr">
        <is>
          <t>Accessible parking bays for PwD vehicles</t>
        </is>
      </c>
      <c r="D17" s="66" t="inlineStr">
        <is>
          <t>Campus parking areas</t>
        </is>
      </c>
      <c r="E17" s="66" t="inlineStr"/>
      <c r="F17" s="66" t="inlineStr"/>
      <c r="G17" s="65" t="inlineStr"/>
      <c r="H17" s="66" t="inlineStr"/>
    </row>
    <row r="18" ht="26" customHeight="1">
      <c r="B18" s="8" t="n">
        <v>14</v>
      </c>
      <c r="C18" s="9" t="inlineStr">
        <is>
          <t>Hearing loop / FM system in lecture halls</t>
        </is>
      </c>
      <c r="D18" s="10" t="inlineStr">
        <is>
          <t>Main lecture halls</t>
        </is>
      </c>
      <c r="E18" s="10" t="inlineStr"/>
      <c r="F18" s="10" t="inlineStr"/>
      <c r="G18" s="9" t="inlineStr"/>
      <c r="H18" s="10" t="inlineStr"/>
    </row>
    <row r="19" ht="26" customHeight="1">
      <c r="B19" s="64" t="n">
        <v>15</v>
      </c>
      <c r="C19" s="65" t="inlineStr">
        <is>
          <t>Sign language interpreter availability</t>
        </is>
      </c>
      <c r="D19" s="66" t="inlineStr">
        <is>
          <t>As required</t>
        </is>
      </c>
      <c r="E19" s="66" t="inlineStr"/>
      <c r="F19" s="66" t="inlineStr"/>
      <c r="G19" s="65" t="inlineStr"/>
      <c r="H19" s="66" t="inlineStr"/>
    </row>
    <row r="20" ht="26" customHeight="1">
      <c r="B20" s="8" t="n">
        <v>16</v>
      </c>
      <c r="C20" s="9" t="inlineStr">
        <is>
          <t>Screen reader / magnification software on computers</t>
        </is>
      </c>
      <c r="D20" s="10" t="inlineStr">
        <is>
          <t>Computer labs, library</t>
        </is>
      </c>
      <c r="E20" s="10" t="inlineStr"/>
      <c r="F20" s="10" t="inlineStr"/>
      <c r="G20" s="9" t="inlineStr"/>
      <c r="H20" s="10" t="inlineStr"/>
    </row>
    <row r="21" ht="26" customHeight="1">
      <c r="B21" s="64" t="n">
        <v>17</v>
      </c>
      <c r="C21" s="65" t="inlineStr">
        <is>
          <t>JAWS / NVDA or equivalent screen reader installed</t>
        </is>
      </c>
      <c r="D21" s="66" t="inlineStr">
        <is>
          <t>Computer labs</t>
        </is>
      </c>
      <c r="E21" s="66" t="inlineStr"/>
      <c r="F21" s="66" t="inlineStr"/>
      <c r="G21" s="65" t="inlineStr"/>
      <c r="H21" s="66" t="inlineStr"/>
    </row>
    <row r="22" ht="26" customHeight="1">
      <c r="B22" s="8" t="n">
        <v>18</v>
      </c>
      <c r="C22" s="9" t="inlineStr">
        <is>
          <t>Braille / large print material availability</t>
        </is>
      </c>
      <c r="D22" s="10" t="inlineStr">
        <is>
          <t>Library</t>
        </is>
      </c>
      <c r="E22" s="10" t="inlineStr"/>
      <c r="F22" s="10" t="inlineStr"/>
      <c r="G22" s="9" t="inlineStr"/>
      <c r="H22" s="10" t="inlineStr"/>
    </row>
    <row r="23" ht="26" customHeight="1">
      <c r="B23" s="64" t="n">
        <v>19</v>
      </c>
      <c r="C23" s="65" t="inlineStr">
        <is>
          <t>Accessible website (WCAG 2.0 compliant)</t>
        </is>
      </c>
      <c r="D23" s="66" t="inlineStr">
        <is>
          <t>Institutional website</t>
        </is>
      </c>
      <c r="E23" s="66" t="inlineStr"/>
      <c r="F23" s="66" t="inlineStr"/>
      <c r="G23" s="65" t="inlineStr"/>
      <c r="H23" s="66" t="inlineStr"/>
    </row>
    <row r="24" ht="26" customHeight="1">
      <c r="B24" s="8" t="n">
        <v>20</v>
      </c>
      <c r="C24" s="9" t="inlineStr">
        <is>
          <t>Emergency evacuation plan for Divyangjan</t>
        </is>
      </c>
      <c r="D24" s="10" t="inlineStr">
        <is>
          <t>All buildings</t>
        </is>
      </c>
      <c r="E24" s="10" t="inlineStr"/>
      <c r="F24" s="10" t="inlineStr"/>
      <c r="G24" s="9" t="inlineStr"/>
      <c r="H24" s="10" t="inlineStr"/>
    </row>
    <row r="25" ht="26" customHeight="1">
      <c r="B25" s="64" t="n">
        <v>21</v>
      </c>
      <c r="C25" s="65" t="inlineStr">
        <is>
          <t>PwD-friendly signage — pictorial, large font</t>
        </is>
      </c>
      <c r="D25" s="66" t="inlineStr">
        <is>
          <t>Throughout campus</t>
        </is>
      </c>
      <c r="E25" s="66" t="inlineStr"/>
      <c r="F25" s="66" t="inlineStr"/>
      <c r="G25" s="65" t="inlineStr"/>
      <c r="H25" s="66" t="inlineStr"/>
    </row>
    <row r="26" ht="26" customHeight="1">
      <c r="B26" s="8" t="n">
        <v>22</v>
      </c>
      <c r="C26" s="9" t="inlineStr">
        <is>
          <t>Dedicated Divyangjan welfare officer accessible</t>
        </is>
      </c>
      <c r="D26" s="10" t="inlineStr">
        <is>
          <t>Administrative block</t>
        </is>
      </c>
      <c r="E26" s="10" t="inlineStr"/>
      <c r="F26" s="10" t="inlineStr"/>
      <c r="G26" s="9" t="inlineStr"/>
      <c r="H26" s="10" t="inlineStr"/>
    </row>
    <row r="27" ht="26" customHeight="1"/>
    <row r="28" ht="24" customHeight="1">
      <c r="B28" s="34" t="inlineStr">
        <is>
          <t>ACCESSIBILITY AUDIT SUMMARY</t>
        </is>
      </c>
    </row>
    <row r="29" ht="26" customHeight="1">
      <c r="B29" s="67" t="inlineStr">
        <is>
          <t>Total Parameters Audited</t>
        </is>
      </c>
      <c r="F29" s="36">
        <f>COUNTA(B5:B26)</f>
        <v/>
      </c>
    </row>
    <row r="30" ht="26" customHeight="1">
      <c r="B30" s="25" t="inlineStr">
        <is>
          <t>Compliant (Rating ≥ 3)</t>
        </is>
      </c>
      <c r="F30" s="37">
        <f>COUNTIF(E5:E26,"&gt;="&amp;3)</f>
        <v/>
      </c>
    </row>
    <row r="31" ht="26" customHeight="1">
      <c r="B31" s="67" t="inlineStr">
        <is>
          <t>Non-Compliant (Rating ≤ 2)</t>
        </is>
      </c>
      <c r="F31" s="36">
        <f>COUNTIF(E5:E26,"&lt;="&amp;2)</f>
        <v/>
      </c>
    </row>
    <row r="32" ht="26" customHeight="1">
      <c r="B32" s="25" t="inlineStr">
        <is>
          <t>Average Accessibility Score (/5)</t>
        </is>
      </c>
      <c r="F32" s="37">
        <f>IFERROR(ROUND(AVERAGE(E5:E26),2),"")</f>
        <v/>
      </c>
    </row>
    <row r="33" ht="26" customHeight="1">
      <c r="B33" s="67" t="inlineStr">
        <is>
          <t>Action Items Pending</t>
        </is>
      </c>
      <c r="F33" s="36">
        <f>COUNTIF(G5:G26,"&lt;&gt;"&amp;"")</f>
        <v/>
      </c>
    </row>
    <row r="34" ht="26" customHeight="1">
      <c r="B34" s="25" t="inlineStr">
        <is>
          <t>% Compliance</t>
        </is>
      </c>
      <c r="F34" s="37">
        <f>IFERROR(ROUND(C30/C29*100,1),"")</f>
        <v/>
      </c>
    </row>
    <row r="35" ht="26" customHeight="1"/>
    <row r="36" ht="26" customHeight="1"/>
    <row r="37" ht="26" customHeight="1"/>
    <row r="38" ht="26" customHeight="1"/>
    <row r="39" ht="26" customHeight="1"/>
    <row r="40" ht="26" customHeight="1"/>
    <row r="41" ht="26" customHeight="1"/>
    <row r="42" ht="26" customHeight="1"/>
    <row r="43" ht="26" customHeight="1"/>
    <row r="44" ht="26" customHeight="1"/>
    <row r="45" ht="26" customHeight="1"/>
    <row r="46" ht="26" customHeight="1"/>
    <row r="47" ht="26" customHeight="1"/>
    <row r="48" ht="26" customHeight="1"/>
    <row r="49" ht="26" customHeight="1"/>
    <row r="50" ht="26" customHeight="1"/>
    <row r="51" ht="26" customHeight="1"/>
  </sheetData>
  <mergeCells count="15">
    <mergeCell ref="F34:H34"/>
    <mergeCell ref="B31:E31"/>
    <mergeCell ref="F33:H33"/>
    <mergeCell ref="F31:H31"/>
    <mergeCell ref="B34:E34"/>
    <mergeCell ref="B30:E30"/>
    <mergeCell ref="F32:H32"/>
    <mergeCell ref="B29:E29"/>
    <mergeCell ref="B33:E33"/>
    <mergeCell ref="B2:H2"/>
    <mergeCell ref="F30:H30"/>
    <mergeCell ref="B3:H3"/>
    <mergeCell ref="F29:H29"/>
    <mergeCell ref="B28:H28"/>
    <mergeCell ref="B32:E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L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2" t="inlineStr">
        <is>
          <t>SCH-01: CENTRALISED SCHOLARSHIP DATABASE — ALL CATEGORIES</t>
        </is>
      </c>
    </row>
    <row r="3" ht="25" customHeight="1">
      <c r="B3" s="2" t="inlineStr">
        <is>
          <t>A.Y.: _______  Scholarship Officer: ___________________  Reconciled with Finance: _______</t>
        </is>
      </c>
    </row>
    <row r="4" ht="25" customHeight="1">
      <c r="B4" s="42" t="inlineStr">
        <is>
          <t>Sl.</t>
        </is>
      </c>
      <c r="C4" s="42" t="inlineStr">
        <is>
          <t>Student Name</t>
        </is>
      </c>
      <c r="D4" s="42" t="inlineStr">
        <is>
          <t>Roll No.</t>
        </is>
      </c>
      <c r="E4" s="42" t="inlineStr">
        <is>
          <t>Category</t>
        </is>
      </c>
      <c r="F4" s="42" t="inlineStr">
        <is>
          <t>Scholarship
Scheme</t>
        </is>
      </c>
      <c r="G4" s="42" t="inlineStr">
        <is>
          <t>Sanctioning
Authority</t>
        </is>
      </c>
      <c r="H4" s="42" t="inlineStr">
        <is>
          <t>Applied
(₹)</t>
        </is>
      </c>
      <c r="I4" s="42" t="inlineStr">
        <is>
          <t>Sanctioned
(₹)</t>
        </is>
      </c>
      <c r="J4" s="42" t="inlineStr">
        <is>
          <t>Disbursed
(₹)</t>
        </is>
      </c>
      <c r="K4" s="42" t="inlineStr">
        <is>
          <t>Bank A/C
Verified</t>
        </is>
      </c>
      <c r="L4" s="42" t="inlineStr">
        <is>
          <t>Status</t>
        </is>
      </c>
    </row>
    <row r="5" ht="22" customHeight="1">
      <c r="B5" s="40" t="n">
        <v>1</v>
      </c>
      <c r="C5" s="43" t="inlineStr"/>
      <c r="D5" s="22" t="inlineStr"/>
      <c r="E5" s="40" t="inlineStr">
        <is>
          <t>SC</t>
        </is>
      </c>
      <c r="F5" s="22" t="inlineStr">
        <is>
          <t>Post-Matric (SC/ST)</t>
        </is>
      </c>
      <c r="G5" s="22" t="inlineStr">
        <is>
          <t>Central/State</t>
        </is>
      </c>
      <c r="H5" s="22" t="inlineStr"/>
      <c r="I5" s="22" t="inlineStr"/>
      <c r="J5" s="22" t="inlineStr"/>
      <c r="K5" s="22" t="inlineStr">
        <is>
          <t>Y</t>
        </is>
      </c>
      <c r="L5" s="22" t="inlineStr">
        <is>
          <t>Received</t>
        </is>
      </c>
    </row>
    <row r="6" ht="22" customHeight="1">
      <c r="B6" s="8" t="n">
        <v>2</v>
      </c>
      <c r="C6" s="9" t="inlineStr"/>
      <c r="D6" s="10" t="inlineStr"/>
      <c r="E6" s="8" t="inlineStr">
        <is>
          <t>ST</t>
        </is>
      </c>
      <c r="F6" s="10" t="inlineStr">
        <is>
          <t>Post-Matric (OBC)</t>
        </is>
      </c>
      <c r="G6" s="10" t="inlineStr">
        <is>
          <t>Central/State</t>
        </is>
      </c>
      <c r="H6" s="10" t="inlineStr"/>
      <c r="I6" s="10" t="inlineStr"/>
      <c r="J6" s="10" t="inlineStr"/>
      <c r="K6" s="10" t="inlineStr">
        <is>
          <t>Y</t>
        </is>
      </c>
      <c r="L6" s="10" t="inlineStr">
        <is>
          <t>Received</t>
        </is>
      </c>
    </row>
    <row r="7" ht="22" customHeight="1">
      <c r="B7" s="40" t="n">
        <v>3</v>
      </c>
      <c r="C7" s="43" t="inlineStr"/>
      <c r="D7" s="22" t="inlineStr"/>
      <c r="E7" s="40" t="inlineStr">
        <is>
          <t>OBC</t>
        </is>
      </c>
      <c r="F7" s="22" t="inlineStr">
        <is>
          <t>Post-Matric (Minority)</t>
        </is>
      </c>
      <c r="G7" s="22" t="inlineStr">
        <is>
          <t>Central/State</t>
        </is>
      </c>
      <c r="H7" s="22" t="inlineStr"/>
      <c r="I7" s="22" t="inlineStr"/>
      <c r="J7" s="22" t="inlineStr"/>
      <c r="K7" s="22" t="inlineStr">
        <is>
          <t>Y</t>
        </is>
      </c>
      <c r="L7" s="22" t="inlineStr">
        <is>
          <t>Received</t>
        </is>
      </c>
    </row>
    <row r="8" ht="22" customHeight="1">
      <c r="B8" s="8" t="n">
        <v>4</v>
      </c>
      <c r="C8" s="9" t="inlineStr"/>
      <c r="D8" s="10" t="inlineStr"/>
      <c r="E8" s="8" t="inlineStr">
        <is>
          <t>EWS</t>
        </is>
      </c>
      <c r="F8" s="10" t="inlineStr">
        <is>
          <t>PM-YASASVI (OBC/EWS/DNT)</t>
        </is>
      </c>
      <c r="G8" s="10" t="inlineStr">
        <is>
          <t>Central/State</t>
        </is>
      </c>
      <c r="H8" s="10" t="inlineStr"/>
      <c r="I8" s="10" t="inlineStr"/>
      <c r="J8" s="10" t="inlineStr"/>
      <c r="K8" s="10" t="inlineStr">
        <is>
          <t>Y</t>
        </is>
      </c>
      <c r="L8" s="10" t="inlineStr">
        <is>
          <t>Received</t>
        </is>
      </c>
    </row>
    <row r="9" ht="22" customHeight="1">
      <c r="B9" s="40" t="n">
        <v>5</v>
      </c>
      <c r="C9" s="43" t="inlineStr"/>
      <c r="D9" s="22" t="inlineStr"/>
      <c r="E9" s="40" t="inlineStr">
        <is>
          <t>Minority</t>
        </is>
      </c>
      <c r="F9" s="22" t="inlineStr">
        <is>
          <t>MANF (Minority)</t>
        </is>
      </c>
      <c r="G9" s="22" t="inlineStr">
        <is>
          <t>Central/State</t>
        </is>
      </c>
      <c r="H9" s="22" t="inlineStr"/>
      <c r="I9" s="22" t="inlineStr"/>
      <c r="J9" s="22" t="inlineStr"/>
      <c r="K9" s="22" t="inlineStr">
        <is>
          <t>Y</t>
        </is>
      </c>
      <c r="L9" s="22" t="inlineStr">
        <is>
          <t>Received</t>
        </is>
      </c>
    </row>
    <row r="10" ht="22" customHeight="1">
      <c r="B10" s="8" t="n">
        <v>6</v>
      </c>
      <c r="C10" s="9" t="inlineStr"/>
      <c r="D10" s="10" t="inlineStr"/>
      <c r="E10" s="8" t="inlineStr">
        <is>
          <t>Divyangjan</t>
        </is>
      </c>
      <c r="F10" s="10" t="inlineStr">
        <is>
          <t>National Fellowship SC/ST (UGC)</t>
        </is>
      </c>
      <c r="G10" s="10" t="inlineStr">
        <is>
          <t>Central/State</t>
        </is>
      </c>
      <c r="H10" s="10" t="inlineStr"/>
      <c r="I10" s="10" t="inlineStr"/>
      <c r="J10" s="10" t="inlineStr"/>
      <c r="K10" s="10" t="inlineStr">
        <is>
          <t>Y</t>
        </is>
      </c>
      <c r="L10" s="10" t="inlineStr">
        <is>
          <t>Received</t>
        </is>
      </c>
    </row>
    <row r="11" ht="22" customHeight="1">
      <c r="B11" s="40" t="n">
        <v>7</v>
      </c>
      <c r="C11" s="43" t="inlineStr"/>
      <c r="D11" s="22" t="inlineStr"/>
      <c r="E11" s="40" t="inlineStr">
        <is>
          <t>Merit</t>
        </is>
      </c>
      <c r="F11" s="22" t="inlineStr">
        <is>
          <t>Central Sector Scholarship</t>
        </is>
      </c>
      <c r="G11" s="22" t="inlineStr">
        <is>
          <t>Central/State</t>
        </is>
      </c>
      <c r="H11" s="22" t="inlineStr"/>
      <c r="I11" s="22" t="inlineStr"/>
      <c r="J11" s="22" t="inlineStr"/>
      <c r="K11" s="22" t="inlineStr">
        <is>
          <t>Y</t>
        </is>
      </c>
      <c r="L11" s="22" t="inlineStr">
        <is>
          <t>Received</t>
        </is>
      </c>
    </row>
    <row r="12" ht="22" customHeight="1">
      <c r="B12" s="8" t="n">
        <v>8</v>
      </c>
      <c r="C12" s="9" t="inlineStr"/>
      <c r="D12" s="10" t="inlineStr"/>
      <c r="E12" s="8" t="inlineStr">
        <is>
          <t>Sports</t>
        </is>
      </c>
      <c r="F12" s="10" t="inlineStr">
        <is>
          <t>State Scholarship</t>
        </is>
      </c>
      <c r="G12" s="10" t="inlineStr">
        <is>
          <t>Central/State</t>
        </is>
      </c>
      <c r="H12" s="10" t="inlineStr"/>
      <c r="I12" s="10" t="inlineStr"/>
      <c r="J12" s="10" t="inlineStr"/>
      <c r="K12" s="10" t="inlineStr">
        <is>
          <t>Y</t>
        </is>
      </c>
      <c r="L12" s="10" t="inlineStr">
        <is>
          <t>Received</t>
        </is>
      </c>
    </row>
    <row r="13" ht="22" customHeight="1">
      <c r="B13" s="40" t="n">
        <v>9</v>
      </c>
      <c r="C13" s="43" t="inlineStr"/>
      <c r="D13" s="22" t="inlineStr"/>
      <c r="E13" s="40" t="inlineStr">
        <is>
          <t>General (Means-tested)</t>
        </is>
      </c>
      <c r="F13" s="22" t="inlineStr">
        <is>
          <t>AICTE Pragati (Women)</t>
        </is>
      </c>
      <c r="G13" s="22" t="inlineStr">
        <is>
          <t>Central/State</t>
        </is>
      </c>
      <c r="H13" s="22" t="inlineStr"/>
      <c r="I13" s="22" t="inlineStr"/>
      <c r="J13" s="22" t="inlineStr"/>
      <c r="K13" s="22" t="inlineStr">
        <is>
          <t>Y</t>
        </is>
      </c>
      <c r="L13" s="22" t="inlineStr">
        <is>
          <t>Received</t>
        </is>
      </c>
    </row>
    <row r="14" ht="22" customHeight="1">
      <c r="B14" s="8" t="n">
        <v>10</v>
      </c>
      <c r="C14" s="9" t="inlineStr"/>
      <c r="D14" s="10" t="inlineStr"/>
      <c r="E14" s="8" t="inlineStr">
        <is>
          <t>International</t>
        </is>
      </c>
      <c r="F14" s="10" t="inlineStr">
        <is>
          <t>AICTE Saksham (PwD)</t>
        </is>
      </c>
      <c r="G14" s="10" t="inlineStr">
        <is>
          <t>Central/State</t>
        </is>
      </c>
      <c r="H14" s="10" t="inlineStr"/>
      <c r="I14" s="10" t="inlineStr"/>
      <c r="J14" s="10" t="inlineStr"/>
      <c r="K14" s="10" t="inlineStr">
        <is>
          <t>Y</t>
        </is>
      </c>
      <c r="L14" s="10" t="inlineStr">
        <is>
          <t>Received</t>
        </is>
      </c>
    </row>
    <row r="15" ht="22" customHeight="1">
      <c r="B15" s="40" t="n">
        <v>11</v>
      </c>
      <c r="C15" s="43" t="inlineStr"/>
      <c r="D15" s="22" t="inlineStr"/>
      <c r="E15" s="40" t="inlineStr">
        <is>
          <t>SC</t>
        </is>
      </c>
      <c r="F15" s="22" t="inlineStr">
        <is>
          <t>Institutional Scholarship</t>
        </is>
      </c>
      <c r="G15" s="22" t="inlineStr">
        <is>
          <t>Central/State</t>
        </is>
      </c>
      <c r="H15" s="22" t="inlineStr"/>
      <c r="I15" s="22" t="inlineStr"/>
      <c r="J15" s="22" t="inlineStr"/>
      <c r="K15" s="22" t="inlineStr">
        <is>
          <t>Y</t>
        </is>
      </c>
      <c r="L15" s="22" t="inlineStr">
        <is>
          <t>Received</t>
        </is>
      </c>
    </row>
    <row r="16" ht="22" customHeight="1">
      <c r="B16" s="8" t="n">
        <v>12</v>
      </c>
      <c r="C16" s="9" t="inlineStr"/>
      <c r="D16" s="10" t="inlineStr"/>
      <c r="E16" s="8" t="inlineStr">
        <is>
          <t>ST</t>
        </is>
      </c>
      <c r="F16" s="10" t="inlineStr">
        <is>
          <t>Sports Scholarship</t>
        </is>
      </c>
      <c r="G16" s="10" t="inlineStr">
        <is>
          <t>Central/State</t>
        </is>
      </c>
      <c r="H16" s="10" t="inlineStr"/>
      <c r="I16" s="10" t="inlineStr"/>
      <c r="J16" s="10" t="inlineStr"/>
      <c r="K16" s="10" t="inlineStr">
        <is>
          <t>Y</t>
        </is>
      </c>
      <c r="L16" s="10" t="inlineStr">
        <is>
          <t>Received</t>
        </is>
      </c>
    </row>
    <row r="17" ht="22" customHeight="1">
      <c r="B17" s="40" t="n">
        <v>13</v>
      </c>
      <c r="C17" s="43" t="inlineStr"/>
      <c r="D17" s="22" t="inlineStr"/>
      <c r="E17" s="40" t="inlineStr">
        <is>
          <t>OBC</t>
        </is>
      </c>
      <c r="F17" s="22" t="inlineStr">
        <is>
          <t>Merit Scholarship</t>
        </is>
      </c>
      <c r="G17" s="22" t="inlineStr">
        <is>
          <t>Central/State</t>
        </is>
      </c>
      <c r="H17" s="22" t="inlineStr"/>
      <c r="I17" s="22" t="inlineStr"/>
      <c r="J17" s="22" t="inlineStr"/>
      <c r="K17" s="22" t="inlineStr">
        <is>
          <t>Y</t>
        </is>
      </c>
      <c r="L17" s="22" t="inlineStr">
        <is>
          <t>Received</t>
        </is>
      </c>
    </row>
    <row r="18" ht="22" customHeight="1">
      <c r="B18" s="8" t="n">
        <v>14</v>
      </c>
      <c r="C18" s="9" t="inlineStr"/>
      <c r="D18" s="10" t="inlineStr"/>
      <c r="E18" s="8" t="inlineStr">
        <is>
          <t>EWS</t>
        </is>
      </c>
      <c r="F18" s="10" t="inlineStr">
        <is>
          <t>Post-Matric (SC/ST)</t>
        </is>
      </c>
      <c r="G18" s="10" t="inlineStr">
        <is>
          <t>Central/State</t>
        </is>
      </c>
      <c r="H18" s="10" t="inlineStr"/>
      <c r="I18" s="10" t="inlineStr"/>
      <c r="J18" s="10" t="inlineStr"/>
      <c r="K18" s="10" t="inlineStr">
        <is>
          <t>Y</t>
        </is>
      </c>
      <c r="L18" s="10" t="inlineStr">
        <is>
          <t>Received</t>
        </is>
      </c>
    </row>
    <row r="19" ht="22" customHeight="1">
      <c r="B19" s="40" t="n">
        <v>15</v>
      </c>
      <c r="C19" s="43" t="inlineStr"/>
      <c r="D19" s="22" t="inlineStr"/>
      <c r="E19" s="40" t="inlineStr">
        <is>
          <t>Minority</t>
        </is>
      </c>
      <c r="F19" s="22" t="inlineStr">
        <is>
          <t>Post-Matric (OBC)</t>
        </is>
      </c>
      <c r="G19" s="22" t="inlineStr">
        <is>
          <t>Central/State</t>
        </is>
      </c>
      <c r="H19" s="22" t="inlineStr"/>
      <c r="I19" s="22" t="inlineStr"/>
      <c r="J19" s="22" t="inlineStr"/>
      <c r="K19" s="22" t="inlineStr">
        <is>
          <t>Y</t>
        </is>
      </c>
      <c r="L19" s="22" t="inlineStr">
        <is>
          <t>Received</t>
        </is>
      </c>
    </row>
    <row r="20" ht="22" customHeight="1">
      <c r="B20" s="8" t="n">
        <v>16</v>
      </c>
      <c r="C20" s="9" t="inlineStr"/>
      <c r="D20" s="10" t="inlineStr"/>
      <c r="E20" s="8" t="inlineStr">
        <is>
          <t>Divyangjan</t>
        </is>
      </c>
      <c r="F20" s="10" t="inlineStr">
        <is>
          <t>Post-Matric (Minority)</t>
        </is>
      </c>
      <c r="G20" s="10" t="inlineStr">
        <is>
          <t>Central/State</t>
        </is>
      </c>
      <c r="H20" s="10" t="inlineStr"/>
      <c r="I20" s="10" t="inlineStr"/>
      <c r="J20" s="10" t="inlineStr"/>
      <c r="K20" s="10" t="inlineStr">
        <is>
          <t>Y</t>
        </is>
      </c>
      <c r="L20" s="10" t="inlineStr">
        <is>
          <t>Received</t>
        </is>
      </c>
    </row>
    <row r="21" ht="22" customHeight="1">
      <c r="B21" s="40" t="n">
        <v>17</v>
      </c>
      <c r="C21" s="43" t="inlineStr"/>
      <c r="D21" s="22" t="inlineStr"/>
      <c r="E21" s="40" t="inlineStr">
        <is>
          <t>Merit</t>
        </is>
      </c>
      <c r="F21" s="22" t="inlineStr">
        <is>
          <t>PM-YASASVI (OBC/EWS/DNT)</t>
        </is>
      </c>
      <c r="G21" s="22" t="inlineStr">
        <is>
          <t>Central/State</t>
        </is>
      </c>
      <c r="H21" s="22" t="inlineStr"/>
      <c r="I21" s="22" t="inlineStr"/>
      <c r="J21" s="22" t="inlineStr"/>
      <c r="K21" s="22" t="inlineStr">
        <is>
          <t>Y</t>
        </is>
      </c>
      <c r="L21" s="22" t="inlineStr">
        <is>
          <t>Received</t>
        </is>
      </c>
    </row>
    <row r="22" ht="22" customHeight="1">
      <c r="B22" s="8" t="n">
        <v>18</v>
      </c>
      <c r="C22" s="9" t="inlineStr"/>
      <c r="D22" s="10" t="inlineStr"/>
      <c r="E22" s="8" t="inlineStr">
        <is>
          <t>Sports</t>
        </is>
      </c>
      <c r="F22" s="10" t="inlineStr">
        <is>
          <t>MANF (Minority)</t>
        </is>
      </c>
      <c r="G22" s="10" t="inlineStr">
        <is>
          <t>Central/State</t>
        </is>
      </c>
      <c r="H22" s="10" t="inlineStr"/>
      <c r="I22" s="10" t="inlineStr"/>
      <c r="J22" s="10" t="inlineStr"/>
      <c r="K22" s="10" t="inlineStr">
        <is>
          <t>Y</t>
        </is>
      </c>
      <c r="L22" s="10" t="inlineStr">
        <is>
          <t>Received</t>
        </is>
      </c>
    </row>
    <row r="23" ht="22" customHeight="1">
      <c r="B23" s="40" t="n">
        <v>19</v>
      </c>
      <c r="C23" s="43" t="inlineStr"/>
      <c r="D23" s="22" t="inlineStr"/>
      <c r="E23" s="40" t="inlineStr">
        <is>
          <t>General (Means-tested)</t>
        </is>
      </c>
      <c r="F23" s="22" t="inlineStr">
        <is>
          <t>National Fellowship SC/ST (UGC)</t>
        </is>
      </c>
      <c r="G23" s="22" t="inlineStr">
        <is>
          <t>Central/State</t>
        </is>
      </c>
      <c r="H23" s="22" t="inlineStr"/>
      <c r="I23" s="22" t="inlineStr"/>
      <c r="J23" s="22" t="inlineStr"/>
      <c r="K23" s="22" t="inlineStr">
        <is>
          <t>Y</t>
        </is>
      </c>
      <c r="L23" s="22" t="inlineStr">
        <is>
          <t>Received</t>
        </is>
      </c>
    </row>
    <row r="24" ht="22" customHeight="1">
      <c r="B24" s="8" t="n">
        <v>20</v>
      </c>
      <c r="C24" s="9" t="inlineStr"/>
      <c r="D24" s="10" t="inlineStr"/>
      <c r="E24" s="8" t="inlineStr">
        <is>
          <t>International</t>
        </is>
      </c>
      <c r="F24" s="10" t="inlineStr">
        <is>
          <t>Central Sector Scholarship</t>
        </is>
      </c>
      <c r="G24" s="10" t="inlineStr">
        <is>
          <t>Central/State</t>
        </is>
      </c>
      <c r="H24" s="10" t="inlineStr"/>
      <c r="I24" s="10" t="inlineStr"/>
      <c r="J24" s="10" t="inlineStr"/>
      <c r="K24" s="10" t="inlineStr">
        <is>
          <t>Y</t>
        </is>
      </c>
      <c r="L24" s="10" t="inlineStr">
        <is>
          <t>Received</t>
        </is>
      </c>
    </row>
    <row r="25" ht="22" customHeight="1">
      <c r="B25" s="40" t="n">
        <v>21</v>
      </c>
      <c r="C25" s="43" t="inlineStr"/>
      <c r="D25" s="22" t="inlineStr"/>
      <c r="E25" s="40" t="inlineStr">
        <is>
          <t>SC</t>
        </is>
      </c>
      <c r="F25" s="22" t="inlineStr">
        <is>
          <t>State Scholarship</t>
        </is>
      </c>
      <c r="G25" s="22" t="inlineStr">
        <is>
          <t>Central/State</t>
        </is>
      </c>
      <c r="H25" s="22" t="inlineStr"/>
      <c r="I25" s="22" t="inlineStr"/>
      <c r="J25" s="22" t="inlineStr"/>
      <c r="K25" s="22" t="inlineStr">
        <is>
          <t>Y</t>
        </is>
      </c>
      <c r="L25" s="22" t="inlineStr">
        <is>
          <t>Received</t>
        </is>
      </c>
    </row>
    <row r="26" ht="22" customHeight="1">
      <c r="B26" s="8" t="n">
        <v>22</v>
      </c>
      <c r="C26" s="9" t="inlineStr"/>
      <c r="D26" s="10" t="inlineStr"/>
      <c r="E26" s="8" t="inlineStr">
        <is>
          <t>ST</t>
        </is>
      </c>
      <c r="F26" s="10" t="inlineStr">
        <is>
          <t>AICTE Pragati (Women)</t>
        </is>
      </c>
      <c r="G26" s="10" t="inlineStr">
        <is>
          <t>Central/State</t>
        </is>
      </c>
      <c r="H26" s="10" t="inlineStr"/>
      <c r="I26" s="10" t="inlineStr"/>
      <c r="J26" s="10" t="inlineStr"/>
      <c r="K26" s="10" t="inlineStr">
        <is>
          <t>Y</t>
        </is>
      </c>
      <c r="L26" s="10" t="inlineStr">
        <is>
          <t>Received</t>
        </is>
      </c>
    </row>
    <row r="27" ht="22" customHeight="1">
      <c r="B27" s="40" t="n">
        <v>23</v>
      </c>
      <c r="C27" s="43" t="inlineStr"/>
      <c r="D27" s="22" t="inlineStr"/>
      <c r="E27" s="40" t="inlineStr">
        <is>
          <t>OBC</t>
        </is>
      </c>
      <c r="F27" s="22" t="inlineStr">
        <is>
          <t>AICTE Saksham (PwD)</t>
        </is>
      </c>
      <c r="G27" s="22" t="inlineStr">
        <is>
          <t>Central/State</t>
        </is>
      </c>
      <c r="H27" s="22" t="inlineStr"/>
      <c r="I27" s="22" t="inlineStr"/>
      <c r="J27" s="22" t="inlineStr"/>
      <c r="K27" s="22" t="inlineStr">
        <is>
          <t>Y</t>
        </is>
      </c>
      <c r="L27" s="22" t="inlineStr">
        <is>
          <t>Received</t>
        </is>
      </c>
    </row>
    <row r="28" ht="22" customHeight="1">
      <c r="B28" s="8" t="n">
        <v>24</v>
      </c>
      <c r="C28" s="9" t="inlineStr"/>
      <c r="D28" s="10" t="inlineStr"/>
      <c r="E28" s="8" t="inlineStr">
        <is>
          <t>EWS</t>
        </is>
      </c>
      <c r="F28" s="10" t="inlineStr">
        <is>
          <t>Institutional Scholarship</t>
        </is>
      </c>
      <c r="G28" s="10" t="inlineStr">
        <is>
          <t>Central/State</t>
        </is>
      </c>
      <c r="H28" s="10" t="inlineStr"/>
      <c r="I28" s="10" t="inlineStr"/>
      <c r="J28" s="10" t="inlineStr"/>
      <c r="K28" s="10" t="inlineStr">
        <is>
          <t>Y</t>
        </is>
      </c>
      <c r="L28" s="10" t="inlineStr">
        <is>
          <t>Received</t>
        </is>
      </c>
    </row>
    <row r="29" ht="22" customHeight="1">
      <c r="B29" s="40" t="n">
        <v>25</v>
      </c>
      <c r="C29" s="43" t="inlineStr"/>
      <c r="D29" s="22" t="inlineStr"/>
      <c r="E29" s="40" t="inlineStr">
        <is>
          <t>Minority</t>
        </is>
      </c>
      <c r="F29" s="22" t="inlineStr">
        <is>
          <t>Sports Scholarship</t>
        </is>
      </c>
      <c r="G29" s="22" t="inlineStr">
        <is>
          <t>Central/State</t>
        </is>
      </c>
      <c r="H29" s="22" t="inlineStr"/>
      <c r="I29" s="22" t="inlineStr"/>
      <c r="J29" s="22" t="inlineStr"/>
      <c r="K29" s="22" t="inlineStr">
        <is>
          <t>Y</t>
        </is>
      </c>
      <c r="L29" s="22" t="inlineStr">
        <is>
          <t>Received</t>
        </is>
      </c>
    </row>
    <row r="30" ht="22" customHeight="1">
      <c r="B30" s="8" t="n">
        <v>26</v>
      </c>
      <c r="C30" s="9" t="inlineStr"/>
      <c r="D30" s="10" t="inlineStr"/>
      <c r="E30" s="8" t="inlineStr">
        <is>
          <t>Divyangjan</t>
        </is>
      </c>
      <c r="F30" s="10" t="inlineStr">
        <is>
          <t>Merit Scholarship</t>
        </is>
      </c>
      <c r="G30" s="10" t="inlineStr">
        <is>
          <t>Central/State</t>
        </is>
      </c>
      <c r="H30" s="10" t="inlineStr"/>
      <c r="I30" s="10" t="inlineStr"/>
      <c r="J30" s="10" t="inlineStr"/>
      <c r="K30" s="10" t="inlineStr">
        <is>
          <t>Y</t>
        </is>
      </c>
      <c r="L30" s="10" t="inlineStr">
        <is>
          <t>Received</t>
        </is>
      </c>
    </row>
    <row r="31" ht="22" customHeight="1">
      <c r="B31" s="40" t="n">
        <v>27</v>
      </c>
      <c r="C31" s="43" t="inlineStr"/>
      <c r="D31" s="22" t="inlineStr"/>
      <c r="E31" s="40" t="inlineStr">
        <is>
          <t>Merit</t>
        </is>
      </c>
      <c r="F31" s="22" t="inlineStr">
        <is>
          <t>Post-Matric (SC/ST)</t>
        </is>
      </c>
      <c r="G31" s="22" t="inlineStr">
        <is>
          <t>Central/State</t>
        </is>
      </c>
      <c r="H31" s="22" t="inlineStr"/>
      <c r="I31" s="22" t="inlineStr"/>
      <c r="J31" s="22" t="inlineStr"/>
      <c r="K31" s="22" t="inlineStr">
        <is>
          <t>Y</t>
        </is>
      </c>
      <c r="L31" s="22" t="inlineStr">
        <is>
          <t>Received</t>
        </is>
      </c>
    </row>
    <row r="32" ht="22" customHeight="1">
      <c r="B32" s="8" t="n">
        <v>28</v>
      </c>
      <c r="C32" s="9" t="inlineStr"/>
      <c r="D32" s="10" t="inlineStr"/>
      <c r="E32" s="8" t="inlineStr">
        <is>
          <t>Sports</t>
        </is>
      </c>
      <c r="F32" s="10" t="inlineStr">
        <is>
          <t>Post-Matric (OBC)</t>
        </is>
      </c>
      <c r="G32" s="10" t="inlineStr">
        <is>
          <t>Central/State</t>
        </is>
      </c>
      <c r="H32" s="10" t="inlineStr"/>
      <c r="I32" s="10" t="inlineStr"/>
      <c r="J32" s="10" t="inlineStr"/>
      <c r="K32" s="10" t="inlineStr">
        <is>
          <t>Y</t>
        </is>
      </c>
      <c r="L32" s="10" t="inlineStr">
        <is>
          <t>Received</t>
        </is>
      </c>
    </row>
    <row r="33" ht="22" customHeight="1">
      <c r="B33" s="40" t="n">
        <v>29</v>
      </c>
      <c r="C33" s="43" t="inlineStr"/>
      <c r="D33" s="22" t="inlineStr"/>
      <c r="E33" s="40" t="inlineStr">
        <is>
          <t>General (Means-tested)</t>
        </is>
      </c>
      <c r="F33" s="22" t="inlineStr">
        <is>
          <t>Post-Matric (Minority)</t>
        </is>
      </c>
      <c r="G33" s="22" t="inlineStr">
        <is>
          <t>Central/State</t>
        </is>
      </c>
      <c r="H33" s="22" t="inlineStr"/>
      <c r="I33" s="22" t="inlineStr"/>
      <c r="J33" s="22" t="inlineStr"/>
      <c r="K33" s="22" t="inlineStr">
        <is>
          <t>Y</t>
        </is>
      </c>
      <c r="L33" s="22" t="inlineStr">
        <is>
          <t>Received</t>
        </is>
      </c>
    </row>
    <row r="34" ht="22" customHeight="1">
      <c r="B34" s="8" t="n">
        <v>30</v>
      </c>
      <c r="C34" s="9" t="inlineStr"/>
      <c r="D34" s="10" t="inlineStr"/>
      <c r="E34" s="8" t="inlineStr">
        <is>
          <t>International</t>
        </is>
      </c>
      <c r="F34" s="10" t="inlineStr">
        <is>
          <t>PM-YASASVI (OBC/EWS/DNT)</t>
        </is>
      </c>
      <c r="G34" s="10" t="inlineStr">
        <is>
          <t>Central/State</t>
        </is>
      </c>
      <c r="H34" s="10" t="inlineStr"/>
      <c r="I34" s="10" t="inlineStr"/>
      <c r="J34" s="10" t="inlineStr"/>
      <c r="K34" s="10" t="inlineStr">
        <is>
          <t>Y</t>
        </is>
      </c>
      <c r="L34" s="10" t="inlineStr">
        <is>
          <t>Received</t>
        </is>
      </c>
    </row>
    <row r="35" ht="22" customHeight="1">
      <c r="B35" s="40" t="n">
        <v>31</v>
      </c>
      <c r="C35" s="43" t="inlineStr"/>
      <c r="D35" s="22" t="inlineStr"/>
      <c r="E35" s="40" t="inlineStr">
        <is>
          <t>SC</t>
        </is>
      </c>
      <c r="F35" s="22" t="inlineStr">
        <is>
          <t>MANF (Minority)</t>
        </is>
      </c>
      <c r="G35" s="22" t="inlineStr">
        <is>
          <t>Central/State</t>
        </is>
      </c>
      <c r="H35" s="22" t="inlineStr"/>
      <c r="I35" s="22" t="inlineStr"/>
      <c r="J35" s="22" t="inlineStr"/>
      <c r="K35" s="22" t="inlineStr">
        <is>
          <t>Y</t>
        </is>
      </c>
      <c r="L35" s="22" t="inlineStr">
        <is>
          <t>Received</t>
        </is>
      </c>
    </row>
    <row r="36" ht="22" customHeight="1">
      <c r="B36" s="8" t="n">
        <v>32</v>
      </c>
      <c r="C36" s="9" t="inlineStr"/>
      <c r="D36" s="10" t="inlineStr"/>
      <c r="E36" s="8" t="inlineStr">
        <is>
          <t>ST</t>
        </is>
      </c>
      <c r="F36" s="10" t="inlineStr">
        <is>
          <t>National Fellowship SC/ST (UGC)</t>
        </is>
      </c>
      <c r="G36" s="10" t="inlineStr">
        <is>
          <t>Central/State</t>
        </is>
      </c>
      <c r="H36" s="10" t="inlineStr"/>
      <c r="I36" s="10" t="inlineStr"/>
      <c r="J36" s="10" t="inlineStr"/>
      <c r="K36" s="10" t="inlineStr">
        <is>
          <t>Y</t>
        </is>
      </c>
      <c r="L36" s="10" t="inlineStr">
        <is>
          <t>Received</t>
        </is>
      </c>
    </row>
    <row r="37" ht="22" customHeight="1">
      <c r="B37" s="40" t="n">
        <v>33</v>
      </c>
      <c r="C37" s="43" t="inlineStr"/>
      <c r="D37" s="22" t="inlineStr"/>
      <c r="E37" s="40" t="inlineStr">
        <is>
          <t>OBC</t>
        </is>
      </c>
      <c r="F37" s="22" t="inlineStr">
        <is>
          <t>Central Sector Scholarship</t>
        </is>
      </c>
      <c r="G37" s="22" t="inlineStr">
        <is>
          <t>Central/State</t>
        </is>
      </c>
      <c r="H37" s="22" t="inlineStr"/>
      <c r="I37" s="22" t="inlineStr"/>
      <c r="J37" s="22" t="inlineStr"/>
      <c r="K37" s="22" t="inlineStr">
        <is>
          <t>Y</t>
        </is>
      </c>
      <c r="L37" s="22" t="inlineStr">
        <is>
          <t>Received</t>
        </is>
      </c>
    </row>
    <row r="38" ht="22" customHeight="1">
      <c r="B38" s="8" t="n">
        <v>34</v>
      </c>
      <c r="C38" s="9" t="inlineStr"/>
      <c r="D38" s="10" t="inlineStr"/>
      <c r="E38" s="8" t="inlineStr">
        <is>
          <t>EWS</t>
        </is>
      </c>
      <c r="F38" s="10" t="inlineStr">
        <is>
          <t>State Scholarship</t>
        </is>
      </c>
      <c r="G38" s="10" t="inlineStr">
        <is>
          <t>Central/State</t>
        </is>
      </c>
      <c r="H38" s="10" t="inlineStr"/>
      <c r="I38" s="10" t="inlineStr"/>
      <c r="J38" s="10" t="inlineStr"/>
      <c r="K38" s="10" t="inlineStr">
        <is>
          <t>Y</t>
        </is>
      </c>
      <c r="L38" s="10" t="inlineStr">
        <is>
          <t>Received</t>
        </is>
      </c>
    </row>
    <row r="39" ht="22" customHeight="1">
      <c r="B39" s="40" t="n">
        <v>35</v>
      </c>
      <c r="C39" s="43" t="inlineStr"/>
      <c r="D39" s="22" t="inlineStr"/>
      <c r="E39" s="40" t="inlineStr">
        <is>
          <t>Minority</t>
        </is>
      </c>
      <c r="F39" s="22" t="inlineStr">
        <is>
          <t>AICTE Pragati (Women)</t>
        </is>
      </c>
      <c r="G39" s="22" t="inlineStr">
        <is>
          <t>Central/State</t>
        </is>
      </c>
      <c r="H39" s="22" t="inlineStr"/>
      <c r="I39" s="22" t="inlineStr"/>
      <c r="J39" s="22" t="inlineStr"/>
      <c r="K39" s="22" t="inlineStr">
        <is>
          <t>Y</t>
        </is>
      </c>
      <c r="L39" s="22" t="inlineStr">
        <is>
          <t>Received</t>
        </is>
      </c>
    </row>
    <row r="40" ht="22" customHeight="1">
      <c r="B40" s="8" t="n">
        <v>36</v>
      </c>
      <c r="C40" s="9" t="inlineStr"/>
      <c r="D40" s="10" t="inlineStr"/>
      <c r="E40" s="8" t="inlineStr">
        <is>
          <t>Divyangjan</t>
        </is>
      </c>
      <c r="F40" s="10" t="inlineStr">
        <is>
          <t>AICTE Saksham (PwD)</t>
        </is>
      </c>
      <c r="G40" s="10" t="inlineStr">
        <is>
          <t>Central/State</t>
        </is>
      </c>
      <c r="H40" s="10" t="inlineStr"/>
      <c r="I40" s="10" t="inlineStr"/>
      <c r="J40" s="10" t="inlineStr"/>
      <c r="K40" s="10" t="inlineStr">
        <is>
          <t>Y</t>
        </is>
      </c>
      <c r="L40" s="10" t="inlineStr">
        <is>
          <t>Received</t>
        </is>
      </c>
    </row>
    <row r="41" ht="22" customHeight="1"/>
    <row r="42" ht="26" customHeight="1">
      <c r="B42" s="68" t="inlineStr">
        <is>
          <t>TOTAL</t>
        </is>
      </c>
      <c r="C42" s="41" t="n"/>
      <c r="D42" s="41" t="n"/>
      <c r="E42" s="41" t="n"/>
      <c r="F42" s="41" t="n"/>
      <c r="G42" s="41" t="n"/>
      <c r="H42" s="69">
        <f>IFERROR(SUM(H5:H40),"")</f>
        <v/>
      </c>
      <c r="I42" s="69">
        <f>IFERROR(SUM(I5:I40),"")</f>
        <v/>
      </c>
      <c r="J42" s="69">
        <f>IFERROR(SUM(J5:J40),"")</f>
        <v/>
      </c>
      <c r="K42" s="41" t="n"/>
      <c r="L42" s="41" t="n"/>
    </row>
    <row r="43" ht="22" customHeight="1"/>
  </sheetData>
  <mergeCells count="2">
    <mergeCell ref="B2:L2"/>
    <mergeCell ref="B3:L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SWC-06: STUDENT COUNSELLING &amp; MENTAL HEALTH SUPPORT REGISTER</t>
        </is>
      </c>
    </row>
    <row r="3" ht="20" customHeight="1">
      <c r="B3" s="17" t="inlineStr">
        <is>
          <t>CONFIDENTIAL — Counselling records are private. Student identity to be disclosed only to Welfare Officer / Principal for urgent safety concerns. Keep separate locked file for sensitive cases.</t>
        </is>
      </c>
    </row>
    <row r="4" ht="25" customHeight="1">
      <c r="B4" s="13" t="inlineStr">
        <is>
          <t>Session
Ref.</t>
        </is>
      </c>
      <c r="C4" s="13" t="inlineStr">
        <is>
          <t>Student
(Code only)</t>
        </is>
      </c>
      <c r="D4" s="13" t="inlineStr">
        <is>
          <t>Category</t>
        </is>
      </c>
      <c r="E4" s="13" t="inlineStr">
        <is>
          <t>Date</t>
        </is>
      </c>
      <c r="F4" s="13" t="inlineStr">
        <is>
          <t>Counselling
Theme</t>
        </is>
      </c>
      <c r="G4" s="13" t="inlineStr">
        <is>
          <t>Sessions
Completed</t>
        </is>
      </c>
      <c r="H4" s="13" t="inlineStr">
        <is>
          <t>Referred
Externally</t>
        </is>
      </c>
      <c r="I4" s="13" t="inlineStr">
        <is>
          <t>Follow-up
Scheduled</t>
        </is>
      </c>
      <c r="J4" s="13" t="inlineStr">
        <is>
          <t>Progress
Rating</t>
        </is>
      </c>
    </row>
    <row r="5" ht="22" customHeight="1">
      <c r="B5" s="14" t="inlineStr">
        <is>
          <t>COUN/0001</t>
        </is>
      </c>
      <c r="C5" s="16" t="inlineStr">
        <is>
          <t>STU/CODE/0001</t>
        </is>
      </c>
      <c r="D5" s="16" t="inlineStr">
        <is>
          <t>SC</t>
        </is>
      </c>
      <c r="E5" s="16" t="inlineStr"/>
      <c r="F5" s="15" t="inlineStr">
        <is>
          <t>Academic stress / performance</t>
        </is>
      </c>
      <c r="G5" s="16" t="inlineStr"/>
      <c r="H5" s="16" t="inlineStr">
        <is>
          <t>N</t>
        </is>
      </c>
      <c r="I5" s="16" t="inlineStr">
        <is>
          <t>Y</t>
        </is>
      </c>
      <c r="J5" s="16" t="inlineStr">
        <is>
          <t>Improving</t>
        </is>
      </c>
    </row>
    <row r="6" ht="22" customHeight="1">
      <c r="B6" s="8" t="inlineStr">
        <is>
          <t>COUN/0002</t>
        </is>
      </c>
      <c r="C6" s="10" t="inlineStr">
        <is>
          <t>STU/CODE/0002</t>
        </is>
      </c>
      <c r="D6" s="10" t="inlineStr">
        <is>
          <t>ST</t>
        </is>
      </c>
      <c r="E6" s="10" t="inlineStr"/>
      <c r="F6" s="9" t="inlineStr">
        <is>
          <t>Financial anxiety</t>
        </is>
      </c>
      <c r="G6" s="10" t="inlineStr"/>
      <c r="H6" s="10" t="inlineStr">
        <is>
          <t>N</t>
        </is>
      </c>
      <c r="I6" s="10" t="inlineStr">
        <is>
          <t>Y</t>
        </is>
      </c>
      <c r="J6" s="10" t="inlineStr">
        <is>
          <t>Improving</t>
        </is>
      </c>
    </row>
    <row r="7" ht="22" customHeight="1">
      <c r="B7" s="14" t="inlineStr">
        <is>
          <t>COUN/0003</t>
        </is>
      </c>
      <c r="C7" s="16" t="inlineStr">
        <is>
          <t>STU/CODE/0003</t>
        </is>
      </c>
      <c r="D7" s="16" t="inlineStr">
        <is>
          <t>OBC</t>
        </is>
      </c>
      <c r="E7" s="16" t="inlineStr"/>
      <c r="F7" s="15" t="inlineStr">
        <is>
          <t>Homesickness / adjustment</t>
        </is>
      </c>
      <c r="G7" s="16" t="inlineStr"/>
      <c r="H7" s="16" t="inlineStr">
        <is>
          <t>N</t>
        </is>
      </c>
      <c r="I7" s="16" t="inlineStr">
        <is>
          <t>Y</t>
        </is>
      </c>
      <c r="J7" s="16" t="inlineStr">
        <is>
          <t>Improving</t>
        </is>
      </c>
    </row>
    <row r="8" ht="22" customHeight="1">
      <c r="B8" s="8" t="inlineStr">
        <is>
          <t>COUN/0004</t>
        </is>
      </c>
      <c r="C8" s="10" t="inlineStr">
        <is>
          <t>STU/CODE/0004</t>
        </is>
      </c>
      <c r="D8" s="10" t="inlineStr">
        <is>
          <t>EWS</t>
        </is>
      </c>
      <c r="E8" s="10" t="inlineStr"/>
      <c r="F8" s="9" t="inlineStr">
        <is>
          <t>Family issues</t>
        </is>
      </c>
      <c r="G8" s="10" t="inlineStr"/>
      <c r="H8" s="10" t="inlineStr">
        <is>
          <t>N</t>
        </is>
      </c>
      <c r="I8" s="10" t="inlineStr">
        <is>
          <t>Y</t>
        </is>
      </c>
      <c r="J8" s="10" t="inlineStr">
        <is>
          <t>Improving</t>
        </is>
      </c>
    </row>
    <row r="9" ht="22" customHeight="1">
      <c r="B9" s="14" t="inlineStr">
        <is>
          <t>COUN/0005</t>
        </is>
      </c>
      <c r="C9" s="16" t="inlineStr">
        <is>
          <t>STU/CODE/0005</t>
        </is>
      </c>
      <c r="D9" s="16" t="inlineStr">
        <is>
          <t>Minority</t>
        </is>
      </c>
      <c r="E9" s="16" t="inlineStr"/>
      <c r="F9" s="15" t="inlineStr">
        <is>
          <t>Relationship concerns</t>
        </is>
      </c>
      <c r="G9" s="16" t="inlineStr"/>
      <c r="H9" s="16" t="inlineStr">
        <is>
          <t>N</t>
        </is>
      </c>
      <c r="I9" s="16" t="inlineStr">
        <is>
          <t>Y</t>
        </is>
      </c>
      <c r="J9" s="16" t="inlineStr">
        <is>
          <t>Improving</t>
        </is>
      </c>
    </row>
    <row r="10" ht="22" customHeight="1">
      <c r="B10" s="8" t="inlineStr">
        <is>
          <t>COUN/0006</t>
        </is>
      </c>
      <c r="C10" s="10" t="inlineStr">
        <is>
          <t>STU/CODE/0006</t>
        </is>
      </c>
      <c r="D10" s="10" t="inlineStr">
        <is>
          <t>Divyangjan</t>
        </is>
      </c>
      <c r="E10" s="10" t="inlineStr"/>
      <c r="F10" s="9" t="inlineStr">
        <is>
          <t>Career confusion</t>
        </is>
      </c>
      <c r="G10" s="10" t="inlineStr"/>
      <c r="H10" s="10" t="inlineStr">
        <is>
          <t>N</t>
        </is>
      </c>
      <c r="I10" s="10" t="inlineStr">
        <is>
          <t>Y</t>
        </is>
      </c>
      <c r="J10" s="10" t="inlineStr">
        <is>
          <t>Improving</t>
        </is>
      </c>
    </row>
    <row r="11" ht="22" customHeight="1">
      <c r="B11" s="14" t="inlineStr">
        <is>
          <t>COUN/0007</t>
        </is>
      </c>
      <c r="C11" s="16" t="inlineStr">
        <is>
          <t>STU/CODE/0007</t>
        </is>
      </c>
      <c r="D11" s="16" t="inlineStr">
        <is>
          <t>Merit</t>
        </is>
      </c>
      <c r="E11" s="16" t="inlineStr"/>
      <c r="F11" s="15" t="inlineStr">
        <is>
          <t>Mental health — anxiety</t>
        </is>
      </c>
      <c r="G11" s="16" t="inlineStr"/>
      <c r="H11" s="16" t="inlineStr">
        <is>
          <t>N</t>
        </is>
      </c>
      <c r="I11" s="16" t="inlineStr">
        <is>
          <t>Y</t>
        </is>
      </c>
      <c r="J11" s="16" t="inlineStr">
        <is>
          <t>Improving</t>
        </is>
      </c>
    </row>
    <row r="12" ht="22" customHeight="1">
      <c r="B12" s="8" t="inlineStr">
        <is>
          <t>COUN/0008</t>
        </is>
      </c>
      <c r="C12" s="10" t="inlineStr">
        <is>
          <t>STU/CODE/0008</t>
        </is>
      </c>
      <c r="D12" s="10" t="inlineStr">
        <is>
          <t>Sports</t>
        </is>
      </c>
      <c r="E12" s="10" t="inlineStr"/>
      <c r="F12" s="9" t="inlineStr">
        <is>
          <t>Mental health — depression</t>
        </is>
      </c>
      <c r="G12" s="10" t="inlineStr"/>
      <c r="H12" s="10" t="inlineStr">
        <is>
          <t>N</t>
        </is>
      </c>
      <c r="I12" s="10" t="inlineStr">
        <is>
          <t>Y</t>
        </is>
      </c>
      <c r="J12" s="10" t="inlineStr">
        <is>
          <t>Improving</t>
        </is>
      </c>
    </row>
    <row r="13" ht="22" customHeight="1">
      <c r="B13" s="14" t="inlineStr">
        <is>
          <t>COUN/0009</t>
        </is>
      </c>
      <c r="C13" s="16" t="inlineStr">
        <is>
          <t>STU/CODE/0009</t>
        </is>
      </c>
      <c r="D13" s="16" t="inlineStr">
        <is>
          <t>General (Means-tested)</t>
        </is>
      </c>
      <c r="E13" s="16" t="inlineStr"/>
      <c r="F13" s="15" t="inlineStr">
        <is>
          <t>Ragging victim support</t>
        </is>
      </c>
      <c r="G13" s="16" t="inlineStr"/>
      <c r="H13" s="16" t="inlineStr">
        <is>
          <t>N</t>
        </is>
      </c>
      <c r="I13" s="16" t="inlineStr">
        <is>
          <t>Y</t>
        </is>
      </c>
      <c r="J13" s="16" t="inlineStr">
        <is>
          <t>Improving</t>
        </is>
      </c>
    </row>
    <row r="14" ht="22" customHeight="1">
      <c r="B14" s="8" t="inlineStr">
        <is>
          <t>COUN/0010</t>
        </is>
      </c>
      <c r="C14" s="10" t="inlineStr">
        <is>
          <t>STU/CODE/0010</t>
        </is>
      </c>
      <c r="D14" s="10" t="inlineStr">
        <is>
          <t>International</t>
        </is>
      </c>
      <c r="E14" s="10" t="inlineStr"/>
      <c r="F14" s="9" t="inlineStr">
        <is>
          <t>Discrimination / social exclusion</t>
        </is>
      </c>
      <c r="G14" s="10" t="inlineStr"/>
      <c r="H14" s="10" t="inlineStr">
        <is>
          <t>N</t>
        </is>
      </c>
      <c r="I14" s="10" t="inlineStr">
        <is>
          <t>Y</t>
        </is>
      </c>
      <c r="J14" s="10" t="inlineStr">
        <is>
          <t>Improving</t>
        </is>
      </c>
    </row>
    <row r="15" ht="22" customHeight="1">
      <c r="B15" s="14" t="inlineStr">
        <is>
          <t>COUN/0011</t>
        </is>
      </c>
      <c r="C15" s="16" t="inlineStr">
        <is>
          <t>STU/CODE/0011</t>
        </is>
      </c>
      <c r="D15" s="16" t="inlineStr">
        <is>
          <t>SC</t>
        </is>
      </c>
      <c r="E15" s="16" t="inlineStr"/>
      <c r="F15" s="15" t="inlineStr">
        <is>
          <t>Substance abuse</t>
        </is>
      </c>
      <c r="G15" s="16" t="inlineStr"/>
      <c r="H15" s="16" t="inlineStr">
        <is>
          <t>N</t>
        </is>
      </c>
      <c r="I15" s="16" t="inlineStr">
        <is>
          <t>Y</t>
        </is>
      </c>
      <c r="J15" s="16" t="inlineStr">
        <is>
          <t>Improving</t>
        </is>
      </c>
    </row>
    <row r="16" ht="22" customHeight="1">
      <c r="B16" s="8" t="inlineStr">
        <is>
          <t>COUN/0012</t>
        </is>
      </c>
      <c r="C16" s="10" t="inlineStr">
        <is>
          <t>STU/CODE/0012</t>
        </is>
      </c>
      <c r="D16" s="10" t="inlineStr">
        <is>
          <t>ST</t>
        </is>
      </c>
      <c r="E16" s="10" t="inlineStr"/>
      <c r="F16" s="9" t="inlineStr">
        <is>
          <t>Grief / bereavement</t>
        </is>
      </c>
      <c r="G16" s="10" t="inlineStr"/>
      <c r="H16" s="10" t="inlineStr">
        <is>
          <t>N</t>
        </is>
      </c>
      <c r="I16" s="10" t="inlineStr">
        <is>
          <t>Y</t>
        </is>
      </c>
      <c r="J16" s="10" t="inlineStr">
        <is>
          <t>Improving</t>
        </is>
      </c>
    </row>
    <row r="17" ht="22" customHeight="1">
      <c r="B17" s="14" t="inlineStr">
        <is>
          <t>COUN/0013</t>
        </is>
      </c>
      <c r="C17" s="16" t="inlineStr">
        <is>
          <t>STU/CODE/0013</t>
        </is>
      </c>
      <c r="D17" s="16" t="inlineStr">
        <is>
          <t>OBC</t>
        </is>
      </c>
      <c r="E17" s="16" t="inlineStr"/>
      <c r="F17" s="15" t="inlineStr">
        <is>
          <t>Self-harm / crisis support</t>
        </is>
      </c>
      <c r="G17" s="16" t="inlineStr"/>
      <c r="H17" s="16" t="inlineStr">
        <is>
          <t>N</t>
        </is>
      </c>
      <c r="I17" s="16" t="inlineStr">
        <is>
          <t>Y</t>
        </is>
      </c>
      <c r="J17" s="16" t="inlineStr">
        <is>
          <t>Improving</t>
        </is>
      </c>
    </row>
    <row r="18" ht="22" customHeight="1">
      <c r="B18" s="8" t="inlineStr">
        <is>
          <t>COUN/0014</t>
        </is>
      </c>
      <c r="C18" s="10" t="inlineStr">
        <is>
          <t>STU/CODE/0014</t>
        </is>
      </c>
      <c r="D18" s="10" t="inlineStr">
        <is>
          <t>EWS</t>
        </is>
      </c>
      <c r="E18" s="10" t="inlineStr"/>
      <c r="F18" s="9" t="inlineStr">
        <is>
          <t>Other</t>
        </is>
      </c>
      <c r="G18" s="10" t="inlineStr"/>
      <c r="H18" s="10" t="inlineStr">
        <is>
          <t>N</t>
        </is>
      </c>
      <c r="I18" s="10" t="inlineStr">
        <is>
          <t>Y</t>
        </is>
      </c>
      <c r="J18" s="10" t="inlineStr">
        <is>
          <t>Improving</t>
        </is>
      </c>
    </row>
    <row r="19" ht="22" customHeight="1">
      <c r="B19" s="14" t="inlineStr">
        <is>
          <t>COUN/0015</t>
        </is>
      </c>
      <c r="C19" s="16" t="inlineStr">
        <is>
          <t>STU/CODE/0015</t>
        </is>
      </c>
      <c r="D19" s="16" t="inlineStr">
        <is>
          <t>Minority</t>
        </is>
      </c>
      <c r="E19" s="16" t="inlineStr"/>
      <c r="F19" s="15" t="inlineStr">
        <is>
          <t>Academic stress / performance</t>
        </is>
      </c>
      <c r="G19" s="16" t="inlineStr"/>
      <c r="H19" s="16" t="inlineStr">
        <is>
          <t>N</t>
        </is>
      </c>
      <c r="I19" s="16" t="inlineStr">
        <is>
          <t>Y</t>
        </is>
      </c>
      <c r="J19" s="16" t="inlineStr">
        <is>
          <t>Improving</t>
        </is>
      </c>
    </row>
    <row r="20" ht="22" customHeight="1">
      <c r="B20" s="8" t="inlineStr">
        <is>
          <t>COUN/0016</t>
        </is>
      </c>
      <c r="C20" s="10" t="inlineStr">
        <is>
          <t>STU/CODE/0016</t>
        </is>
      </c>
      <c r="D20" s="10" t="inlineStr">
        <is>
          <t>Divyangjan</t>
        </is>
      </c>
      <c r="E20" s="10" t="inlineStr"/>
      <c r="F20" s="9" t="inlineStr">
        <is>
          <t>Financial anxiety</t>
        </is>
      </c>
      <c r="G20" s="10" t="inlineStr"/>
      <c r="H20" s="10" t="inlineStr">
        <is>
          <t>N</t>
        </is>
      </c>
      <c r="I20" s="10" t="inlineStr">
        <is>
          <t>Y</t>
        </is>
      </c>
      <c r="J20" s="10" t="inlineStr">
        <is>
          <t>Improving</t>
        </is>
      </c>
    </row>
    <row r="21" ht="22" customHeight="1">
      <c r="B21" s="14" t="inlineStr">
        <is>
          <t>COUN/0017</t>
        </is>
      </c>
      <c r="C21" s="16" t="inlineStr">
        <is>
          <t>STU/CODE/0017</t>
        </is>
      </c>
      <c r="D21" s="16" t="inlineStr">
        <is>
          <t>Merit</t>
        </is>
      </c>
      <c r="E21" s="16" t="inlineStr"/>
      <c r="F21" s="15" t="inlineStr">
        <is>
          <t>Homesickness / adjustment</t>
        </is>
      </c>
      <c r="G21" s="16" t="inlineStr"/>
      <c r="H21" s="16" t="inlineStr">
        <is>
          <t>N</t>
        </is>
      </c>
      <c r="I21" s="16" t="inlineStr">
        <is>
          <t>Y</t>
        </is>
      </c>
      <c r="J21" s="16" t="inlineStr">
        <is>
          <t>Improving</t>
        </is>
      </c>
    </row>
    <row r="22" ht="22" customHeight="1">
      <c r="B22" s="8" t="inlineStr">
        <is>
          <t>COUN/0018</t>
        </is>
      </c>
      <c r="C22" s="10" t="inlineStr">
        <is>
          <t>STU/CODE/0018</t>
        </is>
      </c>
      <c r="D22" s="10" t="inlineStr">
        <is>
          <t>Sports</t>
        </is>
      </c>
      <c r="E22" s="10" t="inlineStr"/>
      <c r="F22" s="9" t="inlineStr">
        <is>
          <t>Family issues</t>
        </is>
      </c>
      <c r="G22" s="10" t="inlineStr"/>
      <c r="H22" s="10" t="inlineStr">
        <is>
          <t>N</t>
        </is>
      </c>
      <c r="I22" s="10" t="inlineStr">
        <is>
          <t>Y</t>
        </is>
      </c>
      <c r="J22" s="10" t="inlineStr">
        <is>
          <t>Improving</t>
        </is>
      </c>
    </row>
    <row r="23" ht="22" customHeight="1">
      <c r="B23" s="14" t="inlineStr">
        <is>
          <t>COUN/0019</t>
        </is>
      </c>
      <c r="C23" s="16" t="inlineStr">
        <is>
          <t>STU/CODE/0019</t>
        </is>
      </c>
      <c r="D23" s="16" t="inlineStr">
        <is>
          <t>General (Means-tested)</t>
        </is>
      </c>
      <c r="E23" s="16" t="inlineStr"/>
      <c r="F23" s="15" t="inlineStr">
        <is>
          <t>Relationship concerns</t>
        </is>
      </c>
      <c r="G23" s="16" t="inlineStr"/>
      <c r="H23" s="16" t="inlineStr">
        <is>
          <t>N</t>
        </is>
      </c>
      <c r="I23" s="16" t="inlineStr">
        <is>
          <t>Y</t>
        </is>
      </c>
      <c r="J23" s="16" t="inlineStr">
        <is>
          <t>Improving</t>
        </is>
      </c>
    </row>
    <row r="24" ht="22" customHeight="1">
      <c r="B24" s="8" t="inlineStr">
        <is>
          <t>COUN/0020</t>
        </is>
      </c>
      <c r="C24" s="10" t="inlineStr">
        <is>
          <t>STU/CODE/0020</t>
        </is>
      </c>
      <c r="D24" s="10" t="inlineStr">
        <is>
          <t>International</t>
        </is>
      </c>
      <c r="E24" s="10" t="inlineStr"/>
      <c r="F24" s="9" t="inlineStr">
        <is>
          <t>Career confusion</t>
        </is>
      </c>
      <c r="G24" s="10" t="inlineStr"/>
      <c r="H24" s="10" t="inlineStr">
        <is>
          <t>N</t>
        </is>
      </c>
      <c r="I24" s="10" t="inlineStr">
        <is>
          <t>Y</t>
        </is>
      </c>
      <c r="J24" s="10" t="inlineStr">
        <is>
          <t>Improving</t>
        </is>
      </c>
    </row>
    <row r="25" ht="22" customHeight="1">
      <c r="B25" s="14" t="inlineStr">
        <is>
          <t>COUN/0021</t>
        </is>
      </c>
      <c r="C25" s="16" t="inlineStr">
        <is>
          <t>STU/CODE/0021</t>
        </is>
      </c>
      <c r="D25" s="16" t="inlineStr">
        <is>
          <t>SC</t>
        </is>
      </c>
      <c r="E25" s="16" t="inlineStr"/>
      <c r="F25" s="15" t="inlineStr">
        <is>
          <t>Mental health — anxiety</t>
        </is>
      </c>
      <c r="G25" s="16" t="inlineStr"/>
      <c r="H25" s="16" t="inlineStr">
        <is>
          <t>N</t>
        </is>
      </c>
      <c r="I25" s="16" t="inlineStr">
        <is>
          <t>Y</t>
        </is>
      </c>
      <c r="J25" s="16" t="inlineStr">
        <is>
          <t>Improving</t>
        </is>
      </c>
    </row>
    <row r="26" ht="22" customHeight="1">
      <c r="B26" s="8" t="inlineStr">
        <is>
          <t>COUN/0022</t>
        </is>
      </c>
      <c r="C26" s="10" t="inlineStr">
        <is>
          <t>STU/CODE/0022</t>
        </is>
      </c>
      <c r="D26" s="10" t="inlineStr">
        <is>
          <t>ST</t>
        </is>
      </c>
      <c r="E26" s="10" t="inlineStr"/>
      <c r="F26" s="9" t="inlineStr">
        <is>
          <t>Mental health — depression</t>
        </is>
      </c>
      <c r="G26" s="10" t="inlineStr"/>
      <c r="H26" s="10" t="inlineStr">
        <is>
          <t>N</t>
        </is>
      </c>
      <c r="I26" s="10" t="inlineStr">
        <is>
          <t>Y</t>
        </is>
      </c>
      <c r="J26" s="10" t="inlineStr">
        <is>
          <t>Improving</t>
        </is>
      </c>
    </row>
    <row r="27" ht="22" customHeight="1">
      <c r="B27" s="14" t="inlineStr">
        <is>
          <t>COUN/0023</t>
        </is>
      </c>
      <c r="C27" s="16" t="inlineStr">
        <is>
          <t>STU/CODE/0023</t>
        </is>
      </c>
      <c r="D27" s="16" t="inlineStr">
        <is>
          <t>OBC</t>
        </is>
      </c>
      <c r="E27" s="16" t="inlineStr"/>
      <c r="F27" s="15" t="inlineStr">
        <is>
          <t>Ragging victim support</t>
        </is>
      </c>
      <c r="G27" s="16" t="inlineStr"/>
      <c r="H27" s="16" t="inlineStr">
        <is>
          <t>N</t>
        </is>
      </c>
      <c r="I27" s="16" t="inlineStr">
        <is>
          <t>Y</t>
        </is>
      </c>
      <c r="J27" s="16" t="inlineStr">
        <is>
          <t>Improving</t>
        </is>
      </c>
    </row>
    <row r="28" ht="22" customHeight="1">
      <c r="B28" s="8" t="inlineStr">
        <is>
          <t>COUN/0024</t>
        </is>
      </c>
      <c r="C28" s="10" t="inlineStr">
        <is>
          <t>STU/CODE/0024</t>
        </is>
      </c>
      <c r="D28" s="10" t="inlineStr">
        <is>
          <t>EWS</t>
        </is>
      </c>
      <c r="E28" s="10" t="inlineStr"/>
      <c r="F28" s="9" t="inlineStr">
        <is>
          <t>Discrimination / social exclusion</t>
        </is>
      </c>
      <c r="G28" s="10" t="inlineStr"/>
      <c r="H28" s="10" t="inlineStr">
        <is>
          <t>N</t>
        </is>
      </c>
      <c r="I28" s="10" t="inlineStr">
        <is>
          <t>Y</t>
        </is>
      </c>
      <c r="J28" s="10" t="inlineStr">
        <is>
          <t>Improving</t>
        </is>
      </c>
    </row>
    <row r="29" ht="22" customHeight="1"/>
    <row r="30" ht="24" customHeight="1">
      <c r="B30" s="34" t="inlineStr">
        <is>
          <t>COUNSELLING PROGRAMME SUMMARY</t>
        </is>
      </c>
    </row>
    <row r="31" ht="22" customHeight="1">
      <c r="B31" s="46" t="inlineStr">
        <is>
          <t>Total Students Counselled</t>
        </is>
      </c>
      <c r="F31" s="36">
        <f>COUNTA(B5:B28)</f>
        <v/>
      </c>
    </row>
    <row r="32" ht="22" customHeight="1">
      <c r="B32" s="25" t="inlineStr">
        <is>
          <t>External Referrals</t>
        </is>
      </c>
      <c r="F32" s="37">
        <f>COUNTIF(H5:H28,"Y")</f>
        <v/>
      </c>
    </row>
    <row r="33" ht="22" customHeight="1">
      <c r="B33" s="46" t="inlineStr">
        <is>
          <t>Crisis / Urgent Cases</t>
        </is>
      </c>
      <c r="F33" s="36">
        <f>COUNTIF(J5:J28,"Crisis")</f>
        <v/>
      </c>
    </row>
    <row r="34">
      <c r="B34" s="25" t="inlineStr">
        <is>
          <t>Average Sessions per Student</t>
        </is>
      </c>
      <c r="F34" s="37" t="inlineStr"/>
    </row>
    <row r="35">
      <c r="B35" s="46" t="inlineStr">
        <is>
          <t>Satisfaction with Counselling (Avg (/5))</t>
        </is>
      </c>
      <c r="F35" s="36" t="inlineStr"/>
    </row>
    <row r="36">
      <c r="B36" s="25" t="inlineStr">
        <is>
          <t>Students Showing Improvement (%)</t>
        </is>
      </c>
      <c r="F36" s="37" t="inlineStr"/>
    </row>
  </sheetData>
  <mergeCells count="15">
    <mergeCell ref="B31:E31"/>
    <mergeCell ref="B36:E36"/>
    <mergeCell ref="B3:J3"/>
    <mergeCell ref="B35:E35"/>
    <mergeCell ref="F35:J35"/>
    <mergeCell ref="F34:J34"/>
    <mergeCell ref="F36:J36"/>
    <mergeCell ref="B33:E33"/>
    <mergeCell ref="F33:J33"/>
    <mergeCell ref="F31:J31"/>
    <mergeCell ref="B34:E34"/>
    <mergeCell ref="F32:J32"/>
    <mergeCell ref="B30:J30"/>
    <mergeCell ref="B2:J2"/>
    <mergeCell ref="B32:E3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2" t="inlineStr">
        <is>
          <t>SWC-30: STUDENT WELFARE SATISFACTION SURVEY — ANNUAL</t>
        </is>
      </c>
    </row>
    <row r="3" ht="25" customHeight="1">
      <c r="B3" s="2" t="inlineStr">
        <is>
          <t>A.Y.: _______  Respondents: _______  Mode: Online / Paper  Date: _______  NAAC Ref.: Criterion V.1 / V.2</t>
        </is>
      </c>
    </row>
    <row r="4" ht="22" customHeight="1">
      <c r="B4" s="70" t="inlineStr">
        <is>
          <t>Scale: 1 = Very Poor  |  2 = Poor  |  3 = Average  |  4 = Good  |  5 = Excellent</t>
        </is>
      </c>
    </row>
    <row r="5" ht="24" customHeight="1">
      <c r="B5" s="19" t="inlineStr">
        <is>
          <t>A. GENERAL STUDENT WELFARE SERVICES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Excellent
(5)</t>
        </is>
      </c>
      <c r="E6" s="13" t="inlineStr">
        <is>
          <t>Good
(4)</t>
        </is>
      </c>
      <c r="F6" s="13" t="inlineStr">
        <is>
          <t>Average
(3)</t>
        </is>
      </c>
      <c r="G6" s="13" t="inlineStr">
        <is>
          <t>Poor
(2)</t>
        </is>
      </c>
      <c r="H6" s="13" t="inlineStr">
        <is>
          <t>Very Poor
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Availability and responsiveness of student welfare office</t>
        </is>
      </c>
      <c r="D7" s="16" t="inlineStr"/>
      <c r="E7" s="16" t="inlineStr"/>
      <c r="F7" s="16" t="inlineStr"/>
      <c r="G7" s="16" t="inlineStr"/>
      <c r="H7" s="16" t="inlineStr"/>
      <c r="I7" s="44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Quality of financial assistance / emergency aid</t>
        </is>
      </c>
      <c r="D8" s="10" t="inlineStr"/>
      <c r="E8" s="10" t="inlineStr"/>
      <c r="F8" s="10" t="inlineStr"/>
      <c r="G8" s="10" t="inlineStr"/>
      <c r="H8" s="10" t="inlineStr"/>
      <c r="I8" s="45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Quality of health and medical support on campus</t>
        </is>
      </c>
      <c r="D9" s="16" t="inlineStr"/>
      <c r="E9" s="16" t="inlineStr"/>
      <c r="F9" s="16" t="inlineStr"/>
      <c r="G9" s="16" t="inlineStr"/>
      <c r="H9" s="16" t="inlineStr"/>
      <c r="I9" s="44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Mental health counselling services</t>
        </is>
      </c>
      <c r="D10" s="10" t="inlineStr"/>
      <c r="E10" s="10" t="inlineStr"/>
      <c r="F10" s="10" t="inlineStr"/>
      <c r="G10" s="10" t="inlineStr"/>
      <c r="H10" s="10" t="inlineStr"/>
      <c r="I10" s="45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Anti-ragging support and campus safety</t>
        </is>
      </c>
      <c r="D11" s="16" t="inlineStr"/>
      <c r="E11" s="16" t="inlineStr"/>
      <c r="F11" s="16" t="inlineStr"/>
      <c r="G11" s="16" t="inlineStr"/>
      <c r="H11" s="16" t="inlineStr"/>
      <c r="I11" s="44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Hostel welfare and facilities</t>
        </is>
      </c>
      <c r="D12" s="10" t="inlineStr"/>
      <c r="E12" s="10" t="inlineStr"/>
      <c r="F12" s="10" t="inlineStr"/>
      <c r="G12" s="10" t="inlineStr"/>
      <c r="H12" s="10" t="inlineStr"/>
      <c r="I12" s="45">
        <f>IFERROR(ROUND((D12*5+E12*4+F12*3+G12*2+H12)/SUM(D12:H12),2),"")</f>
        <v/>
      </c>
    </row>
    <row r="13" ht="22" customHeight="1">
      <c r="B13" s="14" t="inlineStr">
        <is>
          <t>Q7</t>
        </is>
      </c>
      <c r="C13" s="15" t="inlineStr">
        <is>
          <t>Canteen / food quality and hygiene</t>
        </is>
      </c>
      <c r="D13" s="16" t="inlineStr"/>
      <c r="E13" s="16" t="inlineStr"/>
      <c r="F13" s="16" t="inlineStr"/>
      <c r="G13" s="16" t="inlineStr"/>
      <c r="H13" s="16" t="inlineStr"/>
      <c r="I13" s="44">
        <f>IFERROR(ROUND((D13*5+E13*4+F13*3+G13*2+H13)/SUM(D13:H13),2),"")</f>
        <v/>
      </c>
    </row>
    <row r="14" ht="22" customHeight="1"/>
    <row r="15" ht="24" customHeight="1">
      <c r="B15" s="71" t="inlineStr">
        <is>
          <t>B. SC/ST CELL SERVICES</t>
        </is>
      </c>
    </row>
    <row r="16" ht="22" customHeight="1">
      <c r="B16" s="42" t="inlineStr">
        <is>
          <t>Q.</t>
        </is>
      </c>
      <c r="C16" s="42" t="inlineStr">
        <is>
          <t>Survey Statement</t>
        </is>
      </c>
      <c r="D16" s="42" t="inlineStr">
        <is>
          <t>Excellent
(5)</t>
        </is>
      </c>
      <c r="E16" s="42" t="inlineStr">
        <is>
          <t>Good
(4)</t>
        </is>
      </c>
      <c r="F16" s="42" t="inlineStr">
        <is>
          <t>Average
(3)</t>
        </is>
      </c>
      <c r="G16" s="42" t="inlineStr">
        <is>
          <t>Poor
(2)</t>
        </is>
      </c>
      <c r="H16" s="42" t="inlineStr">
        <is>
          <t>Very Poor
(1)</t>
        </is>
      </c>
      <c r="I16" s="42" t="inlineStr">
        <is>
          <t>Avg Score</t>
        </is>
      </c>
    </row>
    <row r="17" ht="22" customHeight="1">
      <c r="B17" s="40" t="inlineStr">
        <is>
          <t>Q8</t>
        </is>
      </c>
      <c r="C17" s="43" t="inlineStr">
        <is>
          <t>Awareness of SC/ST scholarship schemes available</t>
        </is>
      </c>
      <c r="D17" s="22" t="inlineStr"/>
      <c r="E17" s="22" t="inlineStr"/>
      <c r="F17" s="22" t="inlineStr"/>
      <c r="G17" s="22" t="inlineStr"/>
      <c r="H17" s="22" t="inlineStr"/>
      <c r="I17" s="72">
        <f>IFERROR(ROUND((D17*5+E17*4+F17*3+G17*2+H17)/SUM(D17:H17),2),"")</f>
        <v/>
      </c>
    </row>
    <row r="18" ht="22" customHeight="1">
      <c r="B18" s="8" t="inlineStr">
        <is>
          <t>Q9</t>
        </is>
      </c>
      <c r="C18" s="9" t="inlineStr">
        <is>
          <t>Timely processing of SC/ST scholarships</t>
        </is>
      </c>
      <c r="D18" s="10" t="inlineStr"/>
      <c r="E18" s="10" t="inlineStr"/>
      <c r="F18" s="10" t="inlineStr"/>
      <c r="G18" s="10" t="inlineStr"/>
      <c r="H18" s="10" t="inlineStr"/>
      <c r="I18" s="45">
        <f>IFERROR(ROUND((D18*5+E18*4+F18*3+G18*2+H18)/SUM(D18:H18),2),"")</f>
        <v/>
      </c>
    </row>
    <row r="19" ht="22" customHeight="1">
      <c r="B19" s="40" t="inlineStr">
        <is>
          <t>Q10</t>
        </is>
      </c>
      <c r="C19" s="43" t="inlineStr">
        <is>
          <t>Remedial classes and academic support quality</t>
        </is>
      </c>
      <c r="D19" s="22" t="inlineStr"/>
      <c r="E19" s="22" t="inlineStr"/>
      <c r="F19" s="22" t="inlineStr"/>
      <c r="G19" s="22" t="inlineStr"/>
      <c r="H19" s="22" t="inlineStr"/>
      <c r="I19" s="72">
        <f>IFERROR(ROUND((D19*5+E19*4+F19*3+G19*2+H19)/SUM(D19:H19),2),"")</f>
        <v/>
      </c>
    </row>
    <row r="20" ht="22" customHeight="1">
      <c r="B20" s="8" t="inlineStr">
        <is>
          <t>Q11</t>
        </is>
      </c>
      <c r="C20" s="9" t="inlineStr">
        <is>
          <t>Protection from discrimination and atrocity</t>
        </is>
      </c>
      <c r="D20" s="10" t="inlineStr"/>
      <c r="E20" s="10" t="inlineStr"/>
      <c r="F20" s="10" t="inlineStr"/>
      <c r="G20" s="10" t="inlineStr"/>
      <c r="H20" s="10" t="inlineStr"/>
      <c r="I20" s="45">
        <f>IFERROR(ROUND((D20*5+E20*4+F20*3+G20*2+H20)/SUM(D20:H20),2),"")</f>
        <v/>
      </c>
    </row>
    <row r="21" ht="22" customHeight="1">
      <c r="B21" s="40" t="inlineStr">
        <is>
          <t>Q12</t>
        </is>
      </c>
      <c r="C21" s="43" t="inlineStr">
        <is>
          <t>SC/ST Cell responsiveness to grievances</t>
        </is>
      </c>
      <c r="D21" s="22" t="inlineStr"/>
      <c r="E21" s="22" t="inlineStr"/>
      <c r="F21" s="22" t="inlineStr"/>
      <c r="G21" s="22" t="inlineStr"/>
      <c r="H21" s="22" t="inlineStr"/>
      <c r="I21" s="72">
        <f>IFERROR(ROUND((D21*5+E21*4+F21*3+G21*2+H21)/SUM(D21:H21),2),"")</f>
        <v/>
      </c>
    </row>
    <row r="22" ht="22" customHeight="1">
      <c r="B22" s="8" t="inlineStr">
        <is>
          <t>Q13</t>
        </is>
      </c>
      <c r="C22" s="9" t="inlineStr">
        <is>
          <t>Cultural events and awareness programmes</t>
        </is>
      </c>
      <c r="D22" s="10" t="inlineStr"/>
      <c r="E22" s="10" t="inlineStr"/>
      <c r="F22" s="10" t="inlineStr"/>
      <c r="G22" s="10" t="inlineStr"/>
      <c r="H22" s="10" t="inlineStr"/>
      <c r="I22" s="45">
        <f>IFERROR(ROUND((D22*5+E22*4+F22*3+G22*2+H22)/SUM(D22:H22),2),"")</f>
        <v/>
      </c>
    </row>
    <row r="23" ht="22" customHeight="1"/>
    <row r="24" ht="24" customHeight="1">
      <c r="B24" s="73" t="inlineStr">
        <is>
          <t>C. OBC/EWS CELL SERVICES</t>
        </is>
      </c>
    </row>
    <row r="25" ht="22" customHeight="1">
      <c r="B25" s="53" t="inlineStr">
        <is>
          <t>Q.</t>
        </is>
      </c>
      <c r="C25" s="53" t="inlineStr">
        <is>
          <t>Survey Statement</t>
        </is>
      </c>
      <c r="D25" s="53" t="inlineStr">
        <is>
          <t>Excellent
(5)</t>
        </is>
      </c>
      <c r="E25" s="53" t="inlineStr">
        <is>
          <t>Good
(4)</t>
        </is>
      </c>
      <c r="F25" s="53" t="inlineStr">
        <is>
          <t>Average
(3)</t>
        </is>
      </c>
      <c r="G25" s="53" t="inlineStr">
        <is>
          <t>Poor
(2)</t>
        </is>
      </c>
      <c r="H25" s="53" t="inlineStr">
        <is>
          <t>Very Poor
(1)</t>
        </is>
      </c>
      <c r="I25" s="53" t="inlineStr">
        <is>
          <t>Avg Score</t>
        </is>
      </c>
    </row>
    <row r="26" ht="22" customHeight="1">
      <c r="B26" s="54" t="inlineStr">
        <is>
          <t>Q14</t>
        </is>
      </c>
      <c r="C26" s="55" t="inlineStr">
        <is>
          <t>Awareness of OBC/EWS scholarship schemes</t>
        </is>
      </c>
      <c r="D26" s="56" t="inlineStr"/>
      <c r="E26" s="56" t="inlineStr"/>
      <c r="F26" s="56" t="inlineStr"/>
      <c r="G26" s="56" t="inlineStr"/>
      <c r="H26" s="56" t="inlineStr"/>
      <c r="I26" s="74">
        <f>IFERROR(ROUND((D26*5+E26*4+F26*3+G26*2+H26)/SUM(D26:H26),2),"")</f>
        <v/>
      </c>
    </row>
    <row r="27" ht="22" customHeight="1">
      <c r="B27" s="8" t="inlineStr">
        <is>
          <t>Q15</t>
        </is>
      </c>
      <c r="C27" s="9" t="inlineStr">
        <is>
          <t>OBC NCL certificate verification process</t>
        </is>
      </c>
      <c r="D27" s="10" t="inlineStr"/>
      <c r="E27" s="10" t="inlineStr"/>
      <c r="F27" s="10" t="inlineStr"/>
      <c r="G27" s="10" t="inlineStr"/>
      <c r="H27" s="10" t="inlineStr"/>
      <c r="I27" s="45">
        <f>IFERROR(ROUND((D27*5+E27*4+F27*3+G27*2+H27)/SUM(D27:H27),2),"")</f>
        <v/>
      </c>
    </row>
    <row r="28" ht="22" customHeight="1">
      <c r="B28" s="54" t="inlineStr">
        <is>
          <t>Q16</t>
        </is>
      </c>
      <c r="C28" s="55" t="inlineStr">
        <is>
          <t>Timely disbursement of OBC/EWS scholarships</t>
        </is>
      </c>
      <c r="D28" s="56" t="inlineStr"/>
      <c r="E28" s="56" t="inlineStr"/>
      <c r="F28" s="56" t="inlineStr"/>
      <c r="G28" s="56" t="inlineStr"/>
      <c r="H28" s="56" t="inlineStr"/>
      <c r="I28" s="74">
        <f>IFERROR(ROUND((D28*5+E28*4+F28*3+G28*2+H28)/SUM(D28:H28),2),"")</f>
        <v/>
      </c>
    </row>
    <row r="29" ht="22" customHeight="1">
      <c r="B29" s="8" t="inlineStr">
        <is>
          <t>Q17</t>
        </is>
      </c>
      <c r="C29" s="9" t="inlineStr">
        <is>
          <t>OBC/EWS academic support and remedial help</t>
        </is>
      </c>
      <c r="D29" s="10" t="inlineStr"/>
      <c r="E29" s="10" t="inlineStr"/>
      <c r="F29" s="10" t="inlineStr"/>
      <c r="G29" s="10" t="inlineStr"/>
      <c r="H29" s="10" t="inlineStr"/>
      <c r="I29" s="45">
        <f>IFERROR(ROUND((D29*5+E29*4+F29*3+G29*2+H29)/SUM(D29:H29),2),"")</f>
        <v/>
      </c>
    </row>
    <row r="30" ht="22" customHeight="1">
      <c r="B30" s="54" t="inlineStr">
        <is>
          <t>Q18</t>
        </is>
      </c>
      <c r="C30" s="55" t="inlineStr">
        <is>
          <t>OBC/EWS grievance resolution</t>
        </is>
      </c>
      <c r="D30" s="56" t="inlineStr"/>
      <c r="E30" s="56" t="inlineStr"/>
      <c r="F30" s="56" t="inlineStr"/>
      <c r="G30" s="56" t="inlineStr"/>
      <c r="H30" s="56" t="inlineStr"/>
      <c r="I30" s="74">
        <f>IFERROR(ROUND((D30*5+E30*4+F30*3+G30*2+H30)/SUM(D30:H30),2),"")</f>
        <v/>
      </c>
    </row>
    <row r="31" ht="22" customHeight="1"/>
    <row r="32" ht="24" customHeight="1">
      <c r="B32" s="75" t="inlineStr">
        <is>
          <t>D. MINORITY &amp; DIVYANGJAN SERVICES</t>
        </is>
      </c>
    </row>
    <row r="33" ht="22" customHeight="1">
      <c r="B33" s="58" t="inlineStr">
        <is>
          <t>Q.</t>
        </is>
      </c>
      <c r="C33" s="58" t="inlineStr">
        <is>
          <t>Survey Statement</t>
        </is>
      </c>
      <c r="D33" s="58" t="inlineStr">
        <is>
          <t>Excellent
(5)</t>
        </is>
      </c>
      <c r="E33" s="58" t="inlineStr">
        <is>
          <t>Good
(4)</t>
        </is>
      </c>
      <c r="F33" s="58" t="inlineStr">
        <is>
          <t>Average
(3)</t>
        </is>
      </c>
      <c r="G33" s="58" t="inlineStr">
        <is>
          <t>Poor
(2)</t>
        </is>
      </c>
      <c r="H33" s="58" t="inlineStr">
        <is>
          <t>Very Poor
(1)</t>
        </is>
      </c>
      <c r="I33" s="58" t="inlineStr">
        <is>
          <t>Avg Score</t>
        </is>
      </c>
    </row>
    <row r="34" ht="22" customHeight="1">
      <c r="B34" s="59" t="inlineStr">
        <is>
          <t>Q19</t>
        </is>
      </c>
      <c r="C34" s="60" t="inlineStr">
        <is>
          <t>Minority scholarship awareness and processing</t>
        </is>
      </c>
      <c r="D34" s="61" t="inlineStr"/>
      <c r="E34" s="61" t="inlineStr"/>
      <c r="F34" s="61" t="inlineStr"/>
      <c r="G34" s="61" t="inlineStr"/>
      <c r="H34" s="61" t="inlineStr"/>
      <c r="I34" s="76">
        <f>IFERROR(ROUND((D34*5+E34*4+F34*3+G34*2+H34)/SUM(D34:H34),2),"")</f>
        <v/>
      </c>
    </row>
    <row r="35" ht="22" customHeight="1">
      <c r="B35" s="8" t="inlineStr">
        <is>
          <t>Q20</t>
        </is>
      </c>
      <c r="C35" s="9" t="inlineStr">
        <is>
          <t>Minority welfare support and events</t>
        </is>
      </c>
      <c r="D35" s="10" t="inlineStr"/>
      <c r="E35" s="10" t="inlineStr"/>
      <c r="F35" s="10" t="inlineStr"/>
      <c r="G35" s="10" t="inlineStr"/>
      <c r="H35" s="10" t="inlineStr"/>
      <c r="I35" s="45">
        <f>IFERROR(ROUND((D35*5+E35*4+F35*3+G35*2+H35)/SUM(D35:H35),2),"")</f>
        <v/>
      </c>
    </row>
    <row r="36" ht="22" customHeight="1">
      <c r="B36" s="59" t="inlineStr">
        <is>
          <t>Q21</t>
        </is>
      </c>
      <c r="C36" s="60" t="inlineStr">
        <is>
          <t>Campus accessibility for Divyangjan students</t>
        </is>
      </c>
      <c r="D36" s="61" t="inlineStr"/>
      <c r="E36" s="61" t="inlineStr"/>
      <c r="F36" s="61" t="inlineStr"/>
      <c r="G36" s="61" t="inlineStr"/>
      <c r="H36" s="61" t="inlineStr"/>
      <c r="I36" s="76">
        <f>IFERROR(ROUND((D36*5+E36*4+F36*3+G36*2+H36)/SUM(D36:H36),2),"")</f>
        <v/>
      </c>
    </row>
    <row r="37" ht="22" customHeight="1">
      <c r="B37" s="8" t="inlineStr">
        <is>
          <t>Q22</t>
        </is>
      </c>
      <c r="C37" s="9" t="inlineStr">
        <is>
          <t>Assistive technology and special accommodations</t>
        </is>
      </c>
      <c r="D37" s="10" t="inlineStr"/>
      <c r="E37" s="10" t="inlineStr"/>
      <c r="F37" s="10" t="inlineStr"/>
      <c r="G37" s="10" t="inlineStr"/>
      <c r="H37" s="10" t="inlineStr"/>
      <c r="I37" s="45">
        <f>IFERROR(ROUND((D37*5+E37*4+F37*3+G37*2+H37)/SUM(D37:H37),2),"")</f>
        <v/>
      </c>
    </row>
    <row r="38" ht="22" customHeight="1">
      <c r="B38" s="59" t="inlineStr">
        <is>
          <t>Q23</t>
        </is>
      </c>
      <c r="C38" s="60" t="inlineStr">
        <is>
          <t>Divyangjan scholarship and support services</t>
        </is>
      </c>
      <c r="D38" s="61" t="inlineStr"/>
      <c r="E38" s="61" t="inlineStr"/>
      <c r="F38" s="61" t="inlineStr"/>
      <c r="G38" s="61" t="inlineStr"/>
      <c r="H38" s="61" t="inlineStr"/>
      <c r="I38" s="76">
        <f>IFERROR(ROUND((D38*5+E38*4+F38*3+G38*2+H38)/SUM(D38:H38),2),"")</f>
        <v/>
      </c>
    </row>
    <row r="39" ht="22" customHeight="1"/>
    <row r="40" ht="24" customHeight="1">
      <c r="B40" s="77" t="inlineStr">
        <is>
          <t>E. WOMEN STUDENTS WELFARE</t>
        </is>
      </c>
    </row>
    <row r="41" ht="22" customHeight="1">
      <c r="B41" s="78" t="inlineStr">
        <is>
          <t>Q.</t>
        </is>
      </c>
      <c r="C41" s="78" t="inlineStr">
        <is>
          <t>Survey Statement</t>
        </is>
      </c>
      <c r="D41" s="78" t="inlineStr">
        <is>
          <t>Excellent
(5)</t>
        </is>
      </c>
      <c r="E41" s="78" t="inlineStr">
        <is>
          <t>Good
(4)</t>
        </is>
      </c>
      <c r="F41" s="78" t="inlineStr">
        <is>
          <t>Average
(3)</t>
        </is>
      </c>
      <c r="G41" s="78" t="inlineStr">
        <is>
          <t>Poor
(2)</t>
        </is>
      </c>
      <c r="H41" s="78" t="inlineStr">
        <is>
          <t>Very Poor
(1)</t>
        </is>
      </c>
      <c r="I41" s="78" t="inlineStr">
        <is>
          <t>Avg Score</t>
        </is>
      </c>
    </row>
    <row r="42" ht="22" customHeight="1">
      <c r="B42" s="79" t="inlineStr">
        <is>
          <t>Q24</t>
        </is>
      </c>
      <c r="C42" s="80" t="inlineStr">
        <is>
          <t>Safety and security on campus for women students</t>
        </is>
      </c>
      <c r="D42" s="81" t="inlineStr"/>
      <c r="E42" s="81" t="inlineStr"/>
      <c r="F42" s="81" t="inlineStr"/>
      <c r="G42" s="81" t="inlineStr"/>
      <c r="H42" s="81" t="inlineStr"/>
      <c r="I42" s="82">
        <f>IFERROR(ROUND((D42*5+E42*4+F42*3+G42*2+H42)/SUM(D42:H42),2),"")</f>
        <v/>
      </c>
    </row>
    <row r="43" ht="22" customHeight="1">
      <c r="B43" s="8" t="inlineStr">
        <is>
          <t>Q25</t>
        </is>
      </c>
      <c r="C43" s="9" t="inlineStr">
        <is>
          <t>Women's hostel facilities and welfare</t>
        </is>
      </c>
      <c r="D43" s="10" t="inlineStr"/>
      <c r="E43" s="10" t="inlineStr"/>
      <c r="F43" s="10" t="inlineStr"/>
      <c r="G43" s="10" t="inlineStr"/>
      <c r="H43" s="10" t="inlineStr"/>
      <c r="I43" s="45">
        <f>IFERROR(ROUND((D43*5+E43*4+F43*3+G43*2+H43)/SUM(D43:H43),2),"")</f>
        <v/>
      </c>
    </row>
    <row r="44" ht="22" customHeight="1">
      <c r="B44" s="79" t="inlineStr">
        <is>
          <t>Q26</t>
        </is>
      </c>
      <c r="C44" s="80" t="inlineStr">
        <is>
          <t>Women empowerment programmes and workshops</t>
        </is>
      </c>
      <c r="D44" s="81" t="inlineStr"/>
      <c r="E44" s="81" t="inlineStr"/>
      <c r="F44" s="81" t="inlineStr"/>
      <c r="G44" s="81" t="inlineStr"/>
      <c r="H44" s="81" t="inlineStr"/>
      <c r="I44" s="82">
        <f>IFERROR(ROUND((D44*5+E44*4+F44*3+G44*2+H44)/SUM(D44:H44),2),"")</f>
        <v/>
      </c>
    </row>
    <row r="45" ht="22" customHeight="1">
      <c r="B45" s="8" t="inlineStr">
        <is>
          <t>Q27</t>
        </is>
      </c>
      <c r="C45" s="9" t="inlineStr">
        <is>
          <t>Responsiveness to women students' complaints</t>
        </is>
      </c>
      <c r="D45" s="10" t="inlineStr"/>
      <c r="E45" s="10" t="inlineStr"/>
      <c r="F45" s="10" t="inlineStr"/>
      <c r="G45" s="10" t="inlineStr"/>
      <c r="H45" s="10" t="inlineStr"/>
      <c r="I45" s="45">
        <f>IFERROR(ROUND((D45*5+E45*4+F45*3+G45*2+H45)/SUM(D45:H45),2),"")</f>
        <v/>
      </c>
    </row>
    <row r="46" ht="22" customHeight="1">
      <c r="B46" s="79" t="inlineStr">
        <is>
          <t>Q28</t>
        </is>
      </c>
      <c r="C46" s="80" t="inlineStr">
        <is>
          <t>Overall sense of safety and inclusion</t>
        </is>
      </c>
      <c r="D46" s="81" t="inlineStr"/>
      <c r="E46" s="81" t="inlineStr"/>
      <c r="F46" s="81" t="inlineStr"/>
      <c r="G46" s="81" t="inlineStr"/>
      <c r="H46" s="81" t="inlineStr"/>
      <c r="I46" s="82">
        <f>IFERROR(ROUND((D46*5+E46*4+F46*3+G46*2+H46)/SUM(D46:H46),2),"")</f>
        <v/>
      </c>
    </row>
    <row r="47" ht="22" customHeight="1"/>
    <row r="48" ht="24" customHeight="1">
      <c r="B48" s="27" t="inlineStr">
        <is>
          <t>SURVEY SUMMARY &amp; ACTION PLAN</t>
        </is>
      </c>
    </row>
    <row r="49" ht="22" customHeight="1">
      <c r="B49" s="28" t="inlineStr">
        <is>
          <t>Section</t>
        </is>
      </c>
      <c r="C49" s="28" t="inlineStr">
        <is>
          <t>Avg Score (/5)</t>
        </is>
      </c>
      <c r="D49" s="28" t="inlineStr">
        <is>
          <t>Satisfaction %</t>
        </is>
      </c>
      <c r="E49" s="28" t="inlineStr">
        <is>
          <t>Benchmark
(≥3.5)</t>
        </is>
      </c>
      <c r="F49" s="28" t="inlineStr">
        <is>
          <t>Gap</t>
        </is>
      </c>
      <c r="G49" s="28" t="inlineStr">
        <is>
          <t>Status</t>
        </is>
      </c>
      <c r="H49" s="28" t="inlineStr">
        <is>
          <t>Priority Action</t>
        </is>
      </c>
    </row>
    <row r="50" ht="22" customHeight="1">
      <c r="B50" s="46" t="inlineStr">
        <is>
          <t>GENERAL STUDENT WELFARE SERVICES</t>
        </is>
      </c>
      <c r="C50" s="16" t="inlineStr"/>
      <c r="D50" s="16">
        <f>IFERROR(ROUND(C50/5*100,1),"")</f>
        <v/>
      </c>
      <c r="E50" s="16" t="n">
        <v>3.5</v>
      </c>
      <c r="F50" s="16">
        <f>IFERROR(ROUND(C50-E50,2),"")</f>
        <v/>
      </c>
      <c r="G50" s="16">
        <f>IFERROR(IF(C50&gt;=3.5,"Satisfactory","Needs Attention"),"")</f>
        <v/>
      </c>
      <c r="H50" s="15" t="inlineStr"/>
      <c r="I50" s="83" t="n"/>
    </row>
    <row r="51" ht="22" customHeight="1">
      <c r="B51" s="25" t="inlineStr">
        <is>
          <t>SC/ST CELL SERVICES</t>
        </is>
      </c>
      <c r="C51" s="10" t="inlineStr"/>
      <c r="D51" s="10">
        <f>IFERROR(ROUND(C51/5*100,1),"")</f>
        <v/>
      </c>
      <c r="E51" s="10" t="n">
        <v>3.5</v>
      </c>
      <c r="F51" s="10">
        <f>IFERROR(ROUND(C51-E51,2),"")</f>
        <v/>
      </c>
      <c r="G51" s="10">
        <f>IFERROR(IF(C51&gt;=3.5,"Satisfactory","Needs Attention"),"")</f>
        <v/>
      </c>
      <c r="H51" s="9" t="inlineStr"/>
      <c r="I51" s="39" t="n"/>
    </row>
    <row r="52" ht="22" customHeight="1">
      <c r="B52" s="46" t="inlineStr">
        <is>
          <t>OBC/EWS CELL SERVICES</t>
        </is>
      </c>
      <c r="C52" s="16" t="inlineStr"/>
      <c r="D52" s="16">
        <f>IFERROR(ROUND(C52/5*100,1),"")</f>
        <v/>
      </c>
      <c r="E52" s="16" t="n">
        <v>3.5</v>
      </c>
      <c r="F52" s="16">
        <f>IFERROR(ROUND(C52-E52,2),"")</f>
        <v/>
      </c>
      <c r="G52" s="16">
        <f>IFERROR(IF(C52&gt;=3.5,"Satisfactory","Needs Attention"),"")</f>
        <v/>
      </c>
      <c r="H52" s="15" t="inlineStr"/>
      <c r="I52" s="83" t="n"/>
    </row>
    <row r="53" ht="22" customHeight="1">
      <c r="B53" s="25" t="inlineStr">
        <is>
          <t>MINORITY &amp; DIVYANGJAN SERVICES</t>
        </is>
      </c>
      <c r="C53" s="10" t="inlineStr"/>
      <c r="D53" s="10">
        <f>IFERROR(ROUND(C53/5*100,1),"")</f>
        <v/>
      </c>
      <c r="E53" s="10" t="n">
        <v>3.5</v>
      </c>
      <c r="F53" s="10">
        <f>IFERROR(ROUND(C53-E53,2),"")</f>
        <v/>
      </c>
      <c r="G53" s="10">
        <f>IFERROR(IF(C53&gt;=3.5,"Satisfactory","Needs Attention"),"")</f>
        <v/>
      </c>
      <c r="H53" s="9" t="inlineStr"/>
      <c r="I53" s="39" t="n"/>
    </row>
    <row r="54" ht="22" customHeight="1">
      <c r="B54" s="46" t="inlineStr">
        <is>
          <t>WOMEN STUDENTS WELFARE</t>
        </is>
      </c>
      <c r="C54" s="16" t="inlineStr"/>
      <c r="D54" s="16">
        <f>IFERROR(ROUND(C54/5*100,1),"")</f>
        <v/>
      </c>
      <c r="E54" s="16" t="n">
        <v>3.5</v>
      </c>
      <c r="F54" s="16">
        <f>IFERROR(ROUND(C54-E54,2),"")</f>
        <v/>
      </c>
      <c r="G54" s="16">
        <f>IFERROR(IF(C54&gt;=3.5,"Satisfactory","Needs Attention"),"")</f>
        <v/>
      </c>
      <c r="H54" s="15" t="inlineStr"/>
      <c r="I54" s="83" t="n"/>
    </row>
    <row r="55" ht="22" customHeight="1"/>
    <row r="56" ht="22" customHeight="1"/>
    <row r="57" ht="22" customHeight="1"/>
  </sheetData>
  <mergeCells count="9">
    <mergeCell ref="B48:I48"/>
    <mergeCell ref="B15:I15"/>
    <mergeCell ref="B24:I24"/>
    <mergeCell ref="B2:I2"/>
    <mergeCell ref="B3:I3"/>
    <mergeCell ref="B5:I5"/>
    <mergeCell ref="B32:I32"/>
    <mergeCell ref="B4:I4"/>
    <mergeCell ref="B40:I4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SWC-31: STUDENT WELFARE COMMITTEE KPI DASHBOARD</t>
        </is>
      </c>
    </row>
    <row r="3" ht="25" customHeight="1">
      <c r="B3" s="2" t="inlineStr">
        <is>
          <t>A.Y.: _______  Quarter: Q1/Q2/Q3/Q4  Welfare Coordinator: ___________________  Date: _______</t>
        </is>
      </c>
    </row>
    <row r="4" ht="24" customHeight="1">
      <c r="B4" s="19" t="inlineStr">
        <is>
          <t>GENERAL WELFARE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Target</t>
        </is>
      </c>
      <c r="F5" s="13" t="inlineStr">
        <is>
          <t>Prev. Year
Actual</t>
        </is>
      </c>
      <c r="G5" s="13" t="inlineStr">
        <is>
          <t>Current Year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Welfare grievances resolved within 10 days</t>
        </is>
      </c>
      <c r="D6" s="16" t="inlineStr">
        <is>
          <t>% on time</t>
        </is>
      </c>
      <c r="E6" s="16" t="inlineStr">
        <is>
          <t>≥90%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Students receiving financial aid</t>
        </is>
      </c>
      <c r="D7" s="10" t="inlineStr">
        <is>
          <t>No. per year</t>
        </is>
      </c>
      <c r="E7" s="10" t="inlineStr">
        <is>
          <t>As needed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Counselling sessions conducted</t>
        </is>
      </c>
      <c r="D8" s="16" t="inlineStr">
        <is>
          <t>No. per year</t>
        </is>
      </c>
      <c r="E8" s="16" t="inlineStr">
        <is>
          <t>≥100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Health / medical assistance cases handled</t>
        </is>
      </c>
      <c r="D9" s="10" t="inlineStr">
        <is>
          <t>No.</t>
        </is>
      </c>
      <c r="E9" s="10" t="inlineStr">
        <is>
          <t>Tracked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Anti-ragging welfare support cases</t>
        </is>
      </c>
      <c r="D10" s="16" t="inlineStr">
        <is>
          <t>No.</t>
        </is>
      </c>
      <c r="E10" s="16" t="inlineStr">
        <is>
          <t>0 repeat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Student welfare satisfaction score (/5)</t>
        </is>
      </c>
      <c r="D11" s="10" t="inlineStr">
        <is>
          <t>Score</t>
        </is>
      </c>
      <c r="E11" s="10" t="inlineStr">
        <is>
          <t>≥3.5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71" t="inlineStr">
        <is>
          <t>SC/ST CELL KPIs</t>
        </is>
      </c>
    </row>
    <row r="14" ht="22" customHeight="1">
      <c r="B14" s="42" t="inlineStr">
        <is>
          <t>Sl.</t>
        </is>
      </c>
      <c r="C14" s="42" t="inlineStr">
        <is>
          <t>Key Performance Indicator</t>
        </is>
      </c>
      <c r="D14" s="42" t="inlineStr">
        <is>
          <t>Unit</t>
        </is>
      </c>
      <c r="E14" s="42" t="inlineStr">
        <is>
          <t>Target</t>
        </is>
      </c>
      <c r="F14" s="42" t="inlineStr">
        <is>
          <t>Prev. Year
Actual</t>
        </is>
      </c>
      <c r="G14" s="42" t="inlineStr">
        <is>
          <t>Current Year
Actual</t>
        </is>
      </c>
      <c r="H14" s="42" t="inlineStr">
        <is>
          <t>Status</t>
        </is>
      </c>
      <c r="I14" s="42" t="inlineStr">
        <is>
          <t>Action Required</t>
        </is>
      </c>
    </row>
    <row r="15" ht="22" customHeight="1">
      <c r="B15" s="40" t="n">
        <v>1</v>
      </c>
      <c r="C15" s="43" t="inlineStr">
        <is>
          <t>SC/ST scholarship disbursement rate (%)</t>
        </is>
      </c>
      <c r="D15" s="22" t="inlineStr">
        <is>
          <t>% received</t>
        </is>
      </c>
      <c r="E15" s="22" t="inlineStr">
        <is>
          <t>≥95%</t>
        </is>
      </c>
      <c r="F15" s="22" t="inlineStr"/>
      <c r="G15" s="22" t="inlineStr"/>
      <c r="H15" s="22" t="inlineStr">
        <is>
          <t>On Track</t>
        </is>
      </c>
      <c r="I15" s="43" t="inlineStr"/>
    </row>
    <row r="16" ht="22" customHeight="1">
      <c r="B16" s="8" t="n">
        <v>2</v>
      </c>
      <c r="C16" s="9" t="inlineStr">
        <is>
          <t>SC/ST academic support sessions</t>
        </is>
      </c>
      <c r="D16" s="10" t="inlineStr">
        <is>
          <t>No. per year</t>
        </is>
      </c>
      <c r="E16" s="10" t="inlineStr">
        <is>
          <t>≥12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40" t="n">
        <v>3</v>
      </c>
      <c r="C17" s="43" t="inlineStr">
        <is>
          <t>SC/ST grievances resolved within 7 days</t>
        </is>
      </c>
      <c r="D17" s="22" t="inlineStr">
        <is>
          <t>% on time</t>
        </is>
      </c>
      <c r="E17" s="22" t="inlineStr">
        <is>
          <t>100%</t>
        </is>
      </c>
      <c r="F17" s="22" t="inlineStr"/>
      <c r="G17" s="22" t="inlineStr"/>
      <c r="H17" s="22" t="inlineStr">
        <is>
          <t>On Track</t>
        </is>
      </c>
      <c r="I17" s="43" t="inlineStr"/>
    </row>
    <row r="18" ht="22" customHeight="1">
      <c r="B18" s="8" t="n">
        <v>4</v>
      </c>
      <c r="C18" s="9" t="inlineStr">
        <is>
          <t>Atrocity complaints reported to authority</t>
        </is>
      </c>
      <c r="D18" s="10" t="inlineStr">
        <is>
          <t>% reported</t>
        </is>
      </c>
      <c r="E18" s="10" t="inlineStr">
        <is>
          <t>100%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40" t="n">
        <v>5</v>
      </c>
      <c r="C19" s="43" t="inlineStr">
        <is>
          <t>SC/ST pass rate vs. institution average</t>
        </is>
      </c>
      <c r="D19" s="22" t="inlineStr">
        <is>
          <t>% difference</t>
        </is>
      </c>
      <c r="E19" s="22" t="inlineStr">
        <is>
          <t>≤10%</t>
        </is>
      </c>
      <c r="F19" s="22" t="inlineStr"/>
      <c r="G19" s="22" t="inlineStr"/>
      <c r="H19" s="22" t="inlineStr">
        <is>
          <t>On Track</t>
        </is>
      </c>
      <c r="I19" s="43" t="inlineStr"/>
    </row>
    <row r="20" ht="22" customHeight="1">
      <c r="B20" s="8" t="n">
        <v>6</v>
      </c>
      <c r="C20" s="9" t="inlineStr">
        <is>
          <t>SC/ST placement rate</t>
        </is>
      </c>
      <c r="D20" s="10" t="inlineStr">
        <is>
          <t>% placed</t>
        </is>
      </c>
      <c r="E20" s="10" t="inlineStr">
        <is>
          <t>≥60%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73" t="inlineStr">
        <is>
          <t>OBC/EWS CELL KPIs</t>
        </is>
      </c>
    </row>
    <row r="23" ht="22" customHeight="1">
      <c r="B23" s="53" t="inlineStr">
        <is>
          <t>Sl.</t>
        </is>
      </c>
      <c r="C23" s="53" t="inlineStr">
        <is>
          <t>Key Performance Indicator</t>
        </is>
      </c>
      <c r="D23" s="53" t="inlineStr">
        <is>
          <t>Unit</t>
        </is>
      </c>
      <c r="E23" s="53" t="inlineStr">
        <is>
          <t>Target</t>
        </is>
      </c>
      <c r="F23" s="53" t="inlineStr">
        <is>
          <t>Prev. Year
Actual</t>
        </is>
      </c>
      <c r="G23" s="53" t="inlineStr">
        <is>
          <t>Current Year
Actual</t>
        </is>
      </c>
      <c r="H23" s="53" t="inlineStr">
        <is>
          <t>Status</t>
        </is>
      </c>
      <c r="I23" s="53" t="inlineStr">
        <is>
          <t>Action Required</t>
        </is>
      </c>
    </row>
    <row r="24" ht="22" customHeight="1">
      <c r="B24" s="54" t="n">
        <v>1</v>
      </c>
      <c r="C24" s="55" t="inlineStr">
        <is>
          <t>OBC scholarship disbursement rate (%)</t>
        </is>
      </c>
      <c r="D24" s="56" t="inlineStr">
        <is>
          <t>% received</t>
        </is>
      </c>
      <c r="E24" s="56" t="inlineStr">
        <is>
          <t>≥90%</t>
        </is>
      </c>
      <c r="F24" s="56" t="inlineStr"/>
      <c r="G24" s="56" t="inlineStr"/>
      <c r="H24" s="56" t="inlineStr">
        <is>
          <t>On Track</t>
        </is>
      </c>
      <c r="I24" s="55" t="inlineStr"/>
    </row>
    <row r="25" ht="22" customHeight="1">
      <c r="B25" s="8" t="n">
        <v>2</v>
      </c>
      <c r="C25" s="9" t="inlineStr">
        <is>
          <t>NCL certificates verified annually (%)</t>
        </is>
      </c>
      <c r="D25" s="10" t="inlineStr">
        <is>
          <t>% verified</t>
        </is>
      </c>
      <c r="E25" s="10" t="inlineStr">
        <is>
          <t>100%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54" t="n">
        <v>3</v>
      </c>
      <c r="C26" s="55" t="inlineStr">
        <is>
          <t>OBC/EWS grievances resolved</t>
        </is>
      </c>
      <c r="D26" s="56" t="inlineStr">
        <is>
          <t>% on time</t>
        </is>
      </c>
      <c r="E26" s="56" t="inlineStr">
        <is>
          <t>≥90%</t>
        </is>
      </c>
      <c r="F26" s="56" t="inlineStr"/>
      <c r="G26" s="56" t="inlineStr"/>
      <c r="H26" s="56" t="inlineStr">
        <is>
          <t>On Track</t>
        </is>
      </c>
      <c r="I26" s="55" t="inlineStr"/>
    </row>
    <row r="27" ht="22" customHeight="1">
      <c r="B27" s="8" t="n">
        <v>4</v>
      </c>
      <c r="C27" s="9" t="inlineStr">
        <is>
          <t>OBC/EWS academic support sessions</t>
        </is>
      </c>
      <c r="D27" s="10" t="inlineStr">
        <is>
          <t>No.</t>
        </is>
      </c>
      <c r="E27" s="10" t="inlineStr">
        <is>
          <t>≥8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54" t="n">
        <v>5</v>
      </c>
      <c r="C28" s="55" t="inlineStr">
        <is>
          <t>OBC/EWS placement rate</t>
        </is>
      </c>
      <c r="D28" s="56" t="inlineStr">
        <is>
          <t>% placed</t>
        </is>
      </c>
      <c r="E28" s="56" t="inlineStr">
        <is>
          <t>≥65%</t>
        </is>
      </c>
      <c r="F28" s="56" t="inlineStr"/>
      <c r="G28" s="56" t="inlineStr"/>
      <c r="H28" s="56" t="inlineStr">
        <is>
          <t>On Track</t>
        </is>
      </c>
      <c r="I28" s="55" t="inlineStr"/>
    </row>
    <row r="29" ht="22" customHeight="1"/>
    <row r="30" ht="24" customHeight="1">
      <c r="B30" s="75" t="inlineStr">
        <is>
          <t>MINORITY &amp; DIVYANGJAN KPIs</t>
        </is>
      </c>
    </row>
    <row r="31" ht="22" customHeight="1">
      <c r="B31" s="58" t="inlineStr">
        <is>
          <t>Sl.</t>
        </is>
      </c>
      <c r="C31" s="58" t="inlineStr">
        <is>
          <t>Key Performance Indicator</t>
        </is>
      </c>
      <c r="D31" s="58" t="inlineStr">
        <is>
          <t>Unit</t>
        </is>
      </c>
      <c r="E31" s="58" t="inlineStr">
        <is>
          <t>Target</t>
        </is>
      </c>
      <c r="F31" s="58" t="inlineStr">
        <is>
          <t>Prev. Year
Actual</t>
        </is>
      </c>
      <c r="G31" s="58" t="inlineStr">
        <is>
          <t>Current Year
Actual</t>
        </is>
      </c>
      <c r="H31" s="58" t="inlineStr">
        <is>
          <t>Status</t>
        </is>
      </c>
      <c r="I31" s="58" t="inlineStr">
        <is>
          <t>Action Required</t>
        </is>
      </c>
    </row>
    <row r="32" ht="22" customHeight="1">
      <c r="B32" s="59" t="n">
        <v>1</v>
      </c>
      <c r="C32" s="60" t="inlineStr">
        <is>
          <t>Minority scholarship disbursement rate</t>
        </is>
      </c>
      <c r="D32" s="61" t="inlineStr">
        <is>
          <t>% received</t>
        </is>
      </c>
      <c r="E32" s="61" t="inlineStr">
        <is>
          <t>≥90%</t>
        </is>
      </c>
      <c r="F32" s="61" t="inlineStr"/>
      <c r="G32" s="61" t="inlineStr"/>
      <c r="H32" s="61" t="inlineStr">
        <is>
          <t>On Track</t>
        </is>
      </c>
      <c r="I32" s="60" t="inlineStr"/>
    </row>
    <row r="33" ht="22" customHeight="1">
      <c r="B33" s="8" t="n">
        <v>2</v>
      </c>
      <c r="C33" s="9" t="inlineStr">
        <is>
          <t>Campus accessibility score (/5)</t>
        </is>
      </c>
      <c r="D33" s="10" t="inlineStr">
        <is>
          <t>Score</t>
        </is>
      </c>
      <c r="E33" s="10" t="inlineStr">
        <is>
          <t>≥3.5 → 5</t>
        </is>
      </c>
      <c r="F33" s="10" t="inlineStr"/>
      <c r="G33" s="10" t="inlineStr"/>
      <c r="H33" s="10" t="inlineStr">
        <is>
          <t>On Track</t>
        </is>
      </c>
      <c r="I33" s="9" t="inlineStr"/>
    </row>
    <row r="34" ht="22" customHeight="1">
      <c r="B34" s="59" t="n">
        <v>3</v>
      </c>
      <c r="C34" s="60" t="inlineStr">
        <is>
          <t>Divyangjan students with UDiD verified</t>
        </is>
      </c>
      <c r="D34" s="61" t="inlineStr">
        <is>
          <t>% verified</t>
        </is>
      </c>
      <c r="E34" s="61" t="inlineStr">
        <is>
          <t>100%</t>
        </is>
      </c>
      <c r="F34" s="61" t="inlineStr"/>
      <c r="G34" s="61" t="inlineStr"/>
      <c r="H34" s="61" t="inlineStr">
        <is>
          <t>On Track</t>
        </is>
      </c>
      <c r="I34" s="60" t="inlineStr"/>
    </row>
    <row r="35" ht="22" customHeight="1">
      <c r="B35" s="8" t="n">
        <v>4</v>
      </c>
      <c r="C35" s="9" t="inlineStr">
        <is>
          <t>Assistive technology coverage</t>
        </is>
      </c>
      <c r="D35" s="10" t="inlineStr">
        <is>
          <t>% needing, provided</t>
        </is>
      </c>
      <c r="E35" s="10" t="inlineStr">
        <is>
          <t>100%</t>
        </is>
      </c>
      <c r="F35" s="10" t="inlineStr"/>
      <c r="G35" s="10" t="inlineStr"/>
      <c r="H35" s="10" t="inlineStr">
        <is>
          <t>On Track</t>
        </is>
      </c>
      <c r="I35" s="9" t="inlineStr"/>
    </row>
    <row r="36" ht="22" customHeight="1">
      <c r="B36" s="59" t="n">
        <v>5</v>
      </c>
      <c r="C36" s="60" t="inlineStr">
        <is>
          <t>Divyangjan scholarship disbursement</t>
        </is>
      </c>
      <c r="D36" s="61" t="inlineStr">
        <is>
          <t>% received</t>
        </is>
      </c>
      <c r="E36" s="61" t="inlineStr">
        <is>
          <t>100%</t>
        </is>
      </c>
      <c r="F36" s="61" t="inlineStr"/>
      <c r="G36" s="61" t="inlineStr"/>
      <c r="H36" s="61" t="inlineStr">
        <is>
          <t>On Track</t>
        </is>
      </c>
      <c r="I36" s="60" t="inlineStr"/>
    </row>
    <row r="37" ht="22" customHeight="1">
      <c r="B37" s="8" t="n">
        <v>6</v>
      </c>
      <c r="C37" s="9" t="inlineStr">
        <is>
          <t>Accessibility audit conducted annually</t>
        </is>
      </c>
      <c r="D37" s="10" t="inlineStr">
        <is>
          <t>Y/N</t>
        </is>
      </c>
      <c r="E37" s="10" t="inlineStr">
        <is>
          <t>Yes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/>
    <row r="39" ht="24" customHeight="1">
      <c r="B39" s="77" t="inlineStr">
        <is>
          <t>WOMEN WELFARE KPIs</t>
        </is>
      </c>
    </row>
    <row r="40" ht="22" customHeight="1">
      <c r="B40" s="78" t="inlineStr">
        <is>
          <t>Sl.</t>
        </is>
      </c>
      <c r="C40" s="78" t="inlineStr">
        <is>
          <t>Key Performance Indicator</t>
        </is>
      </c>
      <c r="D40" s="78" t="inlineStr">
        <is>
          <t>Unit</t>
        </is>
      </c>
      <c r="E40" s="78" t="inlineStr">
        <is>
          <t>Target</t>
        </is>
      </c>
      <c r="F40" s="78" t="inlineStr">
        <is>
          <t>Prev. Year
Actual</t>
        </is>
      </c>
      <c r="G40" s="78" t="inlineStr">
        <is>
          <t>Current Year
Actual</t>
        </is>
      </c>
      <c r="H40" s="78" t="inlineStr">
        <is>
          <t>Status</t>
        </is>
      </c>
      <c r="I40" s="78" t="inlineStr">
        <is>
          <t>Action Required</t>
        </is>
      </c>
    </row>
    <row r="41" ht="22" customHeight="1">
      <c r="B41" s="79" t="n">
        <v>1</v>
      </c>
      <c r="C41" s="80" t="inlineStr">
        <is>
          <t>Women safety complaints resolved</t>
        </is>
      </c>
      <c r="D41" s="81" t="inlineStr">
        <is>
          <t>% resolved</t>
        </is>
      </c>
      <c r="E41" s="81" t="inlineStr">
        <is>
          <t>100%</t>
        </is>
      </c>
      <c r="F41" s="81" t="inlineStr"/>
      <c r="G41" s="81" t="inlineStr"/>
      <c r="H41" s="81" t="inlineStr">
        <is>
          <t>On Track</t>
        </is>
      </c>
      <c r="I41" s="80" t="inlineStr"/>
    </row>
    <row r="42" ht="22" customHeight="1">
      <c r="B42" s="8" t="n">
        <v>2</v>
      </c>
      <c r="C42" s="9" t="inlineStr">
        <is>
          <t>Women empowerment programmes</t>
        </is>
      </c>
      <c r="D42" s="10" t="inlineStr">
        <is>
          <t>No. per year</t>
        </is>
      </c>
      <c r="E42" s="10" t="inlineStr">
        <is>
          <t>≥4</t>
        </is>
      </c>
      <c r="F42" s="10" t="inlineStr"/>
      <c r="G42" s="10" t="inlineStr"/>
      <c r="H42" s="10" t="inlineStr">
        <is>
          <t>On Track</t>
        </is>
      </c>
      <c r="I42" s="9" t="inlineStr"/>
    </row>
    <row r="43" ht="22" customHeight="1">
      <c r="B43" s="79" t="n">
        <v>3</v>
      </c>
      <c r="C43" s="80" t="inlineStr">
        <is>
          <t>Women students' satisfaction score</t>
        </is>
      </c>
      <c r="D43" s="81" t="inlineStr">
        <is>
          <t>Score</t>
        </is>
      </c>
      <c r="E43" s="81" t="inlineStr">
        <is>
          <t>≥3.5</t>
        </is>
      </c>
      <c r="F43" s="81" t="inlineStr"/>
      <c r="G43" s="81" t="inlineStr"/>
      <c r="H43" s="81" t="inlineStr">
        <is>
          <t>On Track</t>
        </is>
      </c>
      <c r="I43" s="80" t="inlineStr"/>
    </row>
    <row r="44" ht="22" customHeight="1">
      <c r="B44" s="8" t="n">
        <v>4</v>
      </c>
      <c r="C44" s="9" t="inlineStr">
        <is>
          <t>ICC referrals handled timely</t>
        </is>
      </c>
      <c r="D44" s="10" t="inlineStr">
        <is>
          <t>% on time</t>
        </is>
      </c>
      <c r="E44" s="10" t="inlineStr">
        <is>
          <t>100%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/>
    <row r="46" ht="24" customHeight="1">
      <c r="B46" s="34" t="inlineStr">
        <is>
          <t>SCHOLARSHIP KPIs</t>
        </is>
      </c>
    </row>
    <row r="47" ht="22" customHeight="1">
      <c r="B47" s="30" t="inlineStr">
        <is>
          <t>Sl.</t>
        </is>
      </c>
      <c r="C47" s="30" t="inlineStr">
        <is>
          <t>Key Performance Indicator</t>
        </is>
      </c>
      <c r="D47" s="30" t="inlineStr">
        <is>
          <t>Unit</t>
        </is>
      </c>
      <c r="E47" s="30" t="inlineStr">
        <is>
          <t>Target</t>
        </is>
      </c>
      <c r="F47" s="30" t="inlineStr">
        <is>
          <t>Prev. Year
Actual</t>
        </is>
      </c>
      <c r="G47" s="30" t="inlineStr">
        <is>
          <t>Current Year
Actual</t>
        </is>
      </c>
      <c r="H47" s="30" t="inlineStr">
        <is>
          <t>Status</t>
        </is>
      </c>
      <c r="I47" s="30" t="inlineStr">
        <is>
          <t>Action Required</t>
        </is>
      </c>
    </row>
    <row r="48" ht="22" customHeight="1">
      <c r="B48" s="31" t="n">
        <v>1</v>
      </c>
      <c r="C48" s="32" t="inlineStr">
        <is>
          <t>Overall scholarship disbursement rate (%)</t>
        </is>
      </c>
      <c r="D48" s="33" t="inlineStr">
        <is>
          <t>% of approved</t>
        </is>
      </c>
      <c r="E48" s="33" t="inlineStr">
        <is>
          <t>≥95%</t>
        </is>
      </c>
      <c r="F48" s="33" t="inlineStr"/>
      <c r="G48" s="33" t="inlineStr"/>
      <c r="H48" s="33" t="inlineStr">
        <is>
          <t>On Track</t>
        </is>
      </c>
      <c r="I48" s="32" t="inlineStr"/>
    </row>
    <row r="49" ht="22" customHeight="1">
      <c r="B49" s="8" t="n">
        <v>2</v>
      </c>
      <c r="C49" s="9" t="inlineStr">
        <is>
          <t>Students receiving scholarships</t>
        </is>
      </c>
      <c r="D49" s="10" t="inlineStr">
        <is>
          <t>% of eligible</t>
        </is>
      </c>
      <c r="E49" s="10" t="inlineStr">
        <is>
          <t>≥90%</t>
        </is>
      </c>
      <c r="F49" s="10" t="inlineStr"/>
      <c r="G49" s="10" t="inlineStr"/>
      <c r="H49" s="10" t="inlineStr">
        <is>
          <t>On Track</t>
        </is>
      </c>
      <c r="I49" s="9" t="inlineStr"/>
    </row>
    <row r="50" ht="22" customHeight="1">
      <c r="B50" s="31" t="n">
        <v>3</v>
      </c>
      <c r="C50" s="32" t="inlineStr">
        <is>
          <t>Scholarship data submitted to NAAC (AQAR)</t>
        </is>
      </c>
      <c r="D50" s="33" t="inlineStr">
        <is>
          <t>Y/N</t>
        </is>
      </c>
      <c r="E50" s="33" t="inlineStr">
        <is>
          <t>Yes annually</t>
        </is>
      </c>
      <c r="F50" s="33" t="inlineStr"/>
      <c r="G50" s="33" t="inlineStr"/>
      <c r="H50" s="33" t="inlineStr">
        <is>
          <t>On Track</t>
        </is>
      </c>
      <c r="I50" s="32" t="inlineStr"/>
    </row>
    <row r="51" ht="22" customHeight="1">
      <c r="B51" s="8" t="n">
        <v>4</v>
      </c>
      <c r="C51" s="9" t="inlineStr">
        <is>
          <t>NSP portal applications processed on time</t>
        </is>
      </c>
      <c r="D51" s="10" t="inlineStr">
        <is>
          <t>% on time</t>
        </is>
      </c>
      <c r="E51" s="10" t="inlineStr">
        <is>
          <t>100%</t>
        </is>
      </c>
      <c r="F51" s="10" t="inlineStr"/>
      <c r="G51" s="10" t="inlineStr"/>
      <c r="H51" s="10" t="inlineStr">
        <is>
          <t>On Track</t>
        </is>
      </c>
      <c r="I51" s="9" t="inlineStr"/>
    </row>
    <row r="52" ht="22" customHeight="1">
      <c r="B52" s="31" t="n">
        <v>5</v>
      </c>
      <c r="C52" s="32" t="inlineStr">
        <is>
          <t>Fee concessions granted per policy</t>
        </is>
      </c>
      <c r="D52" s="33" t="inlineStr">
        <is>
          <t>% of eligible</t>
        </is>
      </c>
      <c r="E52" s="33" t="inlineStr">
        <is>
          <t>100%</t>
        </is>
      </c>
      <c r="F52" s="33" t="inlineStr"/>
      <c r="G52" s="33" t="inlineStr"/>
      <c r="H52" s="33" t="inlineStr">
        <is>
          <t>On Track</t>
        </is>
      </c>
      <c r="I52" s="32" t="inlineStr"/>
    </row>
    <row r="53" ht="22" customHeight="1">
      <c r="B53" s="8" t="n">
        <v>6</v>
      </c>
      <c r="C53" s="9" t="inlineStr">
        <is>
          <t>Financial hardship support cases</t>
        </is>
      </c>
      <c r="D53" s="10" t="inlineStr">
        <is>
          <t>No.</t>
        </is>
      </c>
      <c r="E53" s="10" t="inlineStr">
        <is>
          <t>Tracked</t>
        </is>
      </c>
      <c r="F53" s="10" t="inlineStr"/>
      <c r="G53" s="10" t="inlineStr"/>
      <c r="H53" s="10" t="inlineStr">
        <is>
          <t>On Track</t>
        </is>
      </c>
      <c r="I53" s="9" t="inlineStr"/>
    </row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8">
    <mergeCell ref="B13:I13"/>
    <mergeCell ref="B30:I30"/>
    <mergeCell ref="B39:I39"/>
    <mergeCell ref="B2:I2"/>
    <mergeCell ref="B3:I3"/>
    <mergeCell ref="B22:I22"/>
    <mergeCell ref="B46:I46"/>
    <mergeCell ref="B4: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H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SWC-32: STUDENTS WELFARE ANNUAL REPORT COMPILATION FORM</t>
        </is>
      </c>
    </row>
    <row r="3" ht="25" customHeight="1">
      <c r="B3" s="2" t="inlineStr">
        <is>
          <t>A.Y.: _______  Welfare Coordinator: ___________________  Submitted to: Management / IQAC / UGC / NAAC  Date: _______</t>
        </is>
      </c>
    </row>
    <row r="4" ht="24" customHeight="1">
      <c r="B4" s="19" t="inlineStr">
        <is>
          <t>SECTION 1 — GENERAL STUDENT WELFARE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students enrolled</t>
        </is>
      </c>
      <c r="D6" s="16" t="inlineStr">
        <is>
          <t>No.</t>
        </is>
      </c>
      <c r="E6" s="16" t="inlineStr"/>
      <c r="F6" s="16" t="inlineStr"/>
      <c r="G6" s="16">
        <f>IFERROR(ROUND((E6-F6)/IF(F6=0,1,F6)*100,1),"")</f>
        <v/>
      </c>
      <c r="H6" s="16" t="inlineStr"/>
    </row>
    <row r="7" ht="22" customHeight="1">
      <c r="B7" s="8" t="n">
        <v>2</v>
      </c>
      <c r="C7" s="9" t="inlineStr">
        <is>
          <t>Welfare grievances received</t>
        </is>
      </c>
      <c r="D7" s="10" t="inlineStr">
        <is>
          <t>No.</t>
        </is>
      </c>
      <c r="E7" s="10" t="inlineStr"/>
      <c r="F7" s="10" t="inlineStr"/>
      <c r="G7" s="10">
        <f>IFERROR(ROUND((E7-F7)/IF(F7=0,1,F7)*100,1),"")</f>
        <v/>
      </c>
      <c r="H7" s="10" t="inlineStr"/>
    </row>
    <row r="8" ht="22" customHeight="1">
      <c r="B8" s="14" t="n">
        <v>3</v>
      </c>
      <c r="C8" s="15" t="inlineStr">
        <is>
          <t>Grievances resolved within 10 days (%)</t>
        </is>
      </c>
      <c r="D8" s="16" t="inlineStr">
        <is>
          <t>% on time</t>
        </is>
      </c>
      <c r="E8" s="16" t="inlineStr"/>
      <c r="F8" s="16" t="inlineStr"/>
      <c r="G8" s="16">
        <f>IFERROR(ROUND((E8-F8)/IF(F8=0,1,F8)*100,1),"")</f>
        <v/>
      </c>
      <c r="H8" s="16" t="inlineStr"/>
    </row>
    <row r="9" ht="22" customHeight="1">
      <c r="B9" s="8" t="n">
        <v>4</v>
      </c>
      <c r="C9" s="9" t="inlineStr">
        <is>
          <t>Emergency financial aid given (₹)</t>
        </is>
      </c>
      <c r="D9" s="10" t="inlineStr">
        <is>
          <t>₹</t>
        </is>
      </c>
      <c r="E9" s="10" t="inlineStr"/>
      <c r="F9" s="10" t="inlineStr"/>
      <c r="G9" s="10">
        <f>IFERROR(ROUND((E9-F9)/IF(F9=0,1,F9)*100,1),"")</f>
        <v/>
      </c>
      <c r="H9" s="10" t="inlineStr"/>
    </row>
    <row r="10" ht="22" customHeight="1">
      <c r="B10" s="14" t="n">
        <v>5</v>
      </c>
      <c r="C10" s="15" t="inlineStr">
        <is>
          <t>Students receiving medical assistance</t>
        </is>
      </c>
      <c r="D10" s="16" t="inlineStr">
        <is>
          <t>No.</t>
        </is>
      </c>
      <c r="E10" s="16" t="inlineStr"/>
      <c r="F10" s="16" t="inlineStr"/>
      <c r="G10" s="16">
        <f>IFERROR(ROUND((E10-F10)/IF(F10=0,1,F10)*100,1),"")</f>
        <v/>
      </c>
      <c r="H10" s="16" t="inlineStr"/>
    </row>
    <row r="11" ht="22" customHeight="1">
      <c r="B11" s="8" t="n">
        <v>6</v>
      </c>
      <c r="C11" s="9" t="inlineStr">
        <is>
          <t>Counselling sessions conducted</t>
        </is>
      </c>
      <c r="D11" s="10" t="inlineStr">
        <is>
          <t>No.</t>
        </is>
      </c>
      <c r="E11" s="10" t="inlineStr"/>
      <c r="F11" s="10" t="inlineStr"/>
      <c r="G11" s="10">
        <f>IFERROR(ROUND((E11-F11)/IF(F11=0,1,F11)*100,1),"")</f>
        <v/>
      </c>
      <c r="H11" s="10" t="inlineStr"/>
    </row>
    <row r="12" ht="22" customHeight="1"/>
    <row r="13" ht="24" customHeight="1">
      <c r="B13" s="71" t="inlineStr">
        <is>
          <t>SECTION 2 — SC/ST CELL</t>
        </is>
      </c>
    </row>
    <row r="14" ht="22" customHeight="1">
      <c r="B14" s="42" t="inlineStr">
        <is>
          <t>Sl.</t>
        </is>
      </c>
      <c r="C14" s="42" t="inlineStr">
        <is>
          <t>Performance Metric</t>
        </is>
      </c>
      <c r="D14" s="42" t="inlineStr">
        <is>
          <t>Unit</t>
        </is>
      </c>
      <c r="E14" s="42" t="inlineStr">
        <is>
          <t>Current A.Y.</t>
        </is>
      </c>
      <c r="F14" s="42" t="inlineStr">
        <is>
          <t>Previous A.Y.</t>
        </is>
      </c>
      <c r="G14" s="42" t="inlineStr">
        <is>
          <t>Growth %</t>
        </is>
      </c>
      <c r="H14" s="42" t="inlineStr">
        <is>
          <t>Target Next Year</t>
        </is>
      </c>
    </row>
    <row r="15" ht="22" customHeight="1">
      <c r="B15" s="40" t="n">
        <v>1</v>
      </c>
      <c r="C15" s="43" t="inlineStr">
        <is>
          <t>SC students enrolled</t>
        </is>
      </c>
      <c r="D15" s="22" t="inlineStr">
        <is>
          <t>No.</t>
        </is>
      </c>
      <c r="E15" s="22" t="inlineStr"/>
      <c r="F15" s="22" t="inlineStr"/>
      <c r="G15" s="22">
        <f>IFERROR(ROUND((E15-F15)/IF(F15=0,1,F15)*100,1),"")</f>
        <v/>
      </c>
      <c r="H15" s="22" t="inlineStr"/>
    </row>
    <row r="16" ht="22" customHeight="1">
      <c r="B16" s="8" t="n">
        <v>2</v>
      </c>
      <c r="C16" s="9" t="inlineStr">
        <is>
          <t>ST students enrolled</t>
        </is>
      </c>
      <c r="D16" s="10" t="inlineStr">
        <is>
          <t>No.</t>
        </is>
      </c>
      <c r="E16" s="10" t="inlineStr"/>
      <c r="F16" s="10" t="inlineStr"/>
      <c r="G16" s="10">
        <f>IFERROR(ROUND((E16-F16)/IF(F16=0,1,F16)*100,1),"")</f>
        <v/>
      </c>
      <c r="H16" s="10" t="inlineStr"/>
    </row>
    <row r="17" ht="22" customHeight="1">
      <c r="B17" s="40" t="n">
        <v>3</v>
      </c>
      <c r="C17" s="43" t="inlineStr">
        <is>
          <t>SC/ST scholarships disbursed</t>
        </is>
      </c>
      <c r="D17" s="22" t="inlineStr">
        <is>
          <t>No. / ₹</t>
        </is>
      </c>
      <c r="E17" s="22" t="inlineStr"/>
      <c r="F17" s="22" t="inlineStr"/>
      <c r="G17" s="22">
        <f>IFERROR(ROUND((E17-F17)/IF(F17=0,1,F17)*100,1),"")</f>
        <v/>
      </c>
      <c r="H17" s="22" t="inlineStr"/>
    </row>
    <row r="18" ht="22" customHeight="1">
      <c r="B18" s="8" t="n">
        <v>4</v>
      </c>
      <c r="C18" s="9" t="inlineStr">
        <is>
          <t>SC/ST academic support sessions</t>
        </is>
      </c>
      <c r="D18" s="10" t="inlineStr">
        <is>
          <t>No.</t>
        </is>
      </c>
      <c r="E18" s="10" t="inlineStr"/>
      <c r="F18" s="10" t="inlineStr"/>
      <c r="G18" s="10">
        <f>IFERROR(ROUND((E18-F18)/IF(F18=0,1,F18)*100,1),"")</f>
        <v/>
      </c>
      <c r="H18" s="10" t="inlineStr"/>
    </row>
    <row r="19" ht="22" customHeight="1">
      <c r="B19" s="40" t="n">
        <v>5</v>
      </c>
      <c r="C19" s="43" t="inlineStr">
        <is>
          <t>SC/ST grievances received</t>
        </is>
      </c>
      <c r="D19" s="22" t="inlineStr">
        <is>
          <t>No.</t>
        </is>
      </c>
      <c r="E19" s="22" t="inlineStr"/>
      <c r="F19" s="22" t="inlineStr"/>
      <c r="G19" s="22">
        <f>IFERROR(ROUND((E19-F19)/IF(F19=0,1,F19)*100,1),"")</f>
        <v/>
      </c>
      <c r="H19" s="22" t="inlineStr"/>
    </row>
    <row r="20" ht="22" customHeight="1">
      <c r="B20" s="8" t="n">
        <v>6</v>
      </c>
      <c r="C20" s="9" t="inlineStr">
        <is>
          <t>Atrocity complaints — reported to authority</t>
        </is>
      </c>
      <c r="D20" s="10" t="inlineStr">
        <is>
          <t>No.</t>
        </is>
      </c>
      <c r="E20" s="10" t="inlineStr"/>
      <c r="F20" s="10" t="inlineStr"/>
      <c r="G20" s="10">
        <f>IFERROR(ROUND((E20-F20)/IF(F20=0,1,F20)*100,1),"")</f>
        <v/>
      </c>
      <c r="H20" s="10" t="inlineStr"/>
    </row>
    <row r="21" ht="22" customHeight="1"/>
    <row r="22" ht="24" customHeight="1">
      <c r="B22" s="73" t="inlineStr">
        <is>
          <t>SECTION 3 — OBC/EWS CELL</t>
        </is>
      </c>
    </row>
    <row r="23" ht="22" customHeight="1">
      <c r="B23" s="53" t="inlineStr">
        <is>
          <t>Sl.</t>
        </is>
      </c>
      <c r="C23" s="53" t="inlineStr">
        <is>
          <t>Performance Metric</t>
        </is>
      </c>
      <c r="D23" s="53" t="inlineStr">
        <is>
          <t>Unit</t>
        </is>
      </c>
      <c r="E23" s="53" t="inlineStr">
        <is>
          <t>Current A.Y.</t>
        </is>
      </c>
      <c r="F23" s="53" t="inlineStr">
        <is>
          <t>Previous A.Y.</t>
        </is>
      </c>
      <c r="G23" s="53" t="inlineStr">
        <is>
          <t>Growth %</t>
        </is>
      </c>
      <c r="H23" s="53" t="inlineStr">
        <is>
          <t>Target Next Year</t>
        </is>
      </c>
    </row>
    <row r="24" ht="22" customHeight="1">
      <c r="B24" s="54" t="n">
        <v>1</v>
      </c>
      <c r="C24" s="55" t="inlineStr">
        <is>
          <t>OBC students enrolled</t>
        </is>
      </c>
      <c r="D24" s="56" t="inlineStr">
        <is>
          <t>No.</t>
        </is>
      </c>
      <c r="E24" s="56" t="inlineStr"/>
      <c r="F24" s="56" t="inlineStr"/>
      <c r="G24" s="56">
        <f>IFERROR(ROUND((E24-F24)/IF(F24=0,1,F24)*100,1),"")</f>
        <v/>
      </c>
      <c r="H24" s="56" t="inlineStr"/>
    </row>
    <row r="25" ht="22" customHeight="1">
      <c r="B25" s="8" t="n">
        <v>2</v>
      </c>
      <c r="C25" s="9" t="inlineStr">
        <is>
          <t>EWS students enrolled</t>
        </is>
      </c>
      <c r="D25" s="10" t="inlineStr">
        <is>
          <t>No.</t>
        </is>
      </c>
      <c r="E25" s="10" t="inlineStr"/>
      <c r="F25" s="10" t="inlineStr"/>
      <c r="G25" s="10">
        <f>IFERROR(ROUND((E25-F25)/IF(F25=0,1,F25)*100,1),"")</f>
        <v/>
      </c>
      <c r="H25" s="10" t="inlineStr"/>
    </row>
    <row r="26" ht="22" customHeight="1">
      <c r="B26" s="54" t="n">
        <v>3</v>
      </c>
      <c r="C26" s="55" t="inlineStr">
        <is>
          <t>OBC scholarships disbursed</t>
        </is>
      </c>
      <c r="D26" s="56" t="inlineStr">
        <is>
          <t>No. / ₹</t>
        </is>
      </c>
      <c r="E26" s="56" t="inlineStr"/>
      <c r="F26" s="56" t="inlineStr"/>
      <c r="G26" s="56">
        <f>IFERROR(ROUND((E26-F26)/IF(F26=0,1,F26)*100,1),"")</f>
        <v/>
      </c>
      <c r="H26" s="56" t="inlineStr"/>
    </row>
    <row r="27" ht="22" customHeight="1">
      <c r="B27" s="8" t="n">
        <v>4</v>
      </c>
      <c r="C27" s="9" t="inlineStr">
        <is>
          <t>NCL verified (% of OBC students)</t>
        </is>
      </c>
      <c r="D27" s="10" t="inlineStr">
        <is>
          <t>% verified</t>
        </is>
      </c>
      <c r="E27" s="10" t="inlineStr"/>
      <c r="F27" s="10" t="inlineStr"/>
      <c r="G27" s="10">
        <f>IFERROR(ROUND((E27-F27)/IF(F27=0,1,F27)*100,1),"")</f>
        <v/>
      </c>
      <c r="H27" s="10" t="inlineStr"/>
    </row>
    <row r="28" ht="22" customHeight="1">
      <c r="B28" s="54" t="n">
        <v>5</v>
      </c>
      <c r="C28" s="55" t="inlineStr">
        <is>
          <t>OBC/EWS grievances resolved</t>
        </is>
      </c>
      <c r="D28" s="56" t="inlineStr">
        <is>
          <t>No.</t>
        </is>
      </c>
      <c r="E28" s="56" t="inlineStr"/>
      <c r="F28" s="56" t="inlineStr"/>
      <c r="G28" s="56">
        <f>IFERROR(ROUND((E28-F28)/IF(F28=0,1,F28)*100,1),"")</f>
        <v/>
      </c>
      <c r="H28" s="56" t="inlineStr"/>
    </row>
    <row r="29" ht="22" customHeight="1">
      <c r="B29" s="8" t="n">
        <v>6</v>
      </c>
      <c r="C29" s="9" t="inlineStr">
        <is>
          <t>OBC/EWS academic support sessions</t>
        </is>
      </c>
      <c r="D29" s="10" t="inlineStr">
        <is>
          <t>No.</t>
        </is>
      </c>
      <c r="E29" s="10" t="inlineStr"/>
      <c r="F29" s="10" t="inlineStr"/>
      <c r="G29" s="10">
        <f>IFERROR(ROUND((E29-F29)/IF(F29=0,1,F29)*100,1),"")</f>
        <v/>
      </c>
      <c r="H29" s="10" t="inlineStr"/>
    </row>
    <row r="30" ht="22" customHeight="1"/>
    <row r="31" ht="24" customHeight="1">
      <c r="B31" s="75" t="inlineStr">
        <is>
          <t>SECTION 4 — MINORITY &amp; DIVYANGJAN</t>
        </is>
      </c>
    </row>
    <row r="32" ht="22" customHeight="1">
      <c r="B32" s="58" t="inlineStr">
        <is>
          <t>Sl.</t>
        </is>
      </c>
      <c r="C32" s="58" t="inlineStr">
        <is>
          <t>Performance Metric</t>
        </is>
      </c>
      <c r="D32" s="58" t="inlineStr">
        <is>
          <t>Unit</t>
        </is>
      </c>
      <c r="E32" s="58" t="inlineStr">
        <is>
          <t>Current A.Y.</t>
        </is>
      </c>
      <c r="F32" s="58" t="inlineStr">
        <is>
          <t>Previous A.Y.</t>
        </is>
      </c>
      <c r="G32" s="58" t="inlineStr">
        <is>
          <t>Growth %</t>
        </is>
      </c>
      <c r="H32" s="58" t="inlineStr">
        <is>
          <t>Target Next Year</t>
        </is>
      </c>
    </row>
    <row r="33" ht="22" customHeight="1">
      <c r="B33" s="59" t="n">
        <v>1</v>
      </c>
      <c r="C33" s="60" t="inlineStr">
        <is>
          <t>Minority students enrolled</t>
        </is>
      </c>
      <c r="D33" s="61" t="inlineStr">
        <is>
          <t>No.</t>
        </is>
      </c>
      <c r="E33" s="61" t="inlineStr"/>
      <c r="F33" s="61" t="inlineStr"/>
      <c r="G33" s="61">
        <f>IFERROR(ROUND((E33-F33)/IF(F33=0,1,F33)*100,1),"")</f>
        <v/>
      </c>
      <c r="H33" s="61" t="inlineStr"/>
    </row>
    <row r="34" ht="22" customHeight="1">
      <c r="B34" s="8" t="n">
        <v>2</v>
      </c>
      <c r="C34" s="9" t="inlineStr">
        <is>
          <t>Minority scholarships disbursed</t>
        </is>
      </c>
      <c r="D34" s="10" t="inlineStr">
        <is>
          <t>No. / ₹</t>
        </is>
      </c>
      <c r="E34" s="10" t="inlineStr"/>
      <c r="F34" s="10" t="inlineStr"/>
      <c r="G34" s="10">
        <f>IFERROR(ROUND((E34-F34)/IF(F34=0,1,F34)*100,1),"")</f>
        <v/>
      </c>
      <c r="H34" s="10" t="inlineStr"/>
    </row>
    <row r="35" ht="22" customHeight="1">
      <c r="B35" s="59" t="n">
        <v>3</v>
      </c>
      <c r="C35" s="60" t="inlineStr">
        <is>
          <t>Divyangjan students enrolled</t>
        </is>
      </c>
      <c r="D35" s="61" t="inlineStr">
        <is>
          <t>No.</t>
        </is>
      </c>
      <c r="E35" s="61" t="inlineStr"/>
      <c r="F35" s="61" t="inlineStr"/>
      <c r="G35" s="61">
        <f>IFERROR(ROUND((E35-F35)/IF(F35=0,1,F35)*100,1),"")</f>
        <v/>
      </c>
      <c r="H35" s="61" t="inlineStr"/>
    </row>
    <row r="36" ht="22" customHeight="1">
      <c r="B36" s="8" t="n">
        <v>4</v>
      </c>
      <c r="C36" s="9" t="inlineStr">
        <is>
          <t>Divyangjan scholarships disbursed</t>
        </is>
      </c>
      <c r="D36" s="10" t="inlineStr">
        <is>
          <t>No. / ₹</t>
        </is>
      </c>
      <c r="E36" s="10" t="inlineStr"/>
      <c r="F36" s="10" t="inlineStr"/>
      <c r="G36" s="10">
        <f>IFERROR(ROUND((E36-F36)/IF(F36=0,1,F36)*100,1),"")</f>
        <v/>
      </c>
      <c r="H36" s="10" t="inlineStr"/>
    </row>
    <row r="37" ht="22" customHeight="1">
      <c r="B37" s="59" t="n">
        <v>5</v>
      </c>
      <c r="C37" s="60" t="inlineStr">
        <is>
          <t>Accessibility audit score (/5)</t>
        </is>
      </c>
      <c r="D37" s="61" t="inlineStr">
        <is>
          <t>Score</t>
        </is>
      </c>
      <c r="E37" s="61" t="inlineStr"/>
      <c r="F37" s="61" t="inlineStr"/>
      <c r="G37" s="61">
        <f>IFERROR(ROUND((E37-F37)/IF(F37=0,1,F37)*100,1),"")</f>
        <v/>
      </c>
      <c r="H37" s="61" t="inlineStr"/>
    </row>
    <row r="38" ht="22" customHeight="1">
      <c r="B38" s="8" t="n">
        <v>6</v>
      </c>
      <c r="C38" s="9" t="inlineStr">
        <is>
          <t>Accessibility improvements made</t>
        </is>
      </c>
      <c r="D38" s="10" t="inlineStr">
        <is>
          <t>No.</t>
        </is>
      </c>
      <c r="E38" s="10" t="inlineStr"/>
      <c r="F38" s="10" t="inlineStr"/>
      <c r="G38" s="10">
        <f>IFERROR(ROUND((E38-F38)/IF(F38=0,1,F38)*100,1),"")</f>
        <v/>
      </c>
      <c r="H38" s="10" t="inlineStr"/>
    </row>
    <row r="39" ht="22" customHeight="1"/>
    <row r="40" ht="24" customHeight="1">
      <c r="B40" s="34" t="inlineStr">
        <is>
          <t>SECTION 5 — SCHOLARSHIPS (ALL CATEGORIES)</t>
        </is>
      </c>
    </row>
    <row r="41" ht="22" customHeight="1">
      <c r="B41" s="30" t="inlineStr">
        <is>
          <t>Sl.</t>
        </is>
      </c>
      <c r="C41" s="30" t="inlineStr">
        <is>
          <t>Performance Metric</t>
        </is>
      </c>
      <c r="D41" s="30" t="inlineStr">
        <is>
          <t>Unit</t>
        </is>
      </c>
      <c r="E41" s="30" t="inlineStr">
        <is>
          <t>Current A.Y.</t>
        </is>
      </c>
      <c r="F41" s="30" t="inlineStr">
        <is>
          <t>Previous A.Y.</t>
        </is>
      </c>
      <c r="G41" s="30" t="inlineStr">
        <is>
          <t>Growth %</t>
        </is>
      </c>
      <c r="H41" s="30" t="inlineStr">
        <is>
          <t>Target Next Year</t>
        </is>
      </c>
    </row>
    <row r="42" ht="22" customHeight="1">
      <c r="B42" s="31" t="n">
        <v>1</v>
      </c>
      <c r="C42" s="32" t="inlineStr">
        <is>
          <t>Total students receiving scholarships</t>
        </is>
      </c>
      <c r="D42" s="33" t="inlineStr">
        <is>
          <t>No.</t>
        </is>
      </c>
      <c r="E42" s="33" t="inlineStr"/>
      <c r="F42" s="33" t="inlineStr"/>
      <c r="G42" s="33">
        <f>IFERROR(ROUND((E42-F42)/IF(F42=0,1,F42)*100,1),"")</f>
        <v/>
      </c>
      <c r="H42" s="33" t="inlineStr"/>
    </row>
    <row r="43" ht="22" customHeight="1">
      <c r="B43" s="8" t="n">
        <v>2</v>
      </c>
      <c r="C43" s="9" t="inlineStr">
        <is>
          <t>Total scholarship amount disbursed (₹L)</t>
        </is>
      </c>
      <c r="D43" s="10" t="inlineStr">
        <is>
          <t>₹L</t>
        </is>
      </c>
      <c r="E43" s="10" t="inlineStr"/>
      <c r="F43" s="10" t="inlineStr"/>
      <c r="G43" s="10">
        <f>IFERROR(ROUND((E43-F43)/IF(F43=0,1,F43)*100,1),"")</f>
        <v/>
      </c>
      <c r="H43" s="10" t="inlineStr"/>
    </row>
    <row r="44" ht="22" customHeight="1">
      <c r="B44" s="31" t="n">
        <v>3</v>
      </c>
      <c r="C44" s="32" t="inlineStr">
        <is>
          <t>Central government scholarships</t>
        </is>
      </c>
      <c r="D44" s="33" t="inlineStr">
        <is>
          <t>No. / ₹</t>
        </is>
      </c>
      <c r="E44" s="33" t="inlineStr"/>
      <c r="F44" s="33" t="inlineStr"/>
      <c r="G44" s="33">
        <f>IFERROR(ROUND((E44-F44)/IF(F44=0,1,F44)*100,1),"")</f>
        <v/>
      </c>
      <c r="H44" s="33" t="inlineStr"/>
    </row>
    <row r="45" ht="22" customHeight="1">
      <c r="B45" s="8" t="n">
        <v>4</v>
      </c>
      <c r="C45" s="9" t="inlineStr">
        <is>
          <t>State government scholarships</t>
        </is>
      </c>
      <c r="D45" s="10" t="inlineStr">
        <is>
          <t>No. / ₹</t>
        </is>
      </c>
      <c r="E45" s="10" t="inlineStr"/>
      <c r="F45" s="10" t="inlineStr"/>
      <c r="G45" s="10">
        <f>IFERROR(ROUND((E45-F45)/IF(F45=0,1,F45)*100,1),"")</f>
        <v/>
      </c>
      <c r="H45" s="10" t="inlineStr"/>
    </row>
    <row r="46" ht="22" customHeight="1">
      <c r="B46" s="31" t="n">
        <v>5</v>
      </c>
      <c r="C46" s="32" t="inlineStr">
        <is>
          <t>Institutional scholarships / concessions</t>
        </is>
      </c>
      <c r="D46" s="33" t="inlineStr">
        <is>
          <t>No. / ₹</t>
        </is>
      </c>
      <c r="E46" s="33" t="inlineStr"/>
      <c r="F46" s="33" t="inlineStr"/>
      <c r="G46" s="33">
        <f>IFERROR(ROUND((E46-F46)/IF(F46=0,1,F46)*100,1),"")</f>
        <v/>
      </c>
      <c r="H46" s="33" t="inlineStr"/>
    </row>
    <row r="47" ht="22" customHeight="1">
      <c r="B47" s="8" t="n">
        <v>6</v>
      </c>
      <c r="C47" s="9" t="inlineStr">
        <is>
          <t>Scholarship disbursement rate (%)</t>
        </is>
      </c>
      <c r="D47" s="10" t="inlineStr">
        <is>
          <t>% received</t>
        </is>
      </c>
      <c r="E47" s="10" t="inlineStr"/>
      <c r="F47" s="10" t="inlineStr"/>
      <c r="G47" s="10">
        <f>IFERROR(ROUND((E47-F47)/IF(F47=0,1,F47)*100,1),"")</f>
        <v/>
      </c>
      <c r="H47" s="10" t="inlineStr"/>
    </row>
    <row r="48" ht="22" customHeight="1"/>
    <row r="49" ht="24" customHeight="1">
      <c r="B49" s="77" t="inlineStr">
        <is>
          <t>SECTION 6 — WOMEN WELFARE</t>
        </is>
      </c>
    </row>
    <row r="50" ht="22" customHeight="1">
      <c r="B50" s="78" t="inlineStr">
        <is>
          <t>Sl.</t>
        </is>
      </c>
      <c r="C50" s="78" t="inlineStr">
        <is>
          <t>Performance Metric</t>
        </is>
      </c>
      <c r="D50" s="78" t="inlineStr">
        <is>
          <t>Unit</t>
        </is>
      </c>
      <c r="E50" s="78" t="inlineStr">
        <is>
          <t>Current A.Y.</t>
        </is>
      </c>
      <c r="F50" s="78" t="inlineStr">
        <is>
          <t>Previous A.Y.</t>
        </is>
      </c>
      <c r="G50" s="78" t="inlineStr">
        <is>
          <t>Growth %</t>
        </is>
      </c>
      <c r="H50" s="78" t="inlineStr">
        <is>
          <t>Target Next Year</t>
        </is>
      </c>
    </row>
    <row r="51" ht="22" customHeight="1">
      <c r="B51" s="79" t="n">
        <v>1</v>
      </c>
      <c r="C51" s="80" t="inlineStr">
        <is>
          <t>Women students enrolled</t>
        </is>
      </c>
      <c r="D51" s="81" t="inlineStr">
        <is>
          <t>No.</t>
        </is>
      </c>
      <c r="E51" s="81" t="inlineStr"/>
      <c r="F51" s="81" t="inlineStr"/>
      <c r="G51" s="81">
        <f>IFERROR(ROUND((E51-F51)/IF(F51=0,1,F51)*100,1),"")</f>
        <v/>
      </c>
      <c r="H51" s="81" t="inlineStr"/>
    </row>
    <row r="52" ht="22" customHeight="1">
      <c r="B52" s="8" t="n">
        <v>2</v>
      </c>
      <c r="C52" s="9" t="inlineStr">
        <is>
          <t>Women welfare complaints resolved</t>
        </is>
      </c>
      <c r="D52" s="10" t="inlineStr">
        <is>
          <t>No.</t>
        </is>
      </c>
      <c r="E52" s="10" t="inlineStr"/>
      <c r="F52" s="10" t="inlineStr"/>
      <c r="G52" s="10">
        <f>IFERROR(ROUND((E52-F52)/IF(F52=0,1,F52)*100,1),"")</f>
        <v/>
      </c>
      <c r="H52" s="10" t="inlineStr"/>
    </row>
    <row r="53" ht="22" customHeight="1">
      <c r="B53" s="79" t="n">
        <v>3</v>
      </c>
      <c r="C53" s="80" t="inlineStr">
        <is>
          <t>Women empowerment programmes</t>
        </is>
      </c>
      <c r="D53" s="81" t="inlineStr">
        <is>
          <t>No.</t>
        </is>
      </c>
      <c r="E53" s="81" t="inlineStr"/>
      <c r="F53" s="81" t="inlineStr"/>
      <c r="G53" s="81">
        <f>IFERROR(ROUND((E53-F53)/IF(F53=0,1,F53)*100,1),"")</f>
        <v/>
      </c>
      <c r="H53" s="81" t="inlineStr"/>
    </row>
    <row r="54" ht="22" customHeight="1">
      <c r="B54" s="8" t="n">
        <v>4</v>
      </c>
      <c r="C54" s="9" t="inlineStr">
        <is>
          <t>Students in Women Safety events</t>
        </is>
      </c>
      <c r="D54" s="10" t="inlineStr">
        <is>
          <t>No.</t>
        </is>
      </c>
      <c r="E54" s="10" t="inlineStr"/>
      <c r="F54" s="10" t="inlineStr"/>
      <c r="G54" s="10">
        <f>IFERROR(ROUND((E54-F54)/IF(F54=0,1,F54)*100,1),"")</f>
        <v/>
      </c>
      <c r="H54" s="10" t="inlineStr"/>
    </row>
    <row r="55" ht="22" customHeight="1">
      <c r="B55" s="79" t="n">
        <v>5</v>
      </c>
      <c r="C55" s="80" t="inlineStr">
        <is>
          <t>Women student satisfaction score (/5)</t>
        </is>
      </c>
      <c r="D55" s="81" t="inlineStr">
        <is>
          <t>Score</t>
        </is>
      </c>
      <c r="E55" s="81" t="inlineStr"/>
      <c r="F55" s="81" t="inlineStr"/>
      <c r="G55" s="81">
        <f>IFERROR(ROUND((E55-F55)/IF(F55=0,1,F55)*100,1),"")</f>
        <v/>
      </c>
      <c r="H55" s="81" t="inlineStr"/>
    </row>
    <row r="56" ht="22" customHeight="1">
      <c r="B56" s="8" t="n">
        <v>6</v>
      </c>
      <c r="C56" s="9" t="inlineStr">
        <is>
          <t>NAAC / UGC women welfare data submitted</t>
        </is>
      </c>
      <c r="D56" s="10" t="inlineStr">
        <is>
          <t>Y/N</t>
        </is>
      </c>
      <c r="E56" s="10" t="inlineStr"/>
      <c r="F56" s="10" t="inlineStr"/>
      <c r="G56" s="10">
        <f>IFERROR(ROUND((E56-F56)/IF(F56=0,1,F56)*100,1),"")</f>
        <v/>
      </c>
      <c r="H56" s="10" t="inlineStr"/>
    </row>
    <row r="57" ht="22" customHeight="1"/>
    <row r="58" ht="20" customHeight="1">
      <c r="B58" s="17" t="inlineStr">
        <is>
          <t>Annual Report submitted to: Principal, IQAC (AQAR Criterion V.1 — Student Support; V.2 — Student Progression), NAAC SSR, UGC, State Higher Education Dept., Governing Body. SC/ST data to Liaison Officer / Registrar.</t>
        </is>
      </c>
    </row>
    <row r="59" ht="22" customHeight="1">
      <c r="B59" s="29" t="inlineStr">
        <is>
          <t>Welfare Coordinator: ___________________    SWC Chairperson: ___________________    IQAC Coordinator: ___________________    Date: ___________________</t>
        </is>
      </c>
    </row>
    <row r="60" ht="22" customHeight="1"/>
    <row r="61" ht="22" customHeight="1"/>
    <row r="62" ht="22" customHeight="1"/>
    <row r="63" ht="22" customHeight="1"/>
    <row r="64" ht="22" customHeight="1"/>
  </sheetData>
  <mergeCells count="10">
    <mergeCell ref="B22:H22"/>
    <mergeCell ref="B40:H40"/>
    <mergeCell ref="B58:H58"/>
    <mergeCell ref="B13:H13"/>
    <mergeCell ref="B49:H49"/>
    <mergeCell ref="B4:H4"/>
    <mergeCell ref="B2:H2"/>
    <mergeCell ref="B59:H59"/>
    <mergeCell ref="B3:H3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2026-04-24T12:03:35Z</dcterms:created>
  <dcterms:modified xmlns:dcterms="http://purl.org/dc/terms/" xmlns:xsi="http://www.w3.org/2001/XMLSchema-instance" xsi:type="dcterms:W3CDTF">2026-04-24T12:03:36Z</dcterms:modified>
</cp:coreProperties>
</file>