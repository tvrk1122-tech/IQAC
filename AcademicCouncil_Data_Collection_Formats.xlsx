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C-01 Members Register" sheetId="2" state="visible" r:id="rId2"/>
    <sheet xmlns:r="http://schemas.openxmlformats.org/officeDocument/2006/relationships" name="AC-02 Notice &amp; Agenda" sheetId="3" state="visible" r:id="rId3"/>
    <sheet xmlns:r="http://schemas.openxmlformats.org/officeDocument/2006/relationships" name="AC-03 Attendance &amp; Quorum" sheetId="4" state="visible" r:id="rId4"/>
    <sheet xmlns:r="http://schemas.openxmlformats.org/officeDocument/2006/relationships" name="AC-04 Minutes &amp; Resolutions" sheetId="5" state="visible" r:id="rId5"/>
    <sheet xmlns:r="http://schemas.openxmlformats.org/officeDocument/2006/relationships" name="AC-05 Action Taken Report" sheetId="6" state="visible" r:id="rId6"/>
    <sheet xmlns:r="http://schemas.openxmlformats.org/officeDocument/2006/relationships" name="AC-06 BoS Rec Tracker" sheetId="7" state="visible" r:id="rId7"/>
    <sheet xmlns:r="http://schemas.openxmlformats.org/officeDocument/2006/relationships" name="AC-07 Academic Cal" sheetId="8" state="visible" r:id="rId8"/>
    <sheet xmlns:r="http://schemas.openxmlformats.org/officeDocument/2006/relationships" name="AC-08 Exam Scheme" sheetId="9" state="visible" r:id="rId9"/>
    <sheet xmlns:r="http://schemas.openxmlformats.org/officeDocument/2006/relationships" name="AC-09 Results Ratif" sheetId="10" state="visible" r:id="rId10"/>
    <sheet xmlns:r="http://schemas.openxmlformats.org/officeDocument/2006/relationships" name="AC-10 Compliance" sheetId="11" state="visible" r:id="rId11"/>
    <sheet xmlns:r="http://schemas.openxmlformats.org/officeDocument/2006/relationships" name="AC-11 Research" sheetId="12" state="visible" r:id="rId12"/>
    <sheet xmlns:r="http://schemas.openxmlformats.org/officeDocument/2006/relationships" name="AC-12 Faculty Dev" sheetId="13" state="visible" r:id="rId13"/>
    <sheet xmlns:r="http://schemas.openxmlformats.org/officeDocument/2006/relationships" name="AC-13 Recommend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0D1F3C"/>
      <sz val="9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color rgb="006B728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7D5A00"/>
      <sz val="9"/>
    </font>
    <font>
      <name val="Arial"/>
      <b val="1"/>
      <color rgb="000D1F3C"/>
      <sz val="10"/>
    </font>
    <font>
      <name val="Arial"/>
      <b val="1"/>
      <color rgb="001A3A6B"/>
      <sz val="10"/>
    </font>
    <font>
      <name val="Arial"/>
      <b val="1"/>
      <color rgb="002E7D52"/>
      <sz val="10"/>
    </font>
    <font>
      <name val="Arial"/>
      <color rgb="001F2937"/>
      <sz val="9"/>
    </font>
    <font>
      <name val="Arial"/>
      <b val="1"/>
      <color rgb="000E7490"/>
      <sz val="10"/>
    </font>
  </fonts>
  <fills count="19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D6E4F0"/>
      </patternFill>
    </fill>
    <fill>
      <patternFill patternType="solid">
        <fgColor rgb="00C9A227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1A3A6B"/>
      </patternFill>
    </fill>
    <fill>
      <patternFill patternType="solid">
        <fgColor rgb="00FFF8DC"/>
      </patternFill>
    </fill>
    <fill>
      <patternFill patternType="solid">
        <fgColor rgb="00D5F0E3"/>
      </patternFill>
    </fill>
    <fill>
      <patternFill patternType="solid">
        <fgColor rgb="00E5E7EB"/>
      </patternFill>
    </fill>
    <fill>
      <patternFill patternType="solid">
        <fgColor rgb="003B0764"/>
      </patternFill>
    </fill>
    <fill>
      <patternFill patternType="solid">
        <fgColor rgb="006B21A8"/>
      </patternFill>
    </fill>
    <fill>
      <patternFill patternType="solid">
        <fgColor rgb="00EDE9FE"/>
      </patternFill>
    </fill>
    <fill>
      <patternFill patternType="solid">
        <fgColor rgb="000E7490"/>
      </patternFill>
    </fill>
    <fill>
      <patternFill patternType="solid">
        <fgColor rgb="00CFFAFE"/>
      </patternFill>
    </fill>
    <fill>
      <patternFill patternType="solid">
        <fgColor rgb="002E7D52"/>
      </patternFill>
    </fill>
    <fill>
      <patternFill patternType="solid">
        <fgColor rgb="004338CA"/>
      </patternFill>
    </fill>
    <fill>
      <patternFill patternType="solid">
        <fgColor rgb="00E0E7FF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7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4" customWidth="1" min="3" max="3"/>
    <col width="30" customWidth="1" min="4" max="4"/>
    <col width="18" customWidth="1" min="5" max="5"/>
    <col width="3" customWidth="1" min="6" max="6"/>
  </cols>
  <sheetData>
    <row r="1" ht="10" customHeight="1"/>
    <row r="2" ht="60" customHeight="1">
      <c r="B2" s="1" t="inlineStr">
        <is>
          <t>ACADEMIC COUNCIL (AC)
Data Collection Formats — Master Workbook</t>
        </is>
      </c>
    </row>
    <row r="3" ht="28" customHeight="1">
      <c r="B3" s="2" t="inlineStr">
        <is>
          <t>Institution: _________________________  Prepared by: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2" customHeight="1">
      <c r="B5" s="4" t="inlineStr">
        <is>
          <t>AC-01</t>
        </is>
      </c>
      <c r="C5" s="5" t="inlineStr">
        <is>
          <t>AC Composition &amp; Members Register</t>
        </is>
      </c>
      <c r="D5" s="5" t="inlineStr">
        <is>
          <t>Record all member details, categories &amp; terms</t>
        </is>
      </c>
      <c r="E5" s="6" t="inlineStr">
        <is>
          <t>Annual / On Change</t>
        </is>
      </c>
    </row>
    <row r="6" ht="22" customHeight="1">
      <c r="B6" s="7" t="inlineStr">
        <is>
          <t>AC-02</t>
        </is>
      </c>
      <c r="C6" s="8" t="inlineStr">
        <is>
          <t>Meeting Notice, Agenda &amp; Circular</t>
        </is>
      </c>
      <c r="D6" s="8" t="inlineStr">
        <is>
          <t>Official notice, agenda dispatch, circulation record</t>
        </is>
      </c>
      <c r="E6" s="9" t="inlineStr">
        <is>
          <t>Each Meeting</t>
        </is>
      </c>
    </row>
    <row r="7" ht="22" customHeight="1">
      <c r="B7" s="4" t="inlineStr">
        <is>
          <t>AC-03</t>
        </is>
      </c>
      <c r="C7" s="5" t="inlineStr">
        <is>
          <t>Attendance, Quorum &amp; Proxy Register</t>
        </is>
      </c>
      <c r="D7" s="5" t="inlineStr">
        <is>
          <t>Confirm attendance, quorum validity, proxy details</t>
        </is>
      </c>
      <c r="E7" s="6" t="inlineStr">
        <is>
          <t>Each Meeting</t>
        </is>
      </c>
    </row>
    <row r="8" ht="22" customHeight="1">
      <c r="B8" s="7" t="inlineStr">
        <is>
          <t>AC-04</t>
        </is>
      </c>
      <c r="C8" s="8" t="inlineStr">
        <is>
          <t>Meeting Minutes &amp; Resolutions</t>
        </is>
      </c>
      <c r="D8" s="8" t="inlineStr">
        <is>
          <t>Formal minutes, resolutions, voting records</t>
        </is>
      </c>
      <c r="E8" s="9" t="inlineStr">
        <is>
          <t>Each Meeting</t>
        </is>
      </c>
    </row>
    <row r="9" ht="22" customHeight="1">
      <c r="B9" s="4" t="inlineStr">
        <is>
          <t>AC-05</t>
        </is>
      </c>
      <c r="C9" s="5" t="inlineStr">
        <is>
          <t>Action Taken Report (ATR)</t>
        </is>
      </c>
      <c r="D9" s="5" t="inlineStr">
        <is>
          <t>Track implementation of AC resolutions</t>
        </is>
      </c>
      <c r="E9" s="6" t="inlineStr">
        <is>
          <t>Each Meeting</t>
        </is>
      </c>
    </row>
    <row r="10" ht="22" customHeight="1">
      <c r="B10" s="7" t="inlineStr">
        <is>
          <t>AC-06</t>
        </is>
      </c>
      <c r="C10" s="8" t="inlineStr">
        <is>
          <t>BoS Recommendation Approval Tracker</t>
        </is>
      </c>
      <c r="D10" s="8" t="inlineStr">
        <is>
          <t>Review &amp; approve BoS recommendations forwarded to AC</t>
        </is>
      </c>
      <c r="E10" s="9" t="inlineStr">
        <is>
          <t>Each Meeting</t>
        </is>
      </c>
    </row>
    <row r="11" ht="22" customHeight="1">
      <c r="B11" s="4" t="inlineStr">
        <is>
          <t>AC-07</t>
        </is>
      </c>
      <c r="C11" s="5" t="inlineStr">
        <is>
          <t>Academic Calendar Approval Form</t>
        </is>
      </c>
      <c r="D11" s="5" t="inlineStr">
        <is>
          <t>Prepare, review &amp; approve institutional academic calendar</t>
        </is>
      </c>
      <c r="E11" s="6" t="inlineStr">
        <is>
          <t>Annual</t>
        </is>
      </c>
    </row>
    <row r="12" ht="22" customHeight="1">
      <c r="B12" s="7" t="inlineStr">
        <is>
          <t>AC-08</t>
        </is>
      </c>
      <c r="C12" s="8" t="inlineStr">
        <is>
          <t>Examination Scheme Approval Form</t>
        </is>
      </c>
      <c r="D12" s="8" t="inlineStr">
        <is>
          <t>Approve examination schedule, norms &amp; conduct rules</t>
        </is>
      </c>
      <c r="E12" s="9" t="inlineStr">
        <is>
          <t>Each Semester</t>
        </is>
      </c>
    </row>
    <row r="13" ht="22" customHeight="1">
      <c r="B13" s="4" t="inlineStr">
        <is>
          <t>AC-09</t>
        </is>
      </c>
      <c r="C13" s="5" t="inlineStr">
        <is>
          <t>Results Ratification Register</t>
        </is>
      </c>
      <c r="D13" s="5" t="inlineStr">
        <is>
          <t>Ratify semester examination results &amp; granting of degrees</t>
        </is>
      </c>
      <c r="E13" s="6" t="inlineStr">
        <is>
          <t>Each Semester</t>
        </is>
      </c>
    </row>
    <row r="14" ht="22" customHeight="1">
      <c r="B14" s="7" t="inlineStr">
        <is>
          <t>AC-10</t>
        </is>
      </c>
      <c r="C14" s="8" t="inlineStr">
        <is>
          <t>Statutory Compliance &amp; Audit Checklist</t>
        </is>
      </c>
      <c r="D14" s="8" t="inlineStr">
        <is>
          <t>Verify UGC/AICTE/University compliance status</t>
        </is>
      </c>
      <c r="E14" s="9" t="inlineStr">
        <is>
          <t>Annual</t>
        </is>
      </c>
    </row>
    <row r="15" ht="22" customHeight="1">
      <c r="B15" s="4" t="inlineStr">
        <is>
          <t>AC-11</t>
        </is>
      </c>
      <c r="C15" s="5" t="inlineStr">
        <is>
          <t>Research &amp; Innovation Report</t>
        </is>
      </c>
      <c r="D15" s="5" t="inlineStr">
        <is>
          <t>Document R&amp;D, publications, patents, grants</t>
        </is>
      </c>
      <c r="E15" s="6" t="inlineStr">
        <is>
          <t>Annual</t>
        </is>
      </c>
    </row>
    <row r="16" ht="22" customHeight="1">
      <c r="B16" s="7" t="inlineStr">
        <is>
          <t>AC-12</t>
        </is>
      </c>
      <c r="C16" s="8" t="inlineStr">
        <is>
          <t>Faculty Development &amp; Appraisal Summary</t>
        </is>
      </c>
      <c r="D16" s="8" t="inlineStr">
        <is>
          <t>Review faculty performance, training &amp; promotions</t>
        </is>
      </c>
      <c r="E16" s="9" t="inlineStr">
        <is>
          <t>Annual</t>
        </is>
      </c>
    </row>
    <row r="17" ht="22" customHeight="1">
      <c r="B17" s="4" t="inlineStr">
        <is>
          <t>AC-13</t>
        </is>
      </c>
      <c r="C17" s="5" t="inlineStr">
        <is>
          <t>AC Recommendations &amp; Follow-up Register</t>
        </is>
      </c>
      <c r="D17" s="5" t="inlineStr">
        <is>
          <t>Cumulative log of all AC recommendations &amp; status</t>
        </is>
      </c>
      <c r="E17" s="6" t="inlineStr">
        <is>
          <t>Cumulative</t>
        </is>
      </c>
    </row>
    <row r="18" ht="22" customHeight="1"/>
    <row r="19" ht="22" customHeight="1">
      <c r="B19" s="10" t="inlineStr">
        <is>
          <t>• One workbook per institution per academic year.</t>
        </is>
      </c>
    </row>
    <row r="20" ht="22" customHeight="1">
      <c r="B20" s="10" t="inlineStr">
        <is>
          <t>• AC = Academic Council  |  BoS = Board of Studies  |  UGC = University Grants Commission  |  AICTE = All India Council for Technical Education</t>
        </is>
      </c>
    </row>
    <row r="21" ht="22" customHeight="1">
      <c r="B21" s="10" t="inlineStr">
        <is>
          <t>• Quorum: Minimum 50% of total AC members must be present (verify against university statutes).</t>
        </is>
      </c>
    </row>
    <row r="22" ht="22" customHeight="1">
      <c r="B22" s="10" t="inlineStr">
        <is>
          <t>• All AC resolutions must be forwarded to the Governing Body / University within prescribed timelines.</t>
        </is>
      </c>
    </row>
    <row r="23" ht="22" customHeight="1">
      <c r="B23" s="10" t="inlineStr">
        <is>
          <t>• Confidential resolutions must be recorded separately and handled per institutional policy.</t>
        </is>
      </c>
    </row>
  </sheetData>
  <mergeCells count="7">
    <mergeCell ref="B23:E23"/>
    <mergeCell ref="B21:E21"/>
    <mergeCell ref="B3:E3"/>
    <mergeCell ref="B19:E19"/>
    <mergeCell ref="B20:E20"/>
    <mergeCell ref="B2:E2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2" customWidth="1" min="4" max="4"/>
    <col width="20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3" customWidth="1" min="11" max="11"/>
  </cols>
  <sheetData>
    <row r="1" ht="10" customHeight="1"/>
    <row r="2" ht="45" customHeight="1">
      <c r="B2" s="11" t="inlineStr">
        <is>
          <t>AC-01: ACADEMIC COUNCIL COMPOSITION &amp; MEMBERS REGISTER</t>
        </is>
      </c>
    </row>
    <row r="3" ht="25" customHeight="1">
      <c r="B3" s="2" t="inlineStr">
        <is>
          <t>Institution: _________________________  Constituted on: _______  Valid upto: _______  Total Strength: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Organisation</t>
        </is>
      </c>
      <c r="E4" s="12" t="inlineStr">
        <is>
          <t>Category</t>
        </is>
      </c>
      <c r="F4" s="12" t="inlineStr">
        <is>
          <t>Expertise Area</t>
        </is>
      </c>
      <c r="G4" s="12" t="inlineStr">
        <is>
          <t>Email</t>
        </is>
      </c>
      <c r="H4" s="12" t="inlineStr">
        <is>
          <t>Mobile</t>
        </is>
      </c>
      <c r="I4" s="12" t="inlineStr">
        <is>
          <t>Term (From–To)</t>
        </is>
      </c>
      <c r="J4" s="12" t="inlineStr">
        <is>
          <t>Signature</t>
        </is>
      </c>
    </row>
    <row r="5" ht="22" customHeight="1">
      <c r="B5" s="13" t="n">
        <v>1</v>
      </c>
      <c r="C5" s="14" t="inlineStr"/>
      <c r="D5" s="15" t="inlineStr">
        <is>
          <t>Chairman (Vice-Chancellor / Principal)</t>
        </is>
      </c>
      <c r="E5" s="16" t="inlineStr">
        <is>
          <t>Chairman (Vice-Chancellor / Principal)</t>
        </is>
      </c>
      <c r="F5" s="14" t="inlineStr"/>
      <c r="G5" s="16" t="inlineStr"/>
      <c r="H5" s="16" t="inlineStr"/>
      <c r="I5" s="16" t="inlineStr"/>
      <c r="J5" s="16" t="inlineStr"/>
    </row>
    <row r="6" ht="22" customHeight="1">
      <c r="B6" s="4" t="n">
        <v>2</v>
      </c>
      <c r="C6" s="5" t="inlineStr"/>
      <c r="D6" s="17" t="inlineStr">
        <is>
          <t>Dean – Academic Affairs</t>
        </is>
      </c>
      <c r="E6" s="6" t="inlineStr">
        <is>
          <t>Dean</t>
        </is>
      </c>
      <c r="F6" s="5" t="inlineStr"/>
      <c r="G6" s="6" t="inlineStr"/>
      <c r="H6" s="6" t="inlineStr"/>
      <c r="I6" s="6" t="inlineStr"/>
      <c r="J6" s="6" t="inlineStr"/>
    </row>
    <row r="7" ht="22" customHeight="1">
      <c r="B7" s="13" t="n">
        <v>3</v>
      </c>
      <c r="C7" s="14" t="inlineStr"/>
      <c r="D7" s="15" t="inlineStr">
        <is>
          <t>Dean – Research &amp; Development</t>
        </is>
      </c>
      <c r="E7" s="16" t="inlineStr">
        <is>
          <t>Dean</t>
        </is>
      </c>
      <c r="F7" s="14" t="inlineStr"/>
      <c r="G7" s="16" t="inlineStr"/>
      <c r="H7" s="16" t="inlineStr"/>
      <c r="I7" s="16" t="inlineStr"/>
      <c r="J7" s="16" t="inlineStr"/>
    </row>
    <row r="8" ht="22" customHeight="1">
      <c r="B8" s="4" t="n">
        <v>4</v>
      </c>
      <c r="C8" s="5" t="inlineStr"/>
      <c r="D8" s="17" t="inlineStr">
        <is>
          <t>Controller of Examinations</t>
        </is>
      </c>
      <c r="E8" s="6" t="inlineStr">
        <is>
          <t>Controller of Examinations</t>
        </is>
      </c>
      <c r="F8" s="5" t="inlineStr"/>
      <c r="G8" s="6" t="inlineStr"/>
      <c r="H8" s="6" t="inlineStr"/>
      <c r="I8" s="6" t="inlineStr"/>
      <c r="J8" s="6" t="inlineStr"/>
    </row>
    <row r="9" ht="22" customHeight="1">
      <c r="B9" s="13" t="n">
        <v>5</v>
      </c>
      <c r="C9" s="14" t="inlineStr"/>
      <c r="D9" s="15" t="inlineStr">
        <is>
          <t>Head of Department (Internal – 1)</t>
        </is>
      </c>
      <c r="E9" s="16" t="inlineStr">
        <is>
          <t>Head of Department (Internal</t>
        </is>
      </c>
      <c r="F9" s="14" t="inlineStr"/>
      <c r="G9" s="16" t="inlineStr"/>
      <c r="H9" s="16" t="inlineStr"/>
      <c r="I9" s="16" t="inlineStr"/>
      <c r="J9" s="16" t="inlineStr"/>
    </row>
    <row r="10" ht="22" customHeight="1">
      <c r="B10" s="4" t="n">
        <v>6</v>
      </c>
      <c r="C10" s="5" t="inlineStr"/>
      <c r="D10" s="17" t="inlineStr">
        <is>
          <t>Head of Department (Internal – 2)</t>
        </is>
      </c>
      <c r="E10" s="6" t="inlineStr">
        <is>
          <t>Head of Department (Internal</t>
        </is>
      </c>
      <c r="F10" s="5" t="inlineStr"/>
      <c r="G10" s="6" t="inlineStr"/>
      <c r="H10" s="6" t="inlineStr"/>
      <c r="I10" s="6" t="inlineStr"/>
      <c r="J10" s="6" t="inlineStr"/>
    </row>
    <row r="11" ht="22" customHeight="1">
      <c r="B11" s="13" t="n">
        <v>7</v>
      </c>
      <c r="C11" s="14" t="inlineStr"/>
      <c r="D11" s="15" t="inlineStr">
        <is>
          <t>Head of Department (Internal – 3)</t>
        </is>
      </c>
      <c r="E11" s="16" t="inlineStr">
        <is>
          <t>Head of Department (Internal</t>
        </is>
      </c>
      <c r="F11" s="14" t="inlineStr"/>
      <c r="G11" s="16" t="inlineStr"/>
      <c r="H11" s="16" t="inlineStr"/>
      <c r="I11" s="16" t="inlineStr"/>
      <c r="J11" s="16" t="inlineStr"/>
    </row>
    <row r="12" ht="22" customHeight="1">
      <c r="B12" s="4" t="n">
        <v>8</v>
      </c>
      <c r="C12" s="5" t="inlineStr"/>
      <c r="D12" s="17" t="inlineStr">
        <is>
          <t>Senior Faculty Representative (Internal)</t>
        </is>
      </c>
      <c r="E12" s="6" t="inlineStr">
        <is>
          <t>Senior Faculty Representative (Internal)</t>
        </is>
      </c>
      <c r="F12" s="5" t="inlineStr"/>
      <c r="G12" s="6" t="inlineStr"/>
      <c r="H12" s="6" t="inlineStr"/>
      <c r="I12" s="6" t="inlineStr"/>
      <c r="J12" s="6" t="inlineStr"/>
    </row>
    <row r="13" ht="22" customHeight="1">
      <c r="B13" s="13" t="n">
        <v>9</v>
      </c>
      <c r="C13" s="14" t="inlineStr"/>
      <c r="D13" s="15" t="inlineStr">
        <is>
          <t>University Nominee</t>
        </is>
      </c>
      <c r="E13" s="16" t="inlineStr">
        <is>
          <t>University Nominee</t>
        </is>
      </c>
      <c r="F13" s="14" t="inlineStr"/>
      <c r="G13" s="16" t="inlineStr"/>
      <c r="H13" s="16" t="inlineStr"/>
      <c r="I13" s="16" t="inlineStr"/>
      <c r="J13" s="16" t="inlineStr"/>
    </row>
    <row r="14" ht="22" customHeight="1">
      <c r="B14" s="4" t="n">
        <v>10</v>
      </c>
      <c r="C14" s="5" t="inlineStr"/>
      <c r="D14" s="17" t="inlineStr">
        <is>
          <t>Industry Expert / Nominee</t>
        </is>
      </c>
      <c r="E14" s="6" t="inlineStr">
        <is>
          <t>Industry Expert / Nominee</t>
        </is>
      </c>
      <c r="F14" s="5" t="inlineStr"/>
      <c r="G14" s="6" t="inlineStr"/>
      <c r="H14" s="6" t="inlineStr"/>
      <c r="I14" s="6" t="inlineStr"/>
      <c r="J14" s="6" t="inlineStr"/>
    </row>
    <row r="15" ht="22" customHeight="1">
      <c r="B15" s="13" t="n">
        <v>11</v>
      </c>
      <c r="C15" s="14" t="inlineStr"/>
      <c r="D15" s="15" t="inlineStr">
        <is>
          <t>Alumni Representative</t>
        </is>
      </c>
      <c r="E15" s="16" t="inlineStr">
        <is>
          <t>Alumni Representative</t>
        </is>
      </c>
      <c r="F15" s="14" t="inlineStr"/>
      <c r="G15" s="16" t="inlineStr"/>
      <c r="H15" s="16" t="inlineStr"/>
      <c r="I15" s="16" t="inlineStr"/>
      <c r="J15" s="16" t="inlineStr"/>
    </row>
    <row r="16" ht="22" customHeight="1">
      <c r="B16" s="4" t="n">
        <v>12</v>
      </c>
      <c r="C16" s="5" t="inlineStr"/>
      <c r="D16" s="17" t="inlineStr">
        <is>
          <t>External Academic Expert – 1</t>
        </is>
      </c>
      <c r="E16" s="6" t="inlineStr">
        <is>
          <t>External Academic Expert</t>
        </is>
      </c>
      <c r="F16" s="5" t="inlineStr"/>
      <c r="G16" s="6" t="inlineStr"/>
      <c r="H16" s="6" t="inlineStr"/>
      <c r="I16" s="6" t="inlineStr"/>
      <c r="J16" s="6" t="inlineStr"/>
    </row>
    <row r="17" ht="22" customHeight="1">
      <c r="B17" s="13" t="n">
        <v>13</v>
      </c>
      <c r="C17" s="14" t="inlineStr"/>
      <c r="D17" s="15" t="inlineStr">
        <is>
          <t>External Academic Expert – 2</t>
        </is>
      </c>
      <c r="E17" s="16" t="inlineStr">
        <is>
          <t>External Academic Expert</t>
        </is>
      </c>
      <c r="F17" s="14" t="inlineStr"/>
      <c r="G17" s="16" t="inlineStr"/>
      <c r="H17" s="16" t="inlineStr"/>
      <c r="I17" s="16" t="inlineStr"/>
      <c r="J17" s="16" t="inlineStr"/>
    </row>
    <row r="18" ht="22" customHeight="1">
      <c r="B18" s="4" t="n">
        <v>14</v>
      </c>
      <c r="C18" s="5" t="inlineStr"/>
      <c r="D18" s="17" t="inlineStr">
        <is>
          <t>Student Representative (UG)</t>
        </is>
      </c>
      <c r="E18" s="6" t="inlineStr">
        <is>
          <t>Student Representative (UG)</t>
        </is>
      </c>
      <c r="F18" s="5" t="inlineStr"/>
      <c r="G18" s="6" t="inlineStr"/>
      <c r="H18" s="6" t="inlineStr"/>
      <c r="I18" s="6" t="inlineStr"/>
      <c r="J18" s="6" t="inlineStr"/>
    </row>
    <row r="19" ht="22" customHeight="1">
      <c r="B19" s="13" t="n">
        <v>15</v>
      </c>
      <c r="C19" s="14" t="inlineStr"/>
      <c r="D19" s="15" t="inlineStr">
        <is>
          <t>Student Representative (PG)</t>
        </is>
      </c>
      <c r="E19" s="16" t="inlineStr">
        <is>
          <t>Student Representative (PG)</t>
        </is>
      </c>
      <c r="F19" s="14" t="inlineStr"/>
      <c r="G19" s="16" t="inlineStr"/>
      <c r="H19" s="16" t="inlineStr"/>
      <c r="I19" s="16" t="inlineStr"/>
      <c r="J19" s="16" t="inlineStr"/>
    </row>
    <row r="20" ht="22" customHeight="1"/>
    <row r="21" ht="22" customHeight="1">
      <c r="B21" s="18" t="inlineStr">
        <is>
          <t>Statutory Requirement: AC must include nominees from UGC / AICTE / State Government / University as per charter. Verify composition annually.</t>
        </is>
      </c>
    </row>
    <row r="22" ht="22" customHeight="1"/>
    <row r="23" ht="22" customHeight="1"/>
    <row r="24" ht="22" customHeight="1"/>
    <row r="25" ht="22" customHeight="1"/>
  </sheetData>
  <mergeCells count="3">
    <mergeCell ref="B3:J3"/>
    <mergeCell ref="B21:J21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6" customWidth="1" min="3" max="3"/>
    <col width="20" customWidth="1" min="4" max="4"/>
    <col width="18" customWidth="1" min="5" max="5"/>
    <col width="3" customWidth="1" min="6" max="6"/>
  </cols>
  <sheetData>
    <row r="1" ht="10" customHeight="1"/>
    <row r="2" ht="45" customHeight="1">
      <c r="B2" s="11" t="inlineStr">
        <is>
          <t>AC-02: ACADEMIC COUNCIL MEETING NOTICE, AGENDA &amp; DISPATCH RECORD</t>
        </is>
      </c>
    </row>
    <row r="3" ht="22" customHeight="1">
      <c r="B3" s="12" t="inlineStr">
        <is>
          <t>Meeting Details</t>
        </is>
      </c>
      <c r="C3" s="5" t="inlineStr"/>
      <c r="D3" s="60" t="n"/>
      <c r="E3" s="61" t="n"/>
    </row>
    <row r="4" ht="22" customHeight="1">
      <c r="B4" s="19" t="n"/>
      <c r="C4" s="5" t="inlineStr"/>
      <c r="D4" s="60" t="n"/>
      <c r="E4" s="61" t="n"/>
    </row>
    <row r="5" ht="22" customHeight="1">
      <c r="B5" s="19" t="n"/>
      <c r="C5" s="5" t="inlineStr"/>
      <c r="D5" s="60" t="n"/>
      <c r="E5" s="61" t="n"/>
    </row>
    <row r="6" ht="22" customHeight="1">
      <c r="B6" s="19" t="n"/>
      <c r="C6" s="5" t="inlineStr"/>
      <c r="D6" s="60" t="n"/>
      <c r="E6" s="61" t="n"/>
    </row>
    <row r="7" ht="22" customHeight="1">
      <c r="B7" s="19" t="n"/>
      <c r="C7" s="5" t="inlineStr"/>
      <c r="D7" s="60" t="n"/>
      <c r="E7" s="61" t="n"/>
    </row>
    <row r="8" ht="22" customHeight="1">
      <c r="B8" s="19" t="n"/>
      <c r="C8" s="5" t="inlineStr"/>
      <c r="D8" s="60" t="n"/>
      <c r="E8" s="61" t="n"/>
    </row>
    <row r="9" ht="22" customHeight="1">
      <c r="B9" s="20" t="n"/>
      <c r="C9" s="5" t="inlineStr"/>
      <c r="D9" s="60" t="n"/>
      <c r="E9" s="61" t="n"/>
    </row>
    <row r="10" ht="25" customHeight="1">
      <c r="B10" s="21" t="inlineStr">
        <is>
          <t>AGENDA ITEMS</t>
        </is>
      </c>
    </row>
    <row r="11" ht="25" customHeight="1">
      <c r="B11" s="12" t="inlineStr">
        <is>
          <t>Item
No.</t>
        </is>
      </c>
      <c r="C11" s="12" t="inlineStr">
        <is>
          <t>Agenda Item / Discussion Topic</t>
        </is>
      </c>
      <c r="D11" s="12" t="inlineStr">
        <is>
          <t>Moved by / Presenter</t>
        </is>
      </c>
      <c r="E11" s="12" t="inlineStr">
        <is>
          <t>Time
Allotted (Min)</t>
        </is>
      </c>
    </row>
    <row r="12" ht="25" customHeight="1">
      <c r="B12" s="13" t="n">
        <v>1</v>
      </c>
      <c r="C12" s="14" t="inlineStr">
        <is>
          <t>Opening by the Chairman / Presiding Officer</t>
        </is>
      </c>
      <c r="D12" s="16" t="inlineStr"/>
      <c r="E12" s="16" t="inlineStr"/>
    </row>
    <row r="13" ht="25" customHeight="1">
      <c r="B13" s="4" t="n">
        <v>2</v>
      </c>
      <c r="C13" s="5" t="inlineStr">
        <is>
          <t>Confirmation of minutes of the previous AC meeting</t>
        </is>
      </c>
      <c r="D13" s="6" t="inlineStr"/>
      <c r="E13" s="6" t="inlineStr"/>
    </row>
    <row r="14" ht="25" customHeight="1">
      <c r="B14" s="13" t="n">
        <v>3</v>
      </c>
      <c r="C14" s="14" t="inlineStr">
        <is>
          <t>Action Taken Report on previous AC resolutions</t>
        </is>
      </c>
      <c r="D14" s="16" t="inlineStr"/>
      <c r="E14" s="16" t="inlineStr"/>
    </row>
    <row r="15" ht="25" customHeight="1">
      <c r="B15" s="4" t="n">
        <v>4</v>
      </c>
      <c r="C15" s="5" t="inlineStr">
        <is>
          <t>Consideration and approval of BoS recommendations (all departments)</t>
        </is>
      </c>
      <c r="D15" s="6" t="inlineStr"/>
      <c r="E15" s="6" t="inlineStr"/>
    </row>
    <row r="16" ht="25" customHeight="1">
      <c r="B16" s="13" t="n">
        <v>5</v>
      </c>
      <c r="C16" s="14" t="inlineStr">
        <is>
          <t>Review and approval of Academic Calendar for the upcoming academic year</t>
        </is>
      </c>
      <c r="D16" s="16" t="inlineStr"/>
      <c r="E16" s="16" t="inlineStr"/>
    </row>
    <row r="17" ht="25" customHeight="1">
      <c r="B17" s="4" t="n">
        <v>6</v>
      </c>
      <c r="C17" s="5" t="inlineStr">
        <is>
          <t>Examination schedule, norms &amp; result ratification</t>
        </is>
      </c>
      <c r="D17" s="6" t="inlineStr"/>
      <c r="E17" s="6" t="inlineStr"/>
    </row>
    <row r="18" ht="25" customHeight="1">
      <c r="B18" s="13" t="n">
        <v>7</v>
      </c>
      <c r="C18" s="14" t="inlineStr">
        <is>
          <t>Review of admission statistics, enrollment &amp; retention data</t>
        </is>
      </c>
      <c r="D18" s="16" t="inlineStr"/>
      <c r="E18" s="16" t="inlineStr"/>
    </row>
    <row r="19" ht="25" customHeight="1">
      <c r="B19" s="4" t="n">
        <v>8</v>
      </c>
      <c r="C19" s="5" t="inlineStr">
        <is>
          <t>Faculty appointments, promotions &amp; development initiatives</t>
        </is>
      </c>
      <c r="D19" s="6" t="inlineStr"/>
      <c r="E19" s="6" t="inlineStr"/>
    </row>
    <row r="20" ht="25" customHeight="1">
      <c r="B20" s="13" t="n">
        <v>9</v>
      </c>
      <c r="C20" s="14" t="inlineStr">
        <is>
          <t>Research, innovation &amp; consultancy — annual review</t>
        </is>
      </c>
      <c r="D20" s="16" t="inlineStr"/>
      <c r="E20" s="16" t="inlineStr"/>
    </row>
    <row r="21" ht="25" customHeight="1">
      <c r="B21" s="4" t="n">
        <v>10</v>
      </c>
      <c r="C21" s="5" t="inlineStr">
        <is>
          <t>Statutory compliance status — UGC / AICTE / University</t>
        </is>
      </c>
      <c r="D21" s="6" t="inlineStr"/>
      <c r="E21" s="6" t="inlineStr"/>
    </row>
    <row r="22" ht="25" customHeight="1">
      <c r="B22" s="13" t="n">
        <v>11</v>
      </c>
      <c r="C22" s="14" t="inlineStr">
        <is>
          <t>New programme proposals / programme closure proposals</t>
        </is>
      </c>
      <c r="D22" s="16" t="inlineStr"/>
      <c r="E22" s="16" t="inlineStr"/>
    </row>
    <row r="23" ht="25" customHeight="1">
      <c r="B23" s="4" t="n">
        <v>12</v>
      </c>
      <c r="C23" s="5" t="inlineStr">
        <is>
          <t>Review of institutional accreditation (NBA / NAAC) progress</t>
        </is>
      </c>
      <c r="D23" s="6" t="inlineStr"/>
      <c r="E23" s="6" t="inlineStr"/>
    </row>
    <row r="24" ht="25" customHeight="1">
      <c r="B24" s="13" t="n">
        <v>13</v>
      </c>
      <c r="C24" s="14" t="inlineStr">
        <is>
          <t>Student welfare, grievance redressal &amp; disciplinary matters</t>
        </is>
      </c>
      <c r="D24" s="16" t="inlineStr"/>
      <c r="E24" s="16" t="inlineStr"/>
    </row>
    <row r="25" ht="25" customHeight="1">
      <c r="B25" s="4" t="n">
        <v>14</v>
      </c>
      <c r="C25" s="5" t="inlineStr">
        <is>
          <t>Any Other Matter with the Permission of the Chair (AOMPC)</t>
        </is>
      </c>
      <c r="D25" s="6" t="inlineStr"/>
      <c r="E25" s="6" t="inlineStr"/>
    </row>
    <row r="26" ht="25" customHeight="1"/>
    <row r="27" ht="25" customHeight="1">
      <c r="B27" s="22" t="inlineStr">
        <is>
          <t>NOTICE DISPATCH RECORD</t>
        </is>
      </c>
    </row>
    <row r="28" ht="25" customHeight="1">
      <c r="B28" s="23" t="inlineStr">
        <is>
          <t>Sl.</t>
        </is>
      </c>
      <c r="C28" s="23" t="inlineStr">
        <is>
          <t>Member Name</t>
        </is>
      </c>
      <c r="D28" s="23" t="inlineStr">
        <is>
          <t>Mode of Dispatch</t>
        </is>
      </c>
      <c r="E28" s="23" t="inlineStr">
        <is>
          <t>Date Dispatched &amp; Acknowledgement</t>
        </is>
      </c>
    </row>
    <row r="29" ht="22" customHeight="1">
      <c r="B29" s="24" t="n"/>
      <c r="C29" s="24" t="n"/>
      <c r="D29" s="24" t="n"/>
      <c r="E29" s="24" t="n"/>
    </row>
    <row r="30" ht="22" customHeight="1">
      <c r="B30" s="6" t="n"/>
      <c r="C30" s="6" t="n"/>
      <c r="D30" s="6" t="n"/>
      <c r="E30" s="6" t="n"/>
    </row>
    <row r="31" ht="22" customHeight="1">
      <c r="B31" s="24" t="n"/>
      <c r="C31" s="24" t="n"/>
      <c r="D31" s="24" t="n"/>
      <c r="E31" s="24" t="n"/>
    </row>
  </sheetData>
  <mergeCells count="11">
    <mergeCell ref="B27:E27"/>
    <mergeCell ref="C5:E5"/>
    <mergeCell ref="C8:E8"/>
    <mergeCell ref="C9:E9"/>
    <mergeCell ref="C4:E4"/>
    <mergeCell ref="C3:E3"/>
    <mergeCell ref="B2:E2"/>
    <mergeCell ref="C7:E7"/>
    <mergeCell ref="B3:B9"/>
    <mergeCell ref="B10:E10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5" customHeight="1">
      <c r="B2" s="11" t="inlineStr">
        <is>
          <t>AC-03: ATTENDANCE, QUORUM &amp; PROXY REGISTER</t>
        </is>
      </c>
    </row>
    <row r="3" ht="25" customHeight="1">
      <c r="B3" s="2" t="inlineStr">
        <is>
          <t>Meeting No.: _______  Date: _______  Total AC Strength: _______  Quorum Required (50%):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Category</t>
        </is>
      </c>
      <c r="E4" s="12" t="inlineStr">
        <is>
          <t>Mode
(Physical/VC)</t>
        </is>
      </c>
      <c r="F4" s="12" t="inlineStr">
        <is>
          <t>Present
(P/A)</t>
        </is>
      </c>
      <c r="G4" s="12" t="inlineStr">
        <is>
          <t>Proxy
(Y/N)</t>
        </is>
      </c>
      <c r="H4" s="12" t="inlineStr">
        <is>
          <t>Proxy Holder Name</t>
        </is>
      </c>
      <c r="I4" s="12" t="inlineStr">
        <is>
          <t>Signature</t>
        </is>
      </c>
    </row>
    <row r="5" ht="22" customHeight="1">
      <c r="B5" s="13" t="n">
        <v>1</v>
      </c>
      <c r="C5" s="14" t="inlineStr"/>
      <c r="D5" s="14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4" t="n">
        <v>2</v>
      </c>
      <c r="C6" s="5" t="inlineStr"/>
      <c r="D6" s="5" t="inlineStr"/>
      <c r="E6" s="6" t="inlineStr">
        <is>
          <t>Physical</t>
        </is>
      </c>
      <c r="F6" s="6" t="inlineStr"/>
      <c r="G6" s="6" t="inlineStr">
        <is>
          <t>N</t>
        </is>
      </c>
      <c r="H6" s="6" t="inlineStr"/>
      <c r="I6" s="6" t="inlineStr"/>
    </row>
    <row r="7" ht="22" customHeight="1">
      <c r="B7" s="13" t="n">
        <v>3</v>
      </c>
      <c r="C7" s="14" t="inlineStr"/>
      <c r="D7" s="14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4" t="n">
        <v>4</v>
      </c>
      <c r="C8" s="5" t="inlineStr"/>
      <c r="D8" s="5" t="inlineStr"/>
      <c r="E8" s="6" t="inlineStr">
        <is>
          <t>Physical</t>
        </is>
      </c>
      <c r="F8" s="6" t="inlineStr"/>
      <c r="G8" s="6" t="inlineStr">
        <is>
          <t>N</t>
        </is>
      </c>
      <c r="H8" s="6" t="inlineStr"/>
      <c r="I8" s="6" t="inlineStr"/>
    </row>
    <row r="9" ht="22" customHeight="1">
      <c r="B9" s="13" t="n">
        <v>5</v>
      </c>
      <c r="C9" s="14" t="inlineStr"/>
      <c r="D9" s="14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4" t="n">
        <v>6</v>
      </c>
      <c r="C10" s="5" t="inlineStr"/>
      <c r="D10" s="5" t="inlineStr"/>
      <c r="E10" s="6" t="inlineStr">
        <is>
          <t>Physical</t>
        </is>
      </c>
      <c r="F10" s="6" t="inlineStr"/>
      <c r="G10" s="6" t="inlineStr">
        <is>
          <t>N</t>
        </is>
      </c>
      <c r="H10" s="6" t="inlineStr"/>
      <c r="I10" s="6" t="inlineStr"/>
    </row>
    <row r="11" ht="22" customHeight="1">
      <c r="B11" s="13" t="n">
        <v>7</v>
      </c>
      <c r="C11" s="14" t="inlineStr"/>
      <c r="D11" s="14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4" t="n">
        <v>8</v>
      </c>
      <c r="C12" s="5" t="inlineStr"/>
      <c r="D12" s="5" t="inlineStr"/>
      <c r="E12" s="6" t="inlineStr">
        <is>
          <t>Physical</t>
        </is>
      </c>
      <c r="F12" s="6" t="inlineStr"/>
      <c r="G12" s="6" t="inlineStr">
        <is>
          <t>N</t>
        </is>
      </c>
      <c r="H12" s="6" t="inlineStr"/>
      <c r="I12" s="6" t="inlineStr"/>
    </row>
    <row r="13" ht="22" customHeight="1">
      <c r="B13" s="13" t="n">
        <v>9</v>
      </c>
      <c r="C13" s="14" t="inlineStr"/>
      <c r="D13" s="14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4" t="n">
        <v>10</v>
      </c>
      <c r="C14" s="5" t="inlineStr"/>
      <c r="D14" s="5" t="inlineStr"/>
      <c r="E14" s="6" t="inlineStr">
        <is>
          <t>Physical</t>
        </is>
      </c>
      <c r="F14" s="6" t="inlineStr"/>
      <c r="G14" s="6" t="inlineStr">
        <is>
          <t>N</t>
        </is>
      </c>
      <c r="H14" s="6" t="inlineStr"/>
      <c r="I14" s="6" t="inlineStr"/>
    </row>
    <row r="15" ht="22" customHeight="1">
      <c r="B15" s="13" t="n">
        <v>11</v>
      </c>
      <c r="C15" s="14" t="inlineStr"/>
      <c r="D15" s="14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4" t="n">
        <v>12</v>
      </c>
      <c r="C16" s="5" t="inlineStr"/>
      <c r="D16" s="5" t="inlineStr"/>
      <c r="E16" s="6" t="inlineStr">
        <is>
          <t>Physical</t>
        </is>
      </c>
      <c r="F16" s="6" t="inlineStr"/>
      <c r="G16" s="6" t="inlineStr">
        <is>
          <t>N</t>
        </is>
      </c>
      <c r="H16" s="6" t="inlineStr"/>
      <c r="I16" s="6" t="inlineStr"/>
    </row>
    <row r="17" ht="22" customHeight="1">
      <c r="B17" s="13" t="n">
        <v>13</v>
      </c>
      <c r="C17" s="14" t="inlineStr"/>
      <c r="D17" s="14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4" t="n">
        <v>14</v>
      </c>
      <c r="C18" s="5" t="inlineStr"/>
      <c r="D18" s="5" t="inlineStr"/>
      <c r="E18" s="6" t="inlineStr">
        <is>
          <t>Physical</t>
        </is>
      </c>
      <c r="F18" s="6" t="inlineStr"/>
      <c r="G18" s="6" t="inlineStr">
        <is>
          <t>N</t>
        </is>
      </c>
      <c r="H18" s="6" t="inlineStr"/>
      <c r="I18" s="6" t="inlineStr"/>
    </row>
    <row r="19" ht="22" customHeight="1">
      <c r="B19" s="13" t="n">
        <v>15</v>
      </c>
      <c r="C19" s="14" t="inlineStr"/>
      <c r="D19" s="14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4" t="n">
        <v>16</v>
      </c>
      <c r="C20" s="5" t="inlineStr"/>
      <c r="D20" s="5" t="inlineStr"/>
      <c r="E20" s="6" t="inlineStr">
        <is>
          <t>Physical</t>
        </is>
      </c>
      <c r="F20" s="6" t="inlineStr"/>
      <c r="G20" s="6" t="inlineStr">
        <is>
          <t>N</t>
        </is>
      </c>
      <c r="H20" s="6" t="inlineStr"/>
      <c r="I20" s="6" t="inlineStr"/>
    </row>
    <row r="21" ht="22" customHeight="1"/>
    <row r="22" ht="22" customHeight="1">
      <c r="B22" s="22" t="inlineStr">
        <is>
          <t>QUORUM VERIFICATION</t>
        </is>
      </c>
    </row>
    <row r="23" ht="22" customHeight="1">
      <c r="B23" s="25" t="inlineStr">
        <is>
          <t>Total AC Members (Sanctioned Strength)</t>
        </is>
      </c>
      <c r="C23" s="60" t="n"/>
      <c r="D23" s="60" t="n"/>
      <c r="E23" s="60" t="n"/>
      <c r="F23" s="61" t="n"/>
      <c r="G23" s="26" t="inlineStr"/>
      <c r="H23" s="60" t="n"/>
      <c r="I23" s="61" t="n"/>
    </row>
    <row r="24" ht="22" customHeight="1">
      <c r="B24" s="17" t="inlineStr">
        <is>
          <t>Members Present (Physical)</t>
        </is>
      </c>
      <c r="C24" s="60" t="n"/>
      <c r="D24" s="60" t="n"/>
      <c r="E24" s="60" t="n"/>
      <c r="F24" s="61" t="n"/>
      <c r="G24" s="26">
        <f>COUNTIF(F5:F21,"P")</f>
        <v/>
      </c>
      <c r="H24" s="60" t="n"/>
      <c r="I24" s="61" t="n"/>
    </row>
    <row r="25" ht="22" customHeight="1">
      <c r="B25" s="25" t="inlineStr">
        <is>
          <t>Members Present (Video Conference)</t>
        </is>
      </c>
      <c r="C25" s="60" t="n"/>
      <c r="D25" s="60" t="n"/>
      <c r="E25" s="60" t="n"/>
      <c r="F25" s="61" t="n"/>
      <c r="G25" s="26" t="inlineStr"/>
      <c r="H25" s="60" t="n"/>
      <c r="I25" s="61" t="n"/>
    </row>
    <row r="26" ht="22" customHeight="1">
      <c r="B26" s="17" t="inlineStr">
        <is>
          <t>Total Effective Presence</t>
        </is>
      </c>
      <c r="C26" s="60" t="n"/>
      <c r="D26" s="60" t="n"/>
      <c r="E26" s="60" t="n"/>
      <c r="F26" s="61" t="n"/>
      <c r="G26" s="26">
        <f>IFERROR(C24+C25,"")</f>
        <v/>
      </c>
      <c r="H26" s="60" t="n"/>
      <c r="I26" s="61" t="n"/>
    </row>
    <row r="27" ht="22" customHeight="1">
      <c r="B27" s="25" t="inlineStr">
        <is>
          <t>Quorum Required (50% of Total)</t>
        </is>
      </c>
      <c r="C27" s="60" t="n"/>
      <c r="D27" s="60" t="n"/>
      <c r="E27" s="60" t="n"/>
      <c r="F27" s="61" t="n"/>
      <c r="G27" s="26" t="inlineStr"/>
      <c r="H27" s="60" t="n"/>
      <c r="I27" s="61" t="n"/>
    </row>
    <row r="28" ht="22" customHeight="1">
      <c r="B28" s="17" t="inlineStr">
        <is>
          <t>Quorum Achieved?</t>
        </is>
      </c>
      <c r="C28" s="60" t="n"/>
      <c r="D28" s="60" t="n"/>
      <c r="E28" s="60" t="n"/>
      <c r="F28" s="61" t="n"/>
      <c r="G28" s="27">
        <f>IFERROR(IF(C26&gt;=C27,"YES — Meeting is Valid","NO — Meeting Adjourned"),"")</f>
        <v/>
      </c>
      <c r="H28" s="60" t="n"/>
      <c r="I28" s="61" t="n"/>
    </row>
    <row r="29" ht="22" customHeight="1"/>
    <row r="30">
      <c r="B30" s="28" t="inlineStr">
        <is>
          <t>Certified by: ___________________  (Secretary / Registrar)     Date: ___________________</t>
        </is>
      </c>
    </row>
  </sheetData>
  <mergeCells count="16">
    <mergeCell ref="G24:I24"/>
    <mergeCell ref="B30:I30"/>
    <mergeCell ref="G28:I28"/>
    <mergeCell ref="B24:F24"/>
    <mergeCell ref="G27:I27"/>
    <mergeCell ref="B2:I2"/>
    <mergeCell ref="B25:F25"/>
    <mergeCell ref="G23:I23"/>
    <mergeCell ref="B28:F28"/>
    <mergeCell ref="B3:I3"/>
    <mergeCell ref="B22:I22"/>
    <mergeCell ref="B23:F23"/>
    <mergeCell ref="G26:I26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8" customWidth="1" min="3" max="3"/>
    <col width="22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5" customHeight="1">
      <c r="B2" s="11" t="inlineStr">
        <is>
          <t>AC-04: ACADEMIC COUNCIL MEETING MINUTES &amp; RESOLUTIONS</t>
        </is>
      </c>
    </row>
    <row r="3" ht="25" customHeight="1">
      <c r="B3" s="2" t="inlineStr">
        <is>
          <t>Meeting No.: _______  Date: _______  Venue: _______  Chaired by: ___________________</t>
        </is>
      </c>
    </row>
    <row r="4" ht="25" customHeight="1">
      <c r="B4" s="21" t="inlineStr">
        <is>
          <t>AGENDA-WISE DISCUSSION &amp; RESOLUTIONS</t>
        </is>
      </c>
    </row>
    <row r="5" ht="30" customHeight="1">
      <c r="B5" s="12" t="inlineStr">
        <is>
          <t>Resolution
No.</t>
        </is>
      </c>
      <c r="C5" s="12" t="inlineStr">
        <is>
          <t>Discussion Summary &amp; Resolution Passed</t>
        </is>
      </c>
      <c r="D5" s="12" t="inlineStr">
        <is>
          <t>Mover / Seconder</t>
        </is>
      </c>
      <c r="E5" s="12" t="inlineStr">
        <is>
          <t>Voting
(For/Against/Abs.)</t>
        </is>
      </c>
      <c r="F5" s="12" t="inlineStr">
        <is>
          <t>Effective
Date</t>
        </is>
      </c>
      <c r="G5" s="12" t="inlineStr">
        <is>
          <t>Status</t>
        </is>
      </c>
    </row>
    <row r="6" ht="35" customHeight="1">
      <c r="B6" s="13" t="inlineStr">
        <is>
          <t>AC/2024/01</t>
        </is>
      </c>
      <c r="C6" s="14" t="inlineStr"/>
      <c r="D6" s="16" t="inlineStr"/>
      <c r="E6" s="16" t="inlineStr"/>
      <c r="F6" s="16" t="inlineStr"/>
      <c r="G6" s="16" t="inlineStr">
        <is>
          <t>Pending</t>
        </is>
      </c>
    </row>
    <row r="7" ht="35" customHeight="1">
      <c r="B7" s="4" t="inlineStr">
        <is>
          <t>AC/2024/02</t>
        </is>
      </c>
      <c r="C7" s="5" t="inlineStr"/>
      <c r="D7" s="6" t="inlineStr"/>
      <c r="E7" s="6" t="inlineStr"/>
      <c r="F7" s="6" t="inlineStr"/>
      <c r="G7" s="6" t="inlineStr">
        <is>
          <t>Pending</t>
        </is>
      </c>
    </row>
    <row r="8" ht="35" customHeight="1">
      <c r="B8" s="13" t="inlineStr">
        <is>
          <t>AC/2024/03</t>
        </is>
      </c>
      <c r="C8" s="14" t="inlineStr"/>
      <c r="D8" s="16" t="inlineStr"/>
      <c r="E8" s="16" t="inlineStr"/>
      <c r="F8" s="16" t="inlineStr"/>
      <c r="G8" s="16" t="inlineStr">
        <is>
          <t>Pending</t>
        </is>
      </c>
    </row>
    <row r="9" ht="35" customHeight="1">
      <c r="B9" s="4" t="inlineStr">
        <is>
          <t>AC/2024/04</t>
        </is>
      </c>
      <c r="C9" s="5" t="inlineStr"/>
      <c r="D9" s="6" t="inlineStr"/>
      <c r="E9" s="6" t="inlineStr"/>
      <c r="F9" s="6" t="inlineStr"/>
      <c r="G9" s="6" t="inlineStr">
        <is>
          <t>Pending</t>
        </is>
      </c>
    </row>
    <row r="10" ht="35" customHeight="1">
      <c r="B10" s="13" t="inlineStr">
        <is>
          <t>AC/2024/05</t>
        </is>
      </c>
      <c r="C10" s="14" t="inlineStr"/>
      <c r="D10" s="16" t="inlineStr"/>
      <c r="E10" s="16" t="inlineStr"/>
      <c r="F10" s="16" t="inlineStr"/>
      <c r="G10" s="16" t="inlineStr">
        <is>
          <t>Pending</t>
        </is>
      </c>
    </row>
    <row r="11" ht="35" customHeight="1">
      <c r="B11" s="4" t="inlineStr">
        <is>
          <t>AC/2024/06</t>
        </is>
      </c>
      <c r="C11" s="5" t="inlineStr"/>
      <c r="D11" s="6" t="inlineStr"/>
      <c r="E11" s="6" t="inlineStr"/>
      <c r="F11" s="6" t="inlineStr"/>
      <c r="G11" s="6" t="inlineStr">
        <is>
          <t>Pending</t>
        </is>
      </c>
    </row>
    <row r="12" ht="35" customHeight="1">
      <c r="B12" s="13" t="inlineStr">
        <is>
          <t>AC/2024/07</t>
        </is>
      </c>
      <c r="C12" s="14" t="inlineStr"/>
      <c r="D12" s="16" t="inlineStr"/>
      <c r="E12" s="16" t="inlineStr"/>
      <c r="F12" s="16" t="inlineStr"/>
      <c r="G12" s="16" t="inlineStr">
        <is>
          <t>Pending</t>
        </is>
      </c>
    </row>
    <row r="13" ht="35" customHeight="1">
      <c r="B13" s="4" t="inlineStr">
        <is>
          <t>AC/2024/08</t>
        </is>
      </c>
      <c r="C13" s="5" t="inlineStr"/>
      <c r="D13" s="6" t="inlineStr"/>
      <c r="E13" s="6" t="inlineStr"/>
      <c r="F13" s="6" t="inlineStr"/>
      <c r="G13" s="6" t="inlineStr">
        <is>
          <t>Pending</t>
        </is>
      </c>
    </row>
    <row r="14" ht="35" customHeight="1">
      <c r="B14" s="13" t="inlineStr">
        <is>
          <t>AC/2024/09</t>
        </is>
      </c>
      <c r="C14" s="14" t="inlineStr"/>
      <c r="D14" s="16" t="inlineStr"/>
      <c r="E14" s="16" t="inlineStr"/>
      <c r="F14" s="16" t="inlineStr"/>
      <c r="G14" s="16" t="inlineStr">
        <is>
          <t>Pending</t>
        </is>
      </c>
    </row>
    <row r="15" ht="35" customHeight="1">
      <c r="B15" s="4" t="inlineStr">
        <is>
          <t>AC/2024/10</t>
        </is>
      </c>
      <c r="C15" s="5" t="inlineStr"/>
      <c r="D15" s="6" t="inlineStr"/>
      <c r="E15" s="6" t="inlineStr"/>
      <c r="F15" s="6" t="inlineStr"/>
      <c r="G15" s="6" t="inlineStr">
        <is>
          <t>Pending</t>
        </is>
      </c>
    </row>
    <row r="16" ht="35" customHeight="1">
      <c r="B16" s="13" t="inlineStr">
        <is>
          <t>AC/2024/11</t>
        </is>
      </c>
      <c r="C16" s="14" t="inlineStr"/>
      <c r="D16" s="16" t="inlineStr"/>
      <c r="E16" s="16" t="inlineStr"/>
      <c r="F16" s="16" t="inlineStr"/>
      <c r="G16" s="16" t="inlineStr">
        <is>
          <t>Pending</t>
        </is>
      </c>
    </row>
    <row r="17" ht="35" customHeight="1">
      <c r="B17" s="4" t="inlineStr">
        <is>
          <t>AC/2024/12</t>
        </is>
      </c>
      <c r="C17" s="5" t="inlineStr"/>
      <c r="D17" s="6" t="inlineStr"/>
      <c r="E17" s="6" t="inlineStr"/>
      <c r="F17" s="6" t="inlineStr"/>
      <c r="G17" s="6" t="inlineStr">
        <is>
          <t>Pending</t>
        </is>
      </c>
    </row>
    <row r="18" ht="35" customHeight="1">
      <c r="B18" s="13" t="inlineStr">
        <is>
          <t>AC/2024/13</t>
        </is>
      </c>
      <c r="C18" s="14" t="inlineStr"/>
      <c r="D18" s="16" t="inlineStr"/>
      <c r="E18" s="16" t="inlineStr"/>
      <c r="F18" s="16" t="inlineStr"/>
      <c r="G18" s="16" t="inlineStr">
        <is>
          <t>Pending</t>
        </is>
      </c>
    </row>
    <row r="19" ht="35" customHeight="1">
      <c r="B19" s="4" t="inlineStr">
        <is>
          <t>AC/2024/14</t>
        </is>
      </c>
      <c r="C19" s="5" t="inlineStr"/>
      <c r="D19" s="6" t="inlineStr"/>
      <c r="E19" s="6" t="inlineStr"/>
      <c r="F19" s="6" t="inlineStr"/>
      <c r="G19" s="6" t="inlineStr">
        <is>
          <t>Pending</t>
        </is>
      </c>
    </row>
    <row r="20" ht="30" customHeight="1"/>
    <row r="21" ht="30" customHeight="1">
      <c r="B21" s="29" t="inlineStr">
        <is>
          <t>SPECIAL / CONFIDENTIAL RESOLUTIONS (Recorded Separately)</t>
        </is>
      </c>
    </row>
    <row r="22" ht="30" customHeight="1">
      <c r="B22" s="30" t="inlineStr">
        <is>
          <t>Res. No.</t>
        </is>
      </c>
      <c r="C22" s="30" t="inlineStr">
        <is>
          <t>Subject</t>
        </is>
      </c>
      <c r="D22" s="30" t="inlineStr">
        <is>
          <t>Nature (Special/Confidential)</t>
        </is>
      </c>
      <c r="E22" s="30" t="inlineStr">
        <is>
          <t>Outcome</t>
        </is>
      </c>
      <c r="F22" s="30" t="inlineStr">
        <is>
          <t>Authority</t>
        </is>
      </c>
      <c r="G22" s="30" t="inlineStr">
        <is>
          <t>Record Ref.</t>
        </is>
      </c>
    </row>
    <row r="23" ht="22" customHeight="1">
      <c r="B23" s="31" t="n"/>
      <c r="C23" s="31" t="n"/>
      <c r="D23" s="31" t="n"/>
      <c r="E23" s="31" t="n"/>
      <c r="F23" s="31" t="n"/>
      <c r="G23" s="31" t="n"/>
    </row>
    <row r="24" ht="22" customHeight="1">
      <c r="B24" s="6" t="n"/>
      <c r="C24" s="6" t="n"/>
      <c r="D24" s="6" t="n"/>
      <c r="E24" s="6" t="n"/>
      <c r="F24" s="6" t="n"/>
      <c r="G24" s="6" t="n"/>
    </row>
    <row r="25" ht="22" customHeight="1">
      <c r="B25" s="31" t="n"/>
      <c r="C25" s="31" t="n"/>
      <c r="D25" s="31" t="n"/>
      <c r="E25" s="31" t="n"/>
      <c r="F25" s="31" t="n"/>
      <c r="G25" s="31" t="n"/>
    </row>
    <row r="26" ht="30" customHeight="1"/>
    <row r="27" ht="30" customHeight="1">
      <c r="B27" s="18" t="inlineStr">
        <is>
          <t>Meeting closed at: _______    Next meeting tentatively on: _______</t>
        </is>
      </c>
    </row>
    <row r="28" ht="30" customHeight="1">
      <c r="B28" s="28" t="inlineStr">
        <is>
          <t>Signature – Chairman: ___________________    Signature – Registrar / Secretary: ___________________</t>
        </is>
      </c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</sheetData>
  <mergeCells count="6">
    <mergeCell ref="B3:G3"/>
    <mergeCell ref="B2:G2"/>
    <mergeCell ref="B28:G28"/>
    <mergeCell ref="B27:G27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5" customHeight="1">
      <c r="B2" s="11" t="inlineStr">
        <is>
          <t>AC-05: ACTION TAKEN REPORT (ATR) ON AC RESOLUTIONS</t>
        </is>
      </c>
    </row>
    <row r="3" ht="25" customHeight="1">
      <c r="B3" s="2" t="inlineStr">
        <is>
          <t>Current Meeting No.: _______  Date: _______  Previous Meeting Ref.: _______  Date: _______</t>
        </is>
      </c>
    </row>
    <row r="4" ht="25" customHeight="1">
      <c r="B4" s="32" t="inlineStr">
        <is>
          <t>Resolution
No.</t>
        </is>
      </c>
      <c r="C4" s="32" t="inlineStr">
        <is>
          <t>Resolution / Decision (Previous Meeting)</t>
        </is>
      </c>
      <c r="D4" s="32" t="inlineStr">
        <is>
          <t>Action Required</t>
        </is>
      </c>
      <c r="E4" s="32" t="inlineStr">
        <is>
          <t>Responsible
Authority</t>
        </is>
      </c>
      <c r="F4" s="32" t="inlineStr">
        <is>
          <t>Target
Date</t>
        </is>
      </c>
      <c r="G4" s="32" t="inlineStr">
        <is>
          <t>Completion
Date</t>
        </is>
      </c>
      <c r="H4" s="32" t="inlineStr">
        <is>
          <t>Status &amp; Evidence</t>
        </is>
      </c>
    </row>
    <row r="5" ht="30" customHeight="1">
      <c r="B5" s="33" t="inlineStr">
        <is>
          <t>AC/2024/01</t>
        </is>
      </c>
      <c r="C5" s="34" t="inlineStr"/>
      <c r="D5" s="34" t="inlineStr"/>
      <c r="E5" s="35" t="inlineStr"/>
      <c r="F5" s="35" t="inlineStr"/>
      <c r="G5" s="35" t="inlineStr"/>
      <c r="H5" s="34" t="inlineStr">
        <is>
          <t>Pending</t>
        </is>
      </c>
    </row>
    <row r="6" ht="30" customHeight="1">
      <c r="B6" s="4" t="inlineStr">
        <is>
          <t>AC/2024/02</t>
        </is>
      </c>
      <c r="C6" s="5" t="inlineStr"/>
      <c r="D6" s="5" t="inlineStr"/>
      <c r="E6" s="6" t="inlineStr"/>
      <c r="F6" s="6" t="inlineStr"/>
      <c r="G6" s="6" t="inlineStr"/>
      <c r="H6" s="5" t="inlineStr">
        <is>
          <t>Pending</t>
        </is>
      </c>
    </row>
    <row r="7" ht="30" customHeight="1">
      <c r="B7" s="33" t="inlineStr">
        <is>
          <t>AC/2024/03</t>
        </is>
      </c>
      <c r="C7" s="34" t="inlineStr"/>
      <c r="D7" s="34" t="inlineStr"/>
      <c r="E7" s="35" t="inlineStr"/>
      <c r="F7" s="35" t="inlineStr"/>
      <c r="G7" s="35" t="inlineStr"/>
      <c r="H7" s="34" t="inlineStr">
        <is>
          <t>Pending</t>
        </is>
      </c>
    </row>
    <row r="8" ht="30" customHeight="1">
      <c r="B8" s="4" t="inlineStr">
        <is>
          <t>AC/2024/04</t>
        </is>
      </c>
      <c r="C8" s="5" t="inlineStr"/>
      <c r="D8" s="5" t="inlineStr"/>
      <c r="E8" s="6" t="inlineStr"/>
      <c r="F8" s="6" t="inlineStr"/>
      <c r="G8" s="6" t="inlineStr"/>
      <c r="H8" s="5" t="inlineStr">
        <is>
          <t>Pending</t>
        </is>
      </c>
    </row>
    <row r="9" ht="30" customHeight="1">
      <c r="B9" s="33" t="inlineStr">
        <is>
          <t>AC/2024/05</t>
        </is>
      </c>
      <c r="C9" s="34" t="inlineStr"/>
      <c r="D9" s="34" t="inlineStr"/>
      <c r="E9" s="35" t="inlineStr"/>
      <c r="F9" s="35" t="inlineStr"/>
      <c r="G9" s="35" t="inlineStr"/>
      <c r="H9" s="34" t="inlineStr">
        <is>
          <t>Pending</t>
        </is>
      </c>
    </row>
    <row r="10" ht="30" customHeight="1">
      <c r="B10" s="4" t="inlineStr">
        <is>
          <t>AC/2024/06</t>
        </is>
      </c>
      <c r="C10" s="5" t="inlineStr"/>
      <c r="D10" s="5" t="inlineStr"/>
      <c r="E10" s="6" t="inlineStr"/>
      <c r="F10" s="6" t="inlineStr"/>
      <c r="G10" s="6" t="inlineStr"/>
      <c r="H10" s="5" t="inlineStr">
        <is>
          <t>Pending</t>
        </is>
      </c>
    </row>
    <row r="11" ht="30" customHeight="1">
      <c r="B11" s="33" t="inlineStr">
        <is>
          <t>AC/2024/07</t>
        </is>
      </c>
      <c r="C11" s="34" t="inlineStr"/>
      <c r="D11" s="34" t="inlineStr"/>
      <c r="E11" s="35" t="inlineStr"/>
      <c r="F11" s="35" t="inlineStr"/>
      <c r="G11" s="35" t="inlineStr"/>
      <c r="H11" s="34" t="inlineStr">
        <is>
          <t>Pending</t>
        </is>
      </c>
    </row>
    <row r="12" ht="30" customHeight="1">
      <c r="B12" s="4" t="inlineStr">
        <is>
          <t>AC/2024/08</t>
        </is>
      </c>
      <c r="C12" s="5" t="inlineStr"/>
      <c r="D12" s="5" t="inlineStr"/>
      <c r="E12" s="6" t="inlineStr"/>
      <c r="F12" s="6" t="inlineStr"/>
      <c r="G12" s="6" t="inlineStr"/>
      <c r="H12" s="5" t="inlineStr">
        <is>
          <t>Pending</t>
        </is>
      </c>
    </row>
    <row r="13" ht="30" customHeight="1">
      <c r="B13" s="33" t="inlineStr">
        <is>
          <t>AC/2024/09</t>
        </is>
      </c>
      <c r="C13" s="34" t="inlineStr"/>
      <c r="D13" s="34" t="inlineStr"/>
      <c r="E13" s="35" t="inlineStr"/>
      <c r="F13" s="35" t="inlineStr"/>
      <c r="G13" s="35" t="inlineStr"/>
      <c r="H13" s="34" t="inlineStr">
        <is>
          <t>Pending</t>
        </is>
      </c>
    </row>
    <row r="14" ht="30" customHeight="1">
      <c r="B14" s="4" t="inlineStr">
        <is>
          <t>AC/2024/10</t>
        </is>
      </c>
      <c r="C14" s="5" t="inlineStr"/>
      <c r="D14" s="5" t="inlineStr"/>
      <c r="E14" s="6" t="inlineStr"/>
      <c r="F14" s="6" t="inlineStr"/>
      <c r="G14" s="6" t="inlineStr"/>
      <c r="H14" s="5" t="inlineStr">
        <is>
          <t>Pending</t>
        </is>
      </c>
    </row>
    <row r="15" ht="30" customHeight="1">
      <c r="B15" s="33" t="inlineStr">
        <is>
          <t>AC/2024/11</t>
        </is>
      </c>
      <c r="C15" s="34" t="inlineStr"/>
      <c r="D15" s="34" t="inlineStr"/>
      <c r="E15" s="35" t="inlineStr"/>
      <c r="F15" s="35" t="inlineStr"/>
      <c r="G15" s="35" t="inlineStr"/>
      <c r="H15" s="34" t="inlineStr">
        <is>
          <t>Pending</t>
        </is>
      </c>
    </row>
    <row r="16" ht="30" customHeight="1">
      <c r="B16" s="4" t="inlineStr">
        <is>
          <t>AC/2024/12</t>
        </is>
      </c>
      <c r="C16" s="5" t="inlineStr"/>
      <c r="D16" s="5" t="inlineStr"/>
      <c r="E16" s="6" t="inlineStr"/>
      <c r="F16" s="6" t="inlineStr"/>
      <c r="G16" s="6" t="inlineStr"/>
      <c r="H16" s="5" t="inlineStr">
        <is>
          <t>Pending</t>
        </is>
      </c>
    </row>
    <row r="17" ht="30" customHeight="1">
      <c r="B17" s="33" t="inlineStr">
        <is>
          <t>AC/2024/13</t>
        </is>
      </c>
      <c r="C17" s="34" t="inlineStr"/>
      <c r="D17" s="34" t="inlineStr"/>
      <c r="E17" s="35" t="inlineStr"/>
      <c r="F17" s="35" t="inlineStr"/>
      <c r="G17" s="35" t="inlineStr"/>
      <c r="H17" s="34" t="inlineStr">
        <is>
          <t>Pending</t>
        </is>
      </c>
    </row>
    <row r="18" ht="30" customHeight="1">
      <c r="B18" s="4" t="inlineStr">
        <is>
          <t>AC/2024/14</t>
        </is>
      </c>
      <c r="C18" s="5" t="inlineStr"/>
      <c r="D18" s="5" t="inlineStr"/>
      <c r="E18" s="6" t="inlineStr"/>
      <c r="F18" s="6" t="inlineStr"/>
      <c r="G18" s="6" t="inlineStr"/>
      <c r="H18" s="5" t="inlineStr">
        <is>
          <t>Pending</t>
        </is>
      </c>
    </row>
    <row r="19" ht="28" customHeight="1"/>
    <row r="20" ht="28" customHeight="1">
      <c r="B20" s="36" t="inlineStr">
        <is>
          <t>ATR SUMMARY</t>
        </is>
      </c>
    </row>
    <row r="21" ht="28" customHeight="1">
      <c r="B21" s="37" t="inlineStr">
        <is>
          <t>Total Resolutions Under Review</t>
        </is>
      </c>
      <c r="C21" s="60" t="n"/>
      <c r="D21" s="60" t="n"/>
      <c r="E21" s="61" t="n"/>
      <c r="F21" s="38">
        <f>COUNTA(B5:B18)</f>
        <v/>
      </c>
      <c r="G21" s="60" t="n"/>
      <c r="H21" s="61" t="n"/>
    </row>
    <row r="22" ht="28" customHeight="1">
      <c r="B22" s="17" t="inlineStr">
        <is>
          <t>Fully Implemented</t>
        </is>
      </c>
      <c r="C22" s="60" t="n"/>
      <c r="D22" s="60" t="n"/>
      <c r="E22" s="61" t="n"/>
      <c r="F22" s="38">
        <f>COUNTIF(H5:H18,"Implemented")</f>
        <v/>
      </c>
      <c r="G22" s="60" t="n"/>
      <c r="H22" s="61" t="n"/>
    </row>
    <row r="23" ht="28" customHeight="1">
      <c r="B23" s="37" t="inlineStr">
        <is>
          <t>In Progress</t>
        </is>
      </c>
      <c r="C23" s="60" t="n"/>
      <c r="D23" s="60" t="n"/>
      <c r="E23" s="61" t="n"/>
      <c r="F23" s="38">
        <f>COUNTIF(H5:H18,"In Progress")</f>
        <v/>
      </c>
      <c r="G23" s="60" t="n"/>
      <c r="H23" s="61" t="n"/>
    </row>
    <row r="24" ht="28" customHeight="1">
      <c r="B24" s="17" t="inlineStr">
        <is>
          <t>Pending / Not Started</t>
        </is>
      </c>
      <c r="C24" s="60" t="n"/>
      <c r="D24" s="60" t="n"/>
      <c r="E24" s="61" t="n"/>
      <c r="F24" s="38">
        <f>COUNTIF(H5:H18,"Pending")</f>
        <v/>
      </c>
      <c r="G24" s="60" t="n"/>
      <c r="H24" s="61" t="n"/>
    </row>
    <row r="25" ht="28" customHeight="1">
      <c r="B25" s="37" t="inlineStr">
        <is>
          <t>Deferred to Next Meeting</t>
        </is>
      </c>
      <c r="C25" s="60" t="n"/>
      <c r="D25" s="60" t="n"/>
      <c r="E25" s="61" t="n"/>
      <c r="F25" s="38">
        <f>COUNTIF(H5:H18,"Deferred")</f>
        <v/>
      </c>
      <c r="G25" s="60" t="n"/>
      <c r="H25" s="61" t="n"/>
    </row>
    <row r="26" ht="28" customHeight="1">
      <c r="B26" s="17" t="inlineStr">
        <is>
          <t>Implementation Rate (%)</t>
        </is>
      </c>
      <c r="C26" s="60" t="n"/>
      <c r="D26" s="60" t="n"/>
      <c r="E26" s="61" t="n"/>
      <c r="F26" s="39">
        <f>IFERROR(ROUND(C22/C21*100,1),"")</f>
        <v/>
      </c>
      <c r="G26" s="60" t="n"/>
      <c r="H26" s="61" t="n"/>
    </row>
    <row r="27" ht="28" customHeight="1"/>
    <row r="28" ht="28" customHeight="1"/>
    <row r="29" ht="28" customHeight="1"/>
    <row r="30" ht="28" customHeight="1"/>
    <row r="31" ht="28" customHeight="1"/>
  </sheetData>
  <mergeCells count="15">
    <mergeCell ref="F23:H23"/>
    <mergeCell ref="B26:E26"/>
    <mergeCell ref="B23:E23"/>
    <mergeCell ref="F22:H22"/>
    <mergeCell ref="B21:E21"/>
    <mergeCell ref="F26:H26"/>
    <mergeCell ref="B2:H2"/>
    <mergeCell ref="B25:E25"/>
    <mergeCell ref="B24:E24"/>
    <mergeCell ref="B3:H3"/>
    <mergeCell ref="F21:H21"/>
    <mergeCell ref="B20:H20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3" customWidth="1" min="10" max="10"/>
  </cols>
  <sheetData>
    <row r="1" ht="10" customHeight="1"/>
    <row r="2" ht="45" customHeight="1">
      <c r="B2" s="11" t="inlineStr">
        <is>
          <t>AC-06: BoS RECOMMENDATION APPROVAL TRACKER</t>
        </is>
      </c>
    </row>
    <row r="3" ht="25" customHeight="1">
      <c r="B3" s="2" t="inlineStr">
        <is>
          <t>AC Meeting No.: _______  Date: _______  Total BoS Recommendations Received: _______</t>
        </is>
      </c>
    </row>
    <row r="4" ht="25" customHeight="1">
      <c r="B4" s="40" t="inlineStr">
        <is>
          <t>Sl.</t>
        </is>
      </c>
      <c r="C4" s="40" t="inlineStr">
        <is>
          <t>BoS Recommendation (Summary)</t>
        </is>
      </c>
      <c r="D4" s="40" t="inlineStr">
        <is>
          <t>Department
&amp; BoS Ref.</t>
        </is>
      </c>
      <c r="E4" s="40" t="inlineStr">
        <is>
          <t>Category</t>
        </is>
      </c>
      <c r="F4" s="40" t="inlineStr">
        <is>
          <t>Reviewed by
AC Sub-Comm.</t>
        </is>
      </c>
      <c r="G4" s="40" t="inlineStr">
        <is>
          <t>AC Decision</t>
        </is>
      </c>
      <c r="H4" s="40" t="inlineStr">
        <is>
          <t>Resolution No.</t>
        </is>
      </c>
      <c r="I4" s="40" t="inlineStr">
        <is>
          <t>Remarks</t>
        </is>
      </c>
    </row>
    <row r="5" ht="25" customHeight="1">
      <c r="B5" s="41" t="n">
        <v>1</v>
      </c>
      <c r="C5" s="42" t="inlineStr"/>
      <c r="D5" s="43" t="inlineStr"/>
      <c r="E5" s="43" t="inlineStr">
        <is>
          <t>Curriculum</t>
        </is>
      </c>
      <c r="F5" s="43" t="inlineStr"/>
      <c r="G5" s="43" t="inlineStr">
        <is>
          <t>Approved</t>
        </is>
      </c>
      <c r="H5" s="43" t="inlineStr"/>
      <c r="I5" s="42" t="inlineStr"/>
    </row>
    <row r="6" ht="25" customHeight="1">
      <c r="B6" s="4" t="n">
        <v>2</v>
      </c>
      <c r="C6" s="5" t="inlineStr"/>
      <c r="D6" s="6" t="inlineStr"/>
      <c r="E6" s="6" t="inlineStr">
        <is>
          <t>Syllabus</t>
        </is>
      </c>
      <c r="F6" s="6" t="inlineStr"/>
      <c r="G6" s="6" t="inlineStr">
        <is>
          <t>Approved with Modification</t>
        </is>
      </c>
      <c r="H6" s="6" t="inlineStr"/>
      <c r="I6" s="5" t="inlineStr"/>
    </row>
    <row r="7" ht="25" customHeight="1">
      <c r="B7" s="41" t="n">
        <v>3</v>
      </c>
      <c r="C7" s="42" t="inlineStr"/>
      <c r="D7" s="43" t="inlineStr"/>
      <c r="E7" s="43" t="inlineStr">
        <is>
          <t>New Course</t>
        </is>
      </c>
      <c r="F7" s="43" t="inlineStr"/>
      <c r="G7" s="43" t="inlineStr">
        <is>
          <t>Referred Back</t>
        </is>
      </c>
      <c r="H7" s="43" t="inlineStr"/>
      <c r="I7" s="42" t="inlineStr"/>
    </row>
    <row r="8" ht="25" customHeight="1">
      <c r="B8" s="4" t="n">
        <v>4</v>
      </c>
      <c r="C8" s="5" t="inlineStr"/>
      <c r="D8" s="6" t="inlineStr"/>
      <c r="E8" s="6" t="inlineStr">
        <is>
          <t>Exam Pattern</t>
        </is>
      </c>
      <c r="F8" s="6" t="inlineStr"/>
      <c r="G8" s="6" t="inlineStr">
        <is>
          <t>Deferred</t>
        </is>
      </c>
      <c r="H8" s="6" t="inlineStr"/>
      <c r="I8" s="5" t="inlineStr"/>
    </row>
    <row r="9" ht="25" customHeight="1">
      <c r="B9" s="41" t="n">
        <v>5</v>
      </c>
      <c r="C9" s="42" t="inlineStr"/>
      <c r="D9" s="43" t="inlineStr"/>
      <c r="E9" s="43" t="inlineStr">
        <is>
          <t>CO-PO Mapping</t>
        </is>
      </c>
      <c r="F9" s="43" t="inlineStr"/>
      <c r="G9" s="43" t="inlineStr">
        <is>
          <t>Rejected</t>
        </is>
      </c>
      <c r="H9" s="43" t="inlineStr"/>
      <c r="I9" s="42" t="inlineStr"/>
    </row>
    <row r="10" ht="25" customHeight="1">
      <c r="B10" s="4" t="n">
        <v>6</v>
      </c>
      <c r="C10" s="5" t="inlineStr"/>
      <c r="D10" s="6" t="inlineStr"/>
      <c r="E10" s="6" t="inlineStr">
        <is>
          <t>Faculty</t>
        </is>
      </c>
      <c r="F10" s="6" t="inlineStr"/>
      <c r="G10" s="6" t="inlineStr">
        <is>
          <t>Approved</t>
        </is>
      </c>
      <c r="H10" s="6" t="inlineStr"/>
      <c r="I10" s="5" t="inlineStr"/>
    </row>
    <row r="11" ht="25" customHeight="1">
      <c r="B11" s="41" t="n">
        <v>7</v>
      </c>
      <c r="C11" s="42" t="inlineStr"/>
      <c r="D11" s="43" t="inlineStr"/>
      <c r="E11" s="43" t="inlineStr">
        <is>
          <t>Electives</t>
        </is>
      </c>
      <c r="F11" s="43" t="inlineStr"/>
      <c r="G11" s="43" t="inlineStr">
        <is>
          <t>Approved with Modification</t>
        </is>
      </c>
      <c r="H11" s="43" t="inlineStr"/>
      <c r="I11" s="42" t="inlineStr"/>
    </row>
    <row r="12" ht="25" customHeight="1">
      <c r="B12" s="4" t="n">
        <v>8</v>
      </c>
      <c r="C12" s="5" t="inlineStr"/>
      <c r="D12" s="6" t="inlineStr"/>
      <c r="E12" s="6" t="inlineStr">
        <is>
          <t>Audit Course</t>
        </is>
      </c>
      <c r="F12" s="6" t="inlineStr"/>
      <c r="G12" s="6" t="inlineStr">
        <is>
          <t>Referred Back</t>
        </is>
      </c>
      <c r="H12" s="6" t="inlineStr"/>
      <c r="I12" s="5" t="inlineStr"/>
    </row>
    <row r="13" ht="25" customHeight="1">
      <c r="B13" s="41" t="n">
        <v>9</v>
      </c>
      <c r="C13" s="42" t="inlineStr"/>
      <c r="D13" s="43" t="inlineStr"/>
      <c r="E13" s="43" t="inlineStr">
        <is>
          <t>Others</t>
        </is>
      </c>
      <c r="F13" s="43" t="inlineStr"/>
      <c r="G13" s="43" t="inlineStr">
        <is>
          <t>Deferred</t>
        </is>
      </c>
      <c r="H13" s="43" t="inlineStr"/>
      <c r="I13" s="42" t="inlineStr"/>
    </row>
    <row r="14" ht="25" customHeight="1">
      <c r="B14" s="4" t="n">
        <v>10</v>
      </c>
      <c r="C14" s="5" t="inlineStr"/>
      <c r="D14" s="6" t="inlineStr"/>
      <c r="E14" s="6" t="inlineStr">
        <is>
          <t>Curriculum</t>
        </is>
      </c>
      <c r="F14" s="6" t="inlineStr"/>
      <c r="G14" s="6" t="inlineStr">
        <is>
          <t>Rejected</t>
        </is>
      </c>
      <c r="H14" s="6" t="inlineStr"/>
      <c r="I14" s="5" t="inlineStr"/>
    </row>
    <row r="15" ht="25" customHeight="1">
      <c r="B15" s="41" t="n">
        <v>11</v>
      </c>
      <c r="C15" s="42" t="inlineStr"/>
      <c r="D15" s="43" t="inlineStr"/>
      <c r="E15" s="43" t="inlineStr">
        <is>
          <t>Syllabus</t>
        </is>
      </c>
      <c r="F15" s="43" t="inlineStr"/>
      <c r="G15" s="43" t="inlineStr">
        <is>
          <t>Approved</t>
        </is>
      </c>
      <c r="H15" s="43" t="inlineStr"/>
      <c r="I15" s="42" t="inlineStr"/>
    </row>
    <row r="16" ht="25" customHeight="1">
      <c r="B16" s="4" t="n">
        <v>12</v>
      </c>
      <c r="C16" s="5" t="inlineStr"/>
      <c r="D16" s="6" t="inlineStr"/>
      <c r="E16" s="6" t="inlineStr">
        <is>
          <t>New Course</t>
        </is>
      </c>
      <c r="F16" s="6" t="inlineStr"/>
      <c r="G16" s="6" t="inlineStr">
        <is>
          <t>Approved with Modification</t>
        </is>
      </c>
      <c r="H16" s="6" t="inlineStr"/>
      <c r="I16" s="5" t="inlineStr"/>
    </row>
    <row r="17" ht="25" customHeight="1">
      <c r="B17" s="41" t="n">
        <v>13</v>
      </c>
      <c r="C17" s="42" t="inlineStr"/>
      <c r="D17" s="43" t="inlineStr"/>
      <c r="E17" s="43" t="inlineStr">
        <is>
          <t>Exam Pattern</t>
        </is>
      </c>
      <c r="F17" s="43" t="inlineStr"/>
      <c r="G17" s="43" t="inlineStr">
        <is>
          <t>Referred Back</t>
        </is>
      </c>
      <c r="H17" s="43" t="inlineStr"/>
      <c r="I17" s="42" t="inlineStr"/>
    </row>
    <row r="18" ht="25" customHeight="1">
      <c r="B18" s="4" t="n">
        <v>14</v>
      </c>
      <c r="C18" s="5" t="inlineStr"/>
      <c r="D18" s="6" t="inlineStr"/>
      <c r="E18" s="6" t="inlineStr">
        <is>
          <t>CO-PO Mapping</t>
        </is>
      </c>
      <c r="F18" s="6" t="inlineStr"/>
      <c r="G18" s="6" t="inlineStr">
        <is>
          <t>Deferred</t>
        </is>
      </c>
      <c r="H18" s="6" t="inlineStr"/>
      <c r="I18" s="5" t="inlineStr"/>
    </row>
    <row r="19" ht="25" customHeight="1">
      <c r="B19" s="41" t="n">
        <v>15</v>
      </c>
      <c r="C19" s="42" t="inlineStr"/>
      <c r="D19" s="43" t="inlineStr"/>
      <c r="E19" s="43" t="inlineStr">
        <is>
          <t>Faculty</t>
        </is>
      </c>
      <c r="F19" s="43" t="inlineStr"/>
      <c r="G19" s="43" t="inlineStr">
        <is>
          <t>Rejected</t>
        </is>
      </c>
      <c r="H19" s="43" t="inlineStr"/>
      <c r="I19" s="42" t="inlineStr"/>
    </row>
    <row r="20" ht="25" customHeight="1">
      <c r="B20" s="4" t="n">
        <v>16</v>
      </c>
      <c r="C20" s="5" t="inlineStr"/>
      <c r="D20" s="6" t="inlineStr"/>
      <c r="E20" s="6" t="inlineStr">
        <is>
          <t>Electives</t>
        </is>
      </c>
      <c r="F20" s="6" t="inlineStr"/>
      <c r="G20" s="6" t="inlineStr">
        <is>
          <t>Approved</t>
        </is>
      </c>
      <c r="H20" s="6" t="inlineStr"/>
      <c r="I20" s="5" t="inlineStr"/>
    </row>
    <row r="21" ht="25" customHeight="1">
      <c r="B21" s="41" t="n">
        <v>17</v>
      </c>
      <c r="C21" s="42" t="inlineStr"/>
      <c r="D21" s="43" t="inlineStr"/>
      <c r="E21" s="43" t="inlineStr">
        <is>
          <t>Audit Course</t>
        </is>
      </c>
      <c r="F21" s="43" t="inlineStr"/>
      <c r="G21" s="43" t="inlineStr">
        <is>
          <t>Approved with Modification</t>
        </is>
      </c>
      <c r="H21" s="43" t="inlineStr"/>
      <c r="I21" s="42" t="inlineStr"/>
    </row>
    <row r="22" ht="25" customHeight="1">
      <c r="B22" s="4" t="n">
        <v>18</v>
      </c>
      <c r="C22" s="5" t="inlineStr"/>
      <c r="D22" s="6" t="inlineStr"/>
      <c r="E22" s="6" t="inlineStr">
        <is>
          <t>Others</t>
        </is>
      </c>
      <c r="F22" s="6" t="inlineStr"/>
      <c r="G22" s="6" t="inlineStr">
        <is>
          <t>Referred Back</t>
        </is>
      </c>
      <c r="H22" s="6" t="inlineStr"/>
      <c r="I22" s="5" t="inlineStr"/>
    </row>
    <row r="23" ht="25" customHeight="1"/>
    <row r="24" ht="25" customHeight="1">
      <c r="B24" s="44" t="inlineStr">
        <is>
          <t>APPROVAL SUMMARY</t>
        </is>
      </c>
    </row>
    <row r="25" ht="25" customHeight="1">
      <c r="B25" s="45" t="inlineStr">
        <is>
          <t>Total Recommendations Reviewed</t>
        </is>
      </c>
      <c r="C25" s="60" t="n"/>
      <c r="D25" s="60" t="n"/>
      <c r="E25" s="60" t="n"/>
      <c r="F25" s="61" t="n"/>
      <c r="G25" s="46">
        <f>COUNTA(B5:B22)</f>
        <v/>
      </c>
      <c r="H25" s="60" t="n"/>
      <c r="I25" s="61" t="n"/>
    </row>
    <row r="26" ht="25" customHeight="1">
      <c r="B26" s="17" t="inlineStr">
        <is>
          <t>Approved</t>
        </is>
      </c>
      <c r="C26" s="60" t="n"/>
      <c r="D26" s="60" t="n"/>
      <c r="E26" s="60" t="n"/>
      <c r="F26" s="61" t="n"/>
      <c r="G26" s="46">
        <f>COUNTIF(G5:G22,"Approved")</f>
        <v/>
      </c>
      <c r="H26" s="60" t="n"/>
      <c r="I26" s="61" t="n"/>
    </row>
    <row r="27" ht="25" customHeight="1">
      <c r="B27" s="45" t="inlineStr">
        <is>
          <t>Approved with Modification</t>
        </is>
      </c>
      <c r="C27" s="60" t="n"/>
      <c r="D27" s="60" t="n"/>
      <c r="E27" s="60" t="n"/>
      <c r="F27" s="61" t="n"/>
      <c r="G27" s="46">
        <f>COUNTIF(G5:G22,"Approved with Modification")</f>
        <v/>
      </c>
      <c r="H27" s="60" t="n"/>
      <c r="I27" s="61" t="n"/>
    </row>
    <row r="28" ht="25" customHeight="1">
      <c r="B28" s="17" t="inlineStr">
        <is>
          <t>Referred Back to BoS</t>
        </is>
      </c>
      <c r="C28" s="60" t="n"/>
      <c r="D28" s="60" t="n"/>
      <c r="E28" s="60" t="n"/>
      <c r="F28" s="61" t="n"/>
      <c r="G28" s="46">
        <f>COUNTIF(G5:G22,"Referred Back")</f>
        <v/>
      </c>
      <c r="H28" s="60" t="n"/>
      <c r="I28" s="61" t="n"/>
    </row>
    <row r="29" ht="25" customHeight="1">
      <c r="B29" s="45" t="inlineStr">
        <is>
          <t>Deferred</t>
        </is>
      </c>
      <c r="C29" s="60" t="n"/>
      <c r="D29" s="60" t="n"/>
      <c r="E29" s="60" t="n"/>
      <c r="F29" s="61" t="n"/>
      <c r="G29" s="46">
        <f>COUNTIF(G5:G22,"Deferred")</f>
        <v/>
      </c>
      <c r="H29" s="60" t="n"/>
      <c r="I29" s="61" t="n"/>
    </row>
    <row r="30" ht="25" customHeight="1">
      <c r="B30" s="17" t="inlineStr">
        <is>
          <t>Rejected</t>
        </is>
      </c>
      <c r="C30" s="60" t="n"/>
      <c r="D30" s="60" t="n"/>
      <c r="E30" s="60" t="n"/>
      <c r="F30" s="61" t="n"/>
      <c r="G30" s="46">
        <f>COUNTIF(G5:G22,"Rejected")</f>
        <v/>
      </c>
      <c r="H30" s="60" t="n"/>
      <c r="I30" s="61" t="n"/>
    </row>
    <row r="31" ht="25" customHeight="1">
      <c r="B31" s="45" t="inlineStr">
        <is>
          <t>Approval Rate (%)</t>
        </is>
      </c>
      <c r="C31" s="60" t="n"/>
      <c r="D31" s="60" t="n"/>
      <c r="E31" s="60" t="n"/>
      <c r="F31" s="61" t="n"/>
      <c r="G31" s="47">
        <f>IFERROR(ROUND((C26+C27)/C25*100,1),"")</f>
        <v/>
      </c>
      <c r="H31" s="60" t="n"/>
      <c r="I31" s="61" t="n"/>
    </row>
    <row r="32" ht="25" customHeight="1"/>
    <row r="33" ht="25" customHeight="1"/>
    <row r="34" ht="25" customHeight="1"/>
  </sheetData>
  <mergeCells count="17">
    <mergeCell ref="B30:F30"/>
    <mergeCell ref="B29:F29"/>
    <mergeCell ref="G28:I28"/>
    <mergeCell ref="G27:I27"/>
    <mergeCell ref="B24:I24"/>
    <mergeCell ref="B2:I2"/>
    <mergeCell ref="B25:F25"/>
    <mergeCell ref="B28:F28"/>
    <mergeCell ref="G31:I31"/>
    <mergeCell ref="B3:I3"/>
    <mergeCell ref="B31:F31"/>
    <mergeCell ref="G26:I26"/>
    <mergeCell ref="G29:I29"/>
    <mergeCell ref="G30:I30"/>
    <mergeCell ref="B26:F26"/>
    <mergeCell ref="B27:F27"/>
    <mergeCell ref="G25:I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5" customHeight="1">
      <c r="B2" s="11" t="inlineStr">
        <is>
          <t>AC-07: ACADEMIC CALENDAR PREPARATION &amp; APPROVAL FORM</t>
        </is>
      </c>
    </row>
    <row r="3" ht="25" customHeight="1">
      <c r="B3" s="2" t="inlineStr">
        <is>
          <t>Institution: _________________________  Academic Year: _______  Odd Semester: _______  Even Semester: _______</t>
        </is>
      </c>
    </row>
    <row r="4" ht="25" customHeight="1">
      <c r="B4" s="21" t="inlineStr">
        <is>
          <t>ODD SEMESTER (JUNE – NOVEMBER)</t>
        </is>
      </c>
    </row>
    <row r="5" ht="22" customHeight="1">
      <c r="B5" s="12" t="inlineStr">
        <is>
          <t>Event / Activity</t>
        </is>
      </c>
      <c r="C5" s="12" t="inlineStr">
        <is>
          <t>Proposed Date / Period</t>
        </is>
      </c>
      <c r="D5" s="12" t="inlineStr">
        <is>
          <t>No. of
Working Days</t>
        </is>
      </c>
      <c r="E5" s="12" t="inlineStr">
        <is>
          <t>Dept. Responsible</t>
        </is>
      </c>
      <c r="F5" s="12" t="inlineStr">
        <is>
          <t>AC Approved
Date</t>
        </is>
      </c>
      <c r="G5" s="12" t="inlineStr">
        <is>
          <t>Remarks</t>
        </is>
      </c>
      <c r="H5" s="12" t="inlineStr">
        <is>
          <t>Status</t>
        </is>
      </c>
    </row>
    <row r="6" ht="22" customHeight="1">
      <c r="B6" s="15" t="inlineStr">
        <is>
          <t>Commencement of Classes (Odd Sem)</t>
        </is>
      </c>
      <c r="C6" s="16" t="inlineStr"/>
      <c r="D6" s="16" t="inlineStr"/>
      <c r="E6" s="16" t="inlineStr"/>
      <c r="F6" s="16" t="inlineStr"/>
      <c r="G6" s="14" t="inlineStr"/>
      <c r="H6" s="16" t="inlineStr">
        <is>
          <t>Pending</t>
        </is>
      </c>
    </row>
    <row r="7" ht="22" customHeight="1">
      <c r="B7" s="17" t="inlineStr">
        <is>
          <t>Induction Programme (First Year)</t>
        </is>
      </c>
      <c r="C7" s="6" t="inlineStr"/>
      <c r="D7" s="6" t="inlineStr"/>
      <c r="E7" s="6" t="inlineStr"/>
      <c r="F7" s="6" t="inlineStr"/>
      <c r="G7" s="5" t="inlineStr"/>
      <c r="H7" s="6" t="inlineStr">
        <is>
          <t>Pending</t>
        </is>
      </c>
    </row>
    <row r="8" ht="22" customHeight="1">
      <c r="B8" s="15" t="inlineStr">
        <is>
          <t>Internal Assessment Test – 1</t>
        </is>
      </c>
      <c r="C8" s="16" t="inlineStr"/>
      <c r="D8" s="16" t="inlineStr"/>
      <c r="E8" s="16" t="inlineStr"/>
      <c r="F8" s="16" t="inlineStr"/>
      <c r="G8" s="14" t="inlineStr"/>
      <c r="H8" s="16" t="inlineStr">
        <is>
          <t>Pending</t>
        </is>
      </c>
    </row>
    <row r="9" ht="22" customHeight="1">
      <c r="B9" s="17" t="inlineStr">
        <is>
          <t>Submission of IA-1 Marks</t>
        </is>
      </c>
      <c r="C9" s="6" t="inlineStr"/>
      <c r="D9" s="6" t="inlineStr"/>
      <c r="E9" s="6" t="inlineStr"/>
      <c r="F9" s="6" t="inlineStr"/>
      <c r="G9" s="5" t="inlineStr"/>
      <c r="H9" s="6" t="inlineStr">
        <is>
          <t>Pending</t>
        </is>
      </c>
    </row>
    <row r="10" ht="22" customHeight="1">
      <c r="B10" s="15" t="inlineStr">
        <is>
          <t>Mid-Semester Holidays</t>
        </is>
      </c>
      <c r="C10" s="16" t="inlineStr"/>
      <c r="D10" s="16" t="inlineStr"/>
      <c r="E10" s="16" t="inlineStr"/>
      <c r="F10" s="16" t="inlineStr"/>
      <c r="G10" s="14" t="inlineStr"/>
      <c r="H10" s="16" t="inlineStr">
        <is>
          <t>Pending</t>
        </is>
      </c>
    </row>
    <row r="11" ht="22" customHeight="1">
      <c r="B11" s="17" t="inlineStr">
        <is>
          <t>Internal Assessment Test – 2</t>
        </is>
      </c>
      <c r="C11" s="6" t="inlineStr"/>
      <c r="D11" s="6" t="inlineStr"/>
      <c r="E11" s="6" t="inlineStr"/>
      <c r="F11" s="6" t="inlineStr"/>
      <c r="G11" s="5" t="inlineStr"/>
      <c r="H11" s="6" t="inlineStr">
        <is>
          <t>Pending</t>
        </is>
      </c>
    </row>
    <row r="12" ht="22" customHeight="1">
      <c r="B12" s="15" t="inlineStr">
        <is>
          <t>Submission of IA-2 Marks</t>
        </is>
      </c>
      <c r="C12" s="16" t="inlineStr"/>
      <c r="D12" s="16" t="inlineStr"/>
      <c r="E12" s="16" t="inlineStr"/>
      <c r="F12" s="16" t="inlineStr"/>
      <c r="G12" s="14" t="inlineStr"/>
      <c r="H12" s="16" t="inlineStr">
        <is>
          <t>Pending</t>
        </is>
      </c>
    </row>
    <row r="13" ht="22" customHeight="1">
      <c r="B13" s="17" t="inlineStr">
        <is>
          <t>Last Day of Instruction</t>
        </is>
      </c>
      <c r="C13" s="6" t="inlineStr"/>
      <c r="D13" s="6" t="inlineStr"/>
      <c r="E13" s="6" t="inlineStr"/>
      <c r="F13" s="6" t="inlineStr"/>
      <c r="G13" s="5" t="inlineStr"/>
      <c r="H13" s="6" t="inlineStr">
        <is>
          <t>Pending</t>
        </is>
      </c>
    </row>
    <row r="14" ht="22" customHeight="1">
      <c r="B14" s="15" t="inlineStr">
        <is>
          <t>Practical / Lab Examinations</t>
        </is>
      </c>
      <c r="C14" s="16" t="inlineStr"/>
      <c r="D14" s="16" t="inlineStr"/>
      <c r="E14" s="16" t="inlineStr"/>
      <c r="F14" s="16" t="inlineStr"/>
      <c r="G14" s="14" t="inlineStr"/>
      <c r="H14" s="16" t="inlineStr">
        <is>
          <t>Pending</t>
        </is>
      </c>
    </row>
    <row r="15" ht="22" customHeight="1">
      <c r="B15" s="17" t="inlineStr">
        <is>
          <t>Study Holidays</t>
        </is>
      </c>
      <c r="C15" s="6" t="inlineStr"/>
      <c r="D15" s="6" t="inlineStr"/>
      <c r="E15" s="6" t="inlineStr"/>
      <c r="F15" s="6" t="inlineStr"/>
      <c r="G15" s="5" t="inlineStr"/>
      <c r="H15" s="6" t="inlineStr">
        <is>
          <t>Pending</t>
        </is>
      </c>
    </row>
    <row r="16" ht="22" customHeight="1">
      <c r="B16" s="15" t="inlineStr">
        <is>
          <t>Semester End Examinations (SEE) – Theory</t>
        </is>
      </c>
      <c r="C16" s="16" t="inlineStr"/>
      <c r="D16" s="16" t="inlineStr"/>
      <c r="E16" s="16" t="inlineStr"/>
      <c r="F16" s="16" t="inlineStr"/>
      <c r="G16" s="14" t="inlineStr"/>
      <c r="H16" s="16" t="inlineStr">
        <is>
          <t>Pending</t>
        </is>
      </c>
    </row>
    <row r="17" ht="22" customHeight="1">
      <c r="B17" s="17" t="inlineStr">
        <is>
          <t>Results Declaration</t>
        </is>
      </c>
      <c r="C17" s="6" t="inlineStr"/>
      <c r="D17" s="6" t="inlineStr"/>
      <c r="E17" s="6" t="inlineStr"/>
      <c r="F17" s="6" t="inlineStr"/>
      <c r="G17" s="5" t="inlineStr"/>
      <c r="H17" s="6" t="inlineStr">
        <is>
          <t>Pending</t>
        </is>
      </c>
    </row>
    <row r="18" ht="22" customHeight="1">
      <c r="B18" s="15" t="inlineStr">
        <is>
          <t>Supplementary / Backlog Examinations</t>
        </is>
      </c>
      <c r="C18" s="16" t="inlineStr"/>
      <c r="D18" s="16" t="inlineStr"/>
      <c r="E18" s="16" t="inlineStr"/>
      <c r="F18" s="16" t="inlineStr"/>
      <c r="G18" s="14" t="inlineStr"/>
      <c r="H18" s="16" t="inlineStr">
        <is>
          <t>Pending</t>
        </is>
      </c>
    </row>
    <row r="19" ht="22" customHeight="1">
      <c r="B19" s="17" t="inlineStr">
        <is>
          <t>Semester End (Odd)</t>
        </is>
      </c>
      <c r="C19" s="6" t="inlineStr"/>
      <c r="D19" s="6" t="inlineStr"/>
      <c r="E19" s="6" t="inlineStr"/>
      <c r="F19" s="6" t="inlineStr"/>
      <c r="G19" s="5" t="inlineStr"/>
      <c r="H19" s="6" t="inlineStr">
        <is>
          <t>Pending</t>
        </is>
      </c>
    </row>
    <row r="20" ht="22" customHeight="1"/>
    <row r="21" ht="22" customHeight="1">
      <c r="B21" s="44" t="inlineStr">
        <is>
          <t>EVEN SEMESTER (DECEMBER – MAY)</t>
        </is>
      </c>
    </row>
    <row r="22" ht="22" customHeight="1">
      <c r="B22" s="40" t="inlineStr">
        <is>
          <t>Event / Activity</t>
        </is>
      </c>
      <c r="C22" s="40" t="inlineStr">
        <is>
          <t>Proposed Date / Period</t>
        </is>
      </c>
      <c r="D22" s="40" t="inlineStr">
        <is>
          <t>No. of
Working Days</t>
        </is>
      </c>
      <c r="E22" s="40" t="inlineStr">
        <is>
          <t>Dept. Responsible</t>
        </is>
      </c>
      <c r="F22" s="40" t="inlineStr">
        <is>
          <t>AC Approved
Date</t>
        </is>
      </c>
      <c r="G22" s="40" t="inlineStr">
        <is>
          <t>Remarks</t>
        </is>
      </c>
      <c r="H22" s="40" t="inlineStr">
        <is>
          <t>Status</t>
        </is>
      </c>
    </row>
    <row r="23" ht="22" customHeight="1">
      <c r="B23" s="45" t="inlineStr">
        <is>
          <t>Commencement of Classes (Even Sem)</t>
        </is>
      </c>
      <c r="C23" s="43" t="inlineStr"/>
      <c r="D23" s="43" t="inlineStr"/>
      <c r="E23" s="43" t="inlineStr"/>
      <c r="F23" s="43" t="inlineStr"/>
      <c r="G23" s="42" t="inlineStr"/>
      <c r="H23" s="43" t="inlineStr">
        <is>
          <t>Pending</t>
        </is>
      </c>
    </row>
    <row r="24" ht="22" customHeight="1">
      <c r="B24" s="17" t="inlineStr">
        <is>
          <t>Internal Assessment Test – 1</t>
        </is>
      </c>
      <c r="C24" s="6" t="inlineStr"/>
      <c r="D24" s="6" t="inlineStr"/>
      <c r="E24" s="6" t="inlineStr"/>
      <c r="F24" s="6" t="inlineStr"/>
      <c r="G24" s="5" t="inlineStr"/>
      <c r="H24" s="6" t="inlineStr">
        <is>
          <t>Pending</t>
        </is>
      </c>
    </row>
    <row r="25" ht="22" customHeight="1">
      <c r="B25" s="45" t="inlineStr">
        <is>
          <t>Submission of IA-1 Marks</t>
        </is>
      </c>
      <c r="C25" s="43" t="inlineStr"/>
      <c r="D25" s="43" t="inlineStr"/>
      <c r="E25" s="43" t="inlineStr"/>
      <c r="F25" s="43" t="inlineStr"/>
      <c r="G25" s="42" t="inlineStr"/>
      <c r="H25" s="43" t="inlineStr">
        <is>
          <t>Pending</t>
        </is>
      </c>
    </row>
    <row r="26" ht="22" customHeight="1">
      <c r="B26" s="17" t="inlineStr">
        <is>
          <t>Republic Day / National Events</t>
        </is>
      </c>
      <c r="C26" s="6" t="inlineStr"/>
      <c r="D26" s="6" t="inlineStr"/>
      <c r="E26" s="6" t="inlineStr"/>
      <c r="F26" s="6" t="inlineStr"/>
      <c r="G26" s="5" t="inlineStr"/>
      <c r="H26" s="6" t="inlineStr">
        <is>
          <t>Pending</t>
        </is>
      </c>
    </row>
    <row r="27" ht="22" customHeight="1">
      <c r="B27" s="45" t="inlineStr">
        <is>
          <t>Internal Assessment Test – 2</t>
        </is>
      </c>
      <c r="C27" s="43" t="inlineStr"/>
      <c r="D27" s="43" t="inlineStr"/>
      <c r="E27" s="43" t="inlineStr"/>
      <c r="F27" s="43" t="inlineStr"/>
      <c r="G27" s="42" t="inlineStr"/>
      <c r="H27" s="43" t="inlineStr">
        <is>
          <t>Pending</t>
        </is>
      </c>
    </row>
    <row r="28" ht="22" customHeight="1">
      <c r="B28" s="17" t="inlineStr">
        <is>
          <t>Submission of IA-2 Marks</t>
        </is>
      </c>
      <c r="C28" s="6" t="inlineStr"/>
      <c r="D28" s="6" t="inlineStr"/>
      <c r="E28" s="6" t="inlineStr"/>
      <c r="F28" s="6" t="inlineStr"/>
      <c r="G28" s="5" t="inlineStr"/>
      <c r="H28" s="6" t="inlineStr">
        <is>
          <t>Pending</t>
        </is>
      </c>
    </row>
    <row r="29" ht="22" customHeight="1">
      <c r="B29" s="45" t="inlineStr">
        <is>
          <t>Project / Seminar Presentations</t>
        </is>
      </c>
      <c r="C29" s="43" t="inlineStr"/>
      <c r="D29" s="43" t="inlineStr"/>
      <c r="E29" s="43" t="inlineStr"/>
      <c r="F29" s="43" t="inlineStr"/>
      <c r="G29" s="42" t="inlineStr"/>
      <c r="H29" s="43" t="inlineStr">
        <is>
          <t>Pending</t>
        </is>
      </c>
    </row>
    <row r="30" ht="22" customHeight="1">
      <c r="B30" s="17" t="inlineStr">
        <is>
          <t>Last Day of Instruction</t>
        </is>
      </c>
      <c r="C30" s="6" t="inlineStr"/>
      <c r="D30" s="6" t="inlineStr"/>
      <c r="E30" s="6" t="inlineStr"/>
      <c r="F30" s="6" t="inlineStr"/>
      <c r="G30" s="5" t="inlineStr"/>
      <c r="H30" s="6" t="inlineStr">
        <is>
          <t>Pending</t>
        </is>
      </c>
    </row>
    <row r="31" ht="22" customHeight="1">
      <c r="B31" s="45" t="inlineStr">
        <is>
          <t>Practical / Lab Examinations</t>
        </is>
      </c>
      <c r="C31" s="43" t="inlineStr"/>
      <c r="D31" s="43" t="inlineStr"/>
      <c r="E31" s="43" t="inlineStr"/>
      <c r="F31" s="43" t="inlineStr"/>
      <c r="G31" s="42" t="inlineStr"/>
      <c r="H31" s="43" t="inlineStr">
        <is>
          <t>Pending</t>
        </is>
      </c>
    </row>
    <row r="32" ht="22" customHeight="1">
      <c r="B32" s="17" t="inlineStr">
        <is>
          <t>Study Holidays</t>
        </is>
      </c>
      <c r="C32" s="6" t="inlineStr"/>
      <c r="D32" s="6" t="inlineStr"/>
      <c r="E32" s="6" t="inlineStr"/>
      <c r="F32" s="6" t="inlineStr"/>
      <c r="G32" s="5" t="inlineStr"/>
      <c r="H32" s="6" t="inlineStr">
        <is>
          <t>Pending</t>
        </is>
      </c>
    </row>
    <row r="33" ht="22" customHeight="1">
      <c r="B33" s="45" t="inlineStr">
        <is>
          <t>Semester End Examinations (SEE) – Theory</t>
        </is>
      </c>
      <c r="C33" s="43" t="inlineStr"/>
      <c r="D33" s="43" t="inlineStr"/>
      <c r="E33" s="43" t="inlineStr"/>
      <c r="F33" s="43" t="inlineStr"/>
      <c r="G33" s="42" t="inlineStr"/>
      <c r="H33" s="43" t="inlineStr">
        <is>
          <t>Pending</t>
        </is>
      </c>
    </row>
    <row r="34" ht="22" customHeight="1">
      <c r="B34" s="17" t="inlineStr">
        <is>
          <t>Results Declaration &amp; Graduation</t>
        </is>
      </c>
      <c r="C34" s="6" t="inlineStr"/>
      <c r="D34" s="6" t="inlineStr"/>
      <c r="E34" s="6" t="inlineStr"/>
      <c r="F34" s="6" t="inlineStr"/>
      <c r="G34" s="5" t="inlineStr"/>
      <c r="H34" s="6" t="inlineStr">
        <is>
          <t>Pending</t>
        </is>
      </c>
    </row>
    <row r="35" ht="22" customHeight="1">
      <c r="B35" s="45" t="inlineStr">
        <is>
          <t>Annual Day / Convocation</t>
        </is>
      </c>
      <c r="C35" s="43" t="inlineStr"/>
      <c r="D35" s="43" t="inlineStr"/>
      <c r="E35" s="43" t="inlineStr"/>
      <c r="F35" s="43" t="inlineStr"/>
      <c r="G35" s="42" t="inlineStr"/>
      <c r="H35" s="43" t="inlineStr">
        <is>
          <t>Pending</t>
        </is>
      </c>
    </row>
    <row r="36" ht="22" customHeight="1">
      <c r="B36" s="17" t="inlineStr">
        <is>
          <t>Semester End (Even)</t>
        </is>
      </c>
      <c r="C36" s="6" t="inlineStr"/>
      <c r="D36" s="6" t="inlineStr"/>
      <c r="E36" s="6" t="inlineStr"/>
      <c r="F36" s="6" t="inlineStr"/>
      <c r="G36" s="5" t="inlineStr"/>
      <c r="H36" s="6" t="inlineStr">
        <is>
          <t>Pending</t>
        </is>
      </c>
    </row>
    <row r="37" ht="22" customHeight="1"/>
    <row r="38" ht="22" customHeight="1">
      <c r="B38" s="22" t="inlineStr">
        <is>
          <t>WORKING DAYS SUMMARY</t>
        </is>
      </c>
    </row>
    <row r="39" ht="22" customHeight="1">
      <c r="B39" s="23" t="inlineStr">
        <is>
          <t>Semester</t>
        </is>
      </c>
      <c r="C39" s="23" t="inlineStr">
        <is>
          <t>Total Calendar Days</t>
        </is>
      </c>
      <c r="D39" s="23" t="inlineStr">
        <is>
          <t>Working Days (Theory)</t>
        </is>
      </c>
      <c r="E39" s="23" t="inlineStr">
        <is>
          <t>Practical Days</t>
        </is>
      </c>
      <c r="F39" s="23" t="inlineStr">
        <is>
          <t>Exam Days</t>
        </is>
      </c>
      <c r="G39" s="23" t="inlineStr">
        <is>
          <t>Holidays</t>
        </is>
      </c>
      <c r="H39" s="23" t="inlineStr">
        <is>
          <t>AC Approval Date</t>
        </is>
      </c>
    </row>
    <row r="40" ht="22" customHeight="1">
      <c r="B40" s="48" t="inlineStr">
        <is>
          <t>Odd Semester</t>
        </is>
      </c>
      <c r="C40" s="24" t="inlineStr"/>
      <c r="D40" s="24" t="inlineStr"/>
      <c r="E40" s="24" t="inlineStr"/>
      <c r="F40" s="24" t="inlineStr"/>
      <c r="G40" s="24" t="inlineStr"/>
      <c r="H40" s="24" t="inlineStr"/>
    </row>
    <row r="41" ht="22" customHeight="1">
      <c r="B41" s="5" t="inlineStr">
        <is>
          <t>Even Semester</t>
        </is>
      </c>
      <c r="C41" s="6" t="inlineStr"/>
      <c r="D41" s="6" t="inlineStr"/>
      <c r="E41" s="6" t="inlineStr"/>
      <c r="F41" s="6" t="inlineStr"/>
      <c r="G41" s="6" t="inlineStr"/>
      <c r="H41" s="6" t="inlineStr"/>
    </row>
    <row r="42" ht="22" customHeight="1">
      <c r="B42" s="25" t="inlineStr">
        <is>
          <t>Full Academic Year</t>
        </is>
      </c>
      <c r="C42" s="49" t="inlineStr"/>
      <c r="D42" s="49" t="inlineStr"/>
      <c r="E42" s="49" t="inlineStr"/>
      <c r="F42" s="49" t="inlineStr"/>
      <c r="G42" s="49" t="inlineStr"/>
      <c r="H42" s="49" t="inlineStr"/>
    </row>
    <row r="43" ht="22" customHeight="1"/>
    <row r="44" ht="22" customHeight="1">
      <c r="B44" s="28" t="inlineStr">
        <is>
          <t>Approved by AC Resolution No.: _______  Date: _______  Notified to Departments on: _______</t>
        </is>
      </c>
    </row>
    <row r="45" ht="22" customHeight="1"/>
    <row r="46" ht="22" customHeight="1"/>
    <row r="47" ht="22" customHeight="1"/>
    <row r="48" ht="22" customHeight="1"/>
    <row r="49" ht="22" customHeight="1"/>
  </sheetData>
  <mergeCells count="6">
    <mergeCell ref="B21:H21"/>
    <mergeCell ref="B4:H4"/>
    <mergeCell ref="B44:H44"/>
    <mergeCell ref="B38:H38"/>
    <mergeCell ref="B2:H2"/>
    <mergeCell ref="B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5" customHeight="1">
      <c r="B2" s="11" t="inlineStr">
        <is>
          <t>AC-08: EXAMINATION SCHEME &amp; CONDUCT NORMS APPROVAL FORM</t>
        </is>
      </c>
    </row>
    <row r="3" ht="25" customHeight="1">
      <c r="B3" s="2" t="inlineStr">
        <is>
          <t>Semester: _______  A.Y.: _______  Controller of Examinations: ___________________  AC Meeting No.: _______</t>
        </is>
      </c>
    </row>
    <row r="4" ht="22" customHeight="1">
      <c r="B4" s="21" t="inlineStr">
        <is>
          <t>PART A — EXAMINATION SCHEDULE</t>
        </is>
      </c>
    </row>
    <row r="5" ht="22" customHeight="1">
      <c r="B5" s="12" t="inlineStr">
        <is>
          <t>Exam Component</t>
        </is>
      </c>
      <c r="C5" s="12" t="inlineStr">
        <is>
          <t>Applicable Programme(s)</t>
        </is>
      </c>
      <c r="D5" s="12" t="inlineStr">
        <is>
          <t>Start Date</t>
        </is>
      </c>
      <c r="E5" s="12" t="inlineStr">
        <is>
          <t>End Date</t>
        </is>
      </c>
      <c r="F5" s="12" t="inlineStr">
        <is>
          <t>Duration</t>
        </is>
      </c>
      <c r="G5" s="12" t="inlineStr">
        <is>
          <t>Hall Ticket
Issued</t>
        </is>
      </c>
      <c r="H5" s="12" t="inlineStr">
        <is>
          <t>AC Approval</t>
        </is>
      </c>
      <c r="I5" s="12" t="inlineStr">
        <is>
          <t>Status</t>
        </is>
      </c>
    </row>
    <row r="6" ht="22" customHeight="1">
      <c r="B6" s="15" t="inlineStr">
        <is>
          <t>IA Test – 1</t>
        </is>
      </c>
      <c r="C6" s="16" t="inlineStr">
        <is>
          <t>All UG / PG</t>
        </is>
      </c>
      <c r="D6" s="16" t="inlineStr"/>
      <c r="E6" s="16" t="inlineStr"/>
      <c r="F6" s="16" t="inlineStr">
        <is>
          <t>2 Hrs</t>
        </is>
      </c>
      <c r="G6" s="16" t="inlineStr"/>
      <c r="H6" s="16" t="inlineStr"/>
      <c r="I6" s="16" t="inlineStr">
        <is>
          <t>Pending</t>
        </is>
      </c>
    </row>
    <row r="7" ht="22" customHeight="1">
      <c r="B7" s="17" t="inlineStr">
        <is>
          <t>IA Test – 2</t>
        </is>
      </c>
      <c r="C7" s="6" t="inlineStr">
        <is>
          <t>All UG / PG</t>
        </is>
      </c>
      <c r="D7" s="6" t="inlineStr"/>
      <c r="E7" s="6" t="inlineStr"/>
      <c r="F7" s="6" t="inlineStr">
        <is>
          <t>2 Hrs</t>
        </is>
      </c>
      <c r="G7" s="6" t="inlineStr"/>
      <c r="H7" s="6" t="inlineStr"/>
      <c r="I7" s="6" t="inlineStr">
        <is>
          <t>Pending</t>
        </is>
      </c>
    </row>
    <row r="8" ht="22" customHeight="1">
      <c r="B8" s="15" t="inlineStr">
        <is>
          <t>IA Test – 3 (if applicable)</t>
        </is>
      </c>
      <c r="C8" s="16" t="inlineStr">
        <is>
          <t>Selected Programmes</t>
        </is>
      </c>
      <c r="D8" s="16" t="inlineStr"/>
      <c r="E8" s="16" t="inlineStr"/>
      <c r="F8" s="16" t="inlineStr">
        <is>
          <t>2 Hrs</t>
        </is>
      </c>
      <c r="G8" s="16" t="inlineStr"/>
      <c r="H8" s="16" t="inlineStr"/>
      <c r="I8" s="16" t="inlineStr">
        <is>
          <t>Pending</t>
        </is>
      </c>
    </row>
    <row r="9" ht="22" customHeight="1">
      <c r="B9" s="17" t="inlineStr">
        <is>
          <t>Practical Exam – Odd Sem</t>
        </is>
      </c>
      <c r="C9" s="6" t="inlineStr">
        <is>
          <t>Lab-based Courses</t>
        </is>
      </c>
      <c r="D9" s="6" t="inlineStr"/>
      <c r="E9" s="6" t="inlineStr"/>
      <c r="F9" s="6" t="inlineStr">
        <is>
          <t>3 Hrs</t>
        </is>
      </c>
      <c r="G9" s="6" t="inlineStr"/>
      <c r="H9" s="6" t="inlineStr"/>
      <c r="I9" s="6" t="inlineStr">
        <is>
          <t>Pending</t>
        </is>
      </c>
    </row>
    <row r="10" ht="22" customHeight="1">
      <c r="B10" s="15" t="inlineStr">
        <is>
          <t>Project Presentations – Phase 1</t>
        </is>
      </c>
      <c r="C10" s="16" t="inlineStr">
        <is>
          <t>Final Year UG/PG</t>
        </is>
      </c>
      <c r="D10" s="16" t="inlineStr"/>
      <c r="E10" s="16" t="inlineStr"/>
      <c r="F10" s="16" t="inlineStr">
        <is>
          <t>—</t>
        </is>
      </c>
      <c r="G10" s="16" t="inlineStr"/>
      <c r="H10" s="16" t="inlineStr"/>
      <c r="I10" s="16" t="inlineStr">
        <is>
          <t>Pending</t>
        </is>
      </c>
    </row>
    <row r="11" ht="22" customHeight="1">
      <c r="B11" s="17" t="inlineStr">
        <is>
          <t>Semester End Exam – Theory (Odd)</t>
        </is>
      </c>
      <c r="C11" s="6" t="inlineStr">
        <is>
          <t>All UG / PG</t>
        </is>
      </c>
      <c r="D11" s="6" t="inlineStr"/>
      <c r="E11" s="6" t="inlineStr"/>
      <c r="F11" s="6" t="inlineStr">
        <is>
          <t>3 Hrs</t>
        </is>
      </c>
      <c r="G11" s="6" t="inlineStr"/>
      <c r="H11" s="6" t="inlineStr"/>
      <c r="I11" s="6" t="inlineStr">
        <is>
          <t>Pending</t>
        </is>
      </c>
    </row>
    <row r="12" ht="22" customHeight="1">
      <c r="B12" s="15" t="inlineStr">
        <is>
          <t>Practical Exam – Even Sem</t>
        </is>
      </c>
      <c r="C12" s="16" t="inlineStr">
        <is>
          <t>Lab-based Courses</t>
        </is>
      </c>
      <c r="D12" s="16" t="inlineStr"/>
      <c r="E12" s="16" t="inlineStr"/>
      <c r="F12" s="16" t="inlineStr">
        <is>
          <t>3 Hrs</t>
        </is>
      </c>
      <c r="G12" s="16" t="inlineStr"/>
      <c r="H12" s="16" t="inlineStr"/>
      <c r="I12" s="16" t="inlineStr">
        <is>
          <t>Pending</t>
        </is>
      </c>
    </row>
    <row r="13" ht="22" customHeight="1">
      <c r="B13" s="17" t="inlineStr">
        <is>
          <t>Project Presentations – Phase 2 (Final)</t>
        </is>
      </c>
      <c r="C13" s="6" t="inlineStr">
        <is>
          <t>Final Year UG/PG</t>
        </is>
      </c>
      <c r="D13" s="6" t="inlineStr"/>
      <c r="E13" s="6" t="inlineStr"/>
      <c r="F13" s="6" t="inlineStr">
        <is>
          <t>—</t>
        </is>
      </c>
      <c r="G13" s="6" t="inlineStr"/>
      <c r="H13" s="6" t="inlineStr"/>
      <c r="I13" s="6" t="inlineStr">
        <is>
          <t>Pending</t>
        </is>
      </c>
    </row>
    <row r="14" ht="22" customHeight="1">
      <c r="B14" s="15" t="inlineStr">
        <is>
          <t>Semester End Exam – Theory (Even)</t>
        </is>
      </c>
      <c r="C14" s="16" t="inlineStr">
        <is>
          <t>All UG / PG</t>
        </is>
      </c>
      <c r="D14" s="16" t="inlineStr"/>
      <c r="E14" s="16" t="inlineStr"/>
      <c r="F14" s="16" t="inlineStr">
        <is>
          <t>3 Hrs</t>
        </is>
      </c>
      <c r="G14" s="16" t="inlineStr"/>
      <c r="H14" s="16" t="inlineStr"/>
      <c r="I14" s="16" t="inlineStr">
        <is>
          <t>Pending</t>
        </is>
      </c>
    </row>
    <row r="15" ht="22" customHeight="1">
      <c r="B15" s="17" t="inlineStr">
        <is>
          <t>Supplementary / Backlog Exam</t>
        </is>
      </c>
      <c r="C15" s="6" t="inlineStr">
        <is>
          <t>Detained / Failed Students</t>
        </is>
      </c>
      <c r="D15" s="6" t="inlineStr"/>
      <c r="E15" s="6" t="inlineStr"/>
      <c r="F15" s="6" t="inlineStr">
        <is>
          <t>3 Hrs</t>
        </is>
      </c>
      <c r="G15" s="6" t="inlineStr"/>
      <c r="H15" s="6" t="inlineStr"/>
      <c r="I15" s="6" t="inlineStr">
        <is>
          <t>Pending</t>
        </is>
      </c>
    </row>
    <row r="16" ht="22" customHeight="1">
      <c r="B16" s="15" t="inlineStr">
        <is>
          <t>Improvement Examination</t>
        </is>
      </c>
      <c r="C16" s="16" t="inlineStr">
        <is>
          <t>As per University Rules</t>
        </is>
      </c>
      <c r="D16" s="16" t="inlineStr"/>
      <c r="E16" s="16" t="inlineStr"/>
      <c r="F16" s="16" t="inlineStr">
        <is>
          <t>3 Hrs</t>
        </is>
      </c>
      <c r="G16" s="16" t="inlineStr"/>
      <c r="H16" s="16" t="inlineStr"/>
      <c r="I16" s="16" t="inlineStr">
        <is>
          <t>Pending</t>
        </is>
      </c>
    </row>
    <row r="17" ht="22" customHeight="1"/>
    <row r="18" ht="22" customHeight="1">
      <c r="B18" s="36" t="inlineStr">
        <is>
          <t>PART B — EXAMINATION CONDUCT NORMS</t>
        </is>
      </c>
    </row>
    <row r="19" ht="22" customHeight="1">
      <c r="B19" s="32" t="inlineStr">
        <is>
          <t>Norm / Rule</t>
        </is>
      </c>
      <c r="C19" s="32" t="inlineStr">
        <is>
          <t>Current Provision</t>
        </is>
      </c>
      <c r="D19" s="32" t="inlineStr">
        <is>
          <t>Proposed Change (if any)</t>
        </is>
      </c>
      <c r="E19" s="32" t="inlineStr">
        <is>
          <t>AC Approved
(Y/N)</t>
        </is>
      </c>
      <c r="F19" s="32" t="inlineStr">
        <is>
          <t>Resolution
Ref.</t>
        </is>
      </c>
      <c r="G19" s="32" t="inlineStr">
        <is>
          <t>Effective
From</t>
        </is>
      </c>
      <c r="H19" s="32" t="inlineStr">
        <is>
          <t>Remarks</t>
        </is>
      </c>
      <c r="I19" s="32" t="inlineStr"/>
    </row>
    <row r="20" ht="22" customHeight="1">
      <c r="B20" s="37" t="inlineStr">
        <is>
          <t>Eligibility criteria for appearing in SEE (min. attendance %)</t>
        </is>
      </c>
      <c r="C20" s="34" t="inlineStr"/>
      <c r="D20" s="34" t="inlineStr"/>
      <c r="E20" s="35" t="inlineStr">
        <is>
          <t>Y</t>
        </is>
      </c>
      <c r="F20" s="35" t="inlineStr"/>
      <c r="G20" s="35" t="inlineStr"/>
      <c r="H20" s="34" t="inlineStr"/>
      <c r="I20" s="35" t="inlineStr"/>
    </row>
    <row r="21" ht="22" customHeight="1">
      <c r="B21" s="17" t="inlineStr">
        <is>
          <t>Detainment policy (marks &amp; attendance thresholds)</t>
        </is>
      </c>
      <c r="C21" s="5" t="inlineStr"/>
      <c r="D21" s="5" t="inlineStr"/>
      <c r="E21" s="6" t="inlineStr">
        <is>
          <t>Y</t>
        </is>
      </c>
      <c r="F21" s="6" t="inlineStr"/>
      <c r="G21" s="6" t="inlineStr"/>
      <c r="H21" s="5" t="inlineStr"/>
      <c r="I21" s="6" t="inlineStr"/>
    </row>
    <row r="22" ht="22" customHeight="1">
      <c r="B22" s="37" t="inlineStr">
        <is>
          <t>Grace marks / Moderation policy</t>
        </is>
      </c>
      <c r="C22" s="34" t="inlineStr"/>
      <c r="D22" s="34" t="inlineStr"/>
      <c r="E22" s="35" t="inlineStr">
        <is>
          <t>Y</t>
        </is>
      </c>
      <c r="F22" s="35" t="inlineStr"/>
      <c r="G22" s="35" t="inlineStr"/>
      <c r="H22" s="34" t="inlineStr"/>
      <c r="I22" s="35" t="inlineStr"/>
    </row>
    <row r="23" ht="22" customHeight="1">
      <c r="B23" s="17" t="inlineStr">
        <is>
          <t>Revaluation / Rechecking procedure</t>
        </is>
      </c>
      <c r="C23" s="5" t="inlineStr"/>
      <c r="D23" s="5" t="inlineStr"/>
      <c r="E23" s="6" t="inlineStr">
        <is>
          <t>Y</t>
        </is>
      </c>
      <c r="F23" s="6" t="inlineStr"/>
      <c r="G23" s="6" t="inlineStr"/>
      <c r="H23" s="5" t="inlineStr"/>
      <c r="I23" s="6" t="inlineStr"/>
    </row>
    <row r="24" ht="22" customHeight="1">
      <c r="B24" s="37" t="inlineStr">
        <is>
          <t>Malpractice detection &amp; disciplinary action</t>
        </is>
      </c>
      <c r="C24" s="34" t="inlineStr"/>
      <c r="D24" s="34" t="inlineStr"/>
      <c r="E24" s="35" t="inlineStr">
        <is>
          <t>Y</t>
        </is>
      </c>
      <c r="F24" s="35" t="inlineStr"/>
      <c r="G24" s="35" t="inlineStr"/>
      <c r="H24" s="34" t="inlineStr"/>
      <c r="I24" s="35" t="inlineStr"/>
    </row>
    <row r="25" ht="22" customHeight="1">
      <c r="B25" s="17" t="inlineStr">
        <is>
          <t>Hall ticket issuance criteria</t>
        </is>
      </c>
      <c r="C25" s="5" t="inlineStr"/>
      <c r="D25" s="5" t="inlineStr"/>
      <c r="E25" s="6" t="inlineStr">
        <is>
          <t>Y</t>
        </is>
      </c>
      <c r="F25" s="6" t="inlineStr"/>
      <c r="G25" s="6" t="inlineStr"/>
      <c r="H25" s="5" t="inlineStr"/>
      <c r="I25" s="6" t="inlineStr"/>
    </row>
    <row r="26" ht="22" customHeight="1">
      <c r="B26" s="37" t="inlineStr">
        <is>
          <t>Supplementary exam eligibility</t>
        </is>
      </c>
      <c r="C26" s="34" t="inlineStr"/>
      <c r="D26" s="34" t="inlineStr"/>
      <c r="E26" s="35" t="inlineStr">
        <is>
          <t>Y</t>
        </is>
      </c>
      <c r="F26" s="35" t="inlineStr"/>
      <c r="G26" s="35" t="inlineStr"/>
      <c r="H26" s="34" t="inlineStr"/>
      <c r="I26" s="35" t="inlineStr"/>
    </row>
    <row r="27" ht="22" customHeight="1">
      <c r="B27" s="17" t="inlineStr">
        <is>
          <t>Result announcement timeline</t>
        </is>
      </c>
      <c r="C27" s="5" t="inlineStr"/>
      <c r="D27" s="5" t="inlineStr"/>
      <c r="E27" s="6" t="inlineStr">
        <is>
          <t>Y</t>
        </is>
      </c>
      <c r="F27" s="6" t="inlineStr"/>
      <c r="G27" s="6" t="inlineStr"/>
      <c r="H27" s="5" t="inlineStr"/>
      <c r="I27" s="6" t="inlineStr"/>
    </row>
    <row r="28" ht="22" customHeight="1">
      <c r="B28" s="37" t="inlineStr">
        <is>
          <t>Degree / Provisional certificate issuance</t>
        </is>
      </c>
      <c r="C28" s="34" t="inlineStr"/>
      <c r="D28" s="34" t="inlineStr"/>
      <c r="E28" s="35" t="inlineStr">
        <is>
          <t>Y</t>
        </is>
      </c>
      <c r="F28" s="35" t="inlineStr"/>
      <c r="G28" s="35" t="inlineStr"/>
      <c r="H28" s="34" t="inlineStr"/>
      <c r="I28" s="35" t="inlineStr"/>
    </row>
    <row r="29" ht="22" customHeight="1">
      <c r="B29" s="17" t="inlineStr">
        <is>
          <t>Transcript / Migration certificate procedure</t>
        </is>
      </c>
      <c r="C29" s="5" t="inlineStr"/>
      <c r="D29" s="5" t="inlineStr"/>
      <c r="E29" s="6" t="inlineStr">
        <is>
          <t>Y</t>
        </is>
      </c>
      <c r="F29" s="6" t="inlineStr"/>
      <c r="G29" s="6" t="inlineStr"/>
      <c r="H29" s="5" t="inlineStr"/>
      <c r="I29" s="6" t="inlineStr"/>
    </row>
    <row r="30" ht="22" customHeight="1"/>
    <row r="31" ht="22" customHeight="1">
      <c r="B31" s="28" t="inlineStr">
        <is>
          <t>Approved by AC Resolution No.: _______    Controller of Examinations: ___________________    Date: _______</t>
        </is>
      </c>
    </row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5">
    <mergeCell ref="B18:I18"/>
    <mergeCell ref="B2:I2"/>
    <mergeCell ref="B3:I3"/>
    <mergeCell ref="B31:I31"/>
    <mergeCell ref="B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5" customHeight="1">
      <c r="B2" s="11" t="inlineStr">
        <is>
          <t>AC-09: EXAMINATION RESULTS RATIFICATION REGISTER</t>
        </is>
      </c>
    </row>
    <row r="3" ht="25" customHeight="1">
      <c r="B3" s="2" t="inlineStr">
        <is>
          <t>Semester: _______  A.Y.: _______  AC Meeting No.: _______  Date: _______  Controller of Examinations: ___________________</t>
        </is>
      </c>
    </row>
    <row r="4" ht="25" customHeight="1">
      <c r="B4" s="12" t="inlineStr">
        <is>
          <t>Sl.</t>
        </is>
      </c>
      <c r="C4" s="12" t="inlineStr">
        <is>
          <t>Programme</t>
        </is>
      </c>
      <c r="D4" s="12" t="inlineStr">
        <is>
          <t>Semester /
Year</t>
        </is>
      </c>
      <c r="E4" s="12" t="inlineStr">
        <is>
          <t>Students
Appeared</t>
        </is>
      </c>
      <c r="F4" s="12" t="inlineStr">
        <is>
          <t>Students
Passed</t>
        </is>
      </c>
      <c r="G4" s="12" t="inlineStr">
        <is>
          <t>Pass %</t>
        </is>
      </c>
      <c r="H4" s="12" t="inlineStr">
        <is>
          <t>First Class
With Dist.</t>
        </is>
      </c>
      <c r="I4" s="12" t="inlineStr">
        <is>
          <t>First Class</t>
        </is>
      </c>
      <c r="J4" s="12" t="inlineStr">
        <is>
          <t>Rank
Holders</t>
        </is>
      </c>
    </row>
    <row r="5" ht="22" customHeight="1">
      <c r="B5" s="13" t="n">
        <v>1</v>
      </c>
      <c r="C5" s="14" t="inlineStr">
        <is>
          <t>B.E. / B.Tech – CSE</t>
        </is>
      </c>
      <c r="D5" s="16" t="inlineStr"/>
      <c r="E5" s="16" t="inlineStr"/>
      <c r="F5" s="16" t="inlineStr"/>
      <c r="G5" s="50">
        <f>IFERROR(ROUND(G5/F5*100,1),"")</f>
        <v/>
      </c>
      <c r="H5" s="16" t="inlineStr"/>
      <c r="I5" s="16" t="inlineStr"/>
      <c r="J5" s="16" t="inlineStr"/>
    </row>
    <row r="6" ht="22" customHeight="1">
      <c r="B6" s="4" t="n">
        <v>2</v>
      </c>
      <c r="C6" s="5" t="inlineStr">
        <is>
          <t>B.E. / B.Tech – ECE</t>
        </is>
      </c>
      <c r="D6" s="6" t="inlineStr"/>
      <c r="E6" s="6" t="inlineStr"/>
      <c r="F6" s="6" t="inlineStr"/>
      <c r="G6" s="26">
        <f>IFERROR(ROUND(G6/F6*100,1),"")</f>
        <v/>
      </c>
      <c r="H6" s="6" t="inlineStr"/>
      <c r="I6" s="6" t="inlineStr"/>
      <c r="J6" s="6" t="inlineStr"/>
    </row>
    <row r="7" ht="22" customHeight="1">
      <c r="B7" s="13" t="n">
        <v>3</v>
      </c>
      <c r="C7" s="14" t="inlineStr">
        <is>
          <t>B.E. / B.Tech – EEE</t>
        </is>
      </c>
      <c r="D7" s="16" t="inlineStr"/>
      <c r="E7" s="16" t="inlineStr"/>
      <c r="F7" s="16" t="inlineStr"/>
      <c r="G7" s="50">
        <f>IFERROR(ROUND(G7/F7*100,1),"")</f>
        <v/>
      </c>
      <c r="H7" s="16" t="inlineStr"/>
      <c r="I7" s="16" t="inlineStr"/>
      <c r="J7" s="16" t="inlineStr"/>
    </row>
    <row r="8" ht="22" customHeight="1">
      <c r="B8" s="4" t="n">
        <v>4</v>
      </c>
      <c r="C8" s="5" t="inlineStr">
        <is>
          <t>B.E. / B.Tech – MECH</t>
        </is>
      </c>
      <c r="D8" s="6" t="inlineStr"/>
      <c r="E8" s="6" t="inlineStr"/>
      <c r="F8" s="6" t="inlineStr"/>
      <c r="G8" s="26">
        <f>IFERROR(ROUND(G8/F8*100,1),"")</f>
        <v/>
      </c>
      <c r="H8" s="6" t="inlineStr"/>
      <c r="I8" s="6" t="inlineStr"/>
      <c r="J8" s="6" t="inlineStr"/>
    </row>
    <row r="9" ht="22" customHeight="1">
      <c r="B9" s="13" t="n">
        <v>5</v>
      </c>
      <c r="C9" s="14" t="inlineStr">
        <is>
          <t>B.E. / B.Tech – CIVIL</t>
        </is>
      </c>
      <c r="D9" s="16" t="inlineStr"/>
      <c r="E9" s="16" t="inlineStr"/>
      <c r="F9" s="16" t="inlineStr"/>
      <c r="G9" s="50">
        <f>IFERROR(ROUND(G9/F9*100,1),"")</f>
        <v/>
      </c>
      <c r="H9" s="16" t="inlineStr"/>
      <c r="I9" s="16" t="inlineStr"/>
      <c r="J9" s="16" t="inlineStr"/>
    </row>
    <row r="10" ht="22" customHeight="1">
      <c r="B10" s="4" t="n">
        <v>6</v>
      </c>
      <c r="C10" s="5" t="inlineStr">
        <is>
          <t>B.Sc.</t>
        </is>
      </c>
      <c r="D10" s="6" t="inlineStr"/>
      <c r="E10" s="6" t="inlineStr"/>
      <c r="F10" s="6" t="inlineStr"/>
      <c r="G10" s="26">
        <f>IFERROR(ROUND(G10/F10*100,1),"")</f>
        <v/>
      </c>
      <c r="H10" s="6" t="inlineStr"/>
      <c r="I10" s="6" t="inlineStr"/>
      <c r="J10" s="6" t="inlineStr"/>
    </row>
    <row r="11" ht="22" customHeight="1">
      <c r="B11" s="13" t="n">
        <v>7</v>
      </c>
      <c r="C11" s="14" t="inlineStr">
        <is>
          <t>B.Com.</t>
        </is>
      </c>
      <c r="D11" s="16" t="inlineStr"/>
      <c r="E11" s="16" t="inlineStr"/>
      <c r="F11" s="16" t="inlineStr"/>
      <c r="G11" s="50">
        <f>IFERROR(ROUND(G11/F11*100,1),"")</f>
        <v/>
      </c>
      <c r="H11" s="16" t="inlineStr"/>
      <c r="I11" s="16" t="inlineStr"/>
      <c r="J11" s="16" t="inlineStr"/>
    </row>
    <row r="12" ht="22" customHeight="1">
      <c r="B12" s="4" t="n">
        <v>8</v>
      </c>
      <c r="C12" s="5" t="inlineStr">
        <is>
          <t>B.A.</t>
        </is>
      </c>
      <c r="D12" s="6" t="inlineStr"/>
      <c r="E12" s="6" t="inlineStr"/>
      <c r="F12" s="6" t="inlineStr"/>
      <c r="G12" s="26">
        <f>IFERROR(ROUND(G12/F12*100,1),"")</f>
        <v/>
      </c>
      <c r="H12" s="6" t="inlineStr"/>
      <c r="I12" s="6" t="inlineStr"/>
      <c r="J12" s="6" t="inlineStr"/>
    </row>
    <row r="13" ht="22" customHeight="1">
      <c r="B13" s="13" t="n">
        <v>9</v>
      </c>
      <c r="C13" s="14" t="inlineStr">
        <is>
          <t>M.E. / M.Tech – CSE</t>
        </is>
      </c>
      <c r="D13" s="16" t="inlineStr"/>
      <c r="E13" s="16" t="inlineStr"/>
      <c r="F13" s="16" t="inlineStr"/>
      <c r="G13" s="50">
        <f>IFERROR(ROUND(G13/F13*100,1),"")</f>
        <v/>
      </c>
      <c r="H13" s="16" t="inlineStr"/>
      <c r="I13" s="16" t="inlineStr"/>
      <c r="J13" s="16" t="inlineStr"/>
    </row>
    <row r="14" ht="22" customHeight="1">
      <c r="B14" s="4" t="n">
        <v>10</v>
      </c>
      <c r="C14" s="5" t="inlineStr">
        <is>
          <t>M.E. / M.Tech – ECE</t>
        </is>
      </c>
      <c r="D14" s="6" t="inlineStr"/>
      <c r="E14" s="6" t="inlineStr"/>
      <c r="F14" s="6" t="inlineStr"/>
      <c r="G14" s="26">
        <f>IFERROR(ROUND(G14/F14*100,1),"")</f>
        <v/>
      </c>
      <c r="H14" s="6" t="inlineStr"/>
      <c r="I14" s="6" t="inlineStr"/>
      <c r="J14" s="6" t="inlineStr"/>
    </row>
    <row r="15" ht="22" customHeight="1">
      <c r="B15" s="13" t="n">
        <v>11</v>
      </c>
      <c r="C15" s="14" t="inlineStr">
        <is>
          <t>MBA</t>
        </is>
      </c>
      <c r="D15" s="16" t="inlineStr"/>
      <c r="E15" s="16" t="inlineStr"/>
      <c r="F15" s="16" t="inlineStr"/>
      <c r="G15" s="50">
        <f>IFERROR(ROUND(G15/F15*100,1),"")</f>
        <v/>
      </c>
      <c r="H15" s="16" t="inlineStr"/>
      <c r="I15" s="16" t="inlineStr"/>
      <c r="J15" s="16" t="inlineStr"/>
    </row>
    <row r="16" ht="22" customHeight="1">
      <c r="B16" s="4" t="n">
        <v>12</v>
      </c>
      <c r="C16" s="5" t="inlineStr">
        <is>
          <t>MCA</t>
        </is>
      </c>
      <c r="D16" s="6" t="inlineStr"/>
      <c r="E16" s="6" t="inlineStr"/>
      <c r="F16" s="6" t="inlineStr"/>
      <c r="G16" s="26">
        <f>IFERROR(ROUND(G16/F16*100,1),"")</f>
        <v/>
      </c>
      <c r="H16" s="6" t="inlineStr"/>
      <c r="I16" s="6" t="inlineStr"/>
      <c r="J16" s="6" t="inlineStr"/>
    </row>
    <row r="17" ht="22" customHeight="1">
      <c r="B17" s="13" t="n">
        <v>13</v>
      </c>
      <c r="C17" s="14" t="inlineStr">
        <is>
          <t>Ph.D. (All Depts.)</t>
        </is>
      </c>
      <c r="D17" s="16" t="inlineStr"/>
      <c r="E17" s="16" t="inlineStr"/>
      <c r="F17" s="16" t="inlineStr"/>
      <c r="G17" s="50">
        <f>IFERROR(ROUND(G17/F17*100,1),"")</f>
        <v/>
      </c>
      <c r="H17" s="16" t="inlineStr"/>
      <c r="I17" s="16" t="inlineStr"/>
      <c r="J17" s="16" t="inlineStr"/>
    </row>
    <row r="18" ht="22" customHeight="1"/>
    <row r="19" ht="22" customHeight="1">
      <c r="B19" s="51" t="inlineStr">
        <is>
          <t>INSTITUTION TOTAL</t>
        </is>
      </c>
      <c r="D19" s="52" t="n"/>
      <c r="E19" s="52">
        <f>IFERROR(SUM(E5:E18),"")</f>
        <v/>
      </c>
      <c r="F19" s="52">
        <f>IFERROR(SUM(F5:F18),"")</f>
        <v/>
      </c>
      <c r="G19" s="52">
        <f>IFERROR(ROUND(G19/F19*100,1),"")</f>
        <v/>
      </c>
      <c r="H19" s="52">
        <f>IFERROR(SUM(H5:H18),"")</f>
        <v/>
      </c>
      <c r="I19" s="52">
        <f>IFERROR(SUM(I5:I18),"")</f>
        <v/>
      </c>
      <c r="J19" s="52">
        <f>IFERROR(SUM(J5:J18),"")</f>
        <v/>
      </c>
    </row>
    <row r="20" ht="22" customHeight="1"/>
    <row r="21" ht="22" customHeight="1">
      <c r="B21" s="22" t="inlineStr">
        <is>
          <t>DEGREE CONFERRAL — FINAL YEAR STUDENTS</t>
        </is>
      </c>
    </row>
    <row r="22" ht="22" customHeight="1">
      <c r="B22" s="23" t="inlineStr">
        <is>
          <t>Programme</t>
        </is>
      </c>
      <c r="C22" s="23" t="inlineStr">
        <is>
          <t>Batch
(Year of Joining)</t>
        </is>
      </c>
      <c r="D22" s="23" t="inlineStr">
        <is>
          <t>Eligible for
Degree</t>
        </is>
      </c>
      <c r="E22" s="23" t="inlineStr">
        <is>
          <t>Degrees to
be Conferred</t>
        </is>
      </c>
      <c r="F22" s="23" t="inlineStr">
        <is>
          <t>Gold Medal
Recipients</t>
        </is>
      </c>
      <c r="G22" s="23" t="inlineStr">
        <is>
          <t>Distinction</t>
        </is>
      </c>
      <c r="H22" s="23" t="inlineStr">
        <is>
          <t>First Class</t>
        </is>
      </c>
      <c r="I22" s="23" t="inlineStr">
        <is>
          <t>Convocation
Date</t>
        </is>
      </c>
      <c r="J22" s="23" t="inlineStr">
        <is>
          <t>AC Approval</t>
        </is>
      </c>
    </row>
    <row r="23" ht="22" customHeight="1"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</row>
    <row r="24" ht="22" customHeight="1"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22" customHeight="1"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</row>
    <row r="26" ht="22" customHeight="1"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22" customHeight="1"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</row>
    <row r="28" ht="22" customHeight="1"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22" customHeight="1"/>
    <row r="30" ht="22" customHeight="1">
      <c r="B30" s="28" t="inlineStr">
        <is>
          <t>Ratified by AC Resolution No.: _______    Chairman: ___________________    Registrar: ___________________    Date: _______</t>
        </is>
      </c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5">
    <mergeCell ref="B3:J3"/>
    <mergeCell ref="B19:C19"/>
    <mergeCell ref="B30:J30"/>
    <mergeCell ref="B21:J21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3" customWidth="1" min="9" max="9"/>
  </cols>
  <sheetData>
    <row r="1" ht="10" customHeight="1"/>
    <row r="2" ht="45" customHeight="1">
      <c r="B2" s="11" t="inlineStr">
        <is>
          <t>AC-10: STATUTORY COMPLIANCE &amp; REGULATORY AUDIT CHECKLIST</t>
        </is>
      </c>
    </row>
    <row r="3" ht="25" customHeight="1">
      <c r="B3" s="2" t="inlineStr">
        <is>
          <t>A.Y.: _______  Reviewed in AC Meeting No.: _______  Date: _______  Prepared by: ___________________</t>
        </is>
      </c>
    </row>
    <row r="4" ht="22" customHeight="1">
      <c r="B4" s="21" t="inlineStr">
        <is>
          <t>UGC / UNIVERSITY COMPLIANCE</t>
        </is>
      </c>
    </row>
    <row r="5" ht="22" customHeight="1">
      <c r="B5" s="12" t="inlineStr">
        <is>
          <t>Sl.</t>
        </is>
      </c>
      <c r="C5" s="12" t="inlineStr">
        <is>
          <t>Compliance Item</t>
        </is>
      </c>
      <c r="D5" s="12" t="inlineStr">
        <is>
          <t>Responsible
Authority</t>
        </is>
      </c>
      <c r="E5" s="12" t="inlineStr">
        <is>
          <t>Due Date</t>
        </is>
      </c>
      <c r="F5" s="12" t="inlineStr">
        <is>
          <t>Status
(Complied/Pending)</t>
        </is>
      </c>
      <c r="G5" s="12" t="inlineStr">
        <is>
          <t>Document / Evidence Ref.</t>
        </is>
      </c>
      <c r="H5" s="12" t="inlineStr">
        <is>
          <t>AC Remarks</t>
        </is>
      </c>
    </row>
    <row r="6" ht="22" customHeight="1">
      <c r="B6" s="13" t="n">
        <v>1</v>
      </c>
      <c r="C6" s="14" t="inlineStr">
        <is>
          <t>Affiliation renewal / extension of approval received</t>
        </is>
      </c>
      <c r="D6" s="16" t="inlineStr"/>
      <c r="E6" s="16" t="inlineStr"/>
      <c r="F6" s="16" t="inlineStr">
        <is>
          <t>Complied</t>
        </is>
      </c>
      <c r="G6" s="14" t="inlineStr"/>
      <c r="H6" s="14" t="inlineStr"/>
    </row>
    <row r="7" ht="22" customHeight="1">
      <c r="B7" s="4" t="n">
        <v>2</v>
      </c>
      <c r="C7" s="5" t="inlineStr">
        <is>
          <t>Annual Quality Assurance Report (AQAR) submitted to NAAC</t>
        </is>
      </c>
      <c r="D7" s="6" t="inlineStr"/>
      <c r="E7" s="6" t="inlineStr"/>
      <c r="F7" s="6" t="inlineStr">
        <is>
          <t>Complied</t>
        </is>
      </c>
      <c r="G7" s="5" t="inlineStr"/>
      <c r="H7" s="5" t="inlineStr"/>
    </row>
    <row r="8" ht="22" customHeight="1">
      <c r="B8" s="13" t="n">
        <v>3</v>
      </c>
      <c r="C8" s="14" t="inlineStr">
        <is>
          <t>Mandatory disclosure updated on institution website</t>
        </is>
      </c>
      <c r="D8" s="16" t="inlineStr"/>
      <c r="E8" s="16" t="inlineStr"/>
      <c r="F8" s="16" t="inlineStr">
        <is>
          <t>Complied</t>
        </is>
      </c>
      <c r="G8" s="14" t="inlineStr"/>
      <c r="H8" s="14" t="inlineStr"/>
    </row>
    <row r="9" ht="22" customHeight="1">
      <c r="B9" s="4" t="n">
        <v>4</v>
      </c>
      <c r="C9" s="5" t="inlineStr">
        <is>
          <t>Anti-ragging committee constituted &amp; returns filed</t>
        </is>
      </c>
      <c r="D9" s="6" t="inlineStr"/>
      <c r="E9" s="6" t="inlineStr"/>
      <c r="F9" s="6" t="inlineStr">
        <is>
          <t>Complied</t>
        </is>
      </c>
      <c r="G9" s="5" t="inlineStr"/>
      <c r="H9" s="5" t="inlineStr"/>
    </row>
    <row r="10" ht="22" customHeight="1">
      <c r="B10" s="13" t="n">
        <v>5</v>
      </c>
      <c r="C10" s="14" t="inlineStr">
        <is>
          <t>Internal Complaints Committee (ICC) – POSH constituted</t>
        </is>
      </c>
      <c r="D10" s="16" t="inlineStr"/>
      <c r="E10" s="16" t="inlineStr"/>
      <c r="F10" s="16" t="inlineStr">
        <is>
          <t>Complied</t>
        </is>
      </c>
      <c r="G10" s="14" t="inlineStr"/>
      <c r="H10" s="14" t="inlineStr"/>
    </row>
    <row r="11" ht="22" customHeight="1">
      <c r="B11" s="4" t="n">
        <v>6</v>
      </c>
      <c r="C11" s="5" t="inlineStr">
        <is>
          <t>SC/ST Cell, OBC Cell constituted &amp; returns submitted</t>
        </is>
      </c>
      <c r="D11" s="6" t="inlineStr"/>
      <c r="E11" s="6" t="inlineStr"/>
      <c r="F11" s="6" t="inlineStr">
        <is>
          <t>Complied</t>
        </is>
      </c>
      <c r="G11" s="5" t="inlineStr"/>
      <c r="H11" s="5" t="inlineStr"/>
    </row>
    <row r="12" ht="22" customHeight="1">
      <c r="B12" s="13" t="n">
        <v>7</v>
      </c>
      <c r="C12" s="14" t="inlineStr">
        <is>
          <t>Grievance Redressal Cell active &amp; register maintained</t>
        </is>
      </c>
      <c r="D12" s="16" t="inlineStr"/>
      <c r="E12" s="16" t="inlineStr"/>
      <c r="F12" s="16" t="inlineStr">
        <is>
          <t>Complied</t>
        </is>
      </c>
      <c r="G12" s="14" t="inlineStr"/>
      <c r="H12" s="14" t="inlineStr"/>
    </row>
    <row r="13" ht="22" customHeight="1">
      <c r="B13" s="4" t="n">
        <v>8</v>
      </c>
      <c r="C13" s="5" t="inlineStr">
        <is>
          <t>Student Council / Union elections conducted (if applicable)</t>
        </is>
      </c>
      <c r="D13" s="6" t="inlineStr"/>
      <c r="E13" s="6" t="inlineStr"/>
      <c r="F13" s="6" t="inlineStr">
        <is>
          <t>Complied</t>
        </is>
      </c>
      <c r="G13" s="5" t="inlineStr"/>
      <c r="H13" s="5" t="inlineStr"/>
    </row>
    <row r="14" ht="22" customHeight="1"/>
    <row r="15" ht="22" customHeight="1">
      <c r="B15" s="36" t="inlineStr">
        <is>
          <t>AICTE COMPLIANCE (Technical Institutions)</t>
        </is>
      </c>
    </row>
    <row r="16" ht="22" customHeight="1">
      <c r="B16" s="32" t="inlineStr">
        <is>
          <t>Sl.</t>
        </is>
      </c>
      <c r="C16" s="32" t="inlineStr">
        <is>
          <t>Compliance Item</t>
        </is>
      </c>
      <c r="D16" s="32" t="inlineStr">
        <is>
          <t>Responsible
Authority</t>
        </is>
      </c>
      <c r="E16" s="32" t="inlineStr">
        <is>
          <t>Due Date</t>
        </is>
      </c>
      <c r="F16" s="32" t="inlineStr">
        <is>
          <t>Status
(Complied/Pending)</t>
        </is>
      </c>
      <c r="G16" s="32" t="inlineStr">
        <is>
          <t>Document / Evidence Ref.</t>
        </is>
      </c>
      <c r="H16" s="32" t="inlineStr">
        <is>
          <t>AC Remarks</t>
        </is>
      </c>
    </row>
    <row r="17" ht="22" customHeight="1">
      <c r="B17" s="33" t="n">
        <v>1</v>
      </c>
      <c r="C17" s="34" t="inlineStr">
        <is>
          <t>Annual Mandatory Disclosure (AMD) filed with AICTE</t>
        </is>
      </c>
      <c r="D17" s="35" t="inlineStr"/>
      <c r="E17" s="35" t="inlineStr"/>
      <c r="F17" s="35" t="inlineStr">
        <is>
          <t>Complied</t>
        </is>
      </c>
      <c r="G17" s="34" t="inlineStr"/>
      <c r="H17" s="34" t="inlineStr"/>
    </row>
    <row r="18" ht="22" customHeight="1">
      <c r="B18" s="4" t="n">
        <v>2</v>
      </c>
      <c r="C18" s="5" t="inlineStr">
        <is>
          <t>Faculty qualification &amp; cadre ratio maintained (1:15)</t>
        </is>
      </c>
      <c r="D18" s="6" t="inlineStr"/>
      <c r="E18" s="6" t="inlineStr"/>
      <c r="F18" s="6" t="inlineStr">
        <is>
          <t>Complied</t>
        </is>
      </c>
      <c r="G18" s="5" t="inlineStr"/>
      <c r="H18" s="5" t="inlineStr"/>
    </row>
    <row r="19" ht="22" customHeight="1">
      <c r="B19" s="33" t="n">
        <v>3</v>
      </c>
      <c r="C19" s="34" t="inlineStr">
        <is>
          <t>Extension of Approval (EoA) received for current A.Y.</t>
        </is>
      </c>
      <c r="D19" s="35" t="inlineStr"/>
      <c r="E19" s="35" t="inlineStr"/>
      <c r="F19" s="35" t="inlineStr">
        <is>
          <t>Complied</t>
        </is>
      </c>
      <c r="G19" s="34" t="inlineStr"/>
      <c r="H19" s="34" t="inlineStr"/>
    </row>
    <row r="20" ht="22" customHeight="1">
      <c r="B20" s="4" t="n">
        <v>4</v>
      </c>
      <c r="C20" s="5" t="inlineStr">
        <is>
          <t>Infrastructure norms (floor area, labs, library) met</t>
        </is>
      </c>
      <c r="D20" s="6" t="inlineStr"/>
      <c r="E20" s="6" t="inlineStr"/>
      <c r="F20" s="6" t="inlineStr">
        <is>
          <t>Complied</t>
        </is>
      </c>
      <c r="G20" s="5" t="inlineStr"/>
      <c r="H20" s="5" t="inlineStr"/>
    </row>
    <row r="21" ht="22" customHeight="1">
      <c r="B21" s="33" t="n">
        <v>5</v>
      </c>
      <c r="C21" s="34" t="inlineStr">
        <is>
          <t>NBA / NAAC accreditation status current</t>
        </is>
      </c>
      <c r="D21" s="35" t="inlineStr"/>
      <c r="E21" s="35" t="inlineStr"/>
      <c r="F21" s="35" t="inlineStr">
        <is>
          <t>Complied</t>
        </is>
      </c>
      <c r="G21" s="34" t="inlineStr"/>
      <c r="H21" s="34" t="inlineStr"/>
    </row>
    <row r="22" ht="22" customHeight="1">
      <c r="B22" s="4" t="n">
        <v>6</v>
      </c>
      <c r="C22" s="5" t="inlineStr">
        <is>
          <t>Industry interaction &amp; internship records maintained</t>
        </is>
      </c>
      <c r="D22" s="6" t="inlineStr"/>
      <c r="E22" s="6" t="inlineStr"/>
      <c r="F22" s="6" t="inlineStr">
        <is>
          <t>Complied</t>
        </is>
      </c>
      <c r="G22" s="5" t="inlineStr"/>
      <c r="H22" s="5" t="inlineStr"/>
    </row>
    <row r="23" ht="22" customHeight="1">
      <c r="B23" s="33" t="n">
        <v>7</v>
      </c>
      <c r="C23" s="34" t="inlineStr">
        <is>
          <t>Online Faculty Register updated on AICTE portal</t>
        </is>
      </c>
      <c r="D23" s="35" t="inlineStr"/>
      <c r="E23" s="35" t="inlineStr"/>
      <c r="F23" s="35" t="inlineStr">
        <is>
          <t>Complied</t>
        </is>
      </c>
      <c r="G23" s="34" t="inlineStr"/>
      <c r="H23" s="34" t="inlineStr"/>
    </row>
    <row r="24" ht="22" customHeight="1">
      <c r="B24" s="4" t="n">
        <v>8</v>
      </c>
      <c r="C24" s="5" t="inlineStr">
        <is>
          <t>NRI / Management quota norms adhered to</t>
        </is>
      </c>
      <c r="D24" s="6" t="inlineStr"/>
      <c r="E24" s="6" t="inlineStr"/>
      <c r="F24" s="6" t="inlineStr">
        <is>
          <t>Complied</t>
        </is>
      </c>
      <c r="G24" s="5" t="inlineStr"/>
      <c r="H24" s="5" t="inlineStr"/>
    </row>
    <row r="25" ht="22" customHeight="1"/>
    <row r="26" ht="22" customHeight="1">
      <c r="B26" s="44" t="inlineStr">
        <is>
          <t>EXAMINATION &amp; ACADEMIC COMPLIANCE</t>
        </is>
      </c>
    </row>
    <row r="27" ht="22" customHeight="1">
      <c r="B27" s="40" t="inlineStr">
        <is>
          <t>Sl.</t>
        </is>
      </c>
      <c r="C27" s="40" t="inlineStr">
        <is>
          <t>Compliance Item</t>
        </is>
      </c>
      <c r="D27" s="40" t="inlineStr">
        <is>
          <t>Responsible
Authority</t>
        </is>
      </c>
      <c r="E27" s="40" t="inlineStr">
        <is>
          <t>Due Date</t>
        </is>
      </c>
      <c r="F27" s="40" t="inlineStr">
        <is>
          <t>Status
(Complied/Pending)</t>
        </is>
      </c>
      <c r="G27" s="40" t="inlineStr">
        <is>
          <t>Document / Evidence Ref.</t>
        </is>
      </c>
      <c r="H27" s="40" t="inlineStr">
        <is>
          <t>AC Remarks</t>
        </is>
      </c>
    </row>
    <row r="28" ht="22" customHeight="1">
      <c r="B28" s="41" t="n">
        <v>1</v>
      </c>
      <c r="C28" s="42" t="inlineStr">
        <is>
          <t>Result declaration within stipulated timeline</t>
        </is>
      </c>
      <c r="D28" s="43" t="inlineStr"/>
      <c r="E28" s="43" t="inlineStr"/>
      <c r="F28" s="43" t="inlineStr">
        <is>
          <t>Complied</t>
        </is>
      </c>
      <c r="G28" s="42" t="inlineStr"/>
      <c r="H28" s="42" t="inlineStr"/>
    </row>
    <row r="29" ht="22" customHeight="1">
      <c r="B29" s="4" t="n">
        <v>2</v>
      </c>
      <c r="C29" s="5" t="inlineStr">
        <is>
          <t>Examination malpractice cases disposed within 30 days</t>
        </is>
      </c>
      <c r="D29" s="6" t="inlineStr"/>
      <c r="E29" s="6" t="inlineStr"/>
      <c r="F29" s="6" t="inlineStr">
        <is>
          <t>Complied</t>
        </is>
      </c>
      <c r="G29" s="5" t="inlineStr"/>
      <c r="H29" s="5" t="inlineStr"/>
    </row>
    <row r="30" ht="22" customHeight="1">
      <c r="B30" s="41" t="n">
        <v>3</v>
      </c>
      <c r="C30" s="42" t="inlineStr">
        <is>
          <t>Revaluation results communicated within timelines</t>
        </is>
      </c>
      <c r="D30" s="43" t="inlineStr"/>
      <c r="E30" s="43" t="inlineStr"/>
      <c r="F30" s="43" t="inlineStr">
        <is>
          <t>Complied</t>
        </is>
      </c>
      <c r="G30" s="42" t="inlineStr"/>
      <c r="H30" s="42" t="inlineStr"/>
    </row>
    <row r="31" ht="22" customHeight="1">
      <c r="B31" s="4" t="n">
        <v>4</v>
      </c>
      <c r="C31" s="5" t="inlineStr">
        <is>
          <t>Degree certificates issued within prescribed period</t>
        </is>
      </c>
      <c r="D31" s="6" t="inlineStr"/>
      <c r="E31" s="6" t="inlineStr"/>
      <c r="F31" s="6" t="inlineStr">
        <is>
          <t>Complied</t>
        </is>
      </c>
      <c r="G31" s="5" t="inlineStr"/>
      <c r="H31" s="5" t="inlineStr"/>
    </row>
    <row r="32" ht="22" customHeight="1">
      <c r="B32" s="41" t="n">
        <v>5</v>
      </c>
      <c r="C32" s="42" t="inlineStr">
        <is>
          <t>Academic audit / internal quality audit conducted</t>
        </is>
      </c>
      <c r="D32" s="43" t="inlineStr"/>
      <c r="E32" s="43" t="inlineStr"/>
      <c r="F32" s="43" t="inlineStr">
        <is>
          <t>Complied</t>
        </is>
      </c>
      <c r="G32" s="42" t="inlineStr"/>
      <c r="H32" s="42" t="inlineStr"/>
    </row>
    <row r="33" ht="22" customHeight="1">
      <c r="B33" s="4" t="n">
        <v>6</v>
      </c>
      <c r="C33" s="5" t="inlineStr">
        <is>
          <t>IQAC meeting held minimum twice a year</t>
        </is>
      </c>
      <c r="D33" s="6" t="inlineStr"/>
      <c r="E33" s="6" t="inlineStr"/>
      <c r="F33" s="6" t="inlineStr">
        <is>
          <t>Complied</t>
        </is>
      </c>
      <c r="G33" s="5" t="inlineStr"/>
      <c r="H33" s="5" t="inlineStr"/>
    </row>
    <row r="34" ht="22" customHeight="1">
      <c r="B34" s="41" t="n">
        <v>7</v>
      </c>
      <c r="C34" s="42" t="inlineStr">
        <is>
          <t>Academic calendar adhered to (&gt;90% events on schedule)</t>
        </is>
      </c>
      <c r="D34" s="43" t="inlineStr"/>
      <c r="E34" s="43" t="inlineStr"/>
      <c r="F34" s="43" t="inlineStr">
        <is>
          <t>Complied</t>
        </is>
      </c>
      <c r="G34" s="42" t="inlineStr"/>
      <c r="H34" s="42" t="inlineStr"/>
    </row>
    <row r="35" ht="22" customHeight="1"/>
    <row r="36" ht="22" customHeight="1">
      <c r="B36" s="22" t="inlineStr">
        <is>
          <t>FINANCIAL &amp; HR COMPLIANCE</t>
        </is>
      </c>
    </row>
    <row r="37" ht="22" customHeight="1">
      <c r="B37" s="23" t="inlineStr">
        <is>
          <t>Sl.</t>
        </is>
      </c>
      <c r="C37" s="23" t="inlineStr">
        <is>
          <t>Compliance Item</t>
        </is>
      </c>
      <c r="D37" s="23" t="inlineStr">
        <is>
          <t>Responsible
Authority</t>
        </is>
      </c>
      <c r="E37" s="23" t="inlineStr">
        <is>
          <t>Due Date</t>
        </is>
      </c>
      <c r="F37" s="23" t="inlineStr">
        <is>
          <t>Status
(Complied/Pending)</t>
        </is>
      </c>
      <c r="G37" s="23" t="inlineStr">
        <is>
          <t>Document / Evidence Ref.</t>
        </is>
      </c>
      <c r="H37" s="23" t="inlineStr">
        <is>
          <t>AC Remarks</t>
        </is>
      </c>
    </row>
    <row r="38" ht="22" customHeight="1">
      <c r="B38" s="49" t="n">
        <v>1</v>
      </c>
      <c r="C38" s="48" t="inlineStr">
        <is>
          <t>UGC / State Govt. pay scales implemented</t>
        </is>
      </c>
      <c r="D38" s="24" t="inlineStr"/>
      <c r="E38" s="24" t="inlineStr"/>
      <c r="F38" s="24" t="inlineStr">
        <is>
          <t>Complied</t>
        </is>
      </c>
      <c r="G38" s="48" t="inlineStr"/>
      <c r="H38" s="48" t="inlineStr"/>
    </row>
    <row r="39" ht="22" customHeight="1">
      <c r="B39" s="4" t="n">
        <v>2</v>
      </c>
      <c r="C39" s="5" t="inlineStr">
        <is>
          <t>Provident Fund / ESI contributions up to date</t>
        </is>
      </c>
      <c r="D39" s="6" t="inlineStr"/>
      <c r="E39" s="6" t="inlineStr"/>
      <c r="F39" s="6" t="inlineStr">
        <is>
          <t>Complied</t>
        </is>
      </c>
      <c r="G39" s="5" t="inlineStr"/>
      <c r="H39" s="5" t="inlineStr"/>
    </row>
    <row r="40" ht="22" customHeight="1">
      <c r="B40" s="49" t="n">
        <v>3</v>
      </c>
      <c r="C40" s="48" t="inlineStr">
        <is>
          <t>Staff promotion / career advancement scheme complied</t>
        </is>
      </c>
      <c r="D40" s="24" t="inlineStr"/>
      <c r="E40" s="24" t="inlineStr"/>
      <c r="F40" s="24" t="inlineStr">
        <is>
          <t>Complied</t>
        </is>
      </c>
      <c r="G40" s="48" t="inlineStr"/>
      <c r="H40" s="48" t="inlineStr"/>
    </row>
    <row r="41" ht="22" customHeight="1">
      <c r="B41" s="4" t="n">
        <v>4</v>
      </c>
      <c r="C41" s="5" t="inlineStr">
        <is>
          <t>Annual accounts audited &amp; submitted</t>
        </is>
      </c>
      <c r="D41" s="6" t="inlineStr"/>
      <c r="E41" s="6" t="inlineStr"/>
      <c r="F41" s="6" t="inlineStr">
        <is>
          <t>Complied</t>
        </is>
      </c>
      <c r="G41" s="5" t="inlineStr"/>
      <c r="H41" s="5" t="inlineStr"/>
    </row>
    <row r="42" ht="22" customHeight="1">
      <c r="B42" s="49" t="n">
        <v>5</v>
      </c>
      <c r="C42" s="48" t="inlineStr">
        <is>
          <t>Utilization certificates for grants submitted on time</t>
        </is>
      </c>
      <c r="D42" s="24" t="inlineStr"/>
      <c r="E42" s="24" t="inlineStr"/>
      <c r="F42" s="24" t="inlineStr">
        <is>
          <t>Complied</t>
        </is>
      </c>
      <c r="G42" s="48" t="inlineStr"/>
      <c r="H42" s="48" t="inlineStr"/>
    </row>
    <row r="43" ht="22" customHeight="1"/>
    <row r="44" ht="22" customHeight="1">
      <c r="B44" s="18" t="inlineStr">
        <is>
          <t>Overall Compliance Status:  [ ] Fully Compliant   [ ] Partially Compliant — Action Required   [ ] Non-Compliant — Urgent</t>
        </is>
      </c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7">
    <mergeCell ref="B36:H36"/>
    <mergeCell ref="B26:H26"/>
    <mergeCell ref="B4:H4"/>
    <mergeCell ref="B44:H44"/>
    <mergeCell ref="B2:H2"/>
    <mergeCell ref="B15:H15"/>
    <mergeCell ref="B3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5" customHeight="1">
      <c r="B2" s="11" t="inlineStr">
        <is>
          <t>AC-11: RESEARCH, INNOVATION &amp; CONSULTANCY ANNUAL REPORT</t>
        </is>
      </c>
    </row>
    <row r="3" ht="25" customHeight="1">
      <c r="B3" s="2" t="inlineStr">
        <is>
          <t>A.Y.: _______  Tabled in AC Meeting No.: _______  Date: _______  Dean (R&amp;D): ___________________</t>
        </is>
      </c>
    </row>
    <row r="4" ht="22" customHeight="1">
      <c r="B4" s="21" t="inlineStr">
        <is>
          <t>PUBLICATIONS</t>
        </is>
      </c>
    </row>
    <row r="5" ht="22" customHeight="1">
      <c r="B5" s="12" t="inlineStr">
        <is>
          <t>Sl.</t>
        </is>
      </c>
      <c r="C5" s="12" t="inlineStr">
        <is>
          <t>Title / Journal / Conference</t>
        </is>
      </c>
      <c r="D5" s="12" t="inlineStr">
        <is>
          <t>Author(s)</t>
        </is>
      </c>
      <c r="E5" s="12" t="inlineStr">
        <is>
          <t>Indexing
(Scopus/SCI/WoS)</t>
        </is>
      </c>
      <c r="F5" s="12" t="inlineStr">
        <is>
          <t>Impact
Factor</t>
        </is>
      </c>
      <c r="G5" s="12" t="inlineStr">
        <is>
          <t>Year</t>
        </is>
      </c>
      <c r="H5" s="12" t="inlineStr">
        <is>
          <t>Department</t>
        </is>
      </c>
    </row>
    <row r="6" ht="22" customHeight="1">
      <c r="B6" s="16" t="inlineStr"/>
      <c r="C6" s="16" t="inlineStr"/>
      <c r="D6" s="16" t="inlineStr"/>
      <c r="E6" s="16" t="inlineStr"/>
      <c r="F6" s="16" t="inlineStr"/>
      <c r="G6" s="16" t="inlineStr"/>
      <c r="H6" s="16" t="inlineStr"/>
    </row>
    <row r="7" ht="22" customHeight="1"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 ht="22" customHeight="1">
      <c r="B8" s="16" t="inlineStr"/>
      <c r="C8" s="16" t="inlineStr"/>
      <c r="D8" s="16" t="inlineStr"/>
      <c r="E8" s="16" t="inlineStr"/>
      <c r="F8" s="16" t="inlineStr"/>
      <c r="G8" s="16" t="inlineStr"/>
      <c r="H8" s="16" t="inlineStr"/>
    </row>
    <row r="9" ht="22" customHeight="1"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 ht="22" customHeight="1"/>
    <row r="11" ht="22" customHeight="1">
      <c r="B11" s="44" t="inlineStr">
        <is>
          <t>FUNDED RESEARCH PROJECTS</t>
        </is>
      </c>
    </row>
    <row r="12" ht="22" customHeight="1">
      <c r="B12" s="40" t="inlineStr">
        <is>
          <t>Sl.</t>
        </is>
      </c>
      <c r="C12" s="40" t="inlineStr">
        <is>
          <t>Project Title</t>
        </is>
      </c>
      <c r="D12" s="40" t="inlineStr">
        <is>
          <t>PI / Co-PI</t>
        </is>
      </c>
      <c r="E12" s="40" t="inlineStr">
        <is>
          <t>Funding Agency</t>
        </is>
      </c>
      <c r="F12" s="40" t="inlineStr">
        <is>
          <t>Grant
Amount (₹)</t>
        </is>
      </c>
      <c r="G12" s="40" t="inlineStr">
        <is>
          <t>Duration</t>
        </is>
      </c>
      <c r="H12" s="40" t="inlineStr">
        <is>
          <t>Status</t>
        </is>
      </c>
    </row>
    <row r="13" ht="22" customHeight="1">
      <c r="B13" s="43" t="inlineStr"/>
      <c r="C13" s="43" t="inlineStr"/>
      <c r="D13" s="43" t="inlineStr"/>
      <c r="E13" s="43" t="inlineStr"/>
      <c r="F13" s="43" t="inlineStr"/>
      <c r="G13" s="43" t="inlineStr"/>
      <c r="H13" s="43" t="inlineStr"/>
    </row>
    <row r="14" ht="22" customHeight="1"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 ht="22" customHeight="1">
      <c r="B15" s="43" t="inlineStr"/>
      <c r="C15" s="43" t="inlineStr"/>
      <c r="D15" s="43" t="inlineStr"/>
      <c r="E15" s="43" t="inlineStr"/>
      <c r="F15" s="43" t="inlineStr"/>
      <c r="G15" s="43" t="inlineStr"/>
      <c r="H15" s="43" t="inlineStr"/>
    </row>
    <row r="16" ht="22" customHeight="1"/>
    <row r="17" ht="22" customHeight="1">
      <c r="B17" s="36" t="inlineStr">
        <is>
          <t>PATENTS</t>
        </is>
      </c>
    </row>
    <row r="18" ht="22" customHeight="1">
      <c r="B18" s="32" t="inlineStr">
        <is>
          <t>Sl.</t>
        </is>
      </c>
      <c r="C18" s="32" t="inlineStr">
        <is>
          <t>Patent Title</t>
        </is>
      </c>
      <c r="D18" s="32" t="inlineStr">
        <is>
          <t>Inventors</t>
        </is>
      </c>
      <c r="E18" s="32" t="inlineStr">
        <is>
          <t>Application No.</t>
        </is>
      </c>
      <c r="F18" s="32" t="inlineStr">
        <is>
          <t>Status
(Filed/Published/Granted)</t>
        </is>
      </c>
      <c r="G18" s="32" t="inlineStr">
        <is>
          <t>Year</t>
        </is>
      </c>
      <c r="H18" s="32" t="inlineStr">
        <is>
          <t>Technology Domain</t>
        </is>
      </c>
    </row>
    <row r="19" ht="22" customHeight="1">
      <c r="B19" s="35" t="inlineStr"/>
      <c r="C19" s="35" t="inlineStr"/>
      <c r="D19" s="35" t="inlineStr"/>
      <c r="E19" s="35" t="inlineStr"/>
      <c r="F19" s="35" t="inlineStr"/>
      <c r="G19" s="35" t="inlineStr"/>
      <c r="H19" s="35" t="inlineStr"/>
    </row>
    <row r="20" ht="22" customHeight="1"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 ht="22" customHeight="1">
      <c r="B21" s="35" t="inlineStr"/>
      <c r="C21" s="35" t="inlineStr"/>
      <c r="D21" s="35" t="inlineStr"/>
      <c r="E21" s="35" t="inlineStr"/>
      <c r="F21" s="35" t="inlineStr"/>
      <c r="G21" s="35" t="inlineStr"/>
      <c r="H21" s="35" t="inlineStr"/>
    </row>
    <row r="22" ht="22" customHeight="1"/>
    <row r="23" ht="22" customHeight="1">
      <c r="B23" s="22" t="inlineStr">
        <is>
          <t>CONSULTANCY &amp; MOU</t>
        </is>
      </c>
    </row>
    <row r="24" ht="22" customHeight="1">
      <c r="B24" s="23" t="inlineStr">
        <is>
          <t>Sl.</t>
        </is>
      </c>
      <c r="C24" s="23" t="inlineStr">
        <is>
          <t>Project / MOU Title</t>
        </is>
      </c>
      <c r="D24" s="23" t="inlineStr">
        <is>
          <t>Industry Partner</t>
        </is>
      </c>
      <c r="E24" s="23" t="inlineStr">
        <is>
          <t>Revenue
(₹)</t>
        </is>
      </c>
      <c r="F24" s="23" t="inlineStr">
        <is>
          <t>Start Date</t>
        </is>
      </c>
      <c r="G24" s="23" t="inlineStr">
        <is>
          <t>End Date</t>
        </is>
      </c>
      <c r="H24" s="23" t="inlineStr">
        <is>
          <t>Department</t>
        </is>
      </c>
    </row>
    <row r="25" ht="22" customHeight="1"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</row>
    <row r="26" ht="22" customHeight="1"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 ht="22" customHeight="1"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</row>
    <row r="28" ht="22" customHeight="1"/>
    <row r="29" ht="22" customHeight="1">
      <c r="B29" s="53" t="inlineStr">
        <is>
          <t>R&amp;D SUMMARY STATISTICS</t>
        </is>
      </c>
    </row>
    <row r="30" ht="22" customHeight="1">
      <c r="B30" s="54" t="inlineStr">
        <is>
          <t>Metric</t>
        </is>
      </c>
      <c r="C30" s="54" t="inlineStr">
        <is>
          <t>Current A.Y.</t>
        </is>
      </c>
      <c r="D30" s="54" t="inlineStr">
        <is>
          <t>Previous A.Y.</t>
        </is>
      </c>
      <c r="E30" s="54" t="inlineStr">
        <is>
          <t>Growth %</t>
        </is>
      </c>
      <c r="F30" s="54" t="inlineStr">
        <is>
          <t>Target</t>
        </is>
      </c>
      <c r="G30" s="54" t="inlineStr">
        <is>
          <t>Achieved?</t>
        </is>
      </c>
      <c r="H30" s="54" t="inlineStr">
        <is>
          <t>Remarks</t>
        </is>
      </c>
    </row>
    <row r="31" ht="22" customHeight="1">
      <c r="B31" s="55" t="inlineStr">
        <is>
          <t>Total Publications</t>
        </is>
      </c>
      <c r="C31" s="56" t="inlineStr"/>
      <c r="D31" s="56" t="inlineStr"/>
      <c r="E31" s="56">
        <f>IFERROR(ROUND((C31-D31)/D31*100,1),"")</f>
        <v/>
      </c>
      <c r="F31" s="56" t="inlineStr"/>
      <c r="G31" s="56" t="inlineStr"/>
      <c r="H31" s="57" t="inlineStr"/>
    </row>
    <row r="32" ht="22" customHeight="1">
      <c r="B32" s="17" t="inlineStr">
        <is>
          <t>SCI/Scopus Indexed</t>
        </is>
      </c>
      <c r="C32" s="6" t="inlineStr"/>
      <c r="D32" s="6" t="inlineStr"/>
      <c r="E32" s="6">
        <f>IFERROR(ROUND((C32-D32)/D32*100,1),"")</f>
        <v/>
      </c>
      <c r="F32" s="6" t="inlineStr"/>
      <c r="G32" s="6" t="inlineStr"/>
      <c r="H32" s="5" t="inlineStr"/>
    </row>
    <row r="33" ht="22" customHeight="1">
      <c r="B33" s="55" t="inlineStr">
        <is>
          <t>Total Funded Projects</t>
        </is>
      </c>
      <c r="C33" s="56" t="inlineStr"/>
      <c r="D33" s="56" t="inlineStr"/>
      <c r="E33" s="56">
        <f>IFERROR(ROUND((C33-D33)/D33*100,1),"")</f>
        <v/>
      </c>
      <c r="F33" s="56" t="inlineStr"/>
      <c r="G33" s="56" t="inlineStr"/>
      <c r="H33" s="57" t="inlineStr"/>
    </row>
    <row r="34" ht="22" customHeight="1">
      <c r="B34" s="17" t="inlineStr">
        <is>
          <t>Total Grant Amount (₹)</t>
        </is>
      </c>
      <c r="C34" s="6" t="inlineStr"/>
      <c r="D34" s="6" t="inlineStr"/>
      <c r="E34" s="6">
        <f>IFERROR(ROUND((C34-D34)/D34*100,1),"")</f>
        <v/>
      </c>
      <c r="F34" s="6" t="inlineStr"/>
      <c r="G34" s="6" t="inlineStr"/>
      <c r="H34" s="5" t="inlineStr"/>
    </row>
    <row r="35" ht="22" customHeight="1">
      <c r="B35" s="55" t="inlineStr">
        <is>
          <t>Patents Filed</t>
        </is>
      </c>
      <c r="C35" s="56" t="inlineStr"/>
      <c r="D35" s="56" t="inlineStr"/>
      <c r="E35" s="56">
        <f>IFERROR(ROUND((C35-D35)/D35*100,1),"")</f>
        <v/>
      </c>
      <c r="F35" s="56" t="inlineStr"/>
      <c r="G35" s="56" t="inlineStr"/>
      <c r="H35" s="57" t="inlineStr"/>
    </row>
    <row r="36" ht="22" customHeight="1">
      <c r="B36" s="17" t="inlineStr">
        <is>
          <t>Patents Granted</t>
        </is>
      </c>
      <c r="C36" s="6" t="inlineStr"/>
      <c r="D36" s="6" t="inlineStr"/>
      <c r="E36" s="6">
        <f>IFERROR(ROUND((C36-D36)/D36*100,1),"")</f>
        <v/>
      </c>
      <c r="F36" s="6" t="inlineStr"/>
      <c r="G36" s="6" t="inlineStr"/>
      <c r="H36" s="5" t="inlineStr"/>
    </row>
    <row r="37" ht="22" customHeight="1">
      <c r="B37" s="55" t="inlineStr">
        <is>
          <t>Consultancy Revenue (₹)</t>
        </is>
      </c>
      <c r="C37" s="56" t="inlineStr"/>
      <c r="D37" s="56" t="inlineStr"/>
      <c r="E37" s="56">
        <f>IFERROR(ROUND((C37-D37)/D37*100,1),"")</f>
        <v/>
      </c>
      <c r="F37" s="56" t="inlineStr"/>
      <c r="G37" s="56" t="inlineStr"/>
      <c r="H37" s="57" t="inlineStr"/>
    </row>
    <row r="38" ht="22" customHeight="1">
      <c r="B38" s="17" t="inlineStr">
        <is>
          <t>Ph.D. Degrees Awarded</t>
        </is>
      </c>
      <c r="C38" s="6" t="inlineStr"/>
      <c r="D38" s="6" t="inlineStr"/>
      <c r="E38" s="6">
        <f>IFERROR(ROUND((C38-D38)/D38*100,1),"")</f>
        <v/>
      </c>
      <c r="F38" s="6" t="inlineStr"/>
      <c r="G38" s="6" t="inlineStr"/>
      <c r="H38" s="5" t="inlineStr"/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7">
    <mergeCell ref="B17:H17"/>
    <mergeCell ref="B4:H4"/>
    <mergeCell ref="B2:H2"/>
    <mergeCell ref="B29:H29"/>
    <mergeCell ref="B11:H11"/>
    <mergeCell ref="B3:H3"/>
    <mergeCell ref="B23:H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5" customHeight="1">
      <c r="B2" s="11" t="inlineStr">
        <is>
          <t>AC-12: FACULTY DEVELOPMENT &amp; APPRAISAL ANNUAL SUMMARY</t>
        </is>
      </c>
    </row>
    <row r="3" ht="25" customHeight="1">
      <c r="B3" s="2" t="inlineStr">
        <is>
          <t>A.Y.: _______  Tabled in AC Meeting No.: _______  Total Faculty Strength: _______  Date: _______</t>
        </is>
      </c>
    </row>
    <row r="4" ht="22" customHeight="1">
      <c r="B4" s="21" t="inlineStr">
        <is>
          <t>PART A — FACULTY STRENGTH &amp; CADRE SUMMARY</t>
        </is>
      </c>
    </row>
    <row r="5" ht="22" customHeight="1">
      <c r="B5" s="12" t="inlineStr">
        <is>
          <t>Department</t>
        </is>
      </c>
      <c r="C5" s="12" t="inlineStr">
        <is>
          <t>Professor</t>
        </is>
      </c>
      <c r="D5" s="12" t="inlineStr">
        <is>
          <t>Assoc.
Prof.</t>
        </is>
      </c>
      <c r="E5" s="12" t="inlineStr">
        <is>
          <t>Asst.
Prof.</t>
        </is>
      </c>
      <c r="F5" s="12" t="inlineStr">
        <is>
          <t>Total</t>
        </is>
      </c>
      <c r="G5" s="12" t="inlineStr">
        <is>
          <t>Sanctioned</t>
        </is>
      </c>
      <c r="H5" s="12" t="inlineStr">
        <is>
          <t>Vacancy</t>
        </is>
      </c>
      <c r="I5" s="12" t="inlineStr">
        <is>
          <t>Ph.D.
Holders</t>
        </is>
      </c>
    </row>
    <row r="6" ht="22" customHeight="1">
      <c r="B6" s="14" t="inlineStr">
        <is>
          <t>CSE</t>
        </is>
      </c>
      <c r="C6" s="16" t="inlineStr"/>
      <c r="D6" s="16" t="inlineStr"/>
      <c r="E6" s="16" t="inlineStr"/>
      <c r="F6" s="16">
        <f>IFERROR(SUM(D6:F6),"")</f>
        <v/>
      </c>
      <c r="G6" s="16" t="inlineStr"/>
      <c r="H6" s="16">
        <f>IFERROR(H6-G6,"")</f>
        <v/>
      </c>
      <c r="I6" s="16" t="inlineStr"/>
    </row>
    <row r="7" ht="22" customHeight="1">
      <c r="B7" s="5" t="inlineStr">
        <is>
          <t>ECE</t>
        </is>
      </c>
      <c r="C7" s="6" t="inlineStr"/>
      <c r="D7" s="6" t="inlineStr"/>
      <c r="E7" s="6" t="inlineStr"/>
      <c r="F7" s="6">
        <f>IFERROR(SUM(D7:F7),"")</f>
        <v/>
      </c>
      <c r="G7" s="6" t="inlineStr"/>
      <c r="H7" s="6">
        <f>IFERROR(H7-G7,"")</f>
        <v/>
      </c>
      <c r="I7" s="6" t="inlineStr"/>
    </row>
    <row r="8" ht="22" customHeight="1">
      <c r="B8" s="14" t="inlineStr">
        <is>
          <t>EEE</t>
        </is>
      </c>
      <c r="C8" s="16" t="inlineStr"/>
      <c r="D8" s="16" t="inlineStr"/>
      <c r="E8" s="16" t="inlineStr"/>
      <c r="F8" s="16">
        <f>IFERROR(SUM(D8:F8),"")</f>
        <v/>
      </c>
      <c r="G8" s="16" t="inlineStr"/>
      <c r="H8" s="16">
        <f>IFERROR(H8-G8,"")</f>
        <v/>
      </c>
      <c r="I8" s="16" t="inlineStr"/>
    </row>
    <row r="9" ht="22" customHeight="1">
      <c r="B9" s="5" t="inlineStr">
        <is>
          <t>MECH</t>
        </is>
      </c>
      <c r="C9" s="6" t="inlineStr"/>
      <c r="D9" s="6" t="inlineStr"/>
      <c r="E9" s="6" t="inlineStr"/>
      <c r="F9" s="6">
        <f>IFERROR(SUM(D9:F9),"")</f>
        <v/>
      </c>
      <c r="G9" s="6" t="inlineStr"/>
      <c r="H9" s="6">
        <f>IFERROR(H9-G9,"")</f>
        <v/>
      </c>
      <c r="I9" s="6" t="inlineStr"/>
    </row>
    <row r="10" ht="22" customHeight="1">
      <c r="B10" s="14" t="inlineStr">
        <is>
          <t>CIVIL</t>
        </is>
      </c>
      <c r="C10" s="16" t="inlineStr"/>
      <c r="D10" s="16" t="inlineStr"/>
      <c r="E10" s="16" t="inlineStr"/>
      <c r="F10" s="16">
        <f>IFERROR(SUM(D10:F10),"")</f>
        <v/>
      </c>
      <c r="G10" s="16" t="inlineStr"/>
      <c r="H10" s="16">
        <f>IFERROR(H10-G10,"")</f>
        <v/>
      </c>
      <c r="I10" s="16" t="inlineStr"/>
    </row>
    <row r="11" ht="22" customHeight="1">
      <c r="B11" s="5" t="inlineStr">
        <is>
          <t>S&amp;H</t>
        </is>
      </c>
      <c r="C11" s="6" t="inlineStr"/>
      <c r="D11" s="6" t="inlineStr"/>
      <c r="E11" s="6" t="inlineStr"/>
      <c r="F11" s="6">
        <f>IFERROR(SUM(D11:F11),"")</f>
        <v/>
      </c>
      <c r="G11" s="6" t="inlineStr"/>
      <c r="H11" s="6">
        <f>IFERROR(H11-G11,"")</f>
        <v/>
      </c>
      <c r="I11" s="6" t="inlineStr"/>
    </row>
    <row r="12" ht="22" customHeight="1">
      <c r="B12" s="14" t="inlineStr">
        <is>
          <t>MBA</t>
        </is>
      </c>
      <c r="C12" s="16" t="inlineStr"/>
      <c r="D12" s="16" t="inlineStr"/>
      <c r="E12" s="16" t="inlineStr"/>
      <c r="F12" s="16">
        <f>IFERROR(SUM(D12:F12),"")</f>
        <v/>
      </c>
      <c r="G12" s="16" t="inlineStr"/>
      <c r="H12" s="16">
        <f>IFERROR(H12-G12,"")</f>
        <v/>
      </c>
      <c r="I12" s="16" t="inlineStr"/>
    </row>
    <row r="13" ht="22" customHeight="1">
      <c r="B13" s="5" t="inlineStr">
        <is>
          <t>MCA</t>
        </is>
      </c>
      <c r="C13" s="6" t="inlineStr"/>
      <c r="D13" s="6" t="inlineStr"/>
      <c r="E13" s="6" t="inlineStr"/>
      <c r="F13" s="6">
        <f>IFERROR(SUM(D13:F13),"")</f>
        <v/>
      </c>
      <c r="G13" s="6" t="inlineStr"/>
      <c r="H13" s="6">
        <f>IFERROR(H13-G13,"")</f>
        <v/>
      </c>
      <c r="I13" s="6" t="inlineStr"/>
    </row>
    <row r="14" ht="22" customHeight="1">
      <c r="B14" s="25" t="inlineStr">
        <is>
          <t>INSTITUTION TOTAL</t>
        </is>
      </c>
      <c r="C14" s="49" t="inlineStr"/>
      <c r="D14" s="49" t="inlineStr"/>
      <c r="E14" s="49" t="inlineStr"/>
      <c r="F14" s="49">
        <f>IFERROR(SUM(D14:F14),"")</f>
        <v/>
      </c>
      <c r="G14" s="49" t="inlineStr"/>
      <c r="H14" s="49">
        <f>IFERROR(H14-G14,"")</f>
        <v/>
      </c>
      <c r="I14" s="49" t="inlineStr"/>
    </row>
    <row r="15" ht="22" customHeight="1"/>
    <row r="16" ht="22" customHeight="1">
      <c r="B16" s="44" t="inlineStr">
        <is>
          <t>PART B — FACULTY DEVELOPMENT PROGRAMME (FDP) PARTICIPATION</t>
        </is>
      </c>
    </row>
    <row r="17" ht="22" customHeight="1">
      <c r="B17" s="40" t="inlineStr">
        <is>
          <t>Programme Type</t>
        </is>
      </c>
      <c r="C17" s="40" t="inlineStr">
        <is>
          <t>Organizer</t>
        </is>
      </c>
      <c r="D17" s="40" t="inlineStr">
        <is>
          <t>Duration
(Days)</t>
        </is>
      </c>
      <c r="E17" s="40" t="inlineStr">
        <is>
          <t>Dept.</t>
        </is>
      </c>
      <c r="F17" s="40" t="inlineStr">
        <is>
          <t>No. of Faculty
Attended</t>
        </is>
      </c>
      <c r="G17" s="40" t="inlineStr">
        <is>
          <t>Date</t>
        </is>
      </c>
      <c r="H17" s="40" t="inlineStr">
        <is>
          <t>Funding
Source</t>
        </is>
      </c>
      <c r="I17" s="40" t="inlineStr">
        <is>
          <t>Certificate
Submitted</t>
        </is>
      </c>
    </row>
    <row r="18" ht="22" customHeight="1">
      <c r="B18" s="45" t="inlineStr">
        <is>
          <t>STTP (Short Term Training Programme)</t>
        </is>
      </c>
      <c r="C18" s="43" t="inlineStr"/>
      <c r="D18" s="43" t="inlineStr"/>
      <c r="E18" s="43" t="inlineStr"/>
      <c r="F18" s="43" t="inlineStr"/>
      <c r="G18" s="43" t="inlineStr"/>
      <c r="H18" s="43" t="inlineStr"/>
      <c r="I18" s="43" t="inlineStr"/>
    </row>
    <row r="19" ht="22" customHeight="1">
      <c r="B19" s="17" t="inlineStr">
        <is>
          <t>Workshop / Seminar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</row>
    <row r="20" ht="22" customHeight="1">
      <c r="B20" s="45" t="inlineStr">
        <is>
          <t>MOOC / Online Certification</t>
        </is>
      </c>
      <c r="C20" s="43" t="inlineStr"/>
      <c r="D20" s="43" t="inlineStr"/>
      <c r="E20" s="43" t="inlineStr"/>
      <c r="F20" s="43" t="inlineStr"/>
      <c r="G20" s="43" t="inlineStr"/>
      <c r="H20" s="43" t="inlineStr"/>
      <c r="I20" s="43" t="inlineStr"/>
    </row>
    <row r="21" ht="22" customHeight="1">
      <c r="B21" s="17" t="inlineStr">
        <is>
          <t>Industry Internship (Faculty)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</row>
    <row r="22" ht="22" customHeight="1">
      <c r="B22" s="45" t="inlineStr">
        <is>
          <t>Refresher Course / Orientation</t>
        </is>
      </c>
      <c r="C22" s="43" t="inlineStr"/>
      <c r="D22" s="43" t="inlineStr"/>
      <c r="E22" s="43" t="inlineStr"/>
      <c r="F22" s="43" t="inlineStr"/>
      <c r="G22" s="43" t="inlineStr"/>
      <c r="H22" s="43" t="inlineStr"/>
      <c r="I22" s="43" t="inlineStr"/>
    </row>
    <row r="23" ht="22" customHeight="1">
      <c r="B23" s="17" t="inlineStr">
        <is>
          <t>National Conference Participation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 ht="22" customHeight="1">
      <c r="B24" s="45" t="inlineStr">
        <is>
          <t>International Conference Participation</t>
        </is>
      </c>
      <c r="C24" s="43" t="inlineStr"/>
      <c r="D24" s="43" t="inlineStr"/>
      <c r="E24" s="43" t="inlineStr"/>
      <c r="F24" s="43" t="inlineStr"/>
      <c r="G24" s="43" t="inlineStr"/>
      <c r="H24" s="43" t="inlineStr"/>
      <c r="I24" s="43" t="inlineStr"/>
    </row>
    <row r="25" ht="22" customHeight="1">
      <c r="B25" s="17" t="inlineStr">
        <is>
          <t>Research Methodology Programme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 ht="22" customHeight="1"/>
    <row r="27" ht="22" customHeight="1">
      <c r="B27" s="22" t="inlineStr">
        <is>
          <t>PART C — PROMOTIONS, AWARDS &amp; RECOGNITIONS</t>
        </is>
      </c>
    </row>
    <row r="28" ht="22" customHeight="1">
      <c r="B28" s="23" t="inlineStr">
        <is>
          <t>Faculty Name</t>
        </is>
      </c>
      <c r="C28" s="23" t="inlineStr">
        <is>
          <t>Department</t>
        </is>
      </c>
      <c r="D28" s="23" t="inlineStr">
        <is>
          <t>Present Designation</t>
        </is>
      </c>
      <c r="E28" s="23" t="inlineStr">
        <is>
          <t>Promoted To / Award</t>
        </is>
      </c>
      <c r="F28" s="23" t="inlineStr">
        <is>
          <t>Effective Date</t>
        </is>
      </c>
      <c r="G28" s="23" t="inlineStr">
        <is>
          <t>Approved by</t>
        </is>
      </c>
      <c r="H28" s="23" t="inlineStr">
        <is>
          <t>AC Resolution No.</t>
        </is>
      </c>
      <c r="I28" s="23" t="inlineStr">
        <is>
          <t>Remarks</t>
        </is>
      </c>
    </row>
    <row r="29" ht="22" customHeight="1">
      <c r="B29" s="24" t="n"/>
      <c r="C29" s="24" t="n"/>
      <c r="D29" s="24" t="n"/>
      <c r="E29" s="24" t="n"/>
      <c r="F29" s="24" t="n"/>
      <c r="G29" s="24" t="n"/>
      <c r="H29" s="24" t="n"/>
      <c r="I29" s="24" t="n"/>
    </row>
    <row r="30" ht="22" customHeight="1">
      <c r="B30" s="6" t="n"/>
      <c r="C30" s="6" t="n"/>
      <c r="D30" s="6" t="n"/>
      <c r="E30" s="6" t="n"/>
      <c r="F30" s="6" t="n"/>
      <c r="G30" s="6" t="n"/>
      <c r="H30" s="6" t="n"/>
      <c r="I30" s="6" t="n"/>
    </row>
    <row r="31" ht="22" customHeight="1">
      <c r="B31" s="24" t="n"/>
      <c r="C31" s="24" t="n"/>
      <c r="D31" s="24" t="n"/>
      <c r="E31" s="24" t="n"/>
      <c r="F31" s="24" t="n"/>
      <c r="G31" s="24" t="n"/>
      <c r="H31" s="24" t="n"/>
      <c r="I31" s="24" t="n"/>
    </row>
    <row r="32" ht="22" customHeight="1">
      <c r="B32" s="6" t="n"/>
      <c r="C32" s="6" t="n"/>
      <c r="D32" s="6" t="n"/>
      <c r="E32" s="6" t="n"/>
      <c r="F32" s="6" t="n"/>
      <c r="G32" s="6" t="n"/>
      <c r="H32" s="6" t="n"/>
      <c r="I32" s="6" t="n"/>
    </row>
    <row r="33" ht="22" customHeight="1">
      <c r="B33" s="24" t="n"/>
      <c r="C33" s="24" t="n"/>
      <c r="D33" s="24" t="n"/>
      <c r="E33" s="24" t="n"/>
      <c r="F33" s="24" t="n"/>
      <c r="G33" s="24" t="n"/>
      <c r="H33" s="24" t="n"/>
      <c r="I33" s="24" t="n"/>
    </row>
    <row r="34" ht="22" customHeight="1">
      <c r="B34" s="6" t="n"/>
      <c r="C34" s="6" t="n"/>
      <c r="D34" s="6" t="n"/>
      <c r="E34" s="6" t="n"/>
      <c r="F34" s="6" t="n"/>
      <c r="G34" s="6" t="n"/>
      <c r="H34" s="6" t="n"/>
      <c r="I34" s="6" t="n"/>
    </row>
    <row r="35" ht="22" customHeight="1">
      <c r="B35" s="24" t="n"/>
      <c r="C35" s="24" t="n"/>
      <c r="D35" s="24" t="n"/>
      <c r="E35" s="24" t="n"/>
      <c r="F35" s="24" t="n"/>
      <c r="G35" s="24" t="n"/>
      <c r="H35" s="24" t="n"/>
      <c r="I35" s="24" t="n"/>
    </row>
    <row r="36" ht="22" customHeight="1"/>
    <row r="37" ht="22" customHeight="1">
      <c r="B37" s="53" t="inlineStr">
        <is>
          <t>PART D — ANNUAL APPRAISAL SUMMARY</t>
        </is>
      </c>
    </row>
    <row r="38" ht="22" customHeight="1">
      <c r="B38" s="54" t="inlineStr">
        <is>
          <t>Department</t>
        </is>
      </c>
      <c r="C38" s="54" t="inlineStr">
        <is>
          <t>Faculty
Appraised</t>
        </is>
      </c>
      <c r="D38" s="54" t="inlineStr">
        <is>
          <t>Outstanding</t>
        </is>
      </c>
      <c r="E38" s="54" t="inlineStr">
        <is>
          <t>Very Good</t>
        </is>
      </c>
      <c r="F38" s="54" t="inlineStr">
        <is>
          <t>Good</t>
        </is>
      </c>
      <c r="G38" s="54" t="inlineStr">
        <is>
          <t>Satisfactory</t>
        </is>
      </c>
      <c r="H38" s="54" t="inlineStr">
        <is>
          <t>Needs
Improvement</t>
        </is>
      </c>
      <c r="I38" s="54" t="inlineStr">
        <is>
          <t>Appraisal
Completion %</t>
        </is>
      </c>
    </row>
    <row r="39" ht="22" customHeight="1">
      <c r="B39" s="57" t="inlineStr">
        <is>
          <t>CSE</t>
        </is>
      </c>
      <c r="C39" s="56" t="inlineStr"/>
      <c r="D39" s="56" t="inlineStr"/>
      <c r="E39" s="56" t="inlineStr"/>
      <c r="F39" s="56" t="inlineStr"/>
      <c r="G39" s="56" t="inlineStr"/>
      <c r="H39" s="56" t="inlineStr"/>
      <c r="I39" s="56">
        <f>IFERROR(ROUND(C39/C39*100,0),"")</f>
        <v/>
      </c>
    </row>
    <row r="40" ht="22" customHeight="1">
      <c r="B40" s="5" t="inlineStr">
        <is>
          <t>ECE</t>
        </is>
      </c>
      <c r="C40" s="6" t="inlineStr"/>
      <c r="D40" s="6" t="inlineStr"/>
      <c r="E40" s="6" t="inlineStr"/>
      <c r="F40" s="6" t="inlineStr"/>
      <c r="G40" s="6" t="inlineStr"/>
      <c r="H40" s="6" t="inlineStr"/>
      <c r="I40" s="6">
        <f>IFERROR(ROUND(C40/C40*100,0),"")</f>
        <v/>
      </c>
    </row>
    <row r="41" ht="22" customHeight="1">
      <c r="B41" s="57" t="inlineStr">
        <is>
          <t>EEE</t>
        </is>
      </c>
      <c r="C41" s="56" t="inlineStr"/>
      <c r="D41" s="56" t="inlineStr"/>
      <c r="E41" s="56" t="inlineStr"/>
      <c r="F41" s="56" t="inlineStr"/>
      <c r="G41" s="56" t="inlineStr"/>
      <c r="H41" s="56" t="inlineStr"/>
      <c r="I41" s="56">
        <f>IFERROR(ROUND(C41/C41*100,0),"")</f>
        <v/>
      </c>
    </row>
    <row r="42" ht="22" customHeight="1">
      <c r="B42" s="5" t="inlineStr">
        <is>
          <t>MECH</t>
        </is>
      </c>
      <c r="C42" s="6" t="inlineStr"/>
      <c r="D42" s="6" t="inlineStr"/>
      <c r="E42" s="6" t="inlineStr"/>
      <c r="F42" s="6" t="inlineStr"/>
      <c r="G42" s="6" t="inlineStr"/>
      <c r="H42" s="6" t="inlineStr"/>
      <c r="I42" s="6">
        <f>IFERROR(ROUND(C42/C42*100,0),"")</f>
        <v/>
      </c>
    </row>
    <row r="43" ht="22" customHeight="1">
      <c r="B43" s="57" t="inlineStr">
        <is>
          <t>CIVIL</t>
        </is>
      </c>
      <c r="C43" s="56" t="inlineStr"/>
      <c r="D43" s="56" t="inlineStr"/>
      <c r="E43" s="56" t="inlineStr"/>
      <c r="F43" s="56" t="inlineStr"/>
      <c r="G43" s="56" t="inlineStr"/>
      <c r="H43" s="56" t="inlineStr"/>
      <c r="I43" s="56">
        <f>IFERROR(ROUND(C43/C43*100,0),"")</f>
        <v/>
      </c>
    </row>
    <row r="44" ht="22" customHeight="1">
      <c r="B44" s="5" t="inlineStr">
        <is>
          <t>S&amp;H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>
        <f>IFERROR(ROUND(C44/C44*100,0),"")</f>
        <v/>
      </c>
    </row>
    <row r="45" ht="22" customHeight="1">
      <c r="B45" s="57" t="inlineStr">
        <is>
          <t>MBA</t>
        </is>
      </c>
      <c r="C45" s="56" t="inlineStr"/>
      <c r="D45" s="56" t="inlineStr"/>
      <c r="E45" s="56" t="inlineStr"/>
      <c r="F45" s="56" t="inlineStr"/>
      <c r="G45" s="56" t="inlineStr"/>
      <c r="H45" s="56" t="inlineStr"/>
      <c r="I45" s="56">
        <f>IFERROR(ROUND(C45/C45*100,0),"")</f>
        <v/>
      </c>
    </row>
    <row r="46" ht="22" customHeight="1">
      <c r="B46" s="5" t="inlineStr">
        <is>
          <t>MCA</t>
        </is>
      </c>
      <c r="C46" s="6" t="inlineStr"/>
      <c r="D46" s="6" t="inlineStr"/>
      <c r="E46" s="6" t="inlineStr"/>
      <c r="F46" s="6" t="inlineStr"/>
      <c r="G46" s="6" t="inlineStr"/>
      <c r="H46" s="6" t="inlineStr"/>
      <c r="I46" s="6">
        <f>IFERROR(ROUND(C46/C46*100,0),"")</f>
        <v/>
      </c>
    </row>
    <row r="47" ht="22" customHeight="1">
      <c r="B47" s="25" t="inlineStr">
        <is>
          <t>INSTITUTION TOTAL</t>
        </is>
      </c>
      <c r="C47" s="49" t="inlineStr"/>
      <c r="D47" s="49" t="inlineStr"/>
      <c r="E47" s="49" t="inlineStr"/>
      <c r="F47" s="49" t="inlineStr"/>
      <c r="G47" s="49" t="inlineStr"/>
      <c r="H47" s="49" t="inlineStr"/>
      <c r="I47" s="49">
        <f>IFERROR(ROUND(C47/C47*100,0),"")</f>
        <v/>
      </c>
    </row>
    <row r="48" ht="22" customHeight="1"/>
    <row r="49" ht="22" customHeight="1"/>
  </sheetData>
  <mergeCells count="6">
    <mergeCell ref="B16:I16"/>
    <mergeCell ref="B2:I2"/>
    <mergeCell ref="B3:I3"/>
    <mergeCell ref="B37:I37"/>
    <mergeCell ref="B27:I27"/>
    <mergeCell ref="B4: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5" customHeight="1">
      <c r="B2" s="11" t="inlineStr">
        <is>
          <t>AC-13: ACADEMIC COUNCIL RECOMMENDATIONS REGISTER (CUMULATIVE)</t>
        </is>
      </c>
    </row>
    <row r="3" ht="25" customHeight="1">
      <c r="B3" s="2" t="inlineStr">
        <is>
          <t>Institution: _________________________  Maintained by: Registrar / Academic Section  Last Updated: _______</t>
        </is>
      </c>
    </row>
    <row r="4" ht="25" customHeight="1">
      <c r="B4" s="58" t="inlineStr">
        <is>
          <t>AC Resolution
No.</t>
        </is>
      </c>
      <c r="C4" s="58" t="inlineStr">
        <is>
          <t>Recommendation / Resolution (Summary)</t>
        </is>
      </c>
      <c r="D4" s="58" t="inlineStr">
        <is>
          <t>Category</t>
        </is>
      </c>
      <c r="E4" s="58" t="inlineStr">
        <is>
          <t>AC Meeting
No. &amp; Date</t>
        </is>
      </c>
      <c r="F4" s="58" t="inlineStr">
        <is>
          <t>Forwarded To</t>
        </is>
      </c>
      <c r="G4" s="58" t="inlineStr">
        <is>
          <t>Target
Date</t>
        </is>
      </c>
      <c r="H4" s="58" t="inlineStr">
        <is>
          <t>Implemented
Date</t>
        </is>
      </c>
      <c r="I4" s="58" t="inlineStr">
        <is>
          <t>Status</t>
        </is>
      </c>
    </row>
    <row r="5" ht="25" customHeight="1">
      <c r="B5" s="13" t="inlineStr">
        <is>
          <t>AC/2024/001</t>
        </is>
      </c>
      <c r="C5" s="14" t="inlineStr"/>
      <c r="D5" s="16" t="inlineStr">
        <is>
          <t>Academic</t>
        </is>
      </c>
      <c r="E5" s="16" t="inlineStr"/>
      <c r="F5" s="16" t="inlineStr"/>
      <c r="G5" s="16" t="inlineStr"/>
      <c r="H5" s="16" t="inlineStr"/>
      <c r="I5" s="16" t="inlineStr">
        <is>
          <t>Pending</t>
        </is>
      </c>
    </row>
    <row r="6" ht="25" customHeight="1">
      <c r="B6" s="4" t="inlineStr">
        <is>
          <t>AC/2024/002</t>
        </is>
      </c>
      <c r="C6" s="5" t="inlineStr"/>
      <c r="D6" s="6" t="inlineStr">
        <is>
          <t>Examination</t>
        </is>
      </c>
      <c r="E6" s="6" t="inlineStr"/>
      <c r="F6" s="6" t="inlineStr"/>
      <c r="G6" s="6" t="inlineStr"/>
      <c r="H6" s="6" t="inlineStr"/>
      <c r="I6" s="6" t="inlineStr">
        <is>
          <t>Pending</t>
        </is>
      </c>
    </row>
    <row r="7" ht="25" customHeight="1">
      <c r="B7" s="13" t="inlineStr">
        <is>
          <t>AC/2024/003</t>
        </is>
      </c>
      <c r="C7" s="14" t="inlineStr"/>
      <c r="D7" s="16" t="inlineStr">
        <is>
          <t>Research</t>
        </is>
      </c>
      <c r="E7" s="16" t="inlineStr"/>
      <c r="F7" s="16" t="inlineStr"/>
      <c r="G7" s="16" t="inlineStr"/>
      <c r="H7" s="16" t="inlineStr"/>
      <c r="I7" s="16" t="inlineStr">
        <is>
          <t>Pending</t>
        </is>
      </c>
    </row>
    <row r="8" ht="25" customHeight="1">
      <c r="B8" s="4" t="inlineStr">
        <is>
          <t>AC/2024/004</t>
        </is>
      </c>
      <c r="C8" s="5" t="inlineStr"/>
      <c r="D8" s="6" t="inlineStr">
        <is>
          <t>Faculty</t>
        </is>
      </c>
      <c r="E8" s="6" t="inlineStr"/>
      <c r="F8" s="6" t="inlineStr"/>
      <c r="G8" s="6" t="inlineStr"/>
      <c r="H8" s="6" t="inlineStr"/>
      <c r="I8" s="6" t="inlineStr">
        <is>
          <t>Pending</t>
        </is>
      </c>
    </row>
    <row r="9" ht="25" customHeight="1">
      <c r="B9" s="13" t="inlineStr">
        <is>
          <t>AC/2024/005</t>
        </is>
      </c>
      <c r="C9" s="14" t="inlineStr"/>
      <c r="D9" s="16" t="inlineStr">
        <is>
          <t>Infrastructure</t>
        </is>
      </c>
      <c r="E9" s="16" t="inlineStr"/>
      <c r="F9" s="16" t="inlineStr"/>
      <c r="G9" s="16" t="inlineStr"/>
      <c r="H9" s="16" t="inlineStr"/>
      <c r="I9" s="16" t="inlineStr">
        <is>
          <t>Pending</t>
        </is>
      </c>
    </row>
    <row r="10" ht="25" customHeight="1">
      <c r="B10" s="4" t="inlineStr">
        <is>
          <t>AC/2024/006</t>
        </is>
      </c>
      <c r="C10" s="5" t="inlineStr"/>
      <c r="D10" s="6" t="inlineStr">
        <is>
          <t>Statutory</t>
        </is>
      </c>
      <c r="E10" s="6" t="inlineStr"/>
      <c r="F10" s="6" t="inlineStr"/>
      <c r="G10" s="6" t="inlineStr"/>
      <c r="H10" s="6" t="inlineStr"/>
      <c r="I10" s="6" t="inlineStr">
        <is>
          <t>Pending</t>
        </is>
      </c>
    </row>
    <row r="11" ht="25" customHeight="1">
      <c r="B11" s="13" t="inlineStr">
        <is>
          <t>AC/2024/007</t>
        </is>
      </c>
      <c r="C11" s="14" t="inlineStr"/>
      <c r="D11" s="16" t="inlineStr">
        <is>
          <t>Finance</t>
        </is>
      </c>
      <c r="E11" s="16" t="inlineStr"/>
      <c r="F11" s="16" t="inlineStr"/>
      <c r="G11" s="16" t="inlineStr"/>
      <c r="H11" s="16" t="inlineStr"/>
      <c r="I11" s="16" t="inlineStr">
        <is>
          <t>Pending</t>
        </is>
      </c>
    </row>
    <row r="12" ht="25" customHeight="1">
      <c r="B12" s="4" t="inlineStr">
        <is>
          <t>AC/2024/008</t>
        </is>
      </c>
      <c r="C12" s="5" t="inlineStr"/>
      <c r="D12" s="6" t="inlineStr">
        <is>
          <t>Student Welfare</t>
        </is>
      </c>
      <c r="E12" s="6" t="inlineStr"/>
      <c r="F12" s="6" t="inlineStr"/>
      <c r="G12" s="6" t="inlineStr"/>
      <c r="H12" s="6" t="inlineStr"/>
      <c r="I12" s="6" t="inlineStr">
        <is>
          <t>Pending</t>
        </is>
      </c>
    </row>
    <row r="13" ht="25" customHeight="1">
      <c r="B13" s="13" t="inlineStr">
        <is>
          <t>AC/2024/009</t>
        </is>
      </c>
      <c r="C13" s="14" t="inlineStr"/>
      <c r="D13" s="16" t="inlineStr">
        <is>
          <t>New Programme</t>
        </is>
      </c>
      <c r="E13" s="16" t="inlineStr"/>
      <c r="F13" s="16" t="inlineStr"/>
      <c r="G13" s="16" t="inlineStr"/>
      <c r="H13" s="16" t="inlineStr"/>
      <c r="I13" s="16" t="inlineStr">
        <is>
          <t>Pending</t>
        </is>
      </c>
    </row>
    <row r="14" ht="25" customHeight="1">
      <c r="B14" s="4" t="inlineStr">
        <is>
          <t>AC/2024/010</t>
        </is>
      </c>
      <c r="C14" s="5" t="inlineStr"/>
      <c r="D14" s="6" t="inlineStr">
        <is>
          <t>Others</t>
        </is>
      </c>
      <c r="E14" s="6" t="inlineStr"/>
      <c r="F14" s="6" t="inlineStr"/>
      <c r="G14" s="6" t="inlineStr"/>
      <c r="H14" s="6" t="inlineStr"/>
      <c r="I14" s="6" t="inlineStr">
        <is>
          <t>Pending</t>
        </is>
      </c>
    </row>
    <row r="15" ht="25" customHeight="1">
      <c r="B15" s="13" t="inlineStr">
        <is>
          <t>AC/2024/011</t>
        </is>
      </c>
      <c r="C15" s="14" t="inlineStr"/>
      <c r="D15" s="16" t="inlineStr">
        <is>
          <t>Academic</t>
        </is>
      </c>
      <c r="E15" s="16" t="inlineStr"/>
      <c r="F15" s="16" t="inlineStr"/>
      <c r="G15" s="16" t="inlineStr"/>
      <c r="H15" s="16" t="inlineStr"/>
      <c r="I15" s="16" t="inlineStr">
        <is>
          <t>Pending</t>
        </is>
      </c>
    </row>
    <row r="16" ht="25" customHeight="1">
      <c r="B16" s="4" t="inlineStr">
        <is>
          <t>AC/2024/012</t>
        </is>
      </c>
      <c r="C16" s="5" t="inlineStr"/>
      <c r="D16" s="6" t="inlineStr">
        <is>
          <t>Examination</t>
        </is>
      </c>
      <c r="E16" s="6" t="inlineStr"/>
      <c r="F16" s="6" t="inlineStr"/>
      <c r="G16" s="6" t="inlineStr"/>
      <c r="H16" s="6" t="inlineStr"/>
      <c r="I16" s="6" t="inlineStr">
        <is>
          <t>Pending</t>
        </is>
      </c>
    </row>
    <row r="17" ht="25" customHeight="1">
      <c r="B17" s="13" t="inlineStr">
        <is>
          <t>AC/2025/013</t>
        </is>
      </c>
      <c r="C17" s="14" t="inlineStr"/>
      <c r="D17" s="16" t="inlineStr">
        <is>
          <t>Research</t>
        </is>
      </c>
      <c r="E17" s="16" t="inlineStr"/>
      <c r="F17" s="16" t="inlineStr"/>
      <c r="G17" s="16" t="inlineStr"/>
      <c r="H17" s="16" t="inlineStr"/>
      <c r="I17" s="16" t="inlineStr">
        <is>
          <t>Pending</t>
        </is>
      </c>
    </row>
    <row r="18" ht="25" customHeight="1">
      <c r="B18" s="4" t="inlineStr">
        <is>
          <t>AC/2025/014</t>
        </is>
      </c>
      <c r="C18" s="5" t="inlineStr"/>
      <c r="D18" s="6" t="inlineStr">
        <is>
          <t>Faculty</t>
        </is>
      </c>
      <c r="E18" s="6" t="inlineStr"/>
      <c r="F18" s="6" t="inlineStr"/>
      <c r="G18" s="6" t="inlineStr"/>
      <c r="H18" s="6" t="inlineStr"/>
      <c r="I18" s="6" t="inlineStr">
        <is>
          <t>Pending</t>
        </is>
      </c>
    </row>
    <row r="19" ht="25" customHeight="1">
      <c r="B19" s="13" t="inlineStr">
        <is>
          <t>AC/2025/015</t>
        </is>
      </c>
      <c r="C19" s="14" t="inlineStr"/>
      <c r="D19" s="16" t="inlineStr">
        <is>
          <t>Infrastructure</t>
        </is>
      </c>
      <c r="E19" s="16" t="inlineStr"/>
      <c r="F19" s="16" t="inlineStr"/>
      <c r="G19" s="16" t="inlineStr"/>
      <c r="H19" s="16" t="inlineStr"/>
      <c r="I19" s="16" t="inlineStr">
        <is>
          <t>Pending</t>
        </is>
      </c>
    </row>
    <row r="20" ht="25" customHeight="1">
      <c r="B20" s="4" t="inlineStr">
        <is>
          <t>AC/2025/016</t>
        </is>
      </c>
      <c r="C20" s="5" t="inlineStr"/>
      <c r="D20" s="6" t="inlineStr">
        <is>
          <t>Statutory</t>
        </is>
      </c>
      <c r="E20" s="6" t="inlineStr"/>
      <c r="F20" s="6" t="inlineStr"/>
      <c r="G20" s="6" t="inlineStr"/>
      <c r="H20" s="6" t="inlineStr"/>
      <c r="I20" s="6" t="inlineStr">
        <is>
          <t>Pending</t>
        </is>
      </c>
    </row>
    <row r="21" ht="25" customHeight="1">
      <c r="B21" s="13" t="inlineStr">
        <is>
          <t>AC/2025/017</t>
        </is>
      </c>
      <c r="C21" s="14" t="inlineStr"/>
      <c r="D21" s="16" t="inlineStr">
        <is>
          <t>Finance</t>
        </is>
      </c>
      <c r="E21" s="16" t="inlineStr"/>
      <c r="F21" s="16" t="inlineStr"/>
      <c r="G21" s="16" t="inlineStr"/>
      <c r="H21" s="16" t="inlineStr"/>
      <c r="I21" s="16" t="inlineStr">
        <is>
          <t>Pending</t>
        </is>
      </c>
    </row>
    <row r="22" ht="25" customHeight="1">
      <c r="B22" s="4" t="inlineStr">
        <is>
          <t>AC/2025/018</t>
        </is>
      </c>
      <c r="C22" s="5" t="inlineStr"/>
      <c r="D22" s="6" t="inlineStr">
        <is>
          <t>Student Welfare</t>
        </is>
      </c>
      <c r="E22" s="6" t="inlineStr"/>
      <c r="F22" s="6" t="inlineStr"/>
      <c r="G22" s="6" t="inlineStr"/>
      <c r="H22" s="6" t="inlineStr"/>
      <c r="I22" s="6" t="inlineStr">
        <is>
          <t>Pending</t>
        </is>
      </c>
    </row>
    <row r="23" ht="25" customHeight="1">
      <c r="B23" s="13" t="inlineStr">
        <is>
          <t>AC/2025/019</t>
        </is>
      </c>
      <c r="C23" s="14" t="inlineStr"/>
      <c r="D23" s="16" t="inlineStr">
        <is>
          <t>New Programme</t>
        </is>
      </c>
      <c r="E23" s="16" t="inlineStr"/>
      <c r="F23" s="16" t="inlineStr"/>
      <c r="G23" s="16" t="inlineStr"/>
      <c r="H23" s="16" t="inlineStr"/>
      <c r="I23" s="16" t="inlineStr">
        <is>
          <t>Pending</t>
        </is>
      </c>
    </row>
    <row r="24" ht="25" customHeight="1">
      <c r="B24" s="4" t="inlineStr">
        <is>
          <t>AC/2025/020</t>
        </is>
      </c>
      <c r="C24" s="5" t="inlineStr"/>
      <c r="D24" s="6" t="inlineStr">
        <is>
          <t>Others</t>
        </is>
      </c>
      <c r="E24" s="6" t="inlineStr"/>
      <c r="F24" s="6" t="inlineStr"/>
      <c r="G24" s="6" t="inlineStr"/>
      <c r="H24" s="6" t="inlineStr"/>
      <c r="I24" s="6" t="inlineStr">
        <is>
          <t>Pending</t>
        </is>
      </c>
    </row>
    <row r="25" ht="25" customHeight="1">
      <c r="B25" s="13" t="inlineStr">
        <is>
          <t>AC/2025/021</t>
        </is>
      </c>
      <c r="C25" s="14" t="inlineStr"/>
      <c r="D25" s="16" t="inlineStr">
        <is>
          <t>Academic</t>
        </is>
      </c>
      <c r="E25" s="16" t="inlineStr"/>
      <c r="F25" s="16" t="inlineStr"/>
      <c r="G25" s="16" t="inlineStr"/>
      <c r="H25" s="16" t="inlineStr"/>
      <c r="I25" s="16" t="inlineStr">
        <is>
          <t>Pending</t>
        </is>
      </c>
    </row>
    <row r="26" ht="25" customHeight="1">
      <c r="B26" s="4" t="inlineStr">
        <is>
          <t>AC/2025/022</t>
        </is>
      </c>
      <c r="C26" s="5" t="inlineStr"/>
      <c r="D26" s="6" t="inlineStr">
        <is>
          <t>Examination</t>
        </is>
      </c>
      <c r="E26" s="6" t="inlineStr"/>
      <c r="F26" s="6" t="inlineStr"/>
      <c r="G26" s="6" t="inlineStr"/>
      <c r="H26" s="6" t="inlineStr"/>
      <c r="I26" s="6" t="inlineStr">
        <is>
          <t>Pending</t>
        </is>
      </c>
    </row>
    <row r="27" ht="25" customHeight="1">
      <c r="B27" s="13" t="inlineStr">
        <is>
          <t>AC/2025/023</t>
        </is>
      </c>
      <c r="C27" s="14" t="inlineStr"/>
      <c r="D27" s="16" t="inlineStr">
        <is>
          <t>Research</t>
        </is>
      </c>
      <c r="E27" s="16" t="inlineStr"/>
      <c r="F27" s="16" t="inlineStr"/>
      <c r="G27" s="16" t="inlineStr"/>
      <c r="H27" s="16" t="inlineStr"/>
      <c r="I27" s="16" t="inlineStr">
        <is>
          <t>Pending</t>
        </is>
      </c>
    </row>
    <row r="28" ht="25" customHeight="1">
      <c r="B28" s="4" t="inlineStr">
        <is>
          <t>AC/2025/024</t>
        </is>
      </c>
      <c r="C28" s="5" t="inlineStr"/>
      <c r="D28" s="6" t="inlineStr">
        <is>
          <t>Faculty</t>
        </is>
      </c>
      <c r="E28" s="6" t="inlineStr"/>
      <c r="F28" s="6" t="inlineStr"/>
      <c r="G28" s="6" t="inlineStr"/>
      <c r="H28" s="6" t="inlineStr"/>
      <c r="I28" s="6" t="inlineStr">
        <is>
          <t>Pending</t>
        </is>
      </c>
    </row>
    <row r="29" ht="25" customHeight="1">
      <c r="B29" s="13" t="inlineStr">
        <is>
          <t>AC/2025/025</t>
        </is>
      </c>
      <c r="C29" s="14" t="inlineStr"/>
      <c r="D29" s="16" t="inlineStr">
        <is>
          <t>Infrastructure</t>
        </is>
      </c>
      <c r="E29" s="16" t="inlineStr"/>
      <c r="F29" s="16" t="inlineStr"/>
      <c r="G29" s="16" t="inlineStr"/>
      <c r="H29" s="16" t="inlineStr"/>
      <c r="I29" s="16" t="inlineStr">
        <is>
          <t>Pending</t>
        </is>
      </c>
    </row>
    <row r="30" ht="25" customHeight="1"/>
    <row r="31" ht="25" customHeight="1">
      <c r="B31" s="22" t="inlineStr">
        <is>
          <t>REGISTER STATISTICS</t>
        </is>
      </c>
    </row>
    <row r="32" ht="25" customHeight="1">
      <c r="B32" s="25" t="inlineStr">
        <is>
          <t>Total Recommendations Logged</t>
        </is>
      </c>
      <c r="C32" s="60" t="n"/>
      <c r="D32" s="60" t="n"/>
      <c r="E32" s="60" t="n"/>
      <c r="F32" s="61" t="n"/>
      <c r="G32" s="26">
        <f>COUNTA(B5:B29)</f>
        <v/>
      </c>
      <c r="H32" s="60" t="n"/>
      <c r="I32" s="61" t="n"/>
    </row>
    <row r="33" ht="25" customHeight="1">
      <c r="B33" s="17" t="inlineStr">
        <is>
          <t>Implemented</t>
        </is>
      </c>
      <c r="C33" s="60" t="n"/>
      <c r="D33" s="60" t="n"/>
      <c r="E33" s="60" t="n"/>
      <c r="F33" s="61" t="n"/>
      <c r="G33" s="26">
        <f>COUNTIF(I5:I29,"Implemented")</f>
        <v/>
      </c>
      <c r="H33" s="60" t="n"/>
      <c r="I33" s="61" t="n"/>
    </row>
    <row r="34" ht="25" customHeight="1">
      <c r="B34" s="25" t="inlineStr">
        <is>
          <t>In Progress</t>
        </is>
      </c>
      <c r="C34" s="60" t="n"/>
      <c r="D34" s="60" t="n"/>
      <c r="E34" s="60" t="n"/>
      <c r="F34" s="61" t="n"/>
      <c r="G34" s="26">
        <f>COUNTIF(I5:I29,"In Progress")</f>
        <v/>
      </c>
      <c r="H34" s="60" t="n"/>
      <c r="I34" s="61" t="n"/>
    </row>
    <row r="35" ht="25" customHeight="1">
      <c r="B35" s="17" t="inlineStr">
        <is>
          <t>Pending</t>
        </is>
      </c>
      <c r="C35" s="60" t="n"/>
      <c r="D35" s="60" t="n"/>
      <c r="E35" s="60" t="n"/>
      <c r="F35" s="61" t="n"/>
      <c r="G35" s="26">
        <f>COUNTIF(I5:I29,"Pending")</f>
        <v/>
      </c>
      <c r="H35" s="60" t="n"/>
      <c r="I35" s="61" t="n"/>
    </row>
    <row r="36" ht="25" customHeight="1">
      <c r="B36" s="25" t="inlineStr">
        <is>
          <t>Deferred</t>
        </is>
      </c>
      <c r="C36" s="60" t="n"/>
      <c r="D36" s="60" t="n"/>
      <c r="E36" s="60" t="n"/>
      <c r="F36" s="61" t="n"/>
      <c r="G36" s="26">
        <f>COUNTIF(I5:I29,"Deferred")</f>
        <v/>
      </c>
      <c r="H36" s="60" t="n"/>
      <c r="I36" s="61" t="n"/>
    </row>
    <row r="37" ht="25" customHeight="1">
      <c r="B37" s="17" t="inlineStr">
        <is>
          <t>Dropped / Not Applicable</t>
        </is>
      </c>
      <c r="C37" s="60" t="n"/>
      <c r="D37" s="60" t="n"/>
      <c r="E37" s="60" t="n"/>
      <c r="F37" s="61" t="n"/>
      <c r="G37" s="26">
        <f>COUNTIF(I5:I29,"Dropped")</f>
        <v/>
      </c>
      <c r="H37" s="60" t="n"/>
      <c r="I37" s="61" t="n"/>
    </row>
    <row r="38" ht="25" customHeight="1">
      <c r="B38" s="25" t="inlineStr">
        <is>
          <t>Overall Implementation Rate (%)</t>
        </is>
      </c>
      <c r="C38" s="60" t="n"/>
      <c r="D38" s="60" t="n"/>
      <c r="E38" s="60" t="n"/>
      <c r="F38" s="61" t="n"/>
      <c r="G38" s="59">
        <f>IFERROR(ROUND(C33/C32*100,1),"")</f>
        <v/>
      </c>
      <c r="H38" s="60" t="n"/>
      <c r="I38" s="61" t="n"/>
    </row>
    <row r="39" ht="25" customHeight="1"/>
    <row r="40">
      <c r="B40" s="28" t="inlineStr">
        <is>
          <t>Register certified by: Registrar / Academic Dean ___________________    Date: ___________________</t>
        </is>
      </c>
    </row>
  </sheetData>
  <mergeCells count="18">
    <mergeCell ref="G38:I38"/>
    <mergeCell ref="G32:I32"/>
    <mergeCell ref="G36:I36"/>
    <mergeCell ref="B40:I40"/>
    <mergeCell ref="B38:F38"/>
    <mergeCell ref="B34:F34"/>
    <mergeCell ref="G37:I37"/>
    <mergeCell ref="B33:F33"/>
    <mergeCell ref="B2:I2"/>
    <mergeCell ref="B37:F37"/>
    <mergeCell ref="B3:I3"/>
    <mergeCell ref="G35:I35"/>
    <mergeCell ref="G34:I34"/>
    <mergeCell ref="B36:F36"/>
    <mergeCell ref="B31:I31"/>
    <mergeCell ref="B32:F32"/>
    <mergeCell ref="G33:I33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2026-04-19T04:24:49Z</dcterms:created>
  <dcterms:modified xmlns:dcterms="http://purl.org/dc/terms/" xmlns:xsi="http://www.w3.org/2001/XMLSchema-instance" xsi:type="dcterms:W3CDTF">2026-04-19T04:24:57Z</dcterms:modified>
</cp:coreProperties>
</file>