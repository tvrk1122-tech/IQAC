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GMC-00 Composition" sheetId="2" state="visible" r:id="rId2"/>
    <sheet xmlns:r="http://schemas.openxmlformats.org/officeDocument/2006/relationships" name="GMC-NA Notice &amp; Agenda" sheetId="3" state="visible" r:id="rId3"/>
    <sheet xmlns:r="http://schemas.openxmlformats.org/officeDocument/2006/relationships" name="GMC-AT Attendance" sheetId="4" state="visible" r:id="rId4"/>
    <sheet xmlns:r="http://schemas.openxmlformats.org/officeDocument/2006/relationships" name="GMC-MM Minutes" sheetId="5" state="visible" r:id="rId5"/>
    <sheet xmlns:r="http://schemas.openxmlformats.org/officeDocument/2006/relationships" name="GMC-ATR Action Report" sheetId="6" state="visible" r:id="rId6"/>
    <sheet xmlns:r="http://schemas.openxmlformats.org/officeDocument/2006/relationships" name="GMC-05 Request Register" sheetId="7" state="visible" r:id="rId7"/>
    <sheet xmlns:r="http://schemas.openxmlformats.org/officeDocument/2006/relationships" name="CIV-01 Building Assessment" sheetId="8" state="visible" r:id="rId8"/>
    <sheet xmlns:r="http://schemas.openxmlformats.org/officeDocument/2006/relationships" name="ELE-01 Electrical Inspection" sheetId="9" state="visible" r:id="rId9"/>
    <sheet xmlns:r="http://schemas.openxmlformats.org/officeDocument/2006/relationships" name="ELE-04 DG Set &amp; Fuel Log" sheetId="10" state="visible" r:id="rId10"/>
    <sheet xmlns:r="http://schemas.openxmlformats.org/officeDocument/2006/relationships" name="PLB-01 Water Supply Register" sheetId="11" state="visible" r:id="rId11"/>
    <sheet xmlns:r="http://schemas.openxmlformats.org/officeDocument/2006/relationships" name="HVC-02 AC Maintenance Log" sheetId="12" state="visible" r:id="rId12"/>
    <sheet xmlns:r="http://schemas.openxmlformats.org/officeDocument/2006/relationships" name="FSS-01 Fire Extinguisher Reg" sheetId="13" state="visible" r:id="rId13"/>
    <sheet xmlns:r="http://schemas.openxmlformats.org/officeDocument/2006/relationships" name="FSS-05 Fire Drill Register" sheetId="14" state="visible" r:id="rId14"/>
    <sheet xmlns:r="http://schemas.openxmlformats.org/officeDocument/2006/relationships" name="CNT-02 AMC Register" sheetId="15" state="visible" r:id="rId15"/>
    <sheet xmlns:r="http://schemas.openxmlformats.org/officeDocument/2006/relationships" name="FIN-01 Work Cost Register" sheetId="16" state="visible" r:id="rId16"/>
    <sheet xmlns:r="http://schemas.openxmlformats.org/officeDocument/2006/relationships" name="SFY-03 Statutory Compliance" sheetId="17" state="visible" r:id="rId17"/>
    <sheet xmlns:r="http://schemas.openxmlformats.org/officeDocument/2006/relationships" name="GMC-30 KPI Dashboard" sheetId="18" state="visible" r:id="rId18"/>
    <sheet xmlns:r="http://schemas.openxmlformats.org/officeDocument/2006/relationships" name="GMC-31 Annual Report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Arial"/>
      <b val="1"/>
      <color rgb="00FFFFFF"/>
      <sz val="17"/>
    </font>
    <font>
      <name val="Arial"/>
      <color rgb="001E3A5F"/>
      <sz val="9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0F172A"/>
      <sz val="10"/>
    </font>
    <font>
      <name val="Arial"/>
      <color rgb="000F172A"/>
      <sz val="10"/>
    </font>
    <font>
      <name val="Arial"/>
      <color rgb="0064748B"/>
      <sz val="9"/>
    </font>
    <font>
      <name val="Arial"/>
      <b val="1"/>
      <color rgb="00FFFFFF"/>
      <sz val="14"/>
    </font>
    <font>
      <name val="Arial"/>
      <color rgb="003F2000"/>
      <sz val="9"/>
    </font>
    <font>
      <name val="Arial"/>
      <b val="1"/>
      <color rgb="00C2410C"/>
      <sz val="10"/>
    </font>
    <font>
      <name val="Arial"/>
      <color rgb="00C2410C"/>
      <sz val="9"/>
    </font>
    <font>
      <name val="Arial"/>
      <b val="1"/>
      <color rgb="00334155"/>
      <sz val="10"/>
    </font>
    <font>
      <name val="Arial"/>
      <b val="1"/>
      <color rgb="00166534"/>
      <sz val="10"/>
    </font>
    <font>
      <name val="Arial"/>
      <color rgb="000F172A"/>
      <sz val="9"/>
    </font>
    <font>
      <name val="Arial"/>
      <b val="1"/>
      <color rgb="001E3A5F"/>
      <sz val="10"/>
    </font>
    <font>
      <name val="Arial"/>
      <color rgb="00B91C1C"/>
      <sz val="9"/>
    </font>
    <font>
      <name val="Arial"/>
      <b val="1"/>
      <color rgb="00B91C1C"/>
      <sz val="10"/>
    </font>
    <font>
      <name val="Arial"/>
      <b val="1"/>
      <color rgb="00431407"/>
      <sz val="10"/>
    </font>
    <font>
      <name val="Arial"/>
      <b val="1"/>
      <color rgb="000D9488"/>
      <sz val="9"/>
    </font>
    <font>
      <name val="Arial"/>
      <color rgb="000D9488"/>
      <sz val="9"/>
    </font>
    <font>
      <name val="Arial"/>
      <b val="1"/>
      <color rgb="003F2000"/>
      <sz val="10"/>
    </font>
    <font>
      <name val="Arial"/>
      <b val="1"/>
      <color rgb="000F172A"/>
      <sz val="9"/>
    </font>
    <font>
      <name val="Arial"/>
      <b val="1"/>
      <color rgb="00B91C1C"/>
      <sz val="9"/>
    </font>
  </fonts>
  <fills count="20">
    <fill>
      <patternFill/>
    </fill>
    <fill>
      <patternFill patternType="gray125"/>
    </fill>
    <fill>
      <patternFill patternType="solid">
        <fgColor rgb="000F1923"/>
      </patternFill>
    </fill>
    <fill>
      <patternFill patternType="solid">
        <fgColor rgb="00DBEAFE"/>
      </patternFill>
    </fill>
    <fill>
      <patternFill patternType="solid">
        <fgColor rgb="00D97706"/>
      </patternFill>
    </fill>
    <fill>
      <patternFill patternType="solid">
        <fgColor rgb="00334155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1E3A5F"/>
      </patternFill>
    </fill>
    <fill>
      <patternFill patternType="solid">
        <fgColor rgb="00FFEDD5"/>
      </patternFill>
    </fill>
    <fill>
      <patternFill patternType="solid">
        <fgColor rgb="00FEF3C7"/>
      </patternFill>
    </fill>
    <fill>
      <patternFill patternType="solid">
        <fgColor rgb="00C2410C"/>
      </patternFill>
    </fill>
    <fill>
      <patternFill patternType="solid">
        <fgColor rgb="00B45309"/>
      </patternFill>
    </fill>
    <fill>
      <patternFill patternType="solid">
        <fgColor rgb="00DCFCE7"/>
      </patternFill>
    </fill>
    <fill>
      <patternFill patternType="solid">
        <fgColor rgb="00E2E8F0"/>
      </patternFill>
    </fill>
    <fill>
      <patternFill patternType="solid">
        <fgColor rgb="000D9488"/>
      </patternFill>
    </fill>
    <fill>
      <patternFill patternType="solid">
        <fgColor rgb="00CCFBF1"/>
      </patternFill>
    </fill>
    <fill>
      <patternFill patternType="solid">
        <fgColor rgb="00450A0A"/>
      </patternFill>
    </fill>
    <fill>
      <patternFill patternType="solid">
        <fgColor rgb="00B91C1C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 wrapText="1"/>
    </xf>
    <xf numFmtId="0" fontId="9" fillId="10" borderId="0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left" vertical="center" wrapText="1"/>
    </xf>
    <xf numFmtId="0" fontId="3" fillId="11" borderId="0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3" fillId="12" borderId="0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11" fillId="9" borderId="0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13" fillId="13" borderId="1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14" fillId="14" borderId="0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center" vertical="center" wrapText="1"/>
    </xf>
    <xf numFmtId="0" fontId="6" fillId="16" borderId="1" applyAlignment="1" pivotButton="0" quotePrefix="0" xfId="0">
      <alignment horizontal="left" vertical="center" wrapText="1"/>
    </xf>
    <xf numFmtId="0" fontId="6" fillId="16" borderId="1" applyAlignment="1" pivotButton="0" quotePrefix="0" xfId="0">
      <alignment horizontal="center" vertical="center" wrapText="1"/>
    </xf>
    <xf numFmtId="0" fontId="3" fillId="15" borderId="0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left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15" fillId="3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0" fontId="8" fillId="17" borderId="0" applyAlignment="1" pivotButton="0" quotePrefix="0" xfId="0">
      <alignment horizontal="center" vertical="center" wrapText="1"/>
    </xf>
    <xf numFmtId="0" fontId="4" fillId="18" borderId="1" applyAlignment="1" pivotButton="0" quotePrefix="0" xfId="0">
      <alignment horizontal="center" vertical="center" wrapText="1"/>
    </xf>
    <xf numFmtId="0" fontId="5" fillId="19" borderId="1" applyAlignment="1" pivotButton="0" quotePrefix="0" xfId="0">
      <alignment horizontal="center" vertical="center" wrapText="1"/>
    </xf>
    <xf numFmtId="0" fontId="6" fillId="19" borderId="1" applyAlignment="1" pivotButton="0" quotePrefix="0" xfId="0">
      <alignment horizontal="left" vertical="center" wrapText="1"/>
    </xf>
    <xf numFmtId="0" fontId="6" fillId="19" borderId="1" applyAlignment="1" pivotButton="0" quotePrefix="0" xfId="0">
      <alignment horizontal="center" vertical="center" wrapText="1"/>
    </xf>
    <xf numFmtId="0" fontId="5" fillId="19" borderId="1" applyAlignment="1" pivotButton="0" quotePrefix="0" xfId="0">
      <alignment horizontal="left" vertical="center" wrapText="1"/>
    </xf>
    <xf numFmtId="0" fontId="16" fillId="19" borderId="0" applyAlignment="1" pivotButton="0" quotePrefix="0" xfId="0">
      <alignment horizontal="center" vertical="center" wrapText="1"/>
    </xf>
    <xf numFmtId="0" fontId="3" fillId="18" borderId="0" applyAlignment="1" pivotButton="0" quotePrefix="0" xfId="0">
      <alignment horizontal="center" vertical="center" wrapText="1"/>
    </xf>
    <xf numFmtId="0" fontId="17" fillId="19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18" fillId="9" borderId="1" applyAlignment="1" pivotButton="0" quotePrefix="0" xfId="0">
      <alignment horizontal="left" vertical="center" wrapText="1"/>
    </xf>
    <xf numFmtId="0" fontId="3" fillId="8" borderId="0" applyAlignment="1" pivotButton="0" quotePrefix="0" xfId="0">
      <alignment horizontal="center" vertical="center" wrapText="1"/>
    </xf>
    <xf numFmtId="0" fontId="19" fillId="16" borderId="0" applyAlignment="1" pivotButton="0" quotePrefix="0" xfId="0">
      <alignment horizontal="left" vertical="center" wrapText="1"/>
    </xf>
    <xf numFmtId="0" fontId="20" fillId="16" borderId="0" applyAlignment="1" pivotButton="0" quotePrefix="0" xfId="0">
      <alignment horizontal="left" vertical="center" wrapText="1"/>
    </xf>
    <xf numFmtId="0" fontId="17" fillId="3" borderId="1" applyAlignment="1" pivotButton="0" quotePrefix="0" xfId="0">
      <alignment horizontal="center" vertical="center" wrapText="1"/>
    </xf>
    <xf numFmtId="0" fontId="17" fillId="7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0" fontId="0" fillId="10" borderId="1" pivotButton="0" quotePrefix="0" xfId="0"/>
    <xf numFmtId="0" fontId="21" fillId="10" borderId="1" applyAlignment="1" pivotButton="0" quotePrefix="0" xfId="0">
      <alignment horizontal="center" vertical="center" wrapText="1"/>
    </xf>
    <xf numFmtId="0" fontId="22" fillId="3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left" vertical="center" wrapText="1"/>
    </xf>
    <xf numFmtId="0" fontId="14" fillId="3" borderId="1" applyAlignment="1" pivotButton="0" quotePrefix="0" xfId="0">
      <alignment horizontal="center" vertical="center" wrapText="1"/>
    </xf>
    <xf numFmtId="0" fontId="23" fillId="3" borderId="1" applyAlignment="1" pivotButton="0" quotePrefix="0" xfId="0">
      <alignment horizontal="center" vertical="center" wrapText="1"/>
    </xf>
    <xf numFmtId="0" fontId="22" fillId="7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left" vertical="center" wrapText="1"/>
    </xf>
    <xf numFmtId="0" fontId="14" fillId="7" borderId="1" applyAlignment="1" pivotButton="0" quotePrefix="0" xfId="0">
      <alignment horizontal="center" vertical="center" wrapText="1"/>
    </xf>
    <xf numFmtId="0" fontId="23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6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46" customWidth="1" min="3" max="3"/>
    <col width="28" customWidth="1" min="4" max="4"/>
    <col width="18" customWidth="1" min="5" max="5"/>
    <col width="3" customWidth="1" min="6" max="6"/>
  </cols>
  <sheetData>
    <row r="1" ht="10" customHeight="1"/>
    <row r="2" ht="75" customHeight="1">
      <c r="B2" s="1" t="inlineStr">
        <is>
          <t>GENERAL MAINTENANCE COMMITTEE (GMC)
Data Collection Formats — Master Workbook</t>
        </is>
      </c>
    </row>
    <row r="3" ht="28" customHeight="1">
      <c r="B3" s="2" t="inlineStr">
        <is>
          <t>Institution: _________________________  GMC Coordinator: _____________  A.Y.: _______  Version: _____</t>
        </is>
      </c>
    </row>
    <row r="4" ht="22" customHeight="1">
      <c r="B4" s="3" t="inlineStr">
        <is>
          <t>Form No.</t>
        </is>
      </c>
      <c r="C4" s="3" t="inlineStr">
        <is>
          <t>Format / Form Title</t>
        </is>
      </c>
      <c r="D4" s="3" t="inlineStr">
        <is>
          <t>Purpose / Usage</t>
        </is>
      </c>
      <c r="E4" s="3" t="inlineStr">
        <is>
          <t>Frequency</t>
        </is>
      </c>
    </row>
    <row r="5" ht="20" customHeight="1">
      <c r="B5" s="4" t="inlineStr">
        <is>
          <t>── GOVERNANCE &amp; ADMINISTRATION ──</t>
        </is>
      </c>
    </row>
    <row r="6" ht="20" customHeight="1">
      <c r="B6" s="5" t="inlineStr">
        <is>
          <t>GMC-00</t>
        </is>
      </c>
      <c r="C6" s="6" t="inlineStr">
        <is>
          <t>Committee Composition &amp; Members Register</t>
        </is>
      </c>
      <c r="D6" s="6" t="inlineStr">
        <is>
          <t>Record GMC members, maintenance staff &amp; dept. reps</t>
        </is>
      </c>
      <c r="E6" s="7" t="inlineStr">
        <is>
          <t>Annual</t>
        </is>
      </c>
    </row>
    <row r="7" ht="20" customHeight="1">
      <c r="B7" s="8" t="inlineStr">
        <is>
          <t>GMC-NA</t>
        </is>
      </c>
      <c r="C7" s="9" t="inlineStr">
        <is>
          <t>Meeting Notice, Agenda &amp; Dispatch Record</t>
        </is>
      </c>
      <c r="D7" s="9" t="inlineStr">
        <is>
          <t>Formal notice and agenda for GMC meetings</t>
        </is>
      </c>
      <c r="E7" s="10" t="inlineStr">
        <is>
          <t>Each Meeting</t>
        </is>
      </c>
    </row>
    <row r="8" ht="20" customHeight="1">
      <c r="B8" s="5" t="inlineStr">
        <is>
          <t>GMC-AT</t>
        </is>
      </c>
      <c r="C8" s="6" t="inlineStr">
        <is>
          <t>Attendance &amp; Quorum Register</t>
        </is>
      </c>
      <c r="D8" s="6" t="inlineStr">
        <is>
          <t>Confirm attendance and quorum</t>
        </is>
      </c>
      <c r="E8" s="7" t="inlineStr">
        <is>
          <t>Each Meeting</t>
        </is>
      </c>
    </row>
    <row r="9" ht="20" customHeight="1">
      <c r="B9" s="8" t="inlineStr">
        <is>
          <t>GMC-MM</t>
        </is>
      </c>
      <c r="C9" s="9" t="inlineStr">
        <is>
          <t>Meeting Minutes &amp; Resolutions</t>
        </is>
      </c>
      <c r="D9" s="9" t="inlineStr">
        <is>
          <t>Record decisions, resolutions &amp; directives</t>
        </is>
      </c>
      <c r="E9" s="10" t="inlineStr">
        <is>
          <t>Each Meeting</t>
        </is>
      </c>
    </row>
    <row r="10" ht="20" customHeight="1">
      <c r="B10" s="5" t="inlineStr">
        <is>
          <t>GMC-ATR</t>
        </is>
      </c>
      <c r="C10" s="6" t="inlineStr">
        <is>
          <t>Action Taken Report</t>
        </is>
      </c>
      <c r="D10" s="6" t="inlineStr">
        <is>
          <t>Track implementation of GMC resolutions</t>
        </is>
      </c>
      <c r="E10" s="7" t="inlineStr">
        <is>
          <t>Each Meeting</t>
        </is>
      </c>
    </row>
    <row r="11" ht="20" customHeight="1">
      <c r="B11" s="4" t="inlineStr">
        <is>
          <t>── POLICY &amp; PLANNING ──</t>
        </is>
      </c>
    </row>
    <row r="12" ht="20" customHeight="1">
      <c r="B12" s="5" t="inlineStr">
        <is>
          <t>GMC-01</t>
        </is>
      </c>
      <c r="C12" s="6" t="inlineStr">
        <is>
          <t>Maintenance Policy &amp; Standards Document</t>
        </is>
      </c>
      <c r="D12" s="6" t="inlineStr">
        <is>
          <t>Document maintenance standards, priorities &amp; procedures</t>
        </is>
      </c>
      <c r="E12" s="7" t="inlineStr">
        <is>
          <t>Annual</t>
        </is>
      </c>
    </row>
    <row r="13" ht="20" customHeight="1">
      <c r="B13" s="8" t="inlineStr">
        <is>
          <t>GMC-02</t>
        </is>
      </c>
      <c r="C13" s="9" t="inlineStr">
        <is>
          <t>Annual Maintenance Plan &amp; Calendar</t>
        </is>
      </c>
      <c r="D13" s="9" t="inlineStr">
        <is>
          <t>Plan all preventive and scheduled maintenance for the year</t>
        </is>
      </c>
      <c r="E13" s="10" t="inlineStr">
        <is>
          <t>Annual</t>
        </is>
      </c>
    </row>
    <row r="14" ht="20" customHeight="1">
      <c r="B14" s="5" t="inlineStr">
        <is>
          <t>GMC-03</t>
        </is>
      </c>
      <c r="C14" s="6" t="inlineStr">
        <is>
          <t>GMC Budget &amp; Expenditure Plan</t>
        </is>
      </c>
      <c r="D14" s="6" t="inlineStr">
        <is>
          <t>Plan annual maintenance budget — civil, electrical, etc.</t>
        </is>
      </c>
      <c r="E14" s="7" t="inlineStr">
        <is>
          <t>Annual</t>
        </is>
      </c>
    </row>
    <row r="15" ht="20" customHeight="1">
      <c r="B15" s="4" t="inlineStr">
        <is>
          <t>── MAINTENANCE REQUEST &amp; WORK ORDER ──</t>
        </is>
      </c>
    </row>
    <row r="16" ht="20" customHeight="1">
      <c r="B16" s="5" t="inlineStr">
        <is>
          <t>GMC-04</t>
        </is>
      </c>
      <c r="C16" s="6" t="inlineStr">
        <is>
          <t>Maintenance Request / Complaint Form</t>
        </is>
      </c>
      <c r="D16" s="6" t="inlineStr">
        <is>
          <t>Formal maintenance request by department / user</t>
        </is>
      </c>
      <c r="E16" s="7" t="inlineStr">
        <is>
          <t>Per Request</t>
        </is>
      </c>
    </row>
    <row r="17" ht="20" customHeight="1">
      <c r="B17" s="8" t="inlineStr">
        <is>
          <t>GMC-05</t>
        </is>
      </c>
      <c r="C17" s="9" t="inlineStr">
        <is>
          <t>Maintenance Request Register</t>
        </is>
      </c>
      <c r="D17" s="9" t="inlineStr">
        <is>
          <t>Consolidated register of all maintenance requests</t>
        </is>
      </c>
      <c r="E17" s="10" t="inlineStr">
        <is>
          <t>Continuous</t>
        </is>
      </c>
    </row>
    <row r="18" ht="20" customHeight="1">
      <c r="B18" s="5" t="inlineStr">
        <is>
          <t>GMC-06</t>
        </is>
      </c>
      <c r="C18" s="6" t="inlineStr">
        <is>
          <t>Work Order Issue Register</t>
        </is>
      </c>
      <c r="D18" s="6" t="inlineStr">
        <is>
          <t>Issue and track work orders to maintenance staff / vendors</t>
        </is>
      </c>
      <c r="E18" s="7" t="inlineStr">
        <is>
          <t>Per Work Order</t>
        </is>
      </c>
    </row>
    <row r="19" ht="20" customHeight="1">
      <c r="B19" s="8" t="inlineStr">
        <is>
          <t>GMC-07</t>
        </is>
      </c>
      <c r="C19" s="9" t="inlineStr">
        <is>
          <t>Urgent / Emergency Maintenance Register</t>
        </is>
      </c>
      <c r="D19" s="9" t="inlineStr">
        <is>
          <t>Handle emergency repairs requiring immediate action</t>
        </is>
      </c>
      <c r="E19" s="10" t="inlineStr">
        <is>
          <t>Per Emergency</t>
        </is>
      </c>
    </row>
    <row r="20" ht="20" customHeight="1">
      <c r="B20" s="5" t="inlineStr">
        <is>
          <t>GMC-08</t>
        </is>
      </c>
      <c r="C20" s="6" t="inlineStr">
        <is>
          <t>Maintenance Completion &amp; Inspection Register</t>
        </is>
      </c>
      <c r="D20" s="6" t="inlineStr">
        <is>
          <t>Verify and close completed maintenance tasks</t>
        </is>
      </c>
      <c r="E20" s="7" t="inlineStr">
        <is>
          <t>Per Completion</t>
        </is>
      </c>
    </row>
    <row r="21" ht="20" customHeight="1">
      <c r="B21" s="4" t="inlineStr">
        <is>
          <t>── CIVIL &amp; STRUCTURAL MAINTENANCE ──</t>
        </is>
      </c>
    </row>
    <row r="22" ht="20" customHeight="1">
      <c r="B22" s="5" t="inlineStr">
        <is>
          <t>CIV-01</t>
        </is>
      </c>
      <c r="C22" s="6" t="inlineStr">
        <is>
          <t>Building Condition Assessment Register</t>
        </is>
      </c>
      <c r="D22" s="6" t="inlineStr">
        <is>
          <t>Annual assessment of all buildings and structures</t>
        </is>
      </c>
      <c r="E22" s="7" t="inlineStr">
        <is>
          <t>Annual</t>
        </is>
      </c>
    </row>
    <row r="23" ht="20" customHeight="1">
      <c r="B23" s="8" t="inlineStr">
        <is>
          <t>CIV-02</t>
        </is>
      </c>
      <c r="C23" s="9" t="inlineStr">
        <is>
          <t>Roof &amp; Waterproofing Maintenance Register</t>
        </is>
      </c>
      <c r="D23" s="9" t="inlineStr">
        <is>
          <t>Track roof leaks, waterproofing and terrace repairs</t>
        </is>
      </c>
      <c r="E23" s="10" t="inlineStr">
        <is>
          <t>Annual / Per Incident</t>
        </is>
      </c>
    </row>
    <row r="24" ht="20" customHeight="1">
      <c r="B24" s="5" t="inlineStr">
        <is>
          <t>CIV-03</t>
        </is>
      </c>
      <c r="C24" s="6" t="inlineStr">
        <is>
          <t>Flooring &amp; Tile Repair Register</t>
        </is>
      </c>
      <c r="D24" s="6" t="inlineStr">
        <is>
          <t>Track flooring damage and tile replacement</t>
        </is>
      </c>
      <c r="E24" s="7" t="inlineStr">
        <is>
          <t>Per Incident / Monthly</t>
        </is>
      </c>
    </row>
    <row r="25" ht="20" customHeight="1">
      <c r="B25" s="8" t="inlineStr">
        <is>
          <t>CIV-04</t>
        </is>
      </c>
      <c r="C25" s="9" t="inlineStr">
        <is>
          <t>Wall, Plaster &amp; Painting Register</t>
        </is>
      </c>
      <c r="D25" s="9" t="inlineStr">
        <is>
          <t>Track plastering, whitewash, painting work</t>
        </is>
      </c>
      <c r="E25" s="10" t="inlineStr">
        <is>
          <t>Annual / Per Need</t>
        </is>
      </c>
    </row>
    <row r="26" ht="20" customHeight="1">
      <c r="B26" s="5" t="inlineStr">
        <is>
          <t>CIV-05</t>
        </is>
      </c>
      <c r="C26" s="6" t="inlineStr">
        <is>
          <t>Door &amp; Window Maintenance Register</t>
        </is>
      </c>
      <c r="D26" s="6" t="inlineStr">
        <is>
          <t>Track door/window repairs, replacements &amp; hardware</t>
        </is>
      </c>
      <c r="E26" s="7" t="inlineStr">
        <is>
          <t>Per Incident</t>
        </is>
      </c>
    </row>
    <row r="27" ht="20" customHeight="1">
      <c r="B27" s="8" t="inlineStr">
        <is>
          <t>CIV-06</t>
        </is>
      </c>
      <c r="C27" s="9" t="inlineStr">
        <is>
          <t>Staircase, Ramp &amp; Handrail Register</t>
        </is>
      </c>
      <c r="D27" s="9" t="inlineStr">
        <is>
          <t>Inspect and maintain staircases, ramps and handrails</t>
        </is>
      </c>
      <c r="E27" s="10" t="inlineStr">
        <is>
          <t>Monthly</t>
        </is>
      </c>
    </row>
    <row r="28" ht="20" customHeight="1">
      <c r="B28" s="5" t="inlineStr">
        <is>
          <t>CIV-07</t>
        </is>
      </c>
      <c r="C28" s="6" t="inlineStr">
        <is>
          <t>Sanitary &amp; Plumbing Maintenance Register</t>
        </is>
      </c>
      <c r="D28" s="6" t="inlineStr">
        <is>
          <t>Track plumbing, drainage and sanitary repairs</t>
        </is>
      </c>
      <c r="E28" s="7" t="inlineStr">
        <is>
          <t>Per Incident / Monthly</t>
        </is>
      </c>
    </row>
    <row r="29" ht="20" customHeight="1">
      <c r="B29" s="8" t="inlineStr">
        <is>
          <t>CIV-08</t>
        </is>
      </c>
      <c r="C29" s="9" t="inlineStr">
        <is>
          <t>Campus Road &amp; Pathway Register</t>
        </is>
      </c>
      <c r="D29" s="9" t="inlineStr">
        <is>
          <t>Track road, pathway and kerb maintenance</t>
        </is>
      </c>
      <c r="E29" s="10" t="inlineStr">
        <is>
          <t>Annual / Per Need</t>
        </is>
      </c>
    </row>
    <row r="30" ht="20" customHeight="1">
      <c r="B30" s="5" t="inlineStr">
        <is>
          <t>CIV-09</t>
        </is>
      </c>
      <c r="C30" s="6" t="inlineStr">
        <is>
          <t>Boundary Wall &amp; Fencing Register</t>
        </is>
      </c>
      <c r="D30" s="6" t="inlineStr">
        <is>
          <t>Track boundary wall, fencing and gate maintenance</t>
        </is>
      </c>
      <c r="E30" s="7" t="inlineStr">
        <is>
          <t>Annual</t>
        </is>
      </c>
    </row>
    <row r="31" ht="20" customHeight="1">
      <c r="B31" s="4" t="inlineStr">
        <is>
          <t>── ELECTRICAL MAINTENANCE ──</t>
        </is>
      </c>
    </row>
    <row r="32" ht="20" customHeight="1">
      <c r="B32" s="5" t="inlineStr">
        <is>
          <t>ELE-01</t>
        </is>
      </c>
      <c r="C32" s="6" t="inlineStr">
        <is>
          <t>Electrical System Inspection Register</t>
        </is>
      </c>
      <c r="D32" s="6" t="inlineStr">
        <is>
          <t>Periodic inspection of all electrical systems</t>
        </is>
      </c>
      <c r="E32" s="7" t="inlineStr">
        <is>
          <t>Monthly / Quarterly</t>
        </is>
      </c>
    </row>
    <row r="33" ht="20" customHeight="1">
      <c r="B33" s="8" t="inlineStr">
        <is>
          <t>ELE-02</t>
        </is>
      </c>
      <c r="C33" s="9" t="inlineStr">
        <is>
          <t>Lighting Maintenance Register</t>
        </is>
      </c>
      <c r="D33" s="9" t="inlineStr">
        <is>
          <t>Track light fixtures, bulb/tube replacements</t>
        </is>
      </c>
      <c r="E33" s="10" t="inlineStr">
        <is>
          <t>Monthly</t>
        </is>
      </c>
    </row>
    <row r="34" ht="20" customHeight="1">
      <c r="B34" s="5" t="inlineStr">
        <is>
          <t>ELE-03</t>
        </is>
      </c>
      <c r="C34" s="6" t="inlineStr">
        <is>
          <t>Power Distribution &amp; Switchgear Register</t>
        </is>
      </c>
      <c r="D34" s="6" t="inlineStr">
        <is>
          <t>Track panel boards, MCBs, distribution boxes</t>
        </is>
      </c>
      <c r="E34" s="7" t="inlineStr">
        <is>
          <t>Quarterly</t>
        </is>
      </c>
    </row>
    <row r="35" ht="20" customHeight="1">
      <c r="B35" s="8" t="inlineStr">
        <is>
          <t>ELE-04</t>
        </is>
      </c>
      <c r="C35" s="9" t="inlineStr">
        <is>
          <t>DG Set Maintenance &amp; Fuel Log</t>
        </is>
      </c>
      <c r="D35" s="9" t="inlineStr">
        <is>
          <t>Track diesel generator maintenance and fuel consumption</t>
        </is>
      </c>
      <c r="E35" s="10" t="inlineStr">
        <is>
          <t>Daily / Monthly</t>
        </is>
      </c>
    </row>
    <row r="36" ht="20" customHeight="1">
      <c r="B36" s="5" t="inlineStr">
        <is>
          <t>ELE-05</t>
        </is>
      </c>
      <c r="C36" s="6" t="inlineStr">
        <is>
          <t>UPS &amp; Battery Maintenance Register</t>
        </is>
      </c>
      <c r="D36" s="6" t="inlineStr">
        <is>
          <t>Track UPS systems, batteries and inverters</t>
        </is>
      </c>
      <c r="E36" s="7" t="inlineStr">
        <is>
          <t>Monthly</t>
        </is>
      </c>
    </row>
    <row r="37" ht="20" customHeight="1">
      <c r="B37" s="8" t="inlineStr">
        <is>
          <t>ELE-06</t>
        </is>
      </c>
      <c r="C37" s="9" t="inlineStr">
        <is>
          <t>Electrical Fault &amp; Breakdown Register</t>
        </is>
      </c>
      <c r="D37" s="9" t="inlineStr">
        <is>
          <t>Log electrical faults, tripping and outage incidents</t>
        </is>
      </c>
      <c r="E37" s="10" t="inlineStr">
        <is>
          <t>Per Fault</t>
        </is>
      </c>
    </row>
    <row r="38" ht="20" customHeight="1">
      <c r="B38" s="5" t="inlineStr">
        <is>
          <t>ELE-07</t>
        </is>
      </c>
      <c r="C38" s="6" t="inlineStr">
        <is>
          <t>Earthing &amp; Lightning Protection Register</t>
        </is>
      </c>
      <c r="D38" s="6" t="inlineStr">
        <is>
          <t>Annual testing of earthing systems and lightning arrestors</t>
        </is>
      </c>
      <c r="E38" s="7" t="inlineStr">
        <is>
          <t>Annual</t>
        </is>
      </c>
    </row>
    <row r="39" ht="20" customHeight="1">
      <c r="B39" s="4" t="inlineStr">
        <is>
          <t>── PLUMBING &amp; WATER SUPPLY ──</t>
        </is>
      </c>
    </row>
    <row r="40" ht="20" customHeight="1">
      <c r="B40" s="5" t="inlineStr">
        <is>
          <t>PLB-01</t>
        </is>
      </c>
      <c r="C40" s="6" t="inlineStr">
        <is>
          <t>Water Supply &amp; Overhead Tank Register</t>
        </is>
      </c>
      <c r="D40" s="6" t="inlineStr">
        <is>
          <t>Track water supply, OHT levels and daily consumption</t>
        </is>
      </c>
      <c r="E40" s="7" t="inlineStr">
        <is>
          <t>Daily / Monthly</t>
        </is>
      </c>
    </row>
    <row r="41" ht="20" customHeight="1">
      <c r="B41" s="8" t="inlineStr">
        <is>
          <t>PLB-02</t>
        </is>
      </c>
      <c r="C41" s="9" t="inlineStr">
        <is>
          <t>Pump Maintenance Register</t>
        </is>
      </c>
      <c r="D41" s="9" t="inlineStr">
        <is>
          <t>Track motor pumps, submersibles and borewell maintenance</t>
        </is>
      </c>
      <c r="E41" s="10" t="inlineStr">
        <is>
          <t>Monthly</t>
        </is>
      </c>
    </row>
    <row r="42" ht="20" customHeight="1">
      <c r="B42" s="5" t="inlineStr">
        <is>
          <t>PLB-03</t>
        </is>
      </c>
      <c r="C42" s="6" t="inlineStr">
        <is>
          <t>Pipeline &amp; Valve Maintenance Register</t>
        </is>
      </c>
      <c r="D42" s="6" t="inlineStr">
        <is>
          <t>Track pipeline leaks, valve replacements</t>
        </is>
      </c>
      <c r="E42" s="7" t="inlineStr">
        <is>
          <t>Per Incident</t>
        </is>
      </c>
    </row>
    <row r="43" ht="20" customHeight="1">
      <c r="B43" s="8" t="inlineStr">
        <is>
          <t>PLB-04</t>
        </is>
      </c>
      <c r="C43" s="9" t="inlineStr">
        <is>
          <t>Sump / Underground Tank Cleaning Register</t>
        </is>
      </c>
      <c r="D43" s="9" t="inlineStr">
        <is>
          <t>Schedule and track sump and UGT cleaning</t>
        </is>
      </c>
      <c r="E43" s="10" t="inlineStr">
        <is>
          <t>Quarterly</t>
        </is>
      </c>
    </row>
    <row r="44" ht="20" customHeight="1">
      <c r="B44" s="4" t="inlineStr">
        <is>
          <t>── HVAC &amp; MECHANICAL ──</t>
        </is>
      </c>
    </row>
    <row r="45" ht="20" customHeight="1">
      <c r="B45" s="8" t="inlineStr">
        <is>
          <t>HVC-01</t>
        </is>
      </c>
      <c r="C45" s="9" t="inlineStr">
        <is>
          <t>Air Conditioning System Register</t>
        </is>
      </c>
      <c r="D45" s="9" t="inlineStr">
        <is>
          <t>Register all AC units on campus</t>
        </is>
      </c>
      <c r="E45" s="10" t="inlineStr">
        <is>
          <t>Annual</t>
        </is>
      </c>
    </row>
    <row r="46" ht="20" customHeight="1">
      <c r="B46" s="5" t="inlineStr">
        <is>
          <t>HVC-02</t>
        </is>
      </c>
      <c r="C46" s="6" t="inlineStr">
        <is>
          <t>AC Maintenance &amp; Service Log</t>
        </is>
      </c>
      <c r="D46" s="6" t="inlineStr">
        <is>
          <t>Track AC servicing, gas refilling, filter cleaning</t>
        </is>
      </c>
      <c r="E46" s="7" t="inlineStr">
        <is>
          <t>Monthly</t>
        </is>
      </c>
    </row>
    <row r="47" ht="20" customHeight="1">
      <c r="B47" s="8" t="inlineStr">
        <is>
          <t>HVC-03</t>
        </is>
      </c>
      <c r="C47" s="9" t="inlineStr">
        <is>
          <t>Fans, Exhaust &amp; Ventilation Register</t>
        </is>
      </c>
      <c r="D47" s="9" t="inlineStr">
        <is>
          <t>Track ceiling fans, exhaust fans and ventilation systems</t>
        </is>
      </c>
      <c r="E47" s="10" t="inlineStr">
        <is>
          <t>Monthly</t>
        </is>
      </c>
    </row>
    <row r="48" ht="20" customHeight="1">
      <c r="B48" s="5" t="inlineStr">
        <is>
          <t>HVC-04</t>
        </is>
      </c>
      <c r="C48" s="6" t="inlineStr">
        <is>
          <t>Lift / Elevator Maintenance Register</t>
        </is>
      </c>
      <c r="D48" s="6" t="inlineStr">
        <is>
          <t>Track lift maintenance, safety inspections and AMC</t>
        </is>
      </c>
      <c r="E48" s="7" t="inlineStr">
        <is>
          <t>Monthly</t>
        </is>
      </c>
    </row>
    <row r="49" ht="20" customHeight="1">
      <c r="B49" s="4" t="inlineStr">
        <is>
          <t>── FIRE SAFETY &amp; SECURITY SYSTEMS ──</t>
        </is>
      </c>
    </row>
    <row r="50" ht="20" customHeight="1">
      <c r="B50" s="5" t="inlineStr">
        <is>
          <t>FSS-01</t>
        </is>
      </c>
      <c r="C50" s="6" t="inlineStr">
        <is>
          <t>Fire Extinguisher Register</t>
        </is>
      </c>
      <c r="D50" s="6" t="inlineStr">
        <is>
          <t>Inventory, inspection and refilling of fire extinguishers</t>
        </is>
      </c>
      <c r="E50" s="7" t="inlineStr">
        <is>
          <t>Monthly</t>
        </is>
      </c>
    </row>
    <row r="51" ht="20" customHeight="1">
      <c r="B51" s="8" t="inlineStr">
        <is>
          <t>FSS-02</t>
        </is>
      </c>
      <c r="C51" s="9" t="inlineStr">
        <is>
          <t>Fire Alarm &amp; Detection System Register</t>
        </is>
      </c>
      <c r="D51" s="9" t="inlineStr">
        <is>
          <t>Track fire alarm panels, detectors and call points</t>
        </is>
      </c>
      <c r="E51" s="10" t="inlineStr">
        <is>
          <t>Monthly</t>
        </is>
      </c>
    </row>
    <row r="52" ht="20" customHeight="1">
      <c r="B52" s="5" t="inlineStr">
        <is>
          <t>FSS-03</t>
        </is>
      </c>
      <c r="C52" s="6" t="inlineStr">
        <is>
          <t>Fire Hydrant &amp; Sprinkler Register</t>
        </is>
      </c>
      <c r="D52" s="6" t="inlineStr">
        <is>
          <t>Track hydrants, sprinkler systems and water mains</t>
        </is>
      </c>
      <c r="E52" s="7" t="inlineStr">
        <is>
          <t>Quarterly</t>
        </is>
      </c>
    </row>
    <row r="53" ht="20" customHeight="1">
      <c r="B53" s="8" t="inlineStr">
        <is>
          <t>FSS-04</t>
        </is>
      </c>
      <c r="C53" s="9" t="inlineStr">
        <is>
          <t>CCTV &amp; Security System Register</t>
        </is>
      </c>
      <c r="D53" s="9" t="inlineStr">
        <is>
          <t>Track CCTV cameras, DVRs and access control systems</t>
        </is>
      </c>
      <c r="E53" s="10" t="inlineStr">
        <is>
          <t>Monthly</t>
        </is>
      </c>
    </row>
    <row r="54" ht="20" customHeight="1">
      <c r="B54" s="5" t="inlineStr">
        <is>
          <t>FSS-05</t>
        </is>
      </c>
      <c r="C54" s="6" t="inlineStr">
        <is>
          <t>Fire Safety Mock Drill Register</t>
        </is>
      </c>
      <c r="D54" s="6" t="inlineStr">
        <is>
          <t>Document fire drills, evacuation and response times</t>
        </is>
      </c>
      <c r="E54" s="7" t="inlineStr">
        <is>
          <t>Bi-annual</t>
        </is>
      </c>
    </row>
    <row r="55" ht="20" customHeight="1">
      <c r="B55" s="4" t="inlineStr">
        <is>
          <t>── HORTICULTURE &amp; CAMPUS GROUNDS ──</t>
        </is>
      </c>
    </row>
    <row r="56" ht="20" customHeight="1">
      <c r="B56" s="5" t="inlineStr">
        <is>
          <t>HRT-01</t>
        </is>
      </c>
      <c r="C56" s="6" t="inlineStr">
        <is>
          <t>Campus Tree &amp; Greenery Register</t>
        </is>
      </c>
      <c r="D56" s="6" t="inlineStr">
        <is>
          <t>Inventory of trees, plants and landscaping features</t>
        </is>
      </c>
      <c r="E56" s="7" t="inlineStr">
        <is>
          <t>Annual</t>
        </is>
      </c>
    </row>
    <row r="57" ht="20" customHeight="1">
      <c r="B57" s="8" t="inlineStr">
        <is>
          <t>HRT-02</t>
        </is>
      </c>
      <c r="C57" s="9" t="inlineStr">
        <is>
          <t>Garden &amp; Lawn Maintenance Register</t>
        </is>
      </c>
      <c r="D57" s="9" t="inlineStr">
        <is>
          <t>Track mowing, trimming, watering and fertilisation</t>
        </is>
      </c>
      <c r="E57" s="10" t="inlineStr">
        <is>
          <t>Weekly / Monthly</t>
        </is>
      </c>
    </row>
    <row r="58" ht="20" customHeight="1">
      <c r="B58" s="5" t="inlineStr">
        <is>
          <t>HRT-03</t>
        </is>
      </c>
      <c r="C58" s="6" t="inlineStr">
        <is>
          <t>Tree Pruning &amp; Removal Register</t>
        </is>
      </c>
      <c r="D58" s="6" t="inlineStr">
        <is>
          <t>Track tree pruning, risk assessment and removal</t>
        </is>
      </c>
      <c r="E58" s="7" t="inlineStr">
        <is>
          <t>As required</t>
        </is>
      </c>
    </row>
    <row r="59" ht="20" customHeight="1">
      <c r="B59" s="4" t="inlineStr">
        <is>
          <t>── VEHICLES &amp; EQUIPMENT (NON-TRANSPORT) ──</t>
        </is>
      </c>
    </row>
    <row r="60" ht="20" customHeight="1">
      <c r="B60" s="5" t="inlineStr">
        <is>
          <t>VEH-01</t>
        </is>
      </c>
      <c r="C60" s="6" t="inlineStr">
        <is>
          <t>Campus Service Vehicle Register</t>
        </is>
      </c>
      <c r="D60" s="6" t="inlineStr">
        <is>
          <t>Register service/maintenance vehicles and equipment</t>
        </is>
      </c>
      <c r="E60" s="7" t="inlineStr">
        <is>
          <t>Annual</t>
        </is>
      </c>
    </row>
    <row r="61" ht="20" customHeight="1">
      <c r="B61" s="8" t="inlineStr">
        <is>
          <t>VEH-02</t>
        </is>
      </c>
      <c r="C61" s="9" t="inlineStr">
        <is>
          <t>Maintenance Equipment Register</t>
        </is>
      </c>
      <c r="D61" s="9" t="inlineStr">
        <is>
          <t>Register tools, machinery and maintenance equipment</t>
        </is>
      </c>
      <c r="E61" s="10" t="inlineStr">
        <is>
          <t>Annual</t>
        </is>
      </c>
    </row>
    <row r="62" ht="20" customHeight="1">
      <c r="B62" s="4" t="inlineStr">
        <is>
          <t>── CONTRACTORS &amp; VENDORS ──</t>
        </is>
      </c>
    </row>
    <row r="63" ht="20" customHeight="1">
      <c r="B63" s="8" t="inlineStr">
        <is>
          <t>CNT-01</t>
        </is>
      </c>
      <c r="C63" s="9" t="inlineStr">
        <is>
          <t>Maintenance Contractor / Vendor Register</t>
        </is>
      </c>
      <c r="D63" s="9" t="inlineStr">
        <is>
          <t>Register approved contractors for maintenance work</t>
        </is>
      </c>
      <c r="E63" s="10" t="inlineStr">
        <is>
          <t>Annual</t>
        </is>
      </c>
    </row>
    <row r="64" ht="20" customHeight="1">
      <c r="B64" s="5" t="inlineStr">
        <is>
          <t>CNT-02</t>
        </is>
      </c>
      <c r="C64" s="6" t="inlineStr">
        <is>
          <t>AMC (Annual Maintenance Contract) Register</t>
        </is>
      </c>
      <c r="D64" s="6" t="inlineStr">
        <is>
          <t>Track all AMC agreements and renewal dates</t>
        </is>
      </c>
      <c r="E64" s="7" t="inlineStr">
        <is>
          <t>Annual</t>
        </is>
      </c>
    </row>
    <row r="65" ht="20" customHeight="1">
      <c r="B65" s="4" t="inlineStr">
        <is>
          <t>── BUDGET &amp; FINANCE ──</t>
        </is>
      </c>
    </row>
    <row r="66" ht="20" customHeight="1">
      <c r="B66" s="5" t="inlineStr">
        <is>
          <t>FIN-01</t>
        </is>
      </c>
      <c r="C66" s="6" t="inlineStr">
        <is>
          <t>Maintenance Work Cost Register</t>
        </is>
      </c>
      <c r="D66" s="6" t="inlineStr">
        <is>
          <t>Track cost of each maintenance job</t>
        </is>
      </c>
      <c r="E66" s="7" t="inlineStr">
        <is>
          <t>Per Job</t>
        </is>
      </c>
    </row>
    <row r="67" ht="20" customHeight="1">
      <c r="B67" s="8" t="inlineStr">
        <is>
          <t>FIN-02</t>
        </is>
      </c>
      <c r="C67" s="9" t="inlineStr">
        <is>
          <t>Monthly Maintenance Expenditure Register</t>
        </is>
      </c>
      <c r="D67" s="9" t="inlineStr">
        <is>
          <t>Monthly summary of all maintenance expenditure</t>
        </is>
      </c>
      <c r="E67" s="10" t="inlineStr">
        <is>
          <t>Monthly</t>
        </is>
      </c>
    </row>
    <row r="68" ht="20" customHeight="1">
      <c r="B68" s="5" t="inlineStr">
        <is>
          <t>FIN-03</t>
        </is>
      </c>
      <c r="C68" s="6" t="inlineStr">
        <is>
          <t>Capital Repair &amp; Replacement Register</t>
        </is>
      </c>
      <c r="D68" s="6" t="inlineStr">
        <is>
          <t>Track major capital repairs and replacements</t>
        </is>
      </c>
      <c r="E68" s="7" t="inlineStr">
        <is>
          <t>Per Project</t>
        </is>
      </c>
    </row>
    <row r="69" ht="20" customHeight="1">
      <c r="B69" s="4" t="inlineStr">
        <is>
          <t>── SAFETY &amp; COMPLIANCE ──</t>
        </is>
      </c>
    </row>
    <row r="70" ht="20" customHeight="1">
      <c r="B70" s="5" t="inlineStr">
        <is>
          <t>SFY-01</t>
        </is>
      </c>
      <c r="C70" s="6" t="inlineStr">
        <is>
          <t>Workplace Safety Inspection Register</t>
        </is>
      </c>
      <c r="D70" s="6" t="inlineStr">
        <is>
          <t>Monthly safety inspection of all work areas</t>
        </is>
      </c>
      <c r="E70" s="7" t="inlineStr">
        <is>
          <t>Monthly</t>
        </is>
      </c>
    </row>
    <row r="71" ht="20" customHeight="1">
      <c r="B71" s="8" t="inlineStr">
        <is>
          <t>SFY-02</t>
        </is>
      </c>
      <c r="C71" s="9" t="inlineStr">
        <is>
          <t>Accident / Near-Miss Register</t>
        </is>
      </c>
      <c r="D71" s="9" t="inlineStr">
        <is>
          <t>Log maintenance-related accidents and near-misses</t>
        </is>
      </c>
      <c r="E71" s="10" t="inlineStr">
        <is>
          <t>Per Incident</t>
        </is>
      </c>
    </row>
    <row r="72" ht="20" customHeight="1">
      <c r="B72" s="5" t="inlineStr">
        <is>
          <t>SFY-03</t>
        </is>
      </c>
      <c r="C72" s="6" t="inlineStr">
        <is>
          <t>Statutory Compliance Register</t>
        </is>
      </c>
      <c r="D72" s="6" t="inlineStr">
        <is>
          <t>Track statutory inspections — lifts, pressure vessels etc.</t>
        </is>
      </c>
      <c r="E72" s="7" t="inlineStr">
        <is>
          <t>As per statute</t>
        </is>
      </c>
    </row>
    <row r="73" ht="20" customHeight="1">
      <c r="B73" s="4" t="inlineStr">
        <is>
          <t>── MONITORING &amp; REPORTING ──</t>
        </is>
      </c>
    </row>
    <row r="74" ht="20" customHeight="1">
      <c r="B74" s="5" t="inlineStr">
        <is>
          <t>GMC-30</t>
        </is>
      </c>
      <c r="C74" s="6" t="inlineStr">
        <is>
          <t>GMC KPI Dashboard</t>
        </is>
      </c>
      <c r="D74" s="6" t="inlineStr">
        <is>
          <t>Track all maintenance KPIs — response, cost, quality</t>
        </is>
      </c>
      <c r="E74" s="7" t="inlineStr">
        <is>
          <t>Monthly / Quarterly</t>
        </is>
      </c>
    </row>
    <row r="75" ht="20" customHeight="1">
      <c r="B75" s="8" t="inlineStr">
        <is>
          <t>GMC-31</t>
        </is>
      </c>
      <c r="C75" s="9" t="inlineStr">
        <is>
          <t>GMC Annual Report Compilation Form</t>
        </is>
      </c>
      <c r="D75" s="9" t="inlineStr">
        <is>
          <t>Year-end report for management, NAAC, Finance</t>
        </is>
      </c>
      <c r="E75" s="10" t="inlineStr">
        <is>
          <t>Annual</t>
        </is>
      </c>
    </row>
    <row r="154">
      <c r="B154" s="11" t="inlineStr">
        <is>
          <t>• GMC = General Maintenance Committee — responsible for all civil, electrical, plumbing, HVAC, fire, grounds &amp; equipment maintenance.</t>
        </is>
      </c>
    </row>
    <row r="155">
      <c r="B155" s="11" t="inlineStr">
        <is>
          <t>• Priority levels: P1 (Emergency — 4 hrs), P2 (Urgent — 24 hrs), P3 (Routine — 7 days), P4 (Planned — next schedule).</t>
        </is>
      </c>
    </row>
    <row r="156">
      <c r="B156" s="11" t="inlineStr">
        <is>
          <t>• Preventive maintenance is mandatory — reactive-only maintenance leads to higher costs and failures.</t>
        </is>
      </c>
    </row>
    <row r="157">
      <c r="B157" s="11" t="inlineStr">
        <is>
          <t>• Fire extinguishers must be inspected monthly and refilled annually or after use — statutory requirement.</t>
        </is>
      </c>
    </row>
    <row r="158">
      <c r="B158" s="11" t="inlineStr">
        <is>
          <t>• Lifts/elevators: Annual inspection by government-approved inspector is legally mandatory. No AMC = no operation.</t>
        </is>
      </c>
    </row>
    <row r="159">
      <c r="B159" s="11" t="inlineStr">
        <is>
          <t>• Earthing resistance test must be done annually — values must be ≤ 1 ohm for equipment, ≤ 5 ohm for buildings.</t>
        </is>
      </c>
    </row>
    <row r="160">
      <c r="B160" s="11" t="inlineStr">
        <is>
          <t>• DG Set: Weekly test run (15 min minimum) mandatory; fuel level checked daily; AMC must be current.</t>
        </is>
      </c>
    </row>
    <row r="161">
      <c r="B161" s="11" t="inlineStr">
        <is>
          <t>• GMC data feeds into: NAAC AQAR Criterion IV (Infrastructure), NIRF, NBA, statutory compliance records.</t>
        </is>
      </c>
    </row>
    <row r="162">
      <c r="B162" s="11" t="inlineStr">
        <is>
          <t>• All maintenance work above ₹10,000 requires three quotations and PSC / Finance Committee approval.</t>
        </is>
      </c>
    </row>
    <row r="163">
      <c r="B163" s="11" t="inlineStr">
        <is>
          <t>• Annual building condition assessment feeds the capital expenditure planning cycle for the next 3–5 years.</t>
        </is>
      </c>
    </row>
  </sheetData>
  <mergeCells count="26">
    <mergeCell ref="B49:E49"/>
    <mergeCell ref="B65:E65"/>
    <mergeCell ref="B158:E158"/>
    <mergeCell ref="B15:E15"/>
    <mergeCell ref="B55:E55"/>
    <mergeCell ref="B5:E5"/>
    <mergeCell ref="B160:E160"/>
    <mergeCell ref="B163:E163"/>
    <mergeCell ref="B154:E154"/>
    <mergeCell ref="B62:E62"/>
    <mergeCell ref="B3:E3"/>
    <mergeCell ref="B59:E59"/>
    <mergeCell ref="B156:E156"/>
    <mergeCell ref="B159:E159"/>
    <mergeCell ref="B155:E155"/>
    <mergeCell ref="B31:E31"/>
    <mergeCell ref="B21:E21"/>
    <mergeCell ref="B161:E161"/>
    <mergeCell ref="B39:E39"/>
    <mergeCell ref="B11:E11"/>
    <mergeCell ref="B2:E2"/>
    <mergeCell ref="B73:E73"/>
    <mergeCell ref="B157:E157"/>
    <mergeCell ref="B69:E69"/>
    <mergeCell ref="B44:E44"/>
    <mergeCell ref="B162:E16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6" customWidth="1" min="3" max="3"/>
    <col width="24" customWidth="1" min="4" max="4"/>
    <col width="20" customWidth="1" min="5" max="5"/>
    <col width="14" customWidth="1" min="6" max="6"/>
    <col width="14" customWidth="1" min="7" max="7"/>
    <col width="16" customWidth="1" min="8" max="8"/>
    <col width="14" customWidth="1" min="9" max="9"/>
    <col width="3" customWidth="1" min="10" max="10"/>
  </cols>
  <sheetData>
    <row r="1" ht="10" customHeight="1"/>
    <row r="2" ht="52" customHeight="1">
      <c r="B2" s="12" t="inlineStr">
        <is>
          <t>GMC-00: GENERAL MAINTENANCE COMMITTEE — COMPOSITION REGISTER</t>
        </is>
      </c>
    </row>
    <row r="3" ht="25" customHeight="1">
      <c r="B3" s="2" t="inlineStr">
        <is>
          <t>Institution: _________________________  A.Y.: _______  Constituted on: _______  Order No.: _______</t>
        </is>
      </c>
    </row>
    <row r="4" ht="25" customHeight="1">
      <c r="B4" s="13" t="inlineStr">
        <is>
          <t>Sl.</t>
        </is>
      </c>
      <c r="C4" s="13" t="inlineStr">
        <is>
          <t>Name</t>
        </is>
      </c>
      <c r="D4" s="13" t="inlineStr">
        <is>
          <t>Designation</t>
        </is>
      </c>
      <c r="E4" s="13" t="inlineStr">
        <is>
          <t>Role in GMC</t>
        </is>
      </c>
      <c r="F4" s="13" t="inlineStr">
        <is>
          <t>Domain</t>
        </is>
      </c>
      <c r="G4" s="13" t="inlineStr">
        <is>
          <t>Email / Phone</t>
        </is>
      </c>
      <c r="H4" s="13" t="inlineStr">
        <is>
          <t>Term</t>
        </is>
      </c>
      <c r="I4" s="13" t="inlineStr">
        <is>
          <t>Signature</t>
        </is>
      </c>
    </row>
    <row r="5" ht="22" customHeight="1">
      <c r="B5" s="14" t="n">
        <v>1</v>
      </c>
      <c r="C5" s="15" t="inlineStr"/>
      <c r="D5" s="15" t="inlineStr">
        <is>
          <t>Principal / Director</t>
        </is>
      </c>
      <c r="E5" s="14" t="inlineStr">
        <is>
          <t>Chairperson</t>
        </is>
      </c>
      <c r="F5" s="16" t="inlineStr">
        <is>
          <t>GMC Leadership &amp; Approval</t>
        </is>
      </c>
      <c r="G5" s="15" t="inlineStr"/>
      <c r="H5" s="16" t="inlineStr"/>
      <c r="I5" s="16" t="inlineStr"/>
    </row>
    <row r="6" ht="22" customHeight="1">
      <c r="B6" s="8" t="n">
        <v>2</v>
      </c>
      <c r="C6" s="9" t="inlineStr"/>
      <c r="D6" s="9" t="inlineStr">
        <is>
          <t>Estate Officer / Administrative Officer</t>
        </is>
      </c>
      <c r="E6" s="8" t="inlineStr">
        <is>
          <t>GMC Coordinator</t>
        </is>
      </c>
      <c r="F6" s="10" t="inlineStr">
        <is>
          <t>Overall Maintenance Coordination</t>
        </is>
      </c>
      <c r="G6" s="9" t="inlineStr"/>
      <c r="H6" s="10" t="inlineStr"/>
      <c r="I6" s="10" t="inlineStr"/>
    </row>
    <row r="7" ht="22" customHeight="1">
      <c r="B7" s="14" t="n">
        <v>3</v>
      </c>
      <c r="C7" s="15" t="inlineStr"/>
      <c r="D7" s="15" t="inlineStr">
        <is>
          <t>Civil Engineer / Structural Engineer</t>
        </is>
      </c>
      <c r="E7" s="14" t="inlineStr">
        <is>
          <t>Civil Engineer</t>
        </is>
      </c>
      <c r="F7" s="16" t="inlineStr">
        <is>
          <t>Civil &amp; Structural Maintenance</t>
        </is>
      </c>
      <c r="G7" s="15" t="inlineStr"/>
      <c r="H7" s="16" t="inlineStr"/>
      <c r="I7" s="16" t="inlineStr"/>
    </row>
    <row r="8" ht="22" customHeight="1">
      <c r="B8" s="8" t="n">
        <v>4</v>
      </c>
      <c r="C8" s="9" t="inlineStr"/>
      <c r="D8" s="9" t="inlineStr">
        <is>
          <t>Electrical Engineer / Maintenance In-charge</t>
        </is>
      </c>
      <c r="E8" s="8" t="inlineStr">
        <is>
          <t>Electrical Engineer</t>
        </is>
      </c>
      <c r="F8" s="10" t="inlineStr">
        <is>
          <t>Electrical Systems &amp; Safety</t>
        </is>
      </c>
      <c r="G8" s="9" t="inlineStr"/>
      <c r="H8" s="10" t="inlineStr"/>
      <c r="I8" s="10" t="inlineStr"/>
    </row>
    <row r="9" ht="22" customHeight="1">
      <c r="B9" s="14" t="n">
        <v>5</v>
      </c>
      <c r="C9" s="15" t="inlineStr"/>
      <c r="D9" s="15" t="inlineStr">
        <is>
          <t>Mechanical Engineer / HVAC Specialist</t>
        </is>
      </c>
      <c r="E9" s="14" t="inlineStr">
        <is>
          <t>Mechanical Engineer</t>
        </is>
      </c>
      <c r="F9" s="16" t="inlineStr">
        <is>
          <t>HVAC, Pumps &amp; Mechanical Systems</t>
        </is>
      </c>
      <c r="G9" s="15" t="inlineStr"/>
      <c r="H9" s="16" t="inlineStr"/>
      <c r="I9" s="16" t="inlineStr"/>
    </row>
    <row r="10" ht="22" customHeight="1">
      <c r="B10" s="8" t="n">
        <v>6</v>
      </c>
      <c r="C10" s="9" t="inlineStr"/>
      <c r="D10" s="9" t="inlineStr">
        <is>
          <t>Plumbing Supervisor / Water Works</t>
        </is>
      </c>
      <c r="E10" s="8" t="inlineStr">
        <is>
          <t>Plumbing Supervisor</t>
        </is>
      </c>
      <c r="F10" s="10" t="inlineStr">
        <is>
          <t>Plumbing &amp; Water Supply</t>
        </is>
      </c>
      <c r="G10" s="9" t="inlineStr"/>
      <c r="H10" s="10" t="inlineStr"/>
      <c r="I10" s="10" t="inlineStr"/>
    </row>
    <row r="11" ht="22" customHeight="1">
      <c r="B11" s="14" t="n">
        <v>7</v>
      </c>
      <c r="C11" s="15" t="inlineStr"/>
      <c r="D11" s="15" t="inlineStr">
        <is>
          <t>Fire Safety Officer / Security Head</t>
        </is>
      </c>
      <c r="E11" s="14" t="inlineStr">
        <is>
          <t>Fire Safety Officer</t>
        </is>
      </c>
      <c r="F11" s="16" t="inlineStr">
        <is>
          <t>Fire Safety &amp; Security Systems</t>
        </is>
      </c>
      <c r="G11" s="15" t="inlineStr"/>
      <c r="H11" s="16" t="inlineStr"/>
      <c r="I11" s="16" t="inlineStr"/>
    </row>
    <row r="12" ht="22" customHeight="1">
      <c r="B12" s="8" t="n">
        <v>8</v>
      </c>
      <c r="C12" s="9" t="inlineStr"/>
      <c r="D12" s="9" t="inlineStr">
        <is>
          <t>Horticulturist / Ground Keeper</t>
        </is>
      </c>
      <c r="E12" s="8" t="inlineStr">
        <is>
          <t>Horticulture In-charge</t>
        </is>
      </c>
      <c r="F12" s="10" t="inlineStr">
        <is>
          <t>Grounds, Gardens &amp; Landscaping</t>
        </is>
      </c>
      <c r="G12" s="9" t="inlineStr"/>
      <c r="H12" s="10" t="inlineStr"/>
      <c r="I12" s="10" t="inlineStr"/>
    </row>
    <row r="13" ht="22" customHeight="1">
      <c r="B13" s="14" t="n">
        <v>9</v>
      </c>
      <c r="C13" s="15" t="inlineStr"/>
      <c r="D13" s="15" t="inlineStr">
        <is>
          <t>IT In-charge / Network Engineer</t>
        </is>
      </c>
      <c r="E13" s="14" t="inlineStr">
        <is>
          <t>IT Infrastructure Rep</t>
        </is>
      </c>
      <c r="F13" s="16" t="inlineStr">
        <is>
          <t>Server Rooms &amp; IT Infrastructure</t>
        </is>
      </c>
      <c r="G13" s="15" t="inlineStr"/>
      <c r="H13" s="16" t="inlineStr"/>
      <c r="I13" s="16" t="inlineStr"/>
    </row>
    <row r="14" ht="22" customHeight="1">
      <c r="B14" s="8" t="n">
        <v>10</v>
      </c>
      <c r="C14" s="9" t="inlineStr"/>
      <c r="D14" s="9" t="inlineStr">
        <is>
          <t>Senior Faculty (Elected)</t>
        </is>
      </c>
      <c r="E14" s="8" t="inlineStr">
        <is>
          <t>Faculty Rep – 1</t>
        </is>
      </c>
      <c r="F14" s="10" t="inlineStr">
        <is>
          <t>User Department Representative</t>
        </is>
      </c>
      <c r="G14" s="9" t="inlineStr"/>
      <c r="H14" s="10" t="inlineStr"/>
      <c r="I14" s="10" t="inlineStr"/>
    </row>
    <row r="15" ht="22" customHeight="1">
      <c r="B15" s="14" t="n">
        <v>11</v>
      </c>
      <c r="C15" s="15" t="inlineStr"/>
      <c r="D15" s="15" t="inlineStr">
        <is>
          <t>Senior Faculty (Elected)</t>
        </is>
      </c>
      <c r="E15" s="14" t="inlineStr">
        <is>
          <t>Faculty Rep – 2</t>
        </is>
      </c>
      <c r="F15" s="16" t="inlineStr">
        <is>
          <t>User Department Representative</t>
        </is>
      </c>
      <c r="G15" s="15" t="inlineStr"/>
      <c r="H15" s="16" t="inlineStr"/>
      <c r="I15" s="16" t="inlineStr"/>
    </row>
    <row r="16" ht="22" customHeight="1">
      <c r="B16" s="8" t="n">
        <v>12</v>
      </c>
      <c r="C16" s="9" t="inlineStr"/>
      <c r="D16" s="9" t="inlineStr">
        <is>
          <t>Finance Officer</t>
        </is>
      </c>
      <c r="E16" s="8" t="inlineStr">
        <is>
          <t>Finance Officer (Ex-off.)</t>
        </is>
      </c>
      <c r="F16" s="10" t="inlineStr">
        <is>
          <t>Budget &amp; Payment Approval</t>
        </is>
      </c>
      <c r="G16" s="9" t="inlineStr"/>
      <c r="H16" s="10" t="inlineStr"/>
      <c r="I16" s="10" t="inlineStr"/>
    </row>
    <row r="17" ht="22" customHeight="1">
      <c r="B17" s="14" t="n">
        <v>13</v>
      </c>
      <c r="C17" s="15" t="inlineStr"/>
      <c r="D17" s="15" t="inlineStr">
        <is>
          <t>Purchase &amp; Stores Coordinator</t>
        </is>
      </c>
      <c r="E17" s="14" t="inlineStr">
        <is>
          <t>PSC Rep (Ex-off.)</t>
        </is>
      </c>
      <c r="F17" s="16" t="inlineStr">
        <is>
          <t>Materials &amp; Contracts</t>
        </is>
      </c>
      <c r="G17" s="15" t="inlineStr"/>
      <c r="H17" s="16" t="inlineStr"/>
      <c r="I17" s="16" t="inlineStr"/>
    </row>
    <row r="18" ht="22" customHeight="1">
      <c r="B18" s="8" t="n">
        <v>14</v>
      </c>
      <c r="C18" s="9" t="inlineStr"/>
      <c r="D18" s="9" t="inlineStr">
        <is>
          <t>IQAC In-charge</t>
        </is>
      </c>
      <c r="E18" s="8" t="inlineStr">
        <is>
          <t>IQAC Coordinator (Ex-off.)</t>
        </is>
      </c>
      <c r="F18" s="10" t="inlineStr">
        <is>
          <t>Quality &amp; NAAC Compliance</t>
        </is>
      </c>
      <c r="G18" s="9" t="inlineStr"/>
      <c r="H18" s="10" t="inlineStr"/>
      <c r="I18" s="10" t="inlineStr"/>
    </row>
    <row r="19" ht="22" customHeight="1"/>
    <row r="20" ht="20" customHeight="1">
      <c r="B20" s="17" t="inlineStr">
        <is>
          <t>GMC meets monthly. Estate Officer is the operational head of day-to-day maintenance. All engineers are responsible for their domain's preventive maintenance schedule. Emergency calls go directly to the Estate Officer 24×7.</t>
        </is>
      </c>
    </row>
    <row r="21" ht="22" customHeight="1"/>
    <row r="22" ht="22" customHeight="1"/>
    <row r="23" ht="22" customHeight="1"/>
    <row r="24" ht="22" customHeight="1"/>
    <row r="25" ht="22" customHeight="1"/>
  </sheetData>
  <mergeCells count="3">
    <mergeCell ref="B3:I3"/>
    <mergeCell ref="B2:I2"/>
    <mergeCell ref="B20:I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44" customWidth="1" min="3" max="3"/>
    <col width="22" customWidth="1" min="4" max="4"/>
    <col width="18" customWidth="1" min="5" max="5"/>
    <col width="3" customWidth="1" min="6" max="6"/>
  </cols>
  <sheetData>
    <row r="1" ht="10" customHeight="1"/>
    <row r="2" ht="48" customHeight="1">
      <c r="B2" s="12" t="inlineStr">
        <is>
          <t>GENERAL MAINTENANCE COMMITTEE: MEETING NOTICE &amp; AGENDA</t>
        </is>
      </c>
    </row>
    <row r="3" ht="22" customHeight="1">
      <c r="B3" s="18" t="inlineStr">
        <is>
          <t>Meeting No.:</t>
        </is>
      </c>
      <c r="C3" s="9" t="n"/>
    </row>
    <row r="4" ht="22" customHeight="1">
      <c r="B4" s="18" t="inlineStr">
        <is>
          <t>Academic Year:</t>
        </is>
      </c>
      <c r="C4" s="9" t="n"/>
    </row>
    <row r="5" ht="22" customHeight="1">
      <c r="B5" s="18" t="inlineStr">
        <is>
          <t>Date:</t>
        </is>
      </c>
      <c r="C5" s="9" t="n"/>
    </row>
    <row r="6" ht="22" customHeight="1">
      <c r="B6" s="18" t="inlineStr">
        <is>
          <t>Time:</t>
        </is>
      </c>
      <c r="C6" s="9" t="n"/>
    </row>
    <row r="7" ht="22" customHeight="1">
      <c r="B7" s="18" t="inlineStr">
        <is>
          <t>Venue:</t>
        </is>
      </c>
      <c r="C7" s="9" t="n"/>
    </row>
    <row r="8" ht="22" customHeight="1">
      <c r="B8" s="18" t="inlineStr">
        <is>
          <t>Mode:</t>
        </is>
      </c>
      <c r="C8" s="9" t="n"/>
    </row>
    <row r="9" ht="22" customHeight="1">
      <c r="B9" s="18" t="inlineStr">
        <is>
          <t>Notice by:</t>
        </is>
      </c>
      <c r="C9" s="9" t="n"/>
    </row>
    <row r="10" ht="22" customHeight="1">
      <c r="B10" s="18" t="inlineStr">
        <is>
          <t>Notice Date:</t>
        </is>
      </c>
      <c r="C10" s="9" t="n"/>
    </row>
    <row r="11" ht="24" customHeight="1">
      <c r="B11" s="19" t="inlineStr">
        <is>
          <t>AGENDA ITEMS</t>
        </is>
      </c>
    </row>
    <row r="12" ht="24" customHeight="1">
      <c r="B12" s="20" t="inlineStr">
        <is>
          <t>Item
No.</t>
        </is>
      </c>
      <c r="C12" s="20" t="inlineStr">
        <is>
          <t>Agenda Item</t>
        </is>
      </c>
      <c r="D12" s="20" t="inlineStr">
        <is>
          <t>Lead</t>
        </is>
      </c>
      <c r="E12" s="20" t="inlineStr">
        <is>
          <t>Duration (Min)</t>
        </is>
      </c>
    </row>
    <row r="13" ht="24" customHeight="1">
      <c r="B13" s="14" t="n">
        <v>1</v>
      </c>
      <c r="C13" s="15" t="inlineStr">
        <is>
          <t>Confirmation of minutes of previous GMC meeting</t>
        </is>
      </c>
      <c r="D13" s="16" t="inlineStr"/>
      <c r="E13" s="16" t="inlineStr"/>
    </row>
    <row r="14" ht="24" customHeight="1">
      <c r="B14" s="8" t="n">
        <v>2</v>
      </c>
      <c r="C14" s="9" t="inlineStr">
        <is>
          <t>Action Taken Report on previous GMC resolutions</t>
        </is>
      </c>
      <c r="D14" s="10" t="inlineStr"/>
      <c r="E14" s="10" t="inlineStr"/>
    </row>
    <row r="15" ht="24" customHeight="1">
      <c r="B15" s="14" t="n">
        <v>3</v>
      </c>
      <c r="C15" s="15" t="inlineStr">
        <is>
          <t>Maintenance requests — pending and newly received</t>
        </is>
      </c>
      <c r="D15" s="16" t="inlineStr"/>
      <c r="E15" s="16" t="inlineStr"/>
    </row>
    <row r="16" ht="24" customHeight="1">
      <c r="B16" s="8" t="n">
        <v>4</v>
      </c>
      <c r="C16" s="9" t="inlineStr">
        <is>
          <t>Emergency repairs — status and costs</t>
        </is>
      </c>
      <c r="D16" s="10" t="inlineStr"/>
      <c r="E16" s="10" t="inlineStr"/>
    </row>
    <row r="17" ht="24" customHeight="1">
      <c r="B17" s="14" t="n">
        <v>5</v>
      </c>
      <c r="C17" s="15" t="inlineStr">
        <is>
          <t>Civil maintenance — building inspections, repairs</t>
        </is>
      </c>
      <c r="D17" s="16" t="inlineStr"/>
      <c r="E17" s="16" t="inlineStr"/>
    </row>
    <row r="18" ht="24" customHeight="1">
      <c r="B18" s="8" t="n">
        <v>6</v>
      </c>
      <c r="C18" s="9" t="inlineStr">
        <is>
          <t>Electrical maintenance — faults, inspections, replacements</t>
        </is>
      </c>
      <c r="D18" s="10" t="inlineStr"/>
      <c r="E18" s="10" t="inlineStr"/>
    </row>
    <row r="19" ht="24" customHeight="1">
      <c r="B19" s="14" t="n">
        <v>7</v>
      </c>
      <c r="C19" s="15" t="inlineStr">
        <is>
          <t>Plumbing &amp; water supply — status and issues</t>
        </is>
      </c>
      <c r="D19" s="16" t="inlineStr"/>
      <c r="E19" s="16" t="inlineStr"/>
    </row>
    <row r="20" ht="24" customHeight="1">
      <c r="B20" s="8" t="n">
        <v>8</v>
      </c>
      <c r="C20" s="9" t="inlineStr">
        <is>
          <t>HVAC &amp; AC — servicing status and complaints</t>
        </is>
      </c>
      <c r="D20" s="10" t="inlineStr"/>
      <c r="E20" s="10" t="inlineStr"/>
    </row>
    <row r="21" ht="24" customHeight="1">
      <c r="B21" s="14" t="n">
        <v>9</v>
      </c>
      <c r="C21" s="15" t="inlineStr">
        <is>
          <t>DG Set — fuel log, maintenance and efficiency</t>
        </is>
      </c>
      <c r="D21" s="16" t="inlineStr"/>
      <c r="E21" s="16" t="inlineStr"/>
    </row>
    <row r="22" ht="24" customHeight="1">
      <c r="B22" s="8" t="n">
        <v>10</v>
      </c>
      <c r="C22" s="9" t="inlineStr">
        <is>
          <t>Fire safety — extinguisher inspection, drill status</t>
        </is>
      </c>
      <c r="D22" s="10" t="inlineStr"/>
      <c r="E22" s="10" t="inlineStr"/>
    </row>
    <row r="23" ht="24" customHeight="1">
      <c r="B23" s="14" t="n">
        <v>11</v>
      </c>
      <c r="C23" s="15" t="inlineStr">
        <is>
          <t>CCTV &amp; security system — status and issues</t>
        </is>
      </c>
      <c r="D23" s="16" t="inlineStr"/>
      <c r="E23" s="16" t="inlineStr"/>
    </row>
    <row r="24" ht="24" customHeight="1">
      <c r="B24" s="8" t="n">
        <v>12</v>
      </c>
      <c r="C24" s="9" t="inlineStr">
        <is>
          <t>Campus grounds &amp; horticulture — maintenance status</t>
        </is>
      </c>
      <c r="D24" s="10" t="inlineStr"/>
      <c r="E24" s="10" t="inlineStr"/>
    </row>
    <row r="25" ht="24" customHeight="1">
      <c r="B25" s="14" t="n">
        <v>13</v>
      </c>
      <c r="C25" s="15" t="inlineStr">
        <is>
          <t>Lift / elevator — statutory inspection status</t>
        </is>
      </c>
      <c r="D25" s="16" t="inlineStr"/>
      <c r="E25" s="16" t="inlineStr"/>
    </row>
    <row r="26" ht="24" customHeight="1">
      <c r="B26" s="8" t="n">
        <v>14</v>
      </c>
      <c r="C26" s="9" t="inlineStr">
        <is>
          <t>AMC renewals — upcoming expiry and renewal</t>
        </is>
      </c>
      <c r="D26" s="10" t="inlineStr"/>
      <c r="E26" s="10" t="inlineStr"/>
    </row>
    <row r="27" ht="24" customHeight="1">
      <c r="B27" s="14" t="n">
        <v>15</v>
      </c>
      <c r="C27" s="15" t="inlineStr">
        <is>
          <t>Contractor / vendor performance — review</t>
        </is>
      </c>
      <c r="D27" s="16" t="inlineStr"/>
      <c r="E27" s="16" t="inlineStr"/>
    </row>
    <row r="28" ht="24" customHeight="1">
      <c r="B28" s="8" t="n">
        <v>16</v>
      </c>
      <c r="C28" s="9" t="inlineStr">
        <is>
          <t>Statutory compliance — pending inspections</t>
        </is>
      </c>
      <c r="D28" s="10" t="inlineStr"/>
      <c r="E28" s="10" t="inlineStr"/>
    </row>
    <row r="29" ht="24" customHeight="1">
      <c r="B29" s="14" t="n">
        <v>17</v>
      </c>
      <c r="C29" s="15" t="inlineStr">
        <is>
          <t>Budget review — expenditure vs. allocation</t>
        </is>
      </c>
      <c r="D29" s="16" t="inlineStr"/>
      <c r="E29" s="16" t="inlineStr"/>
    </row>
    <row r="30" ht="24" customHeight="1">
      <c r="B30" s="8" t="n">
        <v>18</v>
      </c>
      <c r="C30" s="9" t="inlineStr">
        <is>
          <t>Capital repairs — planning for next quarter</t>
        </is>
      </c>
      <c r="D30" s="10" t="inlineStr"/>
      <c r="E30" s="10" t="inlineStr"/>
    </row>
    <row r="31" ht="24" customHeight="1">
      <c r="B31" s="14" t="n">
        <v>19</v>
      </c>
      <c r="C31" s="15" t="inlineStr">
        <is>
          <t>NAAC infrastructure data — compilation status</t>
        </is>
      </c>
      <c r="D31" s="16" t="inlineStr"/>
      <c r="E31" s="16" t="inlineStr"/>
    </row>
    <row r="32" ht="24" customHeight="1">
      <c r="B32" s="8" t="n">
        <v>20</v>
      </c>
      <c r="C32" s="9" t="inlineStr">
        <is>
          <t>Any Other Matter with Permission of Chairperson (AOMPC)</t>
        </is>
      </c>
      <c r="D32" s="10" t="inlineStr"/>
      <c r="E32" s="10" t="inlineStr"/>
    </row>
    <row r="33" ht="24" customHeight="1"/>
    <row r="34" ht="24" customHeight="1">
      <c r="B34" s="21" t="inlineStr">
        <is>
          <t>DISPATCH RECORD</t>
        </is>
      </c>
    </row>
    <row r="35" ht="24" customHeight="1">
      <c r="B35" s="22" t="inlineStr">
        <is>
          <t>Sl.</t>
        </is>
      </c>
      <c r="C35" s="22" t="inlineStr">
        <is>
          <t>Member Name &amp; Role</t>
        </is>
      </c>
      <c r="D35" s="22" t="inlineStr">
        <is>
          <t>Mode</t>
        </is>
      </c>
      <c r="E35" s="22" t="inlineStr">
        <is>
          <t>Date &amp; Acknowledgement</t>
        </is>
      </c>
    </row>
    <row r="36" ht="22" customHeight="1">
      <c r="B36" s="23" t="n"/>
      <c r="C36" s="23" t="n"/>
      <c r="D36" s="23" t="n"/>
      <c r="E36" s="23" t="n"/>
    </row>
    <row r="37" ht="22" customHeight="1">
      <c r="B37" s="10" t="n"/>
      <c r="C37" s="10" t="n"/>
      <c r="D37" s="10" t="n"/>
      <c r="E37" s="10" t="n"/>
    </row>
    <row r="38" ht="22" customHeight="1">
      <c r="B38" s="23" t="n"/>
      <c r="C38" s="23" t="n"/>
      <c r="D38" s="23" t="n"/>
      <c r="E38" s="23" t="n"/>
    </row>
    <row r="39" ht="22" customHeight="1">
      <c r="B39" s="10" t="n"/>
      <c r="C39" s="10" t="n"/>
      <c r="D39" s="10" t="n"/>
      <c r="E39" s="10" t="n"/>
    </row>
  </sheetData>
  <mergeCells count="11">
    <mergeCell ref="C5:E5"/>
    <mergeCell ref="C8:E8"/>
    <mergeCell ref="C9:E9"/>
    <mergeCell ref="C4:E4"/>
    <mergeCell ref="C3:E3"/>
    <mergeCell ref="B11:E11"/>
    <mergeCell ref="B2:E2"/>
    <mergeCell ref="B34:E34"/>
    <mergeCell ref="C7:E7"/>
    <mergeCell ref="C6:E6"/>
    <mergeCell ref="C10:E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I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6" customWidth="1" min="3" max="3"/>
    <col width="20" customWidth="1" min="4" max="4"/>
    <col width="14" customWidth="1" min="5" max="5"/>
    <col width="12" customWidth="1" min="6" max="6"/>
    <col width="12" customWidth="1" min="7" max="7"/>
    <col width="16" customWidth="1" min="8" max="8"/>
    <col width="14" customWidth="1" min="9" max="9"/>
    <col width="3" customWidth="1" min="10" max="10"/>
  </cols>
  <sheetData>
    <row r="1" ht="10" customHeight="1"/>
    <row r="2" ht="48" customHeight="1">
      <c r="B2" s="12" t="inlineStr">
        <is>
          <t>GMC: ATTENDANCE &amp; QUORUM REGISTER</t>
        </is>
      </c>
    </row>
    <row r="3" ht="25" customHeight="1">
      <c r="B3" s="24" t="inlineStr">
        <is>
          <t>Meeting No.: _______  Date: _______  Total Strength: _______  Quorum Required (50%): _______</t>
        </is>
      </c>
    </row>
    <row r="4" ht="25" customHeight="1">
      <c r="B4" s="20" t="inlineStr">
        <is>
          <t>Sl.</t>
        </is>
      </c>
      <c r="C4" s="20" t="inlineStr">
        <is>
          <t>Name</t>
        </is>
      </c>
      <c r="D4" s="20" t="inlineStr">
        <is>
          <t>Role</t>
        </is>
      </c>
      <c r="E4" s="20" t="inlineStr">
        <is>
          <t>Mode
(Physical/VC)</t>
        </is>
      </c>
      <c r="F4" s="20" t="inlineStr">
        <is>
          <t>Present
(P/A)</t>
        </is>
      </c>
      <c r="G4" s="20" t="inlineStr">
        <is>
          <t>Proxy
(Y/N)</t>
        </is>
      </c>
      <c r="H4" s="20" t="inlineStr">
        <is>
          <t>Proxy Holder</t>
        </is>
      </c>
      <c r="I4" s="20" t="inlineStr">
        <is>
          <t>Signature</t>
        </is>
      </c>
    </row>
    <row r="5" ht="22" customHeight="1">
      <c r="B5" s="14" t="n">
        <v>1</v>
      </c>
      <c r="C5" s="15" t="inlineStr"/>
      <c r="D5" s="15" t="inlineStr"/>
      <c r="E5" s="16" t="inlineStr">
        <is>
          <t>Physical</t>
        </is>
      </c>
      <c r="F5" s="16" t="inlineStr"/>
      <c r="G5" s="16" t="inlineStr">
        <is>
          <t>N</t>
        </is>
      </c>
      <c r="H5" s="16" t="inlineStr"/>
      <c r="I5" s="16" t="inlineStr"/>
    </row>
    <row r="6" ht="22" customHeight="1">
      <c r="B6" s="8" t="n">
        <v>2</v>
      </c>
      <c r="C6" s="9" t="inlineStr"/>
      <c r="D6" s="9" t="inlineStr"/>
      <c r="E6" s="10" t="inlineStr">
        <is>
          <t>Physical</t>
        </is>
      </c>
      <c r="F6" s="10" t="inlineStr"/>
      <c r="G6" s="10" t="inlineStr">
        <is>
          <t>N</t>
        </is>
      </c>
      <c r="H6" s="10" t="inlineStr"/>
      <c r="I6" s="10" t="inlineStr"/>
    </row>
    <row r="7" ht="22" customHeight="1">
      <c r="B7" s="14" t="n">
        <v>3</v>
      </c>
      <c r="C7" s="15" t="inlineStr"/>
      <c r="D7" s="15" t="inlineStr"/>
      <c r="E7" s="16" t="inlineStr">
        <is>
          <t>Physical</t>
        </is>
      </c>
      <c r="F7" s="16" t="inlineStr"/>
      <c r="G7" s="16" t="inlineStr">
        <is>
          <t>N</t>
        </is>
      </c>
      <c r="H7" s="16" t="inlineStr"/>
      <c r="I7" s="16" t="inlineStr"/>
    </row>
    <row r="8" ht="22" customHeight="1">
      <c r="B8" s="8" t="n">
        <v>4</v>
      </c>
      <c r="C8" s="9" t="inlineStr"/>
      <c r="D8" s="9" t="inlineStr"/>
      <c r="E8" s="10" t="inlineStr">
        <is>
          <t>Physical</t>
        </is>
      </c>
      <c r="F8" s="10" t="inlineStr"/>
      <c r="G8" s="10" t="inlineStr">
        <is>
          <t>N</t>
        </is>
      </c>
      <c r="H8" s="10" t="inlineStr"/>
      <c r="I8" s="10" t="inlineStr"/>
    </row>
    <row r="9" ht="22" customHeight="1">
      <c r="B9" s="14" t="n">
        <v>5</v>
      </c>
      <c r="C9" s="15" t="inlineStr"/>
      <c r="D9" s="15" t="inlineStr"/>
      <c r="E9" s="16" t="inlineStr">
        <is>
          <t>Physical</t>
        </is>
      </c>
      <c r="F9" s="16" t="inlineStr"/>
      <c r="G9" s="16" t="inlineStr">
        <is>
          <t>N</t>
        </is>
      </c>
      <c r="H9" s="16" t="inlineStr"/>
      <c r="I9" s="16" t="inlineStr"/>
    </row>
    <row r="10" ht="22" customHeight="1">
      <c r="B10" s="8" t="n">
        <v>6</v>
      </c>
      <c r="C10" s="9" t="inlineStr"/>
      <c r="D10" s="9" t="inlineStr"/>
      <c r="E10" s="10" t="inlineStr">
        <is>
          <t>Physical</t>
        </is>
      </c>
      <c r="F10" s="10" t="inlineStr"/>
      <c r="G10" s="10" t="inlineStr">
        <is>
          <t>N</t>
        </is>
      </c>
      <c r="H10" s="10" t="inlineStr"/>
      <c r="I10" s="10" t="inlineStr"/>
    </row>
    <row r="11" ht="22" customHeight="1">
      <c r="B11" s="14" t="n">
        <v>7</v>
      </c>
      <c r="C11" s="15" t="inlineStr"/>
      <c r="D11" s="15" t="inlineStr"/>
      <c r="E11" s="16" t="inlineStr">
        <is>
          <t>Physical</t>
        </is>
      </c>
      <c r="F11" s="16" t="inlineStr"/>
      <c r="G11" s="16" t="inlineStr">
        <is>
          <t>N</t>
        </is>
      </c>
      <c r="H11" s="16" t="inlineStr"/>
      <c r="I11" s="16" t="inlineStr"/>
    </row>
    <row r="12" ht="22" customHeight="1">
      <c r="B12" s="8" t="n">
        <v>8</v>
      </c>
      <c r="C12" s="9" t="inlineStr"/>
      <c r="D12" s="9" t="inlineStr"/>
      <c r="E12" s="10" t="inlineStr">
        <is>
          <t>Physical</t>
        </is>
      </c>
      <c r="F12" s="10" t="inlineStr"/>
      <c r="G12" s="10" t="inlineStr">
        <is>
          <t>N</t>
        </is>
      </c>
      <c r="H12" s="10" t="inlineStr"/>
      <c r="I12" s="10" t="inlineStr"/>
    </row>
    <row r="13" ht="22" customHeight="1">
      <c r="B13" s="14" t="n">
        <v>9</v>
      </c>
      <c r="C13" s="15" t="inlineStr"/>
      <c r="D13" s="15" t="inlineStr"/>
      <c r="E13" s="16" t="inlineStr">
        <is>
          <t>Physical</t>
        </is>
      </c>
      <c r="F13" s="16" t="inlineStr"/>
      <c r="G13" s="16" t="inlineStr">
        <is>
          <t>N</t>
        </is>
      </c>
      <c r="H13" s="16" t="inlineStr"/>
      <c r="I13" s="16" t="inlineStr"/>
    </row>
    <row r="14" ht="22" customHeight="1">
      <c r="B14" s="8" t="n">
        <v>10</v>
      </c>
      <c r="C14" s="9" t="inlineStr"/>
      <c r="D14" s="9" t="inlineStr"/>
      <c r="E14" s="10" t="inlineStr">
        <is>
          <t>Physical</t>
        </is>
      </c>
      <c r="F14" s="10" t="inlineStr"/>
      <c r="G14" s="10" t="inlineStr">
        <is>
          <t>N</t>
        </is>
      </c>
      <c r="H14" s="10" t="inlineStr"/>
      <c r="I14" s="10" t="inlineStr"/>
    </row>
    <row r="15" ht="22" customHeight="1">
      <c r="B15" s="14" t="n">
        <v>11</v>
      </c>
      <c r="C15" s="15" t="inlineStr"/>
      <c r="D15" s="15" t="inlineStr"/>
      <c r="E15" s="16" t="inlineStr">
        <is>
          <t>Physical</t>
        </is>
      </c>
      <c r="F15" s="16" t="inlineStr"/>
      <c r="G15" s="16" t="inlineStr">
        <is>
          <t>N</t>
        </is>
      </c>
      <c r="H15" s="16" t="inlineStr"/>
      <c r="I15" s="16" t="inlineStr"/>
    </row>
    <row r="16" ht="22" customHeight="1">
      <c r="B16" s="8" t="n">
        <v>12</v>
      </c>
      <c r="C16" s="9" t="inlineStr"/>
      <c r="D16" s="9" t="inlineStr"/>
      <c r="E16" s="10" t="inlineStr">
        <is>
          <t>Physical</t>
        </is>
      </c>
      <c r="F16" s="10" t="inlineStr"/>
      <c r="G16" s="10" t="inlineStr">
        <is>
          <t>N</t>
        </is>
      </c>
      <c r="H16" s="10" t="inlineStr"/>
      <c r="I16" s="10" t="inlineStr"/>
    </row>
    <row r="17" ht="22" customHeight="1">
      <c r="B17" s="14" t="n">
        <v>13</v>
      </c>
      <c r="C17" s="15" t="inlineStr"/>
      <c r="D17" s="15" t="inlineStr"/>
      <c r="E17" s="16" t="inlineStr">
        <is>
          <t>Physical</t>
        </is>
      </c>
      <c r="F17" s="16" t="inlineStr"/>
      <c r="G17" s="16" t="inlineStr">
        <is>
          <t>N</t>
        </is>
      </c>
      <c r="H17" s="16" t="inlineStr"/>
      <c r="I17" s="16" t="inlineStr"/>
    </row>
    <row r="18" ht="22" customHeight="1">
      <c r="B18" s="8" t="n">
        <v>14</v>
      </c>
      <c r="C18" s="9" t="inlineStr"/>
      <c r="D18" s="9" t="inlineStr"/>
      <c r="E18" s="10" t="inlineStr">
        <is>
          <t>Physical</t>
        </is>
      </c>
      <c r="F18" s="10" t="inlineStr"/>
      <c r="G18" s="10" t="inlineStr">
        <is>
          <t>N</t>
        </is>
      </c>
      <c r="H18" s="10" t="inlineStr"/>
      <c r="I18" s="10" t="inlineStr"/>
    </row>
    <row r="19" ht="22" customHeight="1">
      <c r="B19" s="14" t="n">
        <v>15</v>
      </c>
      <c r="C19" s="15" t="inlineStr"/>
      <c r="D19" s="15" t="inlineStr"/>
      <c r="E19" s="16" t="inlineStr">
        <is>
          <t>Physical</t>
        </is>
      </c>
      <c r="F19" s="16" t="inlineStr"/>
      <c r="G19" s="16" t="inlineStr">
        <is>
          <t>N</t>
        </is>
      </c>
      <c r="H19" s="16" t="inlineStr"/>
      <c r="I19" s="16" t="inlineStr"/>
    </row>
    <row r="20" ht="22" customHeight="1">
      <c r="B20" s="8" t="n">
        <v>16</v>
      </c>
      <c r="C20" s="9" t="inlineStr"/>
      <c r="D20" s="9" t="inlineStr"/>
      <c r="E20" s="10" t="inlineStr">
        <is>
          <t>Physical</t>
        </is>
      </c>
      <c r="F20" s="10" t="inlineStr"/>
      <c r="G20" s="10" t="inlineStr">
        <is>
          <t>N</t>
        </is>
      </c>
      <c r="H20" s="10" t="inlineStr"/>
      <c r="I20" s="10" t="inlineStr"/>
    </row>
    <row r="21" ht="22" customHeight="1"/>
    <row r="22" ht="24" customHeight="1">
      <c r="B22" s="21" t="inlineStr">
        <is>
          <t>QUORUM VERIFICATION</t>
        </is>
      </c>
    </row>
    <row r="23" ht="22" customHeight="1">
      <c r="B23" s="25" t="inlineStr">
        <is>
          <t>Total GMC Members</t>
        </is>
      </c>
      <c r="G23" s="26" t="inlineStr"/>
    </row>
    <row r="24" ht="22" customHeight="1">
      <c r="B24" s="27" t="inlineStr">
        <is>
          <t>Present (Physical)</t>
        </is>
      </c>
      <c r="G24" s="26">
        <f>COUNTIF(F5:F20,"P")</f>
        <v/>
      </c>
    </row>
    <row r="25" ht="22" customHeight="1">
      <c r="B25" s="25" t="inlineStr">
        <is>
          <t>Present (VC)</t>
        </is>
      </c>
      <c r="G25" s="26" t="inlineStr"/>
    </row>
    <row r="26" ht="22" customHeight="1">
      <c r="B26" s="27" t="inlineStr">
        <is>
          <t>Total Effective</t>
        </is>
      </c>
      <c r="G26" s="26">
        <f>IFERROR(C24+C25,"")</f>
        <v/>
      </c>
    </row>
    <row r="27" ht="22" customHeight="1">
      <c r="B27" s="25" t="inlineStr">
        <is>
          <t>Quorum Required (50%)</t>
        </is>
      </c>
      <c r="G27" s="26" t="inlineStr"/>
    </row>
    <row r="28">
      <c r="B28" s="27" t="inlineStr">
        <is>
          <t>Quorum Achieved?</t>
        </is>
      </c>
      <c r="G28" s="28">
        <f>IFERROR(IF(C26&gt;=C27,"YES — Meeting Valid","NO — Adjourned"),"")</f>
        <v/>
      </c>
    </row>
  </sheetData>
  <mergeCells count="15">
    <mergeCell ref="G24:I24"/>
    <mergeCell ref="G28:I28"/>
    <mergeCell ref="B24:F24"/>
    <mergeCell ref="G27:I27"/>
    <mergeCell ref="B2:I2"/>
    <mergeCell ref="B25:F25"/>
    <mergeCell ref="G23:I23"/>
    <mergeCell ref="B28:F28"/>
    <mergeCell ref="B3:I3"/>
    <mergeCell ref="B22:I22"/>
    <mergeCell ref="B23:F23"/>
    <mergeCell ref="G26:I26"/>
    <mergeCell ref="B26:F26"/>
    <mergeCell ref="B27:F27"/>
    <mergeCell ref="G25:I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G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38" customWidth="1" min="3" max="3"/>
    <col width="18" customWidth="1" min="4" max="4"/>
    <col width="12" customWidth="1" min="5" max="5"/>
    <col width="14" customWidth="1" min="6" max="6"/>
    <col width="14" customWidth="1" min="7" max="7"/>
    <col width="3" customWidth="1" min="8" max="8"/>
  </cols>
  <sheetData>
    <row r="1" ht="10" customHeight="1"/>
    <row r="2" ht="48" customHeight="1">
      <c r="B2" s="12" t="inlineStr">
        <is>
          <t>GMC: MEETING MINUTES &amp; RESOLUTIONS</t>
        </is>
      </c>
    </row>
    <row r="3" ht="25" customHeight="1">
      <c r="B3" s="24" t="inlineStr">
        <is>
          <t>Meeting No.: _______  Date: _______  Venue: _______  Chairperson: ___________________</t>
        </is>
      </c>
    </row>
    <row r="4" ht="24" customHeight="1">
      <c r="B4" s="29" t="inlineStr">
        <is>
          <t>DISCUSSION &amp; RESOLUTIONS</t>
        </is>
      </c>
    </row>
    <row r="5" ht="30" customHeight="1">
      <c r="B5" s="30" t="inlineStr">
        <is>
          <t>Resolution
No.</t>
        </is>
      </c>
      <c r="C5" s="30" t="inlineStr">
        <is>
          <t>Discussion &amp; Resolution</t>
        </is>
      </c>
      <c r="D5" s="30" t="inlineStr">
        <is>
          <t>Responsible</t>
        </is>
      </c>
      <c r="E5" s="30" t="inlineStr">
        <is>
          <t>Voting</t>
        </is>
      </c>
      <c r="F5" s="30" t="inlineStr">
        <is>
          <t>Target
Date</t>
        </is>
      </c>
      <c r="G5" s="30" t="inlineStr">
        <is>
          <t>Status</t>
        </is>
      </c>
    </row>
    <row r="6" ht="30" customHeight="1">
      <c r="B6" s="14" t="inlineStr">
        <is>
          <t>GMC/RES/001</t>
        </is>
      </c>
      <c r="C6" s="15" t="inlineStr"/>
      <c r="D6" s="16" t="inlineStr"/>
      <c r="E6" s="16" t="inlineStr"/>
      <c r="F6" s="16" t="inlineStr"/>
      <c r="G6" s="16" t="inlineStr">
        <is>
          <t>Pending</t>
        </is>
      </c>
    </row>
    <row r="7" ht="30" customHeight="1">
      <c r="B7" s="8" t="inlineStr">
        <is>
          <t>GMC/RES/002</t>
        </is>
      </c>
      <c r="C7" s="9" t="inlineStr"/>
      <c r="D7" s="10" t="inlineStr"/>
      <c r="E7" s="10" t="inlineStr"/>
      <c r="F7" s="10" t="inlineStr"/>
      <c r="G7" s="10" t="inlineStr">
        <is>
          <t>Pending</t>
        </is>
      </c>
    </row>
    <row r="8" ht="30" customHeight="1">
      <c r="B8" s="14" t="inlineStr">
        <is>
          <t>GMC/RES/003</t>
        </is>
      </c>
      <c r="C8" s="15" t="inlineStr"/>
      <c r="D8" s="16" t="inlineStr"/>
      <c r="E8" s="16" t="inlineStr"/>
      <c r="F8" s="16" t="inlineStr"/>
      <c r="G8" s="16" t="inlineStr">
        <is>
          <t>Pending</t>
        </is>
      </c>
    </row>
    <row r="9" ht="30" customHeight="1">
      <c r="B9" s="8" t="inlineStr">
        <is>
          <t>GMC/RES/004</t>
        </is>
      </c>
      <c r="C9" s="9" t="inlineStr"/>
      <c r="D9" s="10" t="inlineStr"/>
      <c r="E9" s="10" t="inlineStr"/>
      <c r="F9" s="10" t="inlineStr"/>
      <c r="G9" s="10" t="inlineStr">
        <is>
          <t>Pending</t>
        </is>
      </c>
    </row>
    <row r="10" ht="30" customHeight="1">
      <c r="B10" s="14" t="inlineStr">
        <is>
          <t>GMC/RES/005</t>
        </is>
      </c>
      <c r="C10" s="15" t="inlineStr"/>
      <c r="D10" s="16" t="inlineStr"/>
      <c r="E10" s="16" t="inlineStr"/>
      <c r="F10" s="16" t="inlineStr"/>
      <c r="G10" s="16" t="inlineStr">
        <is>
          <t>Pending</t>
        </is>
      </c>
    </row>
    <row r="11" ht="30" customHeight="1">
      <c r="B11" s="8" t="inlineStr">
        <is>
          <t>GMC/RES/006</t>
        </is>
      </c>
      <c r="C11" s="9" t="inlineStr"/>
      <c r="D11" s="10" t="inlineStr"/>
      <c r="E11" s="10" t="inlineStr"/>
      <c r="F11" s="10" t="inlineStr"/>
      <c r="G11" s="10" t="inlineStr">
        <is>
          <t>Pending</t>
        </is>
      </c>
    </row>
    <row r="12" ht="30" customHeight="1">
      <c r="B12" s="14" t="inlineStr">
        <is>
          <t>GMC/RES/007</t>
        </is>
      </c>
      <c r="C12" s="15" t="inlineStr"/>
      <c r="D12" s="16" t="inlineStr"/>
      <c r="E12" s="16" t="inlineStr"/>
      <c r="F12" s="16" t="inlineStr"/>
      <c r="G12" s="16" t="inlineStr">
        <is>
          <t>Pending</t>
        </is>
      </c>
    </row>
    <row r="13" ht="30" customHeight="1">
      <c r="B13" s="8" t="inlineStr">
        <is>
          <t>GMC/RES/008</t>
        </is>
      </c>
      <c r="C13" s="9" t="inlineStr"/>
      <c r="D13" s="10" t="inlineStr"/>
      <c r="E13" s="10" t="inlineStr"/>
      <c r="F13" s="10" t="inlineStr"/>
      <c r="G13" s="10" t="inlineStr">
        <is>
          <t>Pending</t>
        </is>
      </c>
    </row>
    <row r="14" ht="30" customHeight="1">
      <c r="B14" s="14" t="inlineStr">
        <is>
          <t>GMC/RES/009</t>
        </is>
      </c>
      <c r="C14" s="15" t="inlineStr"/>
      <c r="D14" s="16" t="inlineStr"/>
      <c r="E14" s="16" t="inlineStr"/>
      <c r="F14" s="16" t="inlineStr"/>
      <c r="G14" s="16" t="inlineStr">
        <is>
          <t>Pending</t>
        </is>
      </c>
    </row>
    <row r="15" ht="30" customHeight="1">
      <c r="B15" s="8" t="inlineStr">
        <is>
          <t>GMC/RES/010</t>
        </is>
      </c>
      <c r="C15" s="9" t="inlineStr"/>
      <c r="D15" s="10" t="inlineStr"/>
      <c r="E15" s="10" t="inlineStr"/>
      <c r="F15" s="10" t="inlineStr"/>
      <c r="G15" s="10" t="inlineStr">
        <is>
          <t>Pending</t>
        </is>
      </c>
    </row>
    <row r="16" ht="30" customHeight="1">
      <c r="B16" s="14" t="inlineStr">
        <is>
          <t>GMC/RES/011</t>
        </is>
      </c>
      <c r="C16" s="15" t="inlineStr"/>
      <c r="D16" s="16" t="inlineStr"/>
      <c r="E16" s="16" t="inlineStr"/>
      <c r="F16" s="16" t="inlineStr"/>
      <c r="G16" s="16" t="inlineStr">
        <is>
          <t>Pending</t>
        </is>
      </c>
    </row>
    <row r="17" ht="30" customHeight="1">
      <c r="B17" s="8" t="inlineStr">
        <is>
          <t>GMC/RES/012</t>
        </is>
      </c>
      <c r="C17" s="9" t="inlineStr"/>
      <c r="D17" s="10" t="inlineStr"/>
      <c r="E17" s="10" t="inlineStr"/>
      <c r="F17" s="10" t="inlineStr"/>
      <c r="G17" s="10" t="inlineStr">
        <is>
          <t>Pending</t>
        </is>
      </c>
    </row>
    <row r="18" ht="30" customHeight="1">
      <c r="B18" s="14" t="inlineStr">
        <is>
          <t>GMC/RES/013</t>
        </is>
      </c>
      <c r="C18" s="15" t="inlineStr"/>
      <c r="D18" s="16" t="inlineStr"/>
      <c r="E18" s="16" t="inlineStr"/>
      <c r="F18" s="16" t="inlineStr"/>
      <c r="G18" s="16" t="inlineStr">
        <is>
          <t>Pending</t>
        </is>
      </c>
    </row>
    <row r="19" ht="30" customHeight="1">
      <c r="B19" s="8" t="inlineStr">
        <is>
          <t>GMC/RES/014</t>
        </is>
      </c>
      <c r="C19" s="9" t="inlineStr"/>
      <c r="D19" s="10" t="inlineStr"/>
      <c r="E19" s="10" t="inlineStr"/>
      <c r="F19" s="10" t="inlineStr"/>
      <c r="G19" s="10" t="inlineStr">
        <is>
          <t>Pending</t>
        </is>
      </c>
    </row>
    <row r="20" ht="30" customHeight="1"/>
    <row r="21" ht="30" customHeight="1">
      <c r="B21" s="31" t="inlineStr">
        <is>
          <t>Next Meeting: _______    Chairperson: ___________________    GMC Coordinator: ___________________</t>
        </is>
      </c>
    </row>
  </sheetData>
  <mergeCells count="4">
    <mergeCell ref="B3:G3"/>
    <mergeCell ref="B2:G2"/>
    <mergeCell ref="B4:G4"/>
    <mergeCell ref="B21:G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H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32" customWidth="1" min="3" max="3"/>
    <col width="20" customWidth="1" min="4" max="4"/>
    <col width="16" customWidth="1" min="5" max="5"/>
    <col width="13" customWidth="1" min="6" max="6"/>
    <col width="13" customWidth="1" min="7" max="7"/>
    <col width="16" customWidth="1" min="8" max="8"/>
    <col width="3" customWidth="1" min="9" max="9"/>
  </cols>
  <sheetData>
    <row r="1" ht="10" customHeight="1"/>
    <row r="2" ht="48" customHeight="1">
      <c r="B2" s="12" t="inlineStr">
        <is>
          <t>GMC: ACTION TAKEN REPORT (ATR)</t>
        </is>
      </c>
    </row>
    <row r="3" ht="25" customHeight="1">
      <c r="B3" s="24" t="inlineStr">
        <is>
          <t>Current Meeting No.: _______  Date: _______  Previous Meeting Ref.: _______</t>
        </is>
      </c>
    </row>
    <row r="4" ht="25" customHeight="1">
      <c r="B4" s="32" t="inlineStr">
        <is>
          <t>Resolution
No.</t>
        </is>
      </c>
      <c r="C4" s="32" t="inlineStr">
        <is>
          <t>Resolution / Decision</t>
        </is>
      </c>
      <c r="D4" s="32" t="inlineStr">
        <is>
          <t>Action Required</t>
        </is>
      </c>
      <c r="E4" s="32" t="inlineStr">
        <is>
          <t>Responsible</t>
        </is>
      </c>
      <c r="F4" s="32" t="inlineStr">
        <is>
          <t>Target
Date</t>
        </is>
      </c>
      <c r="G4" s="32" t="inlineStr">
        <is>
          <t>Completion
Date</t>
        </is>
      </c>
      <c r="H4" s="32" t="inlineStr">
        <is>
          <t>Status</t>
        </is>
      </c>
    </row>
    <row r="5" ht="26" customHeight="1">
      <c r="B5" s="33" t="inlineStr">
        <is>
          <t>GMC/RES/001</t>
        </is>
      </c>
      <c r="C5" s="34" t="inlineStr"/>
      <c r="D5" s="34" t="inlineStr"/>
      <c r="E5" s="35" t="inlineStr"/>
      <c r="F5" s="35" t="inlineStr"/>
      <c r="G5" s="35" t="inlineStr"/>
      <c r="H5" s="34" t="inlineStr">
        <is>
          <t>In Progress</t>
        </is>
      </c>
    </row>
    <row r="6" ht="26" customHeight="1">
      <c r="B6" s="8" t="inlineStr">
        <is>
          <t>GMC/RES/002</t>
        </is>
      </c>
      <c r="C6" s="9" t="inlineStr"/>
      <c r="D6" s="9" t="inlineStr"/>
      <c r="E6" s="10" t="inlineStr"/>
      <c r="F6" s="10" t="inlineStr"/>
      <c r="G6" s="10" t="inlineStr"/>
      <c r="H6" s="9" t="inlineStr">
        <is>
          <t>In Progress</t>
        </is>
      </c>
    </row>
    <row r="7" ht="26" customHeight="1">
      <c r="B7" s="33" t="inlineStr">
        <is>
          <t>GMC/RES/003</t>
        </is>
      </c>
      <c r="C7" s="34" t="inlineStr"/>
      <c r="D7" s="34" t="inlineStr"/>
      <c r="E7" s="35" t="inlineStr"/>
      <c r="F7" s="35" t="inlineStr"/>
      <c r="G7" s="35" t="inlineStr"/>
      <c r="H7" s="34" t="inlineStr">
        <is>
          <t>In Progress</t>
        </is>
      </c>
    </row>
    <row r="8" ht="26" customHeight="1">
      <c r="B8" s="8" t="inlineStr">
        <is>
          <t>GMC/RES/004</t>
        </is>
      </c>
      <c r="C8" s="9" t="inlineStr"/>
      <c r="D8" s="9" t="inlineStr"/>
      <c r="E8" s="10" t="inlineStr"/>
      <c r="F8" s="10" t="inlineStr"/>
      <c r="G8" s="10" t="inlineStr"/>
      <c r="H8" s="9" t="inlineStr">
        <is>
          <t>In Progress</t>
        </is>
      </c>
    </row>
    <row r="9" ht="26" customHeight="1">
      <c r="B9" s="33" t="inlineStr">
        <is>
          <t>GMC/RES/005</t>
        </is>
      </c>
      <c r="C9" s="34" t="inlineStr"/>
      <c r="D9" s="34" t="inlineStr"/>
      <c r="E9" s="35" t="inlineStr"/>
      <c r="F9" s="35" t="inlineStr"/>
      <c r="G9" s="35" t="inlineStr"/>
      <c r="H9" s="34" t="inlineStr">
        <is>
          <t>In Progress</t>
        </is>
      </c>
    </row>
    <row r="10" ht="26" customHeight="1">
      <c r="B10" s="8" t="inlineStr">
        <is>
          <t>GMC/RES/006</t>
        </is>
      </c>
      <c r="C10" s="9" t="inlineStr"/>
      <c r="D10" s="9" t="inlineStr"/>
      <c r="E10" s="10" t="inlineStr"/>
      <c r="F10" s="10" t="inlineStr"/>
      <c r="G10" s="10" t="inlineStr"/>
      <c r="H10" s="9" t="inlineStr">
        <is>
          <t>In Progress</t>
        </is>
      </c>
    </row>
    <row r="11" ht="26" customHeight="1">
      <c r="B11" s="33" t="inlineStr">
        <is>
          <t>GMC/RES/007</t>
        </is>
      </c>
      <c r="C11" s="34" t="inlineStr"/>
      <c r="D11" s="34" t="inlineStr"/>
      <c r="E11" s="35" t="inlineStr"/>
      <c r="F11" s="35" t="inlineStr"/>
      <c r="G11" s="35" t="inlineStr"/>
      <c r="H11" s="34" t="inlineStr">
        <is>
          <t>In Progress</t>
        </is>
      </c>
    </row>
    <row r="12" ht="26" customHeight="1">
      <c r="B12" s="8" t="inlineStr">
        <is>
          <t>GMC/RES/008</t>
        </is>
      </c>
      <c r="C12" s="9" t="inlineStr"/>
      <c r="D12" s="9" t="inlineStr"/>
      <c r="E12" s="10" t="inlineStr"/>
      <c r="F12" s="10" t="inlineStr"/>
      <c r="G12" s="10" t="inlineStr"/>
      <c r="H12" s="9" t="inlineStr">
        <is>
          <t>In Progress</t>
        </is>
      </c>
    </row>
    <row r="13" ht="26" customHeight="1">
      <c r="B13" s="33" t="inlineStr">
        <is>
          <t>GMC/RES/009</t>
        </is>
      </c>
      <c r="C13" s="34" t="inlineStr"/>
      <c r="D13" s="34" t="inlineStr"/>
      <c r="E13" s="35" t="inlineStr"/>
      <c r="F13" s="35" t="inlineStr"/>
      <c r="G13" s="35" t="inlineStr"/>
      <c r="H13" s="34" t="inlineStr">
        <is>
          <t>In Progress</t>
        </is>
      </c>
    </row>
    <row r="14" ht="26" customHeight="1">
      <c r="B14" s="8" t="inlineStr">
        <is>
          <t>GMC/RES/010</t>
        </is>
      </c>
      <c r="C14" s="9" t="inlineStr"/>
      <c r="D14" s="9" t="inlineStr"/>
      <c r="E14" s="10" t="inlineStr"/>
      <c r="F14" s="10" t="inlineStr"/>
      <c r="G14" s="10" t="inlineStr"/>
      <c r="H14" s="9" t="inlineStr">
        <is>
          <t>In Progress</t>
        </is>
      </c>
    </row>
    <row r="15" ht="26" customHeight="1">
      <c r="B15" s="33" t="inlineStr">
        <is>
          <t>GMC/RES/011</t>
        </is>
      </c>
      <c r="C15" s="34" t="inlineStr"/>
      <c r="D15" s="34" t="inlineStr"/>
      <c r="E15" s="35" t="inlineStr"/>
      <c r="F15" s="35" t="inlineStr"/>
      <c r="G15" s="35" t="inlineStr"/>
      <c r="H15" s="34" t="inlineStr">
        <is>
          <t>In Progress</t>
        </is>
      </c>
    </row>
    <row r="16" ht="26" customHeight="1">
      <c r="B16" s="8" t="inlineStr">
        <is>
          <t>GMC/RES/012</t>
        </is>
      </c>
      <c r="C16" s="9" t="inlineStr"/>
      <c r="D16" s="9" t="inlineStr"/>
      <c r="E16" s="10" t="inlineStr"/>
      <c r="F16" s="10" t="inlineStr"/>
      <c r="G16" s="10" t="inlineStr"/>
      <c r="H16" s="9" t="inlineStr">
        <is>
          <t>In Progress</t>
        </is>
      </c>
    </row>
    <row r="17" ht="26" customHeight="1">
      <c r="B17" s="33" t="inlineStr">
        <is>
          <t>GMC/RES/013</t>
        </is>
      </c>
      <c r="C17" s="34" t="inlineStr"/>
      <c r="D17" s="34" t="inlineStr"/>
      <c r="E17" s="35" t="inlineStr"/>
      <c r="F17" s="35" t="inlineStr"/>
      <c r="G17" s="35" t="inlineStr"/>
      <c r="H17" s="34" t="inlineStr">
        <is>
          <t>In Progress</t>
        </is>
      </c>
    </row>
    <row r="18" ht="26" customHeight="1">
      <c r="B18" s="8" t="inlineStr">
        <is>
          <t>GMC/RES/014</t>
        </is>
      </c>
      <c r="C18" s="9" t="inlineStr"/>
      <c r="D18" s="9" t="inlineStr"/>
      <c r="E18" s="10" t="inlineStr"/>
      <c r="F18" s="10" t="inlineStr"/>
      <c r="G18" s="10" t="inlineStr"/>
      <c r="H18" s="9" t="inlineStr">
        <is>
          <t>In Progress</t>
        </is>
      </c>
    </row>
    <row r="19" ht="26" customHeight="1"/>
    <row r="20" ht="24" customHeight="1">
      <c r="B20" s="36" t="inlineStr">
        <is>
          <t>ATR SUMMARY</t>
        </is>
      </c>
    </row>
    <row r="21" ht="26" customHeight="1">
      <c r="B21" s="37" t="inlineStr">
        <is>
          <t>Total Resolutions Under Review</t>
        </is>
      </c>
      <c r="F21" s="38">
        <f>COUNTA(B5:B18)</f>
        <v/>
      </c>
    </row>
    <row r="22" ht="26" customHeight="1">
      <c r="B22" s="27" t="inlineStr">
        <is>
          <t>Implemented</t>
        </is>
      </c>
      <c r="F22" s="39">
        <f>COUNTIF(H5:H18,"Implemented")</f>
        <v/>
      </c>
    </row>
    <row r="23" ht="26" customHeight="1">
      <c r="B23" s="37" t="inlineStr">
        <is>
          <t>In Progress</t>
        </is>
      </c>
      <c r="F23" s="38">
        <f>COUNTIF(H5:H18,"In Progress")</f>
        <v/>
      </c>
    </row>
    <row r="24">
      <c r="B24" s="27" t="inlineStr">
        <is>
          <t>Pending</t>
        </is>
      </c>
      <c r="F24" s="39">
        <f>COUNTIF(H5:H18,"Pending")</f>
        <v/>
      </c>
    </row>
    <row r="25">
      <c r="B25" s="37" t="inlineStr">
        <is>
          <t>Deferred</t>
        </is>
      </c>
      <c r="F25" s="38">
        <f>COUNTIF(H5:H18,"Deferred")</f>
        <v/>
      </c>
    </row>
    <row r="26">
      <c r="B26" s="27" t="inlineStr">
        <is>
          <t>Implementation Rate (%)</t>
        </is>
      </c>
      <c r="F26" s="39">
        <f>IFERROR(ROUND(C22/C21*100,1),"")</f>
        <v/>
      </c>
    </row>
  </sheetData>
  <mergeCells count="15">
    <mergeCell ref="F23:H23"/>
    <mergeCell ref="B23:E23"/>
    <mergeCell ref="B26:E26"/>
    <mergeCell ref="F22:H22"/>
    <mergeCell ref="B21:E21"/>
    <mergeCell ref="F26:H26"/>
    <mergeCell ref="B2:H2"/>
    <mergeCell ref="B25:E25"/>
    <mergeCell ref="B24:E24"/>
    <mergeCell ref="B3:H3"/>
    <mergeCell ref="F21:H21"/>
    <mergeCell ref="B20:H20"/>
    <mergeCell ref="B22:E22"/>
    <mergeCell ref="F24:H24"/>
    <mergeCell ref="F25:H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K4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3" customWidth="1" min="12" max="12"/>
  </cols>
  <sheetData>
    <row r="1" ht="10" customHeight="1"/>
    <row r="2" ht="48" customHeight="1">
      <c r="B2" s="12" t="inlineStr">
        <is>
          <t>GMC-05: MAINTENANCE REQUEST REGISTER</t>
        </is>
      </c>
    </row>
    <row r="3" ht="20" customHeight="1">
      <c r="B3" s="24" t="inlineStr">
        <is>
          <t>A.Y.: _______  GMC Coordinator: ___________________  Priority: P1=4hrs | P2=24hrs | P3=7days | P4=Planned</t>
        </is>
      </c>
    </row>
    <row r="4" ht="25" customHeight="1">
      <c r="B4" s="20" t="inlineStr">
        <is>
          <t>Request
Ref.</t>
        </is>
      </c>
      <c r="C4" s="20" t="inlineStr">
        <is>
          <t>Location /
Building</t>
        </is>
      </c>
      <c r="D4" s="20" t="inlineStr">
        <is>
          <t>Nature of
Complaint</t>
        </is>
      </c>
      <c r="E4" s="20" t="inlineStr">
        <is>
          <t>Category</t>
        </is>
      </c>
      <c r="F4" s="20" t="inlineStr">
        <is>
          <t>Date &amp; Time
Logged</t>
        </is>
      </c>
      <c r="G4" s="20" t="inlineStr">
        <is>
          <t>Priority
(P1–P4)</t>
        </is>
      </c>
      <c r="H4" s="20" t="inlineStr">
        <is>
          <t>Assigned
To</t>
        </is>
      </c>
      <c r="I4" s="20" t="inlineStr">
        <is>
          <t>Target
Completion</t>
        </is>
      </c>
      <c r="J4" s="20" t="inlineStr">
        <is>
          <t>Actual
Completion</t>
        </is>
      </c>
      <c r="K4" s="20" t="inlineStr">
        <is>
          <t>Status</t>
        </is>
      </c>
    </row>
    <row r="5" ht="22" customHeight="1">
      <c r="B5" s="14" t="inlineStr">
        <is>
          <t>MR/2024/0001</t>
        </is>
      </c>
      <c r="C5" s="15" t="inlineStr"/>
      <c r="D5" s="15" t="inlineStr"/>
      <c r="E5" s="16" t="inlineStr">
        <is>
          <t>Civil — Structural</t>
        </is>
      </c>
      <c r="F5" s="16" t="inlineStr"/>
      <c r="G5" s="14" t="inlineStr">
        <is>
          <t>P1 — Emergency (4 hrs)</t>
        </is>
      </c>
      <c r="H5" s="15" t="inlineStr"/>
      <c r="I5" s="16" t="inlineStr"/>
      <c r="J5" s="16" t="inlineStr"/>
      <c r="K5" s="16" t="inlineStr">
        <is>
          <t>Open</t>
        </is>
      </c>
    </row>
    <row r="6" ht="22" customHeight="1">
      <c r="B6" s="8" t="inlineStr">
        <is>
          <t>MR/2024/0002</t>
        </is>
      </c>
      <c r="C6" s="9" t="inlineStr"/>
      <c r="D6" s="9" t="inlineStr"/>
      <c r="E6" s="10" t="inlineStr">
        <is>
          <t>Civil — Flooring</t>
        </is>
      </c>
      <c r="F6" s="10" t="inlineStr"/>
      <c r="G6" s="8" t="inlineStr">
        <is>
          <t>P2 — Urgent (24 hrs)</t>
        </is>
      </c>
      <c r="H6" s="9" t="inlineStr"/>
      <c r="I6" s="10" t="inlineStr"/>
      <c r="J6" s="10" t="inlineStr"/>
      <c r="K6" s="10" t="inlineStr">
        <is>
          <t>Assigned</t>
        </is>
      </c>
    </row>
    <row r="7" ht="22" customHeight="1">
      <c r="B7" s="14" t="inlineStr">
        <is>
          <t>MR/2024/0003</t>
        </is>
      </c>
      <c r="C7" s="15" t="inlineStr"/>
      <c r="D7" s="15" t="inlineStr"/>
      <c r="E7" s="16" t="inlineStr">
        <is>
          <t>Civil — Painting</t>
        </is>
      </c>
      <c r="F7" s="16" t="inlineStr"/>
      <c r="G7" s="14" t="inlineStr">
        <is>
          <t>P3 — Routine (7 days)</t>
        </is>
      </c>
      <c r="H7" s="15" t="inlineStr"/>
      <c r="I7" s="16" t="inlineStr"/>
      <c r="J7" s="16" t="inlineStr"/>
      <c r="K7" s="16" t="inlineStr">
        <is>
          <t>In Progress</t>
        </is>
      </c>
    </row>
    <row r="8" ht="22" customHeight="1">
      <c r="B8" s="8" t="inlineStr">
        <is>
          <t>MR/2024/0004</t>
        </is>
      </c>
      <c r="C8" s="9" t="inlineStr"/>
      <c r="D8" s="9" t="inlineStr"/>
      <c r="E8" s="10" t="inlineStr">
        <is>
          <t>Civil — Doors/Windows</t>
        </is>
      </c>
      <c r="F8" s="10" t="inlineStr"/>
      <c r="G8" s="8" t="inlineStr">
        <is>
          <t>P4 — Planned (Next Schedule)</t>
        </is>
      </c>
      <c r="H8" s="9" t="inlineStr"/>
      <c r="I8" s="10" t="inlineStr"/>
      <c r="J8" s="10" t="inlineStr"/>
      <c r="K8" s="10" t="inlineStr">
        <is>
          <t>On Hold — Material Pending</t>
        </is>
      </c>
    </row>
    <row r="9" ht="22" customHeight="1">
      <c r="B9" s="14" t="inlineStr">
        <is>
          <t>MR/2024/0005</t>
        </is>
      </c>
      <c r="C9" s="15" t="inlineStr"/>
      <c r="D9" s="15" t="inlineStr"/>
      <c r="E9" s="16" t="inlineStr">
        <is>
          <t>Electrical — Lighting</t>
        </is>
      </c>
      <c r="F9" s="16" t="inlineStr"/>
      <c r="G9" s="14" t="inlineStr">
        <is>
          <t>P1 — Emergency (4 hrs)</t>
        </is>
      </c>
      <c r="H9" s="15" t="inlineStr"/>
      <c r="I9" s="16" t="inlineStr"/>
      <c r="J9" s="16" t="inlineStr"/>
      <c r="K9" s="16" t="inlineStr">
        <is>
          <t>Completed</t>
        </is>
      </c>
    </row>
    <row r="10" ht="22" customHeight="1">
      <c r="B10" s="8" t="inlineStr">
        <is>
          <t>MR/2024/0006</t>
        </is>
      </c>
      <c r="C10" s="9" t="inlineStr"/>
      <c r="D10" s="9" t="inlineStr"/>
      <c r="E10" s="10" t="inlineStr">
        <is>
          <t>Electrical — Power</t>
        </is>
      </c>
      <c r="F10" s="10" t="inlineStr"/>
      <c r="G10" s="8" t="inlineStr">
        <is>
          <t>P2 — Urgent (24 hrs)</t>
        </is>
      </c>
      <c r="H10" s="9" t="inlineStr"/>
      <c r="I10" s="10" t="inlineStr"/>
      <c r="J10" s="10" t="inlineStr"/>
      <c r="K10" s="10" t="inlineStr">
        <is>
          <t>Cancelled</t>
        </is>
      </c>
    </row>
    <row r="11" ht="22" customHeight="1">
      <c r="B11" s="14" t="inlineStr">
        <is>
          <t>MR/2024/0007</t>
        </is>
      </c>
      <c r="C11" s="15" t="inlineStr"/>
      <c r="D11" s="15" t="inlineStr"/>
      <c r="E11" s="16" t="inlineStr">
        <is>
          <t>Electrical — AC/Fans</t>
        </is>
      </c>
      <c r="F11" s="16" t="inlineStr"/>
      <c r="G11" s="14" t="inlineStr">
        <is>
          <t>P3 — Routine (7 days)</t>
        </is>
      </c>
      <c r="H11" s="15" t="inlineStr"/>
      <c r="I11" s="16" t="inlineStr"/>
      <c r="J11" s="16" t="inlineStr"/>
      <c r="K11" s="16" t="inlineStr">
        <is>
          <t>Open</t>
        </is>
      </c>
    </row>
    <row r="12" ht="22" customHeight="1">
      <c r="B12" s="8" t="inlineStr">
        <is>
          <t>MR/2024/0008</t>
        </is>
      </c>
      <c r="C12" s="9" t="inlineStr"/>
      <c r="D12" s="9" t="inlineStr"/>
      <c r="E12" s="10" t="inlineStr">
        <is>
          <t>Plumbing — Water Supply</t>
        </is>
      </c>
      <c r="F12" s="10" t="inlineStr"/>
      <c r="G12" s="8" t="inlineStr">
        <is>
          <t>P4 — Planned (Next Schedule)</t>
        </is>
      </c>
      <c r="H12" s="9" t="inlineStr"/>
      <c r="I12" s="10" t="inlineStr"/>
      <c r="J12" s="10" t="inlineStr"/>
      <c r="K12" s="10" t="inlineStr">
        <is>
          <t>Assigned</t>
        </is>
      </c>
    </row>
    <row r="13" ht="22" customHeight="1">
      <c r="B13" s="14" t="inlineStr">
        <is>
          <t>MR/2024/0009</t>
        </is>
      </c>
      <c r="C13" s="15" t="inlineStr"/>
      <c r="D13" s="15" t="inlineStr"/>
      <c r="E13" s="16" t="inlineStr">
        <is>
          <t>Plumbing — Drainage</t>
        </is>
      </c>
      <c r="F13" s="16" t="inlineStr"/>
      <c r="G13" s="14" t="inlineStr">
        <is>
          <t>P1 — Emergency (4 hrs)</t>
        </is>
      </c>
      <c r="H13" s="15" t="inlineStr"/>
      <c r="I13" s="16" t="inlineStr"/>
      <c r="J13" s="16" t="inlineStr"/>
      <c r="K13" s="16" t="inlineStr">
        <is>
          <t>In Progress</t>
        </is>
      </c>
    </row>
    <row r="14" ht="22" customHeight="1">
      <c r="B14" s="8" t="inlineStr">
        <is>
          <t>MR/2024/0010</t>
        </is>
      </c>
      <c r="C14" s="9" t="inlineStr"/>
      <c r="D14" s="9" t="inlineStr"/>
      <c r="E14" s="10" t="inlineStr">
        <is>
          <t>Plumbing — Sanitary</t>
        </is>
      </c>
      <c r="F14" s="10" t="inlineStr"/>
      <c r="G14" s="8" t="inlineStr">
        <is>
          <t>P2 — Urgent (24 hrs)</t>
        </is>
      </c>
      <c r="H14" s="9" t="inlineStr"/>
      <c r="I14" s="10" t="inlineStr"/>
      <c r="J14" s="10" t="inlineStr"/>
      <c r="K14" s="10" t="inlineStr">
        <is>
          <t>On Hold — Material Pending</t>
        </is>
      </c>
    </row>
    <row r="15" ht="22" customHeight="1">
      <c r="B15" s="14" t="inlineStr">
        <is>
          <t>MR/2024/0011</t>
        </is>
      </c>
      <c r="C15" s="15" t="inlineStr"/>
      <c r="D15" s="15" t="inlineStr"/>
      <c r="E15" s="16" t="inlineStr">
        <is>
          <t>HVAC — AC Service</t>
        </is>
      </c>
      <c r="F15" s="16" t="inlineStr"/>
      <c r="G15" s="14" t="inlineStr">
        <is>
          <t>P3 — Routine (7 days)</t>
        </is>
      </c>
      <c r="H15" s="15" t="inlineStr"/>
      <c r="I15" s="16" t="inlineStr"/>
      <c r="J15" s="16" t="inlineStr"/>
      <c r="K15" s="16" t="inlineStr">
        <is>
          <t>Completed</t>
        </is>
      </c>
    </row>
    <row r="16" ht="22" customHeight="1">
      <c r="B16" s="8" t="inlineStr">
        <is>
          <t>MR/2024/0012</t>
        </is>
      </c>
      <c r="C16" s="9" t="inlineStr"/>
      <c r="D16" s="9" t="inlineStr"/>
      <c r="E16" s="10" t="inlineStr">
        <is>
          <t>DG Set</t>
        </is>
      </c>
      <c r="F16" s="10" t="inlineStr"/>
      <c r="G16" s="8" t="inlineStr">
        <is>
          <t>P4 — Planned (Next Schedule)</t>
        </is>
      </c>
      <c r="H16" s="9" t="inlineStr"/>
      <c r="I16" s="10" t="inlineStr"/>
      <c r="J16" s="10" t="inlineStr"/>
      <c r="K16" s="10" t="inlineStr">
        <is>
          <t>Cancelled</t>
        </is>
      </c>
    </row>
    <row r="17" ht="22" customHeight="1">
      <c r="B17" s="14" t="inlineStr">
        <is>
          <t>MR/2024/0013</t>
        </is>
      </c>
      <c r="C17" s="15" t="inlineStr"/>
      <c r="D17" s="15" t="inlineStr"/>
      <c r="E17" s="16" t="inlineStr">
        <is>
          <t>Fire Safety</t>
        </is>
      </c>
      <c r="F17" s="16" t="inlineStr"/>
      <c r="G17" s="14" t="inlineStr">
        <is>
          <t>P1 — Emergency (4 hrs)</t>
        </is>
      </c>
      <c r="H17" s="15" t="inlineStr"/>
      <c r="I17" s="16" t="inlineStr"/>
      <c r="J17" s="16" t="inlineStr"/>
      <c r="K17" s="16" t="inlineStr">
        <is>
          <t>Open</t>
        </is>
      </c>
    </row>
    <row r="18" ht="22" customHeight="1">
      <c r="B18" s="8" t="inlineStr">
        <is>
          <t>MR/2024/0014</t>
        </is>
      </c>
      <c r="C18" s="9" t="inlineStr"/>
      <c r="D18" s="9" t="inlineStr"/>
      <c r="E18" s="10" t="inlineStr">
        <is>
          <t>CCTV / Security</t>
        </is>
      </c>
      <c r="F18" s="10" t="inlineStr"/>
      <c r="G18" s="8" t="inlineStr">
        <is>
          <t>P2 — Urgent (24 hrs)</t>
        </is>
      </c>
      <c r="H18" s="9" t="inlineStr"/>
      <c r="I18" s="10" t="inlineStr"/>
      <c r="J18" s="10" t="inlineStr"/>
      <c r="K18" s="10" t="inlineStr">
        <is>
          <t>Assigned</t>
        </is>
      </c>
    </row>
    <row r="19" ht="22" customHeight="1">
      <c r="B19" s="14" t="inlineStr">
        <is>
          <t>MR/2024/0015</t>
        </is>
      </c>
      <c r="C19" s="15" t="inlineStr"/>
      <c r="D19" s="15" t="inlineStr"/>
      <c r="E19" s="16" t="inlineStr">
        <is>
          <t>Lift / Elevator</t>
        </is>
      </c>
      <c r="F19" s="16" t="inlineStr"/>
      <c r="G19" s="14" t="inlineStr">
        <is>
          <t>P3 — Routine (7 days)</t>
        </is>
      </c>
      <c r="H19" s="15" t="inlineStr"/>
      <c r="I19" s="16" t="inlineStr"/>
      <c r="J19" s="16" t="inlineStr"/>
      <c r="K19" s="16" t="inlineStr">
        <is>
          <t>In Progress</t>
        </is>
      </c>
    </row>
    <row r="20" ht="22" customHeight="1">
      <c r="B20" s="8" t="inlineStr">
        <is>
          <t>MR/2024/0016</t>
        </is>
      </c>
      <c r="C20" s="9" t="inlineStr"/>
      <c r="D20" s="9" t="inlineStr"/>
      <c r="E20" s="10" t="inlineStr">
        <is>
          <t>Horticulture</t>
        </is>
      </c>
      <c r="F20" s="10" t="inlineStr"/>
      <c r="G20" s="8" t="inlineStr">
        <is>
          <t>P4 — Planned (Next Schedule)</t>
        </is>
      </c>
      <c r="H20" s="9" t="inlineStr"/>
      <c r="I20" s="10" t="inlineStr"/>
      <c r="J20" s="10" t="inlineStr"/>
      <c r="K20" s="10" t="inlineStr">
        <is>
          <t>On Hold — Material Pending</t>
        </is>
      </c>
    </row>
    <row r="21" ht="22" customHeight="1">
      <c r="B21" s="14" t="inlineStr">
        <is>
          <t>MR/2025/0017</t>
        </is>
      </c>
      <c r="C21" s="15" t="inlineStr"/>
      <c r="D21" s="15" t="inlineStr"/>
      <c r="E21" s="16" t="inlineStr">
        <is>
          <t>Furniture</t>
        </is>
      </c>
      <c r="F21" s="16" t="inlineStr"/>
      <c r="G21" s="14" t="inlineStr">
        <is>
          <t>P1 — Emergency (4 hrs)</t>
        </is>
      </c>
      <c r="H21" s="15" t="inlineStr"/>
      <c r="I21" s="16" t="inlineStr"/>
      <c r="J21" s="16" t="inlineStr"/>
      <c r="K21" s="16" t="inlineStr">
        <is>
          <t>Completed</t>
        </is>
      </c>
    </row>
    <row r="22" ht="22" customHeight="1">
      <c r="B22" s="8" t="inlineStr">
        <is>
          <t>MR/2025/0018</t>
        </is>
      </c>
      <c r="C22" s="9" t="inlineStr"/>
      <c r="D22" s="9" t="inlineStr"/>
      <c r="E22" s="10" t="inlineStr">
        <is>
          <t>IT Infrastructure</t>
        </is>
      </c>
      <c r="F22" s="10" t="inlineStr"/>
      <c r="G22" s="8" t="inlineStr">
        <is>
          <t>P2 — Urgent (24 hrs)</t>
        </is>
      </c>
      <c r="H22" s="9" t="inlineStr"/>
      <c r="I22" s="10" t="inlineStr"/>
      <c r="J22" s="10" t="inlineStr"/>
      <c r="K22" s="10" t="inlineStr">
        <is>
          <t>Cancelled</t>
        </is>
      </c>
    </row>
    <row r="23" ht="22" customHeight="1">
      <c r="B23" s="14" t="inlineStr">
        <is>
          <t>MR/2025/0019</t>
        </is>
      </c>
      <c r="C23" s="15" t="inlineStr"/>
      <c r="D23" s="15" t="inlineStr"/>
      <c r="E23" s="16" t="inlineStr">
        <is>
          <t>Miscellaneous</t>
        </is>
      </c>
      <c r="F23" s="16" t="inlineStr"/>
      <c r="G23" s="14" t="inlineStr">
        <is>
          <t>P3 — Routine (7 days)</t>
        </is>
      </c>
      <c r="H23" s="15" t="inlineStr"/>
      <c r="I23" s="16" t="inlineStr"/>
      <c r="J23" s="16" t="inlineStr"/>
      <c r="K23" s="16" t="inlineStr">
        <is>
          <t>Open</t>
        </is>
      </c>
    </row>
    <row r="24" ht="22" customHeight="1">
      <c r="B24" s="8" t="inlineStr">
        <is>
          <t>MR/2025/0020</t>
        </is>
      </c>
      <c r="C24" s="9" t="inlineStr"/>
      <c r="D24" s="9" t="inlineStr"/>
      <c r="E24" s="10" t="inlineStr">
        <is>
          <t>Civil — Structural</t>
        </is>
      </c>
      <c r="F24" s="10" t="inlineStr"/>
      <c r="G24" s="8" t="inlineStr">
        <is>
          <t>P4 — Planned (Next Schedule)</t>
        </is>
      </c>
      <c r="H24" s="9" t="inlineStr"/>
      <c r="I24" s="10" t="inlineStr"/>
      <c r="J24" s="10" t="inlineStr"/>
      <c r="K24" s="10" t="inlineStr">
        <is>
          <t>Assigned</t>
        </is>
      </c>
    </row>
    <row r="25" ht="22" customHeight="1">
      <c r="B25" s="14" t="inlineStr">
        <is>
          <t>MR/2025/0021</t>
        </is>
      </c>
      <c r="C25" s="15" t="inlineStr"/>
      <c r="D25" s="15" t="inlineStr"/>
      <c r="E25" s="16" t="inlineStr">
        <is>
          <t>Civil — Flooring</t>
        </is>
      </c>
      <c r="F25" s="16" t="inlineStr"/>
      <c r="G25" s="14" t="inlineStr">
        <is>
          <t>P1 — Emergency (4 hrs)</t>
        </is>
      </c>
      <c r="H25" s="15" t="inlineStr"/>
      <c r="I25" s="16" t="inlineStr"/>
      <c r="J25" s="16" t="inlineStr"/>
      <c r="K25" s="16" t="inlineStr">
        <is>
          <t>In Progress</t>
        </is>
      </c>
    </row>
    <row r="26" ht="22" customHeight="1">
      <c r="B26" s="8" t="inlineStr">
        <is>
          <t>MR/2025/0022</t>
        </is>
      </c>
      <c r="C26" s="9" t="inlineStr"/>
      <c r="D26" s="9" t="inlineStr"/>
      <c r="E26" s="10" t="inlineStr">
        <is>
          <t>Civil — Painting</t>
        </is>
      </c>
      <c r="F26" s="10" t="inlineStr"/>
      <c r="G26" s="8" t="inlineStr">
        <is>
          <t>P2 — Urgent (24 hrs)</t>
        </is>
      </c>
      <c r="H26" s="9" t="inlineStr"/>
      <c r="I26" s="10" t="inlineStr"/>
      <c r="J26" s="10" t="inlineStr"/>
      <c r="K26" s="10" t="inlineStr">
        <is>
          <t>On Hold — Material Pending</t>
        </is>
      </c>
    </row>
    <row r="27" ht="22" customHeight="1">
      <c r="B27" s="14" t="inlineStr">
        <is>
          <t>MR/2025/0023</t>
        </is>
      </c>
      <c r="C27" s="15" t="inlineStr"/>
      <c r="D27" s="15" t="inlineStr"/>
      <c r="E27" s="16" t="inlineStr">
        <is>
          <t>Civil — Doors/Windows</t>
        </is>
      </c>
      <c r="F27" s="16" t="inlineStr"/>
      <c r="G27" s="14" t="inlineStr">
        <is>
          <t>P3 — Routine (7 days)</t>
        </is>
      </c>
      <c r="H27" s="15" t="inlineStr"/>
      <c r="I27" s="16" t="inlineStr"/>
      <c r="J27" s="16" t="inlineStr"/>
      <c r="K27" s="16" t="inlineStr">
        <is>
          <t>Completed</t>
        </is>
      </c>
    </row>
    <row r="28" ht="22" customHeight="1">
      <c r="B28" s="8" t="inlineStr">
        <is>
          <t>MR/2025/0024</t>
        </is>
      </c>
      <c r="C28" s="9" t="inlineStr"/>
      <c r="D28" s="9" t="inlineStr"/>
      <c r="E28" s="10" t="inlineStr">
        <is>
          <t>Electrical — Lighting</t>
        </is>
      </c>
      <c r="F28" s="10" t="inlineStr"/>
      <c r="G28" s="8" t="inlineStr">
        <is>
          <t>P4 — Planned (Next Schedule)</t>
        </is>
      </c>
      <c r="H28" s="9" t="inlineStr"/>
      <c r="I28" s="10" t="inlineStr"/>
      <c r="J28" s="10" t="inlineStr"/>
      <c r="K28" s="10" t="inlineStr">
        <is>
          <t>Cancelled</t>
        </is>
      </c>
    </row>
    <row r="29" ht="22" customHeight="1">
      <c r="B29" s="14" t="inlineStr">
        <is>
          <t>MR/2025/0025</t>
        </is>
      </c>
      <c r="C29" s="15" t="inlineStr"/>
      <c r="D29" s="15" t="inlineStr"/>
      <c r="E29" s="16" t="inlineStr">
        <is>
          <t>Electrical — Power</t>
        </is>
      </c>
      <c r="F29" s="16" t="inlineStr"/>
      <c r="G29" s="14" t="inlineStr">
        <is>
          <t>P1 — Emergency (4 hrs)</t>
        </is>
      </c>
      <c r="H29" s="15" t="inlineStr"/>
      <c r="I29" s="16" t="inlineStr"/>
      <c r="J29" s="16" t="inlineStr"/>
      <c r="K29" s="16" t="inlineStr">
        <is>
          <t>Open</t>
        </is>
      </c>
    </row>
    <row r="30" ht="22" customHeight="1">
      <c r="B30" s="8" t="inlineStr">
        <is>
          <t>MR/2025/0026</t>
        </is>
      </c>
      <c r="C30" s="9" t="inlineStr"/>
      <c r="D30" s="9" t="inlineStr"/>
      <c r="E30" s="10" t="inlineStr">
        <is>
          <t>Electrical — AC/Fans</t>
        </is>
      </c>
      <c r="F30" s="10" t="inlineStr"/>
      <c r="G30" s="8" t="inlineStr">
        <is>
          <t>P2 — Urgent (24 hrs)</t>
        </is>
      </c>
      <c r="H30" s="9" t="inlineStr"/>
      <c r="I30" s="10" t="inlineStr"/>
      <c r="J30" s="10" t="inlineStr"/>
      <c r="K30" s="10" t="inlineStr">
        <is>
          <t>Assigned</t>
        </is>
      </c>
    </row>
    <row r="31" ht="22" customHeight="1">
      <c r="B31" s="14" t="inlineStr">
        <is>
          <t>MR/2025/0027</t>
        </is>
      </c>
      <c r="C31" s="15" t="inlineStr"/>
      <c r="D31" s="15" t="inlineStr"/>
      <c r="E31" s="16" t="inlineStr">
        <is>
          <t>Plumbing — Water Supply</t>
        </is>
      </c>
      <c r="F31" s="16" t="inlineStr"/>
      <c r="G31" s="14" t="inlineStr">
        <is>
          <t>P3 — Routine (7 days)</t>
        </is>
      </c>
      <c r="H31" s="15" t="inlineStr"/>
      <c r="I31" s="16" t="inlineStr"/>
      <c r="J31" s="16" t="inlineStr"/>
      <c r="K31" s="16" t="inlineStr">
        <is>
          <t>In Progress</t>
        </is>
      </c>
    </row>
    <row r="32" ht="22" customHeight="1">
      <c r="B32" s="8" t="inlineStr">
        <is>
          <t>MR/2025/0028</t>
        </is>
      </c>
      <c r="C32" s="9" t="inlineStr"/>
      <c r="D32" s="9" t="inlineStr"/>
      <c r="E32" s="10" t="inlineStr">
        <is>
          <t>Plumbing — Drainage</t>
        </is>
      </c>
      <c r="F32" s="10" t="inlineStr"/>
      <c r="G32" s="8" t="inlineStr">
        <is>
          <t>P4 — Planned (Next Schedule)</t>
        </is>
      </c>
      <c r="H32" s="9" t="inlineStr"/>
      <c r="I32" s="10" t="inlineStr"/>
      <c r="J32" s="10" t="inlineStr"/>
      <c r="K32" s="10" t="inlineStr">
        <is>
          <t>On Hold — Material Pending</t>
        </is>
      </c>
    </row>
    <row r="33" ht="22" customHeight="1">
      <c r="B33" s="14" t="inlineStr">
        <is>
          <t>MR/2025/0029</t>
        </is>
      </c>
      <c r="C33" s="15" t="inlineStr"/>
      <c r="D33" s="15" t="inlineStr"/>
      <c r="E33" s="16" t="inlineStr">
        <is>
          <t>Plumbing — Sanitary</t>
        </is>
      </c>
      <c r="F33" s="16" t="inlineStr"/>
      <c r="G33" s="14" t="inlineStr">
        <is>
          <t>P1 — Emergency (4 hrs)</t>
        </is>
      </c>
      <c r="H33" s="15" t="inlineStr"/>
      <c r="I33" s="16" t="inlineStr"/>
      <c r="J33" s="16" t="inlineStr"/>
      <c r="K33" s="16" t="inlineStr">
        <is>
          <t>Completed</t>
        </is>
      </c>
    </row>
    <row r="34" ht="22" customHeight="1">
      <c r="B34" s="8" t="inlineStr">
        <is>
          <t>MR/2025/0030</t>
        </is>
      </c>
      <c r="C34" s="9" t="inlineStr"/>
      <c r="D34" s="9" t="inlineStr"/>
      <c r="E34" s="10" t="inlineStr">
        <is>
          <t>HVAC — AC Service</t>
        </is>
      </c>
      <c r="F34" s="10" t="inlineStr"/>
      <c r="G34" s="8" t="inlineStr">
        <is>
          <t>P2 — Urgent (24 hrs)</t>
        </is>
      </c>
      <c r="H34" s="9" t="inlineStr"/>
      <c r="I34" s="10" t="inlineStr"/>
      <c r="J34" s="10" t="inlineStr"/>
      <c r="K34" s="10" t="inlineStr">
        <is>
          <t>Cancelled</t>
        </is>
      </c>
    </row>
    <row r="35" ht="22" customHeight="1">
      <c r="B35" s="14" t="inlineStr">
        <is>
          <t>MR/2025/0031</t>
        </is>
      </c>
      <c r="C35" s="15" t="inlineStr"/>
      <c r="D35" s="15" t="inlineStr"/>
      <c r="E35" s="16" t="inlineStr">
        <is>
          <t>DG Set</t>
        </is>
      </c>
      <c r="F35" s="16" t="inlineStr"/>
      <c r="G35" s="14" t="inlineStr">
        <is>
          <t>P3 — Routine (7 days)</t>
        </is>
      </c>
      <c r="H35" s="15" t="inlineStr"/>
      <c r="I35" s="16" t="inlineStr"/>
      <c r="J35" s="16" t="inlineStr"/>
      <c r="K35" s="16" t="inlineStr">
        <is>
          <t>Open</t>
        </is>
      </c>
    </row>
    <row r="36" ht="22" customHeight="1">
      <c r="B36" s="8" t="inlineStr">
        <is>
          <t>MR/2025/0032</t>
        </is>
      </c>
      <c r="C36" s="9" t="inlineStr"/>
      <c r="D36" s="9" t="inlineStr"/>
      <c r="E36" s="10" t="inlineStr">
        <is>
          <t>Fire Safety</t>
        </is>
      </c>
      <c r="F36" s="10" t="inlineStr"/>
      <c r="G36" s="8" t="inlineStr">
        <is>
          <t>P4 — Planned (Next Schedule)</t>
        </is>
      </c>
      <c r="H36" s="9" t="inlineStr"/>
      <c r="I36" s="10" t="inlineStr"/>
      <c r="J36" s="10" t="inlineStr"/>
      <c r="K36" s="10" t="inlineStr">
        <is>
          <t>Assigned</t>
        </is>
      </c>
    </row>
    <row r="37" ht="22" customHeight="1"/>
    <row r="38" ht="24" customHeight="1">
      <c r="B38" s="36" t="inlineStr">
        <is>
          <t>REQUEST STATISTICS</t>
        </is>
      </c>
    </row>
    <row r="39" ht="22" customHeight="1">
      <c r="B39" s="40" t="inlineStr">
        <is>
          <t>Total Requests Logged</t>
        </is>
      </c>
      <c r="F39" s="38">
        <f>COUNTA(B5:B36)</f>
        <v/>
      </c>
    </row>
    <row r="40">
      <c r="B40" s="27" t="inlineStr">
        <is>
          <t>P1 Emergency Requests</t>
        </is>
      </c>
      <c r="F40" s="39">
        <f>COUNTIF(G5:G36,"P1 — Emergency (4 hrs)")</f>
        <v/>
      </c>
    </row>
    <row r="41">
      <c r="B41" s="40" t="inlineStr">
        <is>
          <t>P2 Urgent Requests</t>
        </is>
      </c>
      <c r="F41" s="38">
        <f>COUNTIF(G5:G36,"P2 — Urgent (24 hrs)")</f>
        <v/>
      </c>
    </row>
    <row r="42">
      <c r="B42" s="27" t="inlineStr">
        <is>
          <t>Completed</t>
        </is>
      </c>
      <c r="F42" s="39">
        <f>COUNTIF(K5:K36,"Completed")</f>
        <v/>
      </c>
    </row>
    <row r="43">
      <c r="B43" s="40" t="inlineStr">
        <is>
          <t>Pending / Open</t>
        </is>
      </c>
      <c r="F43" s="38">
        <f>COUNTIF(K5:K36,"Open")+COUNTIF(K5:K36,"Assigned")</f>
        <v/>
      </c>
    </row>
    <row r="44">
      <c r="B44" s="27" t="inlineStr">
        <is>
          <t>Completion Rate (%)</t>
        </is>
      </c>
      <c r="F44" s="39">
        <f>IFERROR(ROUND(C41/C38*100,1),"")</f>
        <v/>
      </c>
    </row>
  </sheetData>
  <mergeCells count="15">
    <mergeCell ref="B40:E40"/>
    <mergeCell ref="B41:E41"/>
    <mergeCell ref="B43:E43"/>
    <mergeCell ref="F42:K42"/>
    <mergeCell ref="B44:E44"/>
    <mergeCell ref="F40:K40"/>
    <mergeCell ref="F41:K41"/>
    <mergeCell ref="B39:E39"/>
    <mergeCell ref="B38:K38"/>
    <mergeCell ref="B2:K2"/>
    <mergeCell ref="F43:K43"/>
    <mergeCell ref="B42:E42"/>
    <mergeCell ref="F44:K44"/>
    <mergeCell ref="B3:K3"/>
    <mergeCell ref="F39:K3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3" customWidth="1" min="11" max="11"/>
  </cols>
  <sheetData>
    <row r="1" ht="10" customHeight="1"/>
    <row r="2" ht="48" customHeight="1">
      <c r="B2" s="12" t="inlineStr">
        <is>
          <t>CIV-01: ANNUAL BUILDING CONDITION ASSESSMENT REGISTER</t>
        </is>
      </c>
    </row>
    <row r="3" ht="20" customHeight="1">
      <c r="B3" s="24" t="inlineStr">
        <is>
          <t>A.Y.: _______  Civil Engineer: ___________________  Assessment Date: _______</t>
        </is>
      </c>
    </row>
    <row r="4" ht="25" customHeight="1">
      <c r="B4" s="20" t="inlineStr">
        <is>
          <t>Building /
Block</t>
        </is>
      </c>
      <c r="C4" s="20" t="inlineStr">
        <is>
          <t>Structure /
Area</t>
        </is>
      </c>
      <c r="D4" s="20" t="inlineStr">
        <is>
          <t>Year
Built</t>
        </is>
      </c>
      <c r="E4" s="20" t="inlineStr">
        <is>
          <t>Structural
(/5)</t>
        </is>
      </c>
      <c r="F4" s="20" t="inlineStr">
        <is>
          <t>Roof /
Waterproof
(/5)</t>
        </is>
      </c>
      <c r="G4" s="20" t="inlineStr">
        <is>
          <t>Flooring
(/5)</t>
        </is>
      </c>
      <c r="H4" s="20" t="inlineStr">
        <is>
          <t>Doors &amp;
Windows
(/5)</t>
        </is>
      </c>
      <c r="I4" s="20" t="inlineStr">
        <is>
          <t>Overall
Score (/5)</t>
        </is>
      </c>
      <c r="J4" s="20" t="inlineStr">
        <is>
          <t>Priority
Action</t>
        </is>
      </c>
    </row>
    <row r="5" ht="24" customHeight="1">
      <c r="B5" s="40" t="inlineStr">
        <is>
          <t>Academic Block A</t>
        </is>
      </c>
      <c r="C5" s="15" t="inlineStr">
        <is>
          <t>Classrooms, Corridors</t>
        </is>
      </c>
      <c r="D5" s="16" t="inlineStr"/>
      <c r="E5" s="16" t="inlineStr"/>
      <c r="F5" s="16" t="inlineStr"/>
      <c r="G5" s="16" t="inlineStr"/>
      <c r="H5" s="16" t="inlineStr"/>
      <c r="I5" s="41">
        <f>IFERROR(ROUND(AVERAGE(E5:H5),1),"")</f>
        <v/>
      </c>
      <c r="J5" s="15" t="inlineStr"/>
    </row>
    <row r="6" ht="24" customHeight="1">
      <c r="B6" s="27" t="inlineStr">
        <is>
          <t>Academic Block B</t>
        </is>
      </c>
      <c r="C6" s="9" t="inlineStr">
        <is>
          <t>Classrooms, Labs</t>
        </is>
      </c>
      <c r="D6" s="10" t="inlineStr"/>
      <c r="E6" s="10" t="inlineStr"/>
      <c r="F6" s="10" t="inlineStr"/>
      <c r="G6" s="10" t="inlineStr"/>
      <c r="H6" s="10" t="inlineStr"/>
      <c r="I6" s="39">
        <f>IFERROR(ROUND(AVERAGE(E6:H6),1),"")</f>
        <v/>
      </c>
      <c r="J6" s="9" t="inlineStr"/>
    </row>
    <row r="7" ht="24" customHeight="1">
      <c r="B7" s="40" t="inlineStr">
        <is>
          <t>Laboratory Block</t>
        </is>
      </c>
      <c r="C7" s="15" t="inlineStr">
        <is>
          <t>Physics, Chemistry, Electronics Labs</t>
        </is>
      </c>
      <c r="D7" s="16" t="inlineStr"/>
      <c r="E7" s="16" t="inlineStr"/>
      <c r="F7" s="16" t="inlineStr"/>
      <c r="G7" s="16" t="inlineStr"/>
      <c r="H7" s="16" t="inlineStr"/>
      <c r="I7" s="41">
        <f>IFERROR(ROUND(AVERAGE(E7:H7),1),"")</f>
        <v/>
      </c>
      <c r="J7" s="15" t="inlineStr"/>
    </row>
    <row r="8" ht="24" customHeight="1">
      <c r="B8" s="27" t="inlineStr">
        <is>
          <t>Workshop / Fabrication</t>
        </is>
      </c>
      <c r="C8" s="9" t="inlineStr">
        <is>
          <t>Mechanical Workshop</t>
        </is>
      </c>
      <c r="D8" s="10" t="inlineStr"/>
      <c r="E8" s="10" t="inlineStr"/>
      <c r="F8" s="10" t="inlineStr"/>
      <c r="G8" s="10" t="inlineStr"/>
      <c r="H8" s="10" t="inlineStr"/>
      <c r="I8" s="39">
        <f>IFERROR(ROUND(AVERAGE(E8:H8),1),"")</f>
        <v/>
      </c>
      <c r="J8" s="9" t="inlineStr"/>
    </row>
    <row r="9" ht="24" customHeight="1">
      <c r="B9" s="40" t="inlineStr">
        <is>
          <t>Administrative Block</t>
        </is>
      </c>
      <c r="C9" s="15" t="inlineStr">
        <is>
          <t>Offices, Principal Block</t>
        </is>
      </c>
      <c r="D9" s="16" t="inlineStr"/>
      <c r="E9" s="16" t="inlineStr"/>
      <c r="F9" s="16" t="inlineStr"/>
      <c r="G9" s="16" t="inlineStr"/>
      <c r="H9" s="16" t="inlineStr"/>
      <c r="I9" s="41">
        <f>IFERROR(ROUND(AVERAGE(E9:H9),1),"")</f>
        <v/>
      </c>
      <c r="J9" s="15" t="inlineStr"/>
    </row>
    <row r="10" ht="24" customHeight="1">
      <c r="B10" s="27" t="inlineStr">
        <is>
          <t>Library Building</t>
        </is>
      </c>
      <c r="C10" s="9" t="inlineStr">
        <is>
          <t>Reading Room, Stacks</t>
        </is>
      </c>
      <c r="D10" s="10" t="inlineStr"/>
      <c r="E10" s="10" t="inlineStr"/>
      <c r="F10" s="10" t="inlineStr"/>
      <c r="G10" s="10" t="inlineStr"/>
      <c r="H10" s="10" t="inlineStr"/>
      <c r="I10" s="39">
        <f>IFERROR(ROUND(AVERAGE(E10:H10),1),"")</f>
        <v/>
      </c>
      <c r="J10" s="9" t="inlineStr"/>
    </row>
    <row r="11" ht="24" customHeight="1">
      <c r="B11" s="40" t="inlineStr">
        <is>
          <t>Auditorium / Seminar Hall</t>
        </is>
      </c>
      <c r="C11" s="15" t="inlineStr">
        <is>
          <t>Main Hall, Stage, Backstage</t>
        </is>
      </c>
      <c r="D11" s="16" t="inlineStr"/>
      <c r="E11" s="16" t="inlineStr"/>
      <c r="F11" s="16" t="inlineStr"/>
      <c r="G11" s="16" t="inlineStr"/>
      <c r="H11" s="16" t="inlineStr"/>
      <c r="I11" s="41">
        <f>IFERROR(ROUND(AVERAGE(E11:H11),1),"")</f>
        <v/>
      </c>
      <c r="J11" s="15" t="inlineStr"/>
    </row>
    <row r="12" ht="24" customHeight="1">
      <c r="B12" s="27" t="inlineStr">
        <is>
          <t>Canteen Building</t>
        </is>
      </c>
      <c r="C12" s="9" t="inlineStr">
        <is>
          <t>Kitchen, Dining Area</t>
        </is>
      </c>
      <c r="D12" s="10" t="inlineStr"/>
      <c r="E12" s="10" t="inlineStr"/>
      <c r="F12" s="10" t="inlineStr"/>
      <c r="G12" s="10" t="inlineStr"/>
      <c r="H12" s="10" t="inlineStr"/>
      <c r="I12" s="39">
        <f>IFERROR(ROUND(AVERAGE(E12:H12),1),"")</f>
        <v/>
      </c>
      <c r="J12" s="9" t="inlineStr"/>
    </row>
    <row r="13" ht="24" customHeight="1">
      <c r="B13" s="40" t="inlineStr">
        <is>
          <t>Boys Hostel Block A</t>
        </is>
      </c>
      <c r="C13" s="15" t="inlineStr">
        <is>
          <t>Rooms, Common Areas</t>
        </is>
      </c>
      <c r="D13" s="16" t="inlineStr"/>
      <c r="E13" s="16" t="inlineStr"/>
      <c r="F13" s="16" t="inlineStr"/>
      <c r="G13" s="16" t="inlineStr"/>
      <c r="H13" s="16" t="inlineStr"/>
      <c r="I13" s="41">
        <f>IFERROR(ROUND(AVERAGE(E13:H13),1),"")</f>
        <v/>
      </c>
      <c r="J13" s="15" t="inlineStr"/>
    </row>
    <row r="14" ht="24" customHeight="1">
      <c r="B14" s="27" t="inlineStr">
        <is>
          <t>Boys Hostel Block B</t>
        </is>
      </c>
      <c r="C14" s="9" t="inlineStr">
        <is>
          <t>Rooms, Bathrooms</t>
        </is>
      </c>
      <c r="D14" s="10" t="inlineStr"/>
      <c r="E14" s="10" t="inlineStr"/>
      <c r="F14" s="10" t="inlineStr"/>
      <c r="G14" s="10" t="inlineStr"/>
      <c r="H14" s="10" t="inlineStr"/>
      <c r="I14" s="39">
        <f>IFERROR(ROUND(AVERAGE(E14:H14),1),"")</f>
        <v/>
      </c>
      <c r="J14" s="9" t="inlineStr"/>
    </row>
    <row r="15" ht="24" customHeight="1">
      <c r="B15" s="40" t="inlineStr">
        <is>
          <t>Girls Hostel Block A</t>
        </is>
      </c>
      <c r="C15" s="15" t="inlineStr">
        <is>
          <t>Rooms, Common Areas</t>
        </is>
      </c>
      <c r="D15" s="16" t="inlineStr"/>
      <c r="E15" s="16" t="inlineStr"/>
      <c r="F15" s="16" t="inlineStr"/>
      <c r="G15" s="16" t="inlineStr"/>
      <c r="H15" s="16" t="inlineStr"/>
      <c r="I15" s="41">
        <f>IFERROR(ROUND(AVERAGE(E15:H15),1),"")</f>
        <v/>
      </c>
      <c r="J15" s="15" t="inlineStr"/>
    </row>
    <row r="16" ht="24" customHeight="1">
      <c r="B16" s="27" t="inlineStr">
        <is>
          <t>Girls Hostel Block B</t>
        </is>
      </c>
      <c r="C16" s="9" t="inlineStr">
        <is>
          <t>Rooms, Bathrooms</t>
        </is>
      </c>
      <c r="D16" s="10" t="inlineStr"/>
      <c r="E16" s="10" t="inlineStr"/>
      <c r="F16" s="10" t="inlineStr"/>
      <c r="G16" s="10" t="inlineStr"/>
      <c r="H16" s="10" t="inlineStr"/>
      <c r="I16" s="39">
        <f>IFERROR(ROUND(AVERAGE(E16:H16),1),"")</f>
        <v/>
      </c>
      <c r="J16" s="9" t="inlineStr"/>
    </row>
    <row r="17" ht="24" customHeight="1">
      <c r="B17" s="40" t="inlineStr">
        <is>
          <t>Sports Complex</t>
        </is>
      </c>
      <c r="C17" s="15" t="inlineStr">
        <is>
          <t>Indoor Courts, Change Rooms</t>
        </is>
      </c>
      <c r="D17" s="16" t="inlineStr"/>
      <c r="E17" s="16" t="inlineStr"/>
      <c r="F17" s="16" t="inlineStr"/>
      <c r="G17" s="16" t="inlineStr"/>
      <c r="H17" s="16" t="inlineStr"/>
      <c r="I17" s="41">
        <f>IFERROR(ROUND(AVERAGE(E17:H17),1),"")</f>
        <v/>
      </c>
      <c r="J17" s="15" t="inlineStr"/>
    </row>
    <row r="18" ht="24" customHeight="1">
      <c r="B18" s="27" t="inlineStr">
        <is>
          <t>Security / Guard Room</t>
        </is>
      </c>
      <c r="C18" s="9" t="inlineStr">
        <is>
          <t>Gate Posts</t>
        </is>
      </c>
      <c r="D18" s="10" t="inlineStr"/>
      <c r="E18" s="10" t="inlineStr"/>
      <c r="F18" s="10" t="inlineStr"/>
      <c r="G18" s="10" t="inlineStr"/>
      <c r="H18" s="10" t="inlineStr"/>
      <c r="I18" s="39">
        <f>IFERROR(ROUND(AVERAGE(E18:H18),1),"")</f>
        <v/>
      </c>
      <c r="J18" s="9" t="inlineStr"/>
    </row>
    <row r="19" ht="24" customHeight="1">
      <c r="B19" s="40" t="inlineStr">
        <is>
          <t>Generator / Pump Room</t>
        </is>
      </c>
      <c r="C19" s="15" t="inlineStr">
        <is>
          <t>DG Room, Water Works</t>
        </is>
      </c>
      <c r="D19" s="16" t="inlineStr"/>
      <c r="E19" s="16" t="inlineStr"/>
      <c r="F19" s="16" t="inlineStr"/>
      <c r="G19" s="16" t="inlineStr"/>
      <c r="H19" s="16" t="inlineStr"/>
      <c r="I19" s="41">
        <f>IFERROR(ROUND(AVERAGE(E19:H19),1),"")</f>
        <v/>
      </c>
      <c r="J19" s="15" t="inlineStr"/>
    </row>
    <row r="20" ht="24" customHeight="1">
      <c r="B20" s="27" t="inlineStr">
        <is>
          <t>Boundary Wall &amp; Gates</t>
        </is>
      </c>
      <c r="C20" s="9" t="inlineStr">
        <is>
          <t>Perimeter</t>
        </is>
      </c>
      <c r="D20" s="10" t="inlineStr"/>
      <c r="E20" s="10" t="inlineStr"/>
      <c r="F20" s="10" t="inlineStr"/>
      <c r="G20" s="10" t="inlineStr"/>
      <c r="H20" s="10" t="inlineStr"/>
      <c r="I20" s="39">
        <f>IFERROR(ROUND(AVERAGE(E20:H20),1),"")</f>
        <v/>
      </c>
      <c r="J20" s="9" t="inlineStr"/>
    </row>
    <row r="21" ht="24" customHeight="1"/>
    <row r="22" ht="24" customHeight="1">
      <c r="B22" s="36" t="inlineStr">
        <is>
          <t>ASSESSMENT SUMMARY</t>
        </is>
      </c>
    </row>
    <row r="23" ht="24" customHeight="1">
      <c r="B23" s="40" t="inlineStr">
        <is>
          <t>Total Buildings Assessed</t>
        </is>
      </c>
      <c r="F23" s="38">
        <f>COUNTA(B5:B20)</f>
        <v/>
      </c>
    </row>
    <row r="24" ht="24" customHeight="1">
      <c r="B24" s="27" t="inlineStr">
        <is>
          <t>Excellent Condition (≥4.5)</t>
        </is>
      </c>
      <c r="F24" s="39">
        <f>COUNTIF(I5:I20,"&gt;="&amp;4.5)</f>
        <v/>
      </c>
    </row>
    <row r="25" ht="24" customHeight="1">
      <c r="B25" s="40" t="inlineStr">
        <is>
          <t>Good (3.5–4.4)</t>
        </is>
      </c>
      <c r="F25" s="38">
        <f>COUNTIF(I5:I20,"&gt;="&amp;3.5)-COUNTIF(I5:I20,"&gt;="&amp;4.5)</f>
        <v/>
      </c>
    </row>
    <row r="26" ht="24" customHeight="1">
      <c r="B26" s="27" t="inlineStr">
        <is>
          <t>Needs Attention (&lt; 3.5)</t>
        </is>
      </c>
      <c r="F26" s="39">
        <f>COUNTIF(I5:I20,"&lt;"&amp;3.5)</f>
        <v/>
      </c>
    </row>
    <row r="27" ht="24" customHeight="1">
      <c r="B27" s="40" t="inlineStr">
        <is>
          <t>Campus Average Score (/5)</t>
        </is>
      </c>
      <c r="F27" s="38">
        <f>IFERROR(ROUND(AVERAGE(I5:I20),2),"")</f>
        <v/>
      </c>
    </row>
    <row r="28" ht="24" customHeight="1">
      <c r="B28" s="27" t="inlineStr">
        <is>
          <t>Priority Repairs Identified</t>
        </is>
      </c>
      <c r="F28" s="39">
        <f>COUNTIF(J5:J20,"&lt;&gt;"&amp;"")</f>
        <v/>
      </c>
    </row>
    <row r="29" ht="24" customHeight="1"/>
  </sheetData>
  <mergeCells count="15">
    <mergeCell ref="B23:E23"/>
    <mergeCell ref="B26:E26"/>
    <mergeCell ref="B3:J3"/>
    <mergeCell ref="B27:E27"/>
    <mergeCell ref="F24:J24"/>
    <mergeCell ref="F23:J23"/>
    <mergeCell ref="B22:J22"/>
    <mergeCell ref="F25:J25"/>
    <mergeCell ref="F27:J27"/>
    <mergeCell ref="B25:E25"/>
    <mergeCell ref="F28:J28"/>
    <mergeCell ref="B24:E24"/>
    <mergeCell ref="B28:E28"/>
    <mergeCell ref="F26:J26"/>
    <mergeCell ref="B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J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3" customWidth="1" min="11" max="11"/>
  </cols>
  <sheetData>
    <row r="1" ht="10" customHeight="1"/>
    <row r="2" ht="48" customHeight="1">
      <c r="B2" s="12" t="inlineStr">
        <is>
          <t>ELE-01: ELECTRICAL SYSTEM PERIODIC INSPECTION REGISTER</t>
        </is>
      </c>
    </row>
    <row r="3" ht="20" customHeight="1">
      <c r="B3" s="17" t="inlineStr">
        <is>
          <t>Monthly inspection of distribution panels and MCBs. Quarterly inspection of main switchgear. Annual IR test, earth resistance test, and insulation resistance test. Hire licensed electrician for testing.</t>
        </is>
      </c>
    </row>
    <row r="4" ht="25" customHeight="1">
      <c r="B4" s="13" t="inlineStr">
        <is>
          <t>Inspection
Ref.</t>
        </is>
      </c>
      <c r="C4" s="13" t="inlineStr">
        <is>
          <t>Area / System</t>
        </is>
      </c>
      <c r="D4" s="13" t="inlineStr">
        <is>
          <t>Inspection
Type</t>
        </is>
      </c>
      <c r="E4" s="13" t="inlineStr">
        <is>
          <t>Date</t>
        </is>
      </c>
      <c r="F4" s="13" t="inlineStr">
        <is>
          <t>Inspector</t>
        </is>
      </c>
      <c r="G4" s="13" t="inlineStr">
        <is>
          <t>Phase
Voltage
OK</t>
        </is>
      </c>
      <c r="H4" s="13" t="inlineStr">
        <is>
          <t>MCB /
Fuse OK</t>
        </is>
      </c>
      <c r="I4" s="13" t="inlineStr">
        <is>
          <t>Earthing
OK</t>
        </is>
      </c>
      <c r="J4" s="13" t="inlineStr">
        <is>
          <t>Action
Required</t>
        </is>
      </c>
    </row>
    <row r="5" ht="22" customHeight="1">
      <c r="B5" s="42" t="inlineStr">
        <is>
          <t>EI/001</t>
        </is>
      </c>
      <c r="C5" s="43" t="inlineStr">
        <is>
          <t>Main LT Panel — Block A</t>
        </is>
      </c>
      <c r="D5" s="44" t="inlineStr">
        <is>
          <t>Monthly Distribution Check</t>
        </is>
      </c>
      <c r="E5" s="44" t="inlineStr"/>
      <c r="F5" s="43" t="inlineStr"/>
      <c r="G5" s="44" t="inlineStr">
        <is>
          <t>OK</t>
        </is>
      </c>
      <c r="H5" s="44" t="inlineStr">
        <is>
          <t>OK</t>
        </is>
      </c>
      <c r="I5" s="44" t="inlineStr">
        <is>
          <t>OK</t>
        </is>
      </c>
      <c r="J5" s="43" t="inlineStr">
        <is>
          <t>NIL</t>
        </is>
      </c>
    </row>
    <row r="6" ht="22" customHeight="1">
      <c r="B6" s="8" t="inlineStr">
        <is>
          <t>EI/002</t>
        </is>
      </c>
      <c r="C6" s="9" t="inlineStr">
        <is>
          <t>Main LT Panel — Block B</t>
        </is>
      </c>
      <c r="D6" s="10" t="inlineStr">
        <is>
          <t>Quarterly Switchgear Check</t>
        </is>
      </c>
      <c r="E6" s="10" t="inlineStr"/>
      <c r="F6" s="9" t="inlineStr"/>
      <c r="G6" s="10" t="inlineStr">
        <is>
          <t>OK</t>
        </is>
      </c>
      <c r="H6" s="10" t="inlineStr">
        <is>
          <t>OK</t>
        </is>
      </c>
      <c r="I6" s="10" t="inlineStr">
        <is>
          <t>OK</t>
        </is>
      </c>
      <c r="J6" s="9" t="inlineStr">
        <is>
          <t>NIL</t>
        </is>
      </c>
    </row>
    <row r="7" ht="22" customHeight="1">
      <c r="B7" s="42" t="inlineStr">
        <is>
          <t>EI/003</t>
        </is>
      </c>
      <c r="C7" s="43" t="inlineStr">
        <is>
          <t>Sub-panel — Lab Block</t>
        </is>
      </c>
      <c r="D7" s="44" t="inlineStr">
        <is>
          <t>Annual IR Test</t>
        </is>
      </c>
      <c r="E7" s="44" t="inlineStr"/>
      <c r="F7" s="43" t="inlineStr"/>
      <c r="G7" s="44" t="inlineStr">
        <is>
          <t>OK</t>
        </is>
      </c>
      <c r="H7" s="44" t="inlineStr">
        <is>
          <t>OK</t>
        </is>
      </c>
      <c r="I7" s="44" t="inlineStr">
        <is>
          <t>OK</t>
        </is>
      </c>
      <c r="J7" s="43" t="inlineStr">
        <is>
          <t>NIL</t>
        </is>
      </c>
    </row>
    <row r="8" ht="22" customHeight="1">
      <c r="B8" s="8" t="inlineStr">
        <is>
          <t>EI/004</t>
        </is>
      </c>
      <c r="C8" s="9" t="inlineStr">
        <is>
          <t>Sub-panel — Admin Block</t>
        </is>
      </c>
      <c r="D8" s="10" t="inlineStr">
        <is>
          <t>Annual Earth Resistance Test</t>
        </is>
      </c>
      <c r="E8" s="10" t="inlineStr"/>
      <c r="F8" s="9" t="inlineStr"/>
      <c r="G8" s="10" t="inlineStr">
        <is>
          <t>OK</t>
        </is>
      </c>
      <c r="H8" s="10" t="inlineStr">
        <is>
          <t>OK</t>
        </is>
      </c>
      <c r="I8" s="10" t="inlineStr">
        <is>
          <t>OK</t>
        </is>
      </c>
      <c r="J8" s="9" t="inlineStr">
        <is>
          <t>NIL</t>
        </is>
      </c>
    </row>
    <row r="9" ht="22" customHeight="1">
      <c r="B9" s="42" t="inlineStr">
        <is>
          <t>EI/005</t>
        </is>
      </c>
      <c r="C9" s="43" t="inlineStr">
        <is>
          <t>Sub-panel — Library</t>
        </is>
      </c>
      <c r="D9" s="44" t="inlineStr">
        <is>
          <t>Thermographic Scan</t>
        </is>
      </c>
      <c r="E9" s="44" t="inlineStr"/>
      <c r="F9" s="43" t="inlineStr"/>
      <c r="G9" s="44" t="inlineStr">
        <is>
          <t>OK</t>
        </is>
      </c>
      <c r="H9" s="44" t="inlineStr">
        <is>
          <t>OK</t>
        </is>
      </c>
      <c r="I9" s="44" t="inlineStr">
        <is>
          <t>OK</t>
        </is>
      </c>
      <c r="J9" s="43" t="inlineStr">
        <is>
          <t>NIL</t>
        </is>
      </c>
    </row>
    <row r="10" ht="22" customHeight="1">
      <c r="B10" s="8" t="inlineStr">
        <is>
          <t>EI/006</t>
        </is>
      </c>
      <c r="C10" s="9" t="inlineStr">
        <is>
          <t>Sub-panel — Hostels</t>
        </is>
      </c>
      <c r="D10" s="10" t="inlineStr">
        <is>
          <t>Load Assessment</t>
        </is>
      </c>
      <c r="E10" s="10" t="inlineStr"/>
      <c r="F10" s="9" t="inlineStr"/>
      <c r="G10" s="10" t="inlineStr">
        <is>
          <t>OK</t>
        </is>
      </c>
      <c r="H10" s="10" t="inlineStr">
        <is>
          <t>OK</t>
        </is>
      </c>
      <c r="I10" s="10" t="inlineStr">
        <is>
          <t>OK</t>
        </is>
      </c>
      <c r="J10" s="9" t="inlineStr">
        <is>
          <t>NIL</t>
        </is>
      </c>
    </row>
    <row r="11" ht="22" customHeight="1">
      <c r="B11" s="42" t="inlineStr">
        <is>
          <t>EI/007</t>
        </is>
      </c>
      <c r="C11" s="43" t="inlineStr">
        <is>
          <t>DG Output Panel</t>
        </is>
      </c>
      <c r="D11" s="44" t="inlineStr">
        <is>
          <t>Monthly Distribution Check</t>
        </is>
      </c>
      <c r="E11" s="44" t="inlineStr"/>
      <c r="F11" s="43" t="inlineStr"/>
      <c r="G11" s="44" t="inlineStr">
        <is>
          <t>OK</t>
        </is>
      </c>
      <c r="H11" s="44" t="inlineStr">
        <is>
          <t>OK</t>
        </is>
      </c>
      <c r="I11" s="44" t="inlineStr">
        <is>
          <t>OK</t>
        </is>
      </c>
      <c r="J11" s="43" t="inlineStr">
        <is>
          <t>NIL</t>
        </is>
      </c>
    </row>
    <row r="12" ht="22" customHeight="1">
      <c r="B12" s="8" t="inlineStr">
        <is>
          <t>EI/008</t>
        </is>
      </c>
      <c r="C12" s="9" t="inlineStr">
        <is>
          <t>External Lighting Circuit</t>
        </is>
      </c>
      <c r="D12" s="10" t="inlineStr">
        <is>
          <t>Quarterly Switchgear Check</t>
        </is>
      </c>
      <c r="E12" s="10" t="inlineStr"/>
      <c r="F12" s="9" t="inlineStr"/>
      <c r="G12" s="10" t="inlineStr">
        <is>
          <t>OK</t>
        </is>
      </c>
      <c r="H12" s="10" t="inlineStr">
        <is>
          <t>OK</t>
        </is>
      </c>
      <c r="I12" s="10" t="inlineStr">
        <is>
          <t>OK</t>
        </is>
      </c>
      <c r="J12" s="9" t="inlineStr">
        <is>
          <t>NIL</t>
        </is>
      </c>
    </row>
    <row r="13" ht="22" customHeight="1">
      <c r="B13" s="42" t="inlineStr">
        <is>
          <t>EI/009</t>
        </is>
      </c>
      <c r="C13" s="43" t="inlineStr">
        <is>
          <t>UPS &amp; Battery Room</t>
        </is>
      </c>
      <c r="D13" s="44" t="inlineStr">
        <is>
          <t>Annual IR Test</t>
        </is>
      </c>
      <c r="E13" s="44" t="inlineStr"/>
      <c r="F13" s="43" t="inlineStr"/>
      <c r="G13" s="44" t="inlineStr">
        <is>
          <t>OK</t>
        </is>
      </c>
      <c r="H13" s="44" t="inlineStr">
        <is>
          <t>OK</t>
        </is>
      </c>
      <c r="I13" s="44" t="inlineStr">
        <is>
          <t>OK</t>
        </is>
      </c>
      <c r="J13" s="43" t="inlineStr">
        <is>
          <t>NIL</t>
        </is>
      </c>
    </row>
    <row r="14" ht="22" customHeight="1">
      <c r="B14" s="8" t="inlineStr">
        <is>
          <t>EI/010</t>
        </is>
      </c>
      <c r="C14" s="9" t="inlineStr">
        <is>
          <t>Server Room Electrical</t>
        </is>
      </c>
      <c r="D14" s="10" t="inlineStr">
        <is>
          <t>Annual Earth Resistance Test</t>
        </is>
      </c>
      <c r="E14" s="10" t="inlineStr"/>
      <c r="F14" s="9" t="inlineStr"/>
      <c r="G14" s="10" t="inlineStr">
        <is>
          <t>OK</t>
        </is>
      </c>
      <c r="H14" s="10" t="inlineStr">
        <is>
          <t>OK</t>
        </is>
      </c>
      <c r="I14" s="10" t="inlineStr">
        <is>
          <t>OK</t>
        </is>
      </c>
      <c r="J14" s="9" t="inlineStr">
        <is>
          <t>NIL</t>
        </is>
      </c>
    </row>
    <row r="15" ht="22" customHeight="1">
      <c r="B15" s="42" t="inlineStr">
        <is>
          <t>EI/011</t>
        </is>
      </c>
      <c r="C15" s="43" t="inlineStr">
        <is>
          <t>Lift Machine Room</t>
        </is>
      </c>
      <c r="D15" s="44" t="inlineStr">
        <is>
          <t>Thermographic Scan</t>
        </is>
      </c>
      <c r="E15" s="44" t="inlineStr"/>
      <c r="F15" s="43" t="inlineStr"/>
      <c r="G15" s="44" t="inlineStr">
        <is>
          <t>OK</t>
        </is>
      </c>
      <c r="H15" s="44" t="inlineStr">
        <is>
          <t>OK</t>
        </is>
      </c>
      <c r="I15" s="44" t="inlineStr">
        <is>
          <t>OK</t>
        </is>
      </c>
      <c r="J15" s="43" t="inlineStr">
        <is>
          <t>NIL</t>
        </is>
      </c>
    </row>
    <row r="16" ht="22" customHeight="1">
      <c r="B16" s="8" t="inlineStr">
        <is>
          <t>EI/012</t>
        </is>
      </c>
      <c r="C16" s="9" t="inlineStr">
        <is>
          <t>Pump House Electrical</t>
        </is>
      </c>
      <c r="D16" s="10" t="inlineStr">
        <is>
          <t>Load Assessment</t>
        </is>
      </c>
      <c r="E16" s="10" t="inlineStr"/>
      <c r="F16" s="9" t="inlineStr"/>
      <c r="G16" s="10" t="inlineStr">
        <is>
          <t>OK</t>
        </is>
      </c>
      <c r="H16" s="10" t="inlineStr">
        <is>
          <t>OK</t>
        </is>
      </c>
      <c r="I16" s="10" t="inlineStr">
        <is>
          <t>OK</t>
        </is>
      </c>
      <c r="J16" s="9" t="inlineStr">
        <is>
          <t>NIL</t>
        </is>
      </c>
    </row>
    <row r="17" ht="22" customHeight="1">
      <c r="B17" s="42" t="inlineStr">
        <is>
          <t>EI/013</t>
        </is>
      </c>
      <c r="C17" s="43" t="inlineStr">
        <is>
          <t>Workshop Electrical</t>
        </is>
      </c>
      <c r="D17" s="44" t="inlineStr">
        <is>
          <t>Monthly Distribution Check</t>
        </is>
      </c>
      <c r="E17" s="44" t="inlineStr"/>
      <c r="F17" s="43" t="inlineStr"/>
      <c r="G17" s="44" t="inlineStr">
        <is>
          <t>OK</t>
        </is>
      </c>
      <c r="H17" s="44" t="inlineStr">
        <is>
          <t>OK</t>
        </is>
      </c>
      <c r="I17" s="44" t="inlineStr">
        <is>
          <t>OK</t>
        </is>
      </c>
      <c r="J17" s="43" t="inlineStr">
        <is>
          <t>NIL</t>
        </is>
      </c>
    </row>
    <row r="18" ht="22" customHeight="1">
      <c r="B18" s="8" t="inlineStr">
        <is>
          <t>EI/014</t>
        </is>
      </c>
      <c r="C18" s="9" t="inlineStr">
        <is>
          <t>Auditorium Power</t>
        </is>
      </c>
      <c r="D18" s="10" t="inlineStr">
        <is>
          <t>Quarterly Switchgear Check</t>
        </is>
      </c>
      <c r="E18" s="10" t="inlineStr"/>
      <c r="F18" s="9" t="inlineStr"/>
      <c r="G18" s="10" t="inlineStr">
        <is>
          <t>OK</t>
        </is>
      </c>
      <c r="H18" s="10" t="inlineStr">
        <is>
          <t>OK</t>
        </is>
      </c>
      <c r="I18" s="10" t="inlineStr">
        <is>
          <t>OK</t>
        </is>
      </c>
      <c r="J18" s="9" t="inlineStr">
        <is>
          <t>NIL</t>
        </is>
      </c>
    </row>
    <row r="19" ht="22" customHeight="1">
      <c r="B19" s="42" t="inlineStr">
        <is>
          <t>EI/015</t>
        </is>
      </c>
      <c r="C19" s="43" t="inlineStr">
        <is>
          <t>Solar PV Inverter Room</t>
        </is>
      </c>
      <c r="D19" s="44" t="inlineStr">
        <is>
          <t>Annual IR Test</t>
        </is>
      </c>
      <c r="E19" s="44" t="inlineStr"/>
      <c r="F19" s="43" t="inlineStr"/>
      <c r="G19" s="44" t="inlineStr">
        <is>
          <t>OK</t>
        </is>
      </c>
      <c r="H19" s="44" t="inlineStr">
        <is>
          <t>OK</t>
        </is>
      </c>
      <c r="I19" s="44" t="inlineStr">
        <is>
          <t>OK</t>
        </is>
      </c>
      <c r="J19" s="43" t="inlineStr">
        <is>
          <t>NIL</t>
        </is>
      </c>
    </row>
    <row r="20" ht="22" customHeight="1">
      <c r="B20" s="8" t="inlineStr">
        <is>
          <t>EI/016</t>
        </is>
      </c>
      <c r="C20" s="9" t="inlineStr">
        <is>
          <t>Main LT Panel — Block A</t>
        </is>
      </c>
      <c r="D20" s="10" t="inlineStr">
        <is>
          <t>Annual Earth Resistance Test</t>
        </is>
      </c>
      <c r="E20" s="10" t="inlineStr"/>
      <c r="F20" s="9" t="inlineStr"/>
      <c r="G20" s="10" t="inlineStr">
        <is>
          <t>OK</t>
        </is>
      </c>
      <c r="H20" s="10" t="inlineStr">
        <is>
          <t>OK</t>
        </is>
      </c>
      <c r="I20" s="10" t="inlineStr">
        <is>
          <t>OK</t>
        </is>
      </c>
      <c r="J20" s="9" t="inlineStr">
        <is>
          <t>NIL</t>
        </is>
      </c>
    </row>
    <row r="21" ht="22" customHeight="1">
      <c r="B21" s="42" t="inlineStr">
        <is>
          <t>EI/017</t>
        </is>
      </c>
      <c r="C21" s="43" t="inlineStr">
        <is>
          <t>Main LT Panel — Block B</t>
        </is>
      </c>
      <c r="D21" s="44" t="inlineStr">
        <is>
          <t>Thermographic Scan</t>
        </is>
      </c>
      <c r="E21" s="44" t="inlineStr"/>
      <c r="F21" s="43" t="inlineStr"/>
      <c r="G21" s="44" t="inlineStr">
        <is>
          <t>OK</t>
        </is>
      </c>
      <c r="H21" s="44" t="inlineStr">
        <is>
          <t>OK</t>
        </is>
      </c>
      <c r="I21" s="44" t="inlineStr">
        <is>
          <t>OK</t>
        </is>
      </c>
      <c r="J21" s="43" t="inlineStr">
        <is>
          <t>NIL</t>
        </is>
      </c>
    </row>
    <row r="22" ht="22" customHeight="1">
      <c r="B22" s="8" t="inlineStr">
        <is>
          <t>EI/018</t>
        </is>
      </c>
      <c r="C22" s="9" t="inlineStr">
        <is>
          <t>Sub-panel — Lab Block</t>
        </is>
      </c>
      <c r="D22" s="10" t="inlineStr">
        <is>
          <t>Load Assessment</t>
        </is>
      </c>
      <c r="E22" s="10" t="inlineStr"/>
      <c r="F22" s="9" t="inlineStr"/>
      <c r="G22" s="10" t="inlineStr">
        <is>
          <t>OK</t>
        </is>
      </c>
      <c r="H22" s="10" t="inlineStr">
        <is>
          <t>OK</t>
        </is>
      </c>
      <c r="I22" s="10" t="inlineStr">
        <is>
          <t>OK</t>
        </is>
      </c>
      <c r="J22" s="9" t="inlineStr">
        <is>
          <t>NIL</t>
        </is>
      </c>
    </row>
    <row r="23" ht="22" customHeight="1">
      <c r="B23" s="42" t="inlineStr">
        <is>
          <t>EI/019</t>
        </is>
      </c>
      <c r="C23" s="43" t="inlineStr">
        <is>
          <t>Sub-panel — Admin Block</t>
        </is>
      </c>
      <c r="D23" s="44" t="inlineStr">
        <is>
          <t>Monthly Distribution Check</t>
        </is>
      </c>
      <c r="E23" s="44" t="inlineStr"/>
      <c r="F23" s="43" t="inlineStr"/>
      <c r="G23" s="44" t="inlineStr">
        <is>
          <t>OK</t>
        </is>
      </c>
      <c r="H23" s="44" t="inlineStr">
        <is>
          <t>OK</t>
        </is>
      </c>
      <c r="I23" s="44" t="inlineStr">
        <is>
          <t>OK</t>
        </is>
      </c>
      <c r="J23" s="43" t="inlineStr">
        <is>
          <t>NIL</t>
        </is>
      </c>
    </row>
    <row r="24" ht="22" customHeight="1">
      <c r="B24" s="8" t="inlineStr">
        <is>
          <t>EI/020</t>
        </is>
      </c>
      <c r="C24" s="9" t="inlineStr">
        <is>
          <t>Sub-panel — Library</t>
        </is>
      </c>
      <c r="D24" s="10" t="inlineStr">
        <is>
          <t>Quarterly Switchgear Check</t>
        </is>
      </c>
      <c r="E24" s="10" t="inlineStr"/>
      <c r="F24" s="9" t="inlineStr"/>
      <c r="G24" s="10" t="inlineStr">
        <is>
          <t>OK</t>
        </is>
      </c>
      <c r="H24" s="10" t="inlineStr">
        <is>
          <t>OK</t>
        </is>
      </c>
      <c r="I24" s="10" t="inlineStr">
        <is>
          <t>OK</t>
        </is>
      </c>
      <c r="J24" s="9" t="inlineStr">
        <is>
          <t>NIL</t>
        </is>
      </c>
    </row>
    <row r="25" ht="22" customHeight="1"/>
    <row r="26" ht="24" customHeight="1">
      <c r="B26" s="36" t="inlineStr">
        <is>
          <t>ELECTRICAL INSPECTION SUMMARY</t>
        </is>
      </c>
    </row>
    <row r="27" ht="22" customHeight="1">
      <c r="B27" s="45" t="inlineStr">
        <is>
          <t>Total Inspections Done</t>
        </is>
      </c>
      <c r="F27" s="38">
        <f>COUNTA(B5:B24)</f>
        <v/>
      </c>
    </row>
    <row r="28">
      <c r="B28" s="27" t="inlineStr">
        <is>
          <t>Monthly Checks Completed</t>
        </is>
      </c>
      <c r="F28" s="39">
        <f>COUNTIF(D5:D24,"Monthly Distribution Check")</f>
        <v/>
      </c>
    </row>
    <row r="29">
      <c r="B29" s="45" t="inlineStr">
        <is>
          <t>Annual Tests Completed</t>
        </is>
      </c>
      <c r="F29" s="38">
        <f>COUNTIF(D5:D24,"Annual Earth Resistance Test")</f>
        <v/>
      </c>
    </row>
    <row r="30">
      <c r="B30" s="27" t="inlineStr">
        <is>
          <t>Items with Action Required</t>
        </is>
      </c>
      <c r="F30" s="39">
        <f>COUNTIF(J5:J24,"&lt;&gt;"&amp;"NIL")</f>
        <v/>
      </c>
    </row>
    <row r="31">
      <c r="B31" s="45" t="inlineStr">
        <is>
          <t>Earthing Issues Found</t>
        </is>
      </c>
      <c r="F31" s="38">
        <f>COUNTIF(I5:I24,"&lt;&gt;"&amp;"OK")</f>
        <v/>
      </c>
    </row>
    <row r="32">
      <c r="B32" s="27" t="inlineStr">
        <is>
          <t>Last Full Campus IR Test Date</t>
        </is>
      </c>
      <c r="F32" s="39" t="inlineStr"/>
    </row>
  </sheetData>
  <mergeCells count="15">
    <mergeCell ref="B31:E31"/>
    <mergeCell ref="F30:J30"/>
    <mergeCell ref="B27:E27"/>
    <mergeCell ref="B3:J3"/>
    <mergeCell ref="F29:J29"/>
    <mergeCell ref="B28:E28"/>
    <mergeCell ref="B30:E30"/>
    <mergeCell ref="B26:J26"/>
    <mergeCell ref="F28:J28"/>
    <mergeCell ref="B29:E29"/>
    <mergeCell ref="F31:J31"/>
    <mergeCell ref="B2:J2"/>
    <mergeCell ref="F32:J32"/>
    <mergeCell ref="F27:J27"/>
    <mergeCell ref="B32:E3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L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4" customWidth="1" min="12" max="12"/>
    <col width="3" customWidth="1" min="13" max="13"/>
  </cols>
  <sheetData>
    <row r="1" ht="10" customHeight="1"/>
    <row r="2" ht="48" customHeight="1">
      <c r="B2" s="12" t="inlineStr">
        <is>
          <t>ELE-04: DG SET MAINTENANCE &amp; FUEL CONSUMPTION LOG</t>
        </is>
      </c>
    </row>
    <row r="3" ht="20" customHeight="1">
      <c r="B3" s="17" t="inlineStr">
        <is>
          <t>DG Set: Weekly test run (15 min, no load) mandatory. Check oil level, coolant, battery before every run. Fuel consumption norm: ~0.28 L/kWh for diesel DG. Lube oil: change every 250 running hours.</t>
        </is>
      </c>
    </row>
    <row r="4" ht="25" customHeight="1">
      <c r="B4" s="13" t="inlineStr">
        <is>
          <t>Date</t>
        </is>
      </c>
      <c r="C4" s="13" t="inlineStr">
        <is>
          <t>DG Ref.
/ kVA</t>
        </is>
      </c>
      <c r="D4" s="13" t="inlineStr">
        <is>
          <t>Run
Type</t>
        </is>
      </c>
      <c r="E4" s="13" t="inlineStr">
        <is>
          <t>Start
Time</t>
        </is>
      </c>
      <c r="F4" s="13" t="inlineStr">
        <is>
          <t>Stop
Time</t>
        </is>
      </c>
      <c r="G4" s="13" t="inlineStr">
        <is>
          <t>Run Hours</t>
        </is>
      </c>
      <c r="H4" s="13" t="inlineStr">
        <is>
          <t>Fuel
Opening
(L)</t>
        </is>
      </c>
      <c r="I4" s="13" t="inlineStr">
        <is>
          <t>Fuel
Added
(L)</t>
        </is>
      </c>
      <c r="J4" s="13" t="inlineStr">
        <is>
          <t>Fuel
Closed
(L)</t>
        </is>
      </c>
      <c r="K4" s="13" t="inlineStr">
        <is>
          <t>Units
Generated
(kWh)</t>
        </is>
      </c>
      <c r="L4" s="13" t="inlineStr">
        <is>
          <t>Remarks</t>
        </is>
      </c>
    </row>
    <row r="5" ht="22" customHeight="1">
      <c r="B5" s="44" t="inlineStr"/>
      <c r="C5" s="44" t="inlineStr"/>
      <c r="D5" s="44" t="inlineStr">
        <is>
          <t>Weekly Test Run</t>
        </is>
      </c>
      <c r="E5" s="44" t="inlineStr"/>
      <c r="F5" s="44" t="inlineStr"/>
      <c r="G5" s="46">
        <f>IFERROR(F5-E5,"")</f>
        <v/>
      </c>
      <c r="H5" s="44" t="inlineStr"/>
      <c r="I5" s="44" t="inlineStr"/>
      <c r="J5" s="44">
        <f>IFERROR(H5+I5-J5,"")</f>
        <v/>
      </c>
      <c r="K5" s="44" t="inlineStr"/>
      <c r="L5" s="43" t="inlineStr"/>
    </row>
    <row r="6" ht="22" customHeight="1">
      <c r="B6" s="10" t="inlineStr"/>
      <c r="C6" s="10" t="inlineStr"/>
      <c r="D6" s="10" t="inlineStr">
        <is>
          <t>Power Failure Backup</t>
        </is>
      </c>
      <c r="E6" s="10" t="inlineStr"/>
      <c r="F6" s="10" t="inlineStr"/>
      <c r="G6" s="47">
        <f>IFERROR(F6-E6,"")</f>
        <v/>
      </c>
      <c r="H6" s="10" t="inlineStr"/>
      <c r="I6" s="10" t="inlineStr"/>
      <c r="J6" s="10">
        <f>IFERROR(H6+I6-J6,"")</f>
        <v/>
      </c>
      <c r="K6" s="10" t="inlineStr"/>
      <c r="L6" s="9" t="inlineStr"/>
    </row>
    <row r="7" ht="22" customHeight="1">
      <c r="B7" s="44" t="inlineStr"/>
      <c r="C7" s="44" t="inlineStr"/>
      <c r="D7" s="44" t="inlineStr">
        <is>
          <t>Scheduled Load Test</t>
        </is>
      </c>
      <c r="E7" s="44" t="inlineStr"/>
      <c r="F7" s="44" t="inlineStr"/>
      <c r="G7" s="46">
        <f>IFERROR(F7-E7,"")</f>
        <v/>
      </c>
      <c r="H7" s="44" t="inlineStr"/>
      <c r="I7" s="44" t="inlineStr"/>
      <c r="J7" s="44">
        <f>IFERROR(H7+I7-J7,"")</f>
        <v/>
      </c>
      <c r="K7" s="44" t="inlineStr"/>
      <c r="L7" s="43" t="inlineStr"/>
    </row>
    <row r="8" ht="22" customHeight="1">
      <c r="B8" s="10" t="inlineStr"/>
      <c r="C8" s="10" t="inlineStr"/>
      <c r="D8" s="10" t="inlineStr">
        <is>
          <t>Emergency Run</t>
        </is>
      </c>
      <c r="E8" s="10" t="inlineStr"/>
      <c r="F8" s="10" t="inlineStr"/>
      <c r="G8" s="47">
        <f>IFERROR(F8-E8,"")</f>
        <v/>
      </c>
      <c r="H8" s="10" t="inlineStr"/>
      <c r="I8" s="10" t="inlineStr"/>
      <c r="J8" s="10">
        <f>IFERROR(H8+I8-J8,"")</f>
        <v/>
      </c>
      <c r="K8" s="10" t="inlineStr"/>
      <c r="L8" s="9" t="inlineStr"/>
    </row>
    <row r="9" ht="22" customHeight="1">
      <c r="B9" s="44" t="inlineStr"/>
      <c r="C9" s="44" t="inlineStr"/>
      <c r="D9" s="44" t="inlineStr">
        <is>
          <t>Maintenance Run</t>
        </is>
      </c>
      <c r="E9" s="44" t="inlineStr"/>
      <c r="F9" s="44" t="inlineStr"/>
      <c r="G9" s="46">
        <f>IFERROR(F9-E9,"")</f>
        <v/>
      </c>
      <c r="H9" s="44" t="inlineStr"/>
      <c r="I9" s="44" t="inlineStr"/>
      <c r="J9" s="44">
        <f>IFERROR(H9+I9-J9,"")</f>
        <v/>
      </c>
      <c r="K9" s="44" t="inlineStr"/>
      <c r="L9" s="43" t="inlineStr"/>
    </row>
    <row r="10" ht="22" customHeight="1">
      <c r="B10" s="10" t="inlineStr"/>
      <c r="C10" s="10" t="inlineStr"/>
      <c r="D10" s="10" t="inlineStr">
        <is>
          <t>Weekly Test Run</t>
        </is>
      </c>
      <c r="E10" s="10" t="inlineStr"/>
      <c r="F10" s="10" t="inlineStr"/>
      <c r="G10" s="47">
        <f>IFERROR(F10-E10,"")</f>
        <v/>
      </c>
      <c r="H10" s="10" t="inlineStr"/>
      <c r="I10" s="10" t="inlineStr"/>
      <c r="J10" s="10">
        <f>IFERROR(H10+I10-J10,"")</f>
        <v/>
      </c>
      <c r="K10" s="10" t="inlineStr"/>
      <c r="L10" s="9" t="inlineStr"/>
    </row>
    <row r="11" ht="22" customHeight="1">
      <c r="B11" s="44" t="inlineStr"/>
      <c r="C11" s="44" t="inlineStr"/>
      <c r="D11" s="44" t="inlineStr">
        <is>
          <t>Power Failure Backup</t>
        </is>
      </c>
      <c r="E11" s="44" t="inlineStr"/>
      <c r="F11" s="44" t="inlineStr"/>
      <c r="G11" s="46">
        <f>IFERROR(F11-E11,"")</f>
        <v/>
      </c>
      <c r="H11" s="44" t="inlineStr"/>
      <c r="I11" s="44" t="inlineStr"/>
      <c r="J11" s="44">
        <f>IFERROR(H11+I11-J11,"")</f>
        <v/>
      </c>
      <c r="K11" s="44" t="inlineStr"/>
      <c r="L11" s="43" t="inlineStr"/>
    </row>
    <row r="12" ht="22" customHeight="1">
      <c r="B12" s="10" t="inlineStr"/>
      <c r="C12" s="10" t="inlineStr"/>
      <c r="D12" s="10" t="inlineStr">
        <is>
          <t>Scheduled Load Test</t>
        </is>
      </c>
      <c r="E12" s="10" t="inlineStr"/>
      <c r="F12" s="10" t="inlineStr"/>
      <c r="G12" s="47">
        <f>IFERROR(F12-E12,"")</f>
        <v/>
      </c>
      <c r="H12" s="10" t="inlineStr"/>
      <c r="I12" s="10" t="inlineStr"/>
      <c r="J12" s="10">
        <f>IFERROR(H12+I12-J12,"")</f>
        <v/>
      </c>
      <c r="K12" s="10" t="inlineStr"/>
      <c r="L12" s="9" t="inlineStr"/>
    </row>
    <row r="13" ht="22" customHeight="1">
      <c r="B13" s="44" t="inlineStr"/>
      <c r="C13" s="44" t="inlineStr"/>
      <c r="D13" s="44" t="inlineStr">
        <is>
          <t>Emergency Run</t>
        </is>
      </c>
      <c r="E13" s="44" t="inlineStr"/>
      <c r="F13" s="44" t="inlineStr"/>
      <c r="G13" s="46">
        <f>IFERROR(F13-E13,"")</f>
        <v/>
      </c>
      <c r="H13" s="44" t="inlineStr"/>
      <c r="I13" s="44" t="inlineStr"/>
      <c r="J13" s="44">
        <f>IFERROR(H13+I13-J13,"")</f>
        <v/>
      </c>
      <c r="K13" s="44" t="inlineStr"/>
      <c r="L13" s="43" t="inlineStr"/>
    </row>
    <row r="14" ht="22" customHeight="1">
      <c r="B14" s="10" t="inlineStr"/>
      <c r="C14" s="10" t="inlineStr"/>
      <c r="D14" s="10" t="inlineStr">
        <is>
          <t>Maintenance Run</t>
        </is>
      </c>
      <c r="E14" s="10" t="inlineStr"/>
      <c r="F14" s="10" t="inlineStr"/>
      <c r="G14" s="47">
        <f>IFERROR(F14-E14,"")</f>
        <v/>
      </c>
      <c r="H14" s="10" t="inlineStr"/>
      <c r="I14" s="10" t="inlineStr"/>
      <c r="J14" s="10">
        <f>IFERROR(H14+I14-J14,"")</f>
        <v/>
      </c>
      <c r="K14" s="10" t="inlineStr"/>
      <c r="L14" s="9" t="inlineStr"/>
    </row>
    <row r="15" ht="22" customHeight="1">
      <c r="B15" s="44" t="inlineStr"/>
      <c r="C15" s="44" t="inlineStr"/>
      <c r="D15" s="44" t="inlineStr">
        <is>
          <t>Weekly Test Run</t>
        </is>
      </c>
      <c r="E15" s="44" t="inlineStr"/>
      <c r="F15" s="44" t="inlineStr"/>
      <c r="G15" s="46">
        <f>IFERROR(F15-E15,"")</f>
        <v/>
      </c>
      <c r="H15" s="44" t="inlineStr"/>
      <c r="I15" s="44" t="inlineStr"/>
      <c r="J15" s="44">
        <f>IFERROR(H15+I15-J15,"")</f>
        <v/>
      </c>
      <c r="K15" s="44" t="inlineStr"/>
      <c r="L15" s="43" t="inlineStr"/>
    </row>
    <row r="16" ht="22" customHeight="1">
      <c r="B16" s="10" t="inlineStr"/>
      <c r="C16" s="10" t="inlineStr"/>
      <c r="D16" s="10" t="inlineStr">
        <is>
          <t>Power Failure Backup</t>
        </is>
      </c>
      <c r="E16" s="10" t="inlineStr"/>
      <c r="F16" s="10" t="inlineStr"/>
      <c r="G16" s="47">
        <f>IFERROR(F16-E16,"")</f>
        <v/>
      </c>
      <c r="H16" s="10" t="inlineStr"/>
      <c r="I16" s="10" t="inlineStr"/>
      <c r="J16" s="10">
        <f>IFERROR(H16+I16-J16,"")</f>
        <v/>
      </c>
      <c r="K16" s="10" t="inlineStr"/>
      <c r="L16" s="9" t="inlineStr"/>
    </row>
    <row r="17" ht="22" customHeight="1">
      <c r="B17" s="44" t="inlineStr"/>
      <c r="C17" s="44" t="inlineStr"/>
      <c r="D17" s="44" t="inlineStr">
        <is>
          <t>Scheduled Load Test</t>
        </is>
      </c>
      <c r="E17" s="44" t="inlineStr"/>
      <c r="F17" s="44" t="inlineStr"/>
      <c r="G17" s="46">
        <f>IFERROR(F17-E17,"")</f>
        <v/>
      </c>
      <c r="H17" s="44" t="inlineStr"/>
      <c r="I17" s="44" t="inlineStr"/>
      <c r="J17" s="44">
        <f>IFERROR(H17+I17-J17,"")</f>
        <v/>
      </c>
      <c r="K17" s="44" t="inlineStr"/>
      <c r="L17" s="43" t="inlineStr"/>
    </row>
    <row r="18" ht="22" customHeight="1">
      <c r="B18" s="10" t="inlineStr"/>
      <c r="C18" s="10" t="inlineStr"/>
      <c r="D18" s="10" t="inlineStr">
        <is>
          <t>Emergency Run</t>
        </is>
      </c>
      <c r="E18" s="10" t="inlineStr"/>
      <c r="F18" s="10" t="inlineStr"/>
      <c r="G18" s="47">
        <f>IFERROR(F18-E18,"")</f>
        <v/>
      </c>
      <c r="H18" s="10" t="inlineStr"/>
      <c r="I18" s="10" t="inlineStr"/>
      <c r="J18" s="10">
        <f>IFERROR(H18+I18-J18,"")</f>
        <v/>
      </c>
      <c r="K18" s="10" t="inlineStr"/>
      <c r="L18" s="9" t="inlineStr"/>
    </row>
    <row r="19" ht="22" customHeight="1">
      <c r="B19" s="44" t="inlineStr"/>
      <c r="C19" s="44" t="inlineStr"/>
      <c r="D19" s="44" t="inlineStr">
        <is>
          <t>Maintenance Run</t>
        </is>
      </c>
      <c r="E19" s="44" t="inlineStr"/>
      <c r="F19" s="44" t="inlineStr"/>
      <c r="G19" s="46">
        <f>IFERROR(F19-E19,"")</f>
        <v/>
      </c>
      <c r="H19" s="44" t="inlineStr"/>
      <c r="I19" s="44" t="inlineStr"/>
      <c r="J19" s="44">
        <f>IFERROR(H19+I19-J19,"")</f>
        <v/>
      </c>
      <c r="K19" s="44" t="inlineStr"/>
      <c r="L19" s="43" t="inlineStr"/>
    </row>
    <row r="20" ht="22" customHeight="1">
      <c r="B20" s="10" t="inlineStr"/>
      <c r="C20" s="10" t="inlineStr"/>
      <c r="D20" s="10" t="inlineStr">
        <is>
          <t>Weekly Test Run</t>
        </is>
      </c>
      <c r="E20" s="10" t="inlineStr"/>
      <c r="F20" s="10" t="inlineStr"/>
      <c r="G20" s="47">
        <f>IFERROR(F20-E20,"")</f>
        <v/>
      </c>
      <c r="H20" s="10" t="inlineStr"/>
      <c r="I20" s="10" t="inlineStr"/>
      <c r="J20" s="10">
        <f>IFERROR(H20+I20-J20,"")</f>
        <v/>
      </c>
      <c r="K20" s="10" t="inlineStr"/>
      <c r="L20" s="9" t="inlineStr"/>
    </row>
    <row r="21" ht="22" customHeight="1">
      <c r="B21" s="44" t="inlineStr"/>
      <c r="C21" s="44" t="inlineStr"/>
      <c r="D21" s="44" t="inlineStr">
        <is>
          <t>Power Failure Backup</t>
        </is>
      </c>
      <c r="E21" s="44" t="inlineStr"/>
      <c r="F21" s="44" t="inlineStr"/>
      <c r="G21" s="46">
        <f>IFERROR(F21-E21,"")</f>
        <v/>
      </c>
      <c r="H21" s="44" t="inlineStr"/>
      <c r="I21" s="44" t="inlineStr"/>
      <c r="J21" s="44">
        <f>IFERROR(H21+I21-J21,"")</f>
        <v/>
      </c>
      <c r="K21" s="44" t="inlineStr"/>
      <c r="L21" s="43" t="inlineStr"/>
    </row>
    <row r="22" ht="22" customHeight="1">
      <c r="B22" s="10" t="inlineStr"/>
      <c r="C22" s="10" t="inlineStr"/>
      <c r="D22" s="10" t="inlineStr">
        <is>
          <t>Scheduled Load Test</t>
        </is>
      </c>
      <c r="E22" s="10" t="inlineStr"/>
      <c r="F22" s="10" t="inlineStr"/>
      <c r="G22" s="47">
        <f>IFERROR(F22-E22,"")</f>
        <v/>
      </c>
      <c r="H22" s="10" t="inlineStr"/>
      <c r="I22" s="10" t="inlineStr"/>
      <c r="J22" s="10">
        <f>IFERROR(H22+I22-J22,"")</f>
        <v/>
      </c>
      <c r="K22" s="10" t="inlineStr"/>
      <c r="L22" s="9" t="inlineStr"/>
    </row>
    <row r="23" ht="22" customHeight="1">
      <c r="B23" s="44" t="inlineStr"/>
      <c r="C23" s="44" t="inlineStr"/>
      <c r="D23" s="44" t="inlineStr">
        <is>
          <t>Emergency Run</t>
        </is>
      </c>
      <c r="E23" s="44" t="inlineStr"/>
      <c r="F23" s="44" t="inlineStr"/>
      <c r="G23" s="46">
        <f>IFERROR(F23-E23,"")</f>
        <v/>
      </c>
      <c r="H23" s="44" t="inlineStr"/>
      <c r="I23" s="44" t="inlineStr"/>
      <c r="J23" s="44">
        <f>IFERROR(H23+I23-J23,"")</f>
        <v/>
      </c>
      <c r="K23" s="44" t="inlineStr"/>
      <c r="L23" s="43" t="inlineStr"/>
    </row>
    <row r="24" ht="22" customHeight="1">
      <c r="B24" s="10" t="inlineStr"/>
      <c r="C24" s="10" t="inlineStr"/>
      <c r="D24" s="10" t="inlineStr">
        <is>
          <t>Maintenance Run</t>
        </is>
      </c>
      <c r="E24" s="10" t="inlineStr"/>
      <c r="F24" s="10" t="inlineStr"/>
      <c r="G24" s="47">
        <f>IFERROR(F24-E24,"")</f>
        <v/>
      </c>
      <c r="H24" s="10" t="inlineStr"/>
      <c r="I24" s="10" t="inlineStr"/>
      <c r="J24" s="10">
        <f>IFERROR(H24+I24-J24,"")</f>
        <v/>
      </c>
      <c r="K24" s="10" t="inlineStr"/>
      <c r="L24" s="9" t="inlineStr"/>
    </row>
    <row r="25" ht="22" customHeight="1">
      <c r="B25" s="44" t="inlineStr"/>
      <c r="C25" s="44" t="inlineStr"/>
      <c r="D25" s="44" t="inlineStr">
        <is>
          <t>Weekly Test Run</t>
        </is>
      </c>
      <c r="E25" s="44" t="inlineStr"/>
      <c r="F25" s="44" t="inlineStr"/>
      <c r="G25" s="46">
        <f>IFERROR(F25-E25,"")</f>
        <v/>
      </c>
      <c r="H25" s="44" t="inlineStr"/>
      <c r="I25" s="44" t="inlineStr"/>
      <c r="J25" s="44">
        <f>IFERROR(H25+I25-J25,"")</f>
        <v/>
      </c>
      <c r="K25" s="44" t="inlineStr"/>
      <c r="L25" s="43" t="inlineStr"/>
    </row>
    <row r="26" ht="22" customHeight="1">
      <c r="B26" s="10" t="inlineStr"/>
      <c r="C26" s="10" t="inlineStr"/>
      <c r="D26" s="10" t="inlineStr">
        <is>
          <t>Power Failure Backup</t>
        </is>
      </c>
      <c r="E26" s="10" t="inlineStr"/>
      <c r="F26" s="10" t="inlineStr"/>
      <c r="G26" s="47">
        <f>IFERROR(F26-E26,"")</f>
        <v/>
      </c>
      <c r="H26" s="10" t="inlineStr"/>
      <c r="I26" s="10" t="inlineStr"/>
      <c r="J26" s="10">
        <f>IFERROR(H26+I26-J26,"")</f>
        <v/>
      </c>
      <c r="K26" s="10" t="inlineStr"/>
      <c r="L26" s="9" t="inlineStr"/>
    </row>
    <row r="27" ht="22" customHeight="1">
      <c r="B27" s="44" t="inlineStr"/>
      <c r="C27" s="44" t="inlineStr"/>
      <c r="D27" s="44" t="inlineStr">
        <is>
          <t>Scheduled Load Test</t>
        </is>
      </c>
      <c r="E27" s="44" t="inlineStr"/>
      <c r="F27" s="44" t="inlineStr"/>
      <c r="G27" s="46">
        <f>IFERROR(F27-E27,"")</f>
        <v/>
      </c>
      <c r="H27" s="44" t="inlineStr"/>
      <c r="I27" s="44" t="inlineStr"/>
      <c r="J27" s="44">
        <f>IFERROR(H27+I27-J27,"")</f>
        <v/>
      </c>
      <c r="K27" s="44" t="inlineStr"/>
      <c r="L27" s="43" t="inlineStr"/>
    </row>
    <row r="28" ht="22" customHeight="1">
      <c r="B28" s="10" t="inlineStr"/>
      <c r="C28" s="10" t="inlineStr"/>
      <c r="D28" s="10" t="inlineStr">
        <is>
          <t>Emergency Run</t>
        </is>
      </c>
      <c r="E28" s="10" t="inlineStr"/>
      <c r="F28" s="10" t="inlineStr"/>
      <c r="G28" s="47">
        <f>IFERROR(F28-E28,"")</f>
        <v/>
      </c>
      <c r="H28" s="10" t="inlineStr"/>
      <c r="I28" s="10" t="inlineStr"/>
      <c r="J28" s="10">
        <f>IFERROR(H28+I28-J28,"")</f>
        <v/>
      </c>
      <c r="K28" s="10" t="inlineStr"/>
      <c r="L28" s="9" t="inlineStr"/>
    </row>
    <row r="29" ht="22" customHeight="1">
      <c r="B29" s="44" t="inlineStr"/>
      <c r="C29" s="44" t="inlineStr"/>
      <c r="D29" s="44" t="inlineStr">
        <is>
          <t>Maintenance Run</t>
        </is>
      </c>
      <c r="E29" s="44" t="inlineStr"/>
      <c r="F29" s="44" t="inlineStr"/>
      <c r="G29" s="46">
        <f>IFERROR(F29-E29,"")</f>
        <v/>
      </c>
      <c r="H29" s="44" t="inlineStr"/>
      <c r="I29" s="44" t="inlineStr"/>
      <c r="J29" s="44">
        <f>IFERROR(H29+I29-J29,"")</f>
        <v/>
      </c>
      <c r="K29" s="44" t="inlineStr"/>
      <c r="L29" s="43" t="inlineStr"/>
    </row>
    <row r="30" ht="22" customHeight="1">
      <c r="B30" s="10" t="inlineStr"/>
      <c r="C30" s="10" t="inlineStr"/>
      <c r="D30" s="10" t="inlineStr">
        <is>
          <t>Weekly Test Run</t>
        </is>
      </c>
      <c r="E30" s="10" t="inlineStr"/>
      <c r="F30" s="10" t="inlineStr"/>
      <c r="G30" s="47">
        <f>IFERROR(F30-E30,"")</f>
        <v/>
      </c>
      <c r="H30" s="10" t="inlineStr"/>
      <c r="I30" s="10" t="inlineStr"/>
      <c r="J30" s="10">
        <f>IFERROR(H30+I30-J30,"")</f>
        <v/>
      </c>
      <c r="K30" s="10" t="inlineStr"/>
      <c r="L30" s="9" t="inlineStr"/>
    </row>
    <row r="31" ht="22" customHeight="1"/>
    <row r="32" ht="24" customHeight="1">
      <c r="B32" s="36" t="inlineStr">
        <is>
          <t>DG SET MONTHLY SUMMARY</t>
        </is>
      </c>
    </row>
    <row r="33" ht="22" customHeight="1">
      <c r="B33" s="45" t="inlineStr">
        <is>
          <t>Total Run Events</t>
        </is>
      </c>
      <c r="F33" s="38">
        <f>COUNTA(C5:C30)</f>
        <v/>
      </c>
    </row>
    <row r="34" ht="22" customHeight="1">
      <c r="B34" s="27" t="inlineStr">
        <is>
          <t>Total Run Hours</t>
        </is>
      </c>
      <c r="F34" s="39">
        <f>IFERROR(SUM(G5:G30),"")</f>
        <v/>
      </c>
    </row>
    <row r="35" ht="22" customHeight="1">
      <c r="B35" s="45" t="inlineStr">
        <is>
          <t>Total Fuel Consumed (L)</t>
        </is>
      </c>
      <c r="F35" s="38">
        <f>IFERROR(SUM(I5:I30),"")</f>
        <v/>
      </c>
    </row>
    <row r="36">
      <c r="B36" s="27" t="inlineStr">
        <is>
          <t>Total Units Generated (kWh)</t>
        </is>
      </c>
      <c r="F36" s="39">
        <f>IFERROR(SUM(K5:K30),"")</f>
        <v/>
      </c>
    </row>
    <row r="37">
      <c r="B37" s="45" t="inlineStr">
        <is>
          <t>Fuel Efficiency (L/kWh)</t>
        </is>
      </c>
      <c r="F37" s="38">
        <f>IFERROR(ROUND(C35/C36,3),"")</f>
        <v/>
      </c>
    </row>
    <row r="38">
      <c r="B38" s="27" t="inlineStr">
        <is>
          <t>Emergency Runs</t>
        </is>
      </c>
      <c r="F38" s="39">
        <f>COUNTIF(D5:D30,"Emergency Run")</f>
        <v/>
      </c>
    </row>
  </sheetData>
  <mergeCells count="15">
    <mergeCell ref="F36:L36"/>
    <mergeCell ref="B35:E35"/>
    <mergeCell ref="B37:E37"/>
    <mergeCell ref="F35:L35"/>
    <mergeCell ref="B38:E38"/>
    <mergeCell ref="B3:L3"/>
    <mergeCell ref="B2:L2"/>
    <mergeCell ref="F37:L37"/>
    <mergeCell ref="B33:E33"/>
    <mergeCell ref="F38:L38"/>
    <mergeCell ref="F34:L34"/>
    <mergeCell ref="B34:E34"/>
    <mergeCell ref="B32:L32"/>
    <mergeCell ref="B36:E36"/>
    <mergeCell ref="F33:L3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L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4" customWidth="1" min="12" max="12"/>
    <col width="3" customWidth="1" min="13" max="13"/>
  </cols>
  <sheetData>
    <row r="1" ht="10" customHeight="1"/>
    <row r="2" ht="48" customHeight="1">
      <c r="B2" s="12" t="inlineStr">
        <is>
          <t>PLB-01: WATER SUPPLY &amp; OVERHEAD TANK DAILY REGISTER</t>
        </is>
      </c>
    </row>
    <row r="3" ht="20" customHeight="1">
      <c r="B3" s="17" t="inlineStr">
        <is>
          <t>Check OHT (Overhead Tank) level twice daily — morning and evening. Pump running hours to be logged. Water consumption norm: ≥135 L/person/day (campus), ≥150 L/person/day (hostel students).</t>
        </is>
      </c>
    </row>
    <row r="4" ht="25" customHeight="1">
      <c r="B4" s="13" t="inlineStr">
        <is>
          <t>Date</t>
        </is>
      </c>
      <c r="C4" s="13" t="inlineStr">
        <is>
          <t>Municipal
Supply
(hrs)</t>
        </is>
      </c>
      <c r="D4" s="13" t="inlineStr">
        <is>
          <t>Borewell
Pump
(hrs)</t>
        </is>
      </c>
      <c r="E4" s="13" t="inlineStr">
        <is>
          <t>OHT Level
Morning
(%)</t>
        </is>
      </c>
      <c r="F4" s="13" t="inlineStr">
        <is>
          <t>OHT Level
Evening
(%)</t>
        </is>
      </c>
      <c r="G4" s="13" t="inlineStr">
        <is>
          <t>Est. Water
Consumed
(kL)</t>
        </is>
      </c>
      <c r="H4" s="13" t="inlineStr">
        <is>
          <t>Chlorine
Dosed</t>
        </is>
      </c>
      <c r="I4" s="13" t="inlineStr">
        <is>
          <t>Water
Complaints</t>
        </is>
      </c>
      <c r="J4" s="13" t="inlineStr">
        <is>
          <t>Pump
Fault</t>
        </is>
      </c>
      <c r="K4" s="13" t="inlineStr">
        <is>
          <t>Action
Taken</t>
        </is>
      </c>
      <c r="L4" s="13" t="inlineStr">
        <is>
          <t>Remarks</t>
        </is>
      </c>
    </row>
    <row r="5" ht="22" customHeight="1">
      <c r="B5" s="44" t="inlineStr"/>
      <c r="C5" s="44" t="inlineStr"/>
      <c r="D5" s="44" t="inlineStr"/>
      <c r="E5" s="44" t="inlineStr"/>
      <c r="F5" s="44" t="inlineStr"/>
      <c r="G5" s="44" t="inlineStr"/>
      <c r="H5" s="44" t="inlineStr">
        <is>
          <t>Y</t>
        </is>
      </c>
      <c r="I5" s="44" t="inlineStr">
        <is>
          <t>NIL</t>
        </is>
      </c>
      <c r="J5" s="44" t="inlineStr">
        <is>
          <t>None</t>
        </is>
      </c>
      <c r="K5" s="43" t="inlineStr">
        <is>
          <t>NIL</t>
        </is>
      </c>
      <c r="L5" s="43" t="inlineStr"/>
    </row>
    <row r="6" ht="22" customHeight="1">
      <c r="B6" s="10" t="inlineStr"/>
      <c r="C6" s="10" t="inlineStr"/>
      <c r="D6" s="10" t="inlineStr"/>
      <c r="E6" s="10" t="inlineStr"/>
      <c r="F6" s="10" t="inlineStr"/>
      <c r="G6" s="10" t="inlineStr"/>
      <c r="H6" s="10" t="inlineStr">
        <is>
          <t>Y</t>
        </is>
      </c>
      <c r="I6" s="10" t="inlineStr">
        <is>
          <t>NIL</t>
        </is>
      </c>
      <c r="J6" s="10" t="inlineStr">
        <is>
          <t>None</t>
        </is>
      </c>
      <c r="K6" s="9" t="inlineStr">
        <is>
          <t>NIL</t>
        </is>
      </c>
      <c r="L6" s="9" t="inlineStr"/>
    </row>
    <row r="7" ht="22" customHeight="1">
      <c r="B7" s="44" t="inlineStr"/>
      <c r="C7" s="44" t="inlineStr"/>
      <c r="D7" s="44" t="inlineStr"/>
      <c r="E7" s="44" t="inlineStr"/>
      <c r="F7" s="44" t="inlineStr"/>
      <c r="G7" s="44" t="inlineStr"/>
      <c r="H7" s="44" t="inlineStr">
        <is>
          <t>Y</t>
        </is>
      </c>
      <c r="I7" s="44" t="inlineStr">
        <is>
          <t>NIL</t>
        </is>
      </c>
      <c r="J7" s="44" t="inlineStr">
        <is>
          <t>None</t>
        </is>
      </c>
      <c r="K7" s="43" t="inlineStr">
        <is>
          <t>NIL</t>
        </is>
      </c>
      <c r="L7" s="43" t="inlineStr"/>
    </row>
    <row r="8" ht="22" customHeight="1">
      <c r="B8" s="10" t="inlineStr"/>
      <c r="C8" s="10" t="inlineStr"/>
      <c r="D8" s="10" t="inlineStr"/>
      <c r="E8" s="10" t="inlineStr"/>
      <c r="F8" s="10" t="inlineStr"/>
      <c r="G8" s="10" t="inlineStr"/>
      <c r="H8" s="10" t="inlineStr">
        <is>
          <t>Y</t>
        </is>
      </c>
      <c r="I8" s="10" t="inlineStr">
        <is>
          <t>NIL</t>
        </is>
      </c>
      <c r="J8" s="10" t="inlineStr">
        <is>
          <t>None</t>
        </is>
      </c>
      <c r="K8" s="9" t="inlineStr">
        <is>
          <t>NIL</t>
        </is>
      </c>
      <c r="L8" s="9" t="inlineStr"/>
    </row>
    <row r="9" ht="22" customHeight="1">
      <c r="B9" s="44" t="inlineStr"/>
      <c r="C9" s="44" t="inlineStr"/>
      <c r="D9" s="44" t="inlineStr"/>
      <c r="E9" s="44" t="inlineStr"/>
      <c r="F9" s="44" t="inlineStr"/>
      <c r="G9" s="44" t="inlineStr"/>
      <c r="H9" s="44" t="inlineStr">
        <is>
          <t>Y</t>
        </is>
      </c>
      <c r="I9" s="44" t="inlineStr">
        <is>
          <t>NIL</t>
        </is>
      </c>
      <c r="J9" s="44" t="inlineStr">
        <is>
          <t>None</t>
        </is>
      </c>
      <c r="K9" s="43" t="inlineStr">
        <is>
          <t>NIL</t>
        </is>
      </c>
      <c r="L9" s="43" t="inlineStr"/>
    </row>
    <row r="10" ht="22" customHeight="1">
      <c r="B10" s="10" t="inlineStr"/>
      <c r="C10" s="10" t="inlineStr"/>
      <c r="D10" s="10" t="inlineStr"/>
      <c r="E10" s="10" t="inlineStr"/>
      <c r="F10" s="10" t="inlineStr"/>
      <c r="G10" s="10" t="inlineStr"/>
      <c r="H10" s="10" t="inlineStr">
        <is>
          <t>Y</t>
        </is>
      </c>
      <c r="I10" s="10" t="inlineStr">
        <is>
          <t>NIL</t>
        </is>
      </c>
      <c r="J10" s="10" t="inlineStr">
        <is>
          <t>None</t>
        </is>
      </c>
      <c r="K10" s="9" t="inlineStr">
        <is>
          <t>NIL</t>
        </is>
      </c>
      <c r="L10" s="9" t="inlineStr"/>
    </row>
    <row r="11" ht="22" customHeight="1">
      <c r="B11" s="44" t="inlineStr"/>
      <c r="C11" s="44" t="inlineStr"/>
      <c r="D11" s="44" t="inlineStr"/>
      <c r="E11" s="44" t="inlineStr"/>
      <c r="F11" s="44" t="inlineStr"/>
      <c r="G11" s="44" t="inlineStr"/>
      <c r="H11" s="44" t="inlineStr">
        <is>
          <t>Y</t>
        </is>
      </c>
      <c r="I11" s="44" t="inlineStr">
        <is>
          <t>NIL</t>
        </is>
      </c>
      <c r="J11" s="44" t="inlineStr">
        <is>
          <t>None</t>
        </is>
      </c>
      <c r="K11" s="43" t="inlineStr">
        <is>
          <t>NIL</t>
        </is>
      </c>
      <c r="L11" s="43" t="inlineStr"/>
    </row>
    <row r="12" ht="22" customHeight="1">
      <c r="B12" s="10" t="inlineStr"/>
      <c r="C12" s="10" t="inlineStr"/>
      <c r="D12" s="10" t="inlineStr"/>
      <c r="E12" s="10" t="inlineStr"/>
      <c r="F12" s="10" t="inlineStr"/>
      <c r="G12" s="10" t="inlineStr"/>
      <c r="H12" s="10" t="inlineStr">
        <is>
          <t>Y</t>
        </is>
      </c>
      <c r="I12" s="10" t="inlineStr">
        <is>
          <t>NIL</t>
        </is>
      </c>
      <c r="J12" s="10" t="inlineStr">
        <is>
          <t>None</t>
        </is>
      </c>
      <c r="K12" s="9" t="inlineStr">
        <is>
          <t>NIL</t>
        </is>
      </c>
      <c r="L12" s="9" t="inlineStr"/>
    </row>
    <row r="13" ht="22" customHeight="1">
      <c r="B13" s="44" t="inlineStr"/>
      <c r="C13" s="44" t="inlineStr"/>
      <c r="D13" s="44" t="inlineStr"/>
      <c r="E13" s="44" t="inlineStr"/>
      <c r="F13" s="44" t="inlineStr"/>
      <c r="G13" s="44" t="inlineStr"/>
      <c r="H13" s="44" t="inlineStr">
        <is>
          <t>Y</t>
        </is>
      </c>
      <c r="I13" s="44" t="inlineStr">
        <is>
          <t>NIL</t>
        </is>
      </c>
      <c r="J13" s="44" t="inlineStr">
        <is>
          <t>None</t>
        </is>
      </c>
      <c r="K13" s="43" t="inlineStr">
        <is>
          <t>NIL</t>
        </is>
      </c>
      <c r="L13" s="43" t="inlineStr"/>
    </row>
    <row r="14" ht="22" customHeight="1">
      <c r="B14" s="10" t="inlineStr"/>
      <c r="C14" s="10" t="inlineStr"/>
      <c r="D14" s="10" t="inlineStr"/>
      <c r="E14" s="10" t="inlineStr"/>
      <c r="F14" s="10" t="inlineStr"/>
      <c r="G14" s="10" t="inlineStr"/>
      <c r="H14" s="10" t="inlineStr">
        <is>
          <t>Y</t>
        </is>
      </c>
      <c r="I14" s="10" t="inlineStr">
        <is>
          <t>NIL</t>
        </is>
      </c>
      <c r="J14" s="10" t="inlineStr">
        <is>
          <t>None</t>
        </is>
      </c>
      <c r="K14" s="9" t="inlineStr">
        <is>
          <t>NIL</t>
        </is>
      </c>
      <c r="L14" s="9" t="inlineStr"/>
    </row>
    <row r="15" ht="22" customHeight="1">
      <c r="B15" s="44" t="inlineStr"/>
      <c r="C15" s="44" t="inlineStr"/>
      <c r="D15" s="44" t="inlineStr"/>
      <c r="E15" s="44" t="inlineStr"/>
      <c r="F15" s="44" t="inlineStr"/>
      <c r="G15" s="44" t="inlineStr"/>
      <c r="H15" s="44" t="inlineStr">
        <is>
          <t>Y</t>
        </is>
      </c>
      <c r="I15" s="44" t="inlineStr">
        <is>
          <t>NIL</t>
        </is>
      </c>
      <c r="J15" s="44" t="inlineStr">
        <is>
          <t>None</t>
        </is>
      </c>
      <c r="K15" s="43" t="inlineStr">
        <is>
          <t>NIL</t>
        </is>
      </c>
      <c r="L15" s="43" t="inlineStr"/>
    </row>
    <row r="16" ht="22" customHeight="1">
      <c r="B16" s="10" t="inlineStr"/>
      <c r="C16" s="10" t="inlineStr"/>
      <c r="D16" s="10" t="inlineStr"/>
      <c r="E16" s="10" t="inlineStr"/>
      <c r="F16" s="10" t="inlineStr"/>
      <c r="G16" s="10" t="inlineStr"/>
      <c r="H16" s="10" t="inlineStr">
        <is>
          <t>Y</t>
        </is>
      </c>
      <c r="I16" s="10" t="inlineStr">
        <is>
          <t>NIL</t>
        </is>
      </c>
      <c r="J16" s="10" t="inlineStr">
        <is>
          <t>None</t>
        </is>
      </c>
      <c r="K16" s="9" t="inlineStr">
        <is>
          <t>NIL</t>
        </is>
      </c>
      <c r="L16" s="9" t="inlineStr"/>
    </row>
    <row r="17" ht="22" customHeight="1">
      <c r="B17" s="44" t="inlineStr"/>
      <c r="C17" s="44" t="inlineStr"/>
      <c r="D17" s="44" t="inlineStr"/>
      <c r="E17" s="44" t="inlineStr"/>
      <c r="F17" s="44" t="inlineStr"/>
      <c r="G17" s="44" t="inlineStr"/>
      <c r="H17" s="44" t="inlineStr">
        <is>
          <t>Y</t>
        </is>
      </c>
      <c r="I17" s="44" t="inlineStr">
        <is>
          <t>NIL</t>
        </is>
      </c>
      <c r="J17" s="44" t="inlineStr">
        <is>
          <t>None</t>
        </is>
      </c>
      <c r="K17" s="43" t="inlineStr">
        <is>
          <t>NIL</t>
        </is>
      </c>
      <c r="L17" s="43" t="inlineStr"/>
    </row>
    <row r="18" ht="22" customHeight="1">
      <c r="B18" s="10" t="inlineStr"/>
      <c r="C18" s="10" t="inlineStr"/>
      <c r="D18" s="10" t="inlineStr"/>
      <c r="E18" s="10" t="inlineStr"/>
      <c r="F18" s="10" t="inlineStr"/>
      <c r="G18" s="10" t="inlineStr"/>
      <c r="H18" s="10" t="inlineStr">
        <is>
          <t>Y</t>
        </is>
      </c>
      <c r="I18" s="10" t="inlineStr">
        <is>
          <t>NIL</t>
        </is>
      </c>
      <c r="J18" s="10" t="inlineStr">
        <is>
          <t>None</t>
        </is>
      </c>
      <c r="K18" s="9" t="inlineStr">
        <is>
          <t>NIL</t>
        </is>
      </c>
      <c r="L18" s="9" t="inlineStr"/>
    </row>
    <row r="19" ht="22" customHeight="1">
      <c r="B19" s="44" t="inlineStr"/>
      <c r="C19" s="44" t="inlineStr"/>
      <c r="D19" s="44" t="inlineStr"/>
      <c r="E19" s="44" t="inlineStr"/>
      <c r="F19" s="44" t="inlineStr"/>
      <c r="G19" s="44" t="inlineStr"/>
      <c r="H19" s="44" t="inlineStr">
        <is>
          <t>Y</t>
        </is>
      </c>
      <c r="I19" s="44" t="inlineStr">
        <is>
          <t>NIL</t>
        </is>
      </c>
      <c r="J19" s="44" t="inlineStr">
        <is>
          <t>None</t>
        </is>
      </c>
      <c r="K19" s="43" t="inlineStr">
        <is>
          <t>NIL</t>
        </is>
      </c>
      <c r="L19" s="43" t="inlineStr"/>
    </row>
    <row r="20" ht="22" customHeight="1">
      <c r="B20" s="10" t="inlineStr"/>
      <c r="C20" s="10" t="inlineStr"/>
      <c r="D20" s="10" t="inlineStr"/>
      <c r="E20" s="10" t="inlineStr"/>
      <c r="F20" s="10" t="inlineStr"/>
      <c r="G20" s="10" t="inlineStr"/>
      <c r="H20" s="10" t="inlineStr">
        <is>
          <t>Y</t>
        </is>
      </c>
      <c r="I20" s="10" t="inlineStr">
        <is>
          <t>NIL</t>
        </is>
      </c>
      <c r="J20" s="10" t="inlineStr">
        <is>
          <t>None</t>
        </is>
      </c>
      <c r="K20" s="9" t="inlineStr">
        <is>
          <t>NIL</t>
        </is>
      </c>
      <c r="L20" s="9" t="inlineStr"/>
    </row>
    <row r="21" ht="22" customHeight="1">
      <c r="B21" s="44" t="inlineStr"/>
      <c r="C21" s="44" t="inlineStr"/>
      <c r="D21" s="44" t="inlineStr"/>
      <c r="E21" s="44" t="inlineStr"/>
      <c r="F21" s="44" t="inlineStr"/>
      <c r="G21" s="44" t="inlineStr"/>
      <c r="H21" s="44" t="inlineStr">
        <is>
          <t>Y</t>
        </is>
      </c>
      <c r="I21" s="44" t="inlineStr">
        <is>
          <t>NIL</t>
        </is>
      </c>
      <c r="J21" s="44" t="inlineStr">
        <is>
          <t>None</t>
        </is>
      </c>
      <c r="K21" s="43" t="inlineStr">
        <is>
          <t>NIL</t>
        </is>
      </c>
      <c r="L21" s="43" t="inlineStr"/>
    </row>
    <row r="22" ht="22" customHeight="1">
      <c r="B22" s="10" t="inlineStr"/>
      <c r="C22" s="10" t="inlineStr"/>
      <c r="D22" s="10" t="inlineStr"/>
      <c r="E22" s="10" t="inlineStr"/>
      <c r="F22" s="10" t="inlineStr"/>
      <c r="G22" s="10" t="inlineStr"/>
      <c r="H22" s="10" t="inlineStr">
        <is>
          <t>Y</t>
        </is>
      </c>
      <c r="I22" s="10" t="inlineStr">
        <is>
          <t>NIL</t>
        </is>
      </c>
      <c r="J22" s="10" t="inlineStr">
        <is>
          <t>None</t>
        </is>
      </c>
      <c r="K22" s="9" t="inlineStr">
        <is>
          <t>NIL</t>
        </is>
      </c>
      <c r="L22" s="9" t="inlineStr"/>
    </row>
    <row r="23" ht="22" customHeight="1">
      <c r="B23" s="44" t="inlineStr"/>
      <c r="C23" s="44" t="inlineStr"/>
      <c r="D23" s="44" t="inlineStr"/>
      <c r="E23" s="44" t="inlineStr"/>
      <c r="F23" s="44" t="inlineStr"/>
      <c r="G23" s="44" t="inlineStr"/>
      <c r="H23" s="44" t="inlineStr">
        <is>
          <t>Y</t>
        </is>
      </c>
      <c r="I23" s="44" t="inlineStr">
        <is>
          <t>NIL</t>
        </is>
      </c>
      <c r="J23" s="44" t="inlineStr">
        <is>
          <t>None</t>
        </is>
      </c>
      <c r="K23" s="43" t="inlineStr">
        <is>
          <t>NIL</t>
        </is>
      </c>
      <c r="L23" s="43" t="inlineStr"/>
    </row>
    <row r="24" ht="22" customHeight="1">
      <c r="B24" s="10" t="inlineStr"/>
      <c r="C24" s="10" t="inlineStr"/>
      <c r="D24" s="10" t="inlineStr"/>
      <c r="E24" s="10" t="inlineStr"/>
      <c r="F24" s="10" t="inlineStr"/>
      <c r="G24" s="10" t="inlineStr"/>
      <c r="H24" s="10" t="inlineStr">
        <is>
          <t>Y</t>
        </is>
      </c>
      <c r="I24" s="10" t="inlineStr">
        <is>
          <t>NIL</t>
        </is>
      </c>
      <c r="J24" s="10" t="inlineStr">
        <is>
          <t>None</t>
        </is>
      </c>
      <c r="K24" s="9" t="inlineStr">
        <is>
          <t>NIL</t>
        </is>
      </c>
      <c r="L24" s="9" t="inlineStr"/>
    </row>
    <row r="25" ht="22" customHeight="1">
      <c r="B25" s="44" t="inlineStr"/>
      <c r="C25" s="44" t="inlineStr"/>
      <c r="D25" s="44" t="inlineStr"/>
      <c r="E25" s="44" t="inlineStr"/>
      <c r="F25" s="44" t="inlineStr"/>
      <c r="G25" s="44" t="inlineStr"/>
      <c r="H25" s="44" t="inlineStr">
        <is>
          <t>Y</t>
        </is>
      </c>
      <c r="I25" s="44" t="inlineStr">
        <is>
          <t>NIL</t>
        </is>
      </c>
      <c r="J25" s="44" t="inlineStr">
        <is>
          <t>None</t>
        </is>
      </c>
      <c r="K25" s="43" t="inlineStr">
        <is>
          <t>NIL</t>
        </is>
      </c>
      <c r="L25" s="43" t="inlineStr"/>
    </row>
    <row r="26" ht="22" customHeight="1">
      <c r="B26" s="10" t="inlineStr"/>
      <c r="C26" s="10" t="inlineStr"/>
      <c r="D26" s="10" t="inlineStr"/>
      <c r="E26" s="10" t="inlineStr"/>
      <c r="F26" s="10" t="inlineStr"/>
      <c r="G26" s="10" t="inlineStr"/>
      <c r="H26" s="10" t="inlineStr">
        <is>
          <t>Y</t>
        </is>
      </c>
      <c r="I26" s="10" t="inlineStr">
        <is>
          <t>NIL</t>
        </is>
      </c>
      <c r="J26" s="10" t="inlineStr">
        <is>
          <t>None</t>
        </is>
      </c>
      <c r="K26" s="9" t="inlineStr">
        <is>
          <t>NIL</t>
        </is>
      </c>
      <c r="L26" s="9" t="inlineStr"/>
    </row>
    <row r="27" ht="22" customHeight="1">
      <c r="B27" s="44" t="inlineStr"/>
      <c r="C27" s="44" t="inlineStr"/>
      <c r="D27" s="44" t="inlineStr"/>
      <c r="E27" s="44" t="inlineStr"/>
      <c r="F27" s="44" t="inlineStr"/>
      <c r="G27" s="44" t="inlineStr"/>
      <c r="H27" s="44" t="inlineStr">
        <is>
          <t>Y</t>
        </is>
      </c>
      <c r="I27" s="44" t="inlineStr">
        <is>
          <t>NIL</t>
        </is>
      </c>
      <c r="J27" s="44" t="inlineStr">
        <is>
          <t>None</t>
        </is>
      </c>
      <c r="K27" s="43" t="inlineStr">
        <is>
          <t>NIL</t>
        </is>
      </c>
      <c r="L27" s="43" t="inlineStr"/>
    </row>
    <row r="28" ht="22" customHeight="1">
      <c r="B28" s="10" t="inlineStr"/>
      <c r="C28" s="10" t="inlineStr"/>
      <c r="D28" s="10" t="inlineStr"/>
      <c r="E28" s="10" t="inlineStr"/>
      <c r="F28" s="10" t="inlineStr"/>
      <c r="G28" s="10" t="inlineStr"/>
      <c r="H28" s="10" t="inlineStr">
        <is>
          <t>Y</t>
        </is>
      </c>
      <c r="I28" s="10" t="inlineStr">
        <is>
          <t>NIL</t>
        </is>
      </c>
      <c r="J28" s="10" t="inlineStr">
        <is>
          <t>None</t>
        </is>
      </c>
      <c r="K28" s="9" t="inlineStr">
        <is>
          <t>NIL</t>
        </is>
      </c>
      <c r="L28" s="9" t="inlineStr"/>
    </row>
    <row r="29" ht="22" customHeight="1">
      <c r="B29" s="44" t="inlineStr"/>
      <c r="C29" s="44" t="inlineStr"/>
      <c r="D29" s="44" t="inlineStr"/>
      <c r="E29" s="44" t="inlineStr"/>
      <c r="F29" s="44" t="inlineStr"/>
      <c r="G29" s="44" t="inlineStr"/>
      <c r="H29" s="44" t="inlineStr">
        <is>
          <t>Y</t>
        </is>
      </c>
      <c r="I29" s="44" t="inlineStr">
        <is>
          <t>NIL</t>
        </is>
      </c>
      <c r="J29" s="44" t="inlineStr">
        <is>
          <t>None</t>
        </is>
      </c>
      <c r="K29" s="43" t="inlineStr">
        <is>
          <t>NIL</t>
        </is>
      </c>
      <c r="L29" s="43" t="inlineStr"/>
    </row>
    <row r="30" ht="22" customHeight="1">
      <c r="B30" s="10" t="inlineStr"/>
      <c r="C30" s="10" t="inlineStr"/>
      <c r="D30" s="10" t="inlineStr"/>
      <c r="E30" s="10" t="inlineStr"/>
      <c r="F30" s="10" t="inlineStr"/>
      <c r="G30" s="10" t="inlineStr"/>
      <c r="H30" s="10" t="inlineStr">
        <is>
          <t>Y</t>
        </is>
      </c>
      <c r="I30" s="10" t="inlineStr">
        <is>
          <t>NIL</t>
        </is>
      </c>
      <c r="J30" s="10" t="inlineStr">
        <is>
          <t>None</t>
        </is>
      </c>
      <c r="K30" s="9" t="inlineStr">
        <is>
          <t>NIL</t>
        </is>
      </c>
      <c r="L30" s="9" t="inlineStr"/>
    </row>
    <row r="31" ht="22" customHeight="1"/>
    <row r="32" ht="24" customHeight="1">
      <c r="B32" s="36" t="inlineStr">
        <is>
          <t>MONTHLY WATER SUMMARY</t>
        </is>
      </c>
    </row>
    <row r="33">
      <c r="B33" s="45" t="inlineStr">
        <is>
          <t>Total Municipal Supply (hours)</t>
        </is>
      </c>
      <c r="F33" s="38">
        <f>IFERROR(SUM(C5:C30),"")</f>
        <v/>
      </c>
    </row>
    <row r="34">
      <c r="B34" s="27" t="inlineStr">
        <is>
          <t>Total Borewell Pump Hours</t>
        </is>
      </c>
      <c r="F34" s="39">
        <f>IFERROR(SUM(D5:D30),"")</f>
        <v/>
      </c>
    </row>
    <row r="35">
      <c r="B35" s="45" t="inlineStr">
        <is>
          <t>Estimated Total Consumption (kL)</t>
        </is>
      </c>
      <c r="F35" s="38">
        <f>IFERROR(SUM(G5:G30),"")</f>
        <v/>
      </c>
    </row>
    <row r="36">
      <c r="B36" s="27" t="inlineStr">
        <is>
          <t>Days with Water Complaints</t>
        </is>
      </c>
      <c r="F36" s="39">
        <f>COUNTIF(I5:I30,"&lt;&gt;"&amp;"NIL")</f>
        <v/>
      </c>
    </row>
    <row r="37">
      <c r="B37" s="45" t="inlineStr">
        <is>
          <t>Pump Fault Days</t>
        </is>
      </c>
      <c r="F37" s="38">
        <f>COUNTIF(J5:J30,"&lt;&gt;"&amp;"None")</f>
        <v/>
      </c>
    </row>
    <row r="38">
      <c r="B38" s="27" t="inlineStr">
        <is>
          <t>Average Daily Consumption (kL)</t>
        </is>
      </c>
      <c r="F38" s="39">
        <f>IFERROR(ROUND(AVERAGE(G5:G30),1),"")</f>
        <v/>
      </c>
    </row>
  </sheetData>
  <mergeCells count="15">
    <mergeCell ref="F36:L36"/>
    <mergeCell ref="B35:E35"/>
    <mergeCell ref="B37:E37"/>
    <mergeCell ref="F35:L35"/>
    <mergeCell ref="B38:E38"/>
    <mergeCell ref="B3:L3"/>
    <mergeCell ref="B2:L2"/>
    <mergeCell ref="F37:L37"/>
    <mergeCell ref="B33:E33"/>
    <mergeCell ref="F38:L38"/>
    <mergeCell ref="F34:L34"/>
    <mergeCell ref="B34:E34"/>
    <mergeCell ref="B32:L32"/>
    <mergeCell ref="B36:E36"/>
    <mergeCell ref="F33:L3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K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3" customWidth="1" min="12" max="12"/>
  </cols>
  <sheetData>
    <row r="1" ht="10" customHeight="1"/>
    <row r="2" ht="48" customHeight="1">
      <c r="B2" s="12" t="inlineStr">
        <is>
          <t>HVC-02: AIR CONDITIONING MAINTENANCE &amp; SERVICE LOG</t>
        </is>
      </c>
    </row>
    <row r="3" ht="20" customHeight="1">
      <c r="B3" s="17" t="inlineStr">
        <is>
          <t>AC filter cleaning: Monthly. Full service (coil cleaning, gas check): Quarterly. Gas top-up and compressor check: As needed. All AC units must be on AMC with certified service agency.</t>
        </is>
      </c>
    </row>
    <row r="4" ht="25" customHeight="1">
      <c r="B4" s="13" t="inlineStr">
        <is>
          <t>Service
Ref.</t>
        </is>
      </c>
      <c r="C4" s="13" t="inlineStr">
        <is>
          <t>Location /
Unit ID</t>
        </is>
      </c>
      <c r="D4" s="13" t="inlineStr">
        <is>
          <t>AC Type</t>
        </is>
      </c>
      <c r="E4" s="13" t="inlineStr">
        <is>
          <t>Service
Type</t>
        </is>
      </c>
      <c r="F4" s="13" t="inlineStr">
        <is>
          <t>Date</t>
        </is>
      </c>
      <c r="G4" s="13" t="inlineStr">
        <is>
          <t>AMC /
In-house</t>
        </is>
      </c>
      <c r="H4" s="13" t="inlineStr">
        <is>
          <t>Filter
Cleaned</t>
        </is>
      </c>
      <c r="I4" s="13" t="inlineStr">
        <is>
          <t>Gas
Checked</t>
        </is>
      </c>
      <c r="J4" s="13" t="inlineStr">
        <is>
          <t>Fault
Found</t>
        </is>
      </c>
      <c r="K4" s="13" t="inlineStr">
        <is>
          <t>Status</t>
        </is>
      </c>
    </row>
    <row r="5" ht="22" customHeight="1">
      <c r="B5" s="42" t="inlineStr">
        <is>
          <t>ACS/001</t>
        </is>
      </c>
      <c r="C5" s="43" t="inlineStr"/>
      <c r="D5" s="44" t="inlineStr">
        <is>
          <t>Split AC — 1.5 TR</t>
        </is>
      </c>
      <c r="E5" s="44" t="inlineStr">
        <is>
          <t>Monthly Filter Clean</t>
        </is>
      </c>
      <c r="F5" s="44" t="inlineStr"/>
      <c r="G5" s="44" t="inlineStr">
        <is>
          <t>AMC</t>
        </is>
      </c>
      <c r="H5" s="44" t="inlineStr">
        <is>
          <t>Y</t>
        </is>
      </c>
      <c r="I5" s="44" t="inlineStr">
        <is>
          <t>Y</t>
        </is>
      </c>
      <c r="J5" s="44" t="inlineStr">
        <is>
          <t>None</t>
        </is>
      </c>
      <c r="K5" s="44" t="inlineStr">
        <is>
          <t>Completed</t>
        </is>
      </c>
    </row>
    <row r="6" ht="22" customHeight="1">
      <c r="B6" s="8" t="inlineStr">
        <is>
          <t>ACS/002</t>
        </is>
      </c>
      <c r="C6" s="9" t="inlineStr"/>
      <c r="D6" s="10" t="inlineStr">
        <is>
          <t>Split AC — 2.0 TR</t>
        </is>
      </c>
      <c r="E6" s="10" t="inlineStr">
        <is>
          <t>Quarterly Full Service</t>
        </is>
      </c>
      <c r="F6" s="10" t="inlineStr"/>
      <c r="G6" s="10" t="inlineStr">
        <is>
          <t>AMC</t>
        </is>
      </c>
      <c r="H6" s="10" t="inlineStr">
        <is>
          <t>Y</t>
        </is>
      </c>
      <c r="I6" s="10" t="inlineStr">
        <is>
          <t>Y</t>
        </is>
      </c>
      <c r="J6" s="10" t="inlineStr">
        <is>
          <t>None</t>
        </is>
      </c>
      <c r="K6" s="10" t="inlineStr">
        <is>
          <t>Completed</t>
        </is>
      </c>
    </row>
    <row r="7" ht="22" customHeight="1">
      <c r="B7" s="42" t="inlineStr">
        <is>
          <t>ACS/003</t>
        </is>
      </c>
      <c r="C7" s="43" t="inlineStr"/>
      <c r="D7" s="44" t="inlineStr">
        <is>
          <t>Cassette AC</t>
        </is>
      </c>
      <c r="E7" s="44" t="inlineStr">
        <is>
          <t>Gas Top-up</t>
        </is>
      </c>
      <c r="F7" s="44" t="inlineStr"/>
      <c r="G7" s="44" t="inlineStr">
        <is>
          <t>AMC</t>
        </is>
      </c>
      <c r="H7" s="44" t="inlineStr">
        <is>
          <t>Y</t>
        </is>
      </c>
      <c r="I7" s="44" t="inlineStr">
        <is>
          <t>Y</t>
        </is>
      </c>
      <c r="J7" s="44" t="inlineStr">
        <is>
          <t>None</t>
        </is>
      </c>
      <c r="K7" s="44" t="inlineStr">
        <is>
          <t>Completed</t>
        </is>
      </c>
    </row>
    <row r="8" ht="22" customHeight="1">
      <c r="B8" s="8" t="inlineStr">
        <is>
          <t>ACS/004</t>
        </is>
      </c>
      <c r="C8" s="9" t="inlineStr"/>
      <c r="D8" s="10" t="inlineStr">
        <is>
          <t>Central AC / AHU</t>
        </is>
      </c>
      <c r="E8" s="10" t="inlineStr">
        <is>
          <t>Compressor Repair</t>
        </is>
      </c>
      <c r="F8" s="10" t="inlineStr"/>
      <c r="G8" s="10" t="inlineStr">
        <is>
          <t>AMC</t>
        </is>
      </c>
      <c r="H8" s="10" t="inlineStr">
        <is>
          <t>Y</t>
        </is>
      </c>
      <c r="I8" s="10" t="inlineStr">
        <is>
          <t>Y</t>
        </is>
      </c>
      <c r="J8" s="10" t="inlineStr">
        <is>
          <t>None</t>
        </is>
      </c>
      <c r="K8" s="10" t="inlineStr">
        <is>
          <t>Completed</t>
        </is>
      </c>
    </row>
    <row r="9" ht="22" customHeight="1">
      <c r="B9" s="42" t="inlineStr">
        <is>
          <t>ACS/005</t>
        </is>
      </c>
      <c r="C9" s="43" t="inlineStr"/>
      <c r="D9" s="44" t="inlineStr">
        <is>
          <t>Window AC</t>
        </is>
      </c>
      <c r="E9" s="44" t="inlineStr">
        <is>
          <t>AMC Annual Service</t>
        </is>
      </c>
      <c r="F9" s="44" t="inlineStr"/>
      <c r="G9" s="44" t="inlineStr">
        <is>
          <t>AMC</t>
        </is>
      </c>
      <c r="H9" s="44" t="inlineStr">
        <is>
          <t>Y</t>
        </is>
      </c>
      <c r="I9" s="44" t="inlineStr">
        <is>
          <t>Y</t>
        </is>
      </c>
      <c r="J9" s="44" t="inlineStr">
        <is>
          <t>None</t>
        </is>
      </c>
      <c r="K9" s="44" t="inlineStr">
        <is>
          <t>Completed</t>
        </is>
      </c>
    </row>
    <row r="10" ht="22" customHeight="1">
      <c r="B10" s="8" t="inlineStr">
        <is>
          <t>ACS/006</t>
        </is>
      </c>
      <c r="C10" s="9" t="inlineStr"/>
      <c r="D10" s="10" t="inlineStr">
        <is>
          <t>VRF System</t>
        </is>
      </c>
      <c r="E10" s="10" t="inlineStr">
        <is>
          <t>Thermostat Replacement</t>
        </is>
      </c>
      <c r="F10" s="10" t="inlineStr"/>
      <c r="G10" s="10" t="inlineStr">
        <is>
          <t>AMC</t>
        </is>
      </c>
      <c r="H10" s="10" t="inlineStr">
        <is>
          <t>Y</t>
        </is>
      </c>
      <c r="I10" s="10" t="inlineStr">
        <is>
          <t>Y</t>
        </is>
      </c>
      <c r="J10" s="10" t="inlineStr">
        <is>
          <t>None</t>
        </is>
      </c>
      <c r="K10" s="10" t="inlineStr">
        <is>
          <t>Completed</t>
        </is>
      </c>
    </row>
    <row r="11" ht="22" customHeight="1">
      <c r="B11" s="42" t="inlineStr">
        <is>
          <t>ACS/007</t>
        </is>
      </c>
      <c r="C11" s="43" t="inlineStr"/>
      <c r="D11" s="44" t="inlineStr">
        <is>
          <t>Precision AC (Server Room)</t>
        </is>
      </c>
      <c r="E11" s="44" t="inlineStr">
        <is>
          <t>Monthly Filter Clean</t>
        </is>
      </c>
      <c r="F11" s="44" t="inlineStr"/>
      <c r="G11" s="44" t="inlineStr">
        <is>
          <t>AMC</t>
        </is>
      </c>
      <c r="H11" s="44" t="inlineStr">
        <is>
          <t>Y</t>
        </is>
      </c>
      <c r="I11" s="44" t="inlineStr">
        <is>
          <t>Y</t>
        </is>
      </c>
      <c r="J11" s="44" t="inlineStr">
        <is>
          <t>None</t>
        </is>
      </c>
      <c r="K11" s="44" t="inlineStr">
        <is>
          <t>Completed</t>
        </is>
      </c>
    </row>
    <row r="12" ht="22" customHeight="1">
      <c r="B12" s="8" t="inlineStr">
        <is>
          <t>ACS/008</t>
        </is>
      </c>
      <c r="C12" s="9" t="inlineStr"/>
      <c r="D12" s="10" t="inlineStr">
        <is>
          <t>Split AC — 1.5 TR</t>
        </is>
      </c>
      <c r="E12" s="10" t="inlineStr">
        <is>
          <t>Quarterly Full Service</t>
        </is>
      </c>
      <c r="F12" s="10" t="inlineStr"/>
      <c r="G12" s="10" t="inlineStr">
        <is>
          <t>AMC</t>
        </is>
      </c>
      <c r="H12" s="10" t="inlineStr">
        <is>
          <t>Y</t>
        </is>
      </c>
      <c r="I12" s="10" t="inlineStr">
        <is>
          <t>Y</t>
        </is>
      </c>
      <c r="J12" s="10" t="inlineStr">
        <is>
          <t>None</t>
        </is>
      </c>
      <c r="K12" s="10" t="inlineStr">
        <is>
          <t>Completed</t>
        </is>
      </c>
    </row>
    <row r="13" ht="22" customHeight="1">
      <c r="B13" s="42" t="inlineStr">
        <is>
          <t>ACS/009</t>
        </is>
      </c>
      <c r="C13" s="43" t="inlineStr"/>
      <c r="D13" s="44" t="inlineStr">
        <is>
          <t>Split AC — 2.0 TR</t>
        </is>
      </c>
      <c r="E13" s="44" t="inlineStr">
        <is>
          <t>Gas Top-up</t>
        </is>
      </c>
      <c r="F13" s="44" t="inlineStr"/>
      <c r="G13" s="44" t="inlineStr">
        <is>
          <t>AMC</t>
        </is>
      </c>
      <c r="H13" s="44" t="inlineStr">
        <is>
          <t>Y</t>
        </is>
      </c>
      <c r="I13" s="44" t="inlineStr">
        <is>
          <t>Y</t>
        </is>
      </c>
      <c r="J13" s="44" t="inlineStr">
        <is>
          <t>None</t>
        </is>
      </c>
      <c r="K13" s="44" t="inlineStr">
        <is>
          <t>Completed</t>
        </is>
      </c>
    </row>
    <row r="14" ht="22" customHeight="1">
      <c r="B14" s="8" t="inlineStr">
        <is>
          <t>ACS/010</t>
        </is>
      </c>
      <c r="C14" s="9" t="inlineStr"/>
      <c r="D14" s="10" t="inlineStr">
        <is>
          <t>Cassette AC</t>
        </is>
      </c>
      <c r="E14" s="10" t="inlineStr">
        <is>
          <t>Compressor Repair</t>
        </is>
      </c>
      <c r="F14" s="10" t="inlineStr"/>
      <c r="G14" s="10" t="inlineStr">
        <is>
          <t>AMC</t>
        </is>
      </c>
      <c r="H14" s="10" t="inlineStr">
        <is>
          <t>Y</t>
        </is>
      </c>
      <c r="I14" s="10" t="inlineStr">
        <is>
          <t>Y</t>
        </is>
      </c>
      <c r="J14" s="10" t="inlineStr">
        <is>
          <t>None</t>
        </is>
      </c>
      <c r="K14" s="10" t="inlineStr">
        <is>
          <t>Completed</t>
        </is>
      </c>
    </row>
    <row r="15" ht="22" customHeight="1">
      <c r="B15" s="42" t="inlineStr">
        <is>
          <t>ACS/011</t>
        </is>
      </c>
      <c r="C15" s="43" t="inlineStr"/>
      <c r="D15" s="44" t="inlineStr">
        <is>
          <t>Central AC / AHU</t>
        </is>
      </c>
      <c r="E15" s="44" t="inlineStr">
        <is>
          <t>AMC Annual Service</t>
        </is>
      </c>
      <c r="F15" s="44" t="inlineStr"/>
      <c r="G15" s="44" t="inlineStr">
        <is>
          <t>AMC</t>
        </is>
      </c>
      <c r="H15" s="44" t="inlineStr">
        <is>
          <t>Y</t>
        </is>
      </c>
      <c r="I15" s="44" t="inlineStr">
        <is>
          <t>Y</t>
        </is>
      </c>
      <c r="J15" s="44" t="inlineStr">
        <is>
          <t>None</t>
        </is>
      </c>
      <c r="K15" s="44" t="inlineStr">
        <is>
          <t>Completed</t>
        </is>
      </c>
    </row>
    <row r="16" ht="22" customHeight="1">
      <c r="B16" s="8" t="inlineStr">
        <is>
          <t>ACS/012</t>
        </is>
      </c>
      <c r="C16" s="9" t="inlineStr"/>
      <c r="D16" s="10" t="inlineStr">
        <is>
          <t>Window AC</t>
        </is>
      </c>
      <c r="E16" s="10" t="inlineStr">
        <is>
          <t>Thermostat Replacement</t>
        </is>
      </c>
      <c r="F16" s="10" t="inlineStr"/>
      <c r="G16" s="10" t="inlineStr">
        <is>
          <t>AMC</t>
        </is>
      </c>
      <c r="H16" s="10" t="inlineStr">
        <is>
          <t>Y</t>
        </is>
      </c>
      <c r="I16" s="10" t="inlineStr">
        <is>
          <t>Y</t>
        </is>
      </c>
      <c r="J16" s="10" t="inlineStr">
        <is>
          <t>None</t>
        </is>
      </c>
      <c r="K16" s="10" t="inlineStr">
        <is>
          <t>Completed</t>
        </is>
      </c>
    </row>
    <row r="17" ht="22" customHeight="1">
      <c r="B17" s="42" t="inlineStr">
        <is>
          <t>ACS/013</t>
        </is>
      </c>
      <c r="C17" s="43" t="inlineStr"/>
      <c r="D17" s="44" t="inlineStr">
        <is>
          <t>VRF System</t>
        </is>
      </c>
      <c r="E17" s="44" t="inlineStr">
        <is>
          <t>Monthly Filter Clean</t>
        </is>
      </c>
      <c r="F17" s="44" t="inlineStr"/>
      <c r="G17" s="44" t="inlineStr">
        <is>
          <t>AMC</t>
        </is>
      </c>
      <c r="H17" s="44" t="inlineStr">
        <is>
          <t>Y</t>
        </is>
      </c>
      <c r="I17" s="44" t="inlineStr">
        <is>
          <t>Y</t>
        </is>
      </c>
      <c r="J17" s="44" t="inlineStr">
        <is>
          <t>None</t>
        </is>
      </c>
      <c r="K17" s="44" t="inlineStr">
        <is>
          <t>Completed</t>
        </is>
      </c>
    </row>
    <row r="18" ht="22" customHeight="1">
      <c r="B18" s="8" t="inlineStr">
        <is>
          <t>ACS/014</t>
        </is>
      </c>
      <c r="C18" s="9" t="inlineStr"/>
      <c r="D18" s="10" t="inlineStr">
        <is>
          <t>Precision AC (Server Room)</t>
        </is>
      </c>
      <c r="E18" s="10" t="inlineStr">
        <is>
          <t>Quarterly Full Service</t>
        </is>
      </c>
      <c r="F18" s="10" t="inlineStr"/>
      <c r="G18" s="10" t="inlineStr">
        <is>
          <t>AMC</t>
        </is>
      </c>
      <c r="H18" s="10" t="inlineStr">
        <is>
          <t>Y</t>
        </is>
      </c>
      <c r="I18" s="10" t="inlineStr">
        <is>
          <t>Y</t>
        </is>
      </c>
      <c r="J18" s="10" t="inlineStr">
        <is>
          <t>None</t>
        </is>
      </c>
      <c r="K18" s="10" t="inlineStr">
        <is>
          <t>Completed</t>
        </is>
      </c>
    </row>
    <row r="19" ht="22" customHeight="1">
      <c r="B19" s="42" t="inlineStr">
        <is>
          <t>ACS/015</t>
        </is>
      </c>
      <c r="C19" s="43" t="inlineStr"/>
      <c r="D19" s="44" t="inlineStr">
        <is>
          <t>Split AC — 1.5 TR</t>
        </is>
      </c>
      <c r="E19" s="44" t="inlineStr">
        <is>
          <t>Gas Top-up</t>
        </is>
      </c>
      <c r="F19" s="44" t="inlineStr"/>
      <c r="G19" s="44" t="inlineStr">
        <is>
          <t>AMC</t>
        </is>
      </c>
      <c r="H19" s="44" t="inlineStr">
        <is>
          <t>Y</t>
        </is>
      </c>
      <c r="I19" s="44" t="inlineStr">
        <is>
          <t>Y</t>
        </is>
      </c>
      <c r="J19" s="44" t="inlineStr">
        <is>
          <t>None</t>
        </is>
      </c>
      <c r="K19" s="44" t="inlineStr">
        <is>
          <t>Completed</t>
        </is>
      </c>
    </row>
    <row r="20" ht="22" customHeight="1">
      <c r="B20" s="8" t="inlineStr">
        <is>
          <t>ACS/016</t>
        </is>
      </c>
      <c r="C20" s="9" t="inlineStr"/>
      <c r="D20" s="10" t="inlineStr">
        <is>
          <t>Split AC — 2.0 TR</t>
        </is>
      </c>
      <c r="E20" s="10" t="inlineStr">
        <is>
          <t>Compressor Repair</t>
        </is>
      </c>
      <c r="F20" s="10" t="inlineStr"/>
      <c r="G20" s="10" t="inlineStr">
        <is>
          <t>AMC</t>
        </is>
      </c>
      <c r="H20" s="10" t="inlineStr">
        <is>
          <t>Y</t>
        </is>
      </c>
      <c r="I20" s="10" t="inlineStr">
        <is>
          <t>Y</t>
        </is>
      </c>
      <c r="J20" s="10" t="inlineStr">
        <is>
          <t>None</t>
        </is>
      </c>
      <c r="K20" s="10" t="inlineStr">
        <is>
          <t>Completed</t>
        </is>
      </c>
    </row>
    <row r="21" ht="22" customHeight="1">
      <c r="B21" s="42" t="inlineStr">
        <is>
          <t>ACS/017</t>
        </is>
      </c>
      <c r="C21" s="43" t="inlineStr"/>
      <c r="D21" s="44" t="inlineStr">
        <is>
          <t>Cassette AC</t>
        </is>
      </c>
      <c r="E21" s="44" t="inlineStr">
        <is>
          <t>AMC Annual Service</t>
        </is>
      </c>
      <c r="F21" s="44" t="inlineStr"/>
      <c r="G21" s="44" t="inlineStr">
        <is>
          <t>AMC</t>
        </is>
      </c>
      <c r="H21" s="44" t="inlineStr">
        <is>
          <t>Y</t>
        </is>
      </c>
      <c r="I21" s="44" t="inlineStr">
        <is>
          <t>Y</t>
        </is>
      </c>
      <c r="J21" s="44" t="inlineStr">
        <is>
          <t>None</t>
        </is>
      </c>
      <c r="K21" s="44" t="inlineStr">
        <is>
          <t>Completed</t>
        </is>
      </c>
    </row>
    <row r="22" ht="22" customHeight="1">
      <c r="B22" s="8" t="inlineStr">
        <is>
          <t>ACS/018</t>
        </is>
      </c>
      <c r="C22" s="9" t="inlineStr"/>
      <c r="D22" s="10" t="inlineStr">
        <is>
          <t>Central AC / AHU</t>
        </is>
      </c>
      <c r="E22" s="10" t="inlineStr">
        <is>
          <t>Thermostat Replacement</t>
        </is>
      </c>
      <c r="F22" s="10" t="inlineStr"/>
      <c r="G22" s="10" t="inlineStr">
        <is>
          <t>AMC</t>
        </is>
      </c>
      <c r="H22" s="10" t="inlineStr">
        <is>
          <t>Y</t>
        </is>
      </c>
      <c r="I22" s="10" t="inlineStr">
        <is>
          <t>Y</t>
        </is>
      </c>
      <c r="J22" s="10" t="inlineStr">
        <is>
          <t>None</t>
        </is>
      </c>
      <c r="K22" s="10" t="inlineStr">
        <is>
          <t>Completed</t>
        </is>
      </c>
    </row>
    <row r="23" ht="22" customHeight="1">
      <c r="B23" s="42" t="inlineStr">
        <is>
          <t>ACS/019</t>
        </is>
      </c>
      <c r="C23" s="43" t="inlineStr"/>
      <c r="D23" s="44" t="inlineStr">
        <is>
          <t>Window AC</t>
        </is>
      </c>
      <c r="E23" s="44" t="inlineStr">
        <is>
          <t>Monthly Filter Clean</t>
        </is>
      </c>
      <c r="F23" s="44" t="inlineStr"/>
      <c r="G23" s="44" t="inlineStr">
        <is>
          <t>AMC</t>
        </is>
      </c>
      <c r="H23" s="44" t="inlineStr">
        <is>
          <t>Y</t>
        </is>
      </c>
      <c r="I23" s="44" t="inlineStr">
        <is>
          <t>Y</t>
        </is>
      </c>
      <c r="J23" s="44" t="inlineStr">
        <is>
          <t>None</t>
        </is>
      </c>
      <c r="K23" s="44" t="inlineStr">
        <is>
          <t>Completed</t>
        </is>
      </c>
    </row>
    <row r="24" ht="22" customHeight="1">
      <c r="B24" s="8" t="inlineStr">
        <is>
          <t>ACS/020</t>
        </is>
      </c>
      <c r="C24" s="9" t="inlineStr"/>
      <c r="D24" s="10" t="inlineStr">
        <is>
          <t>VRF System</t>
        </is>
      </c>
      <c r="E24" s="10" t="inlineStr">
        <is>
          <t>Quarterly Full Service</t>
        </is>
      </c>
      <c r="F24" s="10" t="inlineStr"/>
      <c r="G24" s="10" t="inlineStr">
        <is>
          <t>AMC</t>
        </is>
      </c>
      <c r="H24" s="10" t="inlineStr">
        <is>
          <t>Y</t>
        </is>
      </c>
      <c r="I24" s="10" t="inlineStr">
        <is>
          <t>Y</t>
        </is>
      </c>
      <c r="J24" s="10" t="inlineStr">
        <is>
          <t>None</t>
        </is>
      </c>
      <c r="K24" s="10" t="inlineStr">
        <is>
          <t>Completed</t>
        </is>
      </c>
    </row>
    <row r="25" ht="22" customHeight="1">
      <c r="B25" s="42" t="inlineStr">
        <is>
          <t>ACS/021</t>
        </is>
      </c>
      <c r="C25" s="43" t="inlineStr"/>
      <c r="D25" s="44" t="inlineStr">
        <is>
          <t>Precision AC (Server Room)</t>
        </is>
      </c>
      <c r="E25" s="44" t="inlineStr">
        <is>
          <t>Gas Top-up</t>
        </is>
      </c>
      <c r="F25" s="44" t="inlineStr"/>
      <c r="G25" s="44" t="inlineStr">
        <is>
          <t>AMC</t>
        </is>
      </c>
      <c r="H25" s="44" t="inlineStr">
        <is>
          <t>Y</t>
        </is>
      </c>
      <c r="I25" s="44" t="inlineStr">
        <is>
          <t>Y</t>
        </is>
      </c>
      <c r="J25" s="44" t="inlineStr">
        <is>
          <t>None</t>
        </is>
      </c>
      <c r="K25" s="44" t="inlineStr">
        <is>
          <t>Completed</t>
        </is>
      </c>
    </row>
    <row r="26" ht="22" customHeight="1">
      <c r="B26" s="8" t="inlineStr">
        <is>
          <t>ACS/022</t>
        </is>
      </c>
      <c r="C26" s="9" t="inlineStr"/>
      <c r="D26" s="10" t="inlineStr">
        <is>
          <t>Split AC — 1.5 TR</t>
        </is>
      </c>
      <c r="E26" s="10" t="inlineStr">
        <is>
          <t>Compressor Repair</t>
        </is>
      </c>
      <c r="F26" s="10" t="inlineStr"/>
      <c r="G26" s="10" t="inlineStr">
        <is>
          <t>AMC</t>
        </is>
      </c>
      <c r="H26" s="10" t="inlineStr">
        <is>
          <t>Y</t>
        </is>
      </c>
      <c r="I26" s="10" t="inlineStr">
        <is>
          <t>Y</t>
        </is>
      </c>
      <c r="J26" s="10" t="inlineStr">
        <is>
          <t>None</t>
        </is>
      </c>
      <c r="K26" s="10" t="inlineStr">
        <is>
          <t>Completed</t>
        </is>
      </c>
    </row>
    <row r="27" ht="22" customHeight="1"/>
    <row r="28" ht="24" customHeight="1">
      <c r="B28" s="36" t="inlineStr">
        <is>
          <t>AC MAINTENANCE SUMMARY</t>
        </is>
      </c>
    </row>
    <row r="29" ht="22" customHeight="1">
      <c r="B29" s="45" t="inlineStr">
        <is>
          <t>Total AC Service Events</t>
        </is>
      </c>
      <c r="F29" s="38">
        <f>COUNTA(B5:B26)</f>
        <v/>
      </c>
    </row>
    <row r="30">
      <c r="B30" s="27" t="inlineStr">
        <is>
          <t>Monthly Filter Cleans</t>
        </is>
      </c>
      <c r="F30" s="39">
        <f>COUNTIF(E5:E26,"Monthly Filter Clean")</f>
        <v/>
      </c>
    </row>
    <row r="31">
      <c r="B31" s="45" t="inlineStr">
        <is>
          <t>Quarterly Full Services</t>
        </is>
      </c>
      <c r="F31" s="38">
        <f>COUNTIF(E5:E26,"Quarterly Full Service")</f>
        <v/>
      </c>
    </row>
    <row r="32">
      <c r="B32" s="27" t="inlineStr">
        <is>
          <t>Faults Found</t>
        </is>
      </c>
      <c r="F32" s="39">
        <f>COUNTIF(J5:J26,"&lt;&gt;"&amp;"None")</f>
        <v/>
      </c>
    </row>
    <row r="33">
      <c r="B33" s="45" t="inlineStr">
        <is>
          <t>AMC-Covered Services</t>
        </is>
      </c>
      <c r="F33" s="38">
        <f>COUNTIF(G5:G26,"AMC")</f>
        <v/>
      </c>
    </row>
    <row r="34">
      <c r="B34" s="27" t="inlineStr">
        <is>
          <t>Units on AMC</t>
        </is>
      </c>
      <c r="F34" s="39" t="inlineStr"/>
    </row>
  </sheetData>
  <mergeCells count="15">
    <mergeCell ref="B31:E31"/>
    <mergeCell ref="F34:K34"/>
    <mergeCell ref="F33:K33"/>
    <mergeCell ref="F32:K32"/>
    <mergeCell ref="B34:E34"/>
    <mergeCell ref="B30:E30"/>
    <mergeCell ref="F31:K31"/>
    <mergeCell ref="B32:E32"/>
    <mergeCell ref="B29:E29"/>
    <mergeCell ref="B33:E33"/>
    <mergeCell ref="B2:K2"/>
    <mergeCell ref="B28:K28"/>
    <mergeCell ref="B3:K3"/>
    <mergeCell ref="F29:K29"/>
    <mergeCell ref="F30:K30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K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3" customWidth="1" min="12" max="12"/>
  </cols>
  <sheetData>
    <row r="1" ht="10" customHeight="1"/>
    <row r="2" ht="48" customHeight="1">
      <c r="B2" s="48" t="inlineStr">
        <is>
          <t>FSS-01: FIRE EXTINGUISHER INVENTORY &amp; INSPECTION REGISTER</t>
        </is>
      </c>
    </row>
    <row r="3" ht="20" customHeight="1">
      <c r="B3" s="17" t="inlineStr">
        <is>
          <t>Monthly visual inspection mandatory — check pressure gauge, safety pin, nozzle, hose and mounting. Annual refilling/servicing mandatory by certified agency. Expired extinguishers must be removed immediately. IS 2190:2010.</t>
        </is>
      </c>
    </row>
    <row r="4" ht="25" customHeight="1">
      <c r="B4" s="49" t="inlineStr">
        <is>
          <t>Extinguisher
Ref.</t>
        </is>
      </c>
      <c r="C4" s="49" t="inlineStr">
        <is>
          <t>Location</t>
        </is>
      </c>
      <c r="D4" s="49" t="inlineStr">
        <is>
          <t>Type</t>
        </is>
      </c>
      <c r="E4" s="49" t="inlineStr">
        <is>
          <t>Capacity
(kg/L)</t>
        </is>
      </c>
      <c r="F4" s="49" t="inlineStr">
        <is>
          <t>Last
Filled</t>
        </is>
      </c>
      <c r="G4" s="49" t="inlineStr">
        <is>
          <t>Refill
Due</t>
        </is>
      </c>
      <c r="H4" s="49" t="inlineStr">
        <is>
          <t>Monthly
Inspection</t>
        </is>
      </c>
      <c r="I4" s="49" t="inlineStr">
        <is>
          <t>Pressure
Gauge OK</t>
        </is>
      </c>
      <c r="J4" s="49" t="inlineStr">
        <is>
          <t>Pin /
Seal OK</t>
        </is>
      </c>
      <c r="K4" s="49" t="inlineStr">
        <is>
          <t>Status</t>
        </is>
      </c>
    </row>
    <row r="5" ht="22" customHeight="1">
      <c r="B5" s="50" t="inlineStr">
        <is>
          <t>FEX-001</t>
        </is>
      </c>
      <c r="C5" s="51" t="inlineStr">
        <is>
          <t>Principal Office Corridor</t>
        </is>
      </c>
      <c r="D5" s="52" t="inlineStr">
        <is>
          <t>CO2 (4.5 kg)</t>
        </is>
      </c>
      <c r="E5" s="52" t="inlineStr"/>
      <c r="F5" s="52" t="inlineStr"/>
      <c r="G5" s="52" t="inlineStr"/>
      <c r="H5" s="52" t="inlineStr">
        <is>
          <t>Y</t>
        </is>
      </c>
      <c r="I5" s="52" t="inlineStr">
        <is>
          <t>OK</t>
        </is>
      </c>
      <c r="J5" s="52" t="inlineStr">
        <is>
          <t>OK</t>
        </is>
      </c>
      <c r="K5" s="52" t="inlineStr">
        <is>
          <t>Valid</t>
        </is>
      </c>
    </row>
    <row r="6" ht="22" customHeight="1">
      <c r="B6" s="8" t="inlineStr">
        <is>
          <t>FEX-002</t>
        </is>
      </c>
      <c r="C6" s="9" t="inlineStr">
        <is>
          <t>Admin Block — Each Floor</t>
        </is>
      </c>
      <c r="D6" s="10" t="inlineStr">
        <is>
          <t>CO2 (6.8 kg)</t>
        </is>
      </c>
      <c r="E6" s="10" t="inlineStr"/>
      <c r="F6" s="10" t="inlineStr"/>
      <c r="G6" s="10" t="inlineStr"/>
      <c r="H6" s="10" t="inlineStr">
        <is>
          <t>Y</t>
        </is>
      </c>
      <c r="I6" s="10" t="inlineStr">
        <is>
          <t>OK</t>
        </is>
      </c>
      <c r="J6" s="10" t="inlineStr">
        <is>
          <t>OK</t>
        </is>
      </c>
      <c r="K6" s="10" t="inlineStr">
        <is>
          <t>Valid</t>
        </is>
      </c>
    </row>
    <row r="7" ht="22" customHeight="1">
      <c r="B7" s="50" t="inlineStr">
        <is>
          <t>FEX-003</t>
        </is>
      </c>
      <c r="C7" s="51" t="inlineStr">
        <is>
          <t>Library — Main Hall</t>
        </is>
      </c>
      <c r="D7" s="52" t="inlineStr">
        <is>
          <t>DCP — ABC Powder (5 kg)</t>
        </is>
      </c>
      <c r="E7" s="52" t="inlineStr"/>
      <c r="F7" s="52" t="inlineStr"/>
      <c r="G7" s="52" t="inlineStr"/>
      <c r="H7" s="52" t="inlineStr">
        <is>
          <t>Y</t>
        </is>
      </c>
      <c r="I7" s="52" t="inlineStr">
        <is>
          <t>OK</t>
        </is>
      </c>
      <c r="J7" s="52" t="inlineStr">
        <is>
          <t>OK</t>
        </is>
      </c>
      <c r="K7" s="52" t="inlineStr">
        <is>
          <t>Valid</t>
        </is>
      </c>
    </row>
    <row r="8" ht="22" customHeight="1">
      <c r="B8" s="8" t="inlineStr">
        <is>
          <t>FEX-004</t>
        </is>
      </c>
      <c r="C8" s="9" t="inlineStr">
        <is>
          <t>Lab Block — Each Floor</t>
        </is>
      </c>
      <c r="D8" s="10" t="inlineStr">
        <is>
          <t>DCP — ABC Powder (9 kg)</t>
        </is>
      </c>
      <c r="E8" s="10" t="inlineStr"/>
      <c r="F8" s="10" t="inlineStr"/>
      <c r="G8" s="10" t="inlineStr"/>
      <c r="H8" s="10" t="inlineStr">
        <is>
          <t>Y</t>
        </is>
      </c>
      <c r="I8" s="10" t="inlineStr">
        <is>
          <t>OK</t>
        </is>
      </c>
      <c r="J8" s="10" t="inlineStr">
        <is>
          <t>OK</t>
        </is>
      </c>
      <c r="K8" s="10" t="inlineStr">
        <is>
          <t>Valid</t>
        </is>
      </c>
    </row>
    <row r="9" ht="22" customHeight="1">
      <c r="B9" s="50" t="inlineStr">
        <is>
          <t>FEX-005</t>
        </is>
      </c>
      <c r="C9" s="51" t="inlineStr">
        <is>
          <t>Mechanical Workshop</t>
        </is>
      </c>
      <c r="D9" s="52" t="inlineStr">
        <is>
          <t>Foam (9 L)</t>
        </is>
      </c>
      <c r="E9" s="52" t="inlineStr"/>
      <c r="F9" s="52" t="inlineStr"/>
      <c r="G9" s="52" t="inlineStr"/>
      <c r="H9" s="52" t="inlineStr">
        <is>
          <t>Y</t>
        </is>
      </c>
      <c r="I9" s="52" t="inlineStr">
        <is>
          <t>OK</t>
        </is>
      </c>
      <c r="J9" s="52" t="inlineStr">
        <is>
          <t>OK</t>
        </is>
      </c>
      <c r="K9" s="52" t="inlineStr">
        <is>
          <t>Valid</t>
        </is>
      </c>
    </row>
    <row r="10" ht="22" customHeight="1">
      <c r="B10" s="8" t="inlineStr">
        <is>
          <t>FEX-006</t>
        </is>
      </c>
      <c r="C10" s="9" t="inlineStr">
        <is>
          <t>Chemistry Lab</t>
        </is>
      </c>
      <c r="D10" s="10" t="inlineStr">
        <is>
          <t>Water CO2 (9 L)</t>
        </is>
      </c>
      <c r="E10" s="10" t="inlineStr"/>
      <c r="F10" s="10" t="inlineStr"/>
      <c r="G10" s="10" t="inlineStr"/>
      <c r="H10" s="10" t="inlineStr">
        <is>
          <t>Y</t>
        </is>
      </c>
      <c r="I10" s="10" t="inlineStr">
        <is>
          <t>OK</t>
        </is>
      </c>
      <c r="J10" s="10" t="inlineStr">
        <is>
          <t>OK</t>
        </is>
      </c>
      <c r="K10" s="10" t="inlineStr">
        <is>
          <t>Valid</t>
        </is>
      </c>
    </row>
    <row r="11" ht="22" customHeight="1">
      <c r="B11" s="50" t="inlineStr">
        <is>
          <t>FEX-007</t>
        </is>
      </c>
      <c r="C11" s="51" t="inlineStr">
        <is>
          <t>Computer Labs</t>
        </is>
      </c>
      <c r="D11" s="52" t="inlineStr">
        <is>
          <t>Clean Agent — HFC (2 kg)</t>
        </is>
      </c>
      <c r="E11" s="52" t="inlineStr"/>
      <c r="F11" s="52" t="inlineStr"/>
      <c r="G11" s="52" t="inlineStr"/>
      <c r="H11" s="52" t="inlineStr">
        <is>
          <t>Y</t>
        </is>
      </c>
      <c r="I11" s="52" t="inlineStr">
        <is>
          <t>OK</t>
        </is>
      </c>
      <c r="J11" s="52" t="inlineStr">
        <is>
          <t>OK</t>
        </is>
      </c>
      <c r="K11" s="52" t="inlineStr">
        <is>
          <t>Valid</t>
        </is>
      </c>
    </row>
    <row r="12" ht="22" customHeight="1">
      <c r="B12" s="8" t="inlineStr">
        <is>
          <t>FEX-008</t>
        </is>
      </c>
      <c r="C12" s="9" t="inlineStr">
        <is>
          <t>Hostel — Each Floor</t>
        </is>
      </c>
      <c r="D12" s="10" t="inlineStr">
        <is>
          <t>K-Type (Kitchen)</t>
        </is>
      </c>
      <c r="E12" s="10" t="inlineStr"/>
      <c r="F12" s="10" t="inlineStr"/>
      <c r="G12" s="10" t="inlineStr"/>
      <c r="H12" s="10" t="inlineStr">
        <is>
          <t>Y</t>
        </is>
      </c>
      <c r="I12" s="10" t="inlineStr">
        <is>
          <t>OK</t>
        </is>
      </c>
      <c r="J12" s="10" t="inlineStr">
        <is>
          <t>OK</t>
        </is>
      </c>
      <c r="K12" s="10" t="inlineStr">
        <is>
          <t>Valid</t>
        </is>
      </c>
    </row>
    <row r="13" ht="22" customHeight="1">
      <c r="B13" s="50" t="inlineStr">
        <is>
          <t>FEX-009</t>
        </is>
      </c>
      <c r="C13" s="51" t="inlineStr">
        <is>
          <t>Canteen Kitchen</t>
        </is>
      </c>
      <c r="D13" s="52" t="inlineStr">
        <is>
          <t>CO2 (4.5 kg)</t>
        </is>
      </c>
      <c r="E13" s="52" t="inlineStr"/>
      <c r="F13" s="52" t="inlineStr"/>
      <c r="G13" s="52" t="inlineStr"/>
      <c r="H13" s="52" t="inlineStr">
        <is>
          <t>Y</t>
        </is>
      </c>
      <c r="I13" s="52" t="inlineStr">
        <is>
          <t>OK</t>
        </is>
      </c>
      <c r="J13" s="52" t="inlineStr">
        <is>
          <t>OK</t>
        </is>
      </c>
      <c r="K13" s="52" t="inlineStr">
        <is>
          <t>Valid</t>
        </is>
      </c>
    </row>
    <row r="14" ht="22" customHeight="1">
      <c r="B14" s="8" t="inlineStr">
        <is>
          <t>FEX-010</t>
        </is>
      </c>
      <c r="C14" s="9" t="inlineStr">
        <is>
          <t>Server Room</t>
        </is>
      </c>
      <c r="D14" s="10" t="inlineStr">
        <is>
          <t>CO2 (6.8 kg)</t>
        </is>
      </c>
      <c r="E14" s="10" t="inlineStr"/>
      <c r="F14" s="10" t="inlineStr"/>
      <c r="G14" s="10" t="inlineStr"/>
      <c r="H14" s="10" t="inlineStr">
        <is>
          <t>Y</t>
        </is>
      </c>
      <c r="I14" s="10" t="inlineStr">
        <is>
          <t>OK</t>
        </is>
      </c>
      <c r="J14" s="10" t="inlineStr">
        <is>
          <t>OK</t>
        </is>
      </c>
      <c r="K14" s="10" t="inlineStr">
        <is>
          <t>Valid</t>
        </is>
      </c>
    </row>
    <row r="15" ht="22" customHeight="1">
      <c r="B15" s="50" t="inlineStr">
        <is>
          <t>FEX-011</t>
        </is>
      </c>
      <c r="C15" s="51" t="inlineStr">
        <is>
          <t>DG Room</t>
        </is>
      </c>
      <c r="D15" s="52" t="inlineStr">
        <is>
          <t>DCP — ABC Powder (5 kg)</t>
        </is>
      </c>
      <c r="E15" s="52" t="inlineStr"/>
      <c r="F15" s="52" t="inlineStr"/>
      <c r="G15" s="52" t="inlineStr"/>
      <c r="H15" s="52" t="inlineStr">
        <is>
          <t>Y</t>
        </is>
      </c>
      <c r="I15" s="52" t="inlineStr">
        <is>
          <t>OK</t>
        </is>
      </c>
      <c r="J15" s="52" t="inlineStr">
        <is>
          <t>OK</t>
        </is>
      </c>
      <c r="K15" s="52" t="inlineStr">
        <is>
          <t>Valid</t>
        </is>
      </c>
    </row>
    <row r="16" ht="22" customHeight="1">
      <c r="B16" s="8" t="inlineStr">
        <is>
          <t>FEX-012</t>
        </is>
      </c>
      <c r="C16" s="9" t="inlineStr">
        <is>
          <t>Auditorium Stage</t>
        </is>
      </c>
      <c r="D16" s="10" t="inlineStr">
        <is>
          <t>DCP — ABC Powder (9 kg)</t>
        </is>
      </c>
      <c r="E16" s="10" t="inlineStr"/>
      <c r="F16" s="10" t="inlineStr"/>
      <c r="G16" s="10" t="inlineStr"/>
      <c r="H16" s="10" t="inlineStr">
        <is>
          <t>Y</t>
        </is>
      </c>
      <c r="I16" s="10" t="inlineStr">
        <is>
          <t>OK</t>
        </is>
      </c>
      <c r="J16" s="10" t="inlineStr">
        <is>
          <t>OK</t>
        </is>
      </c>
      <c r="K16" s="10" t="inlineStr">
        <is>
          <t>Valid</t>
        </is>
      </c>
    </row>
    <row r="17" ht="22" customHeight="1">
      <c r="B17" s="50" t="inlineStr">
        <is>
          <t>FEX-013</t>
        </is>
      </c>
      <c r="C17" s="51" t="inlineStr">
        <is>
          <t>Sports Complex</t>
        </is>
      </c>
      <c r="D17" s="52" t="inlineStr">
        <is>
          <t>Foam (9 L)</t>
        </is>
      </c>
      <c r="E17" s="52" t="inlineStr"/>
      <c r="F17" s="52" t="inlineStr"/>
      <c r="G17" s="52" t="inlineStr"/>
      <c r="H17" s="52" t="inlineStr">
        <is>
          <t>Y</t>
        </is>
      </c>
      <c r="I17" s="52" t="inlineStr">
        <is>
          <t>OK</t>
        </is>
      </c>
      <c r="J17" s="52" t="inlineStr">
        <is>
          <t>OK</t>
        </is>
      </c>
      <c r="K17" s="52" t="inlineStr">
        <is>
          <t>Valid</t>
        </is>
      </c>
    </row>
    <row r="18" ht="22" customHeight="1">
      <c r="B18" s="8" t="inlineStr">
        <is>
          <t>FEX-014</t>
        </is>
      </c>
      <c r="C18" s="9" t="inlineStr">
        <is>
          <t>Security Room</t>
        </is>
      </c>
      <c r="D18" s="10" t="inlineStr">
        <is>
          <t>Water CO2 (9 L)</t>
        </is>
      </c>
      <c r="E18" s="10" t="inlineStr"/>
      <c r="F18" s="10" t="inlineStr"/>
      <c r="G18" s="10" t="inlineStr"/>
      <c r="H18" s="10" t="inlineStr">
        <is>
          <t>Y</t>
        </is>
      </c>
      <c r="I18" s="10" t="inlineStr">
        <is>
          <t>OK</t>
        </is>
      </c>
      <c r="J18" s="10" t="inlineStr">
        <is>
          <t>OK</t>
        </is>
      </c>
      <c r="K18" s="10" t="inlineStr">
        <is>
          <t>Valid</t>
        </is>
      </c>
    </row>
    <row r="19" ht="22" customHeight="1">
      <c r="B19" s="50" t="inlineStr">
        <is>
          <t>FEX-015</t>
        </is>
      </c>
      <c r="C19" s="51" t="inlineStr">
        <is>
          <t>Principal Office Corridor</t>
        </is>
      </c>
      <c r="D19" s="52" t="inlineStr">
        <is>
          <t>Clean Agent — HFC (2 kg)</t>
        </is>
      </c>
      <c r="E19" s="52" t="inlineStr"/>
      <c r="F19" s="52" t="inlineStr"/>
      <c r="G19" s="52" t="inlineStr"/>
      <c r="H19" s="52" t="inlineStr">
        <is>
          <t>Y</t>
        </is>
      </c>
      <c r="I19" s="52" t="inlineStr">
        <is>
          <t>OK</t>
        </is>
      </c>
      <c r="J19" s="52" t="inlineStr">
        <is>
          <t>OK</t>
        </is>
      </c>
      <c r="K19" s="52" t="inlineStr">
        <is>
          <t>Valid</t>
        </is>
      </c>
    </row>
    <row r="20" ht="22" customHeight="1">
      <c r="B20" s="8" t="inlineStr">
        <is>
          <t>FEX-016</t>
        </is>
      </c>
      <c r="C20" s="9" t="inlineStr">
        <is>
          <t>Admin Block — Each Floor</t>
        </is>
      </c>
      <c r="D20" s="10" t="inlineStr">
        <is>
          <t>K-Type (Kitchen)</t>
        </is>
      </c>
      <c r="E20" s="10" t="inlineStr"/>
      <c r="F20" s="10" t="inlineStr"/>
      <c r="G20" s="10" t="inlineStr"/>
      <c r="H20" s="10" t="inlineStr">
        <is>
          <t>Y</t>
        </is>
      </c>
      <c r="I20" s="10" t="inlineStr">
        <is>
          <t>OK</t>
        </is>
      </c>
      <c r="J20" s="10" t="inlineStr">
        <is>
          <t>OK</t>
        </is>
      </c>
      <c r="K20" s="10" t="inlineStr">
        <is>
          <t>Valid</t>
        </is>
      </c>
    </row>
    <row r="21" ht="22" customHeight="1">
      <c r="B21" s="50" t="inlineStr">
        <is>
          <t>FEX-017</t>
        </is>
      </c>
      <c r="C21" s="51" t="inlineStr">
        <is>
          <t>Library — Main Hall</t>
        </is>
      </c>
      <c r="D21" s="52" t="inlineStr">
        <is>
          <t>CO2 (4.5 kg)</t>
        </is>
      </c>
      <c r="E21" s="52" t="inlineStr"/>
      <c r="F21" s="52" t="inlineStr"/>
      <c r="G21" s="52" t="inlineStr"/>
      <c r="H21" s="52" t="inlineStr">
        <is>
          <t>Y</t>
        </is>
      </c>
      <c r="I21" s="52" t="inlineStr">
        <is>
          <t>OK</t>
        </is>
      </c>
      <c r="J21" s="52" t="inlineStr">
        <is>
          <t>OK</t>
        </is>
      </c>
      <c r="K21" s="52" t="inlineStr">
        <is>
          <t>Valid</t>
        </is>
      </c>
    </row>
    <row r="22" ht="22" customHeight="1">
      <c r="B22" s="8" t="inlineStr">
        <is>
          <t>FEX-018</t>
        </is>
      </c>
      <c r="C22" s="9" t="inlineStr">
        <is>
          <t>Lab Block — Each Floor</t>
        </is>
      </c>
      <c r="D22" s="10" t="inlineStr">
        <is>
          <t>CO2 (6.8 kg)</t>
        </is>
      </c>
      <c r="E22" s="10" t="inlineStr"/>
      <c r="F22" s="10" t="inlineStr"/>
      <c r="G22" s="10" t="inlineStr"/>
      <c r="H22" s="10" t="inlineStr">
        <is>
          <t>Y</t>
        </is>
      </c>
      <c r="I22" s="10" t="inlineStr">
        <is>
          <t>OK</t>
        </is>
      </c>
      <c r="J22" s="10" t="inlineStr">
        <is>
          <t>OK</t>
        </is>
      </c>
      <c r="K22" s="10" t="inlineStr">
        <is>
          <t>Valid</t>
        </is>
      </c>
    </row>
    <row r="23" ht="22" customHeight="1">
      <c r="B23" s="50" t="inlineStr">
        <is>
          <t>FEX-019</t>
        </is>
      </c>
      <c r="C23" s="51" t="inlineStr">
        <is>
          <t>Mechanical Workshop</t>
        </is>
      </c>
      <c r="D23" s="52" t="inlineStr">
        <is>
          <t>DCP — ABC Powder (5 kg)</t>
        </is>
      </c>
      <c r="E23" s="52" t="inlineStr"/>
      <c r="F23" s="52" t="inlineStr"/>
      <c r="G23" s="52" t="inlineStr"/>
      <c r="H23" s="52" t="inlineStr">
        <is>
          <t>Y</t>
        </is>
      </c>
      <c r="I23" s="52" t="inlineStr">
        <is>
          <t>OK</t>
        </is>
      </c>
      <c r="J23" s="52" t="inlineStr">
        <is>
          <t>OK</t>
        </is>
      </c>
      <c r="K23" s="52" t="inlineStr">
        <is>
          <t>Valid</t>
        </is>
      </c>
    </row>
    <row r="24" ht="22" customHeight="1">
      <c r="B24" s="8" t="inlineStr">
        <is>
          <t>FEX-020</t>
        </is>
      </c>
      <c r="C24" s="9" t="inlineStr">
        <is>
          <t>Chemistry Lab</t>
        </is>
      </c>
      <c r="D24" s="10" t="inlineStr">
        <is>
          <t>DCP — ABC Powder (9 kg)</t>
        </is>
      </c>
      <c r="E24" s="10" t="inlineStr"/>
      <c r="F24" s="10" t="inlineStr"/>
      <c r="G24" s="10" t="inlineStr"/>
      <c r="H24" s="10" t="inlineStr">
        <is>
          <t>Y</t>
        </is>
      </c>
      <c r="I24" s="10" t="inlineStr">
        <is>
          <t>OK</t>
        </is>
      </c>
      <c r="J24" s="10" t="inlineStr">
        <is>
          <t>OK</t>
        </is>
      </c>
      <c r="K24" s="10" t="inlineStr">
        <is>
          <t>Valid</t>
        </is>
      </c>
    </row>
    <row r="25" ht="22" customHeight="1">
      <c r="B25" s="50" t="inlineStr">
        <is>
          <t>FEX-021</t>
        </is>
      </c>
      <c r="C25" s="51" t="inlineStr">
        <is>
          <t>Computer Labs</t>
        </is>
      </c>
      <c r="D25" s="52" t="inlineStr">
        <is>
          <t>Foam (9 L)</t>
        </is>
      </c>
      <c r="E25" s="52" t="inlineStr"/>
      <c r="F25" s="52" t="inlineStr"/>
      <c r="G25" s="52" t="inlineStr"/>
      <c r="H25" s="52" t="inlineStr">
        <is>
          <t>Y</t>
        </is>
      </c>
      <c r="I25" s="52" t="inlineStr">
        <is>
          <t>OK</t>
        </is>
      </c>
      <c r="J25" s="52" t="inlineStr">
        <is>
          <t>OK</t>
        </is>
      </c>
      <c r="K25" s="52" t="inlineStr">
        <is>
          <t>Valid</t>
        </is>
      </c>
    </row>
    <row r="26" ht="22" customHeight="1">
      <c r="B26" s="8" t="inlineStr">
        <is>
          <t>FEX-022</t>
        </is>
      </c>
      <c r="C26" s="9" t="inlineStr">
        <is>
          <t>Hostel — Each Floor</t>
        </is>
      </c>
      <c r="D26" s="10" t="inlineStr">
        <is>
          <t>Water CO2 (9 L)</t>
        </is>
      </c>
      <c r="E26" s="10" t="inlineStr"/>
      <c r="F26" s="10" t="inlineStr"/>
      <c r="G26" s="10" t="inlineStr"/>
      <c r="H26" s="10" t="inlineStr">
        <is>
          <t>Y</t>
        </is>
      </c>
      <c r="I26" s="10" t="inlineStr">
        <is>
          <t>OK</t>
        </is>
      </c>
      <c r="J26" s="10" t="inlineStr">
        <is>
          <t>OK</t>
        </is>
      </c>
      <c r="K26" s="10" t="inlineStr">
        <is>
          <t>Valid</t>
        </is>
      </c>
    </row>
    <row r="27" ht="22" customHeight="1">
      <c r="B27" s="50" t="inlineStr">
        <is>
          <t>FEX-023</t>
        </is>
      </c>
      <c r="C27" s="51" t="inlineStr">
        <is>
          <t>Canteen Kitchen</t>
        </is>
      </c>
      <c r="D27" s="52" t="inlineStr">
        <is>
          <t>Clean Agent — HFC (2 kg)</t>
        </is>
      </c>
      <c r="E27" s="52" t="inlineStr"/>
      <c r="F27" s="52" t="inlineStr"/>
      <c r="G27" s="52" t="inlineStr"/>
      <c r="H27" s="52" t="inlineStr">
        <is>
          <t>Y</t>
        </is>
      </c>
      <c r="I27" s="52" t="inlineStr">
        <is>
          <t>OK</t>
        </is>
      </c>
      <c r="J27" s="52" t="inlineStr">
        <is>
          <t>OK</t>
        </is>
      </c>
      <c r="K27" s="52" t="inlineStr">
        <is>
          <t>Valid</t>
        </is>
      </c>
    </row>
    <row r="28" ht="22" customHeight="1">
      <c r="B28" s="8" t="inlineStr">
        <is>
          <t>FEX-024</t>
        </is>
      </c>
      <c r="C28" s="9" t="inlineStr">
        <is>
          <t>Server Room</t>
        </is>
      </c>
      <c r="D28" s="10" t="inlineStr">
        <is>
          <t>K-Type (Kitchen)</t>
        </is>
      </c>
      <c r="E28" s="10" t="inlineStr"/>
      <c r="F28" s="10" t="inlineStr"/>
      <c r="G28" s="10" t="inlineStr"/>
      <c r="H28" s="10" t="inlineStr">
        <is>
          <t>Y</t>
        </is>
      </c>
      <c r="I28" s="10" t="inlineStr">
        <is>
          <t>OK</t>
        </is>
      </c>
      <c r="J28" s="10" t="inlineStr">
        <is>
          <t>OK</t>
        </is>
      </c>
      <c r="K28" s="10" t="inlineStr">
        <is>
          <t>Valid</t>
        </is>
      </c>
    </row>
    <row r="29" ht="22" customHeight="1"/>
    <row r="30" ht="24" customHeight="1">
      <c r="B30" s="36" t="inlineStr">
        <is>
          <t>EXTINGUISHER COMPLIANCE SUMMARY</t>
        </is>
      </c>
    </row>
    <row r="31" ht="22" customHeight="1">
      <c r="B31" s="53" t="inlineStr">
        <is>
          <t>Total Extinguishers</t>
        </is>
      </c>
      <c r="F31" s="38">
        <f>COUNTA(B5:B28)</f>
        <v/>
      </c>
    </row>
    <row r="32">
      <c r="B32" s="27" t="inlineStr">
        <is>
          <t>Valid / Current</t>
        </is>
      </c>
      <c r="F32" s="39">
        <f>COUNTIF(K5:K28,"Valid")</f>
        <v/>
      </c>
    </row>
    <row r="33">
      <c r="B33" s="53" t="inlineStr">
        <is>
          <t>Expired — Immediate Action</t>
        </is>
      </c>
      <c r="F33" s="38">
        <f>COUNTIF(K5:K28,"Expired")</f>
        <v/>
      </c>
    </row>
    <row r="34">
      <c r="B34" s="27" t="inlineStr">
        <is>
          <t>Refill Due in 30 Days</t>
        </is>
      </c>
      <c r="F34" s="39">
        <f>COUNTIF(K5:K28,"Due Soon")</f>
        <v/>
      </c>
    </row>
    <row r="35">
      <c r="B35" s="53" t="inlineStr">
        <is>
          <t>CO2 Extinguishers</t>
        </is>
      </c>
      <c r="F35" s="38">
        <f>COUNTIF(D5:D28,"CO2 (4.5 kg)")+COUNTIF(D5:D28,"CO2 (6.8 kg)")</f>
        <v/>
      </c>
    </row>
    <row r="36">
      <c r="B36" s="27" t="inlineStr">
        <is>
          <t>Last Full Campus Inspection Date</t>
        </is>
      </c>
      <c r="F36" s="39" t="inlineStr"/>
    </row>
  </sheetData>
  <mergeCells count="15">
    <mergeCell ref="B31:E31"/>
    <mergeCell ref="B36:E36"/>
    <mergeCell ref="F34:K34"/>
    <mergeCell ref="F33:K33"/>
    <mergeCell ref="B35:E35"/>
    <mergeCell ref="F36:K36"/>
    <mergeCell ref="F32:K32"/>
    <mergeCell ref="B34:E34"/>
    <mergeCell ref="F31:K31"/>
    <mergeCell ref="B30:K30"/>
    <mergeCell ref="B33:E33"/>
    <mergeCell ref="F35:K35"/>
    <mergeCell ref="B2:K2"/>
    <mergeCell ref="B3:K3"/>
    <mergeCell ref="B32:E3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E4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2" customWidth="1" min="3" max="3"/>
    <col width="20" customWidth="1" min="4" max="4"/>
    <col width="20" customWidth="1" min="5" max="5"/>
    <col width="3" customWidth="1" min="6" max="6"/>
  </cols>
  <sheetData>
    <row r="1" ht="10" customHeight="1"/>
    <row r="2" ht="52" customHeight="1">
      <c r="B2" s="48" t="inlineStr">
        <is>
          <t>FSS-05: FIRE SAFETY MOCK DRILL REGISTER</t>
        </is>
      </c>
    </row>
    <row r="3" ht="20" customHeight="1">
      <c r="B3" s="17" t="inlineStr">
        <is>
          <t>Fire drills must be conducted at least twice a year. Notify local fire station. Record evacuation time, warden performance, equipment check. Target: complete evacuation in &lt; 3 minutes. Review and improve each drill.</t>
        </is>
      </c>
    </row>
    <row r="4" ht="25" customHeight="1">
      <c r="B4" s="54" t="inlineStr">
        <is>
          <t>Drill Ref.: FSS/DRILL/______/______   Date: _______   Time: _______   Duration: _______</t>
        </is>
      </c>
    </row>
    <row r="5" ht="24" customHeight="1">
      <c r="B5" s="55" t="inlineStr">
        <is>
          <t>DRILL PLANNING</t>
        </is>
      </c>
    </row>
    <row r="6" ht="26" customHeight="1">
      <c r="B6" s="56" t="inlineStr">
        <is>
          <t>Drill Type:</t>
        </is>
      </c>
      <c r="C6" s="57" t="inlineStr">
        <is>
          <t>[ ] Announced  [ ] Unannounced  [ ] Partial  [ ] Full Campus</t>
        </is>
      </c>
    </row>
    <row r="7" ht="26" customHeight="1">
      <c r="B7" s="56" t="inlineStr">
        <is>
          <t>Area Covered:</t>
        </is>
      </c>
      <c r="C7" s="57" t="inlineStr">
        <is>
          <t>[ ] All Blocks  [ ] Academic Block  [ ] Hostels  [ ] Specific Area: _______</t>
        </is>
      </c>
    </row>
    <row r="8" ht="26" customHeight="1">
      <c r="B8" s="56" t="inlineStr">
        <is>
          <t>Fire Warden(s) In-charge:</t>
        </is>
      </c>
      <c r="C8" s="9" t="n"/>
    </row>
    <row r="9" ht="26" customHeight="1">
      <c r="B9" s="56" t="inlineStr">
        <is>
          <t>Fire Station Informed?</t>
        </is>
      </c>
      <c r="C9" s="57" t="inlineStr">
        <is>
          <t>[ ] Yes — Fire Station: _______   [ ] No</t>
        </is>
      </c>
    </row>
    <row r="10" ht="26" customHeight="1">
      <c r="B10" s="56" t="inlineStr">
        <is>
          <t>Assembly Point Designated:</t>
        </is>
      </c>
      <c r="C10" s="9" t="n"/>
    </row>
    <row r="11" ht="26" customHeight="1">
      <c r="B11" s="56" t="inlineStr">
        <is>
          <t>Drill Coordinator:</t>
        </is>
      </c>
      <c r="C11" s="9" t="n"/>
    </row>
    <row r="12" ht="28" customHeight="1"/>
    <row r="13" ht="24" customHeight="1">
      <c r="B13" s="19" t="inlineStr">
        <is>
          <t>DRILL OUTCOME</t>
        </is>
      </c>
    </row>
    <row r="14" ht="26" customHeight="1">
      <c r="B14" s="58" t="inlineStr">
        <is>
          <t>Alarm Activated at:</t>
        </is>
      </c>
      <c r="C14" s="9" t="n"/>
    </row>
    <row r="15" ht="26" customHeight="1">
      <c r="B15" s="58" t="inlineStr">
        <is>
          <t>Last Person at Assembly Point:</t>
        </is>
      </c>
      <c r="C15" s="9" t="n"/>
    </row>
    <row r="16" ht="26" customHeight="1">
      <c r="B16" s="58" t="inlineStr">
        <is>
          <t>Total Evacuation Time (min:sec):</t>
        </is>
      </c>
      <c r="C16" s="9" t="n"/>
    </row>
    <row r="17" ht="26" customHeight="1">
      <c r="B17" s="58" t="inlineStr">
        <is>
          <t>Target Met (&lt; 3 minutes)?</t>
        </is>
      </c>
      <c r="C17" s="57" t="inlineStr">
        <is>
          <t>[ ] Yes  [ ] No — Analysis below</t>
        </is>
      </c>
    </row>
    <row r="18" ht="26" customHeight="1">
      <c r="B18" s="58" t="inlineStr">
        <is>
          <t>Total Persons Evacuated:</t>
        </is>
      </c>
      <c r="C18" s="9" t="n"/>
    </row>
    <row r="19" ht="26" customHeight="1">
      <c r="B19" s="58" t="inlineStr">
        <is>
          <t>Any Person Not Evacuated / Missing?</t>
        </is>
      </c>
      <c r="C19" s="57" t="inlineStr">
        <is>
          <t>[ ] Yes — Name(s): _______   [ ] All Clear</t>
        </is>
      </c>
    </row>
    <row r="20" ht="26" customHeight="1">
      <c r="B20" s="58" t="inlineStr">
        <is>
          <t>Equipment Used (extinguishers / hose)?</t>
        </is>
      </c>
      <c r="C20" s="57" t="inlineStr">
        <is>
          <t>[ ] Yes — Equipment: _______   [ ] Simulated Only</t>
        </is>
      </c>
    </row>
    <row r="21" ht="26" customHeight="1">
      <c r="B21" s="58" t="inlineStr">
        <is>
          <t>Visitors / External Persons during drill?</t>
        </is>
      </c>
      <c r="C21" s="57" t="inlineStr">
        <is>
          <t>[ ] Yes — Count: _______   [ ] No</t>
        </is>
      </c>
    </row>
    <row r="22" ht="26" customHeight="1">
      <c r="B22" s="58" t="inlineStr">
        <is>
          <t>Fire Warden Performance Rating (1–5):</t>
        </is>
      </c>
      <c r="C22" s="9" t="n"/>
    </row>
    <row r="23" ht="26" customHeight="1">
      <c r="B23" s="58" t="inlineStr">
        <is>
          <t>Overall Drill Rating (1–5):</t>
        </is>
      </c>
      <c r="C23" s="9" t="n"/>
    </row>
    <row r="24" ht="28" customHeight="1"/>
    <row r="25" ht="24" customHeight="1">
      <c r="B25" s="59" t="inlineStr">
        <is>
          <t>BLOCK-WISE EVACUATION LOG</t>
        </is>
      </c>
    </row>
    <row r="26" ht="28" customHeight="1">
      <c r="B26" s="13" t="inlineStr">
        <is>
          <t>Block / Area</t>
        </is>
      </c>
      <c r="C26" s="13" t="inlineStr">
        <is>
          <t>Fire Warden</t>
        </is>
      </c>
      <c r="D26" s="13" t="inlineStr">
        <is>
          <t>Persons
Evacuated</t>
        </is>
      </c>
      <c r="E26" s="13" t="inlineStr">
        <is>
          <t>Time to
Clear (min)</t>
        </is>
      </c>
    </row>
    <row r="27" ht="28" customHeight="1">
      <c r="B27" s="45" t="inlineStr">
        <is>
          <t>Academic Block A</t>
        </is>
      </c>
      <c r="C27" s="43" t="inlineStr"/>
      <c r="D27" s="44" t="inlineStr"/>
      <c r="E27" s="44" t="inlineStr"/>
    </row>
    <row r="28" ht="28" customHeight="1">
      <c r="B28" s="27" t="inlineStr">
        <is>
          <t>Academic Block B</t>
        </is>
      </c>
      <c r="C28" s="9" t="inlineStr"/>
      <c r="D28" s="10" t="inlineStr"/>
      <c r="E28" s="10" t="inlineStr"/>
    </row>
    <row r="29" ht="28" customHeight="1">
      <c r="B29" s="45" t="inlineStr">
        <is>
          <t>Lab Block</t>
        </is>
      </c>
      <c r="C29" s="43" t="inlineStr"/>
      <c r="D29" s="44" t="inlineStr"/>
      <c r="E29" s="44" t="inlineStr"/>
    </row>
    <row r="30" ht="28" customHeight="1">
      <c r="B30" s="27" t="inlineStr">
        <is>
          <t>Admin Block</t>
        </is>
      </c>
      <c r="C30" s="9" t="inlineStr"/>
      <c r="D30" s="10" t="inlineStr"/>
      <c r="E30" s="10" t="inlineStr"/>
    </row>
    <row r="31" ht="28" customHeight="1">
      <c r="B31" s="45" t="inlineStr">
        <is>
          <t>Library</t>
        </is>
      </c>
      <c r="C31" s="43" t="inlineStr"/>
      <c r="D31" s="44" t="inlineStr"/>
      <c r="E31" s="44" t="inlineStr"/>
    </row>
    <row r="32" ht="28" customHeight="1">
      <c r="B32" s="27" t="inlineStr">
        <is>
          <t>Canteen</t>
        </is>
      </c>
      <c r="C32" s="9" t="inlineStr"/>
      <c r="D32" s="10" t="inlineStr"/>
      <c r="E32" s="10" t="inlineStr"/>
    </row>
    <row r="33" ht="28" customHeight="1">
      <c r="B33" s="45" t="inlineStr">
        <is>
          <t>Hostel — Boys</t>
        </is>
      </c>
      <c r="C33" s="43" t="inlineStr"/>
      <c r="D33" s="44" t="inlineStr"/>
      <c r="E33" s="44" t="inlineStr"/>
    </row>
    <row r="34" ht="28" customHeight="1">
      <c r="B34" s="27" t="inlineStr">
        <is>
          <t>Hostel — Girls</t>
        </is>
      </c>
      <c r="C34" s="9" t="inlineStr"/>
      <c r="D34" s="10" t="inlineStr"/>
      <c r="E34" s="10" t="inlineStr"/>
    </row>
    <row r="35" ht="28" customHeight="1"/>
    <row r="36" ht="24" customHeight="1">
      <c r="B36" s="36" t="inlineStr">
        <is>
          <t>IMPROVEMENTS &amp; LEARNINGS</t>
        </is>
      </c>
    </row>
    <row r="37" ht="22" customHeight="1">
      <c r="B37" s="60" t="inlineStr">
        <is>
          <t>Areas of Concern / Gaps Observed:</t>
        </is>
      </c>
    </row>
    <row r="38" ht="40" customHeight="1">
      <c r="B38" s="61" t="inlineStr"/>
    </row>
    <row r="39" ht="40" customHeight="1"/>
    <row r="40" ht="22" customHeight="1">
      <c r="B40" s="60" t="inlineStr">
        <is>
          <t>Actions to Improve Next Drill:</t>
        </is>
      </c>
    </row>
    <row r="41" ht="40" customHeight="1">
      <c r="B41" s="61" t="inlineStr"/>
    </row>
    <row r="42" ht="40" customHeight="1"/>
    <row r="43" ht="40" customHeight="1">
      <c r="B43" s="31" t="inlineStr">
        <is>
          <t>Coordinator: ___________________    Principal: ___________________    Fire Station Rep: ___________________    Date: ___________________</t>
        </is>
      </c>
    </row>
  </sheetData>
  <mergeCells count="28">
    <mergeCell ref="C16:E16"/>
    <mergeCell ref="B40:E40"/>
    <mergeCell ref="C22:E22"/>
    <mergeCell ref="C9:E9"/>
    <mergeCell ref="B5:E5"/>
    <mergeCell ref="C21:E21"/>
    <mergeCell ref="B36:E36"/>
    <mergeCell ref="B38:E39"/>
    <mergeCell ref="C11:E11"/>
    <mergeCell ref="B4:E4"/>
    <mergeCell ref="C23:E23"/>
    <mergeCell ref="C8:E8"/>
    <mergeCell ref="C17:E17"/>
    <mergeCell ref="B25:E25"/>
    <mergeCell ref="B3:E3"/>
    <mergeCell ref="C7:E7"/>
    <mergeCell ref="C19:E19"/>
    <mergeCell ref="B43:E43"/>
    <mergeCell ref="C18:E18"/>
    <mergeCell ref="B2:E2"/>
    <mergeCell ref="C15:E15"/>
    <mergeCell ref="C6:E6"/>
    <mergeCell ref="C14:E14"/>
    <mergeCell ref="B41:E42"/>
    <mergeCell ref="B13:E13"/>
    <mergeCell ref="B37:E37"/>
    <mergeCell ref="C20:E20"/>
    <mergeCell ref="C10:E10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K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3" customWidth="1" min="12" max="12"/>
  </cols>
  <sheetData>
    <row r="1" ht="10" customHeight="1"/>
    <row r="2" ht="48" customHeight="1">
      <c r="B2" s="12" t="inlineStr">
        <is>
          <t>CNT-02: ANNUAL MAINTENANCE CONTRACT (AMC) REGISTER</t>
        </is>
      </c>
    </row>
    <row r="3" ht="20" customHeight="1">
      <c r="B3" s="17" t="inlineStr">
        <is>
          <t>All critical systems must be on AMC with certified service agencies. AMC lapse = warranty void + legal liability. Renew AMC minimum 30 days before expiry. Track days-to-expiry with auto formula.</t>
        </is>
      </c>
    </row>
    <row r="4" ht="25" customHeight="1">
      <c r="B4" s="13" t="inlineStr">
        <is>
          <t>AMC
Ref.</t>
        </is>
      </c>
      <c r="C4" s="13" t="inlineStr">
        <is>
          <t>System /
Equipment</t>
        </is>
      </c>
      <c r="D4" s="13" t="inlineStr">
        <is>
          <t>Vendor /
Agency</t>
        </is>
      </c>
      <c r="E4" s="13" t="inlineStr">
        <is>
          <t>AMC
Start Date</t>
        </is>
      </c>
      <c r="F4" s="13" t="inlineStr">
        <is>
          <t>AMC
Expiry Date</t>
        </is>
      </c>
      <c r="G4" s="13" t="inlineStr">
        <is>
          <t>AMC
Value (₹)</t>
        </is>
      </c>
      <c r="H4" s="13" t="inlineStr">
        <is>
          <t>Days to
Expiry</t>
        </is>
      </c>
      <c r="I4" s="13" t="inlineStr">
        <is>
          <t>Coverage</t>
        </is>
      </c>
      <c r="J4" s="13" t="inlineStr">
        <is>
          <t>Renewal
Initiated</t>
        </is>
      </c>
      <c r="K4" s="13" t="inlineStr">
        <is>
          <t>Status</t>
        </is>
      </c>
    </row>
    <row r="5" ht="22" customHeight="1">
      <c r="B5" s="42" t="inlineStr">
        <is>
          <t>AMC-001</t>
        </is>
      </c>
      <c r="C5" s="43" t="inlineStr">
        <is>
          <t>DG Set (500 kVA)</t>
        </is>
      </c>
      <c r="D5" s="43" t="inlineStr">
        <is>
          <t>Authorised DG Service</t>
        </is>
      </c>
      <c r="E5" s="44" t="inlineStr"/>
      <c r="F5" s="44" t="inlineStr"/>
      <c r="G5" s="44" t="inlineStr"/>
      <c r="H5" s="62">
        <f>IFERROR(F5-TODAY(),"")</f>
        <v/>
      </c>
      <c r="I5" s="44" t="inlineStr">
        <is>
          <t>Comprehensive</t>
        </is>
      </c>
      <c r="J5" s="44" t="inlineStr">
        <is>
          <t>N</t>
        </is>
      </c>
      <c r="K5" s="44">
        <f>IFERROR(IF(F5&lt;TODAY(),"EXPIRED",IF(F5-TODAY()&lt;=30,"Renew Now","Active")),"")</f>
        <v/>
      </c>
    </row>
    <row r="6" ht="22" customHeight="1">
      <c r="B6" s="8" t="inlineStr">
        <is>
          <t>AMC-002</t>
        </is>
      </c>
      <c r="C6" s="9" t="inlineStr">
        <is>
          <t>Lifts / Elevators (2 units)</t>
        </is>
      </c>
      <c r="D6" s="9" t="inlineStr">
        <is>
          <t>Licensed Lift AMC Agency</t>
        </is>
      </c>
      <c r="E6" s="10" t="inlineStr"/>
      <c r="F6" s="10" t="inlineStr"/>
      <c r="G6" s="10" t="inlineStr"/>
      <c r="H6" s="63">
        <f>IFERROR(F6-TODAY(),"")</f>
        <v/>
      </c>
      <c r="I6" s="10" t="inlineStr">
        <is>
          <t>Comprehensive</t>
        </is>
      </c>
      <c r="J6" s="10" t="inlineStr">
        <is>
          <t>N</t>
        </is>
      </c>
      <c r="K6" s="10">
        <f>IFERROR(IF(F6&lt;TODAY(),"EXPIRED",IF(F6-TODAY()&lt;=30,"Renew Now","Active")),"")</f>
        <v/>
      </c>
    </row>
    <row r="7" ht="22" customHeight="1">
      <c r="B7" s="42" t="inlineStr">
        <is>
          <t>AMC-003</t>
        </is>
      </c>
      <c r="C7" s="43" t="inlineStr">
        <is>
          <t>Solar PV System (200 kWp)</t>
        </is>
      </c>
      <c r="D7" s="43" t="inlineStr">
        <is>
          <t>EPC / Solar AMC Vendor</t>
        </is>
      </c>
      <c r="E7" s="44" t="inlineStr"/>
      <c r="F7" s="44" t="inlineStr"/>
      <c r="G7" s="44" t="inlineStr"/>
      <c r="H7" s="62">
        <f>IFERROR(F7-TODAY(),"")</f>
        <v/>
      </c>
      <c r="I7" s="44" t="inlineStr">
        <is>
          <t>Comprehensive</t>
        </is>
      </c>
      <c r="J7" s="44" t="inlineStr">
        <is>
          <t>N</t>
        </is>
      </c>
      <c r="K7" s="44">
        <f>IFERROR(IF(F7&lt;TODAY(),"EXPIRED",IF(F7-TODAY()&lt;=30,"Renew Now","Active")),"")</f>
        <v/>
      </c>
    </row>
    <row r="8" ht="22" customHeight="1">
      <c r="B8" s="8" t="inlineStr">
        <is>
          <t>AMC-004</t>
        </is>
      </c>
      <c r="C8" s="9" t="inlineStr">
        <is>
          <t>CCTV System (150 cameras)</t>
        </is>
      </c>
      <c r="D8" s="9" t="inlineStr">
        <is>
          <t>Security System Vendor</t>
        </is>
      </c>
      <c r="E8" s="10" t="inlineStr"/>
      <c r="F8" s="10" t="inlineStr"/>
      <c r="G8" s="10" t="inlineStr"/>
      <c r="H8" s="63">
        <f>IFERROR(F8-TODAY(),"")</f>
        <v/>
      </c>
      <c r="I8" s="10" t="inlineStr">
        <is>
          <t>Comprehensive</t>
        </is>
      </c>
      <c r="J8" s="10" t="inlineStr">
        <is>
          <t>N</t>
        </is>
      </c>
      <c r="K8" s="10">
        <f>IFERROR(IF(F8&lt;TODAY(),"EXPIRED",IF(F8-TODAY()&lt;=30,"Renew Now","Active")),"")</f>
        <v/>
      </c>
    </row>
    <row r="9" ht="22" customHeight="1">
      <c r="B9" s="42" t="inlineStr">
        <is>
          <t>AMC-005</t>
        </is>
      </c>
      <c r="C9" s="43" t="inlineStr">
        <is>
          <t>Fire Alarm System</t>
        </is>
      </c>
      <c r="D9" s="43" t="inlineStr">
        <is>
          <t>Fire Safety Certified Agency</t>
        </is>
      </c>
      <c r="E9" s="44" t="inlineStr"/>
      <c r="F9" s="44" t="inlineStr"/>
      <c r="G9" s="44" t="inlineStr"/>
      <c r="H9" s="62">
        <f>IFERROR(F9-TODAY(),"")</f>
        <v/>
      </c>
      <c r="I9" s="44" t="inlineStr">
        <is>
          <t>Comprehensive</t>
        </is>
      </c>
      <c r="J9" s="44" t="inlineStr">
        <is>
          <t>N</t>
        </is>
      </c>
      <c r="K9" s="44">
        <f>IFERROR(IF(F9&lt;TODAY(),"EXPIRED",IF(F9-TODAY()&lt;=30,"Renew Now","Active")),"")</f>
        <v/>
      </c>
    </row>
    <row r="10" ht="22" customHeight="1">
      <c r="B10" s="8" t="inlineStr">
        <is>
          <t>AMC-006</t>
        </is>
      </c>
      <c r="C10" s="9" t="inlineStr">
        <is>
          <t>Split ACs — All Campus (50 units)</t>
        </is>
      </c>
      <c r="D10" s="9" t="inlineStr">
        <is>
          <t>AC Service Agency</t>
        </is>
      </c>
      <c r="E10" s="10" t="inlineStr"/>
      <c r="F10" s="10" t="inlineStr"/>
      <c r="G10" s="10" t="inlineStr"/>
      <c r="H10" s="63">
        <f>IFERROR(F10-TODAY(),"")</f>
        <v/>
      </c>
      <c r="I10" s="10" t="inlineStr">
        <is>
          <t>Comprehensive</t>
        </is>
      </c>
      <c r="J10" s="10" t="inlineStr">
        <is>
          <t>N</t>
        </is>
      </c>
      <c r="K10" s="10">
        <f>IFERROR(IF(F10&lt;TODAY(),"EXPIRED",IF(F10-TODAY()&lt;=30,"Renew Now","Active")),"")</f>
        <v/>
      </c>
    </row>
    <row r="11" ht="22" customHeight="1">
      <c r="B11" s="42" t="inlineStr">
        <is>
          <t>AMC-007</t>
        </is>
      </c>
      <c r="C11" s="43" t="inlineStr">
        <is>
          <t>Central AC / VRF System</t>
        </is>
      </c>
      <c r="D11" s="43" t="inlineStr">
        <is>
          <t>OEM-Authorised Service</t>
        </is>
      </c>
      <c r="E11" s="44" t="inlineStr"/>
      <c r="F11" s="44" t="inlineStr"/>
      <c r="G11" s="44" t="inlineStr"/>
      <c r="H11" s="62">
        <f>IFERROR(F11-TODAY(),"")</f>
        <v/>
      </c>
      <c r="I11" s="44" t="inlineStr">
        <is>
          <t>Comprehensive</t>
        </is>
      </c>
      <c r="J11" s="44" t="inlineStr">
        <is>
          <t>N</t>
        </is>
      </c>
      <c r="K11" s="44">
        <f>IFERROR(IF(F11&lt;TODAY(),"EXPIRED",IF(F11-TODAY()&lt;=30,"Renew Now","Active")),"")</f>
        <v/>
      </c>
    </row>
    <row r="12" ht="22" customHeight="1">
      <c r="B12" s="8" t="inlineStr">
        <is>
          <t>AMC-008</t>
        </is>
      </c>
      <c r="C12" s="9" t="inlineStr">
        <is>
          <t>UPS Systems (10 kVA – 40 kVA)</t>
        </is>
      </c>
      <c r="D12" s="9" t="inlineStr">
        <is>
          <t>UPS Authorised Service</t>
        </is>
      </c>
      <c r="E12" s="10" t="inlineStr"/>
      <c r="F12" s="10" t="inlineStr"/>
      <c r="G12" s="10" t="inlineStr"/>
      <c r="H12" s="63">
        <f>IFERROR(F12-TODAY(),"")</f>
        <v/>
      </c>
      <c r="I12" s="10" t="inlineStr">
        <is>
          <t>Comprehensive</t>
        </is>
      </c>
      <c r="J12" s="10" t="inlineStr">
        <is>
          <t>N</t>
        </is>
      </c>
      <c r="K12" s="10">
        <f>IFERROR(IF(F12&lt;TODAY(),"EXPIRED",IF(F12-TODAY()&lt;=30,"Renew Now","Active")),"")</f>
        <v/>
      </c>
    </row>
    <row r="13" ht="22" customHeight="1">
      <c r="B13" s="42" t="inlineStr">
        <is>
          <t>AMC-009</t>
        </is>
      </c>
      <c r="C13" s="43" t="inlineStr">
        <is>
          <t>Water Treatment Plant</t>
        </is>
      </c>
      <c r="D13" s="43" t="inlineStr">
        <is>
          <t>WTP Service Agency</t>
        </is>
      </c>
      <c r="E13" s="44" t="inlineStr"/>
      <c r="F13" s="44" t="inlineStr"/>
      <c r="G13" s="44" t="inlineStr"/>
      <c r="H13" s="62">
        <f>IFERROR(F13-TODAY(),"")</f>
        <v/>
      </c>
      <c r="I13" s="44" t="inlineStr">
        <is>
          <t>Comprehensive</t>
        </is>
      </c>
      <c r="J13" s="44" t="inlineStr">
        <is>
          <t>N</t>
        </is>
      </c>
      <c r="K13" s="44">
        <f>IFERROR(IF(F13&lt;TODAY(),"EXPIRED",IF(F13-TODAY()&lt;=30,"Renew Now","Active")),"")</f>
        <v/>
      </c>
    </row>
    <row r="14" ht="22" customHeight="1">
      <c r="B14" s="8" t="inlineStr">
        <is>
          <t>AMC-010</t>
        </is>
      </c>
      <c r="C14" s="9" t="inlineStr">
        <is>
          <t>Biogas Plant (if any)</t>
        </is>
      </c>
      <c r="D14" s="9" t="inlineStr">
        <is>
          <t>Biogas Service Agency</t>
        </is>
      </c>
      <c r="E14" s="10" t="inlineStr"/>
      <c r="F14" s="10" t="inlineStr"/>
      <c r="G14" s="10" t="inlineStr"/>
      <c r="H14" s="63">
        <f>IFERROR(F14-TODAY(),"")</f>
        <v/>
      </c>
      <c r="I14" s="10" t="inlineStr">
        <is>
          <t>Comprehensive</t>
        </is>
      </c>
      <c r="J14" s="10" t="inlineStr">
        <is>
          <t>N</t>
        </is>
      </c>
      <c r="K14" s="10">
        <f>IFERROR(IF(F14&lt;TODAY(),"EXPIRED",IF(F14-TODAY()&lt;=30,"Renew Now","Active")),"")</f>
        <v/>
      </c>
    </row>
    <row r="15" ht="22" customHeight="1">
      <c r="B15" s="42" t="inlineStr">
        <is>
          <t>AMC-011</t>
        </is>
      </c>
      <c r="C15" s="43" t="inlineStr">
        <is>
          <t>Passenger Lift — Library</t>
        </is>
      </c>
      <c r="D15" s="43" t="inlineStr">
        <is>
          <t>Lift AMC Agency</t>
        </is>
      </c>
      <c r="E15" s="44" t="inlineStr"/>
      <c r="F15" s="44" t="inlineStr"/>
      <c r="G15" s="44" t="inlineStr"/>
      <c r="H15" s="62">
        <f>IFERROR(F15-TODAY(),"")</f>
        <v/>
      </c>
      <c r="I15" s="44" t="inlineStr">
        <is>
          <t>Comprehensive</t>
        </is>
      </c>
      <c r="J15" s="44" t="inlineStr">
        <is>
          <t>N</t>
        </is>
      </c>
      <c r="K15" s="44">
        <f>IFERROR(IF(F15&lt;TODAY(),"EXPIRED",IF(F15-TODAY()&lt;=30,"Renew Now","Active")),"")</f>
        <v/>
      </c>
    </row>
    <row r="16" ht="22" customHeight="1">
      <c r="B16" s="8" t="inlineStr">
        <is>
          <t>AMC-012</t>
        </is>
      </c>
      <c r="C16" s="9" t="inlineStr">
        <is>
          <t>Server Room Precision AC</t>
        </is>
      </c>
      <c r="D16" s="9" t="inlineStr">
        <is>
          <t>Precision AC Service</t>
        </is>
      </c>
      <c r="E16" s="10" t="inlineStr"/>
      <c r="F16" s="10" t="inlineStr"/>
      <c r="G16" s="10" t="inlineStr"/>
      <c r="H16" s="63">
        <f>IFERROR(F16-TODAY(),"")</f>
        <v/>
      </c>
      <c r="I16" s="10" t="inlineStr">
        <is>
          <t>Comprehensive</t>
        </is>
      </c>
      <c r="J16" s="10" t="inlineStr">
        <is>
          <t>N</t>
        </is>
      </c>
      <c r="K16" s="10">
        <f>IFERROR(IF(F16&lt;TODAY(),"EXPIRED",IF(F16-TODAY()&lt;=30,"Renew Now","Active")),"")</f>
        <v/>
      </c>
    </row>
    <row r="17" ht="22" customHeight="1">
      <c r="B17" s="42" t="inlineStr">
        <is>
          <t>AMC-013</t>
        </is>
      </c>
      <c r="C17" s="43" t="inlineStr">
        <is>
          <t>Borewell / Submersible Pumps</t>
        </is>
      </c>
      <c r="D17" s="43" t="inlineStr">
        <is>
          <t>Pump Service Agency</t>
        </is>
      </c>
      <c r="E17" s="44" t="inlineStr"/>
      <c r="F17" s="44" t="inlineStr"/>
      <c r="G17" s="44" t="inlineStr"/>
      <c r="H17" s="62">
        <f>IFERROR(F17-TODAY(),"")</f>
        <v/>
      </c>
      <c r="I17" s="44" t="inlineStr">
        <is>
          <t>Comprehensive</t>
        </is>
      </c>
      <c r="J17" s="44" t="inlineStr">
        <is>
          <t>N</t>
        </is>
      </c>
      <c r="K17" s="44">
        <f>IFERROR(IF(F17&lt;TODAY(),"EXPIRED",IF(F17-TODAY()&lt;=30,"Renew Now","Active")),"")</f>
        <v/>
      </c>
    </row>
    <row r="18" ht="22" customHeight="1">
      <c r="B18" s="8" t="inlineStr">
        <is>
          <t>AMC-014</t>
        </is>
      </c>
      <c r="C18" s="9" t="inlineStr">
        <is>
          <t>Electrical LT Panel Maintenance</t>
        </is>
      </c>
      <c r="D18" s="9" t="inlineStr">
        <is>
          <t>Licensed Electrician Agency</t>
        </is>
      </c>
      <c r="E18" s="10" t="inlineStr"/>
      <c r="F18" s="10" t="inlineStr"/>
      <c r="G18" s="10" t="inlineStr"/>
      <c r="H18" s="63">
        <f>IFERROR(F18-TODAY(),"")</f>
        <v/>
      </c>
      <c r="I18" s="10" t="inlineStr">
        <is>
          <t>Comprehensive</t>
        </is>
      </c>
      <c r="J18" s="10" t="inlineStr">
        <is>
          <t>N</t>
        </is>
      </c>
      <c r="K18" s="10">
        <f>IFERROR(IF(F18&lt;TODAY(),"EXPIRED",IF(F18-TODAY()&lt;=30,"Renew Now","Active")),"")</f>
        <v/>
      </c>
    </row>
    <row r="19" ht="22" customHeight="1">
      <c r="B19" s="42" t="inlineStr">
        <is>
          <t>AMC-015</t>
        </is>
      </c>
      <c r="C19" s="43" t="inlineStr">
        <is>
          <t>Building Structural Audit</t>
        </is>
      </c>
      <c r="D19" s="43" t="inlineStr">
        <is>
          <t>Structural Consulting Firm</t>
        </is>
      </c>
      <c r="E19" s="44" t="inlineStr"/>
      <c r="F19" s="44" t="inlineStr"/>
      <c r="G19" s="44" t="inlineStr"/>
      <c r="H19" s="62">
        <f>IFERROR(F19-TODAY(),"")</f>
        <v/>
      </c>
      <c r="I19" s="44" t="inlineStr">
        <is>
          <t>Comprehensive</t>
        </is>
      </c>
      <c r="J19" s="44" t="inlineStr">
        <is>
          <t>N</t>
        </is>
      </c>
      <c r="K19" s="44">
        <f>IFERROR(IF(F19&lt;TODAY(),"EXPIRED",IF(F19-TODAY()&lt;=30,"Renew Now","Active")),"")</f>
        <v/>
      </c>
    </row>
    <row r="20" ht="22" customHeight="1">
      <c r="B20" s="8" t="inlineStr">
        <is>
          <t>AMC-016</t>
        </is>
      </c>
      <c r="C20" s="9" t="inlineStr">
        <is>
          <t>Fire Hydrant System</t>
        </is>
      </c>
      <c r="D20" s="9" t="inlineStr">
        <is>
          <t>Fire Safety Agency</t>
        </is>
      </c>
      <c r="E20" s="10" t="inlineStr"/>
      <c r="F20" s="10" t="inlineStr"/>
      <c r="G20" s="10" t="inlineStr"/>
      <c r="H20" s="63">
        <f>IFERROR(F20-TODAY(),"")</f>
        <v/>
      </c>
      <c r="I20" s="10" t="inlineStr">
        <is>
          <t>Comprehensive</t>
        </is>
      </c>
      <c r="J20" s="10" t="inlineStr">
        <is>
          <t>N</t>
        </is>
      </c>
      <c r="K20" s="10">
        <f>IFERROR(IF(F20&lt;TODAY(),"EXPIRED",IF(F20-TODAY()&lt;=30,"Renew Now","Active")),"")</f>
        <v/>
      </c>
    </row>
    <row r="21" ht="22" customHeight="1"/>
    <row r="22" ht="24" customHeight="1">
      <c r="B22" s="36" t="inlineStr">
        <is>
          <t>AMC COMPLIANCE SUMMARY</t>
        </is>
      </c>
    </row>
    <row r="23" ht="22" customHeight="1">
      <c r="B23" s="45" t="inlineStr">
        <is>
          <t>Total AMCs Registered</t>
        </is>
      </c>
      <c r="F23" s="38">
        <f>COUNTA(B5:B20)</f>
        <v/>
      </c>
    </row>
    <row r="24" ht="22" customHeight="1">
      <c r="B24" s="27" t="inlineStr">
        <is>
          <t>Active AMCs</t>
        </is>
      </c>
      <c r="F24" s="39">
        <f>COUNTIF(K5:K20,"Active")</f>
        <v/>
      </c>
    </row>
    <row r="25" ht="22" customHeight="1">
      <c r="B25" s="45" t="inlineStr">
        <is>
          <t>Expiring in 30 Days</t>
        </is>
      </c>
      <c r="F25" s="38">
        <f>COUNTIF(K5:K20,"Renew Now")</f>
        <v/>
      </c>
    </row>
    <row r="26" ht="22" customHeight="1">
      <c r="B26" s="27" t="inlineStr">
        <is>
          <t>EXPIRED AMCs — Immediate Action</t>
        </is>
      </c>
      <c r="F26" s="39">
        <f>COUNTIF(K5:K20,"EXPIRED")</f>
        <v/>
      </c>
    </row>
    <row r="27" ht="22" customHeight="1">
      <c r="B27" s="45" t="inlineStr">
        <is>
          <t>Total AMC Value (₹)</t>
        </is>
      </c>
      <c r="F27" s="38">
        <f>IFERROR(SUM(G5:G20),"")</f>
        <v/>
      </c>
    </row>
    <row r="28" ht="22" customHeight="1">
      <c r="B28" s="27" t="inlineStr">
        <is>
          <t>AMCs with Renewal Initiated</t>
        </is>
      </c>
      <c r="F28" s="39">
        <f>COUNTIF(J5:J20,"Y")</f>
        <v/>
      </c>
    </row>
    <row r="29" ht="22" customHeight="1"/>
  </sheetData>
  <mergeCells count="15">
    <mergeCell ref="B23:E23"/>
    <mergeCell ref="F24:K24"/>
    <mergeCell ref="F23:K23"/>
    <mergeCell ref="B22:K22"/>
    <mergeCell ref="F25:K25"/>
    <mergeCell ref="B26:E26"/>
    <mergeCell ref="B27:E27"/>
    <mergeCell ref="F28:K28"/>
    <mergeCell ref="F26:K26"/>
    <mergeCell ref="F27:K27"/>
    <mergeCell ref="B25:E25"/>
    <mergeCell ref="B24:E24"/>
    <mergeCell ref="B2:K2"/>
    <mergeCell ref="B28:E28"/>
    <mergeCell ref="B3:K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K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3" customWidth="1" min="12" max="12"/>
  </cols>
  <sheetData>
    <row r="1" ht="10" customHeight="1"/>
    <row r="2" ht="48" customHeight="1">
      <c r="B2" s="12" t="inlineStr">
        <is>
          <t>FIN-01: MAINTENANCE WORK COST REGISTER</t>
        </is>
      </c>
    </row>
    <row r="3" ht="20" customHeight="1">
      <c r="B3" s="24" t="inlineStr">
        <is>
          <t>Month: _______  A.Y.: _______  GMC Coordinator: ___________________  Finance Officer: ___________________</t>
        </is>
      </c>
    </row>
    <row r="4" ht="25" customHeight="1">
      <c r="B4" s="20" t="inlineStr">
        <is>
          <t>WO Ref.</t>
        </is>
      </c>
      <c r="C4" s="20" t="inlineStr">
        <is>
          <t>Work Description</t>
        </is>
      </c>
      <c r="D4" s="20" t="inlineStr">
        <is>
          <t>Category</t>
        </is>
      </c>
      <c r="E4" s="20" t="inlineStr">
        <is>
          <t>Location</t>
        </is>
      </c>
      <c r="F4" s="20" t="inlineStr">
        <is>
          <t>Contractor /
Staff</t>
        </is>
      </c>
      <c r="G4" s="20" t="inlineStr">
        <is>
          <t>Material
Cost (₹)</t>
        </is>
      </c>
      <c r="H4" s="20" t="inlineStr">
        <is>
          <t>Labour
Cost (₹)</t>
        </is>
      </c>
      <c r="I4" s="20" t="inlineStr">
        <is>
          <t>Total
Cost (₹)</t>
        </is>
      </c>
      <c r="J4" s="20" t="inlineStr">
        <is>
          <t>PO / WO
Ref.</t>
        </is>
      </c>
      <c r="K4" s="20" t="inlineStr">
        <is>
          <t>Status</t>
        </is>
      </c>
    </row>
    <row r="5" ht="22" customHeight="1">
      <c r="B5" s="14" t="inlineStr">
        <is>
          <t>WO/0001</t>
        </is>
      </c>
      <c r="C5" s="15" t="inlineStr"/>
      <c r="D5" s="16" t="inlineStr">
        <is>
          <t>Civil — Structural</t>
        </is>
      </c>
      <c r="E5" s="15" t="inlineStr"/>
      <c r="F5" s="15" t="inlineStr"/>
      <c r="G5" s="16" t="inlineStr"/>
      <c r="H5" s="16" t="inlineStr"/>
      <c r="I5" s="41">
        <f>IFERROR(G5+H5,"")</f>
        <v/>
      </c>
      <c r="J5" s="16" t="inlineStr"/>
      <c r="K5" s="16" t="inlineStr">
        <is>
          <t>Completed</t>
        </is>
      </c>
    </row>
    <row r="6" ht="22" customHeight="1">
      <c r="B6" s="8" t="inlineStr">
        <is>
          <t>WO/0002</t>
        </is>
      </c>
      <c r="C6" s="9" t="inlineStr"/>
      <c r="D6" s="10" t="inlineStr">
        <is>
          <t>Civil — Flooring</t>
        </is>
      </c>
      <c r="E6" s="9" t="inlineStr"/>
      <c r="F6" s="9" t="inlineStr"/>
      <c r="G6" s="10" t="inlineStr"/>
      <c r="H6" s="10" t="inlineStr"/>
      <c r="I6" s="39">
        <f>IFERROR(G6+H6,"")</f>
        <v/>
      </c>
      <c r="J6" s="10" t="inlineStr"/>
      <c r="K6" s="10" t="inlineStr">
        <is>
          <t>Completed</t>
        </is>
      </c>
    </row>
    <row r="7" ht="22" customHeight="1">
      <c r="B7" s="14" t="inlineStr">
        <is>
          <t>WO/0003</t>
        </is>
      </c>
      <c r="C7" s="15" t="inlineStr"/>
      <c r="D7" s="16" t="inlineStr">
        <is>
          <t>Civil — Painting</t>
        </is>
      </c>
      <c r="E7" s="15" t="inlineStr"/>
      <c r="F7" s="15" t="inlineStr"/>
      <c r="G7" s="16" t="inlineStr"/>
      <c r="H7" s="16" t="inlineStr"/>
      <c r="I7" s="41">
        <f>IFERROR(G7+H7,"")</f>
        <v/>
      </c>
      <c r="J7" s="16" t="inlineStr"/>
      <c r="K7" s="16" t="inlineStr">
        <is>
          <t>Completed</t>
        </is>
      </c>
    </row>
    <row r="8" ht="22" customHeight="1">
      <c r="B8" s="8" t="inlineStr">
        <is>
          <t>WO/0004</t>
        </is>
      </c>
      <c r="C8" s="9" t="inlineStr"/>
      <c r="D8" s="10" t="inlineStr">
        <is>
          <t>Civil — Doors/Windows</t>
        </is>
      </c>
      <c r="E8" s="9" t="inlineStr"/>
      <c r="F8" s="9" t="inlineStr"/>
      <c r="G8" s="10" t="inlineStr"/>
      <c r="H8" s="10" t="inlineStr"/>
      <c r="I8" s="39">
        <f>IFERROR(G8+H8,"")</f>
        <v/>
      </c>
      <c r="J8" s="10" t="inlineStr"/>
      <c r="K8" s="10" t="inlineStr">
        <is>
          <t>Completed</t>
        </is>
      </c>
    </row>
    <row r="9" ht="22" customHeight="1">
      <c r="B9" s="14" t="inlineStr">
        <is>
          <t>WO/0005</t>
        </is>
      </c>
      <c r="C9" s="15" t="inlineStr"/>
      <c r="D9" s="16" t="inlineStr">
        <is>
          <t>Electrical — Lighting</t>
        </is>
      </c>
      <c r="E9" s="15" t="inlineStr"/>
      <c r="F9" s="15" t="inlineStr"/>
      <c r="G9" s="16" t="inlineStr"/>
      <c r="H9" s="16" t="inlineStr"/>
      <c r="I9" s="41">
        <f>IFERROR(G9+H9,"")</f>
        <v/>
      </c>
      <c r="J9" s="16" t="inlineStr"/>
      <c r="K9" s="16" t="inlineStr">
        <is>
          <t>Completed</t>
        </is>
      </c>
    </row>
    <row r="10" ht="22" customHeight="1">
      <c r="B10" s="8" t="inlineStr">
        <is>
          <t>WO/0006</t>
        </is>
      </c>
      <c r="C10" s="9" t="inlineStr"/>
      <c r="D10" s="10" t="inlineStr">
        <is>
          <t>Electrical — Power</t>
        </is>
      </c>
      <c r="E10" s="9" t="inlineStr"/>
      <c r="F10" s="9" t="inlineStr"/>
      <c r="G10" s="10" t="inlineStr"/>
      <c r="H10" s="10" t="inlineStr"/>
      <c r="I10" s="39">
        <f>IFERROR(G10+H10,"")</f>
        <v/>
      </c>
      <c r="J10" s="10" t="inlineStr"/>
      <c r="K10" s="10" t="inlineStr">
        <is>
          <t>Completed</t>
        </is>
      </c>
    </row>
    <row r="11" ht="22" customHeight="1">
      <c r="B11" s="14" t="inlineStr">
        <is>
          <t>WO/0007</t>
        </is>
      </c>
      <c r="C11" s="15" t="inlineStr"/>
      <c r="D11" s="16" t="inlineStr">
        <is>
          <t>Electrical — AC/Fans</t>
        </is>
      </c>
      <c r="E11" s="15" t="inlineStr"/>
      <c r="F11" s="15" t="inlineStr"/>
      <c r="G11" s="16" t="inlineStr"/>
      <c r="H11" s="16" t="inlineStr"/>
      <c r="I11" s="41">
        <f>IFERROR(G11+H11,"")</f>
        <v/>
      </c>
      <c r="J11" s="16" t="inlineStr"/>
      <c r="K11" s="16" t="inlineStr">
        <is>
          <t>Completed</t>
        </is>
      </c>
    </row>
    <row r="12" ht="22" customHeight="1">
      <c r="B12" s="8" t="inlineStr">
        <is>
          <t>WO/0008</t>
        </is>
      </c>
      <c r="C12" s="9" t="inlineStr"/>
      <c r="D12" s="10" t="inlineStr">
        <is>
          <t>Plumbing — Water Supply</t>
        </is>
      </c>
      <c r="E12" s="9" t="inlineStr"/>
      <c r="F12" s="9" t="inlineStr"/>
      <c r="G12" s="10" t="inlineStr"/>
      <c r="H12" s="10" t="inlineStr"/>
      <c r="I12" s="39">
        <f>IFERROR(G12+H12,"")</f>
        <v/>
      </c>
      <c r="J12" s="10" t="inlineStr"/>
      <c r="K12" s="10" t="inlineStr">
        <is>
          <t>Completed</t>
        </is>
      </c>
    </row>
    <row r="13" ht="22" customHeight="1">
      <c r="B13" s="14" t="inlineStr">
        <is>
          <t>WO/0009</t>
        </is>
      </c>
      <c r="C13" s="15" t="inlineStr"/>
      <c r="D13" s="16" t="inlineStr">
        <is>
          <t>Plumbing — Drainage</t>
        </is>
      </c>
      <c r="E13" s="15" t="inlineStr"/>
      <c r="F13" s="15" t="inlineStr"/>
      <c r="G13" s="16" t="inlineStr"/>
      <c r="H13" s="16" t="inlineStr"/>
      <c r="I13" s="41">
        <f>IFERROR(G13+H13,"")</f>
        <v/>
      </c>
      <c r="J13" s="16" t="inlineStr"/>
      <c r="K13" s="16" t="inlineStr">
        <is>
          <t>Completed</t>
        </is>
      </c>
    </row>
    <row r="14" ht="22" customHeight="1">
      <c r="B14" s="8" t="inlineStr">
        <is>
          <t>WO/0010</t>
        </is>
      </c>
      <c r="C14" s="9" t="inlineStr"/>
      <c r="D14" s="10" t="inlineStr">
        <is>
          <t>Plumbing — Sanitary</t>
        </is>
      </c>
      <c r="E14" s="9" t="inlineStr"/>
      <c r="F14" s="9" t="inlineStr"/>
      <c r="G14" s="10" t="inlineStr"/>
      <c r="H14" s="10" t="inlineStr"/>
      <c r="I14" s="39">
        <f>IFERROR(G14+H14,"")</f>
        <v/>
      </c>
      <c r="J14" s="10" t="inlineStr"/>
      <c r="K14" s="10" t="inlineStr">
        <is>
          <t>Completed</t>
        </is>
      </c>
    </row>
    <row r="15" ht="22" customHeight="1">
      <c r="B15" s="14" t="inlineStr">
        <is>
          <t>WO/0011</t>
        </is>
      </c>
      <c r="C15" s="15" t="inlineStr"/>
      <c r="D15" s="16" t="inlineStr">
        <is>
          <t>HVAC — AC Service</t>
        </is>
      </c>
      <c r="E15" s="15" t="inlineStr"/>
      <c r="F15" s="15" t="inlineStr"/>
      <c r="G15" s="16" t="inlineStr"/>
      <c r="H15" s="16" t="inlineStr"/>
      <c r="I15" s="41">
        <f>IFERROR(G15+H15,"")</f>
        <v/>
      </c>
      <c r="J15" s="16" t="inlineStr"/>
      <c r="K15" s="16" t="inlineStr">
        <is>
          <t>Completed</t>
        </is>
      </c>
    </row>
    <row r="16" ht="22" customHeight="1">
      <c r="B16" s="8" t="inlineStr">
        <is>
          <t>WO/0012</t>
        </is>
      </c>
      <c r="C16" s="9" t="inlineStr"/>
      <c r="D16" s="10" t="inlineStr">
        <is>
          <t>DG Set</t>
        </is>
      </c>
      <c r="E16" s="9" t="inlineStr"/>
      <c r="F16" s="9" t="inlineStr"/>
      <c r="G16" s="10" t="inlineStr"/>
      <c r="H16" s="10" t="inlineStr"/>
      <c r="I16" s="39">
        <f>IFERROR(G16+H16,"")</f>
        <v/>
      </c>
      <c r="J16" s="10" t="inlineStr"/>
      <c r="K16" s="10" t="inlineStr">
        <is>
          <t>Completed</t>
        </is>
      </c>
    </row>
    <row r="17" ht="22" customHeight="1">
      <c r="B17" s="14" t="inlineStr">
        <is>
          <t>WO/0013</t>
        </is>
      </c>
      <c r="C17" s="15" t="inlineStr"/>
      <c r="D17" s="16" t="inlineStr">
        <is>
          <t>Fire Safety</t>
        </is>
      </c>
      <c r="E17" s="15" t="inlineStr"/>
      <c r="F17" s="15" t="inlineStr"/>
      <c r="G17" s="16" t="inlineStr"/>
      <c r="H17" s="16" t="inlineStr"/>
      <c r="I17" s="41">
        <f>IFERROR(G17+H17,"")</f>
        <v/>
      </c>
      <c r="J17" s="16" t="inlineStr"/>
      <c r="K17" s="16" t="inlineStr">
        <is>
          <t>Completed</t>
        </is>
      </c>
    </row>
    <row r="18" ht="22" customHeight="1">
      <c r="B18" s="8" t="inlineStr">
        <is>
          <t>WO/0014</t>
        </is>
      </c>
      <c r="C18" s="9" t="inlineStr"/>
      <c r="D18" s="10" t="inlineStr">
        <is>
          <t>CCTV / Security</t>
        </is>
      </c>
      <c r="E18" s="9" t="inlineStr"/>
      <c r="F18" s="9" t="inlineStr"/>
      <c r="G18" s="10" t="inlineStr"/>
      <c r="H18" s="10" t="inlineStr"/>
      <c r="I18" s="39">
        <f>IFERROR(G18+H18,"")</f>
        <v/>
      </c>
      <c r="J18" s="10" t="inlineStr"/>
      <c r="K18" s="10" t="inlineStr">
        <is>
          <t>Completed</t>
        </is>
      </c>
    </row>
    <row r="19" ht="22" customHeight="1">
      <c r="B19" s="14" t="inlineStr">
        <is>
          <t>WO/0015</t>
        </is>
      </c>
      <c r="C19" s="15" t="inlineStr"/>
      <c r="D19" s="16" t="inlineStr">
        <is>
          <t>Lift / Elevator</t>
        </is>
      </c>
      <c r="E19" s="15" t="inlineStr"/>
      <c r="F19" s="15" t="inlineStr"/>
      <c r="G19" s="16" t="inlineStr"/>
      <c r="H19" s="16" t="inlineStr"/>
      <c r="I19" s="41">
        <f>IFERROR(G19+H19,"")</f>
        <v/>
      </c>
      <c r="J19" s="16" t="inlineStr"/>
      <c r="K19" s="16" t="inlineStr">
        <is>
          <t>Completed</t>
        </is>
      </c>
    </row>
    <row r="20" ht="22" customHeight="1">
      <c r="B20" s="8" t="inlineStr">
        <is>
          <t>WO/0016</t>
        </is>
      </c>
      <c r="C20" s="9" t="inlineStr"/>
      <c r="D20" s="10" t="inlineStr">
        <is>
          <t>Horticulture</t>
        </is>
      </c>
      <c r="E20" s="9" t="inlineStr"/>
      <c r="F20" s="9" t="inlineStr"/>
      <c r="G20" s="10" t="inlineStr"/>
      <c r="H20" s="10" t="inlineStr"/>
      <c r="I20" s="39">
        <f>IFERROR(G20+H20,"")</f>
        <v/>
      </c>
      <c r="J20" s="10" t="inlineStr"/>
      <c r="K20" s="10" t="inlineStr">
        <is>
          <t>Completed</t>
        </is>
      </c>
    </row>
    <row r="21" ht="22" customHeight="1">
      <c r="B21" s="14" t="inlineStr">
        <is>
          <t>WO/0017</t>
        </is>
      </c>
      <c r="C21" s="15" t="inlineStr"/>
      <c r="D21" s="16" t="inlineStr">
        <is>
          <t>Furniture</t>
        </is>
      </c>
      <c r="E21" s="15" t="inlineStr"/>
      <c r="F21" s="15" t="inlineStr"/>
      <c r="G21" s="16" t="inlineStr"/>
      <c r="H21" s="16" t="inlineStr"/>
      <c r="I21" s="41">
        <f>IFERROR(G21+H21,"")</f>
        <v/>
      </c>
      <c r="J21" s="16" t="inlineStr"/>
      <c r="K21" s="16" t="inlineStr">
        <is>
          <t>Completed</t>
        </is>
      </c>
    </row>
    <row r="22" ht="22" customHeight="1">
      <c r="B22" s="8" t="inlineStr">
        <is>
          <t>WO/0018</t>
        </is>
      </c>
      <c r="C22" s="9" t="inlineStr"/>
      <c r="D22" s="10" t="inlineStr">
        <is>
          <t>IT Infrastructure</t>
        </is>
      </c>
      <c r="E22" s="9" t="inlineStr"/>
      <c r="F22" s="9" t="inlineStr"/>
      <c r="G22" s="10" t="inlineStr"/>
      <c r="H22" s="10" t="inlineStr"/>
      <c r="I22" s="39">
        <f>IFERROR(G22+H22,"")</f>
        <v/>
      </c>
      <c r="J22" s="10" t="inlineStr"/>
      <c r="K22" s="10" t="inlineStr">
        <is>
          <t>Completed</t>
        </is>
      </c>
    </row>
    <row r="23" ht="22" customHeight="1">
      <c r="B23" s="14" t="inlineStr">
        <is>
          <t>WO/0019</t>
        </is>
      </c>
      <c r="C23" s="15" t="inlineStr"/>
      <c r="D23" s="16" t="inlineStr">
        <is>
          <t>Miscellaneous</t>
        </is>
      </c>
      <c r="E23" s="15" t="inlineStr"/>
      <c r="F23" s="15" t="inlineStr"/>
      <c r="G23" s="16" t="inlineStr"/>
      <c r="H23" s="16" t="inlineStr"/>
      <c r="I23" s="41">
        <f>IFERROR(G23+H23,"")</f>
        <v/>
      </c>
      <c r="J23" s="16" t="inlineStr"/>
      <c r="K23" s="16" t="inlineStr">
        <is>
          <t>Completed</t>
        </is>
      </c>
    </row>
    <row r="24" ht="22" customHeight="1">
      <c r="B24" s="8" t="inlineStr">
        <is>
          <t>WO/0020</t>
        </is>
      </c>
      <c r="C24" s="9" t="inlineStr"/>
      <c r="D24" s="10" t="inlineStr">
        <is>
          <t>Civil — Structural</t>
        </is>
      </c>
      <c r="E24" s="9" t="inlineStr"/>
      <c r="F24" s="9" t="inlineStr"/>
      <c r="G24" s="10" t="inlineStr"/>
      <c r="H24" s="10" t="inlineStr"/>
      <c r="I24" s="39">
        <f>IFERROR(G24+H24,"")</f>
        <v/>
      </c>
      <c r="J24" s="10" t="inlineStr"/>
      <c r="K24" s="10" t="inlineStr">
        <is>
          <t>Completed</t>
        </is>
      </c>
    </row>
    <row r="25" ht="22" customHeight="1">
      <c r="B25" s="14" t="inlineStr">
        <is>
          <t>WO/0021</t>
        </is>
      </c>
      <c r="C25" s="15" t="inlineStr"/>
      <c r="D25" s="16" t="inlineStr">
        <is>
          <t>Civil — Flooring</t>
        </is>
      </c>
      <c r="E25" s="15" t="inlineStr"/>
      <c r="F25" s="15" t="inlineStr"/>
      <c r="G25" s="16" t="inlineStr"/>
      <c r="H25" s="16" t="inlineStr"/>
      <c r="I25" s="41">
        <f>IFERROR(G25+H25,"")</f>
        <v/>
      </c>
      <c r="J25" s="16" t="inlineStr"/>
      <c r="K25" s="16" t="inlineStr">
        <is>
          <t>Completed</t>
        </is>
      </c>
    </row>
    <row r="26" ht="22" customHeight="1">
      <c r="B26" s="8" t="inlineStr">
        <is>
          <t>WO/0022</t>
        </is>
      </c>
      <c r="C26" s="9" t="inlineStr"/>
      <c r="D26" s="10" t="inlineStr">
        <is>
          <t>Civil — Painting</t>
        </is>
      </c>
      <c r="E26" s="9" t="inlineStr"/>
      <c r="F26" s="9" t="inlineStr"/>
      <c r="G26" s="10" t="inlineStr"/>
      <c r="H26" s="10" t="inlineStr"/>
      <c r="I26" s="39">
        <f>IFERROR(G26+H26,"")</f>
        <v/>
      </c>
      <c r="J26" s="10" t="inlineStr"/>
      <c r="K26" s="10" t="inlineStr">
        <is>
          <t>Completed</t>
        </is>
      </c>
    </row>
    <row r="27" ht="22" customHeight="1">
      <c r="B27" s="14" t="inlineStr">
        <is>
          <t>WO/0023</t>
        </is>
      </c>
      <c r="C27" s="15" t="inlineStr"/>
      <c r="D27" s="16" t="inlineStr">
        <is>
          <t>Civil — Doors/Windows</t>
        </is>
      </c>
      <c r="E27" s="15" t="inlineStr"/>
      <c r="F27" s="15" t="inlineStr"/>
      <c r="G27" s="16" t="inlineStr"/>
      <c r="H27" s="16" t="inlineStr"/>
      <c r="I27" s="41">
        <f>IFERROR(G27+H27,"")</f>
        <v/>
      </c>
      <c r="J27" s="16" t="inlineStr"/>
      <c r="K27" s="16" t="inlineStr">
        <is>
          <t>Completed</t>
        </is>
      </c>
    </row>
    <row r="28" ht="22" customHeight="1">
      <c r="B28" s="8" t="inlineStr">
        <is>
          <t>WO/0024</t>
        </is>
      </c>
      <c r="C28" s="9" t="inlineStr"/>
      <c r="D28" s="10" t="inlineStr">
        <is>
          <t>Electrical — Lighting</t>
        </is>
      </c>
      <c r="E28" s="9" t="inlineStr"/>
      <c r="F28" s="9" t="inlineStr"/>
      <c r="G28" s="10" t="inlineStr"/>
      <c r="H28" s="10" t="inlineStr"/>
      <c r="I28" s="39">
        <f>IFERROR(G28+H28,"")</f>
        <v/>
      </c>
      <c r="J28" s="10" t="inlineStr"/>
      <c r="K28" s="10" t="inlineStr">
        <is>
          <t>Completed</t>
        </is>
      </c>
    </row>
    <row r="29" ht="22" customHeight="1">
      <c r="B29" s="14" t="inlineStr">
        <is>
          <t>WO/0025</t>
        </is>
      </c>
      <c r="C29" s="15" t="inlineStr"/>
      <c r="D29" s="16" t="inlineStr">
        <is>
          <t>Electrical — Power</t>
        </is>
      </c>
      <c r="E29" s="15" t="inlineStr"/>
      <c r="F29" s="15" t="inlineStr"/>
      <c r="G29" s="16" t="inlineStr"/>
      <c r="H29" s="16" t="inlineStr"/>
      <c r="I29" s="41">
        <f>IFERROR(G29+H29,"")</f>
        <v/>
      </c>
      <c r="J29" s="16" t="inlineStr"/>
      <c r="K29" s="16" t="inlineStr">
        <is>
          <t>Completed</t>
        </is>
      </c>
    </row>
    <row r="30" ht="22" customHeight="1">
      <c r="B30" s="8" t="inlineStr">
        <is>
          <t>WO/0026</t>
        </is>
      </c>
      <c r="C30" s="9" t="inlineStr"/>
      <c r="D30" s="10" t="inlineStr">
        <is>
          <t>Electrical — AC/Fans</t>
        </is>
      </c>
      <c r="E30" s="9" t="inlineStr"/>
      <c r="F30" s="9" t="inlineStr"/>
      <c r="G30" s="10" t="inlineStr"/>
      <c r="H30" s="10" t="inlineStr"/>
      <c r="I30" s="39">
        <f>IFERROR(G30+H30,"")</f>
        <v/>
      </c>
      <c r="J30" s="10" t="inlineStr"/>
      <c r="K30" s="10" t="inlineStr">
        <is>
          <t>Completed</t>
        </is>
      </c>
    </row>
    <row r="31" ht="22" customHeight="1"/>
    <row r="32" ht="26" customHeight="1">
      <c r="B32" s="64" t="inlineStr">
        <is>
          <t>MONTHLY TOTAL</t>
        </is>
      </c>
      <c r="C32" s="65" t="n"/>
      <c r="D32" s="65" t="n"/>
      <c r="E32" s="65" t="n"/>
      <c r="F32" s="65" t="n"/>
      <c r="G32" s="66">
        <f>IFERROR(SUM(G5:G30),"")</f>
        <v/>
      </c>
      <c r="H32" s="66">
        <f>IFERROR(SUM(H5:H30),"")</f>
        <v/>
      </c>
      <c r="I32" s="66">
        <f>IFERROR(SUM(I5:I30),"")</f>
        <v/>
      </c>
      <c r="J32" s="65" t="n"/>
      <c r="K32" s="65" t="n"/>
    </row>
    <row r="33" ht="22" customHeight="1"/>
  </sheetData>
  <mergeCells count="2">
    <mergeCell ref="B3:K3"/>
    <mergeCell ref="B2:K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I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8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3" customWidth="1" min="10" max="10"/>
  </cols>
  <sheetData>
    <row r="1" ht="10" customHeight="1"/>
    <row r="2" ht="48" customHeight="1">
      <c r="B2" s="12" t="inlineStr">
        <is>
          <t>SFY-03: STATUTORY COMPLIANCE REGISTER — INSPECTIONS &amp; CERTIFICATIONS</t>
        </is>
      </c>
    </row>
    <row r="3" ht="20" customHeight="1">
      <c r="B3" s="17" t="inlineStr">
        <is>
          <t>Non-compliance with statutory inspections is a legal offence. Lapsed certificates must be renewed before the equipment/system is operated. Keep all inspection certificates on file and available for inspection by authorities.</t>
        </is>
      </c>
    </row>
    <row r="4" ht="25" customHeight="1">
      <c r="B4" s="13" t="inlineStr">
        <is>
          <t>Sl.</t>
        </is>
      </c>
      <c r="C4" s="13" t="inlineStr">
        <is>
          <t>System / Requirement</t>
        </is>
      </c>
      <c r="D4" s="13" t="inlineStr">
        <is>
          <t>Governing
Authority</t>
        </is>
      </c>
      <c r="E4" s="13" t="inlineStr">
        <is>
          <t>Frequency</t>
        </is>
      </c>
      <c r="F4" s="13" t="inlineStr">
        <is>
          <t>Last
Inspection</t>
        </is>
      </c>
      <c r="G4" s="13" t="inlineStr">
        <is>
          <t>Certificate
Expiry</t>
        </is>
      </c>
      <c r="H4" s="13" t="inlineStr">
        <is>
          <t>Days to
Expiry</t>
        </is>
      </c>
      <c r="I4" s="13" t="inlineStr">
        <is>
          <t>Status</t>
        </is>
      </c>
    </row>
    <row r="5" ht="26" customHeight="1">
      <c r="B5" s="67" t="n">
        <v>1</v>
      </c>
      <c r="C5" s="68" t="inlineStr">
        <is>
          <t>Lift / Elevator — Annual Safety Inspection</t>
        </is>
      </c>
      <c r="D5" s="68" t="inlineStr">
        <is>
          <t>State Electrical Inspectorate / Labour Dept.</t>
        </is>
      </c>
      <c r="E5" s="69" t="inlineStr">
        <is>
          <t>Annual</t>
        </is>
      </c>
      <c r="F5" s="69" t="inlineStr"/>
      <c r="G5" s="69" t="inlineStr"/>
      <c r="H5" s="70">
        <f>IFERROR(G5-TODAY(),"")</f>
        <v/>
      </c>
      <c r="I5" s="69">
        <f>IFERROR(IF(G5&lt;TODAY(),"EXPIRED — Illegal to Operate",IF(G5-TODAY()&lt;=30,"Renew Immediately","Compliant")),"")</f>
        <v/>
      </c>
    </row>
    <row r="6" ht="26" customHeight="1">
      <c r="B6" s="71" t="n">
        <v>2</v>
      </c>
      <c r="C6" s="72" t="inlineStr">
        <is>
          <t>DG Set — Pollution Under Control (PUC)</t>
        </is>
      </c>
      <c r="D6" s="72" t="inlineStr">
        <is>
          <t>State Pollution Control Board</t>
        </is>
      </c>
      <c r="E6" s="73" t="inlineStr">
        <is>
          <t>Annual</t>
        </is>
      </c>
      <c r="F6" s="73" t="inlineStr"/>
      <c r="G6" s="73" t="inlineStr"/>
      <c r="H6" s="74">
        <f>IFERROR(G6-TODAY(),"")</f>
        <v/>
      </c>
      <c r="I6" s="73">
        <f>IFERROR(IF(G6&lt;TODAY(),"EXPIRED — Illegal to Operate",IF(G6-TODAY()&lt;=30,"Renew Immediately","Compliant")),"")</f>
        <v/>
      </c>
    </row>
    <row r="7" ht="26" customHeight="1">
      <c r="B7" s="67" t="n">
        <v>3</v>
      </c>
      <c r="C7" s="68" t="inlineStr">
        <is>
          <t>Building Structure Stability Certificate</t>
        </is>
      </c>
      <c r="D7" s="68" t="inlineStr">
        <is>
          <t>Local Municipal Authority</t>
        </is>
      </c>
      <c r="E7" s="69" t="inlineStr">
        <is>
          <t>As required</t>
        </is>
      </c>
      <c r="F7" s="69" t="inlineStr"/>
      <c r="G7" s="69" t="inlineStr"/>
      <c r="H7" s="70">
        <f>IFERROR(G7-TODAY(),"")</f>
        <v/>
      </c>
      <c r="I7" s="69">
        <f>IFERROR(IF(G7&lt;TODAY(),"EXPIRED — Illegal to Operate",IF(G7-TODAY()&lt;=30,"Renew Immediately","Compliant")),"")</f>
        <v/>
      </c>
    </row>
    <row r="8" ht="26" customHeight="1">
      <c r="B8" s="71" t="n">
        <v>4</v>
      </c>
      <c r="C8" s="72" t="inlineStr">
        <is>
          <t>Fire NOC — Main Building</t>
        </is>
      </c>
      <c r="D8" s="72" t="inlineStr">
        <is>
          <t>State Fire Services Dept.</t>
        </is>
      </c>
      <c r="E8" s="73" t="inlineStr">
        <is>
          <t>Annual / 3-yearly</t>
        </is>
      </c>
      <c r="F8" s="73" t="inlineStr"/>
      <c r="G8" s="73" t="inlineStr"/>
      <c r="H8" s="74">
        <f>IFERROR(G8-TODAY(),"")</f>
        <v/>
      </c>
      <c r="I8" s="73">
        <f>IFERROR(IF(G8&lt;TODAY(),"EXPIRED — Illegal to Operate",IF(G8-TODAY()&lt;=30,"Renew Immediately","Compliant")),"")</f>
        <v/>
      </c>
    </row>
    <row r="9" ht="26" customHeight="1">
      <c r="B9" s="67" t="n">
        <v>5</v>
      </c>
      <c r="C9" s="68" t="inlineStr">
        <is>
          <t>Fire NOC — Hostel Buildings</t>
        </is>
      </c>
      <c r="D9" s="68" t="inlineStr">
        <is>
          <t>State Fire Services Dept.</t>
        </is>
      </c>
      <c r="E9" s="69" t="inlineStr">
        <is>
          <t>Annual</t>
        </is>
      </c>
      <c r="F9" s="69" t="inlineStr"/>
      <c r="G9" s="69" t="inlineStr"/>
      <c r="H9" s="70">
        <f>IFERROR(G9-TODAY(),"")</f>
        <v/>
      </c>
      <c r="I9" s="69">
        <f>IFERROR(IF(G9&lt;TODAY(),"EXPIRED — Illegal to Operate",IF(G9-TODAY()&lt;=30,"Renew Immediately","Compliant")),"")</f>
        <v/>
      </c>
    </row>
    <row r="10" ht="26" customHeight="1">
      <c r="B10" s="71" t="n">
        <v>6</v>
      </c>
      <c r="C10" s="72" t="inlineStr">
        <is>
          <t>Electrical Installation Safety Certificate</t>
        </is>
      </c>
      <c r="D10" s="72" t="inlineStr">
        <is>
          <t>State Electrical Inspectorate</t>
        </is>
      </c>
      <c r="E10" s="73" t="inlineStr">
        <is>
          <t>Annual</t>
        </is>
      </c>
      <c r="F10" s="73" t="inlineStr"/>
      <c r="G10" s="73" t="inlineStr"/>
      <c r="H10" s="74">
        <f>IFERROR(G10-TODAY(),"")</f>
        <v/>
      </c>
      <c r="I10" s="73">
        <f>IFERROR(IF(G10&lt;TODAY(),"EXPIRED — Illegal to Operate",IF(G10-TODAY()&lt;=30,"Renew Immediately","Compliant")),"")</f>
        <v/>
      </c>
    </row>
    <row r="11" ht="26" customHeight="1">
      <c r="B11" s="67" t="n">
        <v>7</v>
      </c>
      <c r="C11" s="68" t="inlineStr">
        <is>
          <t>Boiler / Pressure Vessel Certificate</t>
        </is>
      </c>
      <c r="D11" s="68" t="inlineStr">
        <is>
          <t>State Boiler Inspectorate (if applicable)</t>
        </is>
      </c>
      <c r="E11" s="69" t="inlineStr">
        <is>
          <t>Annual</t>
        </is>
      </c>
      <c r="F11" s="69" t="inlineStr"/>
      <c r="G11" s="69" t="inlineStr"/>
      <c r="H11" s="70">
        <f>IFERROR(G11-TODAY(),"")</f>
        <v/>
      </c>
      <c r="I11" s="69">
        <f>IFERROR(IF(G11&lt;TODAY(),"EXPIRED — Illegal to Operate",IF(G11-TODAY()&lt;=30,"Renew Immediately","Compliant")),"")</f>
        <v/>
      </c>
    </row>
    <row r="12" ht="26" customHeight="1">
      <c r="B12" s="71" t="n">
        <v>8</v>
      </c>
      <c r="C12" s="72" t="inlineStr">
        <is>
          <t>Water Quality — Potable Water Test</t>
        </is>
      </c>
      <c r="D12" s="72" t="inlineStr">
        <is>
          <t>State Health / PHE Department</t>
        </is>
      </c>
      <c r="E12" s="73" t="inlineStr">
        <is>
          <t>Quarterly / Annual</t>
        </is>
      </c>
      <c r="F12" s="73" t="inlineStr"/>
      <c r="G12" s="73" t="inlineStr"/>
      <c r="H12" s="74">
        <f>IFERROR(G12-TODAY(),"")</f>
        <v/>
      </c>
      <c r="I12" s="73">
        <f>IFERROR(IF(G12&lt;TODAY(),"EXPIRED — Illegal to Operate",IF(G12-TODAY()&lt;=30,"Renew Immediately","Compliant")),"")</f>
        <v/>
      </c>
    </row>
    <row r="13" ht="26" customHeight="1">
      <c r="B13" s="67" t="n">
        <v>9</v>
      </c>
      <c r="C13" s="68" t="inlineStr">
        <is>
          <t>Sewage Treatment Plant Compliance</t>
        </is>
      </c>
      <c r="D13" s="68" t="inlineStr">
        <is>
          <t>State Pollution Control Board</t>
        </is>
      </c>
      <c r="E13" s="69" t="inlineStr">
        <is>
          <t>Annual</t>
        </is>
      </c>
      <c r="F13" s="69" t="inlineStr"/>
      <c r="G13" s="69" t="inlineStr"/>
      <c r="H13" s="70">
        <f>IFERROR(G13-TODAY(),"")</f>
        <v/>
      </c>
      <c r="I13" s="69">
        <f>IFERROR(IF(G13&lt;TODAY(),"EXPIRED — Illegal to Operate",IF(G13-TODAY()&lt;=30,"Renew Immediately","Compliant")),"")</f>
        <v/>
      </c>
    </row>
    <row r="14" ht="26" customHeight="1">
      <c r="B14" s="71" t="n">
        <v>10</v>
      </c>
      <c r="C14" s="72" t="inlineStr">
        <is>
          <t>Borewell / Groundwater Permit</t>
        </is>
      </c>
      <c r="D14" s="72" t="inlineStr">
        <is>
          <t>CGWA / State Groundwater Authority</t>
        </is>
      </c>
      <c r="E14" s="73" t="inlineStr">
        <is>
          <t>Annual</t>
        </is>
      </c>
      <c r="F14" s="73" t="inlineStr"/>
      <c r="G14" s="73" t="inlineStr"/>
      <c r="H14" s="74">
        <f>IFERROR(G14-TODAY(),"")</f>
        <v/>
      </c>
      <c r="I14" s="73">
        <f>IFERROR(IF(G14&lt;TODAY(),"EXPIRED — Illegal to Operate",IF(G14-TODAY()&lt;=30,"Renew Immediately","Compliant")),"")</f>
        <v/>
      </c>
    </row>
    <row r="15" ht="26" customHeight="1">
      <c r="B15" s="67" t="n">
        <v>11</v>
      </c>
      <c r="C15" s="68" t="inlineStr">
        <is>
          <t>Wet Riser / Hydrant System Test</t>
        </is>
      </c>
      <c r="D15" s="68" t="inlineStr">
        <is>
          <t>Fire Department</t>
        </is>
      </c>
      <c r="E15" s="69" t="inlineStr">
        <is>
          <t>Annual</t>
        </is>
      </c>
      <c r="F15" s="69" t="inlineStr"/>
      <c r="G15" s="69" t="inlineStr"/>
      <c r="H15" s="70">
        <f>IFERROR(G15-TODAY(),"")</f>
        <v/>
      </c>
      <c r="I15" s="69">
        <f>IFERROR(IF(G15&lt;TODAY(),"EXPIRED — Illegal to Operate",IF(G15-TODAY()&lt;=30,"Renew Immediately","Compliant")),"")</f>
        <v/>
      </c>
    </row>
    <row r="16" ht="26" customHeight="1">
      <c r="B16" s="71" t="n">
        <v>12</v>
      </c>
      <c r="C16" s="72" t="inlineStr">
        <is>
          <t>Earthquake / Structural Audit (≥4 floors)</t>
        </is>
      </c>
      <c r="D16" s="72" t="inlineStr">
        <is>
          <t>Structural Engineer / BIS</t>
        </is>
      </c>
      <c r="E16" s="73" t="inlineStr">
        <is>
          <t>5-yearly</t>
        </is>
      </c>
      <c r="F16" s="73" t="inlineStr"/>
      <c r="G16" s="73" t="inlineStr"/>
      <c r="H16" s="74">
        <f>IFERROR(G16-TODAY(),"")</f>
        <v/>
      </c>
      <c r="I16" s="73">
        <f>IFERROR(IF(G16&lt;TODAY(),"EXPIRED — Illegal to Operate",IF(G16-TODAY()&lt;=30,"Renew Immediately","Compliant")),"")</f>
        <v/>
      </c>
    </row>
    <row r="17" ht="26" customHeight="1">
      <c r="B17" s="67" t="n">
        <v>13</v>
      </c>
      <c r="C17" s="68" t="inlineStr">
        <is>
          <t>Energy Audit — BEE Certified (if applicable)</t>
        </is>
      </c>
      <c r="D17" s="68" t="inlineStr">
        <is>
          <t>Bureau of Energy Efficiency</t>
        </is>
      </c>
      <c r="E17" s="69" t="inlineStr">
        <is>
          <t>3-yearly</t>
        </is>
      </c>
      <c r="F17" s="69" t="inlineStr"/>
      <c r="G17" s="69" t="inlineStr"/>
      <c r="H17" s="70">
        <f>IFERROR(G17-TODAY(),"")</f>
        <v/>
      </c>
      <c r="I17" s="69">
        <f>IFERROR(IF(G17&lt;TODAY(),"EXPIRED — Illegal to Operate",IF(G17-TODAY()&lt;=30,"Renew Immediately","Compliant")),"")</f>
        <v/>
      </c>
    </row>
    <row r="18" ht="26" customHeight="1">
      <c r="B18" s="71" t="n">
        <v>14</v>
      </c>
      <c r="C18" s="72" t="inlineStr">
        <is>
          <t>Weigh bridge / Crane — if applicable</t>
        </is>
      </c>
      <c r="D18" s="72" t="inlineStr">
        <is>
          <t>Legal Metrology / Factory Inspector</t>
        </is>
      </c>
      <c r="E18" s="73" t="inlineStr">
        <is>
          <t>Annual</t>
        </is>
      </c>
      <c r="F18" s="73" t="inlineStr"/>
      <c r="G18" s="73" t="inlineStr"/>
      <c r="H18" s="74">
        <f>IFERROR(G18-TODAY(),"")</f>
        <v/>
      </c>
      <c r="I18" s="73">
        <f>IFERROR(IF(G18&lt;TODAY(),"EXPIRED — Illegal to Operate",IF(G18-TODAY()&lt;=30,"Renew Immediately","Compliant")),"")</f>
        <v/>
      </c>
    </row>
    <row r="19" ht="26" customHeight="1">
      <c r="B19" s="67" t="n">
        <v>15</v>
      </c>
      <c r="C19" s="68" t="inlineStr">
        <is>
          <t>First Aid Box — Adequate as per Factory Act</t>
        </is>
      </c>
      <c r="D19" s="68" t="inlineStr">
        <is>
          <t>Factory Inspector / Labour Dept.</t>
        </is>
      </c>
      <c r="E19" s="69" t="inlineStr">
        <is>
          <t>Annual</t>
        </is>
      </c>
      <c r="F19" s="69" t="inlineStr"/>
      <c r="G19" s="69" t="inlineStr"/>
      <c r="H19" s="70">
        <f>IFERROR(G19-TODAY(),"")</f>
        <v/>
      </c>
      <c r="I19" s="69">
        <f>IFERROR(IF(G19&lt;TODAY(),"EXPIRED — Illegal to Operate",IF(G19-TODAY()&lt;=30,"Renew Immediately","Compliant")),"")</f>
        <v/>
      </c>
    </row>
    <row r="20" ht="26" customHeight="1"/>
    <row r="21" ht="24" customHeight="1">
      <c r="B21" s="36" t="inlineStr">
        <is>
          <t>COMPLIANCE SUMMARY</t>
        </is>
      </c>
    </row>
    <row r="22" ht="26" customHeight="1">
      <c r="B22" s="45" t="inlineStr">
        <is>
          <t>Total Statutory Requirements</t>
        </is>
      </c>
      <c r="F22" s="38">
        <f>COUNTA(B5:B19)</f>
        <v/>
      </c>
    </row>
    <row r="23" ht="26" customHeight="1">
      <c r="B23" s="27" t="inlineStr">
        <is>
          <t>Compliant (Certificate Current)</t>
        </is>
      </c>
      <c r="F23" s="39">
        <f>COUNTIF(I5:I19,"Compliant")</f>
        <v/>
      </c>
    </row>
    <row r="24" ht="26" customHeight="1">
      <c r="B24" s="45" t="inlineStr">
        <is>
          <t>Expiring in 30 Days</t>
        </is>
      </c>
      <c r="F24" s="38">
        <f>COUNTIF(I5:I19,"Renew Immediately")</f>
        <v/>
      </c>
    </row>
    <row r="25" ht="26" customHeight="1">
      <c r="B25" s="27" t="inlineStr">
        <is>
          <t>EXPIRED — Illegal to Operate</t>
        </is>
      </c>
      <c r="F25" s="39">
        <f>COUNTIF(I5:I19,"EXPIRED — Illegal to Operate")</f>
        <v/>
      </c>
    </row>
    <row r="26" ht="26" customHeight="1">
      <c r="B26" s="45" t="inlineStr">
        <is>
          <t>Overall Compliance Rate (%)</t>
        </is>
      </c>
      <c r="F26" s="38">
        <f>IFERROR(ROUND(C23/C22*100,1),"")</f>
        <v/>
      </c>
    </row>
    <row r="27" ht="26" customHeight="1">
      <c r="B27" s="27" t="inlineStr">
        <is>
          <t>Last Full Compliance Audit Date</t>
        </is>
      </c>
      <c r="F27" s="39" t="inlineStr"/>
    </row>
  </sheetData>
  <mergeCells count="15">
    <mergeCell ref="B23:E23"/>
    <mergeCell ref="B26:E26"/>
    <mergeCell ref="B21:I21"/>
    <mergeCell ref="F26:I26"/>
    <mergeCell ref="B27:E27"/>
    <mergeCell ref="F27:I27"/>
    <mergeCell ref="B2:I2"/>
    <mergeCell ref="F24:I24"/>
    <mergeCell ref="B3:I3"/>
    <mergeCell ref="B25:E25"/>
    <mergeCell ref="B24:E24"/>
    <mergeCell ref="F25:I25"/>
    <mergeCell ref="F23:I23"/>
    <mergeCell ref="B22:E22"/>
    <mergeCell ref="F22:I2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2:I4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2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3" customWidth="1" min="10" max="10"/>
  </cols>
  <sheetData>
    <row r="1" ht="10" customHeight="1"/>
    <row r="2" ht="48" customHeight="1">
      <c r="B2" s="12" t="inlineStr">
        <is>
          <t>GMC-30: GENERAL MAINTENANCE COMMITTEE KPI DASHBOARD</t>
        </is>
      </c>
    </row>
    <row r="3" ht="25" customHeight="1">
      <c r="B3" s="24" t="inlineStr">
        <is>
          <t>Month: _______  A.Y.: _______  GMC Coordinator: ___________________  Date: _______</t>
        </is>
      </c>
    </row>
    <row r="4" ht="24" customHeight="1">
      <c r="B4" s="19" t="inlineStr">
        <is>
          <t>MAINTENANCE REQUEST KPIs</t>
        </is>
      </c>
    </row>
    <row r="5" ht="22" customHeight="1">
      <c r="B5" s="20" t="inlineStr">
        <is>
          <t>Sl.</t>
        </is>
      </c>
      <c r="C5" s="20" t="inlineStr">
        <is>
          <t>Key Performance Indicator</t>
        </is>
      </c>
      <c r="D5" s="20" t="inlineStr">
        <is>
          <t>Unit</t>
        </is>
      </c>
      <c r="E5" s="20" t="inlineStr">
        <is>
          <t>Target</t>
        </is>
      </c>
      <c r="F5" s="20" t="inlineStr">
        <is>
          <t>Prev. Month
Actual</t>
        </is>
      </c>
      <c r="G5" s="20" t="inlineStr">
        <is>
          <t>Current Month
Actual</t>
        </is>
      </c>
      <c r="H5" s="20" t="inlineStr">
        <is>
          <t>Status</t>
        </is>
      </c>
      <c r="I5" s="20" t="inlineStr">
        <is>
          <t>Action Required</t>
        </is>
      </c>
    </row>
    <row r="6" ht="22" customHeight="1">
      <c r="B6" s="14" t="n">
        <v>1</v>
      </c>
      <c r="C6" s="15" t="inlineStr">
        <is>
          <t>Maintenance requests received (monthly)</t>
        </is>
      </c>
      <c r="D6" s="16" t="inlineStr">
        <is>
          <t>No.</t>
        </is>
      </c>
      <c r="E6" s="16" t="inlineStr">
        <is>
          <t>Tracked</t>
        </is>
      </c>
      <c r="F6" s="16" t="inlineStr"/>
      <c r="G6" s="16" t="inlineStr"/>
      <c r="H6" s="16" t="inlineStr">
        <is>
          <t>On Track</t>
        </is>
      </c>
      <c r="I6" s="15" t="inlineStr"/>
    </row>
    <row r="7" ht="22" customHeight="1">
      <c r="B7" s="8" t="n">
        <v>2</v>
      </c>
      <c r="C7" s="9" t="inlineStr">
        <is>
          <t>P1 Emergency requests resolved within 4 hours</t>
        </is>
      </c>
      <c r="D7" s="10" t="inlineStr">
        <is>
          <t>% on time</t>
        </is>
      </c>
      <c r="E7" s="10" t="inlineStr">
        <is>
          <t>100%</t>
        </is>
      </c>
      <c r="F7" s="10" t="inlineStr"/>
      <c r="G7" s="10" t="inlineStr"/>
      <c r="H7" s="10" t="inlineStr">
        <is>
          <t>On Track</t>
        </is>
      </c>
      <c r="I7" s="9" t="inlineStr"/>
    </row>
    <row r="8" ht="22" customHeight="1">
      <c r="B8" s="14" t="n">
        <v>3</v>
      </c>
      <c r="C8" s="15" t="inlineStr">
        <is>
          <t>P2 Urgent requests resolved within 24 hours</t>
        </is>
      </c>
      <c r="D8" s="16" t="inlineStr">
        <is>
          <t>% on time</t>
        </is>
      </c>
      <c r="E8" s="16" t="inlineStr">
        <is>
          <t>≥95%</t>
        </is>
      </c>
      <c r="F8" s="16" t="inlineStr"/>
      <c r="G8" s="16" t="inlineStr"/>
      <c r="H8" s="16" t="inlineStr">
        <is>
          <t>On Track</t>
        </is>
      </c>
      <c r="I8" s="15" t="inlineStr"/>
    </row>
    <row r="9" ht="22" customHeight="1">
      <c r="B9" s="8" t="n">
        <v>4</v>
      </c>
      <c r="C9" s="9" t="inlineStr">
        <is>
          <t>P3 Routine requests resolved within 7 days</t>
        </is>
      </c>
      <c r="D9" s="10" t="inlineStr">
        <is>
          <t>% on time</t>
        </is>
      </c>
      <c r="E9" s="10" t="inlineStr">
        <is>
          <t>≥90%</t>
        </is>
      </c>
      <c r="F9" s="10" t="inlineStr"/>
      <c r="G9" s="10" t="inlineStr"/>
      <c r="H9" s="10" t="inlineStr">
        <is>
          <t>On Track</t>
        </is>
      </c>
      <c r="I9" s="9" t="inlineStr"/>
    </row>
    <row r="10" ht="22" customHeight="1">
      <c r="B10" s="14" t="n">
        <v>5</v>
      </c>
      <c r="C10" s="15" t="inlineStr">
        <is>
          <t>Overall maintenance request closure rate (%)</t>
        </is>
      </c>
      <c r="D10" s="16" t="inlineStr">
        <is>
          <t>% closed</t>
        </is>
      </c>
      <c r="E10" s="16" t="inlineStr">
        <is>
          <t>≥90%</t>
        </is>
      </c>
      <c r="F10" s="16" t="inlineStr"/>
      <c r="G10" s="16" t="inlineStr"/>
      <c r="H10" s="16" t="inlineStr">
        <is>
          <t>On Track</t>
        </is>
      </c>
      <c r="I10" s="15" t="inlineStr"/>
    </row>
    <row r="11" ht="22" customHeight="1">
      <c r="B11" s="8" t="n">
        <v>6</v>
      </c>
      <c r="C11" s="9" t="inlineStr">
        <is>
          <t>Repeat requests for same issue</t>
        </is>
      </c>
      <c r="D11" s="10" t="inlineStr">
        <is>
          <t>No.</t>
        </is>
      </c>
      <c r="E11" s="10" t="inlineStr">
        <is>
          <t>&lt; 5% of total</t>
        </is>
      </c>
      <c r="F11" s="10" t="inlineStr"/>
      <c r="G11" s="10" t="inlineStr"/>
      <c r="H11" s="10" t="inlineStr">
        <is>
          <t>On Track</t>
        </is>
      </c>
      <c r="I11" s="9" t="inlineStr"/>
    </row>
    <row r="12" ht="22" customHeight="1"/>
    <row r="13" ht="24" customHeight="1">
      <c r="B13" s="59" t="inlineStr">
        <is>
          <t>CIVIL &amp; INFRASTRUCTURE KPIs</t>
        </is>
      </c>
    </row>
    <row r="14" ht="22" customHeight="1">
      <c r="B14" s="13" t="inlineStr">
        <is>
          <t>Sl.</t>
        </is>
      </c>
      <c r="C14" s="13" t="inlineStr">
        <is>
          <t>Key Performance Indicator</t>
        </is>
      </c>
      <c r="D14" s="13" t="inlineStr">
        <is>
          <t>Unit</t>
        </is>
      </c>
      <c r="E14" s="13" t="inlineStr">
        <is>
          <t>Target</t>
        </is>
      </c>
      <c r="F14" s="13" t="inlineStr">
        <is>
          <t>Prev. Month
Actual</t>
        </is>
      </c>
      <c r="G14" s="13" t="inlineStr">
        <is>
          <t>Current Month
Actual</t>
        </is>
      </c>
      <c r="H14" s="13" t="inlineStr">
        <is>
          <t>Status</t>
        </is>
      </c>
      <c r="I14" s="13" t="inlineStr">
        <is>
          <t>Action Required</t>
        </is>
      </c>
    </row>
    <row r="15" ht="22" customHeight="1">
      <c r="B15" s="42" t="n">
        <v>1</v>
      </c>
      <c r="C15" s="43" t="inlineStr">
        <is>
          <t>Annual building condition assessment completed</t>
        </is>
      </c>
      <c r="D15" s="44" t="inlineStr">
        <is>
          <t>Y/N</t>
        </is>
      </c>
      <c r="E15" s="44" t="inlineStr">
        <is>
          <t>Yes by April 30</t>
        </is>
      </c>
      <c r="F15" s="44" t="inlineStr"/>
      <c r="G15" s="44" t="inlineStr"/>
      <c r="H15" s="44" t="inlineStr">
        <is>
          <t>On Track</t>
        </is>
      </c>
      <c r="I15" s="43" t="inlineStr"/>
    </row>
    <row r="16" ht="22" customHeight="1">
      <c r="B16" s="8" t="n">
        <v>2</v>
      </c>
      <c r="C16" s="9" t="inlineStr">
        <is>
          <t>Buildings rated ≥3.5 (Good / Excellent)</t>
        </is>
      </c>
      <c r="D16" s="10" t="inlineStr">
        <is>
          <t>% of buildings</t>
        </is>
      </c>
      <c r="E16" s="10" t="inlineStr">
        <is>
          <t>≥80%</t>
        </is>
      </c>
      <c r="F16" s="10" t="inlineStr"/>
      <c r="G16" s="10" t="inlineStr"/>
      <c r="H16" s="10" t="inlineStr">
        <is>
          <t>On Track</t>
        </is>
      </c>
      <c r="I16" s="9" t="inlineStr"/>
    </row>
    <row r="17" ht="22" customHeight="1">
      <c r="B17" s="42" t="n">
        <v>3</v>
      </c>
      <c r="C17" s="43" t="inlineStr">
        <is>
          <t>Preventive maintenance jobs completed on schedule</t>
        </is>
      </c>
      <c r="D17" s="44" t="inlineStr">
        <is>
          <t>% on schedule</t>
        </is>
      </c>
      <c r="E17" s="44" t="inlineStr">
        <is>
          <t>≥85%</t>
        </is>
      </c>
      <c r="F17" s="44" t="inlineStr"/>
      <c r="G17" s="44" t="inlineStr"/>
      <c r="H17" s="44" t="inlineStr">
        <is>
          <t>On Track</t>
        </is>
      </c>
      <c r="I17" s="43" t="inlineStr"/>
    </row>
    <row r="18" ht="22" customHeight="1">
      <c r="B18" s="8" t="n">
        <v>4</v>
      </c>
      <c r="C18" s="9" t="inlineStr">
        <is>
          <t>Monsoon preparedness inspection done</t>
        </is>
      </c>
      <c r="D18" s="10" t="inlineStr">
        <is>
          <t>Y/N</t>
        </is>
      </c>
      <c r="E18" s="10" t="inlineStr">
        <is>
          <t>Yes by May 31</t>
        </is>
      </c>
      <c r="F18" s="10" t="inlineStr"/>
      <c r="G18" s="10" t="inlineStr"/>
      <c r="H18" s="10" t="inlineStr">
        <is>
          <t>On Track</t>
        </is>
      </c>
      <c r="I18" s="9" t="inlineStr"/>
    </row>
    <row r="19" ht="22" customHeight="1">
      <c r="B19" s="42" t="n">
        <v>5</v>
      </c>
      <c r="C19" s="43" t="inlineStr">
        <is>
          <t>Campus cleanliness audit score (/5)</t>
        </is>
      </c>
      <c r="D19" s="44" t="inlineStr">
        <is>
          <t>Score</t>
        </is>
      </c>
      <c r="E19" s="44" t="inlineStr">
        <is>
          <t>≥3.5</t>
        </is>
      </c>
      <c r="F19" s="44" t="inlineStr"/>
      <c r="G19" s="44" t="inlineStr"/>
      <c r="H19" s="44" t="inlineStr">
        <is>
          <t>On Track</t>
        </is>
      </c>
      <c r="I19" s="43" t="inlineStr"/>
    </row>
    <row r="20" ht="22" customHeight="1"/>
    <row r="21" ht="24" customHeight="1">
      <c r="B21" s="59" t="inlineStr">
        <is>
          <t>ELECTRICAL &amp; MECHANICAL KPIs</t>
        </is>
      </c>
    </row>
    <row r="22" ht="22" customHeight="1">
      <c r="B22" s="13" t="inlineStr">
        <is>
          <t>Sl.</t>
        </is>
      </c>
      <c r="C22" s="13" t="inlineStr">
        <is>
          <t>Key Performance Indicator</t>
        </is>
      </c>
      <c r="D22" s="13" t="inlineStr">
        <is>
          <t>Unit</t>
        </is>
      </c>
      <c r="E22" s="13" t="inlineStr">
        <is>
          <t>Target</t>
        </is>
      </c>
      <c r="F22" s="13" t="inlineStr">
        <is>
          <t>Prev. Month
Actual</t>
        </is>
      </c>
      <c r="G22" s="13" t="inlineStr">
        <is>
          <t>Current Month
Actual</t>
        </is>
      </c>
      <c r="H22" s="13" t="inlineStr">
        <is>
          <t>Status</t>
        </is>
      </c>
      <c r="I22" s="13" t="inlineStr">
        <is>
          <t>Action Required</t>
        </is>
      </c>
    </row>
    <row r="23" ht="22" customHeight="1">
      <c r="B23" s="42" t="n">
        <v>1</v>
      </c>
      <c r="C23" s="43" t="inlineStr">
        <is>
          <t>Monthly electrical inspections completed</t>
        </is>
      </c>
      <c r="D23" s="44" t="inlineStr">
        <is>
          <t>% on time</t>
        </is>
      </c>
      <c r="E23" s="44" t="inlineStr">
        <is>
          <t>100%</t>
        </is>
      </c>
      <c r="F23" s="44" t="inlineStr"/>
      <c r="G23" s="44" t="inlineStr"/>
      <c r="H23" s="44" t="inlineStr">
        <is>
          <t>On Track</t>
        </is>
      </c>
      <c r="I23" s="43" t="inlineStr"/>
    </row>
    <row r="24" ht="22" customHeight="1">
      <c r="B24" s="8" t="n">
        <v>2</v>
      </c>
      <c r="C24" s="9" t="inlineStr">
        <is>
          <t>DG Set weekly test run compliance</t>
        </is>
      </c>
      <c r="D24" s="10" t="inlineStr">
        <is>
          <t>% weeks</t>
        </is>
      </c>
      <c r="E24" s="10" t="inlineStr">
        <is>
          <t>100%</t>
        </is>
      </c>
      <c r="F24" s="10" t="inlineStr"/>
      <c r="G24" s="10" t="inlineStr"/>
      <c r="H24" s="10" t="inlineStr">
        <is>
          <t>On Track</t>
        </is>
      </c>
      <c r="I24" s="9" t="inlineStr"/>
    </row>
    <row r="25" ht="22" customHeight="1">
      <c r="B25" s="42" t="n">
        <v>3</v>
      </c>
      <c r="C25" s="43" t="inlineStr">
        <is>
          <t>AC quarterly service compliance (% of units)</t>
        </is>
      </c>
      <c r="D25" s="44" t="inlineStr">
        <is>
          <t>% serviced</t>
        </is>
      </c>
      <c r="E25" s="44" t="inlineStr">
        <is>
          <t>100%</t>
        </is>
      </c>
      <c r="F25" s="44" t="inlineStr"/>
      <c r="G25" s="44" t="inlineStr"/>
      <c r="H25" s="44" t="inlineStr">
        <is>
          <t>On Track</t>
        </is>
      </c>
      <c r="I25" s="43" t="inlineStr"/>
    </row>
    <row r="26" ht="22" customHeight="1">
      <c r="B26" s="8" t="n">
        <v>4</v>
      </c>
      <c r="C26" s="9" t="inlineStr">
        <is>
          <t>Electrical fault resolution within 4 hours</t>
        </is>
      </c>
      <c r="D26" s="10" t="inlineStr">
        <is>
          <t>% on time</t>
        </is>
      </c>
      <c r="E26" s="10" t="inlineStr">
        <is>
          <t>≥90%</t>
        </is>
      </c>
      <c r="F26" s="10" t="inlineStr"/>
      <c r="G26" s="10" t="inlineStr"/>
      <c r="H26" s="10" t="inlineStr">
        <is>
          <t>On Track</t>
        </is>
      </c>
      <c r="I26" s="9" t="inlineStr"/>
    </row>
    <row r="27" ht="22" customHeight="1">
      <c r="B27" s="42" t="n">
        <v>5</v>
      </c>
      <c r="C27" s="43" t="inlineStr">
        <is>
          <t>Earthing annual test completed</t>
        </is>
      </c>
      <c r="D27" s="44" t="inlineStr">
        <is>
          <t>Y/N</t>
        </is>
      </c>
      <c r="E27" s="44" t="inlineStr">
        <is>
          <t>Yes annually</t>
        </is>
      </c>
      <c r="F27" s="44" t="inlineStr"/>
      <c r="G27" s="44" t="inlineStr"/>
      <c r="H27" s="44" t="inlineStr">
        <is>
          <t>On Track</t>
        </is>
      </c>
      <c r="I27" s="43" t="inlineStr"/>
    </row>
    <row r="28" ht="22" customHeight="1">
      <c r="B28" s="8" t="n">
        <v>6</v>
      </c>
      <c r="C28" s="9" t="inlineStr">
        <is>
          <t>Lift/elevator statutory inspection current</t>
        </is>
      </c>
      <c r="D28" s="10" t="inlineStr">
        <is>
          <t>Y/N</t>
        </is>
      </c>
      <c r="E28" s="10" t="inlineStr">
        <is>
          <t>Yes — no lapse</t>
        </is>
      </c>
      <c r="F28" s="10" t="inlineStr"/>
      <c r="G28" s="10" t="inlineStr"/>
      <c r="H28" s="10" t="inlineStr">
        <is>
          <t>On Track</t>
        </is>
      </c>
      <c r="I28" s="9" t="inlineStr"/>
    </row>
    <row r="29" ht="22" customHeight="1"/>
    <row r="30" ht="24" customHeight="1">
      <c r="B30" s="55" t="inlineStr">
        <is>
          <t>SAFETY &amp; COMPLIANCE KPIs</t>
        </is>
      </c>
    </row>
    <row r="31" ht="22" customHeight="1">
      <c r="B31" s="49" t="inlineStr">
        <is>
          <t>Sl.</t>
        </is>
      </c>
      <c r="C31" s="49" t="inlineStr">
        <is>
          <t>Key Performance Indicator</t>
        </is>
      </c>
      <c r="D31" s="49" t="inlineStr">
        <is>
          <t>Unit</t>
        </is>
      </c>
      <c r="E31" s="49" t="inlineStr">
        <is>
          <t>Target</t>
        </is>
      </c>
      <c r="F31" s="49" t="inlineStr">
        <is>
          <t>Prev. Month
Actual</t>
        </is>
      </c>
      <c r="G31" s="49" t="inlineStr">
        <is>
          <t>Current Month
Actual</t>
        </is>
      </c>
      <c r="H31" s="49" t="inlineStr">
        <is>
          <t>Status</t>
        </is>
      </c>
      <c r="I31" s="49" t="inlineStr">
        <is>
          <t>Action Required</t>
        </is>
      </c>
    </row>
    <row r="32" ht="22" customHeight="1">
      <c r="B32" s="50" t="n">
        <v>1</v>
      </c>
      <c r="C32" s="51" t="inlineStr">
        <is>
          <t>Fire extinguisher monthly inspection done</t>
        </is>
      </c>
      <c r="D32" s="52" t="inlineStr">
        <is>
          <t>% of units</t>
        </is>
      </c>
      <c r="E32" s="52" t="inlineStr">
        <is>
          <t>100%</t>
        </is>
      </c>
      <c r="F32" s="52" t="inlineStr"/>
      <c r="G32" s="52" t="inlineStr"/>
      <c r="H32" s="52" t="inlineStr">
        <is>
          <t>On Track</t>
        </is>
      </c>
      <c r="I32" s="51" t="inlineStr"/>
    </row>
    <row r="33" ht="22" customHeight="1">
      <c r="B33" s="8" t="n">
        <v>2</v>
      </c>
      <c r="C33" s="9" t="inlineStr">
        <is>
          <t>Fire drills conducted per year</t>
        </is>
      </c>
      <c r="D33" s="10" t="inlineStr">
        <is>
          <t>No.</t>
        </is>
      </c>
      <c r="E33" s="10" t="inlineStr">
        <is>
          <t>≥2 per year</t>
        </is>
      </c>
      <c r="F33" s="10" t="inlineStr"/>
      <c r="G33" s="10" t="inlineStr"/>
      <c r="H33" s="10" t="inlineStr">
        <is>
          <t>On Track</t>
        </is>
      </c>
      <c r="I33" s="9" t="inlineStr"/>
    </row>
    <row r="34" ht="22" customHeight="1">
      <c r="B34" s="50" t="n">
        <v>3</v>
      </c>
      <c r="C34" s="51" t="inlineStr">
        <is>
          <t>Evacuation time achieved (&lt; 3 min target)</t>
        </is>
      </c>
      <c r="D34" s="52" t="inlineStr">
        <is>
          <t>Y/N</t>
        </is>
      </c>
      <c r="E34" s="52" t="inlineStr">
        <is>
          <t>Yes in ≥1 drill</t>
        </is>
      </c>
      <c r="F34" s="52" t="inlineStr"/>
      <c r="G34" s="52" t="inlineStr"/>
      <c r="H34" s="52" t="inlineStr">
        <is>
          <t>On Track</t>
        </is>
      </c>
      <c r="I34" s="51" t="inlineStr"/>
    </row>
    <row r="35" ht="22" customHeight="1">
      <c r="B35" s="8" t="n">
        <v>4</v>
      </c>
      <c r="C35" s="9" t="inlineStr">
        <is>
          <t>All statutory certificates current</t>
        </is>
      </c>
      <c r="D35" s="10" t="inlineStr">
        <is>
          <t>% compliant</t>
        </is>
      </c>
      <c r="E35" s="10" t="inlineStr">
        <is>
          <t>100%</t>
        </is>
      </c>
      <c r="F35" s="10" t="inlineStr"/>
      <c r="G35" s="10" t="inlineStr"/>
      <c r="H35" s="10" t="inlineStr">
        <is>
          <t>On Track</t>
        </is>
      </c>
      <c r="I35" s="9" t="inlineStr"/>
    </row>
    <row r="36" ht="22" customHeight="1">
      <c r="B36" s="50" t="n">
        <v>5</v>
      </c>
      <c r="C36" s="51" t="inlineStr">
        <is>
          <t>AMC renewals done before expiry</t>
        </is>
      </c>
      <c r="D36" s="52" t="inlineStr">
        <is>
          <t>% on time</t>
        </is>
      </c>
      <c r="E36" s="52" t="inlineStr">
        <is>
          <t>100%</t>
        </is>
      </c>
      <c r="F36" s="52" t="inlineStr"/>
      <c r="G36" s="52" t="inlineStr"/>
      <c r="H36" s="52" t="inlineStr">
        <is>
          <t>On Track</t>
        </is>
      </c>
      <c r="I36" s="51" t="inlineStr"/>
    </row>
    <row r="37" ht="22" customHeight="1">
      <c r="B37" s="8" t="n">
        <v>6</v>
      </c>
      <c r="C37" s="9" t="inlineStr">
        <is>
          <t>Safety accidents / near-misses during maintenance</t>
        </is>
      </c>
      <c r="D37" s="10" t="inlineStr">
        <is>
          <t>No.</t>
        </is>
      </c>
      <c r="E37" s="10" t="inlineStr">
        <is>
          <t>0 target</t>
        </is>
      </c>
      <c r="F37" s="10" t="inlineStr"/>
      <c r="G37" s="10" t="inlineStr"/>
      <c r="H37" s="10" t="inlineStr">
        <is>
          <t>On Track</t>
        </is>
      </c>
      <c r="I37" s="9" t="inlineStr"/>
    </row>
    <row r="38" ht="22" customHeight="1"/>
    <row r="39" ht="24" customHeight="1">
      <c r="B39" s="36" t="inlineStr">
        <is>
          <t>COST &amp; QUALITY KPIs</t>
        </is>
      </c>
    </row>
    <row r="40" ht="22" customHeight="1">
      <c r="B40" s="32" t="inlineStr">
        <is>
          <t>Sl.</t>
        </is>
      </c>
      <c r="C40" s="32" t="inlineStr">
        <is>
          <t>Key Performance Indicator</t>
        </is>
      </c>
      <c r="D40" s="32" t="inlineStr">
        <is>
          <t>Unit</t>
        </is>
      </c>
      <c r="E40" s="32" t="inlineStr">
        <is>
          <t>Target</t>
        </is>
      </c>
      <c r="F40" s="32" t="inlineStr">
        <is>
          <t>Prev. Month
Actual</t>
        </is>
      </c>
      <c r="G40" s="32" t="inlineStr">
        <is>
          <t>Current Month
Actual</t>
        </is>
      </c>
      <c r="H40" s="32" t="inlineStr">
        <is>
          <t>Status</t>
        </is>
      </c>
      <c r="I40" s="32" t="inlineStr">
        <is>
          <t>Action Required</t>
        </is>
      </c>
    </row>
    <row r="41" ht="22" customHeight="1">
      <c r="B41" s="33" t="n">
        <v>1</v>
      </c>
      <c r="C41" s="34" t="inlineStr">
        <is>
          <t>Maintenance budget utilisation (%)</t>
        </is>
      </c>
      <c r="D41" s="35" t="inlineStr">
        <is>
          <t>% utilised</t>
        </is>
      </c>
      <c r="E41" s="35" t="inlineStr">
        <is>
          <t>85–100%</t>
        </is>
      </c>
      <c r="F41" s="35" t="inlineStr"/>
      <c r="G41" s="35" t="inlineStr"/>
      <c r="H41" s="35" t="inlineStr">
        <is>
          <t>On Track</t>
        </is>
      </c>
      <c r="I41" s="34" t="inlineStr"/>
    </row>
    <row r="42" ht="22" customHeight="1">
      <c r="B42" s="8" t="n">
        <v>2</v>
      </c>
      <c r="C42" s="9" t="inlineStr">
        <is>
          <t>Preventive vs. reactive maintenance ratio</t>
        </is>
      </c>
      <c r="D42" s="10" t="inlineStr">
        <is>
          <t>% preventive</t>
        </is>
      </c>
      <c r="E42" s="10" t="inlineStr">
        <is>
          <t>≥60% preventive</t>
        </is>
      </c>
      <c r="F42" s="10" t="inlineStr"/>
      <c r="G42" s="10" t="inlineStr"/>
      <c r="H42" s="10" t="inlineStr">
        <is>
          <t>On Track</t>
        </is>
      </c>
      <c r="I42" s="9" t="inlineStr"/>
    </row>
    <row r="43" ht="22" customHeight="1">
      <c r="B43" s="33" t="n">
        <v>3</v>
      </c>
      <c r="C43" s="34" t="inlineStr">
        <is>
          <t>User satisfaction with maintenance (/5)</t>
        </is>
      </c>
      <c r="D43" s="35" t="inlineStr">
        <is>
          <t>Score</t>
        </is>
      </c>
      <c r="E43" s="35" t="inlineStr">
        <is>
          <t>≥3.5</t>
        </is>
      </c>
      <c r="F43" s="35" t="inlineStr"/>
      <c r="G43" s="35" t="inlineStr"/>
      <c r="H43" s="35" t="inlineStr">
        <is>
          <t>On Track</t>
        </is>
      </c>
      <c r="I43" s="34" t="inlineStr"/>
    </row>
    <row r="44" ht="22" customHeight="1">
      <c r="B44" s="8" t="n">
        <v>4</v>
      </c>
      <c r="C44" s="9" t="inlineStr">
        <is>
          <t>NAAC infrastructure data compiled</t>
        </is>
      </c>
      <c r="D44" s="10" t="inlineStr">
        <is>
          <t>Y/N</t>
        </is>
      </c>
      <c r="E44" s="10" t="inlineStr">
        <is>
          <t>Yes annually</t>
        </is>
      </c>
      <c r="F44" s="10" t="inlineStr"/>
      <c r="G44" s="10" t="inlineStr"/>
      <c r="H44" s="10" t="inlineStr">
        <is>
          <t>On Track</t>
        </is>
      </c>
      <c r="I44" s="9" t="inlineStr"/>
    </row>
    <row r="45" ht="22" customHeight="1">
      <c r="B45" s="33" t="n">
        <v>5</v>
      </c>
      <c r="C45" s="34" t="inlineStr">
        <is>
          <t>Contractor performance rating (avg)</t>
        </is>
      </c>
      <c r="D45" s="35" t="inlineStr">
        <is>
          <t>Rating /5</t>
        </is>
      </c>
      <c r="E45" s="35" t="inlineStr">
        <is>
          <t>≥3.5</t>
        </is>
      </c>
      <c r="F45" s="35" t="inlineStr"/>
      <c r="G45" s="35" t="inlineStr"/>
      <c r="H45" s="35" t="inlineStr">
        <is>
          <t>On Track</t>
        </is>
      </c>
      <c r="I45" s="34" t="inlineStr"/>
    </row>
    <row r="46" ht="22" customHeight="1">
      <c r="B46" s="8" t="n">
        <v>6</v>
      </c>
      <c r="C46" s="9" t="inlineStr">
        <is>
          <t>Work completed on first visit (% of jobs)</t>
        </is>
      </c>
      <c r="D46" s="10" t="inlineStr">
        <is>
          <t>% first-time fix</t>
        </is>
      </c>
      <c r="E46" s="10" t="inlineStr">
        <is>
          <t>≥75%</t>
        </is>
      </c>
      <c r="F46" s="10" t="inlineStr"/>
      <c r="G46" s="10" t="inlineStr"/>
      <c r="H46" s="10" t="inlineStr">
        <is>
          <t>On Track</t>
        </is>
      </c>
      <c r="I46" s="9" t="inlineStr"/>
    </row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  <row r="60" ht="22" customHeight="1"/>
    <row r="61" ht="22" customHeight="1"/>
    <row r="62" ht="22" customHeight="1"/>
    <row r="63" ht="22" customHeight="1"/>
    <row r="64" ht="22" customHeight="1"/>
  </sheetData>
  <mergeCells count="7">
    <mergeCell ref="B13:I13"/>
    <mergeCell ref="B21:I21"/>
    <mergeCell ref="B30:I30"/>
    <mergeCell ref="B39:I39"/>
    <mergeCell ref="B2:I2"/>
    <mergeCell ref="B3:I3"/>
    <mergeCell ref="B4:I4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0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3" customWidth="1" min="9" max="9"/>
  </cols>
  <sheetData>
    <row r="1" ht="10" customHeight="1"/>
    <row r="2" ht="48" customHeight="1">
      <c r="B2" s="12" t="inlineStr">
        <is>
          <t>GMC-31: GENERAL MAINTENANCE ANNUAL REPORT COMPILATION FORM</t>
        </is>
      </c>
    </row>
    <row r="3" ht="25" customHeight="1">
      <c r="B3" s="24" t="inlineStr">
        <is>
          <t>A.Y.: _______  GMC Coordinator: ___________________  Submitted to: Management / Finance / IQAC  Date: _______</t>
        </is>
      </c>
    </row>
    <row r="4" ht="24" customHeight="1">
      <c r="B4" s="19" t="inlineStr">
        <is>
          <t>SECTION 1 — MAINTENANCE REQUESTS</t>
        </is>
      </c>
    </row>
    <row r="5" ht="22" customHeight="1">
      <c r="B5" s="20" t="inlineStr">
        <is>
          <t>Sl.</t>
        </is>
      </c>
      <c r="C5" s="20" t="inlineStr">
        <is>
          <t>Performance Metric</t>
        </is>
      </c>
      <c r="D5" s="20" t="inlineStr">
        <is>
          <t>Unit</t>
        </is>
      </c>
      <c r="E5" s="20" t="inlineStr">
        <is>
          <t>Current A.Y.</t>
        </is>
      </c>
      <c r="F5" s="20" t="inlineStr">
        <is>
          <t>Previous A.Y.</t>
        </is>
      </c>
      <c r="G5" s="20" t="inlineStr">
        <is>
          <t>Growth %</t>
        </is>
      </c>
      <c r="H5" s="20" t="inlineStr">
        <is>
          <t>Target Next Year</t>
        </is>
      </c>
    </row>
    <row r="6" ht="22" customHeight="1">
      <c r="B6" s="14" t="n">
        <v>1</v>
      </c>
      <c r="C6" s="15" t="inlineStr">
        <is>
          <t>Total maintenance requests received</t>
        </is>
      </c>
      <c r="D6" s="16" t="inlineStr">
        <is>
          <t>No.</t>
        </is>
      </c>
      <c r="E6" s="16" t="inlineStr"/>
      <c r="F6" s="16" t="inlineStr"/>
      <c r="G6" s="16">
        <f>IFERROR(ROUND((E6-F6)/IF(F6=0,1,F6)*100,1),"")</f>
        <v/>
      </c>
      <c r="H6" s="16" t="inlineStr"/>
    </row>
    <row r="7" ht="22" customHeight="1">
      <c r="B7" s="8" t="n">
        <v>2</v>
      </c>
      <c r="C7" s="9" t="inlineStr">
        <is>
          <t>Requests resolved on time (%)</t>
        </is>
      </c>
      <c r="D7" s="10" t="inlineStr">
        <is>
          <t>% on time</t>
        </is>
      </c>
      <c r="E7" s="10" t="inlineStr"/>
      <c r="F7" s="10" t="inlineStr"/>
      <c r="G7" s="10">
        <f>IFERROR(ROUND((E7-F7)/IF(F7=0,1,F7)*100,1),"")</f>
        <v/>
      </c>
      <c r="H7" s="10" t="inlineStr"/>
    </row>
    <row r="8" ht="22" customHeight="1">
      <c r="B8" s="14" t="n">
        <v>3</v>
      </c>
      <c r="C8" s="15" t="inlineStr">
        <is>
          <t>Emergency (P1) requests</t>
        </is>
      </c>
      <c r="D8" s="16" t="inlineStr">
        <is>
          <t>No.</t>
        </is>
      </c>
      <c r="E8" s="16" t="inlineStr"/>
      <c r="F8" s="16" t="inlineStr"/>
      <c r="G8" s="16">
        <f>IFERROR(ROUND((E8-F8)/IF(F8=0,1,F8)*100,1),"")</f>
        <v/>
      </c>
      <c r="H8" s="16" t="inlineStr"/>
    </row>
    <row r="9" ht="22" customHeight="1">
      <c r="B9" s="8" t="n">
        <v>4</v>
      </c>
      <c r="C9" s="9" t="inlineStr">
        <is>
          <t>Preventive maintenance jobs completed</t>
        </is>
      </c>
      <c r="D9" s="10" t="inlineStr">
        <is>
          <t>No.</t>
        </is>
      </c>
      <c r="E9" s="10" t="inlineStr"/>
      <c r="F9" s="10" t="inlineStr"/>
      <c r="G9" s="10">
        <f>IFERROR(ROUND((E9-F9)/IF(F9=0,1,F9)*100,1),"")</f>
        <v/>
      </c>
      <c r="H9" s="10" t="inlineStr"/>
    </row>
    <row r="10" ht="22" customHeight="1">
      <c r="B10" s="14" t="n">
        <v>5</v>
      </c>
      <c r="C10" s="15" t="inlineStr">
        <is>
          <t>Repeat requests (same issue)</t>
        </is>
      </c>
      <c r="D10" s="16" t="inlineStr">
        <is>
          <t>No.</t>
        </is>
      </c>
      <c r="E10" s="16" t="inlineStr"/>
      <c r="F10" s="16" t="inlineStr"/>
      <c r="G10" s="16">
        <f>IFERROR(ROUND((E10-F10)/IF(F10=0,1,F10)*100,1),"")</f>
        <v/>
      </c>
      <c r="H10" s="16" t="inlineStr"/>
    </row>
    <row r="11" ht="22" customHeight="1">
      <c r="B11" s="8" t="n">
        <v>6</v>
      </c>
      <c r="C11" s="9" t="inlineStr">
        <is>
          <t>Average resolution time (days)</t>
        </is>
      </c>
      <c r="D11" s="10" t="inlineStr">
        <is>
          <t>Days</t>
        </is>
      </c>
      <c r="E11" s="10" t="inlineStr"/>
      <c r="F11" s="10" t="inlineStr"/>
      <c r="G11" s="10">
        <f>IFERROR(ROUND((E11-F11)/IF(F11=0,1,F11)*100,1),"")</f>
        <v/>
      </c>
      <c r="H11" s="10" t="inlineStr"/>
    </row>
    <row r="12" ht="22" customHeight="1"/>
    <row r="13" ht="24" customHeight="1">
      <c r="B13" s="59" t="inlineStr">
        <is>
          <t>SECTION 2 — CIVIL &amp; INFRASTRUCTURE</t>
        </is>
      </c>
    </row>
    <row r="14" ht="22" customHeight="1">
      <c r="B14" s="13" t="inlineStr">
        <is>
          <t>Sl.</t>
        </is>
      </c>
      <c r="C14" s="13" t="inlineStr">
        <is>
          <t>Performance Metric</t>
        </is>
      </c>
      <c r="D14" s="13" t="inlineStr">
        <is>
          <t>Unit</t>
        </is>
      </c>
      <c r="E14" s="13" t="inlineStr">
        <is>
          <t>Current A.Y.</t>
        </is>
      </c>
      <c r="F14" s="13" t="inlineStr">
        <is>
          <t>Previous A.Y.</t>
        </is>
      </c>
      <c r="G14" s="13" t="inlineStr">
        <is>
          <t>Growth %</t>
        </is>
      </c>
      <c r="H14" s="13" t="inlineStr">
        <is>
          <t>Target Next Year</t>
        </is>
      </c>
    </row>
    <row r="15" ht="22" customHeight="1">
      <c r="B15" s="42" t="n">
        <v>1</v>
      </c>
      <c r="C15" s="43" t="inlineStr">
        <is>
          <t>Buildings assessed (condition audit)</t>
        </is>
      </c>
      <c r="D15" s="44" t="inlineStr">
        <is>
          <t>No.</t>
        </is>
      </c>
      <c r="E15" s="44" t="inlineStr"/>
      <c r="F15" s="44" t="inlineStr"/>
      <c r="G15" s="44">
        <f>IFERROR(ROUND((E15-F15)/IF(F15=0,1,F15)*100,1),"")</f>
        <v/>
      </c>
      <c r="H15" s="44" t="inlineStr"/>
    </row>
    <row r="16" ht="22" customHeight="1">
      <c r="B16" s="8" t="n">
        <v>2</v>
      </c>
      <c r="C16" s="9" t="inlineStr">
        <is>
          <t>Buildings in Good / Excellent condition (%)</t>
        </is>
      </c>
      <c r="D16" s="10" t="inlineStr">
        <is>
          <t>% ≥3.5</t>
        </is>
      </c>
      <c r="E16" s="10" t="inlineStr"/>
      <c r="F16" s="10" t="inlineStr"/>
      <c r="G16" s="10">
        <f>IFERROR(ROUND((E16-F16)/IF(F16=0,1,F16)*100,1),"")</f>
        <v/>
      </c>
      <c r="H16" s="10" t="inlineStr"/>
    </row>
    <row r="17" ht="22" customHeight="1">
      <c r="B17" s="42" t="n">
        <v>3</v>
      </c>
      <c r="C17" s="43" t="inlineStr">
        <is>
          <t>Capital repairs undertaken</t>
        </is>
      </c>
      <c r="D17" s="44" t="inlineStr">
        <is>
          <t>No. / ₹L</t>
        </is>
      </c>
      <c r="E17" s="44" t="inlineStr"/>
      <c r="F17" s="44" t="inlineStr"/>
      <c r="G17" s="44">
        <f>IFERROR(ROUND((E17-F17)/IF(F17=0,1,F17)*100,1),"")</f>
        <v/>
      </c>
      <c r="H17" s="44" t="inlineStr"/>
    </row>
    <row r="18" ht="22" customHeight="1">
      <c r="B18" s="8" t="n">
        <v>4</v>
      </c>
      <c r="C18" s="9" t="inlineStr">
        <is>
          <t>Roofing / waterproofing works</t>
        </is>
      </c>
      <c r="D18" s="10" t="inlineStr">
        <is>
          <t>No.</t>
        </is>
      </c>
      <c r="E18" s="10" t="inlineStr"/>
      <c r="F18" s="10" t="inlineStr"/>
      <c r="G18" s="10">
        <f>IFERROR(ROUND((E18-F18)/IF(F18=0,1,F18)*100,1),"")</f>
        <v/>
      </c>
      <c r="H18" s="10" t="inlineStr"/>
    </row>
    <row r="19" ht="22" customHeight="1">
      <c r="B19" s="42" t="n">
        <v>5</v>
      </c>
      <c r="C19" s="43" t="inlineStr">
        <is>
          <t>Painting and whitewash works</t>
        </is>
      </c>
      <c r="D19" s="44" t="inlineStr">
        <is>
          <t>Area m²</t>
        </is>
      </c>
      <c r="E19" s="44" t="inlineStr"/>
      <c r="F19" s="44" t="inlineStr"/>
      <c r="G19" s="44">
        <f>IFERROR(ROUND((E19-F19)/IF(F19=0,1,F19)*100,1),"")</f>
        <v/>
      </c>
      <c r="H19" s="44" t="inlineStr"/>
    </row>
    <row r="20" ht="22" customHeight="1">
      <c r="B20" s="8" t="n">
        <v>6</v>
      </c>
      <c r="C20" s="9" t="inlineStr">
        <is>
          <t>Monsoon preparedness completed</t>
        </is>
      </c>
      <c r="D20" s="10" t="inlineStr">
        <is>
          <t>Y/N</t>
        </is>
      </c>
      <c r="E20" s="10" t="inlineStr"/>
      <c r="F20" s="10" t="inlineStr"/>
      <c r="G20" s="10">
        <f>IFERROR(ROUND((E20-F20)/IF(F20=0,1,F20)*100,1),"")</f>
        <v/>
      </c>
      <c r="H20" s="10" t="inlineStr"/>
    </row>
    <row r="21" ht="22" customHeight="1"/>
    <row r="22" ht="24" customHeight="1">
      <c r="B22" s="59" t="inlineStr">
        <is>
          <t>SECTION 3 — ELECTRICAL &amp; MECHANICAL</t>
        </is>
      </c>
    </row>
    <row r="23" ht="22" customHeight="1">
      <c r="B23" s="13" t="inlineStr">
        <is>
          <t>Sl.</t>
        </is>
      </c>
      <c r="C23" s="13" t="inlineStr">
        <is>
          <t>Performance Metric</t>
        </is>
      </c>
      <c r="D23" s="13" t="inlineStr">
        <is>
          <t>Unit</t>
        </is>
      </c>
      <c r="E23" s="13" t="inlineStr">
        <is>
          <t>Current A.Y.</t>
        </is>
      </c>
      <c r="F23" s="13" t="inlineStr">
        <is>
          <t>Previous A.Y.</t>
        </is>
      </c>
      <c r="G23" s="13" t="inlineStr">
        <is>
          <t>Growth %</t>
        </is>
      </c>
      <c r="H23" s="13" t="inlineStr">
        <is>
          <t>Target Next Year</t>
        </is>
      </c>
    </row>
    <row r="24" ht="22" customHeight="1">
      <c r="B24" s="42" t="n">
        <v>1</v>
      </c>
      <c r="C24" s="43" t="inlineStr">
        <is>
          <t>Electrical inspections completed</t>
        </is>
      </c>
      <c r="D24" s="44" t="inlineStr">
        <is>
          <t>No.</t>
        </is>
      </c>
      <c r="E24" s="44" t="inlineStr"/>
      <c r="F24" s="44" t="inlineStr"/>
      <c r="G24" s="44">
        <f>IFERROR(ROUND((E24-F24)/IF(F24=0,1,F24)*100,1),"")</f>
        <v/>
      </c>
      <c r="H24" s="44" t="inlineStr"/>
    </row>
    <row r="25" ht="22" customHeight="1">
      <c r="B25" s="8" t="n">
        <v>2</v>
      </c>
      <c r="C25" s="9" t="inlineStr">
        <is>
          <t>DG Set running hours (annual)</t>
        </is>
      </c>
      <c r="D25" s="10" t="inlineStr">
        <is>
          <t>Hours</t>
        </is>
      </c>
      <c r="E25" s="10" t="inlineStr"/>
      <c r="F25" s="10" t="inlineStr"/>
      <c r="G25" s="10">
        <f>IFERROR(ROUND((E25-F25)/IF(F25=0,1,F25)*100,1),"")</f>
        <v/>
      </c>
      <c r="H25" s="10" t="inlineStr"/>
    </row>
    <row r="26" ht="22" customHeight="1">
      <c r="B26" s="42" t="n">
        <v>3</v>
      </c>
      <c r="C26" s="43" t="inlineStr">
        <is>
          <t>AC units serviced (annual)</t>
        </is>
      </c>
      <c r="D26" s="44" t="inlineStr">
        <is>
          <t>No.</t>
        </is>
      </c>
      <c r="E26" s="44" t="inlineStr"/>
      <c r="F26" s="44" t="inlineStr"/>
      <c r="G26" s="44">
        <f>IFERROR(ROUND((E26-F26)/IF(F26=0,1,F26)*100,1),"")</f>
        <v/>
      </c>
      <c r="H26" s="44" t="inlineStr"/>
    </row>
    <row r="27" ht="22" customHeight="1">
      <c r="B27" s="8" t="n">
        <v>4</v>
      </c>
      <c r="C27" s="9" t="inlineStr">
        <is>
          <t>Electrical faults resolved</t>
        </is>
      </c>
      <c r="D27" s="10" t="inlineStr">
        <is>
          <t>No.</t>
        </is>
      </c>
      <c r="E27" s="10" t="inlineStr"/>
      <c r="F27" s="10" t="inlineStr"/>
      <c r="G27" s="10">
        <f>IFERROR(ROUND((E27-F27)/IF(F27=0,1,F27)*100,1),"")</f>
        <v/>
      </c>
      <c r="H27" s="10" t="inlineStr"/>
    </row>
    <row r="28" ht="22" customHeight="1">
      <c r="B28" s="42" t="n">
        <v>5</v>
      </c>
      <c r="C28" s="43" t="inlineStr">
        <is>
          <t>Earthing tests completed</t>
        </is>
      </c>
      <c r="D28" s="44" t="inlineStr">
        <is>
          <t>No.</t>
        </is>
      </c>
      <c r="E28" s="44" t="inlineStr"/>
      <c r="F28" s="44" t="inlineStr"/>
      <c r="G28" s="44">
        <f>IFERROR(ROUND((E28-F28)/IF(F28=0,1,F28)*100,1),"")</f>
        <v/>
      </c>
      <c r="H28" s="44" t="inlineStr"/>
    </row>
    <row r="29" ht="22" customHeight="1">
      <c r="B29" s="8" t="n">
        <v>6</v>
      </c>
      <c r="C29" s="9" t="inlineStr">
        <is>
          <t>Lift inspections done</t>
        </is>
      </c>
      <c r="D29" s="10" t="inlineStr">
        <is>
          <t>No.</t>
        </is>
      </c>
      <c r="E29" s="10" t="inlineStr"/>
      <c r="F29" s="10" t="inlineStr"/>
      <c r="G29" s="10">
        <f>IFERROR(ROUND((E29-F29)/IF(F29=0,1,F29)*100,1),"")</f>
        <v/>
      </c>
      <c r="H29" s="10" t="inlineStr"/>
    </row>
    <row r="30" ht="22" customHeight="1"/>
    <row r="31" ht="24" customHeight="1">
      <c r="B31" s="55" t="inlineStr">
        <is>
          <t>SECTION 4 — SAFETY &amp; COMPLIANCE</t>
        </is>
      </c>
    </row>
    <row r="32" ht="22" customHeight="1">
      <c r="B32" s="49" t="inlineStr">
        <is>
          <t>Sl.</t>
        </is>
      </c>
      <c r="C32" s="49" t="inlineStr">
        <is>
          <t>Performance Metric</t>
        </is>
      </c>
      <c r="D32" s="49" t="inlineStr">
        <is>
          <t>Unit</t>
        </is>
      </c>
      <c r="E32" s="49" t="inlineStr">
        <is>
          <t>Current A.Y.</t>
        </is>
      </c>
      <c r="F32" s="49" t="inlineStr">
        <is>
          <t>Previous A.Y.</t>
        </is>
      </c>
      <c r="G32" s="49" t="inlineStr">
        <is>
          <t>Growth %</t>
        </is>
      </c>
      <c r="H32" s="49" t="inlineStr">
        <is>
          <t>Target Next Year</t>
        </is>
      </c>
    </row>
    <row r="33" ht="22" customHeight="1">
      <c r="B33" s="50" t="n">
        <v>1</v>
      </c>
      <c r="C33" s="51" t="inlineStr">
        <is>
          <t>Fire drills conducted</t>
        </is>
      </c>
      <c r="D33" s="52" t="inlineStr">
        <is>
          <t>No.</t>
        </is>
      </c>
      <c r="E33" s="52" t="inlineStr"/>
      <c r="F33" s="52" t="inlineStr"/>
      <c r="G33" s="52">
        <f>IFERROR(ROUND((E33-F33)/IF(F33=0,1,F33)*100,1),"")</f>
        <v/>
      </c>
      <c r="H33" s="52" t="inlineStr"/>
    </row>
    <row r="34" ht="22" customHeight="1">
      <c r="B34" s="8" t="n">
        <v>2</v>
      </c>
      <c r="C34" s="9" t="inlineStr">
        <is>
          <t>Fire extinguisher inspections done</t>
        </is>
      </c>
      <c r="D34" s="10" t="inlineStr">
        <is>
          <t>No.</t>
        </is>
      </c>
      <c r="E34" s="10" t="inlineStr"/>
      <c r="F34" s="10" t="inlineStr"/>
      <c r="G34" s="10">
        <f>IFERROR(ROUND((E34-F34)/IF(F34=0,1,F34)*100,1),"")</f>
        <v/>
      </c>
      <c r="H34" s="10" t="inlineStr"/>
    </row>
    <row r="35" ht="22" customHeight="1">
      <c r="B35" s="50" t="n">
        <v>3</v>
      </c>
      <c r="C35" s="51" t="inlineStr">
        <is>
          <t>Statutory certificates current (%)</t>
        </is>
      </c>
      <c r="D35" s="52" t="inlineStr">
        <is>
          <t>% compliant</t>
        </is>
      </c>
      <c r="E35" s="52" t="inlineStr"/>
      <c r="F35" s="52" t="inlineStr"/>
      <c r="G35" s="52">
        <f>IFERROR(ROUND((E35-F35)/IF(F35=0,1,F35)*100,1),"")</f>
        <v/>
      </c>
      <c r="H35" s="52" t="inlineStr"/>
    </row>
    <row r="36" ht="22" customHeight="1">
      <c r="B36" s="8" t="n">
        <v>4</v>
      </c>
      <c r="C36" s="9" t="inlineStr">
        <is>
          <t>AMC renewals completed on time</t>
        </is>
      </c>
      <c r="D36" s="10" t="inlineStr">
        <is>
          <t>% on time</t>
        </is>
      </c>
      <c r="E36" s="10" t="inlineStr"/>
      <c r="F36" s="10" t="inlineStr"/>
      <c r="G36" s="10">
        <f>IFERROR(ROUND((E36-F36)/IF(F36=0,1,F36)*100,1),"")</f>
        <v/>
      </c>
      <c r="H36" s="10" t="inlineStr"/>
    </row>
    <row r="37" ht="22" customHeight="1">
      <c r="B37" s="50" t="n">
        <v>5</v>
      </c>
      <c r="C37" s="51" t="inlineStr">
        <is>
          <t>Safety accidents during maintenance</t>
        </is>
      </c>
      <c r="D37" s="52" t="inlineStr">
        <is>
          <t>No.</t>
        </is>
      </c>
      <c r="E37" s="52" t="inlineStr"/>
      <c r="F37" s="52" t="inlineStr"/>
      <c r="G37" s="52">
        <f>IFERROR(ROUND((E37-F37)/IF(F37=0,1,F37)*100,1),"")</f>
        <v/>
      </c>
      <c r="H37" s="52" t="inlineStr"/>
    </row>
    <row r="38" ht="22" customHeight="1">
      <c r="B38" s="8" t="n">
        <v>6</v>
      </c>
      <c r="C38" s="9" t="inlineStr">
        <is>
          <t>Compliance audit score</t>
        </is>
      </c>
      <c r="D38" s="10" t="inlineStr">
        <is>
          <t>Score /100</t>
        </is>
      </c>
      <c r="E38" s="10" t="inlineStr"/>
      <c r="F38" s="10" t="inlineStr"/>
      <c r="G38" s="10">
        <f>IFERROR(ROUND((E38-F38)/IF(F38=0,1,F38)*100,1),"")</f>
        <v/>
      </c>
      <c r="H38" s="10" t="inlineStr"/>
    </row>
    <row r="39" ht="22" customHeight="1"/>
    <row r="40" ht="24" customHeight="1">
      <c r="B40" s="36" t="inlineStr">
        <is>
          <t>SECTION 5 — COST &amp; QUALITY</t>
        </is>
      </c>
    </row>
    <row r="41" ht="22" customHeight="1">
      <c r="B41" s="32" t="inlineStr">
        <is>
          <t>Sl.</t>
        </is>
      </c>
      <c r="C41" s="32" t="inlineStr">
        <is>
          <t>Performance Metric</t>
        </is>
      </c>
      <c r="D41" s="32" t="inlineStr">
        <is>
          <t>Unit</t>
        </is>
      </c>
      <c r="E41" s="32" t="inlineStr">
        <is>
          <t>Current A.Y.</t>
        </is>
      </c>
      <c r="F41" s="32" t="inlineStr">
        <is>
          <t>Previous A.Y.</t>
        </is>
      </c>
      <c r="G41" s="32" t="inlineStr">
        <is>
          <t>Growth %</t>
        </is>
      </c>
      <c r="H41" s="32" t="inlineStr">
        <is>
          <t>Target Next Year</t>
        </is>
      </c>
    </row>
    <row r="42" ht="22" customHeight="1">
      <c r="B42" s="33" t="n">
        <v>1</v>
      </c>
      <c r="C42" s="34" t="inlineStr">
        <is>
          <t>Total maintenance expenditure (₹L)</t>
        </is>
      </c>
      <c r="D42" s="35" t="inlineStr">
        <is>
          <t>₹L</t>
        </is>
      </c>
      <c r="E42" s="35" t="inlineStr"/>
      <c r="F42" s="35" t="inlineStr"/>
      <c r="G42" s="35">
        <f>IFERROR(ROUND((E42-F42)/IF(F42=0,1,F42)*100,1),"")</f>
        <v/>
      </c>
      <c r="H42" s="35" t="inlineStr"/>
    </row>
    <row r="43" ht="22" customHeight="1">
      <c r="B43" s="8" t="n">
        <v>2</v>
      </c>
      <c r="C43" s="9" t="inlineStr">
        <is>
          <t>Capital repairs expenditure (₹L)</t>
        </is>
      </c>
      <c r="D43" s="10" t="inlineStr">
        <is>
          <t>₹L</t>
        </is>
      </c>
      <c r="E43" s="10" t="inlineStr"/>
      <c r="F43" s="10" t="inlineStr"/>
      <c r="G43" s="10">
        <f>IFERROR(ROUND((E43-F43)/IF(F43=0,1,F43)*100,1),"")</f>
        <v/>
      </c>
      <c r="H43" s="10" t="inlineStr"/>
    </row>
    <row r="44" ht="22" customHeight="1">
      <c r="B44" s="33" t="n">
        <v>3</v>
      </c>
      <c r="C44" s="34" t="inlineStr">
        <is>
          <t>AMC total value (₹L)</t>
        </is>
      </c>
      <c r="D44" s="35" t="inlineStr">
        <is>
          <t>₹L</t>
        </is>
      </c>
      <c r="E44" s="35" t="inlineStr"/>
      <c r="F44" s="35" t="inlineStr"/>
      <c r="G44" s="35">
        <f>IFERROR(ROUND((E44-F44)/IF(F44=0,1,F44)*100,1),"")</f>
        <v/>
      </c>
      <c r="H44" s="35" t="inlineStr"/>
    </row>
    <row r="45" ht="22" customHeight="1">
      <c r="B45" s="8" t="n">
        <v>4</v>
      </c>
      <c r="C45" s="9" t="inlineStr">
        <is>
          <t>Budget utilisation (%)</t>
        </is>
      </c>
      <c r="D45" s="10" t="inlineStr">
        <is>
          <t>% utilised</t>
        </is>
      </c>
      <c r="E45" s="10" t="inlineStr"/>
      <c r="F45" s="10" t="inlineStr"/>
      <c r="G45" s="10">
        <f>IFERROR(ROUND((E45-F45)/IF(F45=0,1,F45)*100,1),"")</f>
        <v/>
      </c>
      <c r="H45" s="10" t="inlineStr"/>
    </row>
    <row r="46" ht="22" customHeight="1">
      <c r="B46" s="33" t="n">
        <v>5</v>
      </c>
      <c r="C46" s="34" t="inlineStr">
        <is>
          <t>User satisfaction score (/5)</t>
        </is>
      </c>
      <c r="D46" s="35" t="inlineStr">
        <is>
          <t>Score</t>
        </is>
      </c>
      <c r="E46" s="35" t="inlineStr"/>
      <c r="F46" s="35" t="inlineStr"/>
      <c r="G46" s="35">
        <f>IFERROR(ROUND((E46-F46)/IF(F46=0,1,F46)*100,1),"")</f>
        <v/>
      </c>
      <c r="H46" s="35" t="inlineStr"/>
    </row>
    <row r="47" ht="22" customHeight="1">
      <c r="B47" s="8" t="n">
        <v>6</v>
      </c>
      <c r="C47" s="9" t="inlineStr">
        <is>
          <t>NAAC data submitted</t>
        </is>
      </c>
      <c r="D47" s="10" t="inlineStr">
        <is>
          <t>Y/N</t>
        </is>
      </c>
      <c r="E47" s="10" t="inlineStr"/>
      <c r="F47" s="10" t="inlineStr"/>
      <c r="G47" s="10">
        <f>IFERROR(ROUND((E47-F47)/IF(F47=0,1,F47)*100,1),"")</f>
        <v/>
      </c>
      <c r="H47" s="10" t="inlineStr"/>
    </row>
    <row r="48" ht="22" customHeight="1"/>
    <row r="49" ht="20" customHeight="1">
      <c r="B49" s="17" t="inlineStr">
        <is>
          <t>Annual Report submitted to: Management, Finance Committee, IQAC (NAAC AQAR Criterion IV — Infrastructure &amp; Learning Resources), Governing Body, External Auditors. Statutory certificates to be submitted to relevant authorities on demand.</t>
        </is>
      </c>
    </row>
    <row r="50" ht="22" customHeight="1">
      <c r="B50" s="31" t="inlineStr">
        <is>
          <t>GMC Coordinator: ___________________    Estate Officer: ___________________    Chairperson (Principal): ___________________    Date: ___________________</t>
        </is>
      </c>
    </row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</sheetData>
  <mergeCells count="9">
    <mergeCell ref="B22:H22"/>
    <mergeCell ref="B50:H50"/>
    <mergeCell ref="B40:H40"/>
    <mergeCell ref="B13:H13"/>
    <mergeCell ref="B49:H49"/>
    <mergeCell ref="B4:H4"/>
    <mergeCell ref="B2:H2"/>
    <mergeCell ref="B3:H3"/>
    <mergeCell ref="B31:H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2026-04-28T05:48:40Z</dcterms:created>
  <dcterms:modified xmlns:dcterms="http://purl.org/dc/terms/" xmlns:xsi="http://www.w3.org/2001/XMLSchema-instance" xsi:type="dcterms:W3CDTF">2026-04-28T05:48:40Z</dcterms:modified>
</cp:coreProperties>
</file>