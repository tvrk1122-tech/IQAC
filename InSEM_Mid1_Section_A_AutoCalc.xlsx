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EM_Mid1_Section_A" sheetId="1" state="visible" r:id="rId3"/>
    <sheet name="COs" sheetId="2" state="visible" r:id="rId4"/>
    <sheet name="CO-PO Mapping" sheetId="3" state="visible" r:id="rId5"/>
    <sheet name="Attainment Tracker" sheetId="4" state="visible" r:id="rId6"/>
    <sheet name="Instru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<sst xmlns="http://schemas.openxmlformats.org/spreadsheetml/2006/main" count="395" uniqueCount="182">
  <si>
    <t xml:space="preserve">Department of Electronics and Communication Engineering</t>
  </si>
  <si>
    <t xml:space="preserve">Name of Course Instructor:</t>
  </si>
  <si>
    <t xml:space="preserve">Year / Semester:</t>
  </si>
  <si>
    <t xml:space="preserve">II B.Tech, 2nd Sem</t>
  </si>
  <si>
    <t xml:space="preserve">2025-2026  IN-SEM (MID-1) RESULT ANALYSIS — UG ENGINEERING</t>
  </si>
  <si>
    <t xml:space="preserve">Course Code:</t>
  </si>
  <si>
    <t xml:space="preserve">R24ES10</t>
  </si>
  <si>
    <t xml:space="preserve">Course Title:</t>
  </si>
  <si>
    <t xml:space="preserve">ANALOG ELECTRONIC CIRCUITS DESIGN</t>
  </si>
  <si>
    <t xml:space="preserve">Section:</t>
  </si>
  <si>
    <t xml:space="preserve">A</t>
  </si>
  <si>
    <t xml:space="preserve">Sl No</t>
  </si>
  <si>
    <t xml:space="preserve">Student ID</t>
  </si>
  <si>
    <t xml:space="preserve">Sec</t>
  </si>
  <si>
    <t xml:space="preserve">CO1  :  2.5 + 2.5 + 2 + 2 + 1 + 1 = 11M</t>
  </si>
  <si>
    <t xml:space="preserve">CO2  :  2.5 + 2.5 + 2 + 2 + 1 + 1 = 11M</t>
  </si>
  <si>
    <t xml:space="preserve">CO3  :  2.5 + 2.5 + 2 + 1 = 8M</t>
  </si>
  <si>
    <t xml:space="preserve">Total
15M</t>
  </si>
  <si>
    <t xml:space="preserve">S
(10M)</t>
  </si>
  <si>
    <t xml:space="preserve">AT1
(5M)</t>
  </si>
  <si>
    <t xml:space="preserve">Mid1
(30M)</t>
  </si>
  <si>
    <t xml:space="preserve">%
Mid-1</t>
  </si>
  <si>
    <t xml:space="preserve">Q1A
(5M)</t>
  </si>
  <si>
    <t xml:space="preserve">Q1B
(5M)</t>
  </si>
  <si>
    <t xml:space="preserve">Best
5M</t>
  </si>
  <si>
    <t xml:space="preserve">S(Q1)</t>
  </si>
  <si>
    <t xml:space="preserve">S(Q2)</t>
  </si>
  <si>
    <t xml:space="preserve">A1
(1M)</t>
  </si>
  <si>
    <t xml:space="preserve">A2
(1M)</t>
  </si>
  <si>
    <t xml:space="preserve">CO1
Total</t>
  </si>
  <si>
    <t xml:space="preserve">CO1
%</t>
  </si>
  <si>
    <t xml:space="preserve">≥40%?</t>
  </si>
  <si>
    <t xml:space="preserve">Q2A
(5M)</t>
  </si>
  <si>
    <t xml:space="preserve">Q2B
(5M)</t>
  </si>
  <si>
    <t xml:space="preserve">S(Q3)</t>
  </si>
  <si>
    <t xml:space="preserve">S(Q4)</t>
  </si>
  <si>
    <t xml:space="preserve">A3
(1M)</t>
  </si>
  <si>
    <t xml:space="preserve">A4
(1M)</t>
  </si>
  <si>
    <t xml:space="preserve">CO2
Total</t>
  </si>
  <si>
    <t xml:space="preserve">CO2
%</t>
  </si>
  <si>
    <t xml:space="preserve">Q3A
(5M)</t>
  </si>
  <si>
    <t xml:space="preserve">Q3B
(5M)</t>
  </si>
  <si>
    <t xml:space="preserve">S(Q5)</t>
  </si>
  <si>
    <t xml:space="preserve">A5
(1M)</t>
  </si>
  <si>
    <t xml:space="preserve">CO3
Total</t>
  </si>
  <si>
    <t xml:space="preserve">CO3
%</t>
  </si>
  <si>
    <t xml:space="preserve">Total</t>
  </si>
  <si>
    <t xml:space="preserve">S(10M)</t>
  </si>
  <si>
    <t xml:space="preserve">AT1(5M)</t>
  </si>
  <si>
    <t xml:space="preserve">Mid1(30M)</t>
  </si>
  <si>
    <t xml:space="preserve">%</t>
  </si>
  <si>
    <t xml:space="preserve">Max →</t>
  </si>
  <si>
    <t xml:space="preserve">5M</t>
  </si>
  <si>
    <t xml:space="preserve">2.5M</t>
  </si>
  <si>
    <t xml:space="preserve">1M</t>
  </si>
  <si>
    <t xml:space="preserve">11M</t>
  </si>
  <si>
    <t xml:space="preserve">100%</t>
  </si>
  <si>
    <t xml:space="preserve">8M</t>
  </si>
  <si>
    <t xml:space="preserve">15M</t>
  </si>
  <si>
    <t xml:space="preserve">10M</t>
  </si>
  <si>
    <t xml:space="preserve">30M</t>
  </si>
  <si>
    <t xml:space="preserve">CLASS AVERAGE</t>
  </si>
  <si>
    <t xml:space="preserve">Students ≥ 40%</t>
  </si>
  <si>
    <t xml:space="preserve">Attainment %</t>
  </si>
  <si>
    <t xml:space="preserve">Attainment Level</t>
  </si>
  <si>
    <t xml:space="preserve">RESULT ANALYSIS &amp; CO ATTAINMENT</t>
  </si>
  <si>
    <t xml:space="preserve">Range</t>
  </si>
  <si>
    <t xml:space="preserve">CO1
# Students</t>
  </si>
  <si>
    <t xml:space="preserve">CO2
# Students</t>
  </si>
  <si>
    <t xml:space="preserve">CO3
# Students</t>
  </si>
  <si>
    <t xml:space="preserve">Total Mid-1
# Students</t>
  </si>
  <si>
    <t xml:space="preserve">NO ATTEMPT</t>
  </si>
  <si>
    <t xml:space="preserve">[0-10]</t>
  </si>
  <si>
    <t xml:space="preserve">(10-20]</t>
  </si>
  <si>
    <t xml:space="preserve">(20-30]</t>
  </si>
  <si>
    <t xml:space="preserve">(30-40]</t>
  </si>
  <si>
    <t xml:space="preserve">(40-50]</t>
  </si>
  <si>
    <t xml:space="preserve">(50-60]</t>
  </si>
  <si>
    <t xml:space="preserve">(60-70]</t>
  </si>
  <si>
    <t xml:space="preserve">(70-80]</t>
  </si>
  <si>
    <t xml:space="preserve">(80-90]</t>
  </si>
  <si>
    <t xml:space="preserve">(90-100]</t>
  </si>
  <si>
    <t xml:space="preserve">Total # Students</t>
  </si>
  <si>
    <t xml:space="preserve">Signature of Course Instructor</t>
  </si>
  <si>
    <t xml:space="preserve">Signature of Course Coordinator</t>
  </si>
  <si>
    <t xml:space="preserve">Signature of HOD</t>
  </si>
  <si>
    <t xml:space="preserve">Signature of Principal</t>
  </si>
  <si>
    <t xml:space="preserve">COURSE OUTCOMES (COs) MAPPING</t>
  </si>
  <si>
    <t xml:space="preserve">CO No.</t>
  </si>
  <si>
    <t xml:space="preserve">Course Outcome (CO)</t>
  </si>
  <si>
    <t xml:space="preserve">Mapped PO / PSO</t>
  </si>
  <si>
    <t xml:space="preserve">Bloom's Taxonomy Level (BTL)</t>
  </si>
  <si>
    <t xml:space="preserve">Mapped SDG(s)</t>
  </si>
  <si>
    <t xml:space="preserve">Remarks</t>
  </si>
  <si>
    <t xml:space="preserve">CO1</t>
  </si>
  <si>
    <t xml:space="preserve">Analyze and design multistage amplifiers using BJT &amp; FET</t>
  </si>
  <si>
    <t xml:space="preserve">PO1,PO2,PSO1</t>
  </si>
  <si>
    <t xml:space="preserve">L4 – Analyse</t>
  </si>
  <si>
    <t xml:space="preserve">SDG 9</t>
  </si>
  <si>
    <t xml:space="preserve">CO2</t>
  </si>
  <si>
    <t xml:space="preserve">Evaluate feedback topologies and their effect on amplifier performance</t>
  </si>
  <si>
    <t xml:space="preserve">PO1,PO3,PSO1</t>
  </si>
  <si>
    <t xml:space="preserve">L5 – Evaluate</t>
  </si>
  <si>
    <t xml:space="preserve">CO3</t>
  </si>
  <si>
    <t xml:space="preserve">Design RC, LC, and crystal oscillators for frequency stability</t>
  </si>
  <si>
    <t xml:space="preserve">PO1,PO2,PO3,PSO2</t>
  </si>
  <si>
    <t xml:space="preserve">L6 – Create</t>
  </si>
  <si>
    <t xml:space="preserve">CO4</t>
  </si>
  <si>
    <t xml:space="preserve">Differentiate and design power amplifiers for efficiency</t>
  </si>
  <si>
    <t xml:space="preserve">PO2,PO3,PSO2</t>
  </si>
  <si>
    <t xml:space="preserve">CO5</t>
  </si>
  <si>
    <t xml:space="preserve">Examine tuned amplifier characteristics for bandwidth and stability</t>
  </si>
  <si>
    <t xml:space="preserve">L2 – Understand</t>
  </si>
  <si>
    <t xml:space="preserve">CO–PO / CO–PSO MAPPING MATRIX  (Strength: 3=High  2=Medium  1=Low)</t>
  </si>
  <si>
    <t xml:space="preserve">Course Outcome</t>
  </si>
  <si>
    <t xml:space="preserve">PO1</t>
  </si>
  <si>
    <t xml:space="preserve">PO2</t>
  </si>
  <si>
    <t xml:space="preserve">PO3</t>
  </si>
  <si>
    <t xml:space="preserve">PO4</t>
  </si>
  <si>
    <t xml:space="preserve">PO5</t>
  </si>
  <si>
    <t xml:space="preserve">PO6</t>
  </si>
  <si>
    <t xml:space="preserve">PO7</t>
  </si>
  <si>
    <t xml:space="preserve">PO8</t>
  </si>
  <si>
    <t xml:space="preserve">PO9</t>
  </si>
  <si>
    <t xml:space="preserve">PO10</t>
  </si>
  <si>
    <t xml:space="preserve">PO11</t>
  </si>
  <si>
    <t xml:space="preserve">PO12</t>
  </si>
  <si>
    <t xml:space="preserve">PSO1</t>
  </si>
  <si>
    <t xml:space="preserve">PSO2</t>
  </si>
  <si>
    <t xml:space="preserve">—</t>
  </si>
  <si>
    <t xml:space="preserve">Avg Attainment Level</t>
  </si>
  <si>
    <t xml:space="preserve">CO ATTAINMENT TRACKER – OVERALL SEMESTER</t>
  </si>
  <si>
    <t xml:space="preserve">CO</t>
  </si>
  <si>
    <t xml:space="preserve">CO Description</t>
  </si>
  <si>
    <t xml:space="preserve">MID-1</t>
  </si>
  <si>
    <t xml:space="preserve">MID-2</t>
  </si>
  <si>
    <t xml:space="preserve">CIA</t>
  </si>
  <si>
    <t xml:space="preserve">SEE</t>
  </si>
  <si>
    <t xml:space="preserve">Theory</t>
  </si>
  <si>
    <t xml:space="preserve">Final Avg Level</t>
  </si>
  <si>
    <t xml:space="preserve">Multistage Amplifiers</t>
  </si>
  <si>
    <t xml:space="preserve">Feedback Topologies</t>
  </si>
  <si>
    <t xml:space="preserve">Oscillators</t>
  </si>
  <si>
    <t xml:space="preserve">Power Amplifiers</t>
  </si>
  <si>
    <t xml:space="preserve">Tuned Amplifiers</t>
  </si>
  <si>
    <t xml:space="preserve">INSTRUCTIONS FOR USING THIS WORKBOOK</t>
  </si>
  <si>
    <t xml:space="preserve">INSTRUCTIONS</t>
  </si>
  <si>
    <t xml:space="preserve">1.</t>
  </si>
  <si>
    <t xml:space="preserve">Enter Course Code &amp; Course Title in the yellow cells on the main sheet.</t>
  </si>
  <si>
    <t xml:space="preserve">2.</t>
  </si>
  <si>
    <t xml:space="preserve">Enter Student IDs in Column B. The section auto-fills as 'A'.</t>
  </si>
  <si>
    <t xml:space="preserve">3.</t>
  </si>
  <si>
    <t xml:space="preserve">Enter question marks ONLY in YELLOW cells (Q1A, Q1B, Q2A, Q2B, Q3A, Q3B, A1–A5).</t>
  </si>
  <si>
    <t xml:space="preserve">4.</t>
  </si>
  <si>
    <t xml:space="preserve">All other columns (Best 5M, S(Q), CO Totals, %, attainment) auto-calculate.</t>
  </si>
  <si>
    <t xml:space="preserve">5.</t>
  </si>
  <si>
    <t xml:space="preserve">Leave the cell EMPTY if a student did not attempt a question — do NOT enter 0.</t>
  </si>
  <si>
    <t xml:space="preserve">6.</t>
  </si>
  <si>
    <t xml:space="preserve">If a student is Absent, leave all their cells empty; the Total column shows 0.</t>
  </si>
  <si>
    <t xml:space="preserve">7.</t>
  </si>
  <si>
    <t xml:space="preserve">If a Question Paper has fewer questions, leave those Q columns empty.</t>
  </si>
  <si>
    <t xml:space="preserve">8.</t>
  </si>
  <si>
    <t xml:space="preserve">Result Analysis table auto-updates as soon as marks are entered.</t>
  </si>
  <si>
    <t xml:space="preserve">9.</t>
  </si>
  <si>
    <t xml:space="preserve">The Attainment Tracker sheet shows CO attainment across Mid-1, Mid-2, CIA, SEE.</t>
  </si>
  <si>
    <t xml:space="preserve">10.</t>
  </si>
  <si>
    <t xml:space="preserve">Do NOT alter any formula cells (light blue background).</t>
  </si>
  <si>
    <t xml:space="preserve">11.</t>
  </si>
  <si>
    <t xml:space="preserve">To add more students, insert rows ABOVE the last student row (before Averages).</t>
  </si>
  <si>
    <t xml:space="preserve">12.</t>
  </si>
  <si>
    <t xml:space="preserve">Print-ready on A4 — do not change page layout settings.</t>
  </si>
  <si>
    <t xml:space="preserve">13.</t>
  </si>
  <si>
    <t xml:space="preserve">Once complete, upload to LMS → Internal Tests → Test Result Analysis folder.</t>
  </si>
  <si>
    <t xml:space="preserve">COLOUR CODING GUIDE</t>
  </si>
  <si>
    <t xml:space="preserve">  </t>
  </si>
  <si>
    <t xml:space="preserve">YELLOW cells = Faculty enters marks here (editable inputs)</t>
  </si>
  <si>
    <t xml:space="preserve">LIGHT BLUE cells = Auto-calculated formulas (do not edit)</t>
  </si>
  <si>
    <t xml:space="preserve">LIGHT GRAY rows = Even-numbered student rows (alternating shading)</t>
  </si>
  <si>
    <t xml:space="preserve">ORANGE bands = Summary / attainment rows</t>
  </si>
  <si>
    <t xml:space="preserve">BLUE tint = CO1 columns</t>
  </si>
  <si>
    <t xml:space="preserve">GREEN tint = CO2 columns</t>
  </si>
  <si>
    <t xml:space="preserve">PURPLE tint = CO3 columns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</si>
</sst>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\%"/>
    <numFmt numFmtId="167" formatCode="General"/>
    <numFmt numFmtId="168" formatCode="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"/>
      <color rgb="FF1F3864"/>
      <name val="Arial"/>
      <family val="0"/>
      <charset val="1"/>
    </font>
    <font>
      <i val="true"/>
      <sz val="7"/>
      <color rgb="FF404040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497D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7030A0"/>
      <name val="Arial"/>
      <family val="0"/>
      <charset val="1"/>
    </font>
    <font>
      <sz val="9"/>
      <color rgb="FF00695C"/>
      <name val="Arial"/>
      <family val="0"/>
      <charset val="1"/>
    </font>
    <font>
      <sz val="9"/>
      <color rgb="FFC55A11"/>
      <name val="Arial"/>
      <family val="0"/>
      <charset val="1"/>
    </font>
    <font>
      <sz val="9"/>
      <color rgb="FFBF8F00"/>
      <name val="Arial"/>
      <family val="0"/>
      <charset val="1"/>
    </font>
    <font>
      <sz val="9"/>
      <color rgb="FFCCCCCC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BDD7EE"/>
        <bgColor rgb="FFCCCCCC"/>
      </patternFill>
    </fill>
    <fill>
      <patternFill patternType="solid">
        <fgColor rgb="FFFFF2CC"/>
        <bgColor rgb="FFEBF1DE"/>
      </patternFill>
    </fill>
    <fill>
      <patternFill patternType="solid">
        <fgColor rgb="FF2E75B6"/>
        <bgColor rgb="FF0066CC"/>
      </patternFill>
    </fill>
    <fill>
      <patternFill patternType="solid">
        <fgColor rgb="FF1F497D"/>
        <bgColor rgb="FF1F3864"/>
      </patternFill>
    </fill>
    <fill>
      <patternFill patternType="solid">
        <fgColor rgb="FF375623"/>
        <bgColor rgb="FF404040"/>
      </patternFill>
    </fill>
    <fill>
      <patternFill patternType="solid">
        <fgColor rgb="FF7030A0"/>
        <bgColor rgb="FF993366"/>
      </patternFill>
    </fill>
    <fill>
      <patternFill patternType="solid">
        <fgColor rgb="FF00695C"/>
        <bgColor rgb="FF008080"/>
      </patternFill>
    </fill>
    <fill>
      <patternFill patternType="solid">
        <fgColor rgb="FFC55A11"/>
        <bgColor rgb="FF993300"/>
      </patternFill>
    </fill>
    <fill>
      <patternFill patternType="solid">
        <fgColor rgb="FFF2F2F2"/>
        <bgColor rgb="FFF0F7FF"/>
      </patternFill>
    </fill>
    <fill>
      <patternFill patternType="solid">
        <fgColor rgb="FFF0F7FF"/>
        <bgColor rgb="FFF2F2F2"/>
      </patternFill>
    </fill>
    <fill>
      <patternFill patternType="solid">
        <fgColor rgb="FFFFFFFF"/>
        <bgColor rgb="FFF0F7FF"/>
      </patternFill>
    </fill>
    <fill>
      <patternFill patternType="solid">
        <fgColor rgb="FF404040"/>
        <bgColor rgb="FF375623"/>
      </patternFill>
    </fill>
    <fill>
      <patternFill patternType="solid">
        <fgColor rgb="FFE2EFDA"/>
        <bgColor rgb="FFEBF1DE"/>
      </patternFill>
    </fill>
    <fill>
      <patternFill patternType="solid">
        <fgColor rgb="FF8B0000"/>
        <bgColor rgb="FF800000"/>
      </patternFill>
    </fill>
    <fill>
      <patternFill patternType="solid">
        <fgColor rgb="FFDCE6F1"/>
        <bgColor rgb="FFE2D9F3"/>
      </patternFill>
    </fill>
    <fill>
      <patternFill patternType="solid">
        <fgColor rgb="FFEBF1DE"/>
        <bgColor rgb="FFE2EFDA"/>
      </patternFill>
    </fill>
    <fill>
      <patternFill patternType="solid">
        <fgColor rgb="FFE2D9F3"/>
        <bgColor rgb="FFDCE6F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695C"/>
      <rgbColor rgb="FFCCCCCC"/>
      <rgbColor rgb="FF888888"/>
      <rgbColor rgb="FF9999FF"/>
      <rgbColor rgb="FF7030A0"/>
      <rgbColor rgb="FFFFF2CC"/>
      <rgbColor rgb="FFF0F7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EBF1DE"/>
      <rgbColor rgb="FFF2F2F2"/>
      <rgbColor rgb="FFFF99CC"/>
      <rgbColor rgb="FFCC99FF"/>
      <rgbColor rgb="FFE2D9F3"/>
      <rgbColor rgb="FF2E75B6"/>
      <rgbColor rgb="FF33CCCC"/>
      <rgbColor rgb="FF99CC00"/>
      <rgbColor rgb="FFFFCC00"/>
      <rgbColor rgb="FFBF8F00"/>
      <rgbColor rgb="FFC55A11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1F497D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34" min="4" style="0" width="7"/>
    <col collapsed="false" customWidth="true" hidden="false" outlineLevel="0" max="35" min="35" style="0" width="9"/>
    <col collapsed="false" customWidth="true" hidden="false" outlineLevel="0" max="36" min="36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4" t="s">
        <v>2</v>
      </c>
      <c r="X2" s="4"/>
      <c r="Y2" s="4"/>
      <c r="Z2" s="4"/>
      <c r="AA2" s="3" t="s">
        <v>3</v>
      </c>
      <c r="AB2" s="3"/>
      <c r="AC2" s="3"/>
      <c r="AD2" s="3"/>
      <c r="AE2" s="3"/>
      <c r="AF2" s="3"/>
      <c r="AG2" s="3"/>
      <c r="AH2" s="3"/>
      <c r="AI2" s="3"/>
    </row>
    <row r="3" customFormat="false" ht="25.5" hidden="false" customHeight="true" outlineLevel="0" collapsed="false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customFormat="false" ht="21.75" hidden="false" customHeight="true" outlineLevel="0" collapsed="false">
      <c r="A4" s="6" t="s">
        <v>5</v>
      </c>
      <c r="B4" s="3" t="s">
        <v>6</v>
      </c>
      <c r="C4" s="3"/>
      <c r="D4" s="3"/>
      <c r="E4" s="6" t="s">
        <v>7</v>
      </c>
      <c r="F4" s="7" t="s">
        <v>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6" t="s">
        <v>9</v>
      </c>
      <c r="W4" s="6"/>
      <c r="X4" s="6"/>
      <c r="Y4" s="3" t="s">
        <v>10</v>
      </c>
      <c r="Z4" s="3"/>
      <c r="AA4" s="3"/>
    </row>
    <row r="5" customFormat="false" ht="6" hidden="false" customHeight="true" outlineLevel="0" collapsed="false"/>
    <row r="6" customFormat="false" ht="25.5" hidden="false" customHeight="true" outlineLevel="0" collapsed="false">
      <c r="A6" s="8" t="s">
        <v>11</v>
      </c>
      <c r="B6" s="8" t="s">
        <v>12</v>
      </c>
      <c r="C6" s="8" t="s">
        <v>13</v>
      </c>
      <c r="D6" s="9" t="s">
        <v>14</v>
      </c>
      <c r="E6" s="9"/>
      <c r="F6" s="9"/>
      <c r="G6" s="9"/>
      <c r="H6" s="9"/>
      <c r="I6" s="9"/>
      <c r="J6" s="9"/>
      <c r="K6" s="9"/>
      <c r="L6" s="9"/>
      <c r="M6" s="9"/>
      <c r="N6" s="10" t="s">
        <v>15</v>
      </c>
      <c r="O6" s="10"/>
      <c r="P6" s="10"/>
      <c r="Q6" s="10"/>
      <c r="R6" s="10"/>
      <c r="S6" s="10"/>
      <c r="T6" s="10"/>
      <c r="U6" s="10"/>
      <c r="V6" s="10"/>
      <c r="W6" s="10"/>
      <c r="X6" s="11" t="s">
        <v>16</v>
      </c>
      <c r="Y6" s="11"/>
      <c r="Z6" s="11"/>
      <c r="AA6" s="11"/>
      <c r="AB6" s="11"/>
      <c r="AC6" s="11"/>
      <c r="AD6" s="11"/>
      <c r="AE6" s="11"/>
      <c r="AF6" s="12" t="s">
        <v>17</v>
      </c>
      <c r="AG6" s="13" t="s">
        <v>18</v>
      </c>
      <c r="AH6" s="13" t="s">
        <v>19</v>
      </c>
      <c r="AI6" s="14" t="s">
        <v>20</v>
      </c>
      <c r="AJ6" s="14" t="s">
        <v>21</v>
      </c>
    </row>
    <row r="7" customFormat="false" ht="24" hidden="false" customHeight="true" outlineLevel="0" collapsed="false">
      <c r="A7" s="12" t="s">
        <v>11</v>
      </c>
      <c r="B7" s="12" t="s">
        <v>12</v>
      </c>
      <c r="C7" s="12" t="s">
        <v>13</v>
      </c>
      <c r="D7" s="15" t="s">
        <v>22</v>
      </c>
      <c r="E7" s="15" t="s">
        <v>23</v>
      </c>
      <c r="F7" s="15" t="s">
        <v>24</v>
      </c>
      <c r="G7" s="15" t="s">
        <v>25</v>
      </c>
      <c r="H7" s="15" t="s">
        <v>26</v>
      </c>
      <c r="I7" s="15" t="s">
        <v>27</v>
      </c>
      <c r="J7" s="15" t="s">
        <v>28</v>
      </c>
      <c r="K7" s="15" t="s">
        <v>29</v>
      </c>
      <c r="L7" s="15" t="s">
        <v>30</v>
      </c>
      <c r="M7" s="15" t="s">
        <v>31</v>
      </c>
      <c r="N7" s="16" t="s">
        <v>32</v>
      </c>
      <c r="O7" s="16" t="s">
        <v>33</v>
      </c>
      <c r="P7" s="16" t="s">
        <v>24</v>
      </c>
      <c r="Q7" s="16" t="s">
        <v>34</v>
      </c>
      <c r="R7" s="16" t="s">
        <v>35</v>
      </c>
      <c r="S7" s="16" t="s">
        <v>36</v>
      </c>
      <c r="T7" s="16" t="s">
        <v>37</v>
      </c>
      <c r="U7" s="16" t="s">
        <v>38</v>
      </c>
      <c r="V7" s="16" t="s">
        <v>39</v>
      </c>
      <c r="W7" s="16" t="s">
        <v>31</v>
      </c>
      <c r="X7" s="17" t="s">
        <v>40</v>
      </c>
      <c r="Y7" s="17" t="s">
        <v>41</v>
      </c>
      <c r="Z7" s="17" t="s">
        <v>24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31</v>
      </c>
      <c r="AF7" s="12" t="s">
        <v>46</v>
      </c>
      <c r="AG7" s="13" t="s">
        <v>47</v>
      </c>
      <c r="AH7" s="13" t="s">
        <v>48</v>
      </c>
      <c r="AI7" s="14" t="s">
        <v>49</v>
      </c>
      <c r="AJ7" s="14" t="s">
        <v>50</v>
      </c>
    </row>
    <row r="8" customFormat="false" ht="15.75" hidden="false" customHeight="true" outlineLevel="0" collapsed="false">
      <c r="A8" s="18" t="s">
        <v>51</v>
      </c>
      <c r="B8" s="19"/>
      <c r="C8" s="19"/>
      <c r="D8" s="20" t="s">
        <v>52</v>
      </c>
      <c r="E8" s="20" t="s">
        <v>52</v>
      </c>
      <c r="F8" s="20" t="s">
        <v>52</v>
      </c>
      <c r="G8" s="20" t="s">
        <v>53</v>
      </c>
      <c r="H8" s="20" t="s">
        <v>53</v>
      </c>
      <c r="I8" s="20" t="s">
        <v>54</v>
      </c>
      <c r="J8" s="20" t="s">
        <v>54</v>
      </c>
      <c r="K8" s="20" t="s">
        <v>55</v>
      </c>
      <c r="L8" s="20" t="s">
        <v>56</v>
      </c>
      <c r="M8" s="20"/>
      <c r="N8" s="20" t="s">
        <v>52</v>
      </c>
      <c r="O8" s="20" t="s">
        <v>52</v>
      </c>
      <c r="P8" s="20" t="s">
        <v>52</v>
      </c>
      <c r="Q8" s="20" t="s">
        <v>53</v>
      </c>
      <c r="R8" s="20" t="s">
        <v>53</v>
      </c>
      <c r="S8" s="20" t="s">
        <v>54</v>
      </c>
      <c r="T8" s="20" t="s">
        <v>54</v>
      </c>
      <c r="U8" s="20" t="s">
        <v>55</v>
      </c>
      <c r="V8" s="20" t="s">
        <v>56</v>
      </c>
      <c r="W8" s="20"/>
      <c r="X8" s="20" t="s">
        <v>52</v>
      </c>
      <c r="Y8" s="20" t="s">
        <v>52</v>
      </c>
      <c r="Z8" s="20" t="s">
        <v>52</v>
      </c>
      <c r="AA8" s="20" t="s">
        <v>53</v>
      </c>
      <c r="AB8" s="20" t="s">
        <v>54</v>
      </c>
      <c r="AC8" s="20" t="s">
        <v>57</v>
      </c>
      <c r="AD8" s="20" t="s">
        <v>56</v>
      </c>
      <c r="AE8" s="20"/>
      <c r="AF8" s="20" t="s">
        <v>58</v>
      </c>
      <c r="AG8" s="20" t="s">
        <v>59</v>
      </c>
      <c r="AH8" s="20" t="s">
        <v>52</v>
      </c>
      <c r="AI8" s="20" t="s">
        <v>60</v>
      </c>
      <c r="AJ8" s="20" t="s">
        <v>56</v>
      </c>
    </row>
    <row r="9" customFormat="false" ht="18" hidden="false" customHeight="true" outlineLevel="0" collapsed="false">
      <c r="A9" s="21" t="n">
        <v>1</v>
      </c>
      <c r="B9" s="22"/>
      <c r="C9" s="19" t="s">
        <v>10</v>
      </c>
      <c r="D9" s="23"/>
      <c r="E9" s="23"/>
      <c r="F9" s="24" t="str">
        <f aca="false">IFERROR(IF(AND(D9="",E9=""),"",MIN(MAX(IF(D9="",0,D9),IF(E9="",0,E9)),5)),"")</f>
        <v/>
      </c>
      <c r="G9" s="24" t="str">
        <f aca="false">IFERROR(IF(F9="","",ROUND(F9/2,1)),"")</f>
        <v/>
      </c>
      <c r="H9" s="24" t="str">
        <f aca="false">IFERROR(IF(F9="","",ROUND(F9/2,1)),"")</f>
        <v/>
      </c>
      <c r="I9" s="23"/>
      <c r="J9" s="23"/>
      <c r="K9" s="25" t="n">
        <f aca="false">IFERROR(IF(AND(G9="",H9="",I9="",J9=""),0,SUM(IF(G9="",0,G9),IF(H9="",0,H9),IF(I9="",0,I9),IF(J9="",0,J9))),0)</f>
        <v>0</v>
      </c>
      <c r="L9" s="25" t="n">
        <f aca="false">IFERROR(IF(K9=0,0,ROUND(K9/11*100,1)),0)</f>
        <v>0</v>
      </c>
      <c r="M9" s="26" t="str">
        <f aca="false">IF(K9=0,"N",IF(L9&gt;=40,"Y","N"))</f>
        <v>N</v>
      </c>
      <c r="N9" s="23"/>
      <c r="O9" s="23"/>
      <c r="P9" s="24" t="str">
        <f aca="false">IFERROR(IF(AND(N9="",O9=""),"",MIN(MAX(IF(N9="",0,N9),IF(O9="",0,O9)),5)),"")</f>
        <v/>
      </c>
      <c r="Q9" s="24" t="str">
        <f aca="false">IFERROR(IF(P9="","",ROUND(P9/2,1)),"")</f>
        <v/>
      </c>
      <c r="R9" s="24" t="str">
        <f aca="false">IFERROR(IF(P9="","",ROUND(P9/2,1)),"")</f>
        <v/>
      </c>
      <c r="S9" s="23"/>
      <c r="T9" s="23"/>
      <c r="U9" s="25" t="n">
        <f aca="false">IFERROR(SUM(IF(Q9="",0,Q9),IF(R9="",0,R9),IF(S9="",0,S9),IF(T9="",0,T9)),0)</f>
        <v>0</v>
      </c>
      <c r="V9" s="25" t="n">
        <f aca="false">IFERROR(IF(U9=0,0,ROUND(U9/11*100,1)),0)</f>
        <v>0</v>
      </c>
      <c r="W9" s="27" t="str">
        <f aca="false">IF(U9=0,"N",IF(V9&gt;=40,"Y","N"))</f>
        <v>N</v>
      </c>
      <c r="X9" s="23"/>
      <c r="Y9" s="23"/>
      <c r="Z9" s="24" t="str">
        <f aca="false">IFERROR(IF(AND(X9="",Y9=""),"",MIN(MAX(IF(X9="",0,X9),IF(Y9="",0,Y9)),5)),"")</f>
        <v/>
      </c>
      <c r="AA9" s="24" t="str">
        <f aca="false">IFERROR(IF(Z9="","",ROUND(Z9/2,1)),"")</f>
        <v/>
      </c>
      <c r="AB9" s="23"/>
      <c r="AC9" s="25" t="n">
        <f aca="false">IFERROR(SUM(IF(Z9="",0,Z9),IF(AB9="",0,AB9)),0)</f>
        <v>0</v>
      </c>
      <c r="AD9" s="25" t="n">
        <f aca="false">IFERROR(IF(AC9=0,0,ROUND(AC9/8*100,1)),0)</f>
        <v>0</v>
      </c>
      <c r="AE9" s="27" t="str">
        <f aca="false">IF(AC9=0,"N",IF(AD9&gt;=40,"Y","N"))</f>
        <v>N</v>
      </c>
      <c r="AF9" s="25" t="n">
        <f aca="false">IFERROR(MIN(SUM(IF(F9="",0,F9),IF(P9="",0,P9),IF(Z9="",0,Z9)),15),0)</f>
        <v>0</v>
      </c>
      <c r="AG9" s="25" t="n">
        <f aca="false">IFERROR(MIN(SUM(IF(G9="",0,G9),IF(H9="",0,H9),IF(Q9="",0,Q9),IF(R9="",0,R9),IF(AA9="",0,AA9)),10),0)</f>
        <v>0</v>
      </c>
      <c r="AH9" s="25" t="n">
        <f aca="false">IFERROR(MIN(SUM(IF(I9="",0,I9),IF(J9="",0,J9),IF(S9="",0,S9),IF(T9="",0,T9),IF(AB9="",0,AB9)),5),0)</f>
        <v>0</v>
      </c>
      <c r="AI9" s="28" t="n">
        <f aca="false">IFERROR(AG9*2+AH9*4,0)</f>
        <v>0</v>
      </c>
      <c r="AJ9" s="29" t="n">
        <f aca="false">IFERROR(IF(AI9=0,0,ROUND(AI9/30*100,1)),0)</f>
        <v>0</v>
      </c>
    </row>
    <row r="10" customFormat="false" ht="18" hidden="false" customHeight="true" outlineLevel="0" collapsed="false">
      <c r="A10" s="30" t="n">
        <v>2</v>
      </c>
      <c r="B10" s="22"/>
      <c r="C10" s="31" t="s">
        <v>10</v>
      </c>
      <c r="D10" s="23"/>
      <c r="E10" s="23"/>
      <c r="F10" s="24" t="str">
        <f aca="false">IFERROR(IF(AND(D10="",E10=""),"",MIN(MAX(IF(D10="",0,D10),IF(E10="",0,E10)),5)),"")</f>
        <v/>
      </c>
      <c r="G10" s="24" t="str">
        <f aca="false">IFERROR(IF(F10="","",ROUND(F10/2,1)),"")</f>
        <v/>
      </c>
      <c r="H10" s="24" t="str">
        <f aca="false">IFERROR(IF(F10="","",ROUND(F10/2,1)),"")</f>
        <v/>
      </c>
      <c r="I10" s="23"/>
      <c r="J10" s="23"/>
      <c r="K10" s="25" t="n">
        <f aca="false">IFERROR(IF(AND(G10="",H10="",I10="",J10=""),0,SUM(IF(G10="",0,G10),IF(H10="",0,H10),IF(I10="",0,I10),IF(J10="",0,J10))),0)</f>
        <v>0</v>
      </c>
      <c r="L10" s="25" t="n">
        <f aca="false">IFERROR(IF(K10=0,0,ROUND(K10/11*100,1)),0)</f>
        <v>0</v>
      </c>
      <c r="M10" s="27" t="str">
        <f aca="false">IF(K10=0,"N",IF(L10&gt;=40,"Y","N"))</f>
        <v>N</v>
      </c>
      <c r="N10" s="23"/>
      <c r="O10" s="23"/>
      <c r="P10" s="24" t="str">
        <f aca="false">IFERROR(IF(AND(N10="",O10=""),"",MIN(MAX(IF(N10="",0,N10),IF(O10="",0,O10)),5)),"")</f>
        <v/>
      </c>
      <c r="Q10" s="24" t="str">
        <f aca="false">IFERROR(IF(P10="","",ROUND(P10/2,1)),"")</f>
        <v/>
      </c>
      <c r="R10" s="24" t="str">
        <f aca="false">IFERROR(IF(P10="","",ROUND(P10/2,1)),"")</f>
        <v/>
      </c>
      <c r="S10" s="23"/>
      <c r="T10" s="23"/>
      <c r="U10" s="25" t="n">
        <f aca="false">IFERROR(SUM(IF(Q10="",0,Q10),IF(R10="",0,R10),IF(S10="",0,S10),IF(T10="",0,T10)),0)</f>
        <v>0</v>
      </c>
      <c r="V10" s="25" t="n">
        <f aca="false">IFERROR(IF(U10=0,0,ROUND(U10/11*100,1)),0)</f>
        <v>0</v>
      </c>
      <c r="W10" s="27" t="str">
        <f aca="false">IF(U10=0,"N",IF(V10&gt;=40,"Y","N"))</f>
        <v>N</v>
      </c>
      <c r="X10" s="23"/>
      <c r="Y10" s="23"/>
      <c r="Z10" s="24" t="str">
        <f aca="false">IFERROR(IF(AND(X10="",Y10=""),"",MIN(MAX(IF(X10="",0,X10),IF(Y10="",0,Y10)),5)),"")</f>
        <v/>
      </c>
      <c r="AA10" s="24" t="str">
        <f aca="false">IFERROR(IF(Z10="","",ROUND(Z10/2,1)),"")</f>
        <v/>
      </c>
      <c r="AB10" s="23"/>
      <c r="AC10" s="25" t="n">
        <f aca="false">IFERROR(SUM(IF(Z10="",0,Z10),IF(AB10="",0,AB10)),0)</f>
        <v>0</v>
      </c>
      <c r="AD10" s="25" t="n">
        <f aca="false">IFERROR(IF(AC10=0,0,ROUND(AC10/8*100,1)),0)</f>
        <v>0</v>
      </c>
      <c r="AE10" s="27" t="str">
        <f aca="false">IF(AC10=0,"N",IF(AD10&gt;=40,"Y","N"))</f>
        <v>N</v>
      </c>
      <c r="AF10" s="25" t="n">
        <f aca="false">IFERROR(MIN(SUM(IF(F10="",0,F10),IF(P10="",0,P10),IF(Z10="",0,Z10)),15),0)</f>
        <v>0</v>
      </c>
      <c r="AG10" s="25" t="n">
        <f aca="false">IFERROR(MIN(SUM(IF(G10="",0,G10),IF(H10="",0,H10),IF(Q10="",0,Q10),IF(R10="",0,R10),IF(AA10="",0,AA10)),10),0)</f>
        <v>0</v>
      </c>
      <c r="AH10" s="25" t="n">
        <f aca="false">IFERROR(MIN(SUM(IF(I10="",0,I10),IF(J10="",0,J10),IF(S10="",0,S10),IF(T10="",0,T10),IF(AB10="",0,AB10)),5),0)</f>
        <v>0</v>
      </c>
      <c r="AI10" s="28" t="n">
        <f aca="false">IFERROR(AG10*2+AH10*4,0)</f>
        <v>0</v>
      </c>
      <c r="AJ10" s="29" t="n">
        <f aca="false">IFERROR(IF(AI10=0,0,ROUND(AI10/30*100,1)),0)</f>
        <v>0</v>
      </c>
    </row>
    <row r="11" customFormat="false" ht="18" hidden="false" customHeight="true" outlineLevel="0" collapsed="false">
      <c r="A11" s="21" t="n">
        <v>3</v>
      </c>
      <c r="B11" s="22"/>
      <c r="C11" s="19" t="s">
        <v>10</v>
      </c>
      <c r="D11" s="23"/>
      <c r="E11" s="23"/>
      <c r="F11" s="24" t="str">
        <f aca="false">IFERROR(IF(AND(D11="",E11=""),"",MIN(MAX(IF(D11="",0,D11),IF(E11="",0,E11)),5)),"")</f>
        <v/>
      </c>
      <c r="G11" s="24" t="str">
        <f aca="false">IFERROR(IF(F11="","",ROUND(F11/2,1)),"")</f>
        <v/>
      </c>
      <c r="H11" s="24" t="str">
        <f aca="false">IFERROR(IF(F11="","",ROUND(F11/2,1)),"")</f>
        <v/>
      </c>
      <c r="I11" s="23"/>
      <c r="J11" s="23"/>
      <c r="K11" s="25" t="n">
        <f aca="false">IFERROR(IF(AND(G11="",H11="",I11="",J11=""),0,SUM(IF(G11="",0,G11),IF(H11="",0,H11),IF(I11="",0,I11),IF(J11="",0,J11))),0)</f>
        <v>0</v>
      </c>
      <c r="L11" s="25" t="n">
        <f aca="false">IFERROR(IF(K11=0,0,ROUND(K11/11*100,1)),0)</f>
        <v>0</v>
      </c>
      <c r="M11" s="27" t="str">
        <f aca="false">IF(K11=0,"N",IF(L11&gt;=40,"Y","N"))</f>
        <v>N</v>
      </c>
      <c r="N11" s="23"/>
      <c r="O11" s="23"/>
      <c r="P11" s="24" t="str">
        <f aca="false">IFERROR(IF(AND(N11="",O11=""),"",MIN(MAX(IF(N11="",0,N11),IF(O11="",0,O11)),5)),"")</f>
        <v/>
      </c>
      <c r="Q11" s="24" t="str">
        <f aca="false">IFERROR(IF(P11="","",ROUND(P11/2,1)),"")</f>
        <v/>
      </c>
      <c r="R11" s="24" t="str">
        <f aca="false">IFERROR(IF(P11="","",ROUND(P11/2,1)),"")</f>
        <v/>
      </c>
      <c r="S11" s="23"/>
      <c r="T11" s="23"/>
      <c r="U11" s="25" t="n">
        <f aca="false">IFERROR(SUM(IF(Q11="",0,Q11),IF(R11="",0,R11),IF(S11="",0,S11),IF(T11="",0,T11)),0)</f>
        <v>0</v>
      </c>
      <c r="V11" s="25" t="n">
        <f aca="false">IFERROR(IF(U11=0,0,ROUND(U11/11*100,1)),0)</f>
        <v>0</v>
      </c>
      <c r="W11" s="27" t="str">
        <f aca="false">IF(U11=0,"N",IF(V11&gt;=40,"Y","N"))</f>
        <v>N</v>
      </c>
      <c r="X11" s="23"/>
      <c r="Y11" s="23"/>
      <c r="Z11" s="24" t="str">
        <f aca="false">IFERROR(IF(AND(X11="",Y11=""),"",MIN(MAX(IF(X11="",0,X11),IF(Y11="",0,Y11)),5)),"")</f>
        <v/>
      </c>
      <c r="AA11" s="24" t="str">
        <f aca="false">IFERROR(IF(Z11="","",ROUND(Z11/2,1)),"")</f>
        <v/>
      </c>
      <c r="AB11" s="23"/>
      <c r="AC11" s="25" t="n">
        <f aca="false">IFERROR(SUM(IF(Z11="",0,Z11),IF(AB11="",0,AB11)),0)</f>
        <v>0</v>
      </c>
      <c r="AD11" s="25" t="n">
        <f aca="false">IFERROR(IF(AC11=0,0,ROUND(AC11/8*100,1)),0)</f>
        <v>0</v>
      </c>
      <c r="AE11" s="27" t="str">
        <f aca="false">IF(AC11=0,"N",IF(AD11&gt;=40,"Y","N"))</f>
        <v>N</v>
      </c>
      <c r="AF11" s="25" t="n">
        <f aca="false">IFERROR(MIN(SUM(IF(F11="",0,F11),IF(P11="",0,P11),IF(Z11="",0,Z11)),15),0)</f>
        <v>0</v>
      </c>
      <c r="AG11" s="25" t="n">
        <f aca="false">IFERROR(MIN(SUM(IF(G11="",0,G11),IF(H11="",0,H11),IF(Q11="",0,Q11),IF(R11="",0,R11),IF(AA11="",0,AA11)),10),0)</f>
        <v>0</v>
      </c>
      <c r="AH11" s="25" t="n">
        <f aca="false">IFERROR(MIN(SUM(IF(I11="",0,I11),IF(J11="",0,J11),IF(S11="",0,S11),IF(T11="",0,T11),IF(AB11="",0,AB11)),5),0)</f>
        <v>0</v>
      </c>
      <c r="AI11" s="28" t="n">
        <f aca="false">IFERROR(AG11*2+AH11*4,0)</f>
        <v>0</v>
      </c>
      <c r="AJ11" s="29" t="n">
        <f aca="false">IFERROR(IF(AI11=0,0,ROUND(AI11/30*100,1)),0)</f>
        <v>0</v>
      </c>
    </row>
    <row r="12" customFormat="false" ht="18" hidden="false" customHeight="true" outlineLevel="0" collapsed="false">
      <c r="A12" s="30" t="n">
        <v>4</v>
      </c>
      <c r="B12" s="22"/>
      <c r="C12" s="31" t="s">
        <v>10</v>
      </c>
      <c r="D12" s="23"/>
      <c r="E12" s="23"/>
      <c r="F12" s="24" t="str">
        <f aca="false">IFERROR(IF(AND(D12="",E12=""),"",MIN(MAX(IF(D12="",0,D12),IF(E12="",0,E12)),5)),"")</f>
        <v/>
      </c>
      <c r="G12" s="24" t="str">
        <f aca="false">IFERROR(IF(F12="","",ROUND(F12/2,1)),"")</f>
        <v/>
      </c>
      <c r="H12" s="24" t="str">
        <f aca="false">IFERROR(IF(F12="","",ROUND(F12/2,1)),"")</f>
        <v/>
      </c>
      <c r="I12" s="23"/>
      <c r="J12" s="23"/>
      <c r="K12" s="25" t="n">
        <f aca="false">IFERROR(IF(AND(G12="",H12="",I12="",J12=""),0,SUM(IF(G12="",0,G12),IF(H12="",0,H12),IF(I12="",0,I12),IF(J12="",0,J12))),0)</f>
        <v>0</v>
      </c>
      <c r="L12" s="25" t="n">
        <f aca="false">IFERROR(IF(K12=0,0,ROUND(K12/11*100,1)),0)</f>
        <v>0</v>
      </c>
      <c r="M12" s="27" t="str">
        <f aca="false">IF(K12=0,"N",IF(L12&gt;=40,"Y","N"))</f>
        <v>N</v>
      </c>
      <c r="N12" s="23"/>
      <c r="O12" s="23"/>
      <c r="P12" s="24" t="str">
        <f aca="false">IFERROR(IF(AND(N12="",O12=""),"",MIN(MAX(IF(N12="",0,N12),IF(O12="",0,O12)),5)),"")</f>
        <v/>
      </c>
      <c r="Q12" s="24" t="str">
        <f aca="false">IFERROR(IF(P12="","",ROUND(P12/2,1)),"")</f>
        <v/>
      </c>
      <c r="R12" s="24" t="str">
        <f aca="false">IFERROR(IF(P12="","",ROUND(P12/2,1)),"")</f>
        <v/>
      </c>
      <c r="S12" s="23"/>
      <c r="T12" s="23"/>
      <c r="U12" s="25" t="n">
        <f aca="false">IFERROR(SUM(IF(Q12="",0,Q12),IF(R12="",0,R12),IF(S12="",0,S12),IF(T12="",0,T12)),0)</f>
        <v>0</v>
      </c>
      <c r="V12" s="25" t="n">
        <f aca="false">IFERROR(IF(U12=0,0,ROUND(U12/11*100,1)),0)</f>
        <v>0</v>
      </c>
      <c r="W12" s="27" t="str">
        <f aca="false">IF(U12=0,"N",IF(V12&gt;=40,"Y","N"))</f>
        <v>N</v>
      </c>
      <c r="X12" s="23"/>
      <c r="Y12" s="23"/>
      <c r="Z12" s="24" t="str">
        <f aca="false">IFERROR(IF(AND(X12="",Y12=""),"",MIN(MAX(IF(X12="",0,X12),IF(Y12="",0,Y12)),5)),"")</f>
        <v/>
      </c>
      <c r="AA12" s="24" t="str">
        <f aca="false">IFERROR(IF(Z12="","",ROUND(Z12/2,1)),"")</f>
        <v/>
      </c>
      <c r="AB12" s="23"/>
      <c r="AC12" s="25" t="n">
        <f aca="false">IFERROR(SUM(IF(Z12="",0,Z12),IF(AB12="",0,AB12)),0)</f>
        <v>0</v>
      </c>
      <c r="AD12" s="25" t="n">
        <f aca="false">IFERROR(IF(AC12=0,0,ROUND(AC12/8*100,1)),0)</f>
        <v>0</v>
      </c>
      <c r="AE12" s="27" t="str">
        <f aca="false">IF(AC12=0,"N",IF(AD12&gt;=40,"Y","N"))</f>
        <v>N</v>
      </c>
      <c r="AF12" s="25" t="n">
        <f aca="false">IFERROR(MIN(SUM(IF(F12="",0,F12),IF(P12="",0,P12),IF(Z12="",0,Z12)),15),0)</f>
        <v>0</v>
      </c>
      <c r="AG12" s="25" t="n">
        <f aca="false">IFERROR(MIN(SUM(IF(G12="",0,G12),IF(H12="",0,H12),IF(Q12="",0,Q12),IF(R12="",0,R12),IF(AA12="",0,AA12)),10),0)</f>
        <v>0</v>
      </c>
      <c r="AH12" s="25" t="n">
        <f aca="false">IFERROR(MIN(SUM(IF(I12="",0,I12),IF(J12="",0,J12),IF(S12="",0,S12),IF(T12="",0,T12),IF(AB12="",0,AB12)),5),0)</f>
        <v>0</v>
      </c>
      <c r="AI12" s="28" t="n">
        <f aca="false">IFERROR(AG12*2+AH12*4,0)</f>
        <v>0</v>
      </c>
      <c r="AJ12" s="29" t="n">
        <f aca="false">IFERROR(IF(AI12=0,0,ROUND(AI12/30*100,1)),0)</f>
        <v>0</v>
      </c>
    </row>
    <row r="13" customFormat="false" ht="18" hidden="false" customHeight="true" outlineLevel="0" collapsed="false">
      <c r="A13" s="21" t="n">
        <v>5</v>
      </c>
      <c r="B13" s="22"/>
      <c r="C13" s="19" t="s">
        <v>10</v>
      </c>
      <c r="D13" s="23"/>
      <c r="E13" s="23"/>
      <c r="F13" s="24" t="str">
        <f aca="false">IFERROR(IF(AND(D13="",E13=""),"",MIN(MAX(IF(D13="",0,D13),IF(E13="",0,E13)),5)),"")</f>
        <v/>
      </c>
      <c r="G13" s="24" t="str">
        <f aca="false">IFERROR(IF(F13="","",ROUND(F13/2,1)),"")</f>
        <v/>
      </c>
      <c r="H13" s="24" t="str">
        <f aca="false">IFERROR(IF(F13="","",ROUND(F13/2,1)),"")</f>
        <v/>
      </c>
      <c r="I13" s="23"/>
      <c r="J13" s="23"/>
      <c r="K13" s="25" t="n">
        <f aca="false">IFERROR(IF(AND(G13="",H13="",I13="",J13=""),0,SUM(IF(G13="",0,G13),IF(H13="",0,H13),IF(I13="",0,I13),IF(J13="",0,J13))),0)</f>
        <v>0</v>
      </c>
      <c r="L13" s="25" t="n">
        <f aca="false">IFERROR(IF(K13=0,0,ROUND(K13/11*100,1)),0)</f>
        <v>0</v>
      </c>
      <c r="M13" s="27" t="str">
        <f aca="false">IF(K13=0,"N",IF(L13&gt;=40,"Y","N"))</f>
        <v>N</v>
      </c>
      <c r="N13" s="23"/>
      <c r="O13" s="23"/>
      <c r="P13" s="24" t="str">
        <f aca="false">IFERROR(IF(AND(N13="",O13=""),"",MIN(MAX(IF(N13="",0,N13),IF(O13="",0,O13)),5)),"")</f>
        <v/>
      </c>
      <c r="Q13" s="24" t="str">
        <f aca="false">IFERROR(IF(P13="","",ROUND(P13/2,1)),"")</f>
        <v/>
      </c>
      <c r="R13" s="24" t="str">
        <f aca="false">IFERROR(IF(P13="","",ROUND(P13/2,1)),"")</f>
        <v/>
      </c>
      <c r="S13" s="23"/>
      <c r="T13" s="23"/>
      <c r="U13" s="25" t="n">
        <f aca="false">IFERROR(SUM(IF(Q13="",0,Q13),IF(R13="",0,R13),IF(S13="",0,S13),IF(T13="",0,T13)),0)</f>
        <v>0</v>
      </c>
      <c r="V13" s="25" t="n">
        <f aca="false">IFERROR(IF(U13=0,0,ROUND(U13/11*100,1)),0)</f>
        <v>0</v>
      </c>
      <c r="W13" s="27" t="str">
        <f aca="false">IF(U13=0,"N",IF(V13&gt;=40,"Y","N"))</f>
        <v>N</v>
      </c>
      <c r="X13" s="23"/>
      <c r="Y13" s="23"/>
      <c r="Z13" s="24" t="str">
        <f aca="false">IFERROR(IF(AND(X13="",Y13=""),"",MIN(MAX(IF(X13="",0,X13),IF(Y13="",0,Y13)),5)),"")</f>
        <v/>
      </c>
      <c r="AA13" s="24" t="str">
        <f aca="false">IFERROR(IF(Z13="","",ROUND(Z13/2,1)),"")</f>
        <v/>
      </c>
      <c r="AB13" s="23"/>
      <c r="AC13" s="25" t="n">
        <f aca="false">IFERROR(SUM(IF(Z13="",0,Z13),IF(AB13="",0,AB13)),0)</f>
        <v>0</v>
      </c>
      <c r="AD13" s="25" t="n">
        <f aca="false">IFERROR(IF(AC13=0,0,ROUND(AC13/8*100,1)),0)</f>
        <v>0</v>
      </c>
      <c r="AE13" s="27" t="str">
        <f aca="false">IF(AC13=0,"N",IF(AD13&gt;=40,"Y","N"))</f>
        <v>N</v>
      </c>
      <c r="AF13" s="25" t="n">
        <f aca="false">IFERROR(MIN(SUM(IF(F13="",0,F13),IF(P13="",0,P13),IF(Z13="",0,Z13)),15),0)</f>
        <v>0</v>
      </c>
      <c r="AG13" s="25" t="n">
        <f aca="false">IFERROR(MIN(SUM(IF(G13="",0,G13),IF(H13="",0,H13),IF(Q13="",0,Q13),IF(R13="",0,R13),IF(AA13="",0,AA13)),10),0)</f>
        <v>0</v>
      </c>
      <c r="AH13" s="25" t="n">
        <f aca="false">IFERROR(MIN(SUM(IF(I13="",0,I13),IF(J13="",0,J13),IF(S13="",0,S13),IF(T13="",0,T13),IF(AB13="",0,AB13)),5),0)</f>
        <v>0</v>
      </c>
      <c r="AI13" s="28" t="n">
        <f aca="false">IFERROR(AG13*2+AH13*4,0)</f>
        <v>0</v>
      </c>
      <c r="AJ13" s="29" t="n">
        <f aca="false">IFERROR(IF(AI13=0,0,ROUND(AI13/30*100,1)),0)</f>
        <v>0</v>
      </c>
    </row>
    <row r="14" customFormat="false" ht="18" hidden="false" customHeight="true" outlineLevel="0" collapsed="false">
      <c r="A14" s="30" t="n">
        <v>6</v>
      </c>
      <c r="B14" s="22"/>
      <c r="C14" s="31" t="s">
        <v>10</v>
      </c>
      <c r="D14" s="23"/>
      <c r="E14" s="23"/>
      <c r="F14" s="24" t="str">
        <f aca="false">IFERROR(IF(AND(D14="",E14=""),"",MIN(MAX(IF(D14="",0,D14),IF(E14="",0,E14)),5)),"")</f>
        <v/>
      </c>
      <c r="G14" s="24" t="str">
        <f aca="false">IFERROR(IF(F14="","",ROUND(F14/2,1)),"")</f>
        <v/>
      </c>
      <c r="H14" s="24" t="str">
        <f aca="false">IFERROR(IF(F14="","",ROUND(F14/2,1)),"")</f>
        <v/>
      </c>
      <c r="I14" s="23"/>
      <c r="J14" s="23"/>
      <c r="K14" s="25" t="n">
        <f aca="false">IFERROR(IF(AND(G14="",H14="",I14="",J14=""),0,SUM(IF(G14="",0,G14),IF(H14="",0,H14),IF(I14="",0,I14),IF(J14="",0,J14))),0)</f>
        <v>0</v>
      </c>
      <c r="L14" s="25" t="n">
        <f aca="false">IFERROR(IF(K14=0,0,ROUND(K14/11*100,1)),0)</f>
        <v>0</v>
      </c>
      <c r="M14" s="27" t="str">
        <f aca="false">IF(K14=0,"N",IF(L14&gt;=40,"Y","N"))</f>
        <v>N</v>
      </c>
      <c r="N14" s="23"/>
      <c r="O14" s="23"/>
      <c r="P14" s="24" t="str">
        <f aca="false">IFERROR(IF(AND(N14="",O14=""),"",MIN(MAX(IF(N14="",0,N14),IF(O14="",0,O14)),5)),"")</f>
        <v/>
      </c>
      <c r="Q14" s="24" t="str">
        <f aca="false">IFERROR(IF(P14="","",ROUND(P14/2,1)),"")</f>
        <v/>
      </c>
      <c r="R14" s="24" t="str">
        <f aca="false">IFERROR(IF(P14="","",ROUND(P14/2,1)),"")</f>
        <v/>
      </c>
      <c r="S14" s="23"/>
      <c r="T14" s="23"/>
      <c r="U14" s="25" t="n">
        <f aca="false">IFERROR(SUM(IF(Q14="",0,Q14),IF(R14="",0,R14),IF(S14="",0,S14),IF(T14="",0,T14)),0)</f>
        <v>0</v>
      </c>
      <c r="V14" s="25" t="n">
        <f aca="false">IFERROR(IF(U14=0,0,ROUND(U14/11*100,1)),0)</f>
        <v>0</v>
      </c>
      <c r="W14" s="27" t="str">
        <f aca="false">IF(U14=0,"N",IF(V14&gt;=40,"Y","N"))</f>
        <v>N</v>
      </c>
      <c r="X14" s="23"/>
      <c r="Y14" s="23"/>
      <c r="Z14" s="24" t="str">
        <f aca="false">IFERROR(IF(AND(X14="",Y14=""),"",MIN(MAX(IF(X14="",0,X14),IF(Y14="",0,Y14)),5)),"")</f>
        <v/>
      </c>
      <c r="AA14" s="24" t="str">
        <f aca="false">IFERROR(IF(Z14="","",ROUND(Z14/2,1)),"")</f>
        <v/>
      </c>
      <c r="AB14" s="23"/>
      <c r="AC14" s="25" t="n">
        <f aca="false">IFERROR(SUM(IF(Z14="",0,Z14),IF(AB14="",0,AB14)),0)</f>
        <v>0</v>
      </c>
      <c r="AD14" s="25" t="n">
        <f aca="false">IFERROR(IF(AC14=0,0,ROUND(AC14/8*100,1)),0)</f>
        <v>0</v>
      </c>
      <c r="AE14" s="27" t="str">
        <f aca="false">IF(AC14=0,"N",IF(AD14&gt;=40,"Y","N"))</f>
        <v>N</v>
      </c>
      <c r="AF14" s="25" t="n">
        <f aca="false">IFERROR(MIN(SUM(IF(F14="",0,F14),IF(P14="",0,P14),IF(Z14="",0,Z14)),15),0)</f>
        <v>0</v>
      </c>
      <c r="AG14" s="25" t="n">
        <f aca="false">IFERROR(MIN(SUM(IF(G14="",0,G14),IF(H14="",0,H14),IF(Q14="",0,Q14),IF(R14="",0,R14),IF(AA14="",0,AA14)),10),0)</f>
        <v>0</v>
      </c>
      <c r="AH14" s="25" t="n">
        <f aca="false">IFERROR(MIN(SUM(IF(I14="",0,I14),IF(J14="",0,J14),IF(S14="",0,S14),IF(T14="",0,T14),IF(AB14="",0,AB14)),5),0)</f>
        <v>0</v>
      </c>
      <c r="AI14" s="28" t="n">
        <f aca="false">IFERROR(AG14*2+AH14*4,0)</f>
        <v>0</v>
      </c>
      <c r="AJ14" s="29" t="n">
        <f aca="false">IFERROR(IF(AI14=0,0,ROUND(AI14/30*100,1)),0)</f>
        <v>0</v>
      </c>
    </row>
    <row r="15" customFormat="false" ht="18" hidden="false" customHeight="true" outlineLevel="0" collapsed="false">
      <c r="A15" s="21" t="n">
        <v>7</v>
      </c>
      <c r="B15" s="22"/>
      <c r="C15" s="19" t="s">
        <v>10</v>
      </c>
      <c r="D15" s="23"/>
      <c r="E15" s="23"/>
      <c r="F15" s="24" t="str">
        <f aca="false">IFERROR(IF(AND(D15="",E15=""),"",MIN(MAX(IF(D15="",0,D15),IF(E15="",0,E15)),5)),"")</f>
        <v/>
      </c>
      <c r="G15" s="24" t="str">
        <f aca="false">IFERROR(IF(F15="","",ROUND(F15/2,1)),"")</f>
        <v/>
      </c>
      <c r="H15" s="24" t="str">
        <f aca="false">IFERROR(IF(F15="","",ROUND(F15/2,1)),"")</f>
        <v/>
      </c>
      <c r="I15" s="23"/>
      <c r="J15" s="23"/>
      <c r="K15" s="25" t="n">
        <f aca="false">IFERROR(IF(AND(G15="",H15="",I15="",J15=""),0,SUM(IF(G15="",0,G15),IF(H15="",0,H15),IF(I15="",0,I15),IF(J15="",0,J15))),0)</f>
        <v>0</v>
      </c>
      <c r="L15" s="25" t="n">
        <f aca="false">IFERROR(IF(K15=0,0,ROUND(K15/11*100,1)),0)</f>
        <v>0</v>
      </c>
      <c r="M15" s="27" t="str">
        <f aca="false">IF(K15=0,"N",IF(L15&gt;=40,"Y","N"))</f>
        <v>N</v>
      </c>
      <c r="N15" s="23"/>
      <c r="O15" s="23"/>
      <c r="P15" s="24" t="str">
        <f aca="false">IFERROR(IF(AND(N15="",O15=""),"",MIN(MAX(IF(N15="",0,N15),IF(O15="",0,O15)),5)),"")</f>
        <v/>
      </c>
      <c r="Q15" s="24" t="str">
        <f aca="false">IFERROR(IF(P15="","",ROUND(P15/2,1)),"")</f>
        <v/>
      </c>
      <c r="R15" s="24" t="str">
        <f aca="false">IFERROR(IF(P15="","",ROUND(P15/2,1)),"")</f>
        <v/>
      </c>
      <c r="S15" s="23"/>
      <c r="T15" s="23"/>
      <c r="U15" s="25" t="n">
        <f aca="false">IFERROR(SUM(IF(Q15="",0,Q15),IF(R15="",0,R15),IF(S15="",0,S15),IF(T15="",0,T15)),0)</f>
        <v>0</v>
      </c>
      <c r="V15" s="25" t="n">
        <f aca="false">IFERROR(IF(U15=0,0,ROUND(U15/11*100,1)),0)</f>
        <v>0</v>
      </c>
      <c r="W15" s="27" t="str">
        <f aca="false">IF(U15=0,"N",IF(V15&gt;=40,"Y","N"))</f>
        <v>N</v>
      </c>
      <c r="X15" s="23"/>
      <c r="Y15" s="23"/>
      <c r="Z15" s="24" t="str">
        <f aca="false">IFERROR(IF(AND(X15="",Y15=""),"",MIN(MAX(IF(X15="",0,X15),IF(Y15="",0,Y15)),5)),"")</f>
        <v/>
      </c>
      <c r="AA15" s="24" t="str">
        <f aca="false">IFERROR(IF(Z15="","",ROUND(Z15/2,1)),"")</f>
        <v/>
      </c>
      <c r="AB15" s="23"/>
      <c r="AC15" s="25" t="n">
        <f aca="false">IFERROR(SUM(IF(Z15="",0,Z15),IF(AB15="",0,AB15)),0)</f>
        <v>0</v>
      </c>
      <c r="AD15" s="25" t="n">
        <f aca="false">IFERROR(IF(AC15=0,0,ROUND(AC15/8*100,1)),0)</f>
        <v>0</v>
      </c>
      <c r="AE15" s="27" t="str">
        <f aca="false">IF(AC15=0,"N",IF(AD15&gt;=40,"Y","N"))</f>
        <v>N</v>
      </c>
      <c r="AF15" s="25" t="n">
        <f aca="false">IFERROR(MIN(SUM(IF(F15="",0,F15),IF(P15="",0,P15),IF(Z15="",0,Z15)),15),0)</f>
        <v>0</v>
      </c>
      <c r="AG15" s="25" t="n">
        <f aca="false">IFERROR(MIN(SUM(IF(G15="",0,G15),IF(H15="",0,H15),IF(Q15="",0,Q15),IF(R15="",0,R15),IF(AA15="",0,AA15)),10),0)</f>
        <v>0</v>
      </c>
      <c r="AH15" s="25" t="n">
        <f aca="false">IFERROR(MIN(SUM(IF(I15="",0,I15),IF(J15="",0,J15),IF(S15="",0,S15),IF(T15="",0,T15),IF(AB15="",0,AB15)),5),0)</f>
        <v>0</v>
      </c>
      <c r="AI15" s="28" t="n">
        <f aca="false">IFERROR(AG15*2+AH15*4,0)</f>
        <v>0</v>
      </c>
      <c r="AJ15" s="29" t="n">
        <f aca="false">IFERROR(IF(AI15=0,0,ROUND(AI15/30*100,1)),0)</f>
        <v>0</v>
      </c>
    </row>
    <row r="16" customFormat="false" ht="18" hidden="false" customHeight="true" outlineLevel="0" collapsed="false">
      <c r="A16" s="30" t="n">
        <v>8</v>
      </c>
      <c r="B16" s="22"/>
      <c r="C16" s="31" t="s">
        <v>10</v>
      </c>
      <c r="D16" s="23"/>
      <c r="E16" s="23"/>
      <c r="F16" s="24" t="str">
        <f aca="false">IFERROR(IF(AND(D16="",E16=""),"",MIN(MAX(IF(D16="",0,D16),IF(E16="",0,E16)),5)),"")</f>
        <v/>
      </c>
      <c r="G16" s="24" t="str">
        <f aca="false">IFERROR(IF(F16="","",ROUND(F16/2,1)),"")</f>
        <v/>
      </c>
      <c r="H16" s="24" t="str">
        <f aca="false">IFERROR(IF(F16="","",ROUND(F16/2,1)),"")</f>
        <v/>
      </c>
      <c r="I16" s="23"/>
      <c r="J16" s="23"/>
      <c r="K16" s="25" t="n">
        <f aca="false">IFERROR(IF(AND(G16="",H16="",I16="",J16=""),0,SUM(IF(G16="",0,G16),IF(H16="",0,H16),IF(I16="",0,I16),IF(J16="",0,J16))),0)</f>
        <v>0</v>
      </c>
      <c r="L16" s="25" t="n">
        <f aca="false">IFERROR(IF(K16=0,0,ROUND(K16/11*100,1)),0)</f>
        <v>0</v>
      </c>
      <c r="M16" s="27" t="str">
        <f aca="false">IF(K16=0,"N",IF(L16&gt;=40,"Y","N"))</f>
        <v>N</v>
      </c>
      <c r="N16" s="23"/>
      <c r="O16" s="23"/>
      <c r="P16" s="24" t="str">
        <f aca="false">IFERROR(IF(AND(N16="",O16=""),"",MIN(MAX(IF(N16="",0,N16),IF(O16="",0,O16)),5)),"")</f>
        <v/>
      </c>
      <c r="Q16" s="24" t="str">
        <f aca="false">IFERROR(IF(P16="","",ROUND(P16/2,1)),"")</f>
        <v/>
      </c>
      <c r="R16" s="24" t="str">
        <f aca="false">IFERROR(IF(P16="","",ROUND(P16/2,1)),"")</f>
        <v/>
      </c>
      <c r="S16" s="23"/>
      <c r="T16" s="23"/>
      <c r="U16" s="25" t="n">
        <f aca="false">IFERROR(SUM(IF(Q16="",0,Q16),IF(R16="",0,R16),IF(S16="",0,S16),IF(T16="",0,T16)),0)</f>
        <v>0</v>
      </c>
      <c r="V16" s="25" t="n">
        <f aca="false">IFERROR(IF(U16=0,0,ROUND(U16/11*100,1)),0)</f>
        <v>0</v>
      </c>
      <c r="W16" s="27" t="str">
        <f aca="false">IF(U16=0,"N",IF(V16&gt;=40,"Y","N"))</f>
        <v>N</v>
      </c>
      <c r="X16" s="23"/>
      <c r="Y16" s="23"/>
      <c r="Z16" s="24" t="str">
        <f aca="false">IFERROR(IF(AND(X16="",Y16=""),"",MIN(MAX(IF(X16="",0,X16),IF(Y16="",0,Y16)),5)),"")</f>
        <v/>
      </c>
      <c r="AA16" s="24" t="str">
        <f aca="false">IFERROR(IF(Z16="","",ROUND(Z16/2,1)),"")</f>
        <v/>
      </c>
      <c r="AB16" s="23"/>
      <c r="AC16" s="25" t="n">
        <f aca="false">IFERROR(SUM(IF(Z16="",0,Z16),IF(AB16="",0,AB16)),0)</f>
        <v>0</v>
      </c>
      <c r="AD16" s="25" t="n">
        <f aca="false">IFERROR(IF(AC16=0,0,ROUND(AC16/8*100,1)),0)</f>
        <v>0</v>
      </c>
      <c r="AE16" s="27" t="str">
        <f aca="false">IF(AC16=0,"N",IF(AD16&gt;=40,"Y","N"))</f>
        <v>N</v>
      </c>
      <c r="AF16" s="25" t="n">
        <f aca="false">IFERROR(MIN(SUM(IF(F16="",0,F16),IF(P16="",0,P16),IF(Z16="",0,Z16)),15),0)</f>
        <v>0</v>
      </c>
      <c r="AG16" s="25" t="n">
        <f aca="false">IFERROR(MIN(SUM(IF(G16="",0,G16),IF(H16="",0,H16),IF(Q16="",0,Q16),IF(R16="",0,R16),IF(AA16="",0,AA16)),10),0)</f>
        <v>0</v>
      </c>
      <c r="AH16" s="25" t="n">
        <f aca="false">IFERROR(MIN(SUM(IF(I16="",0,I16),IF(J16="",0,J16),IF(S16="",0,S16),IF(T16="",0,T16),IF(AB16="",0,AB16)),5),0)</f>
        <v>0</v>
      </c>
      <c r="AI16" s="28" t="n">
        <f aca="false">IFERROR(AG16*2+AH16*4,0)</f>
        <v>0</v>
      </c>
      <c r="AJ16" s="29" t="n">
        <f aca="false">IFERROR(IF(AI16=0,0,ROUND(AI16/30*100,1)),0)</f>
        <v>0</v>
      </c>
    </row>
    <row r="17" customFormat="false" ht="18" hidden="false" customHeight="true" outlineLevel="0" collapsed="false">
      <c r="A17" s="21" t="n">
        <v>9</v>
      </c>
      <c r="B17" s="22"/>
      <c r="C17" s="19" t="s">
        <v>10</v>
      </c>
      <c r="D17" s="23"/>
      <c r="E17" s="23"/>
      <c r="F17" s="24" t="str">
        <f aca="false">IFERROR(IF(AND(D17="",E17=""),"",MIN(MAX(IF(D17="",0,D17),IF(E17="",0,E17)),5)),"")</f>
        <v/>
      </c>
      <c r="G17" s="24" t="str">
        <f aca="false">IFERROR(IF(F17="","",ROUND(F17/2,1)),"")</f>
        <v/>
      </c>
      <c r="H17" s="24" t="str">
        <f aca="false">IFERROR(IF(F17="","",ROUND(F17/2,1)),"")</f>
        <v/>
      </c>
      <c r="I17" s="23"/>
      <c r="J17" s="23"/>
      <c r="K17" s="25" t="n">
        <f aca="false">IFERROR(IF(AND(G17="",H17="",I17="",J17=""),0,SUM(IF(G17="",0,G17),IF(H17="",0,H17),IF(I17="",0,I17),IF(J17="",0,J17))),0)</f>
        <v>0</v>
      </c>
      <c r="L17" s="25" t="n">
        <f aca="false">IFERROR(IF(K17=0,0,ROUND(K17/11*100,1)),0)</f>
        <v>0</v>
      </c>
      <c r="M17" s="27" t="str">
        <f aca="false">IF(K17=0,"N",IF(L17&gt;=40,"Y","N"))</f>
        <v>N</v>
      </c>
      <c r="N17" s="23"/>
      <c r="O17" s="23"/>
      <c r="P17" s="24" t="str">
        <f aca="false">IFERROR(IF(AND(N17="",O17=""),"",MIN(MAX(IF(N17="",0,N17),IF(O17="",0,O17)),5)),"")</f>
        <v/>
      </c>
      <c r="Q17" s="24" t="str">
        <f aca="false">IFERROR(IF(P17="","",ROUND(P17/2,1)),"")</f>
        <v/>
      </c>
      <c r="R17" s="24" t="str">
        <f aca="false">IFERROR(IF(P17="","",ROUND(P17/2,1)),"")</f>
        <v/>
      </c>
      <c r="S17" s="23"/>
      <c r="T17" s="23"/>
      <c r="U17" s="25" t="n">
        <f aca="false">IFERROR(SUM(IF(Q17="",0,Q17),IF(R17="",0,R17),IF(S17="",0,S17),IF(T17="",0,T17)),0)</f>
        <v>0</v>
      </c>
      <c r="V17" s="25" t="n">
        <f aca="false">IFERROR(IF(U17=0,0,ROUND(U17/11*100,1)),0)</f>
        <v>0</v>
      </c>
      <c r="W17" s="27" t="str">
        <f aca="false">IF(U17=0,"N",IF(V17&gt;=40,"Y","N"))</f>
        <v>N</v>
      </c>
      <c r="X17" s="23"/>
      <c r="Y17" s="23"/>
      <c r="Z17" s="24" t="str">
        <f aca="false">IFERROR(IF(AND(X17="",Y17=""),"",MIN(MAX(IF(X17="",0,X17),IF(Y17="",0,Y17)),5)),"")</f>
        <v/>
      </c>
      <c r="AA17" s="24" t="str">
        <f aca="false">IFERROR(IF(Z17="","",ROUND(Z17/2,1)),"")</f>
        <v/>
      </c>
      <c r="AB17" s="23"/>
      <c r="AC17" s="25" t="n">
        <f aca="false">IFERROR(SUM(IF(Z17="",0,Z17),IF(AB17="",0,AB17)),0)</f>
        <v>0</v>
      </c>
      <c r="AD17" s="25" t="n">
        <f aca="false">IFERROR(IF(AC17=0,0,ROUND(AC17/8*100,1)),0)</f>
        <v>0</v>
      </c>
      <c r="AE17" s="27" t="str">
        <f aca="false">IF(AC17=0,"N",IF(AD17&gt;=40,"Y","N"))</f>
        <v>N</v>
      </c>
      <c r="AF17" s="25" t="n">
        <f aca="false">IFERROR(MIN(SUM(IF(F17="",0,F17),IF(P17="",0,P17),IF(Z17="",0,Z17)),15),0)</f>
        <v>0</v>
      </c>
      <c r="AG17" s="25" t="n">
        <f aca="false">IFERROR(MIN(SUM(IF(G17="",0,G17),IF(H17="",0,H17),IF(Q17="",0,Q17),IF(R17="",0,R17),IF(AA17="",0,AA17)),10),0)</f>
        <v>0</v>
      </c>
      <c r="AH17" s="25" t="n">
        <f aca="false">IFERROR(MIN(SUM(IF(I17="",0,I17),IF(J17="",0,J17),IF(S17="",0,S17),IF(T17="",0,T17),IF(AB17="",0,AB17)),5),0)</f>
        <v>0</v>
      </c>
      <c r="AI17" s="28" t="n">
        <f aca="false">IFERROR(AG17*2+AH17*4,0)</f>
        <v>0</v>
      </c>
      <c r="AJ17" s="29" t="n">
        <f aca="false">IFERROR(IF(AI17=0,0,ROUND(AI17/30*100,1)),0)</f>
        <v>0</v>
      </c>
    </row>
    <row r="18" customFormat="false" ht="18" hidden="false" customHeight="true" outlineLevel="0" collapsed="false">
      <c r="A18" s="30" t="n">
        <v>10</v>
      </c>
      <c r="B18" s="22"/>
      <c r="C18" s="31" t="s">
        <v>10</v>
      </c>
      <c r="D18" s="23"/>
      <c r="E18" s="23"/>
      <c r="F18" s="24" t="str">
        <f aca="false">IFERROR(IF(AND(D18="",E18=""),"",MIN(MAX(IF(D18="",0,D18),IF(E18="",0,E18)),5)),"")</f>
        <v/>
      </c>
      <c r="G18" s="24" t="str">
        <f aca="false">IFERROR(IF(F18="","",ROUND(F18/2,1)),"")</f>
        <v/>
      </c>
      <c r="H18" s="24" t="str">
        <f aca="false">IFERROR(IF(F18="","",ROUND(F18/2,1)),"")</f>
        <v/>
      </c>
      <c r="I18" s="23"/>
      <c r="J18" s="23"/>
      <c r="K18" s="25" t="n">
        <f aca="false">IFERROR(IF(AND(G18="",H18="",I18="",J18=""),0,SUM(IF(G18="",0,G18),IF(H18="",0,H18),IF(I18="",0,I18),IF(J18="",0,J18))),0)</f>
        <v>0</v>
      </c>
      <c r="L18" s="25" t="n">
        <f aca="false">IFERROR(IF(K18=0,0,ROUND(K18/11*100,1)),0)</f>
        <v>0</v>
      </c>
      <c r="M18" s="27" t="str">
        <f aca="false">IF(K18=0,"N",IF(L18&gt;=40,"Y","N"))</f>
        <v>N</v>
      </c>
      <c r="N18" s="23"/>
      <c r="O18" s="23"/>
      <c r="P18" s="24" t="str">
        <f aca="false">IFERROR(IF(AND(N18="",O18=""),"",MIN(MAX(IF(N18="",0,N18),IF(O18="",0,O18)),5)),"")</f>
        <v/>
      </c>
      <c r="Q18" s="24" t="str">
        <f aca="false">IFERROR(IF(P18="","",ROUND(P18/2,1)),"")</f>
        <v/>
      </c>
      <c r="R18" s="24" t="str">
        <f aca="false">IFERROR(IF(P18="","",ROUND(P18/2,1)),"")</f>
        <v/>
      </c>
      <c r="S18" s="23"/>
      <c r="T18" s="23"/>
      <c r="U18" s="25" t="n">
        <f aca="false">IFERROR(SUM(IF(Q18="",0,Q18),IF(R18="",0,R18),IF(S18="",0,S18),IF(T18="",0,T18)),0)</f>
        <v>0</v>
      </c>
      <c r="V18" s="25" t="n">
        <f aca="false">IFERROR(IF(U18=0,0,ROUND(U18/11*100,1)),0)</f>
        <v>0</v>
      </c>
      <c r="W18" s="27" t="str">
        <f aca="false">IF(U18=0,"N",IF(V18&gt;=40,"Y","N"))</f>
        <v>N</v>
      </c>
      <c r="X18" s="23"/>
      <c r="Y18" s="23"/>
      <c r="Z18" s="24" t="str">
        <f aca="false">IFERROR(IF(AND(X18="",Y18=""),"",MIN(MAX(IF(X18="",0,X18),IF(Y18="",0,Y18)),5)),"")</f>
        <v/>
      </c>
      <c r="AA18" s="24" t="str">
        <f aca="false">IFERROR(IF(Z18="","",ROUND(Z18/2,1)),"")</f>
        <v/>
      </c>
      <c r="AB18" s="23"/>
      <c r="AC18" s="25" t="n">
        <f aca="false">IFERROR(SUM(IF(Z18="",0,Z18),IF(AB18="",0,AB18)),0)</f>
        <v>0</v>
      </c>
      <c r="AD18" s="25" t="n">
        <f aca="false">IFERROR(IF(AC18=0,0,ROUND(AC18/8*100,1)),0)</f>
        <v>0</v>
      </c>
      <c r="AE18" s="27" t="str">
        <f aca="false">IF(AC18=0,"N",IF(AD18&gt;=40,"Y","N"))</f>
        <v>N</v>
      </c>
      <c r="AF18" s="25" t="n">
        <f aca="false">IFERROR(MIN(SUM(IF(F18="",0,F18),IF(P18="",0,P18),IF(Z18="",0,Z18)),15),0)</f>
        <v>0</v>
      </c>
      <c r="AG18" s="25" t="n">
        <f aca="false">IFERROR(MIN(SUM(IF(G18="",0,G18),IF(H18="",0,H18),IF(Q18="",0,Q18),IF(R18="",0,R18),IF(AA18="",0,AA18)),10),0)</f>
        <v>0</v>
      </c>
      <c r="AH18" s="25" t="n">
        <f aca="false">IFERROR(MIN(SUM(IF(I18="",0,I18),IF(J18="",0,J18),IF(S18="",0,S18),IF(T18="",0,T18),IF(AB18="",0,AB18)),5),0)</f>
        <v>0</v>
      </c>
      <c r="AI18" s="28" t="n">
        <f aca="false">IFERROR(AG18*2+AH18*4,0)</f>
        <v>0</v>
      </c>
      <c r="AJ18" s="29" t="n">
        <f aca="false">IFERROR(IF(AI18=0,0,ROUND(AI18/30*100,1)),0)</f>
        <v>0</v>
      </c>
    </row>
    <row r="19" customFormat="false" ht="18" hidden="false" customHeight="true" outlineLevel="0" collapsed="false">
      <c r="A19" s="21" t="n">
        <v>11</v>
      </c>
      <c r="B19" s="22"/>
      <c r="C19" s="19" t="s">
        <v>10</v>
      </c>
      <c r="D19" s="23"/>
      <c r="E19" s="23"/>
      <c r="F19" s="24" t="str">
        <f aca="false">IFERROR(IF(AND(D19="",E19=""),"",MIN(MAX(IF(D19="",0,D19),IF(E19="",0,E19)),5)),"")</f>
        <v/>
      </c>
      <c r="G19" s="24" t="str">
        <f aca="false">IFERROR(IF(F19="","",ROUND(F19/2,1)),"")</f>
        <v/>
      </c>
      <c r="H19" s="24" t="str">
        <f aca="false">IFERROR(IF(F19="","",ROUND(F19/2,1)),"")</f>
        <v/>
      </c>
      <c r="I19" s="23"/>
      <c r="J19" s="23"/>
      <c r="K19" s="25" t="n">
        <f aca="false">IFERROR(IF(AND(G19="",H19="",I19="",J19=""),0,SUM(IF(G19="",0,G19),IF(H19="",0,H19),IF(I19="",0,I19),IF(J19="",0,J19))),0)</f>
        <v>0</v>
      </c>
      <c r="L19" s="25" t="n">
        <f aca="false">IFERROR(IF(K19=0,0,ROUND(K19/11*100,1)),0)</f>
        <v>0</v>
      </c>
      <c r="M19" s="27" t="str">
        <f aca="false">IF(K19=0,"N",IF(L19&gt;=40,"Y","N"))</f>
        <v>N</v>
      </c>
      <c r="N19" s="23"/>
      <c r="O19" s="23"/>
      <c r="P19" s="24" t="str">
        <f aca="false">IFERROR(IF(AND(N19="",O19=""),"",MIN(MAX(IF(N19="",0,N19),IF(O19="",0,O19)),5)),"")</f>
        <v/>
      </c>
      <c r="Q19" s="24" t="str">
        <f aca="false">IFERROR(IF(P19="","",ROUND(P19/2,1)),"")</f>
        <v/>
      </c>
      <c r="R19" s="24" t="str">
        <f aca="false">IFERROR(IF(P19="","",ROUND(P19/2,1)),"")</f>
        <v/>
      </c>
      <c r="S19" s="23"/>
      <c r="T19" s="23"/>
      <c r="U19" s="25" t="n">
        <f aca="false">IFERROR(SUM(IF(Q19="",0,Q19),IF(R19="",0,R19),IF(S19="",0,S19),IF(T19="",0,T19)),0)</f>
        <v>0</v>
      </c>
      <c r="V19" s="25" t="n">
        <f aca="false">IFERROR(IF(U19=0,0,ROUND(U19/11*100,1)),0)</f>
        <v>0</v>
      </c>
      <c r="W19" s="27" t="str">
        <f aca="false">IF(U19=0,"N",IF(V19&gt;=40,"Y","N"))</f>
        <v>N</v>
      </c>
      <c r="X19" s="23"/>
      <c r="Y19" s="23"/>
      <c r="Z19" s="24" t="str">
        <f aca="false">IFERROR(IF(AND(X19="",Y19=""),"",MIN(MAX(IF(X19="",0,X19),IF(Y19="",0,Y19)),5)),"")</f>
        <v/>
      </c>
      <c r="AA19" s="24" t="str">
        <f aca="false">IFERROR(IF(Z19="","",ROUND(Z19/2,1)),"")</f>
        <v/>
      </c>
      <c r="AB19" s="23"/>
      <c r="AC19" s="25" t="n">
        <f aca="false">IFERROR(SUM(IF(Z19="",0,Z19),IF(AB19="",0,AB19)),0)</f>
        <v>0</v>
      </c>
      <c r="AD19" s="25" t="n">
        <f aca="false">IFERROR(IF(AC19=0,0,ROUND(AC19/8*100,1)),0)</f>
        <v>0</v>
      </c>
      <c r="AE19" s="27" t="str">
        <f aca="false">IF(AC19=0,"N",IF(AD19&gt;=40,"Y","N"))</f>
        <v>N</v>
      </c>
      <c r="AF19" s="25" t="n">
        <f aca="false">IFERROR(MIN(SUM(IF(F19="",0,F19),IF(P19="",0,P19),IF(Z19="",0,Z19)),15),0)</f>
        <v>0</v>
      </c>
      <c r="AG19" s="25" t="n">
        <f aca="false">IFERROR(MIN(SUM(IF(G19="",0,G19),IF(H19="",0,H19),IF(Q19="",0,Q19),IF(R19="",0,R19),IF(AA19="",0,AA19)),10),0)</f>
        <v>0</v>
      </c>
      <c r="AH19" s="25" t="n">
        <f aca="false">IFERROR(MIN(SUM(IF(I19="",0,I19),IF(J19="",0,J19),IF(S19="",0,S19),IF(T19="",0,T19),IF(AB19="",0,AB19)),5),0)</f>
        <v>0</v>
      </c>
      <c r="AI19" s="28" t="n">
        <f aca="false">IFERROR(AG19*2+AH19*4,0)</f>
        <v>0</v>
      </c>
      <c r="AJ19" s="29" t="n">
        <f aca="false">IFERROR(IF(AI19=0,0,ROUND(AI19/30*100,1)),0)</f>
        <v>0</v>
      </c>
    </row>
    <row r="20" customFormat="false" ht="18" hidden="false" customHeight="true" outlineLevel="0" collapsed="false">
      <c r="A20" s="30" t="n">
        <v>12</v>
      </c>
      <c r="B20" s="22"/>
      <c r="C20" s="31" t="s">
        <v>10</v>
      </c>
      <c r="D20" s="23"/>
      <c r="E20" s="23"/>
      <c r="F20" s="24" t="str">
        <f aca="false">IFERROR(IF(AND(D20="",E20=""),"",MIN(MAX(IF(D20="",0,D20),IF(E20="",0,E20)),5)),"")</f>
        <v/>
      </c>
      <c r="G20" s="24" t="str">
        <f aca="false">IFERROR(IF(F20="","",ROUND(F20/2,1)),"")</f>
        <v/>
      </c>
      <c r="H20" s="24" t="str">
        <f aca="false">IFERROR(IF(F20="","",ROUND(F20/2,1)),"")</f>
        <v/>
      </c>
      <c r="I20" s="23"/>
      <c r="J20" s="23"/>
      <c r="K20" s="25" t="n">
        <f aca="false">IFERROR(IF(AND(G20="",H20="",I20="",J20=""),0,SUM(IF(G20="",0,G20),IF(H20="",0,H20),IF(I20="",0,I20),IF(J20="",0,J20))),0)</f>
        <v>0</v>
      </c>
      <c r="L20" s="25" t="n">
        <f aca="false">IFERROR(IF(K20=0,0,ROUND(K20/11*100,1)),0)</f>
        <v>0</v>
      </c>
      <c r="M20" s="27" t="str">
        <f aca="false">IF(K20=0,"N",IF(L20&gt;=40,"Y","N"))</f>
        <v>N</v>
      </c>
      <c r="N20" s="23"/>
      <c r="O20" s="23"/>
      <c r="P20" s="24" t="str">
        <f aca="false">IFERROR(IF(AND(N20="",O20=""),"",MIN(MAX(IF(N20="",0,N20),IF(O20="",0,O20)),5)),"")</f>
        <v/>
      </c>
      <c r="Q20" s="24" t="str">
        <f aca="false">IFERROR(IF(P20="","",ROUND(P20/2,1)),"")</f>
        <v/>
      </c>
      <c r="R20" s="24" t="str">
        <f aca="false">IFERROR(IF(P20="","",ROUND(P20/2,1)),"")</f>
        <v/>
      </c>
      <c r="S20" s="23"/>
      <c r="T20" s="23"/>
      <c r="U20" s="25" t="n">
        <f aca="false">IFERROR(SUM(IF(Q20="",0,Q20),IF(R20="",0,R20),IF(S20="",0,S20),IF(T20="",0,T20)),0)</f>
        <v>0</v>
      </c>
      <c r="V20" s="25" t="n">
        <f aca="false">IFERROR(IF(U20=0,0,ROUND(U20/11*100,1)),0)</f>
        <v>0</v>
      </c>
      <c r="W20" s="27" t="str">
        <f aca="false">IF(U20=0,"N",IF(V20&gt;=40,"Y","N"))</f>
        <v>N</v>
      </c>
      <c r="X20" s="23"/>
      <c r="Y20" s="23"/>
      <c r="Z20" s="24" t="str">
        <f aca="false">IFERROR(IF(AND(X20="",Y20=""),"",MIN(MAX(IF(X20="",0,X20),IF(Y20="",0,Y20)),5)),"")</f>
        <v/>
      </c>
      <c r="AA20" s="24" t="str">
        <f aca="false">IFERROR(IF(Z20="","",ROUND(Z20/2,1)),"")</f>
        <v/>
      </c>
      <c r="AB20" s="23"/>
      <c r="AC20" s="25" t="n">
        <f aca="false">IFERROR(SUM(IF(Z20="",0,Z20),IF(AB20="",0,AB20)),0)</f>
        <v>0</v>
      </c>
      <c r="AD20" s="25" t="n">
        <f aca="false">IFERROR(IF(AC20=0,0,ROUND(AC20/8*100,1)),0)</f>
        <v>0</v>
      </c>
      <c r="AE20" s="27" t="str">
        <f aca="false">IF(AC20=0,"N",IF(AD20&gt;=40,"Y","N"))</f>
        <v>N</v>
      </c>
      <c r="AF20" s="25" t="n">
        <f aca="false">IFERROR(MIN(SUM(IF(F20="",0,F20),IF(P20="",0,P20),IF(Z20="",0,Z20)),15),0)</f>
        <v>0</v>
      </c>
      <c r="AG20" s="25" t="n">
        <f aca="false">IFERROR(MIN(SUM(IF(G20="",0,G20),IF(H20="",0,H20),IF(Q20="",0,Q20),IF(R20="",0,R20),IF(AA20="",0,AA20)),10),0)</f>
        <v>0</v>
      </c>
      <c r="AH20" s="25" t="n">
        <f aca="false">IFERROR(MIN(SUM(IF(I20="",0,I20),IF(J20="",0,J20),IF(S20="",0,S20),IF(T20="",0,T20),IF(AB20="",0,AB20)),5),0)</f>
        <v>0</v>
      </c>
      <c r="AI20" s="28" t="n">
        <f aca="false">IFERROR(AG20*2+AH20*4,0)</f>
        <v>0</v>
      </c>
      <c r="AJ20" s="29" t="n">
        <f aca="false">IFERROR(IF(AI20=0,0,ROUND(AI20/30*100,1)),0)</f>
        <v>0</v>
      </c>
    </row>
    <row r="21" customFormat="false" ht="18" hidden="false" customHeight="true" outlineLevel="0" collapsed="false">
      <c r="A21" s="21" t="n">
        <v>13</v>
      </c>
      <c r="B21" s="22"/>
      <c r="C21" s="19" t="s">
        <v>10</v>
      </c>
      <c r="D21" s="23"/>
      <c r="E21" s="23"/>
      <c r="F21" s="24" t="str">
        <f aca="false">IFERROR(IF(AND(D21="",E21=""),"",MIN(MAX(IF(D21="",0,D21),IF(E21="",0,E21)),5)),"")</f>
        <v/>
      </c>
      <c r="G21" s="24" t="str">
        <f aca="false">IFERROR(IF(F21="","",ROUND(F21/2,1)),"")</f>
        <v/>
      </c>
      <c r="H21" s="24" t="str">
        <f aca="false">IFERROR(IF(F21="","",ROUND(F21/2,1)),"")</f>
        <v/>
      </c>
      <c r="I21" s="23"/>
      <c r="J21" s="23"/>
      <c r="K21" s="25" t="n">
        <f aca="false">IFERROR(IF(AND(G21="",H21="",I21="",J21=""),0,SUM(IF(G21="",0,G21),IF(H21="",0,H21),IF(I21="",0,I21),IF(J21="",0,J21))),0)</f>
        <v>0</v>
      </c>
      <c r="L21" s="25" t="n">
        <f aca="false">IFERROR(IF(K21=0,0,ROUND(K21/11*100,1)),0)</f>
        <v>0</v>
      </c>
      <c r="M21" s="27" t="str">
        <f aca="false">IF(K21=0,"N",IF(L21&gt;=40,"Y","N"))</f>
        <v>N</v>
      </c>
      <c r="N21" s="23"/>
      <c r="O21" s="23"/>
      <c r="P21" s="24" t="str">
        <f aca="false">IFERROR(IF(AND(N21="",O21=""),"",MIN(MAX(IF(N21="",0,N21),IF(O21="",0,O21)),5)),"")</f>
        <v/>
      </c>
      <c r="Q21" s="24" t="str">
        <f aca="false">IFERROR(IF(P21="","",ROUND(P21/2,1)),"")</f>
        <v/>
      </c>
      <c r="R21" s="24" t="str">
        <f aca="false">IFERROR(IF(P21="","",ROUND(P21/2,1)),"")</f>
        <v/>
      </c>
      <c r="S21" s="23"/>
      <c r="T21" s="23"/>
      <c r="U21" s="25" t="n">
        <f aca="false">IFERROR(SUM(IF(Q21="",0,Q21),IF(R21="",0,R21),IF(S21="",0,S21),IF(T21="",0,T21)),0)</f>
        <v>0</v>
      </c>
      <c r="V21" s="25" t="n">
        <f aca="false">IFERROR(IF(U21=0,0,ROUND(U21/11*100,1)),0)</f>
        <v>0</v>
      </c>
      <c r="W21" s="27" t="str">
        <f aca="false">IF(U21=0,"N",IF(V21&gt;=40,"Y","N"))</f>
        <v>N</v>
      </c>
      <c r="X21" s="23"/>
      <c r="Y21" s="23"/>
      <c r="Z21" s="24" t="str">
        <f aca="false">IFERROR(IF(AND(X21="",Y21=""),"",MIN(MAX(IF(X21="",0,X21),IF(Y21="",0,Y21)),5)),"")</f>
        <v/>
      </c>
      <c r="AA21" s="24" t="str">
        <f aca="false">IFERROR(IF(Z21="","",ROUND(Z21/2,1)),"")</f>
        <v/>
      </c>
      <c r="AB21" s="23"/>
      <c r="AC21" s="25" t="n">
        <f aca="false">IFERROR(SUM(IF(Z21="",0,Z21),IF(AB21="",0,AB21)),0)</f>
        <v>0</v>
      </c>
      <c r="AD21" s="25" t="n">
        <f aca="false">IFERROR(IF(AC21=0,0,ROUND(AC21/8*100,1)),0)</f>
        <v>0</v>
      </c>
      <c r="AE21" s="27" t="str">
        <f aca="false">IF(AC21=0,"N",IF(AD21&gt;=40,"Y","N"))</f>
        <v>N</v>
      </c>
      <c r="AF21" s="25" t="n">
        <f aca="false">IFERROR(MIN(SUM(IF(F21="",0,F21),IF(P21="",0,P21),IF(Z21="",0,Z21)),15),0)</f>
        <v>0</v>
      </c>
      <c r="AG21" s="25" t="n">
        <f aca="false">IFERROR(MIN(SUM(IF(G21="",0,G21),IF(H21="",0,H21),IF(Q21="",0,Q21),IF(R21="",0,R21),IF(AA21="",0,AA21)),10),0)</f>
        <v>0</v>
      </c>
      <c r="AH21" s="25" t="n">
        <f aca="false">IFERROR(MIN(SUM(IF(I21="",0,I21),IF(J21="",0,J21),IF(S21="",0,S21),IF(T21="",0,T21),IF(AB21="",0,AB21)),5),0)</f>
        <v>0</v>
      </c>
      <c r="AI21" s="28" t="n">
        <f aca="false">IFERROR(AG21*2+AH21*4,0)</f>
        <v>0</v>
      </c>
      <c r="AJ21" s="29" t="n">
        <f aca="false">IFERROR(IF(AI21=0,0,ROUND(AI21/30*100,1)),0)</f>
        <v>0</v>
      </c>
    </row>
    <row r="22" customFormat="false" ht="18" hidden="false" customHeight="true" outlineLevel="0" collapsed="false">
      <c r="A22" s="30" t="n">
        <v>14</v>
      </c>
      <c r="B22" s="22"/>
      <c r="C22" s="31" t="s">
        <v>10</v>
      </c>
      <c r="D22" s="23"/>
      <c r="E22" s="23"/>
      <c r="F22" s="24" t="str">
        <f aca="false">IFERROR(IF(AND(D22="",E22=""),"",MIN(MAX(IF(D22="",0,D22),IF(E22="",0,E22)),5)),"")</f>
        <v/>
      </c>
      <c r="G22" s="24" t="str">
        <f aca="false">IFERROR(IF(F22="","",ROUND(F22/2,1)),"")</f>
        <v/>
      </c>
      <c r="H22" s="24" t="str">
        <f aca="false">IFERROR(IF(F22="","",ROUND(F22/2,1)),"")</f>
        <v/>
      </c>
      <c r="I22" s="23"/>
      <c r="J22" s="23"/>
      <c r="K22" s="25" t="n">
        <f aca="false">IFERROR(IF(AND(G22="",H22="",I22="",J22=""),0,SUM(IF(G22="",0,G22),IF(H22="",0,H22),IF(I22="",0,I22),IF(J22="",0,J22))),0)</f>
        <v>0</v>
      </c>
      <c r="L22" s="25" t="n">
        <f aca="false">IFERROR(IF(K22=0,0,ROUND(K22/11*100,1)),0)</f>
        <v>0</v>
      </c>
      <c r="M22" s="27" t="str">
        <f aca="false">IF(K22=0,"N",IF(L22&gt;=40,"Y","N"))</f>
        <v>N</v>
      </c>
      <c r="N22" s="23"/>
      <c r="O22" s="23"/>
      <c r="P22" s="24" t="str">
        <f aca="false">IFERROR(IF(AND(N22="",O22=""),"",MIN(MAX(IF(N22="",0,N22),IF(O22="",0,O22)),5)),"")</f>
        <v/>
      </c>
      <c r="Q22" s="24" t="str">
        <f aca="false">IFERROR(IF(P22="","",ROUND(P22/2,1)),"")</f>
        <v/>
      </c>
      <c r="R22" s="24" t="str">
        <f aca="false">IFERROR(IF(P22="","",ROUND(P22/2,1)),"")</f>
        <v/>
      </c>
      <c r="S22" s="23"/>
      <c r="T22" s="23"/>
      <c r="U22" s="25" t="n">
        <f aca="false">IFERROR(SUM(IF(Q22="",0,Q22),IF(R22="",0,R22),IF(S22="",0,S22),IF(T22="",0,T22)),0)</f>
        <v>0</v>
      </c>
      <c r="V22" s="25" t="n">
        <f aca="false">IFERROR(IF(U22=0,0,ROUND(U22/11*100,1)),0)</f>
        <v>0</v>
      </c>
      <c r="W22" s="27" t="str">
        <f aca="false">IF(U22=0,"N",IF(V22&gt;=40,"Y","N"))</f>
        <v>N</v>
      </c>
      <c r="X22" s="23"/>
      <c r="Y22" s="23"/>
      <c r="Z22" s="24" t="str">
        <f aca="false">IFERROR(IF(AND(X22="",Y22=""),"",MIN(MAX(IF(X22="",0,X22),IF(Y22="",0,Y22)),5)),"")</f>
        <v/>
      </c>
      <c r="AA22" s="24" t="str">
        <f aca="false">IFERROR(IF(Z22="","",ROUND(Z22/2,1)),"")</f>
        <v/>
      </c>
      <c r="AB22" s="23"/>
      <c r="AC22" s="25" t="n">
        <f aca="false">IFERROR(SUM(IF(Z22="",0,Z22),IF(AB22="",0,AB22)),0)</f>
        <v>0</v>
      </c>
      <c r="AD22" s="25" t="n">
        <f aca="false">IFERROR(IF(AC22=0,0,ROUND(AC22/8*100,1)),0)</f>
        <v>0</v>
      </c>
      <c r="AE22" s="27" t="str">
        <f aca="false">IF(AC22=0,"N",IF(AD22&gt;=40,"Y","N"))</f>
        <v>N</v>
      </c>
      <c r="AF22" s="25" t="n">
        <f aca="false">IFERROR(MIN(SUM(IF(F22="",0,F22),IF(P22="",0,P22),IF(Z22="",0,Z22)),15),0)</f>
        <v>0</v>
      </c>
      <c r="AG22" s="25" t="n">
        <f aca="false">IFERROR(MIN(SUM(IF(G22="",0,G22),IF(H22="",0,H22),IF(Q22="",0,Q22),IF(R22="",0,R22),IF(AA22="",0,AA22)),10),0)</f>
        <v>0</v>
      </c>
      <c r="AH22" s="25" t="n">
        <f aca="false">IFERROR(MIN(SUM(IF(I22="",0,I22),IF(J22="",0,J22),IF(S22="",0,S22),IF(T22="",0,T22),IF(AB22="",0,AB22)),5),0)</f>
        <v>0</v>
      </c>
      <c r="AI22" s="28" t="n">
        <f aca="false">IFERROR(AG22*2+AH22*4,0)</f>
        <v>0</v>
      </c>
      <c r="AJ22" s="29" t="n">
        <f aca="false">IFERROR(IF(AI22=0,0,ROUND(AI22/30*100,1)),0)</f>
        <v>0</v>
      </c>
    </row>
    <row r="23" customFormat="false" ht="18" hidden="false" customHeight="true" outlineLevel="0" collapsed="false">
      <c r="A23" s="21" t="n">
        <v>15</v>
      </c>
      <c r="B23" s="22"/>
      <c r="C23" s="19" t="s">
        <v>10</v>
      </c>
      <c r="D23" s="23"/>
      <c r="E23" s="23"/>
      <c r="F23" s="24" t="str">
        <f aca="false">IFERROR(IF(AND(D23="",E23=""),"",MIN(MAX(IF(D23="",0,D23),IF(E23="",0,E23)),5)),"")</f>
        <v/>
      </c>
      <c r="G23" s="24" t="str">
        <f aca="false">IFERROR(IF(F23="","",ROUND(F23/2,1)),"")</f>
        <v/>
      </c>
      <c r="H23" s="24" t="str">
        <f aca="false">IFERROR(IF(F23="","",ROUND(F23/2,1)),"")</f>
        <v/>
      </c>
      <c r="I23" s="23"/>
      <c r="J23" s="23"/>
      <c r="K23" s="25" t="n">
        <f aca="false">IFERROR(IF(AND(G23="",H23="",I23="",J23=""),0,SUM(IF(G23="",0,G23),IF(H23="",0,H23),IF(I23="",0,I23),IF(J23="",0,J23))),0)</f>
        <v>0</v>
      </c>
      <c r="L23" s="25" t="n">
        <f aca="false">IFERROR(IF(K23=0,0,ROUND(K23/11*100,1)),0)</f>
        <v>0</v>
      </c>
      <c r="M23" s="27" t="str">
        <f aca="false">IF(K23=0,"N",IF(L23&gt;=40,"Y","N"))</f>
        <v>N</v>
      </c>
      <c r="N23" s="23"/>
      <c r="O23" s="23"/>
      <c r="P23" s="24" t="str">
        <f aca="false">IFERROR(IF(AND(N23="",O23=""),"",MIN(MAX(IF(N23="",0,N23),IF(O23="",0,O23)),5)),"")</f>
        <v/>
      </c>
      <c r="Q23" s="24" t="str">
        <f aca="false">IFERROR(IF(P23="","",ROUND(P23/2,1)),"")</f>
        <v/>
      </c>
      <c r="R23" s="24" t="str">
        <f aca="false">IFERROR(IF(P23="","",ROUND(P23/2,1)),"")</f>
        <v/>
      </c>
      <c r="S23" s="23"/>
      <c r="T23" s="23"/>
      <c r="U23" s="25" t="n">
        <f aca="false">IFERROR(SUM(IF(Q23="",0,Q23),IF(R23="",0,R23),IF(S23="",0,S23),IF(T23="",0,T23)),0)</f>
        <v>0</v>
      </c>
      <c r="V23" s="25" t="n">
        <f aca="false">IFERROR(IF(U23=0,0,ROUND(U23/11*100,1)),0)</f>
        <v>0</v>
      </c>
      <c r="W23" s="27" t="str">
        <f aca="false">IF(U23=0,"N",IF(V23&gt;=40,"Y","N"))</f>
        <v>N</v>
      </c>
      <c r="X23" s="23"/>
      <c r="Y23" s="23"/>
      <c r="Z23" s="24" t="str">
        <f aca="false">IFERROR(IF(AND(X23="",Y23=""),"",MIN(MAX(IF(X23="",0,X23),IF(Y23="",0,Y23)),5)),"")</f>
        <v/>
      </c>
      <c r="AA23" s="24" t="str">
        <f aca="false">IFERROR(IF(Z23="","",ROUND(Z23/2,1)),"")</f>
        <v/>
      </c>
      <c r="AB23" s="23"/>
      <c r="AC23" s="25" t="n">
        <f aca="false">IFERROR(SUM(IF(Z23="",0,Z23),IF(AB23="",0,AB23)),0)</f>
        <v>0</v>
      </c>
      <c r="AD23" s="25" t="n">
        <f aca="false">IFERROR(IF(AC23=0,0,ROUND(AC23/8*100,1)),0)</f>
        <v>0</v>
      </c>
      <c r="AE23" s="27" t="str">
        <f aca="false">IF(AC23=0,"N",IF(AD23&gt;=40,"Y","N"))</f>
        <v>N</v>
      </c>
      <c r="AF23" s="25" t="n">
        <f aca="false">IFERROR(MIN(SUM(IF(F23="",0,F23),IF(P23="",0,P23),IF(Z23="",0,Z23)),15),0)</f>
        <v>0</v>
      </c>
      <c r="AG23" s="25" t="n">
        <f aca="false">IFERROR(MIN(SUM(IF(G23="",0,G23),IF(H23="",0,H23),IF(Q23="",0,Q23),IF(R23="",0,R23),IF(AA23="",0,AA23)),10),0)</f>
        <v>0</v>
      </c>
      <c r="AH23" s="25" t="n">
        <f aca="false">IFERROR(MIN(SUM(IF(I23="",0,I23),IF(J23="",0,J23),IF(S23="",0,S23),IF(T23="",0,T23),IF(AB23="",0,AB23)),5),0)</f>
        <v>0</v>
      </c>
      <c r="AI23" s="28" t="n">
        <f aca="false">IFERROR(AG23*2+AH23*4,0)</f>
        <v>0</v>
      </c>
      <c r="AJ23" s="29" t="n">
        <f aca="false">IFERROR(IF(AI23=0,0,ROUND(AI23/30*100,1)),0)</f>
        <v>0</v>
      </c>
    </row>
    <row r="24" customFormat="false" ht="18" hidden="false" customHeight="true" outlineLevel="0" collapsed="false">
      <c r="A24" s="30" t="n">
        <v>16</v>
      </c>
      <c r="B24" s="22"/>
      <c r="C24" s="31" t="s">
        <v>10</v>
      </c>
      <c r="D24" s="23"/>
      <c r="E24" s="23"/>
      <c r="F24" s="24" t="str">
        <f aca="false">IFERROR(IF(AND(D24="",E24=""),"",MIN(MAX(IF(D24="",0,D24),IF(E24="",0,E24)),5)),"")</f>
        <v/>
      </c>
      <c r="G24" s="24" t="str">
        <f aca="false">IFERROR(IF(F24="","",ROUND(F24/2,1)),"")</f>
        <v/>
      </c>
      <c r="H24" s="24" t="str">
        <f aca="false">IFERROR(IF(F24="","",ROUND(F24/2,1)),"")</f>
        <v/>
      </c>
      <c r="I24" s="23"/>
      <c r="J24" s="23"/>
      <c r="K24" s="25" t="n">
        <f aca="false">IFERROR(IF(AND(G24="",H24="",I24="",J24=""),0,SUM(IF(G24="",0,G24),IF(H24="",0,H24),IF(I24="",0,I24),IF(J24="",0,J24))),0)</f>
        <v>0</v>
      </c>
      <c r="L24" s="25" t="n">
        <f aca="false">IFERROR(IF(K24=0,0,ROUND(K24/11*100,1)),0)</f>
        <v>0</v>
      </c>
      <c r="M24" s="27" t="str">
        <f aca="false">IF(K24=0,"N",IF(L24&gt;=40,"Y","N"))</f>
        <v>N</v>
      </c>
      <c r="N24" s="23"/>
      <c r="O24" s="23"/>
      <c r="P24" s="24" t="str">
        <f aca="false">IFERROR(IF(AND(N24="",O24=""),"",MIN(MAX(IF(N24="",0,N24),IF(O24="",0,O24)),5)),"")</f>
        <v/>
      </c>
      <c r="Q24" s="24" t="str">
        <f aca="false">IFERROR(IF(P24="","",ROUND(P24/2,1)),"")</f>
        <v/>
      </c>
      <c r="R24" s="24" t="str">
        <f aca="false">IFERROR(IF(P24="","",ROUND(P24/2,1)),"")</f>
        <v/>
      </c>
      <c r="S24" s="23"/>
      <c r="T24" s="23"/>
      <c r="U24" s="25" t="n">
        <f aca="false">IFERROR(SUM(IF(Q24="",0,Q24),IF(R24="",0,R24),IF(S24="",0,S24),IF(T24="",0,T24)),0)</f>
        <v>0</v>
      </c>
      <c r="V24" s="25" t="n">
        <f aca="false">IFERROR(IF(U24=0,0,ROUND(U24/11*100,1)),0)</f>
        <v>0</v>
      </c>
      <c r="W24" s="27" t="str">
        <f aca="false">IF(U24=0,"N",IF(V24&gt;=40,"Y","N"))</f>
        <v>N</v>
      </c>
      <c r="X24" s="23"/>
      <c r="Y24" s="23"/>
      <c r="Z24" s="24" t="str">
        <f aca="false">IFERROR(IF(AND(X24="",Y24=""),"",MIN(MAX(IF(X24="",0,X24),IF(Y24="",0,Y24)),5)),"")</f>
        <v/>
      </c>
      <c r="AA24" s="24" t="str">
        <f aca="false">IFERROR(IF(Z24="","",ROUND(Z24/2,1)),"")</f>
        <v/>
      </c>
      <c r="AB24" s="23"/>
      <c r="AC24" s="25" t="n">
        <f aca="false">IFERROR(SUM(IF(Z24="",0,Z24),IF(AB24="",0,AB24)),0)</f>
        <v>0</v>
      </c>
      <c r="AD24" s="25" t="n">
        <f aca="false">IFERROR(IF(AC24=0,0,ROUND(AC24/8*100,1)),0)</f>
        <v>0</v>
      </c>
      <c r="AE24" s="27" t="str">
        <f aca="false">IF(AC24=0,"N",IF(AD24&gt;=40,"Y","N"))</f>
        <v>N</v>
      </c>
      <c r="AF24" s="25" t="n">
        <f aca="false">IFERROR(MIN(SUM(IF(F24="",0,F24),IF(P24="",0,P24),IF(Z24="",0,Z24)),15),0)</f>
        <v>0</v>
      </c>
      <c r="AG24" s="25" t="n">
        <f aca="false">IFERROR(MIN(SUM(IF(G24="",0,G24),IF(H24="",0,H24),IF(Q24="",0,Q24),IF(R24="",0,R24),IF(AA24="",0,AA24)),10),0)</f>
        <v>0</v>
      </c>
      <c r="AH24" s="25" t="n">
        <f aca="false">IFERROR(MIN(SUM(IF(I24="",0,I24),IF(J24="",0,J24),IF(S24="",0,S24),IF(T24="",0,T24),IF(AB24="",0,AB24)),5),0)</f>
        <v>0</v>
      </c>
      <c r="AI24" s="28" t="n">
        <f aca="false">IFERROR(AG24*2+AH24*4,0)</f>
        <v>0</v>
      </c>
      <c r="AJ24" s="29" t="n">
        <f aca="false">IFERROR(IF(AI24=0,0,ROUND(AI24/30*100,1)),0)</f>
        <v>0</v>
      </c>
    </row>
    <row r="25" customFormat="false" ht="18" hidden="false" customHeight="true" outlineLevel="0" collapsed="false">
      <c r="A25" s="21" t="n">
        <v>17</v>
      </c>
      <c r="B25" s="22"/>
      <c r="C25" s="19" t="s">
        <v>10</v>
      </c>
      <c r="D25" s="23"/>
      <c r="E25" s="23"/>
      <c r="F25" s="24" t="str">
        <f aca="false">IFERROR(IF(AND(D25="",E25=""),"",MIN(MAX(IF(D25="",0,D25),IF(E25="",0,E25)),5)),"")</f>
        <v/>
      </c>
      <c r="G25" s="24" t="str">
        <f aca="false">IFERROR(IF(F25="","",ROUND(F25/2,1)),"")</f>
        <v/>
      </c>
      <c r="H25" s="24" t="str">
        <f aca="false">IFERROR(IF(F25="","",ROUND(F25/2,1)),"")</f>
        <v/>
      </c>
      <c r="I25" s="23"/>
      <c r="J25" s="23"/>
      <c r="K25" s="25" t="n">
        <f aca="false">IFERROR(IF(AND(G25="",H25="",I25="",J25=""),0,SUM(IF(G25="",0,G25),IF(H25="",0,H25),IF(I25="",0,I25),IF(J25="",0,J25))),0)</f>
        <v>0</v>
      </c>
      <c r="L25" s="25" t="n">
        <f aca="false">IFERROR(IF(K25=0,0,ROUND(K25/11*100,1)),0)</f>
        <v>0</v>
      </c>
      <c r="M25" s="27" t="str">
        <f aca="false">IF(K25=0,"N",IF(L25&gt;=40,"Y","N"))</f>
        <v>N</v>
      </c>
      <c r="N25" s="23"/>
      <c r="O25" s="23"/>
      <c r="P25" s="24" t="str">
        <f aca="false">IFERROR(IF(AND(N25="",O25=""),"",MIN(MAX(IF(N25="",0,N25),IF(O25="",0,O25)),5)),"")</f>
        <v/>
      </c>
      <c r="Q25" s="24" t="str">
        <f aca="false">IFERROR(IF(P25="","",ROUND(P25/2,1)),"")</f>
        <v/>
      </c>
      <c r="R25" s="24" t="str">
        <f aca="false">IFERROR(IF(P25="","",ROUND(P25/2,1)),"")</f>
        <v/>
      </c>
      <c r="S25" s="23"/>
      <c r="T25" s="23"/>
      <c r="U25" s="25" t="n">
        <f aca="false">IFERROR(SUM(IF(Q25="",0,Q25),IF(R25="",0,R25),IF(S25="",0,S25),IF(T25="",0,T25)),0)</f>
        <v>0</v>
      </c>
      <c r="V25" s="25" t="n">
        <f aca="false">IFERROR(IF(U25=0,0,ROUND(U25/11*100,1)),0)</f>
        <v>0</v>
      </c>
      <c r="W25" s="27" t="str">
        <f aca="false">IF(U25=0,"N",IF(V25&gt;=40,"Y","N"))</f>
        <v>N</v>
      </c>
      <c r="X25" s="23"/>
      <c r="Y25" s="23"/>
      <c r="Z25" s="24" t="str">
        <f aca="false">IFERROR(IF(AND(X25="",Y25=""),"",MIN(MAX(IF(X25="",0,X25),IF(Y25="",0,Y25)),5)),"")</f>
        <v/>
      </c>
      <c r="AA25" s="24" t="str">
        <f aca="false">IFERROR(IF(Z25="","",ROUND(Z25/2,1)),"")</f>
        <v/>
      </c>
      <c r="AB25" s="23"/>
      <c r="AC25" s="25" t="n">
        <f aca="false">IFERROR(SUM(IF(Z25="",0,Z25),IF(AB25="",0,AB25)),0)</f>
        <v>0</v>
      </c>
      <c r="AD25" s="25" t="n">
        <f aca="false">IFERROR(IF(AC25=0,0,ROUND(AC25/8*100,1)),0)</f>
        <v>0</v>
      </c>
      <c r="AE25" s="27" t="str">
        <f aca="false">IF(AC25=0,"N",IF(AD25&gt;=40,"Y","N"))</f>
        <v>N</v>
      </c>
      <c r="AF25" s="25" t="n">
        <f aca="false">IFERROR(MIN(SUM(IF(F25="",0,F25),IF(P25="",0,P25),IF(Z25="",0,Z25)),15),0)</f>
        <v>0</v>
      </c>
      <c r="AG25" s="25" t="n">
        <f aca="false">IFERROR(MIN(SUM(IF(G25="",0,G25),IF(H25="",0,H25),IF(Q25="",0,Q25),IF(R25="",0,R25),IF(AA25="",0,AA25)),10),0)</f>
        <v>0</v>
      </c>
      <c r="AH25" s="25" t="n">
        <f aca="false">IFERROR(MIN(SUM(IF(I25="",0,I25),IF(J25="",0,J25),IF(S25="",0,S25),IF(T25="",0,T25),IF(AB25="",0,AB25)),5),0)</f>
        <v>0</v>
      </c>
      <c r="AI25" s="28" t="n">
        <f aca="false">IFERROR(AG25*2+AH25*4,0)</f>
        <v>0</v>
      </c>
      <c r="AJ25" s="29" t="n">
        <f aca="false">IFERROR(IF(AI25=0,0,ROUND(AI25/30*100,1)),0)</f>
        <v>0</v>
      </c>
    </row>
    <row r="26" customFormat="false" ht="18" hidden="false" customHeight="true" outlineLevel="0" collapsed="false">
      <c r="A26" s="30" t="n">
        <v>18</v>
      </c>
      <c r="B26" s="22"/>
      <c r="C26" s="31" t="s">
        <v>10</v>
      </c>
      <c r="D26" s="23"/>
      <c r="E26" s="23"/>
      <c r="F26" s="24" t="str">
        <f aca="false">IFERROR(IF(AND(D26="",E26=""),"",MIN(MAX(IF(D26="",0,D26),IF(E26="",0,E26)),5)),"")</f>
        <v/>
      </c>
      <c r="G26" s="24" t="str">
        <f aca="false">IFERROR(IF(F26="","",ROUND(F26/2,1)),"")</f>
        <v/>
      </c>
      <c r="H26" s="24" t="str">
        <f aca="false">IFERROR(IF(F26="","",ROUND(F26/2,1)),"")</f>
        <v/>
      </c>
      <c r="I26" s="23"/>
      <c r="J26" s="23"/>
      <c r="K26" s="25" t="n">
        <f aca="false">IFERROR(IF(AND(G26="",H26="",I26="",J26=""),0,SUM(IF(G26="",0,G26),IF(H26="",0,H26),IF(I26="",0,I26),IF(J26="",0,J26))),0)</f>
        <v>0</v>
      </c>
      <c r="L26" s="25" t="n">
        <f aca="false">IFERROR(IF(K26=0,0,ROUND(K26/11*100,1)),0)</f>
        <v>0</v>
      </c>
      <c r="M26" s="27" t="str">
        <f aca="false">IF(K26=0,"N",IF(L26&gt;=40,"Y","N"))</f>
        <v>N</v>
      </c>
      <c r="N26" s="23"/>
      <c r="O26" s="23"/>
      <c r="P26" s="24" t="str">
        <f aca="false">IFERROR(IF(AND(N26="",O26=""),"",MIN(MAX(IF(N26="",0,N26),IF(O26="",0,O26)),5)),"")</f>
        <v/>
      </c>
      <c r="Q26" s="24" t="str">
        <f aca="false">IFERROR(IF(P26="","",ROUND(P26/2,1)),"")</f>
        <v/>
      </c>
      <c r="R26" s="24" t="str">
        <f aca="false">IFERROR(IF(P26="","",ROUND(P26/2,1)),"")</f>
        <v/>
      </c>
      <c r="S26" s="23"/>
      <c r="T26" s="23"/>
      <c r="U26" s="25" t="n">
        <f aca="false">IFERROR(SUM(IF(Q26="",0,Q26),IF(R26="",0,R26),IF(S26="",0,S26),IF(T26="",0,T26)),0)</f>
        <v>0</v>
      </c>
      <c r="V26" s="25" t="n">
        <f aca="false">IFERROR(IF(U26=0,0,ROUND(U26/11*100,1)),0)</f>
        <v>0</v>
      </c>
      <c r="W26" s="27" t="str">
        <f aca="false">IF(U26=0,"N",IF(V26&gt;=40,"Y","N"))</f>
        <v>N</v>
      </c>
      <c r="X26" s="23"/>
      <c r="Y26" s="23"/>
      <c r="Z26" s="24" t="str">
        <f aca="false">IFERROR(IF(AND(X26="",Y26=""),"",MIN(MAX(IF(X26="",0,X26),IF(Y26="",0,Y26)),5)),"")</f>
        <v/>
      </c>
      <c r="AA26" s="24" t="str">
        <f aca="false">IFERROR(IF(Z26="","",ROUND(Z26/2,1)),"")</f>
        <v/>
      </c>
      <c r="AB26" s="23"/>
      <c r="AC26" s="25" t="n">
        <f aca="false">IFERROR(SUM(IF(Z26="",0,Z26),IF(AB26="",0,AB26)),0)</f>
        <v>0</v>
      </c>
      <c r="AD26" s="25" t="n">
        <f aca="false">IFERROR(IF(AC26=0,0,ROUND(AC26/8*100,1)),0)</f>
        <v>0</v>
      </c>
      <c r="AE26" s="27" t="str">
        <f aca="false">IF(AC26=0,"N",IF(AD26&gt;=40,"Y","N"))</f>
        <v>N</v>
      </c>
      <c r="AF26" s="25" t="n">
        <f aca="false">IFERROR(MIN(SUM(IF(F26="",0,F26),IF(P26="",0,P26),IF(Z26="",0,Z26)),15),0)</f>
        <v>0</v>
      </c>
      <c r="AG26" s="25" t="n">
        <f aca="false">IFERROR(MIN(SUM(IF(G26="",0,G26),IF(H26="",0,H26),IF(Q26="",0,Q26),IF(R26="",0,R26),IF(AA26="",0,AA26)),10),0)</f>
        <v>0</v>
      </c>
      <c r="AH26" s="25" t="n">
        <f aca="false">IFERROR(MIN(SUM(IF(I26="",0,I26),IF(J26="",0,J26),IF(S26="",0,S26),IF(T26="",0,T26),IF(AB26="",0,AB26)),5),0)</f>
        <v>0</v>
      </c>
      <c r="AI26" s="28" t="n">
        <f aca="false">IFERROR(AG26*2+AH26*4,0)</f>
        <v>0</v>
      </c>
      <c r="AJ26" s="29" t="n">
        <f aca="false">IFERROR(IF(AI26=0,0,ROUND(AI26/30*100,1)),0)</f>
        <v>0</v>
      </c>
    </row>
    <row r="27" customFormat="false" ht="18" hidden="false" customHeight="true" outlineLevel="0" collapsed="false">
      <c r="A27" s="21" t="n">
        <v>19</v>
      </c>
      <c r="B27" s="22"/>
      <c r="C27" s="19" t="s">
        <v>10</v>
      </c>
      <c r="D27" s="23"/>
      <c r="E27" s="23"/>
      <c r="F27" s="24" t="str">
        <f aca="false">IFERROR(IF(AND(D27="",E27=""),"",MIN(MAX(IF(D27="",0,D27),IF(E27="",0,E27)),5)),"")</f>
        <v/>
      </c>
      <c r="G27" s="24" t="str">
        <f aca="false">IFERROR(IF(F27="","",ROUND(F27/2,1)),"")</f>
        <v/>
      </c>
      <c r="H27" s="24" t="str">
        <f aca="false">IFERROR(IF(F27="","",ROUND(F27/2,1)),"")</f>
        <v/>
      </c>
      <c r="I27" s="23"/>
      <c r="J27" s="23"/>
      <c r="K27" s="25" t="n">
        <f aca="false">IFERROR(IF(AND(G27="",H27="",I27="",J27=""),0,SUM(IF(G27="",0,G27),IF(H27="",0,H27),IF(I27="",0,I27),IF(J27="",0,J27))),0)</f>
        <v>0</v>
      </c>
      <c r="L27" s="25" t="n">
        <f aca="false">IFERROR(IF(K27=0,0,ROUND(K27/11*100,1)),0)</f>
        <v>0</v>
      </c>
      <c r="M27" s="27" t="str">
        <f aca="false">IF(K27=0,"N",IF(L27&gt;=40,"Y","N"))</f>
        <v>N</v>
      </c>
      <c r="N27" s="23"/>
      <c r="O27" s="23"/>
      <c r="P27" s="24" t="str">
        <f aca="false">IFERROR(IF(AND(N27="",O27=""),"",MIN(MAX(IF(N27="",0,N27),IF(O27="",0,O27)),5)),"")</f>
        <v/>
      </c>
      <c r="Q27" s="24" t="str">
        <f aca="false">IFERROR(IF(P27="","",ROUND(P27/2,1)),"")</f>
        <v/>
      </c>
      <c r="R27" s="24" t="str">
        <f aca="false">IFERROR(IF(P27="","",ROUND(P27/2,1)),"")</f>
        <v/>
      </c>
      <c r="S27" s="23"/>
      <c r="T27" s="23"/>
      <c r="U27" s="25" t="n">
        <f aca="false">IFERROR(SUM(IF(Q27="",0,Q27),IF(R27="",0,R27),IF(S27="",0,S27),IF(T27="",0,T27)),0)</f>
        <v>0</v>
      </c>
      <c r="V27" s="25" t="n">
        <f aca="false">IFERROR(IF(U27=0,0,ROUND(U27/11*100,1)),0)</f>
        <v>0</v>
      </c>
      <c r="W27" s="27" t="str">
        <f aca="false">IF(U27=0,"N",IF(V27&gt;=40,"Y","N"))</f>
        <v>N</v>
      </c>
      <c r="X27" s="23"/>
      <c r="Y27" s="23"/>
      <c r="Z27" s="24" t="str">
        <f aca="false">IFERROR(IF(AND(X27="",Y27=""),"",MIN(MAX(IF(X27="",0,X27),IF(Y27="",0,Y27)),5)),"")</f>
        <v/>
      </c>
      <c r="AA27" s="24" t="str">
        <f aca="false">IFERROR(IF(Z27="","",ROUND(Z27/2,1)),"")</f>
        <v/>
      </c>
      <c r="AB27" s="23"/>
      <c r="AC27" s="25" t="n">
        <f aca="false">IFERROR(SUM(IF(Z27="",0,Z27),IF(AB27="",0,AB27)),0)</f>
        <v>0</v>
      </c>
      <c r="AD27" s="25" t="n">
        <f aca="false">IFERROR(IF(AC27=0,0,ROUND(AC27/8*100,1)),0)</f>
        <v>0</v>
      </c>
      <c r="AE27" s="27" t="str">
        <f aca="false">IF(AC27=0,"N",IF(AD27&gt;=40,"Y","N"))</f>
        <v>N</v>
      </c>
      <c r="AF27" s="25" t="n">
        <f aca="false">IFERROR(MIN(SUM(IF(F27="",0,F27),IF(P27="",0,P27),IF(Z27="",0,Z27)),15),0)</f>
        <v>0</v>
      </c>
      <c r="AG27" s="25" t="n">
        <f aca="false">IFERROR(MIN(SUM(IF(G27="",0,G27),IF(H27="",0,H27),IF(Q27="",0,Q27),IF(R27="",0,R27),IF(AA27="",0,AA27)),10),0)</f>
        <v>0</v>
      </c>
      <c r="AH27" s="25" t="n">
        <f aca="false">IFERROR(MIN(SUM(IF(I27="",0,I27),IF(J27="",0,J27),IF(S27="",0,S27),IF(T27="",0,T27),IF(AB27="",0,AB27)),5),0)</f>
        <v>0</v>
      </c>
      <c r="AI27" s="28" t="n">
        <f aca="false">IFERROR(AG27*2+AH27*4,0)</f>
        <v>0</v>
      </c>
      <c r="AJ27" s="29" t="n">
        <f aca="false">IFERROR(IF(AI27=0,0,ROUND(AI27/30*100,1)),0)</f>
        <v>0</v>
      </c>
    </row>
    <row r="28" customFormat="false" ht="18" hidden="false" customHeight="true" outlineLevel="0" collapsed="false">
      <c r="A28" s="30" t="n">
        <v>20</v>
      </c>
      <c r="B28" s="22"/>
      <c r="C28" s="31" t="s">
        <v>10</v>
      </c>
      <c r="D28" s="23"/>
      <c r="E28" s="23"/>
      <c r="F28" s="24" t="str">
        <f aca="false">IFERROR(IF(AND(D28="",E28=""),"",MIN(MAX(IF(D28="",0,D28),IF(E28="",0,E28)),5)),"")</f>
        <v/>
      </c>
      <c r="G28" s="24" t="str">
        <f aca="false">IFERROR(IF(F28="","",ROUND(F28/2,1)),"")</f>
        <v/>
      </c>
      <c r="H28" s="24" t="str">
        <f aca="false">IFERROR(IF(F28="","",ROUND(F28/2,1)),"")</f>
        <v/>
      </c>
      <c r="I28" s="23"/>
      <c r="J28" s="23"/>
      <c r="K28" s="25" t="n">
        <f aca="false">IFERROR(IF(AND(G28="",H28="",I28="",J28=""),0,SUM(IF(G28="",0,G28),IF(H28="",0,H28),IF(I28="",0,I28),IF(J28="",0,J28))),0)</f>
        <v>0</v>
      </c>
      <c r="L28" s="25" t="n">
        <f aca="false">IFERROR(IF(K28=0,0,ROUND(K28/11*100,1)),0)</f>
        <v>0</v>
      </c>
      <c r="M28" s="27" t="str">
        <f aca="false">IF(K28=0,"N",IF(L28&gt;=40,"Y","N"))</f>
        <v>N</v>
      </c>
      <c r="N28" s="23"/>
      <c r="O28" s="23"/>
      <c r="P28" s="24" t="str">
        <f aca="false">IFERROR(IF(AND(N28="",O28=""),"",MIN(MAX(IF(N28="",0,N28),IF(O28="",0,O28)),5)),"")</f>
        <v/>
      </c>
      <c r="Q28" s="24" t="str">
        <f aca="false">IFERROR(IF(P28="","",ROUND(P28/2,1)),"")</f>
        <v/>
      </c>
      <c r="R28" s="24" t="str">
        <f aca="false">IFERROR(IF(P28="","",ROUND(P28/2,1)),"")</f>
        <v/>
      </c>
      <c r="S28" s="23"/>
      <c r="T28" s="23"/>
      <c r="U28" s="25" t="n">
        <f aca="false">IFERROR(SUM(IF(Q28="",0,Q28),IF(R28="",0,R28),IF(S28="",0,S28),IF(T28="",0,T28)),0)</f>
        <v>0</v>
      </c>
      <c r="V28" s="25" t="n">
        <f aca="false">IFERROR(IF(U28=0,0,ROUND(U28/11*100,1)),0)</f>
        <v>0</v>
      </c>
      <c r="W28" s="27" t="str">
        <f aca="false">IF(U28=0,"N",IF(V28&gt;=40,"Y","N"))</f>
        <v>N</v>
      </c>
      <c r="X28" s="23"/>
      <c r="Y28" s="23"/>
      <c r="Z28" s="24" t="str">
        <f aca="false">IFERROR(IF(AND(X28="",Y28=""),"",MIN(MAX(IF(X28="",0,X28),IF(Y28="",0,Y28)),5)),"")</f>
        <v/>
      </c>
      <c r="AA28" s="24" t="str">
        <f aca="false">IFERROR(IF(Z28="","",ROUND(Z28/2,1)),"")</f>
        <v/>
      </c>
      <c r="AB28" s="23"/>
      <c r="AC28" s="25" t="n">
        <f aca="false">IFERROR(SUM(IF(Z28="",0,Z28),IF(AB28="",0,AB28)),0)</f>
        <v>0</v>
      </c>
      <c r="AD28" s="25" t="n">
        <f aca="false">IFERROR(IF(AC28=0,0,ROUND(AC28/8*100,1)),0)</f>
        <v>0</v>
      </c>
      <c r="AE28" s="27" t="str">
        <f aca="false">IF(AC28=0,"N",IF(AD28&gt;=40,"Y","N"))</f>
        <v>N</v>
      </c>
      <c r="AF28" s="25" t="n">
        <f aca="false">IFERROR(MIN(SUM(IF(F28="",0,F28),IF(P28="",0,P28),IF(Z28="",0,Z28)),15),0)</f>
        <v>0</v>
      </c>
      <c r="AG28" s="25" t="n">
        <f aca="false">IFERROR(MIN(SUM(IF(G28="",0,G28),IF(H28="",0,H28),IF(Q28="",0,Q28),IF(R28="",0,R28),IF(AA28="",0,AA28)),10),0)</f>
        <v>0</v>
      </c>
      <c r="AH28" s="25" t="n">
        <f aca="false">IFERROR(MIN(SUM(IF(I28="",0,I28),IF(J28="",0,J28),IF(S28="",0,S28),IF(T28="",0,T28),IF(AB28="",0,AB28)),5),0)</f>
        <v>0</v>
      </c>
      <c r="AI28" s="28" t="n">
        <f aca="false">IFERROR(AG28*2+AH28*4,0)</f>
        <v>0</v>
      </c>
      <c r="AJ28" s="29" t="n">
        <f aca="false">IFERROR(IF(AI28=0,0,ROUND(AI28/30*100,1)),0)</f>
        <v>0</v>
      </c>
    </row>
    <row r="29" customFormat="false" ht="18" hidden="false" customHeight="true" outlineLevel="0" collapsed="false">
      <c r="A29" s="21" t="n">
        <v>21</v>
      </c>
      <c r="B29" s="22"/>
      <c r="C29" s="19" t="s">
        <v>10</v>
      </c>
      <c r="D29" s="23"/>
      <c r="E29" s="23"/>
      <c r="F29" s="24" t="str">
        <f aca="false">IFERROR(IF(AND(D29="",E29=""),"",MIN(MAX(IF(D29="",0,D29),IF(E29="",0,E29)),5)),"")</f>
        <v/>
      </c>
      <c r="G29" s="24" t="str">
        <f aca="false">IFERROR(IF(F29="","",ROUND(F29/2,1)),"")</f>
        <v/>
      </c>
      <c r="H29" s="24" t="str">
        <f aca="false">IFERROR(IF(F29="","",ROUND(F29/2,1)),"")</f>
        <v/>
      </c>
      <c r="I29" s="23"/>
      <c r="J29" s="23"/>
      <c r="K29" s="25" t="n">
        <f aca="false">IFERROR(IF(AND(G29="",H29="",I29="",J29=""),0,SUM(IF(G29="",0,G29),IF(H29="",0,H29),IF(I29="",0,I29),IF(J29="",0,J29))),0)</f>
        <v>0</v>
      </c>
      <c r="L29" s="25" t="n">
        <f aca="false">IFERROR(IF(K29=0,0,ROUND(K29/11*100,1)),0)</f>
        <v>0</v>
      </c>
      <c r="M29" s="27" t="str">
        <f aca="false">IF(K29=0,"N",IF(L29&gt;=40,"Y","N"))</f>
        <v>N</v>
      </c>
      <c r="N29" s="23"/>
      <c r="O29" s="23"/>
      <c r="P29" s="24" t="str">
        <f aca="false">IFERROR(IF(AND(N29="",O29=""),"",MIN(MAX(IF(N29="",0,N29),IF(O29="",0,O29)),5)),"")</f>
        <v/>
      </c>
      <c r="Q29" s="24" t="str">
        <f aca="false">IFERROR(IF(P29="","",ROUND(P29/2,1)),"")</f>
        <v/>
      </c>
      <c r="R29" s="24" t="str">
        <f aca="false">IFERROR(IF(P29="","",ROUND(P29/2,1)),"")</f>
        <v/>
      </c>
      <c r="S29" s="23"/>
      <c r="T29" s="23"/>
      <c r="U29" s="25" t="n">
        <f aca="false">IFERROR(SUM(IF(Q29="",0,Q29),IF(R29="",0,R29),IF(S29="",0,S29),IF(T29="",0,T29)),0)</f>
        <v>0</v>
      </c>
      <c r="V29" s="25" t="n">
        <f aca="false">IFERROR(IF(U29=0,0,ROUND(U29/11*100,1)),0)</f>
        <v>0</v>
      </c>
      <c r="W29" s="27" t="str">
        <f aca="false">IF(U29=0,"N",IF(V29&gt;=40,"Y","N"))</f>
        <v>N</v>
      </c>
      <c r="X29" s="23"/>
      <c r="Y29" s="23"/>
      <c r="Z29" s="24" t="str">
        <f aca="false">IFERROR(IF(AND(X29="",Y29=""),"",MIN(MAX(IF(X29="",0,X29),IF(Y29="",0,Y29)),5)),"")</f>
        <v/>
      </c>
      <c r="AA29" s="24" t="str">
        <f aca="false">IFERROR(IF(Z29="","",ROUND(Z29/2,1)),"")</f>
        <v/>
      </c>
      <c r="AB29" s="23"/>
      <c r="AC29" s="25" t="n">
        <f aca="false">IFERROR(SUM(IF(Z29="",0,Z29),IF(AB29="",0,AB29)),0)</f>
        <v>0</v>
      </c>
      <c r="AD29" s="25" t="n">
        <f aca="false">IFERROR(IF(AC29=0,0,ROUND(AC29/8*100,1)),0)</f>
        <v>0</v>
      </c>
      <c r="AE29" s="27" t="str">
        <f aca="false">IF(AC29=0,"N",IF(AD29&gt;=40,"Y","N"))</f>
        <v>N</v>
      </c>
      <c r="AF29" s="25" t="n">
        <f aca="false">IFERROR(MIN(SUM(IF(F29="",0,F29),IF(P29="",0,P29),IF(Z29="",0,Z29)),15),0)</f>
        <v>0</v>
      </c>
      <c r="AG29" s="25" t="n">
        <f aca="false">IFERROR(MIN(SUM(IF(G29="",0,G29),IF(H29="",0,H29),IF(Q29="",0,Q29),IF(R29="",0,R29),IF(AA29="",0,AA29)),10),0)</f>
        <v>0</v>
      </c>
      <c r="AH29" s="25" t="n">
        <f aca="false">IFERROR(MIN(SUM(IF(I29="",0,I29),IF(J29="",0,J29),IF(S29="",0,S29),IF(T29="",0,T29),IF(AB29="",0,AB29)),5),0)</f>
        <v>0</v>
      </c>
      <c r="AI29" s="28" t="n">
        <f aca="false">IFERROR(AG29*2+AH29*4,0)</f>
        <v>0</v>
      </c>
      <c r="AJ29" s="29" t="n">
        <f aca="false">IFERROR(IF(AI29=0,0,ROUND(AI29/30*100,1)),0)</f>
        <v>0</v>
      </c>
    </row>
    <row r="30" customFormat="false" ht="18" hidden="false" customHeight="true" outlineLevel="0" collapsed="false">
      <c r="A30" s="30" t="n">
        <v>22</v>
      </c>
      <c r="B30" s="22"/>
      <c r="C30" s="31" t="s">
        <v>10</v>
      </c>
      <c r="D30" s="23"/>
      <c r="E30" s="23"/>
      <c r="F30" s="24" t="str">
        <f aca="false">IFERROR(IF(AND(D30="",E30=""),"",MIN(MAX(IF(D30="",0,D30),IF(E30="",0,E30)),5)),"")</f>
        <v/>
      </c>
      <c r="G30" s="24" t="str">
        <f aca="false">IFERROR(IF(F30="","",ROUND(F30/2,1)),"")</f>
        <v/>
      </c>
      <c r="H30" s="24" t="str">
        <f aca="false">IFERROR(IF(F30="","",ROUND(F30/2,1)),"")</f>
        <v/>
      </c>
      <c r="I30" s="23"/>
      <c r="J30" s="23"/>
      <c r="K30" s="25" t="n">
        <f aca="false">IFERROR(IF(AND(G30="",H30="",I30="",J30=""),0,SUM(IF(G30="",0,G30),IF(H30="",0,H30),IF(I30="",0,I30),IF(J30="",0,J30))),0)</f>
        <v>0</v>
      </c>
      <c r="L30" s="25" t="n">
        <f aca="false">IFERROR(IF(K30=0,0,ROUND(K30/11*100,1)),0)</f>
        <v>0</v>
      </c>
      <c r="M30" s="27" t="str">
        <f aca="false">IF(K30=0,"N",IF(L30&gt;=40,"Y","N"))</f>
        <v>N</v>
      </c>
      <c r="N30" s="23"/>
      <c r="O30" s="23"/>
      <c r="P30" s="24" t="str">
        <f aca="false">IFERROR(IF(AND(N30="",O30=""),"",MIN(MAX(IF(N30="",0,N30),IF(O30="",0,O30)),5)),"")</f>
        <v/>
      </c>
      <c r="Q30" s="24" t="str">
        <f aca="false">IFERROR(IF(P30="","",ROUND(P30/2,1)),"")</f>
        <v/>
      </c>
      <c r="R30" s="24" t="str">
        <f aca="false">IFERROR(IF(P30="","",ROUND(P30/2,1)),"")</f>
        <v/>
      </c>
      <c r="S30" s="23"/>
      <c r="T30" s="23"/>
      <c r="U30" s="25" t="n">
        <f aca="false">IFERROR(SUM(IF(Q30="",0,Q30),IF(R30="",0,R30),IF(S30="",0,S30),IF(T30="",0,T30)),0)</f>
        <v>0</v>
      </c>
      <c r="V30" s="25" t="n">
        <f aca="false">IFERROR(IF(U30=0,0,ROUND(U30/11*100,1)),0)</f>
        <v>0</v>
      </c>
      <c r="W30" s="27" t="str">
        <f aca="false">IF(U30=0,"N",IF(V30&gt;=40,"Y","N"))</f>
        <v>N</v>
      </c>
      <c r="X30" s="23"/>
      <c r="Y30" s="23"/>
      <c r="Z30" s="24" t="str">
        <f aca="false">IFERROR(IF(AND(X30="",Y30=""),"",MIN(MAX(IF(X30="",0,X30),IF(Y30="",0,Y30)),5)),"")</f>
        <v/>
      </c>
      <c r="AA30" s="24" t="str">
        <f aca="false">IFERROR(IF(Z30="","",ROUND(Z30/2,1)),"")</f>
        <v/>
      </c>
      <c r="AB30" s="23"/>
      <c r="AC30" s="25" t="n">
        <f aca="false">IFERROR(SUM(IF(Z30="",0,Z30),IF(AB30="",0,AB30)),0)</f>
        <v>0</v>
      </c>
      <c r="AD30" s="25" t="n">
        <f aca="false">IFERROR(IF(AC30=0,0,ROUND(AC30/8*100,1)),0)</f>
        <v>0</v>
      </c>
      <c r="AE30" s="27" t="str">
        <f aca="false">IF(AC30=0,"N",IF(AD30&gt;=40,"Y","N"))</f>
        <v>N</v>
      </c>
      <c r="AF30" s="25" t="n">
        <f aca="false">IFERROR(MIN(SUM(IF(F30="",0,F30),IF(P30="",0,P30),IF(Z30="",0,Z30)),15),0)</f>
        <v>0</v>
      </c>
      <c r="AG30" s="25" t="n">
        <f aca="false">IFERROR(MIN(SUM(IF(G30="",0,G30),IF(H30="",0,H30),IF(Q30="",0,Q30),IF(R30="",0,R30),IF(AA30="",0,AA30)),10),0)</f>
        <v>0</v>
      </c>
      <c r="AH30" s="25" t="n">
        <f aca="false">IFERROR(MIN(SUM(IF(I30="",0,I30),IF(J30="",0,J30),IF(S30="",0,S30),IF(T30="",0,T30),IF(AB30="",0,AB30)),5),0)</f>
        <v>0</v>
      </c>
      <c r="AI30" s="28" t="n">
        <f aca="false">IFERROR(AG30*2+AH30*4,0)</f>
        <v>0</v>
      </c>
      <c r="AJ30" s="29" t="n">
        <f aca="false">IFERROR(IF(AI30=0,0,ROUND(AI30/30*100,1)),0)</f>
        <v>0</v>
      </c>
    </row>
    <row r="31" customFormat="false" ht="18" hidden="false" customHeight="true" outlineLevel="0" collapsed="false">
      <c r="A31" s="21" t="n">
        <v>23</v>
      </c>
      <c r="B31" s="22"/>
      <c r="C31" s="19" t="s">
        <v>10</v>
      </c>
      <c r="D31" s="23"/>
      <c r="E31" s="23"/>
      <c r="F31" s="24" t="str">
        <f aca="false">IFERROR(IF(AND(D31="",E31=""),"",MIN(MAX(IF(D31="",0,D31),IF(E31="",0,E31)),5)),"")</f>
        <v/>
      </c>
      <c r="G31" s="24" t="str">
        <f aca="false">IFERROR(IF(F31="","",ROUND(F31/2,1)),"")</f>
        <v/>
      </c>
      <c r="H31" s="24" t="str">
        <f aca="false">IFERROR(IF(F31="","",ROUND(F31/2,1)),"")</f>
        <v/>
      </c>
      <c r="I31" s="23"/>
      <c r="J31" s="23"/>
      <c r="K31" s="25" t="n">
        <f aca="false">IFERROR(IF(AND(G31="",H31="",I31="",J31=""),0,SUM(IF(G31="",0,G31),IF(H31="",0,H31),IF(I31="",0,I31),IF(J31="",0,J31))),0)</f>
        <v>0</v>
      </c>
      <c r="L31" s="25" t="n">
        <f aca="false">IFERROR(IF(K31=0,0,ROUND(K31/11*100,1)),0)</f>
        <v>0</v>
      </c>
      <c r="M31" s="27" t="str">
        <f aca="false">IF(K31=0,"N",IF(L31&gt;=40,"Y","N"))</f>
        <v>N</v>
      </c>
      <c r="N31" s="23"/>
      <c r="O31" s="23"/>
      <c r="P31" s="24" t="str">
        <f aca="false">IFERROR(IF(AND(N31="",O31=""),"",MIN(MAX(IF(N31="",0,N31),IF(O31="",0,O31)),5)),"")</f>
        <v/>
      </c>
      <c r="Q31" s="24" t="str">
        <f aca="false">IFERROR(IF(P31="","",ROUND(P31/2,1)),"")</f>
        <v/>
      </c>
      <c r="R31" s="24" t="str">
        <f aca="false">IFERROR(IF(P31="","",ROUND(P31/2,1)),"")</f>
        <v/>
      </c>
      <c r="S31" s="23"/>
      <c r="T31" s="23"/>
      <c r="U31" s="25" t="n">
        <f aca="false">IFERROR(SUM(IF(Q31="",0,Q31),IF(R31="",0,R31),IF(S31="",0,S31),IF(T31="",0,T31)),0)</f>
        <v>0</v>
      </c>
      <c r="V31" s="25" t="n">
        <f aca="false">IFERROR(IF(U31=0,0,ROUND(U31/11*100,1)),0)</f>
        <v>0</v>
      </c>
      <c r="W31" s="27" t="str">
        <f aca="false">IF(U31=0,"N",IF(V31&gt;=40,"Y","N"))</f>
        <v>N</v>
      </c>
      <c r="X31" s="23"/>
      <c r="Y31" s="23"/>
      <c r="Z31" s="24" t="str">
        <f aca="false">IFERROR(IF(AND(X31="",Y31=""),"",MIN(MAX(IF(X31="",0,X31),IF(Y31="",0,Y31)),5)),"")</f>
        <v/>
      </c>
      <c r="AA31" s="24" t="str">
        <f aca="false">IFERROR(IF(Z31="","",ROUND(Z31/2,1)),"")</f>
        <v/>
      </c>
      <c r="AB31" s="23"/>
      <c r="AC31" s="25" t="n">
        <f aca="false">IFERROR(SUM(IF(Z31="",0,Z31),IF(AB31="",0,AB31)),0)</f>
        <v>0</v>
      </c>
      <c r="AD31" s="25" t="n">
        <f aca="false">IFERROR(IF(AC31=0,0,ROUND(AC31/8*100,1)),0)</f>
        <v>0</v>
      </c>
      <c r="AE31" s="27" t="str">
        <f aca="false">IF(AC31=0,"N",IF(AD31&gt;=40,"Y","N"))</f>
        <v>N</v>
      </c>
      <c r="AF31" s="25" t="n">
        <f aca="false">IFERROR(MIN(SUM(IF(F31="",0,F31),IF(P31="",0,P31),IF(Z31="",0,Z31)),15),0)</f>
        <v>0</v>
      </c>
      <c r="AG31" s="25" t="n">
        <f aca="false">IFERROR(MIN(SUM(IF(G31="",0,G31),IF(H31="",0,H31),IF(Q31="",0,Q31),IF(R31="",0,R31),IF(AA31="",0,AA31)),10),0)</f>
        <v>0</v>
      </c>
      <c r="AH31" s="25" t="n">
        <f aca="false">IFERROR(MIN(SUM(IF(I31="",0,I31),IF(J31="",0,J31),IF(S31="",0,S31),IF(T31="",0,T31),IF(AB31="",0,AB31)),5),0)</f>
        <v>0</v>
      </c>
      <c r="AI31" s="28" t="n">
        <f aca="false">IFERROR(AG31*2+AH31*4,0)</f>
        <v>0</v>
      </c>
      <c r="AJ31" s="29" t="n">
        <f aca="false">IFERROR(IF(AI31=0,0,ROUND(AI31/30*100,1)),0)</f>
        <v>0</v>
      </c>
    </row>
    <row r="32" customFormat="false" ht="18" hidden="false" customHeight="true" outlineLevel="0" collapsed="false">
      <c r="A32" s="30" t="n">
        <v>24</v>
      </c>
      <c r="B32" s="22"/>
      <c r="C32" s="31" t="s">
        <v>10</v>
      </c>
      <c r="D32" s="23"/>
      <c r="E32" s="23"/>
      <c r="F32" s="24" t="str">
        <f aca="false">IFERROR(IF(AND(D32="",E32=""),"",MIN(MAX(IF(D32="",0,D32),IF(E32="",0,E32)),5)),"")</f>
        <v/>
      </c>
      <c r="G32" s="24" t="str">
        <f aca="false">IFERROR(IF(F32="","",ROUND(F32/2,1)),"")</f>
        <v/>
      </c>
      <c r="H32" s="24" t="str">
        <f aca="false">IFERROR(IF(F32="","",ROUND(F32/2,1)),"")</f>
        <v/>
      </c>
      <c r="I32" s="23"/>
      <c r="J32" s="23"/>
      <c r="K32" s="25" t="n">
        <f aca="false">IFERROR(IF(AND(G32="",H32="",I32="",J32=""),0,SUM(IF(G32="",0,G32),IF(H32="",0,H32),IF(I32="",0,I32),IF(J32="",0,J32))),0)</f>
        <v>0</v>
      </c>
      <c r="L32" s="25" t="n">
        <f aca="false">IFERROR(IF(K32=0,0,ROUND(K32/11*100,1)),0)</f>
        <v>0</v>
      </c>
      <c r="M32" s="27" t="str">
        <f aca="false">IF(K32=0,"N",IF(L32&gt;=40,"Y","N"))</f>
        <v>N</v>
      </c>
      <c r="N32" s="23"/>
      <c r="O32" s="23"/>
      <c r="P32" s="24" t="str">
        <f aca="false">IFERROR(IF(AND(N32="",O32=""),"",MIN(MAX(IF(N32="",0,N32),IF(O32="",0,O32)),5)),"")</f>
        <v/>
      </c>
      <c r="Q32" s="24" t="str">
        <f aca="false">IFERROR(IF(P32="","",ROUND(P32/2,1)),"")</f>
        <v/>
      </c>
      <c r="R32" s="24" t="str">
        <f aca="false">IFERROR(IF(P32="","",ROUND(P32/2,1)),"")</f>
        <v/>
      </c>
      <c r="S32" s="23"/>
      <c r="T32" s="23"/>
      <c r="U32" s="25" t="n">
        <f aca="false">IFERROR(SUM(IF(Q32="",0,Q32),IF(R32="",0,R32),IF(S32="",0,S32),IF(T32="",0,T32)),0)</f>
        <v>0</v>
      </c>
      <c r="V32" s="25" t="n">
        <f aca="false">IFERROR(IF(U32=0,0,ROUND(U32/11*100,1)),0)</f>
        <v>0</v>
      </c>
      <c r="W32" s="27" t="str">
        <f aca="false">IF(U32=0,"N",IF(V32&gt;=40,"Y","N"))</f>
        <v>N</v>
      </c>
      <c r="X32" s="23"/>
      <c r="Y32" s="23"/>
      <c r="Z32" s="24" t="str">
        <f aca="false">IFERROR(IF(AND(X32="",Y32=""),"",MIN(MAX(IF(X32="",0,X32),IF(Y32="",0,Y32)),5)),"")</f>
        <v/>
      </c>
      <c r="AA32" s="24" t="str">
        <f aca="false">IFERROR(IF(Z32="","",ROUND(Z32/2,1)),"")</f>
        <v/>
      </c>
      <c r="AB32" s="23"/>
      <c r="AC32" s="25" t="n">
        <f aca="false">IFERROR(SUM(IF(Z32="",0,Z32),IF(AB32="",0,AB32)),0)</f>
        <v>0</v>
      </c>
      <c r="AD32" s="25" t="n">
        <f aca="false">IFERROR(IF(AC32=0,0,ROUND(AC32/8*100,1)),0)</f>
        <v>0</v>
      </c>
      <c r="AE32" s="27" t="str">
        <f aca="false">IF(AC32=0,"N",IF(AD32&gt;=40,"Y","N"))</f>
        <v>N</v>
      </c>
      <c r="AF32" s="25" t="n">
        <f aca="false">IFERROR(MIN(SUM(IF(F32="",0,F32),IF(P32="",0,P32),IF(Z32="",0,Z32)),15),0)</f>
        <v>0</v>
      </c>
      <c r="AG32" s="25" t="n">
        <f aca="false">IFERROR(MIN(SUM(IF(G32="",0,G32),IF(H32="",0,H32),IF(Q32="",0,Q32),IF(R32="",0,R32),IF(AA32="",0,AA32)),10),0)</f>
        <v>0</v>
      </c>
      <c r="AH32" s="25" t="n">
        <f aca="false">IFERROR(MIN(SUM(IF(I32="",0,I32),IF(J32="",0,J32),IF(S32="",0,S32),IF(T32="",0,T32),IF(AB32="",0,AB32)),5),0)</f>
        <v>0</v>
      </c>
      <c r="AI32" s="28" t="n">
        <f aca="false">IFERROR(AG32*2+AH32*4,0)</f>
        <v>0</v>
      </c>
      <c r="AJ32" s="29" t="n">
        <f aca="false">IFERROR(IF(AI32=0,0,ROUND(AI32/30*100,1)),0)</f>
        <v>0</v>
      </c>
    </row>
    <row r="33" customFormat="false" ht="18" hidden="false" customHeight="true" outlineLevel="0" collapsed="false">
      <c r="A33" s="21" t="n">
        <v>25</v>
      </c>
      <c r="B33" s="22"/>
      <c r="C33" s="19" t="s">
        <v>10</v>
      </c>
      <c r="D33" s="23"/>
      <c r="E33" s="23"/>
      <c r="F33" s="24" t="str">
        <f aca="false">IFERROR(IF(AND(D33="",E33=""),"",MIN(MAX(IF(D33="",0,D33),IF(E33="",0,E33)),5)),"")</f>
        <v/>
      </c>
      <c r="G33" s="24" t="str">
        <f aca="false">IFERROR(IF(F33="","",ROUND(F33/2,1)),"")</f>
        <v/>
      </c>
      <c r="H33" s="24" t="str">
        <f aca="false">IFERROR(IF(F33="","",ROUND(F33/2,1)),"")</f>
        <v/>
      </c>
      <c r="I33" s="23"/>
      <c r="J33" s="23"/>
      <c r="K33" s="25" t="n">
        <f aca="false">IFERROR(IF(AND(G33="",H33="",I33="",J33=""),0,SUM(IF(G33="",0,G33),IF(H33="",0,H33),IF(I33="",0,I33),IF(J33="",0,J33))),0)</f>
        <v>0</v>
      </c>
      <c r="L33" s="25" t="n">
        <f aca="false">IFERROR(IF(K33=0,0,ROUND(K33/11*100,1)),0)</f>
        <v>0</v>
      </c>
      <c r="M33" s="27" t="str">
        <f aca="false">IF(K33=0,"N",IF(L33&gt;=40,"Y","N"))</f>
        <v>N</v>
      </c>
      <c r="N33" s="23"/>
      <c r="O33" s="23"/>
      <c r="P33" s="24" t="str">
        <f aca="false">IFERROR(IF(AND(N33="",O33=""),"",MIN(MAX(IF(N33="",0,N33),IF(O33="",0,O33)),5)),"")</f>
        <v/>
      </c>
      <c r="Q33" s="24" t="str">
        <f aca="false">IFERROR(IF(P33="","",ROUND(P33/2,1)),"")</f>
        <v/>
      </c>
      <c r="R33" s="24" t="str">
        <f aca="false">IFERROR(IF(P33="","",ROUND(P33/2,1)),"")</f>
        <v/>
      </c>
      <c r="S33" s="23"/>
      <c r="T33" s="23"/>
      <c r="U33" s="25" t="n">
        <f aca="false">IFERROR(SUM(IF(Q33="",0,Q33),IF(R33="",0,R33),IF(S33="",0,S33),IF(T33="",0,T33)),0)</f>
        <v>0</v>
      </c>
      <c r="V33" s="25" t="n">
        <f aca="false">IFERROR(IF(U33=0,0,ROUND(U33/11*100,1)),0)</f>
        <v>0</v>
      </c>
      <c r="W33" s="27" t="str">
        <f aca="false">IF(U33=0,"N",IF(V33&gt;=40,"Y","N"))</f>
        <v>N</v>
      </c>
      <c r="X33" s="23"/>
      <c r="Y33" s="23"/>
      <c r="Z33" s="24" t="str">
        <f aca="false">IFERROR(IF(AND(X33="",Y33=""),"",MIN(MAX(IF(X33="",0,X33),IF(Y33="",0,Y33)),5)),"")</f>
        <v/>
      </c>
      <c r="AA33" s="24" t="str">
        <f aca="false">IFERROR(IF(Z33="","",ROUND(Z33/2,1)),"")</f>
        <v/>
      </c>
      <c r="AB33" s="23"/>
      <c r="AC33" s="25" t="n">
        <f aca="false">IFERROR(SUM(IF(Z33="",0,Z33),IF(AB33="",0,AB33)),0)</f>
        <v>0</v>
      </c>
      <c r="AD33" s="25" t="n">
        <f aca="false">IFERROR(IF(AC33=0,0,ROUND(AC33/8*100,1)),0)</f>
        <v>0</v>
      </c>
      <c r="AE33" s="27" t="str">
        <f aca="false">IF(AC33=0,"N",IF(AD33&gt;=40,"Y","N"))</f>
        <v>N</v>
      </c>
      <c r="AF33" s="25" t="n">
        <f aca="false">IFERROR(MIN(SUM(IF(F33="",0,F33),IF(P33="",0,P33),IF(Z33="",0,Z33)),15),0)</f>
        <v>0</v>
      </c>
      <c r="AG33" s="25" t="n">
        <f aca="false">IFERROR(MIN(SUM(IF(G33="",0,G33),IF(H33="",0,H33),IF(Q33="",0,Q33),IF(R33="",0,R33),IF(AA33="",0,AA33)),10),0)</f>
        <v>0</v>
      </c>
      <c r="AH33" s="25" t="n">
        <f aca="false">IFERROR(MIN(SUM(IF(I33="",0,I33),IF(J33="",0,J33),IF(S33="",0,S33),IF(T33="",0,T33),IF(AB33="",0,AB33)),5),0)</f>
        <v>0</v>
      </c>
      <c r="AI33" s="28" t="n">
        <f aca="false">IFERROR(AG33*2+AH33*4,0)</f>
        <v>0</v>
      </c>
      <c r="AJ33" s="29" t="n">
        <f aca="false">IFERROR(IF(AI33=0,0,ROUND(AI33/30*100,1)),0)</f>
        <v>0</v>
      </c>
    </row>
    <row r="34" customFormat="false" ht="18" hidden="false" customHeight="true" outlineLevel="0" collapsed="false">
      <c r="A34" s="30" t="n">
        <v>26</v>
      </c>
      <c r="B34" s="22"/>
      <c r="C34" s="31" t="s">
        <v>10</v>
      </c>
      <c r="D34" s="23"/>
      <c r="E34" s="23"/>
      <c r="F34" s="24" t="str">
        <f aca="false">IFERROR(IF(AND(D34="",E34=""),"",MIN(MAX(IF(D34="",0,D34),IF(E34="",0,E34)),5)),"")</f>
        <v/>
      </c>
      <c r="G34" s="24" t="str">
        <f aca="false">IFERROR(IF(F34="","",ROUND(F34/2,1)),"")</f>
        <v/>
      </c>
      <c r="H34" s="24" t="str">
        <f aca="false">IFERROR(IF(F34="","",ROUND(F34/2,1)),"")</f>
        <v/>
      </c>
      <c r="I34" s="23"/>
      <c r="J34" s="23"/>
      <c r="K34" s="25" t="n">
        <f aca="false">IFERROR(IF(AND(G34="",H34="",I34="",J34=""),0,SUM(IF(G34="",0,G34),IF(H34="",0,H34),IF(I34="",0,I34),IF(J34="",0,J34))),0)</f>
        <v>0</v>
      </c>
      <c r="L34" s="25" t="n">
        <f aca="false">IFERROR(IF(K34=0,0,ROUND(K34/11*100,1)),0)</f>
        <v>0</v>
      </c>
      <c r="M34" s="27" t="str">
        <f aca="false">IF(K34=0,"N",IF(L34&gt;=40,"Y","N"))</f>
        <v>N</v>
      </c>
      <c r="N34" s="23"/>
      <c r="O34" s="23"/>
      <c r="P34" s="24" t="str">
        <f aca="false">IFERROR(IF(AND(N34="",O34=""),"",MIN(MAX(IF(N34="",0,N34),IF(O34="",0,O34)),5)),"")</f>
        <v/>
      </c>
      <c r="Q34" s="24" t="str">
        <f aca="false">IFERROR(IF(P34="","",ROUND(P34/2,1)),"")</f>
        <v/>
      </c>
      <c r="R34" s="24" t="str">
        <f aca="false">IFERROR(IF(P34="","",ROUND(P34/2,1)),"")</f>
        <v/>
      </c>
      <c r="S34" s="23"/>
      <c r="T34" s="23"/>
      <c r="U34" s="25" t="n">
        <f aca="false">IFERROR(SUM(IF(Q34="",0,Q34),IF(R34="",0,R34),IF(S34="",0,S34),IF(T34="",0,T34)),0)</f>
        <v>0</v>
      </c>
      <c r="V34" s="25" t="n">
        <f aca="false">IFERROR(IF(U34=0,0,ROUND(U34/11*100,1)),0)</f>
        <v>0</v>
      </c>
      <c r="W34" s="27" t="str">
        <f aca="false">IF(U34=0,"N",IF(V34&gt;=40,"Y","N"))</f>
        <v>N</v>
      </c>
      <c r="X34" s="23"/>
      <c r="Y34" s="23"/>
      <c r="Z34" s="24" t="str">
        <f aca="false">IFERROR(IF(AND(X34="",Y34=""),"",MIN(MAX(IF(X34="",0,X34),IF(Y34="",0,Y34)),5)),"")</f>
        <v/>
      </c>
      <c r="AA34" s="24" t="str">
        <f aca="false">IFERROR(IF(Z34="","",ROUND(Z34/2,1)),"")</f>
        <v/>
      </c>
      <c r="AB34" s="23"/>
      <c r="AC34" s="25" t="n">
        <f aca="false">IFERROR(SUM(IF(Z34="",0,Z34),IF(AB34="",0,AB34)),0)</f>
        <v>0</v>
      </c>
      <c r="AD34" s="25" t="n">
        <f aca="false">IFERROR(IF(AC34=0,0,ROUND(AC34/8*100,1)),0)</f>
        <v>0</v>
      </c>
      <c r="AE34" s="27" t="str">
        <f aca="false">IF(AC34=0,"N",IF(AD34&gt;=40,"Y","N"))</f>
        <v>N</v>
      </c>
      <c r="AF34" s="25" t="n">
        <f aca="false">IFERROR(MIN(SUM(IF(F34="",0,F34),IF(P34="",0,P34),IF(Z34="",0,Z34)),15),0)</f>
        <v>0</v>
      </c>
      <c r="AG34" s="25" t="n">
        <f aca="false">IFERROR(MIN(SUM(IF(G34="",0,G34),IF(H34="",0,H34),IF(Q34="",0,Q34),IF(R34="",0,R34),IF(AA34="",0,AA34)),10),0)</f>
        <v>0</v>
      </c>
      <c r="AH34" s="25" t="n">
        <f aca="false">IFERROR(MIN(SUM(IF(I34="",0,I34),IF(J34="",0,J34),IF(S34="",0,S34),IF(T34="",0,T34),IF(AB34="",0,AB34)),5),0)</f>
        <v>0</v>
      </c>
      <c r="AI34" s="28" t="n">
        <f aca="false">IFERROR(AG34*2+AH34*4,0)</f>
        <v>0</v>
      </c>
      <c r="AJ34" s="29" t="n">
        <f aca="false">IFERROR(IF(AI34=0,0,ROUND(AI34/30*100,1)),0)</f>
        <v>0</v>
      </c>
    </row>
    <row r="35" customFormat="false" ht="18" hidden="false" customHeight="true" outlineLevel="0" collapsed="false">
      <c r="A35" s="21" t="n">
        <v>27</v>
      </c>
      <c r="B35" s="22"/>
      <c r="C35" s="19" t="s">
        <v>10</v>
      </c>
      <c r="D35" s="23"/>
      <c r="E35" s="23"/>
      <c r="F35" s="24" t="str">
        <f aca="false">IFERROR(IF(AND(D35="",E35=""),"",MIN(MAX(IF(D35="",0,D35),IF(E35="",0,E35)),5)),"")</f>
        <v/>
      </c>
      <c r="G35" s="24" t="str">
        <f aca="false">IFERROR(IF(F35="","",ROUND(F35/2,1)),"")</f>
        <v/>
      </c>
      <c r="H35" s="24" t="str">
        <f aca="false">IFERROR(IF(F35="","",ROUND(F35/2,1)),"")</f>
        <v/>
      </c>
      <c r="I35" s="23"/>
      <c r="J35" s="23"/>
      <c r="K35" s="25" t="n">
        <f aca="false">IFERROR(IF(AND(G35="",H35="",I35="",J35=""),0,SUM(IF(G35="",0,G35),IF(H35="",0,H35),IF(I35="",0,I35),IF(J35="",0,J35))),0)</f>
        <v>0</v>
      </c>
      <c r="L35" s="25" t="n">
        <f aca="false">IFERROR(IF(K35=0,0,ROUND(K35/11*100,1)),0)</f>
        <v>0</v>
      </c>
      <c r="M35" s="27" t="str">
        <f aca="false">IF(K35=0,"N",IF(L35&gt;=40,"Y","N"))</f>
        <v>N</v>
      </c>
      <c r="N35" s="23"/>
      <c r="O35" s="23"/>
      <c r="P35" s="24" t="str">
        <f aca="false">IFERROR(IF(AND(N35="",O35=""),"",MIN(MAX(IF(N35="",0,N35),IF(O35="",0,O35)),5)),"")</f>
        <v/>
      </c>
      <c r="Q35" s="24" t="str">
        <f aca="false">IFERROR(IF(P35="","",ROUND(P35/2,1)),"")</f>
        <v/>
      </c>
      <c r="R35" s="24" t="str">
        <f aca="false">IFERROR(IF(P35="","",ROUND(P35/2,1)),"")</f>
        <v/>
      </c>
      <c r="S35" s="23"/>
      <c r="T35" s="23"/>
      <c r="U35" s="25" t="n">
        <f aca="false">IFERROR(SUM(IF(Q35="",0,Q35),IF(R35="",0,R35),IF(S35="",0,S35),IF(T35="",0,T35)),0)</f>
        <v>0</v>
      </c>
      <c r="V35" s="25" t="n">
        <f aca="false">IFERROR(IF(U35=0,0,ROUND(U35/11*100,1)),0)</f>
        <v>0</v>
      </c>
      <c r="W35" s="27" t="str">
        <f aca="false">IF(U35=0,"N",IF(V35&gt;=40,"Y","N"))</f>
        <v>N</v>
      </c>
      <c r="X35" s="23"/>
      <c r="Y35" s="23"/>
      <c r="Z35" s="24" t="str">
        <f aca="false">IFERROR(IF(AND(X35="",Y35=""),"",MIN(MAX(IF(X35="",0,X35),IF(Y35="",0,Y35)),5)),"")</f>
        <v/>
      </c>
      <c r="AA35" s="24" t="str">
        <f aca="false">IFERROR(IF(Z35="","",ROUND(Z35/2,1)),"")</f>
        <v/>
      </c>
      <c r="AB35" s="23"/>
      <c r="AC35" s="25" t="n">
        <f aca="false">IFERROR(SUM(IF(Z35="",0,Z35),IF(AB35="",0,AB35)),0)</f>
        <v>0</v>
      </c>
      <c r="AD35" s="25" t="n">
        <f aca="false">IFERROR(IF(AC35=0,0,ROUND(AC35/8*100,1)),0)</f>
        <v>0</v>
      </c>
      <c r="AE35" s="27" t="str">
        <f aca="false">IF(AC35=0,"N",IF(AD35&gt;=40,"Y","N"))</f>
        <v>N</v>
      </c>
      <c r="AF35" s="25" t="n">
        <f aca="false">IFERROR(MIN(SUM(IF(F35="",0,F35),IF(P35="",0,P35),IF(Z35="",0,Z35)),15),0)</f>
        <v>0</v>
      </c>
      <c r="AG35" s="25" t="n">
        <f aca="false">IFERROR(MIN(SUM(IF(G35="",0,G35),IF(H35="",0,H35),IF(Q35="",0,Q35),IF(R35="",0,R35),IF(AA35="",0,AA35)),10),0)</f>
        <v>0</v>
      </c>
      <c r="AH35" s="25" t="n">
        <f aca="false">IFERROR(MIN(SUM(IF(I35="",0,I35),IF(J35="",0,J35),IF(S35="",0,S35),IF(T35="",0,T35),IF(AB35="",0,AB35)),5),0)</f>
        <v>0</v>
      </c>
      <c r="AI35" s="28" t="n">
        <f aca="false">IFERROR(AG35*2+AH35*4,0)</f>
        <v>0</v>
      </c>
      <c r="AJ35" s="29" t="n">
        <f aca="false">IFERROR(IF(AI35=0,0,ROUND(AI35/30*100,1)),0)</f>
        <v>0</v>
      </c>
    </row>
    <row r="36" customFormat="false" ht="18" hidden="false" customHeight="true" outlineLevel="0" collapsed="false">
      <c r="A36" s="30" t="n">
        <v>28</v>
      </c>
      <c r="B36" s="22"/>
      <c r="C36" s="31" t="s">
        <v>10</v>
      </c>
      <c r="D36" s="23"/>
      <c r="E36" s="23"/>
      <c r="F36" s="24" t="str">
        <f aca="false">IFERROR(IF(AND(D36="",E36=""),"",MIN(MAX(IF(D36="",0,D36),IF(E36="",0,E36)),5)),"")</f>
        <v/>
      </c>
      <c r="G36" s="24" t="str">
        <f aca="false">IFERROR(IF(F36="","",ROUND(F36/2,1)),"")</f>
        <v/>
      </c>
      <c r="H36" s="24" t="str">
        <f aca="false">IFERROR(IF(F36="","",ROUND(F36/2,1)),"")</f>
        <v/>
      </c>
      <c r="I36" s="23"/>
      <c r="J36" s="23"/>
      <c r="K36" s="25" t="n">
        <f aca="false">IFERROR(IF(AND(G36="",H36="",I36="",J36=""),0,SUM(IF(G36="",0,G36),IF(H36="",0,H36),IF(I36="",0,I36),IF(J36="",0,J36))),0)</f>
        <v>0</v>
      </c>
      <c r="L36" s="25" t="n">
        <f aca="false">IFERROR(IF(K36=0,0,ROUND(K36/11*100,1)),0)</f>
        <v>0</v>
      </c>
      <c r="M36" s="27" t="str">
        <f aca="false">IF(K36=0,"N",IF(L36&gt;=40,"Y","N"))</f>
        <v>N</v>
      </c>
      <c r="N36" s="23"/>
      <c r="O36" s="23"/>
      <c r="P36" s="24" t="str">
        <f aca="false">IFERROR(IF(AND(N36="",O36=""),"",MIN(MAX(IF(N36="",0,N36),IF(O36="",0,O36)),5)),"")</f>
        <v/>
      </c>
      <c r="Q36" s="24" t="str">
        <f aca="false">IFERROR(IF(P36="","",ROUND(P36/2,1)),"")</f>
        <v/>
      </c>
      <c r="R36" s="24" t="str">
        <f aca="false">IFERROR(IF(P36="","",ROUND(P36/2,1)),"")</f>
        <v/>
      </c>
      <c r="S36" s="23"/>
      <c r="T36" s="23"/>
      <c r="U36" s="25" t="n">
        <f aca="false">IFERROR(SUM(IF(Q36="",0,Q36),IF(R36="",0,R36),IF(S36="",0,S36),IF(T36="",0,T36)),0)</f>
        <v>0</v>
      </c>
      <c r="V36" s="25" t="n">
        <f aca="false">IFERROR(IF(U36=0,0,ROUND(U36/11*100,1)),0)</f>
        <v>0</v>
      </c>
      <c r="W36" s="27" t="str">
        <f aca="false">IF(U36=0,"N",IF(V36&gt;=40,"Y","N"))</f>
        <v>N</v>
      </c>
      <c r="X36" s="23"/>
      <c r="Y36" s="23"/>
      <c r="Z36" s="24" t="str">
        <f aca="false">IFERROR(IF(AND(X36="",Y36=""),"",MIN(MAX(IF(X36="",0,X36),IF(Y36="",0,Y36)),5)),"")</f>
        <v/>
      </c>
      <c r="AA36" s="24" t="str">
        <f aca="false">IFERROR(IF(Z36="","",ROUND(Z36/2,1)),"")</f>
        <v/>
      </c>
      <c r="AB36" s="23"/>
      <c r="AC36" s="25" t="n">
        <f aca="false">IFERROR(SUM(IF(Z36="",0,Z36),IF(AB36="",0,AB36)),0)</f>
        <v>0</v>
      </c>
      <c r="AD36" s="25" t="n">
        <f aca="false">IFERROR(IF(AC36=0,0,ROUND(AC36/8*100,1)),0)</f>
        <v>0</v>
      </c>
      <c r="AE36" s="27" t="str">
        <f aca="false">IF(AC36=0,"N",IF(AD36&gt;=40,"Y","N"))</f>
        <v>N</v>
      </c>
      <c r="AF36" s="25" t="n">
        <f aca="false">IFERROR(MIN(SUM(IF(F36="",0,F36),IF(P36="",0,P36),IF(Z36="",0,Z36)),15),0)</f>
        <v>0</v>
      </c>
      <c r="AG36" s="25" t="n">
        <f aca="false">IFERROR(MIN(SUM(IF(G36="",0,G36),IF(H36="",0,H36),IF(Q36="",0,Q36),IF(R36="",0,R36),IF(AA36="",0,AA36)),10),0)</f>
        <v>0</v>
      </c>
      <c r="AH36" s="25" t="n">
        <f aca="false">IFERROR(MIN(SUM(IF(I36="",0,I36),IF(J36="",0,J36),IF(S36="",0,S36),IF(T36="",0,T36),IF(AB36="",0,AB36)),5),0)</f>
        <v>0</v>
      </c>
      <c r="AI36" s="28" t="n">
        <f aca="false">IFERROR(AG36*2+AH36*4,0)</f>
        <v>0</v>
      </c>
      <c r="AJ36" s="29" t="n">
        <f aca="false">IFERROR(IF(AI36=0,0,ROUND(AI36/30*100,1)),0)</f>
        <v>0</v>
      </c>
    </row>
    <row r="37" customFormat="false" ht="18" hidden="false" customHeight="true" outlineLevel="0" collapsed="false">
      <c r="A37" s="21" t="n">
        <v>29</v>
      </c>
      <c r="B37" s="22"/>
      <c r="C37" s="19" t="s">
        <v>10</v>
      </c>
      <c r="D37" s="23"/>
      <c r="E37" s="23"/>
      <c r="F37" s="24" t="str">
        <f aca="false">IFERROR(IF(AND(D37="",E37=""),"",MIN(MAX(IF(D37="",0,D37),IF(E37="",0,E37)),5)),"")</f>
        <v/>
      </c>
      <c r="G37" s="24" t="str">
        <f aca="false">IFERROR(IF(F37="","",ROUND(F37/2,1)),"")</f>
        <v/>
      </c>
      <c r="H37" s="24" t="str">
        <f aca="false">IFERROR(IF(F37="","",ROUND(F37/2,1)),"")</f>
        <v/>
      </c>
      <c r="I37" s="23"/>
      <c r="J37" s="23"/>
      <c r="K37" s="25" t="n">
        <f aca="false">IFERROR(IF(AND(G37="",H37="",I37="",J37=""),0,SUM(IF(G37="",0,G37),IF(H37="",0,H37),IF(I37="",0,I37),IF(J37="",0,J37))),0)</f>
        <v>0</v>
      </c>
      <c r="L37" s="25" t="n">
        <f aca="false">IFERROR(IF(K37=0,0,ROUND(K37/11*100,1)),0)</f>
        <v>0</v>
      </c>
      <c r="M37" s="27" t="str">
        <f aca="false">IF(K37=0,"N",IF(L37&gt;=40,"Y","N"))</f>
        <v>N</v>
      </c>
      <c r="N37" s="23"/>
      <c r="O37" s="23"/>
      <c r="P37" s="24" t="str">
        <f aca="false">IFERROR(IF(AND(N37="",O37=""),"",MIN(MAX(IF(N37="",0,N37),IF(O37="",0,O37)),5)),"")</f>
        <v/>
      </c>
      <c r="Q37" s="24" t="str">
        <f aca="false">IFERROR(IF(P37="","",ROUND(P37/2,1)),"")</f>
        <v/>
      </c>
      <c r="R37" s="24" t="str">
        <f aca="false">IFERROR(IF(P37="","",ROUND(P37/2,1)),"")</f>
        <v/>
      </c>
      <c r="S37" s="23"/>
      <c r="T37" s="23"/>
      <c r="U37" s="25" t="n">
        <f aca="false">IFERROR(SUM(IF(Q37="",0,Q37),IF(R37="",0,R37),IF(S37="",0,S37),IF(T37="",0,T37)),0)</f>
        <v>0</v>
      </c>
      <c r="V37" s="25" t="n">
        <f aca="false">IFERROR(IF(U37=0,0,ROUND(U37/11*100,1)),0)</f>
        <v>0</v>
      </c>
      <c r="W37" s="27" t="str">
        <f aca="false">IF(U37=0,"N",IF(V37&gt;=40,"Y","N"))</f>
        <v>N</v>
      </c>
      <c r="X37" s="23"/>
      <c r="Y37" s="23"/>
      <c r="Z37" s="24" t="str">
        <f aca="false">IFERROR(IF(AND(X37="",Y37=""),"",MIN(MAX(IF(X37="",0,X37),IF(Y37="",0,Y37)),5)),"")</f>
        <v/>
      </c>
      <c r="AA37" s="24" t="str">
        <f aca="false">IFERROR(IF(Z37="","",ROUND(Z37/2,1)),"")</f>
        <v/>
      </c>
      <c r="AB37" s="23"/>
      <c r="AC37" s="25" t="n">
        <f aca="false">IFERROR(SUM(IF(Z37="",0,Z37),IF(AB37="",0,AB37)),0)</f>
        <v>0</v>
      </c>
      <c r="AD37" s="25" t="n">
        <f aca="false">IFERROR(IF(AC37=0,0,ROUND(AC37/8*100,1)),0)</f>
        <v>0</v>
      </c>
      <c r="AE37" s="27" t="str">
        <f aca="false">IF(AC37=0,"N",IF(AD37&gt;=40,"Y","N"))</f>
        <v>N</v>
      </c>
      <c r="AF37" s="25" t="n">
        <f aca="false">IFERROR(MIN(SUM(IF(F37="",0,F37),IF(P37="",0,P37),IF(Z37="",0,Z37)),15),0)</f>
        <v>0</v>
      </c>
      <c r="AG37" s="25" t="n">
        <f aca="false">IFERROR(MIN(SUM(IF(G37="",0,G37),IF(H37="",0,H37),IF(Q37="",0,Q37),IF(R37="",0,R37),IF(AA37="",0,AA37)),10),0)</f>
        <v>0</v>
      </c>
      <c r="AH37" s="25" t="n">
        <f aca="false">IFERROR(MIN(SUM(IF(I37="",0,I37),IF(J37="",0,J37),IF(S37="",0,S37),IF(T37="",0,T37),IF(AB37="",0,AB37)),5),0)</f>
        <v>0</v>
      </c>
      <c r="AI37" s="28" t="n">
        <f aca="false">IFERROR(AG37*2+AH37*4,0)</f>
        <v>0</v>
      </c>
      <c r="AJ37" s="29" t="n">
        <f aca="false">IFERROR(IF(AI37=0,0,ROUND(AI37/30*100,1)),0)</f>
        <v>0</v>
      </c>
    </row>
    <row r="38" customFormat="false" ht="18" hidden="false" customHeight="true" outlineLevel="0" collapsed="false">
      <c r="A38" s="30" t="n">
        <v>30</v>
      </c>
      <c r="B38" s="22"/>
      <c r="C38" s="31" t="s">
        <v>10</v>
      </c>
      <c r="D38" s="23"/>
      <c r="E38" s="23"/>
      <c r="F38" s="24" t="str">
        <f aca="false">IFERROR(IF(AND(D38="",E38=""),"",MIN(MAX(IF(D38="",0,D38),IF(E38="",0,E38)),5)),"")</f>
        <v/>
      </c>
      <c r="G38" s="24" t="str">
        <f aca="false">IFERROR(IF(F38="","",ROUND(F38/2,1)),"")</f>
        <v/>
      </c>
      <c r="H38" s="24" t="str">
        <f aca="false">IFERROR(IF(F38="","",ROUND(F38/2,1)),"")</f>
        <v/>
      </c>
      <c r="I38" s="23"/>
      <c r="J38" s="23"/>
      <c r="K38" s="25" t="n">
        <f aca="false">IFERROR(IF(AND(G38="",H38="",I38="",J38=""),0,SUM(IF(G38="",0,G38),IF(H38="",0,H38),IF(I38="",0,I38),IF(J38="",0,J38))),0)</f>
        <v>0</v>
      </c>
      <c r="L38" s="25" t="n">
        <f aca="false">IFERROR(IF(K38=0,0,ROUND(K38/11*100,1)),0)</f>
        <v>0</v>
      </c>
      <c r="M38" s="27" t="str">
        <f aca="false">IF(K38=0,"N",IF(L38&gt;=40,"Y","N"))</f>
        <v>N</v>
      </c>
      <c r="N38" s="23"/>
      <c r="O38" s="23"/>
      <c r="P38" s="24" t="str">
        <f aca="false">IFERROR(IF(AND(N38="",O38=""),"",MIN(MAX(IF(N38="",0,N38),IF(O38="",0,O38)),5)),"")</f>
        <v/>
      </c>
      <c r="Q38" s="24" t="str">
        <f aca="false">IFERROR(IF(P38="","",ROUND(P38/2,1)),"")</f>
        <v/>
      </c>
      <c r="R38" s="24" t="str">
        <f aca="false">IFERROR(IF(P38="","",ROUND(P38/2,1)),"")</f>
        <v/>
      </c>
      <c r="S38" s="23"/>
      <c r="T38" s="23"/>
      <c r="U38" s="25" t="n">
        <f aca="false">IFERROR(SUM(IF(Q38="",0,Q38),IF(R38="",0,R38),IF(S38="",0,S38),IF(T38="",0,T38)),0)</f>
        <v>0</v>
      </c>
      <c r="V38" s="25" t="n">
        <f aca="false">IFERROR(IF(U38=0,0,ROUND(U38/11*100,1)),0)</f>
        <v>0</v>
      </c>
      <c r="W38" s="27" t="str">
        <f aca="false">IF(U38=0,"N",IF(V38&gt;=40,"Y","N"))</f>
        <v>N</v>
      </c>
      <c r="X38" s="23"/>
      <c r="Y38" s="23"/>
      <c r="Z38" s="24" t="str">
        <f aca="false">IFERROR(IF(AND(X38="",Y38=""),"",MIN(MAX(IF(X38="",0,X38),IF(Y38="",0,Y38)),5)),"")</f>
        <v/>
      </c>
      <c r="AA38" s="24" t="str">
        <f aca="false">IFERROR(IF(Z38="","",ROUND(Z38/2,1)),"")</f>
        <v/>
      </c>
      <c r="AB38" s="23"/>
      <c r="AC38" s="25" t="n">
        <f aca="false">IFERROR(SUM(IF(Z38="",0,Z38),IF(AB38="",0,AB38)),0)</f>
        <v>0</v>
      </c>
      <c r="AD38" s="25" t="n">
        <f aca="false">IFERROR(IF(AC38=0,0,ROUND(AC38/8*100,1)),0)</f>
        <v>0</v>
      </c>
      <c r="AE38" s="27" t="str">
        <f aca="false">IF(AC38=0,"N",IF(AD38&gt;=40,"Y","N"))</f>
        <v>N</v>
      </c>
      <c r="AF38" s="25" t="n">
        <f aca="false">IFERROR(MIN(SUM(IF(F38="",0,F38),IF(P38="",0,P38),IF(Z38="",0,Z38)),15),0)</f>
        <v>0</v>
      </c>
      <c r="AG38" s="25" t="n">
        <f aca="false">IFERROR(MIN(SUM(IF(G38="",0,G38),IF(H38="",0,H38),IF(Q38="",0,Q38),IF(R38="",0,R38),IF(AA38="",0,AA38)),10),0)</f>
        <v>0</v>
      </c>
      <c r="AH38" s="25" t="n">
        <f aca="false">IFERROR(MIN(SUM(IF(I38="",0,I38),IF(J38="",0,J38),IF(S38="",0,S38),IF(T38="",0,T38),IF(AB38="",0,AB38)),5),0)</f>
        <v>0</v>
      </c>
      <c r="AI38" s="28" t="n">
        <f aca="false">IFERROR(AG38*2+AH38*4,0)</f>
        <v>0</v>
      </c>
      <c r="AJ38" s="29" t="n">
        <f aca="false">IFERROR(IF(AI38=0,0,ROUND(AI38/30*100,1)),0)</f>
        <v>0</v>
      </c>
    </row>
    <row r="39" customFormat="false" ht="18" hidden="false" customHeight="true" outlineLevel="0" collapsed="false">
      <c r="A39" s="21" t="n">
        <v>31</v>
      </c>
      <c r="B39" s="22"/>
      <c r="C39" s="19" t="s">
        <v>10</v>
      </c>
      <c r="D39" s="23"/>
      <c r="E39" s="23"/>
      <c r="F39" s="24" t="str">
        <f aca="false">IFERROR(IF(AND(D39="",E39=""),"",MIN(MAX(IF(D39="",0,D39),IF(E39="",0,E39)),5)),"")</f>
        <v/>
      </c>
      <c r="G39" s="24" t="str">
        <f aca="false">IFERROR(IF(F39="","",ROUND(F39/2,1)),"")</f>
        <v/>
      </c>
      <c r="H39" s="24" t="str">
        <f aca="false">IFERROR(IF(F39="","",ROUND(F39/2,1)),"")</f>
        <v/>
      </c>
      <c r="I39" s="23"/>
      <c r="J39" s="23"/>
      <c r="K39" s="25" t="n">
        <f aca="false">IFERROR(IF(AND(G39="",H39="",I39="",J39=""),0,SUM(IF(G39="",0,G39),IF(H39="",0,H39),IF(I39="",0,I39),IF(J39="",0,J39))),0)</f>
        <v>0</v>
      </c>
      <c r="L39" s="25" t="n">
        <f aca="false">IFERROR(IF(K39=0,0,ROUND(K39/11*100,1)),0)</f>
        <v>0</v>
      </c>
      <c r="M39" s="27" t="str">
        <f aca="false">IF(K39=0,"N",IF(L39&gt;=40,"Y","N"))</f>
        <v>N</v>
      </c>
      <c r="N39" s="23"/>
      <c r="O39" s="23"/>
      <c r="P39" s="24" t="str">
        <f aca="false">IFERROR(IF(AND(N39="",O39=""),"",MIN(MAX(IF(N39="",0,N39),IF(O39="",0,O39)),5)),"")</f>
        <v/>
      </c>
      <c r="Q39" s="24" t="str">
        <f aca="false">IFERROR(IF(P39="","",ROUND(P39/2,1)),"")</f>
        <v/>
      </c>
      <c r="R39" s="24" t="str">
        <f aca="false">IFERROR(IF(P39="","",ROUND(P39/2,1)),"")</f>
        <v/>
      </c>
      <c r="S39" s="23"/>
      <c r="T39" s="23"/>
      <c r="U39" s="25" t="n">
        <f aca="false">IFERROR(SUM(IF(Q39="",0,Q39),IF(R39="",0,R39),IF(S39="",0,S39),IF(T39="",0,T39)),0)</f>
        <v>0</v>
      </c>
      <c r="V39" s="25" t="n">
        <f aca="false">IFERROR(IF(U39=0,0,ROUND(U39/11*100,1)),0)</f>
        <v>0</v>
      </c>
      <c r="W39" s="27" t="str">
        <f aca="false">IF(U39=0,"N",IF(V39&gt;=40,"Y","N"))</f>
        <v>N</v>
      </c>
      <c r="X39" s="23"/>
      <c r="Y39" s="23"/>
      <c r="Z39" s="24" t="str">
        <f aca="false">IFERROR(IF(AND(X39="",Y39=""),"",MIN(MAX(IF(X39="",0,X39),IF(Y39="",0,Y39)),5)),"")</f>
        <v/>
      </c>
      <c r="AA39" s="24" t="str">
        <f aca="false">IFERROR(IF(Z39="","",ROUND(Z39/2,1)),"")</f>
        <v/>
      </c>
      <c r="AB39" s="23"/>
      <c r="AC39" s="25" t="n">
        <f aca="false">IFERROR(SUM(IF(Z39="",0,Z39),IF(AB39="",0,AB39)),0)</f>
        <v>0</v>
      </c>
      <c r="AD39" s="25" t="n">
        <f aca="false">IFERROR(IF(AC39=0,0,ROUND(AC39/8*100,1)),0)</f>
        <v>0</v>
      </c>
      <c r="AE39" s="27" t="str">
        <f aca="false">IF(AC39=0,"N",IF(AD39&gt;=40,"Y","N"))</f>
        <v>N</v>
      </c>
      <c r="AF39" s="25" t="n">
        <f aca="false">IFERROR(MIN(SUM(IF(F39="",0,F39),IF(P39="",0,P39),IF(Z39="",0,Z39)),15),0)</f>
        <v>0</v>
      </c>
      <c r="AG39" s="25" t="n">
        <f aca="false">IFERROR(MIN(SUM(IF(G39="",0,G39),IF(H39="",0,H39),IF(Q39="",0,Q39),IF(R39="",0,R39),IF(AA39="",0,AA39)),10),0)</f>
        <v>0</v>
      </c>
      <c r="AH39" s="25" t="n">
        <f aca="false">IFERROR(MIN(SUM(IF(I39="",0,I39),IF(J39="",0,J39),IF(S39="",0,S39),IF(T39="",0,T39),IF(AB39="",0,AB39)),5),0)</f>
        <v>0</v>
      </c>
      <c r="AI39" s="28" t="n">
        <f aca="false">IFERROR(AG39*2+AH39*4,0)</f>
        <v>0</v>
      </c>
      <c r="AJ39" s="29" t="n">
        <f aca="false">IFERROR(IF(AI39=0,0,ROUND(AI39/30*100,1)),0)</f>
        <v>0</v>
      </c>
    </row>
    <row r="40" customFormat="false" ht="18" hidden="false" customHeight="true" outlineLevel="0" collapsed="false">
      <c r="A40" s="30" t="n">
        <v>32</v>
      </c>
      <c r="B40" s="22"/>
      <c r="C40" s="31" t="s">
        <v>10</v>
      </c>
      <c r="D40" s="23"/>
      <c r="E40" s="23"/>
      <c r="F40" s="24" t="str">
        <f aca="false">IFERROR(IF(AND(D40="",E40=""),"",MIN(MAX(IF(D40="",0,D40),IF(E40="",0,E40)),5)),"")</f>
        <v/>
      </c>
      <c r="G40" s="24" t="str">
        <f aca="false">IFERROR(IF(F40="","",ROUND(F40/2,1)),"")</f>
        <v/>
      </c>
      <c r="H40" s="24" t="str">
        <f aca="false">IFERROR(IF(F40="","",ROUND(F40/2,1)),"")</f>
        <v/>
      </c>
      <c r="I40" s="23"/>
      <c r="J40" s="23"/>
      <c r="K40" s="25" t="n">
        <f aca="false">IFERROR(IF(AND(G40="",H40="",I40="",J40=""),0,SUM(IF(G40="",0,G40),IF(H40="",0,H40),IF(I40="",0,I40),IF(J40="",0,J40))),0)</f>
        <v>0</v>
      </c>
      <c r="L40" s="25" t="n">
        <f aca="false">IFERROR(IF(K40=0,0,ROUND(K40/11*100,1)),0)</f>
        <v>0</v>
      </c>
      <c r="M40" s="27" t="str">
        <f aca="false">IF(K40=0,"N",IF(L40&gt;=40,"Y","N"))</f>
        <v>N</v>
      </c>
      <c r="N40" s="23"/>
      <c r="O40" s="23"/>
      <c r="P40" s="24" t="str">
        <f aca="false">IFERROR(IF(AND(N40="",O40=""),"",MIN(MAX(IF(N40="",0,N40),IF(O40="",0,O40)),5)),"")</f>
        <v/>
      </c>
      <c r="Q40" s="24" t="str">
        <f aca="false">IFERROR(IF(P40="","",ROUND(P40/2,1)),"")</f>
        <v/>
      </c>
      <c r="R40" s="24" t="str">
        <f aca="false">IFERROR(IF(P40="","",ROUND(P40/2,1)),"")</f>
        <v/>
      </c>
      <c r="S40" s="23"/>
      <c r="T40" s="23"/>
      <c r="U40" s="25" t="n">
        <f aca="false">IFERROR(SUM(IF(Q40="",0,Q40),IF(R40="",0,R40),IF(S40="",0,S40),IF(T40="",0,T40)),0)</f>
        <v>0</v>
      </c>
      <c r="V40" s="25" t="n">
        <f aca="false">IFERROR(IF(U40=0,0,ROUND(U40/11*100,1)),0)</f>
        <v>0</v>
      </c>
      <c r="W40" s="27" t="str">
        <f aca="false">IF(U40=0,"N",IF(V40&gt;=40,"Y","N"))</f>
        <v>N</v>
      </c>
      <c r="X40" s="23"/>
      <c r="Y40" s="23"/>
      <c r="Z40" s="24" t="str">
        <f aca="false">IFERROR(IF(AND(X40="",Y40=""),"",MIN(MAX(IF(X40="",0,X40),IF(Y40="",0,Y40)),5)),"")</f>
        <v/>
      </c>
      <c r="AA40" s="24" t="str">
        <f aca="false">IFERROR(IF(Z40="","",ROUND(Z40/2,1)),"")</f>
        <v/>
      </c>
      <c r="AB40" s="23"/>
      <c r="AC40" s="25" t="n">
        <f aca="false">IFERROR(SUM(IF(Z40="",0,Z40),IF(AB40="",0,AB40)),0)</f>
        <v>0</v>
      </c>
      <c r="AD40" s="25" t="n">
        <f aca="false">IFERROR(IF(AC40=0,0,ROUND(AC40/8*100,1)),0)</f>
        <v>0</v>
      </c>
      <c r="AE40" s="27" t="str">
        <f aca="false">IF(AC40=0,"N",IF(AD40&gt;=40,"Y","N"))</f>
        <v>N</v>
      </c>
      <c r="AF40" s="25" t="n">
        <f aca="false">IFERROR(MIN(SUM(IF(F40="",0,F40),IF(P40="",0,P40),IF(Z40="",0,Z40)),15),0)</f>
        <v>0</v>
      </c>
      <c r="AG40" s="25" t="n">
        <f aca="false">IFERROR(MIN(SUM(IF(G40="",0,G40),IF(H40="",0,H40),IF(Q40="",0,Q40),IF(R40="",0,R40),IF(AA40="",0,AA40)),10),0)</f>
        <v>0</v>
      </c>
      <c r="AH40" s="25" t="n">
        <f aca="false">IFERROR(MIN(SUM(IF(I40="",0,I40),IF(J40="",0,J40),IF(S40="",0,S40),IF(T40="",0,T40),IF(AB40="",0,AB40)),5),0)</f>
        <v>0</v>
      </c>
      <c r="AI40" s="28" t="n">
        <f aca="false">IFERROR(AG40*2+AH40*4,0)</f>
        <v>0</v>
      </c>
      <c r="AJ40" s="29" t="n">
        <f aca="false">IFERROR(IF(AI40=0,0,ROUND(AI40/30*100,1)),0)</f>
        <v>0</v>
      </c>
    </row>
    <row r="41" customFormat="false" ht="18" hidden="false" customHeight="true" outlineLevel="0" collapsed="false">
      <c r="A41" s="21" t="n">
        <v>33</v>
      </c>
      <c r="B41" s="22"/>
      <c r="C41" s="19" t="s">
        <v>10</v>
      </c>
      <c r="D41" s="23"/>
      <c r="E41" s="23"/>
      <c r="F41" s="24" t="str">
        <f aca="false">IFERROR(IF(AND(D41="",E41=""),"",MIN(MAX(IF(D41="",0,D41),IF(E41="",0,E41)),5)),"")</f>
        <v/>
      </c>
      <c r="G41" s="24" t="str">
        <f aca="false">IFERROR(IF(F41="","",ROUND(F41/2,1)),"")</f>
        <v/>
      </c>
      <c r="H41" s="24" t="str">
        <f aca="false">IFERROR(IF(F41="","",ROUND(F41/2,1)),"")</f>
        <v/>
      </c>
      <c r="I41" s="23"/>
      <c r="J41" s="23"/>
      <c r="K41" s="25" t="n">
        <f aca="false">IFERROR(IF(AND(G41="",H41="",I41="",J41=""),0,SUM(IF(G41="",0,G41),IF(H41="",0,H41),IF(I41="",0,I41),IF(J41="",0,J41))),0)</f>
        <v>0</v>
      </c>
      <c r="L41" s="25" t="n">
        <f aca="false">IFERROR(IF(K41=0,0,ROUND(K41/11*100,1)),0)</f>
        <v>0</v>
      </c>
      <c r="M41" s="27" t="str">
        <f aca="false">IF(K41=0,"N",IF(L41&gt;=40,"Y","N"))</f>
        <v>N</v>
      </c>
      <c r="N41" s="23"/>
      <c r="O41" s="23"/>
      <c r="P41" s="24" t="str">
        <f aca="false">IFERROR(IF(AND(N41="",O41=""),"",MIN(MAX(IF(N41="",0,N41),IF(O41="",0,O41)),5)),"")</f>
        <v/>
      </c>
      <c r="Q41" s="24" t="str">
        <f aca="false">IFERROR(IF(P41="","",ROUND(P41/2,1)),"")</f>
        <v/>
      </c>
      <c r="R41" s="24" t="str">
        <f aca="false">IFERROR(IF(P41="","",ROUND(P41/2,1)),"")</f>
        <v/>
      </c>
      <c r="S41" s="23"/>
      <c r="T41" s="23"/>
      <c r="U41" s="25" t="n">
        <f aca="false">IFERROR(SUM(IF(Q41="",0,Q41),IF(R41="",0,R41),IF(S41="",0,S41),IF(T41="",0,T41)),0)</f>
        <v>0</v>
      </c>
      <c r="V41" s="25" t="n">
        <f aca="false">IFERROR(IF(U41=0,0,ROUND(U41/11*100,1)),0)</f>
        <v>0</v>
      </c>
      <c r="W41" s="27" t="str">
        <f aca="false">IF(U41=0,"N",IF(V41&gt;=40,"Y","N"))</f>
        <v>N</v>
      </c>
      <c r="X41" s="23"/>
      <c r="Y41" s="23"/>
      <c r="Z41" s="24" t="str">
        <f aca="false">IFERROR(IF(AND(X41="",Y41=""),"",MIN(MAX(IF(X41="",0,X41),IF(Y41="",0,Y41)),5)),"")</f>
        <v/>
      </c>
      <c r="AA41" s="24" t="str">
        <f aca="false">IFERROR(IF(Z41="","",ROUND(Z41/2,1)),"")</f>
        <v/>
      </c>
      <c r="AB41" s="23"/>
      <c r="AC41" s="25" t="n">
        <f aca="false">IFERROR(SUM(IF(Z41="",0,Z41),IF(AB41="",0,AB41)),0)</f>
        <v>0</v>
      </c>
      <c r="AD41" s="25" t="n">
        <f aca="false">IFERROR(IF(AC41=0,0,ROUND(AC41/8*100,1)),0)</f>
        <v>0</v>
      </c>
      <c r="AE41" s="27" t="str">
        <f aca="false">IF(AC41=0,"N",IF(AD41&gt;=40,"Y","N"))</f>
        <v>N</v>
      </c>
      <c r="AF41" s="25" t="n">
        <f aca="false">IFERROR(MIN(SUM(IF(F41="",0,F41),IF(P41="",0,P41),IF(Z41="",0,Z41)),15),0)</f>
        <v>0</v>
      </c>
      <c r="AG41" s="25" t="n">
        <f aca="false">IFERROR(MIN(SUM(IF(G41="",0,G41),IF(H41="",0,H41),IF(Q41="",0,Q41),IF(R41="",0,R41),IF(AA41="",0,AA41)),10),0)</f>
        <v>0</v>
      </c>
      <c r="AH41" s="25" t="n">
        <f aca="false">IFERROR(MIN(SUM(IF(I41="",0,I41),IF(J41="",0,J41),IF(S41="",0,S41),IF(T41="",0,T41),IF(AB41="",0,AB41)),5),0)</f>
        <v>0</v>
      </c>
      <c r="AI41" s="28" t="n">
        <f aca="false">IFERROR(AG41*2+AH41*4,0)</f>
        <v>0</v>
      </c>
      <c r="AJ41" s="29" t="n">
        <f aca="false">IFERROR(IF(AI41=0,0,ROUND(AI41/30*100,1)),0)</f>
        <v>0</v>
      </c>
    </row>
    <row r="42" customFormat="false" ht="18" hidden="false" customHeight="true" outlineLevel="0" collapsed="false">
      <c r="A42" s="30" t="n">
        <v>34</v>
      </c>
      <c r="B42" s="22"/>
      <c r="C42" s="31" t="s">
        <v>10</v>
      </c>
      <c r="D42" s="23"/>
      <c r="E42" s="23"/>
      <c r="F42" s="24" t="str">
        <f aca="false">IFERROR(IF(AND(D42="",E42=""),"",MIN(MAX(IF(D42="",0,D42),IF(E42="",0,E42)),5)),"")</f>
        <v/>
      </c>
      <c r="G42" s="24" t="str">
        <f aca="false">IFERROR(IF(F42="","",ROUND(F42/2,1)),"")</f>
        <v/>
      </c>
      <c r="H42" s="24" t="str">
        <f aca="false">IFERROR(IF(F42="","",ROUND(F42/2,1)),"")</f>
        <v/>
      </c>
      <c r="I42" s="23"/>
      <c r="J42" s="23"/>
      <c r="K42" s="25" t="n">
        <f aca="false">IFERROR(IF(AND(G42="",H42="",I42="",J42=""),0,SUM(IF(G42="",0,G42),IF(H42="",0,H42),IF(I42="",0,I42),IF(J42="",0,J42))),0)</f>
        <v>0</v>
      </c>
      <c r="L42" s="25" t="n">
        <f aca="false">IFERROR(IF(K42=0,0,ROUND(K42/11*100,1)),0)</f>
        <v>0</v>
      </c>
      <c r="M42" s="27" t="str">
        <f aca="false">IF(K42=0,"N",IF(L42&gt;=40,"Y","N"))</f>
        <v>N</v>
      </c>
      <c r="N42" s="23"/>
      <c r="O42" s="23"/>
      <c r="P42" s="24" t="str">
        <f aca="false">IFERROR(IF(AND(N42="",O42=""),"",MIN(MAX(IF(N42="",0,N42),IF(O42="",0,O42)),5)),"")</f>
        <v/>
      </c>
      <c r="Q42" s="24" t="str">
        <f aca="false">IFERROR(IF(P42="","",ROUND(P42/2,1)),"")</f>
        <v/>
      </c>
      <c r="R42" s="24" t="str">
        <f aca="false">IFERROR(IF(P42="","",ROUND(P42/2,1)),"")</f>
        <v/>
      </c>
      <c r="S42" s="23"/>
      <c r="T42" s="23"/>
      <c r="U42" s="25" t="n">
        <f aca="false">IFERROR(SUM(IF(Q42="",0,Q42),IF(R42="",0,R42),IF(S42="",0,S42),IF(T42="",0,T42)),0)</f>
        <v>0</v>
      </c>
      <c r="V42" s="25" t="n">
        <f aca="false">IFERROR(IF(U42=0,0,ROUND(U42/11*100,1)),0)</f>
        <v>0</v>
      </c>
      <c r="W42" s="27" t="str">
        <f aca="false">IF(U42=0,"N",IF(V42&gt;=40,"Y","N"))</f>
        <v>N</v>
      </c>
      <c r="X42" s="23"/>
      <c r="Y42" s="23"/>
      <c r="Z42" s="24" t="str">
        <f aca="false">IFERROR(IF(AND(X42="",Y42=""),"",MIN(MAX(IF(X42="",0,X42),IF(Y42="",0,Y42)),5)),"")</f>
        <v/>
      </c>
      <c r="AA42" s="24" t="str">
        <f aca="false">IFERROR(IF(Z42="","",ROUND(Z42/2,1)),"")</f>
        <v/>
      </c>
      <c r="AB42" s="23"/>
      <c r="AC42" s="25" t="n">
        <f aca="false">IFERROR(SUM(IF(Z42="",0,Z42),IF(AB42="",0,AB42)),0)</f>
        <v>0</v>
      </c>
      <c r="AD42" s="25" t="n">
        <f aca="false">IFERROR(IF(AC42=0,0,ROUND(AC42/8*100,1)),0)</f>
        <v>0</v>
      </c>
      <c r="AE42" s="27" t="str">
        <f aca="false">IF(AC42=0,"N",IF(AD42&gt;=40,"Y","N"))</f>
        <v>N</v>
      </c>
      <c r="AF42" s="25" t="n">
        <f aca="false">IFERROR(MIN(SUM(IF(F42="",0,F42),IF(P42="",0,P42),IF(Z42="",0,Z42)),15),0)</f>
        <v>0</v>
      </c>
      <c r="AG42" s="25" t="n">
        <f aca="false">IFERROR(MIN(SUM(IF(G42="",0,G42),IF(H42="",0,H42),IF(Q42="",0,Q42),IF(R42="",0,R42),IF(AA42="",0,AA42)),10),0)</f>
        <v>0</v>
      </c>
      <c r="AH42" s="25" t="n">
        <f aca="false">IFERROR(MIN(SUM(IF(I42="",0,I42),IF(J42="",0,J42),IF(S42="",0,S42),IF(T42="",0,T42),IF(AB42="",0,AB42)),5),0)</f>
        <v>0</v>
      </c>
      <c r="AI42" s="28" t="n">
        <f aca="false">IFERROR(AG42*2+AH42*4,0)</f>
        <v>0</v>
      </c>
      <c r="AJ42" s="29" t="n">
        <f aca="false">IFERROR(IF(AI42=0,0,ROUND(AI42/30*100,1)),0)</f>
        <v>0</v>
      </c>
    </row>
    <row r="43" customFormat="false" ht="18" hidden="false" customHeight="true" outlineLevel="0" collapsed="false">
      <c r="A43" s="21" t="n">
        <v>35</v>
      </c>
      <c r="B43" s="22"/>
      <c r="C43" s="19" t="s">
        <v>10</v>
      </c>
      <c r="D43" s="23"/>
      <c r="E43" s="23"/>
      <c r="F43" s="24" t="str">
        <f aca="false">IFERROR(IF(AND(D43="",E43=""),"",MIN(MAX(IF(D43="",0,D43),IF(E43="",0,E43)),5)),"")</f>
        <v/>
      </c>
      <c r="G43" s="24" t="str">
        <f aca="false">IFERROR(IF(F43="","",ROUND(F43/2,1)),"")</f>
        <v/>
      </c>
      <c r="H43" s="24" t="str">
        <f aca="false">IFERROR(IF(F43="","",ROUND(F43/2,1)),"")</f>
        <v/>
      </c>
      <c r="I43" s="23"/>
      <c r="J43" s="23"/>
      <c r="K43" s="25" t="n">
        <f aca="false">IFERROR(IF(AND(G43="",H43="",I43="",J43=""),0,SUM(IF(G43="",0,G43),IF(H43="",0,H43),IF(I43="",0,I43),IF(J43="",0,J43))),0)</f>
        <v>0</v>
      </c>
      <c r="L43" s="25" t="n">
        <f aca="false">IFERROR(IF(K43=0,0,ROUND(K43/11*100,1)),0)</f>
        <v>0</v>
      </c>
      <c r="M43" s="27" t="str">
        <f aca="false">IF(K43=0,"N",IF(L43&gt;=40,"Y","N"))</f>
        <v>N</v>
      </c>
      <c r="N43" s="23"/>
      <c r="O43" s="23"/>
      <c r="P43" s="24" t="str">
        <f aca="false">IFERROR(IF(AND(N43="",O43=""),"",MIN(MAX(IF(N43="",0,N43),IF(O43="",0,O43)),5)),"")</f>
        <v/>
      </c>
      <c r="Q43" s="24" t="str">
        <f aca="false">IFERROR(IF(P43="","",ROUND(P43/2,1)),"")</f>
        <v/>
      </c>
      <c r="R43" s="24" t="str">
        <f aca="false">IFERROR(IF(P43="","",ROUND(P43/2,1)),"")</f>
        <v/>
      </c>
      <c r="S43" s="23"/>
      <c r="T43" s="23"/>
      <c r="U43" s="25" t="n">
        <f aca="false">IFERROR(SUM(IF(Q43="",0,Q43),IF(R43="",0,R43),IF(S43="",0,S43),IF(T43="",0,T43)),0)</f>
        <v>0</v>
      </c>
      <c r="V43" s="25" t="n">
        <f aca="false">IFERROR(IF(U43=0,0,ROUND(U43/11*100,1)),0)</f>
        <v>0</v>
      </c>
      <c r="W43" s="27" t="str">
        <f aca="false">IF(U43=0,"N",IF(V43&gt;=40,"Y","N"))</f>
        <v>N</v>
      </c>
      <c r="X43" s="23"/>
      <c r="Y43" s="23"/>
      <c r="Z43" s="24" t="str">
        <f aca="false">IFERROR(IF(AND(X43="",Y43=""),"",MIN(MAX(IF(X43="",0,X43),IF(Y43="",0,Y43)),5)),"")</f>
        <v/>
      </c>
      <c r="AA43" s="24" t="str">
        <f aca="false">IFERROR(IF(Z43="","",ROUND(Z43/2,1)),"")</f>
        <v/>
      </c>
      <c r="AB43" s="23"/>
      <c r="AC43" s="25" t="n">
        <f aca="false">IFERROR(SUM(IF(Z43="",0,Z43),IF(AB43="",0,AB43)),0)</f>
        <v>0</v>
      </c>
      <c r="AD43" s="25" t="n">
        <f aca="false">IFERROR(IF(AC43=0,0,ROUND(AC43/8*100,1)),0)</f>
        <v>0</v>
      </c>
      <c r="AE43" s="27" t="str">
        <f aca="false">IF(AC43=0,"N",IF(AD43&gt;=40,"Y","N"))</f>
        <v>N</v>
      </c>
      <c r="AF43" s="25" t="n">
        <f aca="false">IFERROR(MIN(SUM(IF(F43="",0,F43),IF(P43="",0,P43),IF(Z43="",0,Z43)),15),0)</f>
        <v>0</v>
      </c>
      <c r="AG43" s="25" t="n">
        <f aca="false">IFERROR(MIN(SUM(IF(G43="",0,G43),IF(H43="",0,H43),IF(Q43="",0,Q43),IF(R43="",0,R43),IF(AA43="",0,AA43)),10),0)</f>
        <v>0</v>
      </c>
      <c r="AH43" s="25" t="n">
        <f aca="false">IFERROR(MIN(SUM(IF(I43="",0,I43),IF(J43="",0,J43),IF(S43="",0,S43),IF(T43="",0,T43),IF(AB43="",0,AB43)),5),0)</f>
        <v>0</v>
      </c>
      <c r="AI43" s="28" t="n">
        <f aca="false">IFERROR(AG43*2+AH43*4,0)</f>
        <v>0</v>
      </c>
      <c r="AJ43" s="29" t="n">
        <f aca="false">IFERROR(IF(AI43=0,0,ROUND(AI43/30*100,1)),0)</f>
        <v>0</v>
      </c>
    </row>
    <row r="44" customFormat="false" ht="18" hidden="false" customHeight="true" outlineLevel="0" collapsed="false">
      <c r="A44" s="30" t="n">
        <v>36</v>
      </c>
      <c r="B44" s="22"/>
      <c r="C44" s="31" t="s">
        <v>10</v>
      </c>
      <c r="D44" s="23"/>
      <c r="E44" s="23"/>
      <c r="F44" s="24" t="str">
        <f aca="false">IFERROR(IF(AND(D44="",E44=""),"",MIN(MAX(IF(D44="",0,D44),IF(E44="",0,E44)),5)),"")</f>
        <v/>
      </c>
      <c r="G44" s="24" t="str">
        <f aca="false">IFERROR(IF(F44="","",ROUND(F44/2,1)),"")</f>
        <v/>
      </c>
      <c r="H44" s="24" t="str">
        <f aca="false">IFERROR(IF(F44="","",ROUND(F44/2,1)),"")</f>
        <v/>
      </c>
      <c r="I44" s="23"/>
      <c r="J44" s="23"/>
      <c r="K44" s="25" t="n">
        <f aca="false">IFERROR(IF(AND(G44="",H44="",I44="",J44=""),0,SUM(IF(G44="",0,G44),IF(H44="",0,H44),IF(I44="",0,I44),IF(J44="",0,J44))),0)</f>
        <v>0</v>
      </c>
      <c r="L44" s="25" t="n">
        <f aca="false">IFERROR(IF(K44=0,0,ROUND(K44/11*100,1)),0)</f>
        <v>0</v>
      </c>
      <c r="M44" s="27" t="str">
        <f aca="false">IF(K44=0,"N",IF(L44&gt;=40,"Y","N"))</f>
        <v>N</v>
      </c>
      <c r="N44" s="23"/>
      <c r="O44" s="23"/>
      <c r="P44" s="24" t="str">
        <f aca="false">IFERROR(IF(AND(N44="",O44=""),"",MIN(MAX(IF(N44="",0,N44),IF(O44="",0,O44)),5)),"")</f>
        <v/>
      </c>
      <c r="Q44" s="24" t="str">
        <f aca="false">IFERROR(IF(P44="","",ROUND(P44/2,1)),"")</f>
        <v/>
      </c>
      <c r="R44" s="24" t="str">
        <f aca="false">IFERROR(IF(P44="","",ROUND(P44/2,1)),"")</f>
        <v/>
      </c>
      <c r="S44" s="23"/>
      <c r="T44" s="23"/>
      <c r="U44" s="25" t="n">
        <f aca="false">IFERROR(SUM(IF(Q44="",0,Q44),IF(R44="",0,R44),IF(S44="",0,S44),IF(T44="",0,T44)),0)</f>
        <v>0</v>
      </c>
      <c r="V44" s="25" t="n">
        <f aca="false">IFERROR(IF(U44=0,0,ROUND(U44/11*100,1)),0)</f>
        <v>0</v>
      </c>
      <c r="W44" s="27" t="str">
        <f aca="false">IF(U44=0,"N",IF(V44&gt;=40,"Y","N"))</f>
        <v>N</v>
      </c>
      <c r="X44" s="23"/>
      <c r="Y44" s="23"/>
      <c r="Z44" s="24" t="str">
        <f aca="false">IFERROR(IF(AND(X44="",Y44=""),"",MIN(MAX(IF(X44="",0,X44),IF(Y44="",0,Y44)),5)),"")</f>
        <v/>
      </c>
      <c r="AA44" s="24" t="str">
        <f aca="false">IFERROR(IF(Z44="","",ROUND(Z44/2,1)),"")</f>
        <v/>
      </c>
      <c r="AB44" s="23"/>
      <c r="AC44" s="25" t="n">
        <f aca="false">IFERROR(SUM(IF(Z44="",0,Z44),IF(AB44="",0,AB44)),0)</f>
        <v>0</v>
      </c>
      <c r="AD44" s="25" t="n">
        <f aca="false">IFERROR(IF(AC44=0,0,ROUND(AC44/8*100,1)),0)</f>
        <v>0</v>
      </c>
      <c r="AE44" s="27" t="str">
        <f aca="false">IF(AC44=0,"N",IF(AD44&gt;=40,"Y","N"))</f>
        <v>N</v>
      </c>
      <c r="AF44" s="25" t="n">
        <f aca="false">IFERROR(MIN(SUM(IF(F44="",0,F44),IF(P44="",0,P44),IF(Z44="",0,Z44)),15),0)</f>
        <v>0</v>
      </c>
      <c r="AG44" s="25" t="n">
        <f aca="false">IFERROR(MIN(SUM(IF(G44="",0,G44),IF(H44="",0,H44),IF(Q44="",0,Q44),IF(R44="",0,R44),IF(AA44="",0,AA44)),10),0)</f>
        <v>0</v>
      </c>
      <c r="AH44" s="25" t="n">
        <f aca="false">IFERROR(MIN(SUM(IF(I44="",0,I44),IF(J44="",0,J44),IF(S44="",0,S44),IF(T44="",0,T44),IF(AB44="",0,AB44)),5),0)</f>
        <v>0</v>
      </c>
      <c r="AI44" s="28" t="n">
        <f aca="false">IFERROR(AG44*2+AH44*4,0)</f>
        <v>0</v>
      </c>
      <c r="AJ44" s="29" t="n">
        <f aca="false">IFERROR(IF(AI44=0,0,ROUND(AI44/30*100,1)),0)</f>
        <v>0</v>
      </c>
    </row>
    <row r="45" customFormat="false" ht="18" hidden="false" customHeight="true" outlineLevel="0" collapsed="false">
      <c r="A45" s="21" t="n">
        <v>37</v>
      </c>
      <c r="B45" s="22"/>
      <c r="C45" s="19" t="s">
        <v>10</v>
      </c>
      <c r="D45" s="23"/>
      <c r="E45" s="23"/>
      <c r="F45" s="24" t="str">
        <f aca="false">IFERROR(IF(AND(D45="",E45=""),"",MIN(MAX(IF(D45="",0,D45),IF(E45="",0,E45)),5)),"")</f>
        <v/>
      </c>
      <c r="G45" s="24" t="str">
        <f aca="false">IFERROR(IF(F45="","",ROUND(F45/2,1)),"")</f>
        <v/>
      </c>
      <c r="H45" s="24" t="str">
        <f aca="false">IFERROR(IF(F45="","",ROUND(F45/2,1)),"")</f>
        <v/>
      </c>
      <c r="I45" s="23"/>
      <c r="J45" s="23"/>
      <c r="K45" s="25" t="n">
        <f aca="false">IFERROR(IF(AND(G45="",H45="",I45="",J45=""),0,SUM(IF(G45="",0,G45),IF(H45="",0,H45),IF(I45="",0,I45),IF(J45="",0,J45))),0)</f>
        <v>0</v>
      </c>
      <c r="L45" s="25" t="n">
        <f aca="false">IFERROR(IF(K45=0,0,ROUND(K45/11*100,1)),0)</f>
        <v>0</v>
      </c>
      <c r="M45" s="27" t="str">
        <f aca="false">IF(K45=0,"N",IF(L45&gt;=40,"Y","N"))</f>
        <v>N</v>
      </c>
      <c r="N45" s="23"/>
      <c r="O45" s="23"/>
      <c r="P45" s="24" t="str">
        <f aca="false">IFERROR(IF(AND(N45="",O45=""),"",MIN(MAX(IF(N45="",0,N45),IF(O45="",0,O45)),5)),"")</f>
        <v/>
      </c>
      <c r="Q45" s="24" t="str">
        <f aca="false">IFERROR(IF(P45="","",ROUND(P45/2,1)),"")</f>
        <v/>
      </c>
      <c r="R45" s="24" t="str">
        <f aca="false">IFERROR(IF(P45="","",ROUND(P45/2,1)),"")</f>
        <v/>
      </c>
      <c r="S45" s="23"/>
      <c r="T45" s="23"/>
      <c r="U45" s="25" t="n">
        <f aca="false">IFERROR(SUM(IF(Q45="",0,Q45),IF(R45="",0,R45),IF(S45="",0,S45),IF(T45="",0,T45)),0)</f>
        <v>0</v>
      </c>
      <c r="V45" s="25" t="n">
        <f aca="false">IFERROR(IF(U45=0,0,ROUND(U45/11*100,1)),0)</f>
        <v>0</v>
      </c>
      <c r="W45" s="27" t="str">
        <f aca="false">IF(U45=0,"N",IF(V45&gt;=40,"Y","N"))</f>
        <v>N</v>
      </c>
      <c r="X45" s="23"/>
      <c r="Y45" s="23"/>
      <c r="Z45" s="24" t="str">
        <f aca="false">IFERROR(IF(AND(X45="",Y45=""),"",MIN(MAX(IF(X45="",0,X45),IF(Y45="",0,Y45)),5)),"")</f>
        <v/>
      </c>
      <c r="AA45" s="24" t="str">
        <f aca="false">IFERROR(IF(Z45="","",ROUND(Z45/2,1)),"")</f>
        <v/>
      </c>
      <c r="AB45" s="23"/>
      <c r="AC45" s="25" t="n">
        <f aca="false">IFERROR(SUM(IF(Z45="",0,Z45),IF(AB45="",0,AB45)),0)</f>
        <v>0</v>
      </c>
      <c r="AD45" s="25" t="n">
        <f aca="false">IFERROR(IF(AC45=0,0,ROUND(AC45/8*100,1)),0)</f>
        <v>0</v>
      </c>
      <c r="AE45" s="27" t="str">
        <f aca="false">IF(AC45=0,"N",IF(AD45&gt;=40,"Y","N"))</f>
        <v>N</v>
      </c>
      <c r="AF45" s="25" t="n">
        <f aca="false">IFERROR(MIN(SUM(IF(F45="",0,F45),IF(P45="",0,P45),IF(Z45="",0,Z45)),15),0)</f>
        <v>0</v>
      </c>
      <c r="AG45" s="25" t="n">
        <f aca="false">IFERROR(MIN(SUM(IF(G45="",0,G45),IF(H45="",0,H45),IF(Q45="",0,Q45),IF(R45="",0,R45),IF(AA45="",0,AA45)),10),0)</f>
        <v>0</v>
      </c>
      <c r="AH45" s="25" t="n">
        <f aca="false">IFERROR(MIN(SUM(IF(I45="",0,I45),IF(J45="",0,J45),IF(S45="",0,S45),IF(T45="",0,T45),IF(AB45="",0,AB45)),5),0)</f>
        <v>0</v>
      </c>
      <c r="AI45" s="28" t="n">
        <f aca="false">IFERROR(AG45*2+AH45*4,0)</f>
        <v>0</v>
      </c>
      <c r="AJ45" s="29" t="n">
        <f aca="false">IFERROR(IF(AI45=0,0,ROUND(AI45/30*100,1)),0)</f>
        <v>0</v>
      </c>
    </row>
    <row r="46" customFormat="false" ht="18" hidden="false" customHeight="true" outlineLevel="0" collapsed="false">
      <c r="A46" s="30" t="n">
        <v>38</v>
      </c>
      <c r="B46" s="22"/>
      <c r="C46" s="31" t="s">
        <v>10</v>
      </c>
      <c r="D46" s="23"/>
      <c r="E46" s="23"/>
      <c r="F46" s="24" t="str">
        <f aca="false">IFERROR(IF(AND(D46="",E46=""),"",MIN(MAX(IF(D46="",0,D46),IF(E46="",0,E46)),5)),"")</f>
        <v/>
      </c>
      <c r="G46" s="24" t="str">
        <f aca="false">IFERROR(IF(F46="","",ROUND(F46/2,1)),"")</f>
        <v/>
      </c>
      <c r="H46" s="24" t="str">
        <f aca="false">IFERROR(IF(F46="","",ROUND(F46/2,1)),"")</f>
        <v/>
      </c>
      <c r="I46" s="23"/>
      <c r="J46" s="23"/>
      <c r="K46" s="25" t="n">
        <f aca="false">IFERROR(IF(AND(G46="",H46="",I46="",J46=""),0,SUM(IF(G46="",0,G46),IF(H46="",0,H46),IF(I46="",0,I46),IF(J46="",0,J46))),0)</f>
        <v>0</v>
      </c>
      <c r="L46" s="25" t="n">
        <f aca="false">IFERROR(IF(K46=0,0,ROUND(K46/11*100,1)),0)</f>
        <v>0</v>
      </c>
      <c r="M46" s="27" t="str">
        <f aca="false">IF(K46=0,"N",IF(L46&gt;=40,"Y","N"))</f>
        <v>N</v>
      </c>
      <c r="N46" s="23"/>
      <c r="O46" s="23"/>
      <c r="P46" s="24" t="str">
        <f aca="false">IFERROR(IF(AND(N46="",O46=""),"",MIN(MAX(IF(N46="",0,N46),IF(O46="",0,O46)),5)),"")</f>
        <v/>
      </c>
      <c r="Q46" s="24" t="str">
        <f aca="false">IFERROR(IF(P46="","",ROUND(P46/2,1)),"")</f>
        <v/>
      </c>
      <c r="R46" s="24" t="str">
        <f aca="false">IFERROR(IF(P46="","",ROUND(P46/2,1)),"")</f>
        <v/>
      </c>
      <c r="S46" s="23"/>
      <c r="T46" s="23"/>
      <c r="U46" s="25" t="n">
        <f aca="false">IFERROR(SUM(IF(Q46="",0,Q46),IF(R46="",0,R46),IF(S46="",0,S46),IF(T46="",0,T46)),0)</f>
        <v>0</v>
      </c>
      <c r="V46" s="25" t="n">
        <f aca="false">IFERROR(IF(U46=0,0,ROUND(U46/11*100,1)),0)</f>
        <v>0</v>
      </c>
      <c r="W46" s="27" t="str">
        <f aca="false">IF(U46=0,"N",IF(V46&gt;=40,"Y","N"))</f>
        <v>N</v>
      </c>
      <c r="X46" s="23"/>
      <c r="Y46" s="23"/>
      <c r="Z46" s="24" t="str">
        <f aca="false">IFERROR(IF(AND(X46="",Y46=""),"",MIN(MAX(IF(X46="",0,X46),IF(Y46="",0,Y46)),5)),"")</f>
        <v/>
      </c>
      <c r="AA46" s="24" t="str">
        <f aca="false">IFERROR(IF(Z46="","",ROUND(Z46/2,1)),"")</f>
        <v/>
      </c>
      <c r="AB46" s="23"/>
      <c r="AC46" s="25" t="n">
        <f aca="false">IFERROR(SUM(IF(Z46="",0,Z46),IF(AB46="",0,AB46)),0)</f>
        <v>0</v>
      </c>
      <c r="AD46" s="25" t="n">
        <f aca="false">IFERROR(IF(AC46=0,0,ROUND(AC46/8*100,1)),0)</f>
        <v>0</v>
      </c>
      <c r="AE46" s="27" t="str">
        <f aca="false">IF(AC46=0,"N",IF(AD46&gt;=40,"Y","N"))</f>
        <v>N</v>
      </c>
      <c r="AF46" s="25" t="n">
        <f aca="false">IFERROR(MIN(SUM(IF(F46="",0,F46),IF(P46="",0,P46),IF(Z46="",0,Z46)),15),0)</f>
        <v>0</v>
      </c>
      <c r="AG46" s="25" t="n">
        <f aca="false">IFERROR(MIN(SUM(IF(G46="",0,G46),IF(H46="",0,H46),IF(Q46="",0,Q46),IF(R46="",0,R46),IF(AA46="",0,AA46)),10),0)</f>
        <v>0</v>
      </c>
      <c r="AH46" s="25" t="n">
        <f aca="false">IFERROR(MIN(SUM(IF(I46="",0,I46),IF(J46="",0,J46),IF(S46="",0,S46),IF(T46="",0,T46),IF(AB46="",0,AB46)),5),0)</f>
        <v>0</v>
      </c>
      <c r="AI46" s="28" t="n">
        <f aca="false">IFERROR(AG46*2+AH46*4,0)</f>
        <v>0</v>
      </c>
      <c r="AJ46" s="29" t="n">
        <f aca="false">IFERROR(IF(AI46=0,0,ROUND(AI46/30*100,1)),0)</f>
        <v>0</v>
      </c>
    </row>
    <row r="47" customFormat="false" ht="18" hidden="false" customHeight="true" outlineLevel="0" collapsed="false">
      <c r="A47" s="21" t="n">
        <v>39</v>
      </c>
      <c r="B47" s="22"/>
      <c r="C47" s="19" t="s">
        <v>10</v>
      </c>
      <c r="D47" s="23"/>
      <c r="E47" s="23"/>
      <c r="F47" s="24" t="str">
        <f aca="false">IFERROR(IF(AND(D47="",E47=""),"",MIN(MAX(IF(D47="",0,D47),IF(E47="",0,E47)),5)),"")</f>
        <v/>
      </c>
      <c r="G47" s="24" t="str">
        <f aca="false">IFERROR(IF(F47="","",ROUND(F47/2,1)),"")</f>
        <v/>
      </c>
      <c r="H47" s="24" t="str">
        <f aca="false">IFERROR(IF(F47="","",ROUND(F47/2,1)),"")</f>
        <v/>
      </c>
      <c r="I47" s="23"/>
      <c r="J47" s="23"/>
      <c r="K47" s="25" t="n">
        <f aca="false">IFERROR(IF(AND(G47="",H47="",I47="",J47=""),0,SUM(IF(G47="",0,G47),IF(H47="",0,H47),IF(I47="",0,I47),IF(J47="",0,J47))),0)</f>
        <v>0</v>
      </c>
      <c r="L47" s="25" t="n">
        <f aca="false">IFERROR(IF(K47=0,0,ROUND(K47/11*100,1)),0)</f>
        <v>0</v>
      </c>
      <c r="M47" s="27" t="str">
        <f aca="false">IF(K47=0,"N",IF(L47&gt;=40,"Y","N"))</f>
        <v>N</v>
      </c>
      <c r="N47" s="23"/>
      <c r="O47" s="23"/>
      <c r="P47" s="24" t="str">
        <f aca="false">IFERROR(IF(AND(N47="",O47=""),"",MIN(MAX(IF(N47="",0,N47),IF(O47="",0,O47)),5)),"")</f>
        <v/>
      </c>
      <c r="Q47" s="24" t="str">
        <f aca="false">IFERROR(IF(P47="","",ROUND(P47/2,1)),"")</f>
        <v/>
      </c>
      <c r="R47" s="24" t="str">
        <f aca="false">IFERROR(IF(P47="","",ROUND(P47/2,1)),"")</f>
        <v/>
      </c>
      <c r="S47" s="23"/>
      <c r="T47" s="23"/>
      <c r="U47" s="25" t="n">
        <f aca="false">IFERROR(SUM(IF(Q47="",0,Q47),IF(R47="",0,R47),IF(S47="",0,S47),IF(T47="",0,T47)),0)</f>
        <v>0</v>
      </c>
      <c r="V47" s="25" t="n">
        <f aca="false">IFERROR(IF(U47=0,0,ROUND(U47/11*100,1)),0)</f>
        <v>0</v>
      </c>
      <c r="W47" s="27" t="str">
        <f aca="false">IF(U47=0,"N",IF(V47&gt;=40,"Y","N"))</f>
        <v>N</v>
      </c>
      <c r="X47" s="23"/>
      <c r="Y47" s="23"/>
      <c r="Z47" s="24" t="str">
        <f aca="false">IFERROR(IF(AND(X47="",Y47=""),"",MIN(MAX(IF(X47="",0,X47),IF(Y47="",0,Y47)),5)),"")</f>
        <v/>
      </c>
      <c r="AA47" s="24" t="str">
        <f aca="false">IFERROR(IF(Z47="","",ROUND(Z47/2,1)),"")</f>
        <v/>
      </c>
      <c r="AB47" s="23"/>
      <c r="AC47" s="25" t="n">
        <f aca="false">IFERROR(SUM(IF(Z47="",0,Z47),IF(AB47="",0,AB47)),0)</f>
        <v>0</v>
      </c>
      <c r="AD47" s="25" t="n">
        <f aca="false">IFERROR(IF(AC47=0,0,ROUND(AC47/8*100,1)),0)</f>
        <v>0</v>
      </c>
      <c r="AE47" s="27" t="str">
        <f aca="false">IF(AC47=0,"N",IF(AD47&gt;=40,"Y","N"))</f>
        <v>N</v>
      </c>
      <c r="AF47" s="25" t="n">
        <f aca="false">IFERROR(MIN(SUM(IF(F47="",0,F47),IF(P47="",0,P47),IF(Z47="",0,Z47)),15),0)</f>
        <v>0</v>
      </c>
      <c r="AG47" s="25" t="n">
        <f aca="false">IFERROR(MIN(SUM(IF(G47="",0,G47),IF(H47="",0,H47),IF(Q47="",0,Q47),IF(R47="",0,R47),IF(AA47="",0,AA47)),10),0)</f>
        <v>0</v>
      </c>
      <c r="AH47" s="25" t="n">
        <f aca="false">IFERROR(MIN(SUM(IF(I47="",0,I47),IF(J47="",0,J47),IF(S47="",0,S47),IF(T47="",0,T47),IF(AB47="",0,AB47)),5),0)</f>
        <v>0</v>
      </c>
      <c r="AI47" s="28" t="n">
        <f aca="false">IFERROR(AG47*2+AH47*4,0)</f>
        <v>0</v>
      </c>
      <c r="AJ47" s="29" t="n">
        <f aca="false">IFERROR(IF(AI47=0,0,ROUND(AI47/30*100,1)),0)</f>
        <v>0</v>
      </c>
    </row>
    <row r="48" customFormat="false" ht="18" hidden="false" customHeight="true" outlineLevel="0" collapsed="false">
      <c r="A48" s="30" t="n">
        <v>40</v>
      </c>
      <c r="B48" s="22"/>
      <c r="C48" s="31" t="s">
        <v>10</v>
      </c>
      <c r="D48" s="23"/>
      <c r="E48" s="23"/>
      <c r="F48" s="24" t="str">
        <f aca="false">IFERROR(IF(AND(D48="",E48=""),"",MIN(MAX(IF(D48="",0,D48),IF(E48="",0,E48)),5)),"")</f>
        <v/>
      </c>
      <c r="G48" s="24" t="str">
        <f aca="false">IFERROR(IF(F48="","",ROUND(F48/2,1)),"")</f>
        <v/>
      </c>
      <c r="H48" s="24" t="str">
        <f aca="false">IFERROR(IF(F48="","",ROUND(F48/2,1)),"")</f>
        <v/>
      </c>
      <c r="I48" s="23"/>
      <c r="J48" s="23"/>
      <c r="K48" s="25" t="n">
        <f aca="false">IFERROR(IF(AND(G48="",H48="",I48="",J48=""),0,SUM(IF(G48="",0,G48),IF(H48="",0,H48),IF(I48="",0,I48),IF(J48="",0,J48))),0)</f>
        <v>0</v>
      </c>
      <c r="L48" s="25" t="n">
        <f aca="false">IFERROR(IF(K48=0,0,ROUND(K48/11*100,1)),0)</f>
        <v>0</v>
      </c>
      <c r="M48" s="27" t="str">
        <f aca="false">IF(K48=0,"N",IF(L48&gt;=40,"Y","N"))</f>
        <v>N</v>
      </c>
      <c r="N48" s="23"/>
      <c r="O48" s="23"/>
      <c r="P48" s="24" t="str">
        <f aca="false">IFERROR(IF(AND(N48="",O48=""),"",MIN(MAX(IF(N48="",0,N48),IF(O48="",0,O48)),5)),"")</f>
        <v/>
      </c>
      <c r="Q48" s="24" t="str">
        <f aca="false">IFERROR(IF(P48="","",ROUND(P48/2,1)),"")</f>
        <v/>
      </c>
      <c r="R48" s="24" t="str">
        <f aca="false">IFERROR(IF(P48="","",ROUND(P48/2,1)),"")</f>
        <v/>
      </c>
      <c r="S48" s="23"/>
      <c r="T48" s="23"/>
      <c r="U48" s="25" t="n">
        <f aca="false">IFERROR(SUM(IF(Q48="",0,Q48),IF(R48="",0,R48),IF(S48="",0,S48),IF(T48="",0,T48)),0)</f>
        <v>0</v>
      </c>
      <c r="V48" s="25" t="n">
        <f aca="false">IFERROR(IF(U48=0,0,ROUND(U48/11*100,1)),0)</f>
        <v>0</v>
      </c>
      <c r="W48" s="27" t="str">
        <f aca="false">IF(U48=0,"N",IF(V48&gt;=40,"Y","N"))</f>
        <v>N</v>
      </c>
      <c r="X48" s="23"/>
      <c r="Y48" s="23"/>
      <c r="Z48" s="24" t="str">
        <f aca="false">IFERROR(IF(AND(X48="",Y48=""),"",MIN(MAX(IF(X48="",0,X48),IF(Y48="",0,Y48)),5)),"")</f>
        <v/>
      </c>
      <c r="AA48" s="24" t="str">
        <f aca="false">IFERROR(IF(Z48="","",ROUND(Z48/2,1)),"")</f>
        <v/>
      </c>
      <c r="AB48" s="23"/>
      <c r="AC48" s="25" t="n">
        <f aca="false">IFERROR(SUM(IF(Z48="",0,Z48),IF(AB48="",0,AB48)),0)</f>
        <v>0</v>
      </c>
      <c r="AD48" s="25" t="n">
        <f aca="false">IFERROR(IF(AC48=0,0,ROUND(AC48/8*100,1)),0)</f>
        <v>0</v>
      </c>
      <c r="AE48" s="27" t="str">
        <f aca="false">IF(AC48=0,"N",IF(AD48&gt;=40,"Y","N"))</f>
        <v>N</v>
      </c>
      <c r="AF48" s="25" t="n">
        <f aca="false">IFERROR(MIN(SUM(IF(F48="",0,F48),IF(P48="",0,P48),IF(Z48="",0,Z48)),15),0)</f>
        <v>0</v>
      </c>
      <c r="AG48" s="25" t="n">
        <f aca="false">IFERROR(MIN(SUM(IF(G48="",0,G48),IF(H48="",0,H48),IF(Q48="",0,Q48),IF(R48="",0,R48),IF(AA48="",0,AA48)),10),0)</f>
        <v>0</v>
      </c>
      <c r="AH48" s="25" t="n">
        <f aca="false">IFERROR(MIN(SUM(IF(I48="",0,I48),IF(J48="",0,J48),IF(S48="",0,S48),IF(T48="",0,T48),IF(AB48="",0,AB48)),5),0)</f>
        <v>0</v>
      </c>
      <c r="AI48" s="28" t="n">
        <f aca="false">IFERROR(AG48*2+AH48*4,0)</f>
        <v>0</v>
      </c>
      <c r="AJ48" s="29" t="n">
        <f aca="false">IFERROR(IF(AI48=0,0,ROUND(AI48/30*100,1)),0)</f>
        <v>0</v>
      </c>
    </row>
    <row r="49" customFormat="false" ht="18" hidden="false" customHeight="true" outlineLevel="0" collapsed="false">
      <c r="A49" s="21" t="n">
        <v>41</v>
      </c>
      <c r="B49" s="22"/>
      <c r="C49" s="19" t="s">
        <v>10</v>
      </c>
      <c r="D49" s="23"/>
      <c r="E49" s="23"/>
      <c r="F49" s="24" t="str">
        <f aca="false">IFERROR(IF(AND(D49="",E49=""),"",MIN(MAX(IF(D49="",0,D49),IF(E49="",0,E49)),5)),"")</f>
        <v/>
      </c>
      <c r="G49" s="24" t="str">
        <f aca="false">IFERROR(IF(F49="","",ROUND(F49/2,1)),"")</f>
        <v/>
      </c>
      <c r="H49" s="24" t="str">
        <f aca="false">IFERROR(IF(F49="","",ROUND(F49/2,1)),"")</f>
        <v/>
      </c>
      <c r="I49" s="23"/>
      <c r="J49" s="23"/>
      <c r="K49" s="25" t="n">
        <f aca="false">IFERROR(IF(AND(G49="",H49="",I49="",J49=""),0,SUM(IF(G49="",0,G49),IF(H49="",0,H49),IF(I49="",0,I49),IF(J49="",0,J49))),0)</f>
        <v>0</v>
      </c>
      <c r="L49" s="25" t="n">
        <f aca="false">IFERROR(IF(K49=0,0,ROUND(K49/11*100,1)),0)</f>
        <v>0</v>
      </c>
      <c r="M49" s="27" t="str">
        <f aca="false">IF(K49=0,"N",IF(L49&gt;=40,"Y","N"))</f>
        <v>N</v>
      </c>
      <c r="N49" s="23"/>
      <c r="O49" s="23"/>
      <c r="P49" s="24" t="str">
        <f aca="false">IFERROR(IF(AND(N49="",O49=""),"",MIN(MAX(IF(N49="",0,N49),IF(O49="",0,O49)),5)),"")</f>
        <v/>
      </c>
      <c r="Q49" s="24" t="str">
        <f aca="false">IFERROR(IF(P49="","",ROUND(P49/2,1)),"")</f>
        <v/>
      </c>
      <c r="R49" s="24" t="str">
        <f aca="false">IFERROR(IF(P49="","",ROUND(P49/2,1)),"")</f>
        <v/>
      </c>
      <c r="S49" s="23"/>
      <c r="T49" s="23"/>
      <c r="U49" s="25" t="n">
        <f aca="false">IFERROR(SUM(IF(Q49="",0,Q49),IF(R49="",0,R49),IF(S49="",0,S49),IF(T49="",0,T49)),0)</f>
        <v>0</v>
      </c>
      <c r="V49" s="25" t="n">
        <f aca="false">IFERROR(IF(U49=0,0,ROUND(U49/11*100,1)),0)</f>
        <v>0</v>
      </c>
      <c r="W49" s="27" t="str">
        <f aca="false">IF(U49=0,"N",IF(V49&gt;=40,"Y","N"))</f>
        <v>N</v>
      </c>
      <c r="X49" s="23"/>
      <c r="Y49" s="23"/>
      <c r="Z49" s="24" t="str">
        <f aca="false">IFERROR(IF(AND(X49="",Y49=""),"",MIN(MAX(IF(X49="",0,X49),IF(Y49="",0,Y49)),5)),"")</f>
        <v/>
      </c>
      <c r="AA49" s="24" t="str">
        <f aca="false">IFERROR(IF(Z49="","",ROUND(Z49/2,1)),"")</f>
        <v/>
      </c>
      <c r="AB49" s="23"/>
      <c r="AC49" s="25" t="n">
        <f aca="false">IFERROR(SUM(IF(Z49="",0,Z49),IF(AB49="",0,AB49)),0)</f>
        <v>0</v>
      </c>
      <c r="AD49" s="25" t="n">
        <f aca="false">IFERROR(IF(AC49=0,0,ROUND(AC49/8*100,1)),0)</f>
        <v>0</v>
      </c>
      <c r="AE49" s="27" t="str">
        <f aca="false">IF(AC49=0,"N",IF(AD49&gt;=40,"Y","N"))</f>
        <v>N</v>
      </c>
      <c r="AF49" s="25" t="n">
        <f aca="false">IFERROR(MIN(SUM(IF(F49="",0,F49),IF(P49="",0,P49),IF(Z49="",0,Z49)),15),0)</f>
        <v>0</v>
      </c>
      <c r="AG49" s="25" t="n">
        <f aca="false">IFERROR(MIN(SUM(IF(G49="",0,G49),IF(H49="",0,H49),IF(Q49="",0,Q49),IF(R49="",0,R49),IF(AA49="",0,AA49)),10),0)</f>
        <v>0</v>
      </c>
      <c r="AH49" s="25" t="n">
        <f aca="false">IFERROR(MIN(SUM(IF(I49="",0,I49),IF(J49="",0,J49),IF(S49="",0,S49),IF(T49="",0,T49),IF(AB49="",0,AB49)),5),0)</f>
        <v>0</v>
      </c>
      <c r="AI49" s="28" t="n">
        <f aca="false">IFERROR(AG49*2+AH49*4,0)</f>
        <v>0</v>
      </c>
      <c r="AJ49" s="29" t="n">
        <f aca="false">IFERROR(IF(AI49=0,0,ROUND(AI49/30*100,1)),0)</f>
        <v>0</v>
      </c>
    </row>
    <row r="50" customFormat="false" ht="18" hidden="false" customHeight="true" outlineLevel="0" collapsed="false">
      <c r="A50" s="30" t="n">
        <v>42</v>
      </c>
      <c r="B50" s="22"/>
      <c r="C50" s="31" t="s">
        <v>10</v>
      </c>
      <c r="D50" s="23"/>
      <c r="E50" s="23"/>
      <c r="F50" s="24" t="str">
        <f aca="false">IFERROR(IF(AND(D50="",E50=""),"",MIN(MAX(IF(D50="",0,D50),IF(E50="",0,E50)),5)),"")</f>
        <v/>
      </c>
      <c r="G50" s="24" t="str">
        <f aca="false">IFERROR(IF(F50="","",ROUND(F50/2,1)),"")</f>
        <v/>
      </c>
      <c r="H50" s="24" t="str">
        <f aca="false">IFERROR(IF(F50="","",ROUND(F50/2,1)),"")</f>
        <v/>
      </c>
      <c r="I50" s="23"/>
      <c r="J50" s="23"/>
      <c r="K50" s="25" t="n">
        <f aca="false">IFERROR(IF(AND(G50="",H50="",I50="",J50=""),0,SUM(IF(G50="",0,G50),IF(H50="",0,H50),IF(I50="",0,I50),IF(J50="",0,J50))),0)</f>
        <v>0</v>
      </c>
      <c r="L50" s="25" t="n">
        <f aca="false">IFERROR(IF(K50=0,0,ROUND(K50/11*100,1)),0)</f>
        <v>0</v>
      </c>
      <c r="M50" s="27" t="str">
        <f aca="false">IF(K50=0,"N",IF(L50&gt;=40,"Y","N"))</f>
        <v>N</v>
      </c>
      <c r="N50" s="23"/>
      <c r="O50" s="23"/>
      <c r="P50" s="24" t="str">
        <f aca="false">IFERROR(IF(AND(N50="",O50=""),"",MIN(MAX(IF(N50="",0,N50),IF(O50="",0,O50)),5)),"")</f>
        <v/>
      </c>
      <c r="Q50" s="24" t="str">
        <f aca="false">IFERROR(IF(P50="","",ROUND(P50/2,1)),"")</f>
        <v/>
      </c>
      <c r="R50" s="24" t="str">
        <f aca="false">IFERROR(IF(P50="","",ROUND(P50/2,1)),"")</f>
        <v/>
      </c>
      <c r="S50" s="23"/>
      <c r="T50" s="23"/>
      <c r="U50" s="25" t="n">
        <f aca="false">IFERROR(SUM(IF(Q50="",0,Q50),IF(R50="",0,R50),IF(S50="",0,S50),IF(T50="",0,T50)),0)</f>
        <v>0</v>
      </c>
      <c r="V50" s="25" t="n">
        <f aca="false">IFERROR(IF(U50=0,0,ROUND(U50/11*100,1)),0)</f>
        <v>0</v>
      </c>
      <c r="W50" s="27" t="str">
        <f aca="false">IF(U50=0,"N",IF(V50&gt;=40,"Y","N"))</f>
        <v>N</v>
      </c>
      <c r="X50" s="23"/>
      <c r="Y50" s="23"/>
      <c r="Z50" s="24" t="str">
        <f aca="false">IFERROR(IF(AND(X50="",Y50=""),"",MIN(MAX(IF(X50="",0,X50),IF(Y50="",0,Y50)),5)),"")</f>
        <v/>
      </c>
      <c r="AA50" s="24" t="str">
        <f aca="false">IFERROR(IF(Z50="","",ROUND(Z50/2,1)),"")</f>
        <v/>
      </c>
      <c r="AB50" s="23"/>
      <c r="AC50" s="25" t="n">
        <f aca="false">IFERROR(SUM(IF(Z50="",0,Z50),IF(AB50="",0,AB50)),0)</f>
        <v>0</v>
      </c>
      <c r="AD50" s="25" t="n">
        <f aca="false">IFERROR(IF(AC50=0,0,ROUND(AC50/8*100,1)),0)</f>
        <v>0</v>
      </c>
      <c r="AE50" s="27" t="str">
        <f aca="false">IF(AC50=0,"N",IF(AD50&gt;=40,"Y","N"))</f>
        <v>N</v>
      </c>
      <c r="AF50" s="25" t="n">
        <f aca="false">IFERROR(MIN(SUM(IF(F50="",0,F50),IF(P50="",0,P50),IF(Z50="",0,Z50)),15),0)</f>
        <v>0</v>
      </c>
      <c r="AG50" s="25" t="n">
        <f aca="false">IFERROR(MIN(SUM(IF(G50="",0,G50),IF(H50="",0,H50),IF(Q50="",0,Q50),IF(R50="",0,R50),IF(AA50="",0,AA50)),10),0)</f>
        <v>0</v>
      </c>
      <c r="AH50" s="25" t="n">
        <f aca="false">IFERROR(MIN(SUM(IF(I50="",0,I50),IF(J50="",0,J50),IF(S50="",0,S50),IF(T50="",0,T50),IF(AB50="",0,AB50)),5),0)</f>
        <v>0</v>
      </c>
      <c r="AI50" s="28" t="n">
        <f aca="false">IFERROR(AG50*2+AH50*4,0)</f>
        <v>0</v>
      </c>
      <c r="AJ50" s="29" t="n">
        <f aca="false">IFERROR(IF(AI50=0,0,ROUND(AI50/30*100,1)),0)</f>
        <v>0</v>
      </c>
    </row>
    <row r="51" customFormat="false" ht="18" hidden="false" customHeight="true" outlineLevel="0" collapsed="false">
      <c r="A51" s="21" t="n">
        <v>43</v>
      </c>
      <c r="B51" s="22"/>
      <c r="C51" s="19" t="s">
        <v>10</v>
      </c>
      <c r="D51" s="23"/>
      <c r="E51" s="23"/>
      <c r="F51" s="24" t="str">
        <f aca="false">IFERROR(IF(AND(D51="",E51=""),"",MIN(MAX(IF(D51="",0,D51),IF(E51="",0,E51)),5)),"")</f>
        <v/>
      </c>
      <c r="G51" s="24" t="str">
        <f aca="false">IFERROR(IF(F51="","",ROUND(F51/2,1)),"")</f>
        <v/>
      </c>
      <c r="H51" s="24" t="str">
        <f aca="false">IFERROR(IF(F51="","",ROUND(F51/2,1)),"")</f>
        <v/>
      </c>
      <c r="I51" s="23"/>
      <c r="J51" s="23"/>
      <c r="K51" s="25" t="n">
        <f aca="false">IFERROR(IF(AND(G51="",H51="",I51="",J51=""),0,SUM(IF(G51="",0,G51),IF(H51="",0,H51),IF(I51="",0,I51),IF(J51="",0,J51))),0)</f>
        <v>0</v>
      </c>
      <c r="L51" s="25" t="n">
        <f aca="false">IFERROR(IF(K51=0,0,ROUND(K51/11*100,1)),0)</f>
        <v>0</v>
      </c>
      <c r="M51" s="27" t="str">
        <f aca="false">IF(K51=0,"N",IF(L51&gt;=40,"Y","N"))</f>
        <v>N</v>
      </c>
      <c r="N51" s="23"/>
      <c r="O51" s="23"/>
      <c r="P51" s="24" t="str">
        <f aca="false">IFERROR(IF(AND(N51="",O51=""),"",MIN(MAX(IF(N51="",0,N51),IF(O51="",0,O51)),5)),"")</f>
        <v/>
      </c>
      <c r="Q51" s="24" t="str">
        <f aca="false">IFERROR(IF(P51="","",ROUND(P51/2,1)),"")</f>
        <v/>
      </c>
      <c r="R51" s="24" t="str">
        <f aca="false">IFERROR(IF(P51="","",ROUND(P51/2,1)),"")</f>
        <v/>
      </c>
      <c r="S51" s="23"/>
      <c r="T51" s="23"/>
      <c r="U51" s="25" t="n">
        <f aca="false">IFERROR(SUM(IF(Q51="",0,Q51),IF(R51="",0,R51),IF(S51="",0,S51),IF(T51="",0,T51)),0)</f>
        <v>0</v>
      </c>
      <c r="V51" s="25" t="n">
        <f aca="false">IFERROR(IF(U51=0,0,ROUND(U51/11*100,1)),0)</f>
        <v>0</v>
      </c>
      <c r="W51" s="27" t="str">
        <f aca="false">IF(U51=0,"N",IF(V51&gt;=40,"Y","N"))</f>
        <v>N</v>
      </c>
      <c r="X51" s="23"/>
      <c r="Y51" s="23"/>
      <c r="Z51" s="24" t="str">
        <f aca="false">IFERROR(IF(AND(X51="",Y51=""),"",MIN(MAX(IF(X51="",0,X51),IF(Y51="",0,Y51)),5)),"")</f>
        <v/>
      </c>
      <c r="AA51" s="24" t="str">
        <f aca="false">IFERROR(IF(Z51="","",ROUND(Z51/2,1)),"")</f>
        <v/>
      </c>
      <c r="AB51" s="23"/>
      <c r="AC51" s="25" t="n">
        <f aca="false">IFERROR(SUM(IF(Z51="",0,Z51),IF(AB51="",0,AB51)),0)</f>
        <v>0</v>
      </c>
      <c r="AD51" s="25" t="n">
        <f aca="false">IFERROR(IF(AC51=0,0,ROUND(AC51/8*100,1)),0)</f>
        <v>0</v>
      </c>
      <c r="AE51" s="27" t="str">
        <f aca="false">IF(AC51=0,"N",IF(AD51&gt;=40,"Y","N"))</f>
        <v>N</v>
      </c>
      <c r="AF51" s="25" t="n">
        <f aca="false">IFERROR(MIN(SUM(IF(F51="",0,F51),IF(P51="",0,P51),IF(Z51="",0,Z51)),15),0)</f>
        <v>0</v>
      </c>
      <c r="AG51" s="25" t="n">
        <f aca="false">IFERROR(MIN(SUM(IF(G51="",0,G51),IF(H51="",0,H51),IF(Q51="",0,Q51),IF(R51="",0,R51),IF(AA51="",0,AA51)),10),0)</f>
        <v>0</v>
      </c>
      <c r="AH51" s="25" t="n">
        <f aca="false">IFERROR(MIN(SUM(IF(I51="",0,I51),IF(J51="",0,J51),IF(S51="",0,S51),IF(T51="",0,T51),IF(AB51="",0,AB51)),5),0)</f>
        <v>0</v>
      </c>
      <c r="AI51" s="28" t="n">
        <f aca="false">IFERROR(AG51*2+AH51*4,0)</f>
        <v>0</v>
      </c>
      <c r="AJ51" s="29" t="n">
        <f aca="false">IFERROR(IF(AI51=0,0,ROUND(AI51/30*100,1)),0)</f>
        <v>0</v>
      </c>
    </row>
    <row r="52" customFormat="false" ht="18" hidden="false" customHeight="true" outlineLevel="0" collapsed="false">
      <c r="A52" s="30" t="n">
        <v>44</v>
      </c>
      <c r="B52" s="22"/>
      <c r="C52" s="31" t="s">
        <v>10</v>
      </c>
      <c r="D52" s="23"/>
      <c r="E52" s="23"/>
      <c r="F52" s="24" t="str">
        <f aca="false">IFERROR(IF(AND(D52="",E52=""),"",MIN(MAX(IF(D52="",0,D52),IF(E52="",0,E52)),5)),"")</f>
        <v/>
      </c>
      <c r="G52" s="24" t="str">
        <f aca="false">IFERROR(IF(F52="","",ROUND(F52/2,1)),"")</f>
        <v/>
      </c>
      <c r="H52" s="24" t="str">
        <f aca="false">IFERROR(IF(F52="","",ROUND(F52/2,1)),"")</f>
        <v/>
      </c>
      <c r="I52" s="23"/>
      <c r="J52" s="23"/>
      <c r="K52" s="25" t="n">
        <f aca="false">IFERROR(IF(AND(G52="",H52="",I52="",J52=""),0,SUM(IF(G52="",0,G52),IF(H52="",0,H52),IF(I52="",0,I52),IF(J52="",0,J52))),0)</f>
        <v>0</v>
      </c>
      <c r="L52" s="25" t="n">
        <f aca="false">IFERROR(IF(K52=0,0,ROUND(K52/11*100,1)),0)</f>
        <v>0</v>
      </c>
      <c r="M52" s="27" t="str">
        <f aca="false">IF(K52=0,"N",IF(L52&gt;=40,"Y","N"))</f>
        <v>N</v>
      </c>
      <c r="N52" s="23"/>
      <c r="O52" s="23"/>
      <c r="P52" s="24" t="str">
        <f aca="false">IFERROR(IF(AND(N52="",O52=""),"",MIN(MAX(IF(N52="",0,N52),IF(O52="",0,O52)),5)),"")</f>
        <v/>
      </c>
      <c r="Q52" s="24" t="str">
        <f aca="false">IFERROR(IF(P52="","",ROUND(P52/2,1)),"")</f>
        <v/>
      </c>
      <c r="R52" s="24" t="str">
        <f aca="false">IFERROR(IF(P52="","",ROUND(P52/2,1)),"")</f>
        <v/>
      </c>
      <c r="S52" s="23"/>
      <c r="T52" s="23"/>
      <c r="U52" s="25" t="n">
        <f aca="false">IFERROR(SUM(IF(Q52="",0,Q52),IF(R52="",0,R52),IF(S52="",0,S52),IF(T52="",0,T52)),0)</f>
        <v>0</v>
      </c>
      <c r="V52" s="25" t="n">
        <f aca="false">IFERROR(IF(U52=0,0,ROUND(U52/11*100,1)),0)</f>
        <v>0</v>
      </c>
      <c r="W52" s="27" t="str">
        <f aca="false">IF(U52=0,"N",IF(V52&gt;=40,"Y","N"))</f>
        <v>N</v>
      </c>
      <c r="X52" s="23"/>
      <c r="Y52" s="23"/>
      <c r="Z52" s="24" t="str">
        <f aca="false">IFERROR(IF(AND(X52="",Y52=""),"",MIN(MAX(IF(X52="",0,X52),IF(Y52="",0,Y52)),5)),"")</f>
        <v/>
      </c>
      <c r="AA52" s="24" t="str">
        <f aca="false">IFERROR(IF(Z52="","",ROUND(Z52/2,1)),"")</f>
        <v/>
      </c>
      <c r="AB52" s="23"/>
      <c r="AC52" s="25" t="n">
        <f aca="false">IFERROR(SUM(IF(Z52="",0,Z52),IF(AB52="",0,AB52)),0)</f>
        <v>0</v>
      </c>
      <c r="AD52" s="25" t="n">
        <f aca="false">IFERROR(IF(AC52=0,0,ROUND(AC52/8*100,1)),0)</f>
        <v>0</v>
      </c>
      <c r="AE52" s="27" t="str">
        <f aca="false">IF(AC52=0,"N",IF(AD52&gt;=40,"Y","N"))</f>
        <v>N</v>
      </c>
      <c r="AF52" s="25" t="n">
        <f aca="false">IFERROR(MIN(SUM(IF(F52="",0,F52),IF(P52="",0,P52),IF(Z52="",0,Z52)),15),0)</f>
        <v>0</v>
      </c>
      <c r="AG52" s="25" t="n">
        <f aca="false">IFERROR(MIN(SUM(IF(G52="",0,G52),IF(H52="",0,H52),IF(Q52="",0,Q52),IF(R52="",0,R52),IF(AA52="",0,AA52)),10),0)</f>
        <v>0</v>
      </c>
      <c r="AH52" s="25" t="n">
        <f aca="false">IFERROR(MIN(SUM(IF(I52="",0,I52),IF(J52="",0,J52),IF(S52="",0,S52),IF(T52="",0,T52),IF(AB52="",0,AB52)),5),0)</f>
        <v>0</v>
      </c>
      <c r="AI52" s="28" t="n">
        <f aca="false">IFERROR(AG52*2+AH52*4,0)</f>
        <v>0</v>
      </c>
      <c r="AJ52" s="29" t="n">
        <f aca="false">IFERROR(IF(AI52=0,0,ROUND(AI52/30*100,1)),0)</f>
        <v>0</v>
      </c>
    </row>
    <row r="53" customFormat="false" ht="18" hidden="false" customHeight="true" outlineLevel="0" collapsed="false">
      <c r="A53" s="21" t="n">
        <v>45</v>
      </c>
      <c r="B53" s="22"/>
      <c r="C53" s="19" t="s">
        <v>10</v>
      </c>
      <c r="D53" s="23"/>
      <c r="E53" s="23"/>
      <c r="F53" s="24" t="str">
        <f aca="false">IFERROR(IF(AND(D53="",E53=""),"",MIN(MAX(IF(D53="",0,D53),IF(E53="",0,E53)),5)),"")</f>
        <v/>
      </c>
      <c r="G53" s="24" t="str">
        <f aca="false">IFERROR(IF(F53="","",ROUND(F53/2,1)),"")</f>
        <v/>
      </c>
      <c r="H53" s="24" t="str">
        <f aca="false">IFERROR(IF(F53="","",ROUND(F53/2,1)),"")</f>
        <v/>
      </c>
      <c r="I53" s="23"/>
      <c r="J53" s="23"/>
      <c r="K53" s="25" t="n">
        <f aca="false">IFERROR(IF(AND(G53="",H53="",I53="",J53=""),0,SUM(IF(G53="",0,G53),IF(H53="",0,H53),IF(I53="",0,I53),IF(J53="",0,J53))),0)</f>
        <v>0</v>
      </c>
      <c r="L53" s="25" t="n">
        <f aca="false">IFERROR(IF(K53=0,0,ROUND(K53/11*100,1)),0)</f>
        <v>0</v>
      </c>
      <c r="M53" s="27" t="str">
        <f aca="false">IF(K53=0,"N",IF(L53&gt;=40,"Y","N"))</f>
        <v>N</v>
      </c>
      <c r="N53" s="23"/>
      <c r="O53" s="23"/>
      <c r="P53" s="24" t="str">
        <f aca="false">IFERROR(IF(AND(N53="",O53=""),"",MIN(MAX(IF(N53="",0,N53),IF(O53="",0,O53)),5)),"")</f>
        <v/>
      </c>
      <c r="Q53" s="24" t="str">
        <f aca="false">IFERROR(IF(P53="","",ROUND(P53/2,1)),"")</f>
        <v/>
      </c>
      <c r="R53" s="24" t="str">
        <f aca="false">IFERROR(IF(P53="","",ROUND(P53/2,1)),"")</f>
        <v/>
      </c>
      <c r="S53" s="23"/>
      <c r="T53" s="23"/>
      <c r="U53" s="25" t="n">
        <f aca="false">IFERROR(SUM(IF(Q53="",0,Q53),IF(R53="",0,R53),IF(S53="",0,S53),IF(T53="",0,T53)),0)</f>
        <v>0</v>
      </c>
      <c r="V53" s="25" t="n">
        <f aca="false">IFERROR(IF(U53=0,0,ROUND(U53/11*100,1)),0)</f>
        <v>0</v>
      </c>
      <c r="W53" s="27" t="str">
        <f aca="false">IF(U53=0,"N",IF(V53&gt;=40,"Y","N"))</f>
        <v>N</v>
      </c>
      <c r="X53" s="23"/>
      <c r="Y53" s="23"/>
      <c r="Z53" s="24" t="str">
        <f aca="false">IFERROR(IF(AND(X53="",Y53=""),"",MIN(MAX(IF(X53="",0,X53),IF(Y53="",0,Y53)),5)),"")</f>
        <v/>
      </c>
      <c r="AA53" s="24" t="str">
        <f aca="false">IFERROR(IF(Z53="","",ROUND(Z53/2,1)),"")</f>
        <v/>
      </c>
      <c r="AB53" s="23"/>
      <c r="AC53" s="25" t="n">
        <f aca="false">IFERROR(SUM(IF(Z53="",0,Z53),IF(AB53="",0,AB53)),0)</f>
        <v>0</v>
      </c>
      <c r="AD53" s="25" t="n">
        <f aca="false">IFERROR(IF(AC53=0,0,ROUND(AC53/8*100,1)),0)</f>
        <v>0</v>
      </c>
      <c r="AE53" s="27" t="str">
        <f aca="false">IF(AC53=0,"N",IF(AD53&gt;=40,"Y","N"))</f>
        <v>N</v>
      </c>
      <c r="AF53" s="25" t="n">
        <f aca="false">IFERROR(MIN(SUM(IF(F53="",0,F53),IF(P53="",0,P53),IF(Z53="",0,Z53)),15),0)</f>
        <v>0</v>
      </c>
      <c r="AG53" s="25" t="n">
        <f aca="false">IFERROR(MIN(SUM(IF(G53="",0,G53),IF(H53="",0,H53),IF(Q53="",0,Q53),IF(R53="",0,R53),IF(AA53="",0,AA53)),10),0)</f>
        <v>0</v>
      </c>
      <c r="AH53" s="25" t="n">
        <f aca="false">IFERROR(MIN(SUM(IF(I53="",0,I53),IF(J53="",0,J53),IF(S53="",0,S53),IF(T53="",0,T53),IF(AB53="",0,AB53)),5),0)</f>
        <v>0</v>
      </c>
      <c r="AI53" s="28" t="n">
        <f aca="false">IFERROR(AG53*2+AH53*4,0)</f>
        <v>0</v>
      </c>
      <c r="AJ53" s="29" t="n">
        <f aca="false">IFERROR(IF(AI53=0,0,ROUND(AI53/30*100,1)),0)</f>
        <v>0</v>
      </c>
    </row>
    <row r="54" customFormat="false" ht="18" hidden="false" customHeight="true" outlineLevel="0" collapsed="false">
      <c r="A54" s="30" t="n">
        <v>46</v>
      </c>
      <c r="B54" s="22"/>
      <c r="C54" s="31" t="s">
        <v>10</v>
      </c>
      <c r="D54" s="23"/>
      <c r="E54" s="23"/>
      <c r="F54" s="24" t="str">
        <f aca="false">IFERROR(IF(AND(D54="",E54=""),"",MIN(MAX(IF(D54="",0,D54),IF(E54="",0,E54)),5)),"")</f>
        <v/>
      </c>
      <c r="G54" s="24" t="str">
        <f aca="false">IFERROR(IF(F54="","",ROUND(F54/2,1)),"")</f>
        <v/>
      </c>
      <c r="H54" s="24" t="str">
        <f aca="false">IFERROR(IF(F54="","",ROUND(F54/2,1)),"")</f>
        <v/>
      </c>
      <c r="I54" s="23"/>
      <c r="J54" s="23"/>
      <c r="K54" s="25" t="n">
        <f aca="false">IFERROR(IF(AND(G54="",H54="",I54="",J54=""),0,SUM(IF(G54="",0,G54),IF(H54="",0,H54),IF(I54="",0,I54),IF(J54="",0,J54))),0)</f>
        <v>0</v>
      </c>
      <c r="L54" s="25" t="n">
        <f aca="false">IFERROR(IF(K54=0,0,ROUND(K54/11*100,1)),0)</f>
        <v>0</v>
      </c>
      <c r="M54" s="27" t="str">
        <f aca="false">IF(K54=0,"N",IF(L54&gt;=40,"Y","N"))</f>
        <v>N</v>
      </c>
      <c r="N54" s="23"/>
      <c r="O54" s="23"/>
      <c r="P54" s="24" t="str">
        <f aca="false">IFERROR(IF(AND(N54="",O54=""),"",MIN(MAX(IF(N54="",0,N54),IF(O54="",0,O54)),5)),"")</f>
        <v/>
      </c>
      <c r="Q54" s="24" t="str">
        <f aca="false">IFERROR(IF(P54="","",ROUND(P54/2,1)),"")</f>
        <v/>
      </c>
      <c r="R54" s="24" t="str">
        <f aca="false">IFERROR(IF(P54="","",ROUND(P54/2,1)),"")</f>
        <v/>
      </c>
      <c r="S54" s="23"/>
      <c r="T54" s="23"/>
      <c r="U54" s="25" t="n">
        <f aca="false">IFERROR(SUM(IF(Q54="",0,Q54),IF(R54="",0,R54),IF(S54="",0,S54),IF(T54="",0,T54)),0)</f>
        <v>0</v>
      </c>
      <c r="V54" s="25" t="n">
        <f aca="false">IFERROR(IF(U54=0,0,ROUND(U54/11*100,1)),0)</f>
        <v>0</v>
      </c>
      <c r="W54" s="27" t="str">
        <f aca="false">IF(U54=0,"N",IF(V54&gt;=40,"Y","N"))</f>
        <v>N</v>
      </c>
      <c r="X54" s="23"/>
      <c r="Y54" s="23"/>
      <c r="Z54" s="24" t="str">
        <f aca="false">IFERROR(IF(AND(X54="",Y54=""),"",MIN(MAX(IF(X54="",0,X54),IF(Y54="",0,Y54)),5)),"")</f>
        <v/>
      </c>
      <c r="AA54" s="24" t="str">
        <f aca="false">IFERROR(IF(Z54="","",ROUND(Z54/2,1)),"")</f>
        <v/>
      </c>
      <c r="AB54" s="23"/>
      <c r="AC54" s="25" t="n">
        <f aca="false">IFERROR(SUM(IF(Z54="",0,Z54),IF(AB54="",0,AB54)),0)</f>
        <v>0</v>
      </c>
      <c r="AD54" s="25" t="n">
        <f aca="false">IFERROR(IF(AC54=0,0,ROUND(AC54/8*100,1)),0)</f>
        <v>0</v>
      </c>
      <c r="AE54" s="27" t="str">
        <f aca="false">IF(AC54=0,"N",IF(AD54&gt;=40,"Y","N"))</f>
        <v>N</v>
      </c>
      <c r="AF54" s="25" t="n">
        <f aca="false">IFERROR(MIN(SUM(IF(F54="",0,F54),IF(P54="",0,P54),IF(Z54="",0,Z54)),15),0)</f>
        <v>0</v>
      </c>
      <c r="AG54" s="25" t="n">
        <f aca="false">IFERROR(MIN(SUM(IF(G54="",0,G54),IF(H54="",0,H54),IF(Q54="",0,Q54),IF(R54="",0,R54),IF(AA54="",0,AA54)),10),0)</f>
        <v>0</v>
      </c>
      <c r="AH54" s="25" t="n">
        <f aca="false">IFERROR(MIN(SUM(IF(I54="",0,I54),IF(J54="",0,J54),IF(S54="",0,S54),IF(T54="",0,T54),IF(AB54="",0,AB54)),5),0)</f>
        <v>0</v>
      </c>
      <c r="AI54" s="28" t="n">
        <f aca="false">IFERROR(AG54*2+AH54*4,0)</f>
        <v>0</v>
      </c>
      <c r="AJ54" s="29" t="n">
        <f aca="false">IFERROR(IF(AI54=0,0,ROUND(AI54/30*100,1)),0)</f>
        <v>0</v>
      </c>
    </row>
    <row r="55" customFormat="false" ht="18" hidden="false" customHeight="true" outlineLevel="0" collapsed="false">
      <c r="A55" s="21" t="n">
        <v>47</v>
      </c>
      <c r="B55" s="22"/>
      <c r="C55" s="19" t="s">
        <v>10</v>
      </c>
      <c r="D55" s="23"/>
      <c r="E55" s="23"/>
      <c r="F55" s="24" t="str">
        <f aca="false">IFERROR(IF(AND(D55="",E55=""),"",MIN(MAX(IF(D55="",0,D55),IF(E55="",0,E55)),5)),"")</f>
        <v/>
      </c>
      <c r="G55" s="24" t="str">
        <f aca="false">IFERROR(IF(F55="","",ROUND(F55/2,1)),"")</f>
        <v/>
      </c>
      <c r="H55" s="24" t="str">
        <f aca="false">IFERROR(IF(F55="","",ROUND(F55/2,1)),"")</f>
        <v/>
      </c>
      <c r="I55" s="23"/>
      <c r="J55" s="23"/>
      <c r="K55" s="25" t="n">
        <f aca="false">IFERROR(IF(AND(G55="",H55="",I55="",J55=""),0,SUM(IF(G55="",0,G55),IF(H55="",0,H55),IF(I55="",0,I55),IF(J55="",0,J55))),0)</f>
        <v>0</v>
      </c>
      <c r="L55" s="25" t="n">
        <f aca="false">IFERROR(IF(K55=0,0,ROUND(K55/11*100,1)),0)</f>
        <v>0</v>
      </c>
      <c r="M55" s="27" t="str">
        <f aca="false">IF(K55=0,"N",IF(L55&gt;=40,"Y","N"))</f>
        <v>N</v>
      </c>
      <c r="N55" s="23"/>
      <c r="O55" s="23"/>
      <c r="P55" s="24" t="str">
        <f aca="false">IFERROR(IF(AND(N55="",O55=""),"",MIN(MAX(IF(N55="",0,N55),IF(O55="",0,O55)),5)),"")</f>
        <v/>
      </c>
      <c r="Q55" s="24" t="str">
        <f aca="false">IFERROR(IF(P55="","",ROUND(P55/2,1)),"")</f>
        <v/>
      </c>
      <c r="R55" s="24" t="str">
        <f aca="false">IFERROR(IF(P55="","",ROUND(P55/2,1)),"")</f>
        <v/>
      </c>
      <c r="S55" s="23"/>
      <c r="T55" s="23"/>
      <c r="U55" s="25" t="n">
        <f aca="false">IFERROR(SUM(IF(Q55="",0,Q55),IF(R55="",0,R55),IF(S55="",0,S55),IF(T55="",0,T55)),0)</f>
        <v>0</v>
      </c>
      <c r="V55" s="25" t="n">
        <f aca="false">IFERROR(IF(U55=0,0,ROUND(U55/11*100,1)),0)</f>
        <v>0</v>
      </c>
      <c r="W55" s="27" t="str">
        <f aca="false">IF(U55=0,"N",IF(V55&gt;=40,"Y","N"))</f>
        <v>N</v>
      </c>
      <c r="X55" s="23"/>
      <c r="Y55" s="23"/>
      <c r="Z55" s="24" t="str">
        <f aca="false">IFERROR(IF(AND(X55="",Y55=""),"",MIN(MAX(IF(X55="",0,X55),IF(Y55="",0,Y55)),5)),"")</f>
        <v/>
      </c>
      <c r="AA55" s="24" t="str">
        <f aca="false">IFERROR(IF(Z55="","",ROUND(Z55/2,1)),"")</f>
        <v/>
      </c>
      <c r="AB55" s="23"/>
      <c r="AC55" s="25" t="n">
        <f aca="false">IFERROR(SUM(IF(Z55="",0,Z55),IF(AB55="",0,AB55)),0)</f>
        <v>0</v>
      </c>
      <c r="AD55" s="25" t="n">
        <f aca="false">IFERROR(IF(AC55=0,0,ROUND(AC55/8*100,1)),0)</f>
        <v>0</v>
      </c>
      <c r="AE55" s="27" t="str">
        <f aca="false">IF(AC55=0,"N",IF(AD55&gt;=40,"Y","N"))</f>
        <v>N</v>
      </c>
      <c r="AF55" s="25" t="n">
        <f aca="false">IFERROR(MIN(SUM(IF(F55="",0,F55),IF(P55="",0,P55),IF(Z55="",0,Z55)),15),0)</f>
        <v>0</v>
      </c>
      <c r="AG55" s="25" t="n">
        <f aca="false">IFERROR(MIN(SUM(IF(G55="",0,G55),IF(H55="",0,H55),IF(Q55="",0,Q55),IF(R55="",0,R55),IF(AA55="",0,AA55)),10),0)</f>
        <v>0</v>
      </c>
      <c r="AH55" s="25" t="n">
        <f aca="false">IFERROR(MIN(SUM(IF(I55="",0,I55),IF(J55="",0,J55),IF(S55="",0,S55),IF(T55="",0,T55),IF(AB55="",0,AB55)),5),0)</f>
        <v>0</v>
      </c>
      <c r="AI55" s="28" t="n">
        <f aca="false">IFERROR(AG55*2+AH55*4,0)</f>
        <v>0</v>
      </c>
      <c r="AJ55" s="29" t="n">
        <f aca="false">IFERROR(IF(AI55=0,0,ROUND(AI55/30*100,1)),0)</f>
        <v>0</v>
      </c>
    </row>
    <row r="56" customFormat="false" ht="18" hidden="false" customHeight="true" outlineLevel="0" collapsed="false">
      <c r="A56" s="30" t="n">
        <v>48</v>
      </c>
      <c r="B56" s="22"/>
      <c r="C56" s="31" t="s">
        <v>10</v>
      </c>
      <c r="D56" s="23"/>
      <c r="E56" s="23"/>
      <c r="F56" s="24" t="str">
        <f aca="false">IFERROR(IF(AND(D56="",E56=""),"",MIN(MAX(IF(D56="",0,D56),IF(E56="",0,E56)),5)),"")</f>
        <v/>
      </c>
      <c r="G56" s="24" t="str">
        <f aca="false">IFERROR(IF(F56="","",ROUND(F56/2,1)),"")</f>
        <v/>
      </c>
      <c r="H56" s="24" t="str">
        <f aca="false">IFERROR(IF(F56="","",ROUND(F56/2,1)),"")</f>
        <v/>
      </c>
      <c r="I56" s="23"/>
      <c r="J56" s="23"/>
      <c r="K56" s="25" t="n">
        <f aca="false">IFERROR(IF(AND(G56="",H56="",I56="",J56=""),0,SUM(IF(G56="",0,G56),IF(H56="",0,H56),IF(I56="",0,I56),IF(J56="",0,J56))),0)</f>
        <v>0</v>
      </c>
      <c r="L56" s="25" t="n">
        <f aca="false">IFERROR(IF(K56=0,0,ROUND(K56/11*100,1)),0)</f>
        <v>0</v>
      </c>
      <c r="M56" s="27" t="str">
        <f aca="false">IF(K56=0,"N",IF(L56&gt;=40,"Y","N"))</f>
        <v>N</v>
      </c>
      <c r="N56" s="23"/>
      <c r="O56" s="23"/>
      <c r="P56" s="24" t="str">
        <f aca="false">IFERROR(IF(AND(N56="",O56=""),"",MIN(MAX(IF(N56="",0,N56),IF(O56="",0,O56)),5)),"")</f>
        <v/>
      </c>
      <c r="Q56" s="24" t="str">
        <f aca="false">IFERROR(IF(P56="","",ROUND(P56/2,1)),"")</f>
        <v/>
      </c>
      <c r="R56" s="24" t="str">
        <f aca="false">IFERROR(IF(P56="","",ROUND(P56/2,1)),"")</f>
        <v/>
      </c>
      <c r="S56" s="23"/>
      <c r="T56" s="23"/>
      <c r="U56" s="25" t="n">
        <f aca="false">IFERROR(SUM(IF(Q56="",0,Q56),IF(R56="",0,R56),IF(S56="",0,S56),IF(T56="",0,T56)),0)</f>
        <v>0</v>
      </c>
      <c r="V56" s="25" t="n">
        <f aca="false">IFERROR(IF(U56=0,0,ROUND(U56/11*100,1)),0)</f>
        <v>0</v>
      </c>
      <c r="W56" s="27" t="str">
        <f aca="false">IF(U56=0,"N",IF(V56&gt;=40,"Y","N"))</f>
        <v>N</v>
      </c>
      <c r="X56" s="23"/>
      <c r="Y56" s="23"/>
      <c r="Z56" s="24" t="str">
        <f aca="false">IFERROR(IF(AND(X56="",Y56=""),"",MIN(MAX(IF(X56="",0,X56),IF(Y56="",0,Y56)),5)),"")</f>
        <v/>
      </c>
      <c r="AA56" s="24" t="str">
        <f aca="false">IFERROR(IF(Z56="","",ROUND(Z56/2,1)),"")</f>
        <v/>
      </c>
      <c r="AB56" s="23"/>
      <c r="AC56" s="25" t="n">
        <f aca="false">IFERROR(SUM(IF(Z56="",0,Z56),IF(AB56="",0,AB56)),0)</f>
        <v>0</v>
      </c>
      <c r="AD56" s="25" t="n">
        <f aca="false">IFERROR(IF(AC56=0,0,ROUND(AC56/8*100,1)),0)</f>
        <v>0</v>
      </c>
      <c r="AE56" s="27" t="str">
        <f aca="false">IF(AC56=0,"N",IF(AD56&gt;=40,"Y","N"))</f>
        <v>N</v>
      </c>
      <c r="AF56" s="25" t="n">
        <f aca="false">IFERROR(MIN(SUM(IF(F56="",0,F56),IF(P56="",0,P56),IF(Z56="",0,Z56)),15),0)</f>
        <v>0</v>
      </c>
      <c r="AG56" s="25" t="n">
        <f aca="false">IFERROR(MIN(SUM(IF(G56="",0,G56),IF(H56="",0,H56),IF(Q56="",0,Q56),IF(R56="",0,R56),IF(AA56="",0,AA56)),10),0)</f>
        <v>0</v>
      </c>
      <c r="AH56" s="25" t="n">
        <f aca="false">IFERROR(MIN(SUM(IF(I56="",0,I56),IF(J56="",0,J56),IF(S56="",0,S56),IF(T56="",0,T56),IF(AB56="",0,AB56)),5),0)</f>
        <v>0</v>
      </c>
      <c r="AI56" s="28" t="n">
        <f aca="false">IFERROR(AG56*2+AH56*4,0)</f>
        <v>0</v>
      </c>
      <c r="AJ56" s="29" t="n">
        <f aca="false">IFERROR(IF(AI56=0,0,ROUND(AI56/30*100,1)),0)</f>
        <v>0</v>
      </c>
    </row>
    <row r="57" customFormat="false" ht="18" hidden="false" customHeight="true" outlineLevel="0" collapsed="false">
      <c r="A57" s="21" t="n">
        <v>49</v>
      </c>
      <c r="B57" s="22"/>
      <c r="C57" s="19" t="s">
        <v>10</v>
      </c>
      <c r="D57" s="23"/>
      <c r="E57" s="23"/>
      <c r="F57" s="24" t="str">
        <f aca="false">IFERROR(IF(AND(D57="",E57=""),"",MIN(MAX(IF(D57="",0,D57),IF(E57="",0,E57)),5)),"")</f>
        <v/>
      </c>
      <c r="G57" s="24" t="str">
        <f aca="false">IFERROR(IF(F57="","",ROUND(F57/2,1)),"")</f>
        <v/>
      </c>
      <c r="H57" s="24" t="str">
        <f aca="false">IFERROR(IF(F57="","",ROUND(F57/2,1)),"")</f>
        <v/>
      </c>
      <c r="I57" s="23"/>
      <c r="J57" s="23"/>
      <c r="K57" s="25" t="n">
        <f aca="false">IFERROR(IF(AND(G57="",H57="",I57="",J57=""),0,SUM(IF(G57="",0,G57),IF(H57="",0,H57),IF(I57="",0,I57),IF(J57="",0,J57))),0)</f>
        <v>0</v>
      </c>
      <c r="L57" s="25" t="n">
        <f aca="false">IFERROR(IF(K57=0,0,ROUND(K57/11*100,1)),0)</f>
        <v>0</v>
      </c>
      <c r="M57" s="27" t="str">
        <f aca="false">IF(K57=0,"N",IF(L57&gt;=40,"Y","N"))</f>
        <v>N</v>
      </c>
      <c r="N57" s="23"/>
      <c r="O57" s="23"/>
      <c r="P57" s="24" t="str">
        <f aca="false">IFERROR(IF(AND(N57="",O57=""),"",MIN(MAX(IF(N57="",0,N57),IF(O57="",0,O57)),5)),"")</f>
        <v/>
      </c>
      <c r="Q57" s="24" t="str">
        <f aca="false">IFERROR(IF(P57="","",ROUND(P57/2,1)),"")</f>
        <v/>
      </c>
      <c r="R57" s="24" t="str">
        <f aca="false">IFERROR(IF(P57="","",ROUND(P57/2,1)),"")</f>
        <v/>
      </c>
      <c r="S57" s="23"/>
      <c r="T57" s="23"/>
      <c r="U57" s="25" t="n">
        <f aca="false">IFERROR(SUM(IF(Q57="",0,Q57),IF(R57="",0,R57),IF(S57="",0,S57),IF(T57="",0,T57)),0)</f>
        <v>0</v>
      </c>
      <c r="V57" s="25" t="n">
        <f aca="false">IFERROR(IF(U57=0,0,ROUND(U57/11*100,1)),0)</f>
        <v>0</v>
      </c>
      <c r="W57" s="27" t="str">
        <f aca="false">IF(U57=0,"N",IF(V57&gt;=40,"Y","N"))</f>
        <v>N</v>
      </c>
      <c r="X57" s="23"/>
      <c r="Y57" s="23"/>
      <c r="Z57" s="24" t="str">
        <f aca="false">IFERROR(IF(AND(X57="",Y57=""),"",MIN(MAX(IF(X57="",0,X57),IF(Y57="",0,Y57)),5)),"")</f>
        <v/>
      </c>
      <c r="AA57" s="24" t="str">
        <f aca="false">IFERROR(IF(Z57="","",ROUND(Z57/2,1)),"")</f>
        <v/>
      </c>
      <c r="AB57" s="23"/>
      <c r="AC57" s="25" t="n">
        <f aca="false">IFERROR(SUM(IF(Z57="",0,Z57),IF(AB57="",0,AB57)),0)</f>
        <v>0</v>
      </c>
      <c r="AD57" s="25" t="n">
        <f aca="false">IFERROR(IF(AC57=0,0,ROUND(AC57/8*100,1)),0)</f>
        <v>0</v>
      </c>
      <c r="AE57" s="27" t="str">
        <f aca="false">IF(AC57=0,"N",IF(AD57&gt;=40,"Y","N"))</f>
        <v>N</v>
      </c>
      <c r="AF57" s="25" t="n">
        <f aca="false">IFERROR(MIN(SUM(IF(F57="",0,F57),IF(P57="",0,P57),IF(Z57="",0,Z57)),15),0)</f>
        <v>0</v>
      </c>
      <c r="AG57" s="25" t="n">
        <f aca="false">IFERROR(MIN(SUM(IF(G57="",0,G57),IF(H57="",0,H57),IF(Q57="",0,Q57),IF(R57="",0,R57),IF(AA57="",0,AA57)),10),0)</f>
        <v>0</v>
      </c>
      <c r="AH57" s="25" t="n">
        <f aca="false">IFERROR(MIN(SUM(IF(I57="",0,I57),IF(J57="",0,J57),IF(S57="",0,S57),IF(T57="",0,T57),IF(AB57="",0,AB57)),5),0)</f>
        <v>0</v>
      </c>
      <c r="AI57" s="28" t="n">
        <f aca="false">IFERROR(AG57*2+AH57*4,0)</f>
        <v>0</v>
      </c>
      <c r="AJ57" s="29" t="n">
        <f aca="false">IFERROR(IF(AI57=0,0,ROUND(AI57/30*100,1)),0)</f>
        <v>0</v>
      </c>
    </row>
    <row r="58" customFormat="false" ht="18" hidden="false" customHeight="true" outlineLevel="0" collapsed="false">
      <c r="A58" s="30" t="n">
        <v>50</v>
      </c>
      <c r="B58" s="22"/>
      <c r="C58" s="31" t="s">
        <v>10</v>
      </c>
      <c r="D58" s="23"/>
      <c r="E58" s="23"/>
      <c r="F58" s="24" t="str">
        <f aca="false">IFERROR(IF(AND(D58="",E58=""),"",MIN(MAX(IF(D58="",0,D58),IF(E58="",0,E58)),5)),"")</f>
        <v/>
      </c>
      <c r="G58" s="24" t="str">
        <f aca="false">IFERROR(IF(F58="","",ROUND(F58/2,1)),"")</f>
        <v/>
      </c>
      <c r="H58" s="24" t="str">
        <f aca="false">IFERROR(IF(F58="","",ROUND(F58/2,1)),"")</f>
        <v/>
      </c>
      <c r="I58" s="23"/>
      <c r="J58" s="23"/>
      <c r="K58" s="25" t="n">
        <f aca="false">IFERROR(IF(AND(G58="",H58="",I58="",J58=""),0,SUM(IF(G58="",0,G58),IF(H58="",0,H58),IF(I58="",0,I58),IF(J58="",0,J58))),0)</f>
        <v>0</v>
      </c>
      <c r="L58" s="25" t="n">
        <f aca="false">IFERROR(IF(K58=0,0,ROUND(K58/11*100,1)),0)</f>
        <v>0</v>
      </c>
      <c r="M58" s="27" t="str">
        <f aca="false">IF(K58=0,"N",IF(L58&gt;=40,"Y","N"))</f>
        <v>N</v>
      </c>
      <c r="N58" s="23"/>
      <c r="O58" s="23"/>
      <c r="P58" s="24" t="str">
        <f aca="false">IFERROR(IF(AND(N58="",O58=""),"",MIN(MAX(IF(N58="",0,N58),IF(O58="",0,O58)),5)),"")</f>
        <v/>
      </c>
      <c r="Q58" s="24" t="str">
        <f aca="false">IFERROR(IF(P58="","",ROUND(P58/2,1)),"")</f>
        <v/>
      </c>
      <c r="R58" s="24" t="str">
        <f aca="false">IFERROR(IF(P58="","",ROUND(P58/2,1)),"")</f>
        <v/>
      </c>
      <c r="S58" s="23"/>
      <c r="T58" s="23"/>
      <c r="U58" s="25" t="n">
        <f aca="false">IFERROR(SUM(IF(Q58="",0,Q58),IF(R58="",0,R58),IF(S58="",0,S58),IF(T58="",0,T58)),0)</f>
        <v>0</v>
      </c>
      <c r="V58" s="25" t="n">
        <f aca="false">IFERROR(IF(U58=0,0,ROUND(U58/11*100,1)),0)</f>
        <v>0</v>
      </c>
      <c r="W58" s="27" t="str">
        <f aca="false">IF(U58=0,"N",IF(V58&gt;=40,"Y","N"))</f>
        <v>N</v>
      </c>
      <c r="X58" s="23"/>
      <c r="Y58" s="23"/>
      <c r="Z58" s="24" t="str">
        <f aca="false">IFERROR(IF(AND(X58="",Y58=""),"",MIN(MAX(IF(X58="",0,X58),IF(Y58="",0,Y58)),5)),"")</f>
        <v/>
      </c>
      <c r="AA58" s="24" t="str">
        <f aca="false">IFERROR(IF(Z58="","",ROUND(Z58/2,1)),"")</f>
        <v/>
      </c>
      <c r="AB58" s="23"/>
      <c r="AC58" s="25" t="n">
        <f aca="false">IFERROR(SUM(IF(Z58="",0,Z58),IF(AB58="",0,AB58)),0)</f>
        <v>0</v>
      </c>
      <c r="AD58" s="25" t="n">
        <f aca="false">IFERROR(IF(AC58=0,0,ROUND(AC58/8*100,1)),0)</f>
        <v>0</v>
      </c>
      <c r="AE58" s="27" t="str">
        <f aca="false">IF(AC58=0,"N",IF(AD58&gt;=40,"Y","N"))</f>
        <v>N</v>
      </c>
      <c r="AF58" s="25" t="n">
        <f aca="false">IFERROR(MIN(SUM(IF(F58="",0,F58),IF(P58="",0,P58),IF(Z58="",0,Z58)),15),0)</f>
        <v>0</v>
      </c>
      <c r="AG58" s="25" t="n">
        <f aca="false">IFERROR(MIN(SUM(IF(G58="",0,G58),IF(H58="",0,H58),IF(Q58="",0,Q58),IF(R58="",0,R58),IF(AA58="",0,AA58)),10),0)</f>
        <v>0</v>
      </c>
      <c r="AH58" s="25" t="n">
        <f aca="false">IFERROR(MIN(SUM(IF(I58="",0,I58),IF(J58="",0,J58),IF(S58="",0,S58),IF(T58="",0,T58),IF(AB58="",0,AB58)),5),0)</f>
        <v>0</v>
      </c>
      <c r="AI58" s="28" t="n">
        <f aca="false">IFERROR(AG58*2+AH58*4,0)</f>
        <v>0</v>
      </c>
      <c r="AJ58" s="29" t="n">
        <f aca="false">IFERROR(IF(AI58=0,0,ROUND(AI58/30*100,1)),0)</f>
        <v>0</v>
      </c>
    </row>
    <row r="59" customFormat="false" ht="18" hidden="false" customHeight="true" outlineLevel="0" collapsed="false">
      <c r="A59" s="21" t="n">
        <v>51</v>
      </c>
      <c r="B59" s="22"/>
      <c r="C59" s="19" t="s">
        <v>10</v>
      </c>
      <c r="D59" s="23"/>
      <c r="E59" s="23"/>
      <c r="F59" s="24" t="str">
        <f aca="false">IFERROR(IF(AND(D59="",E59=""),"",MIN(MAX(IF(D59="",0,D59),IF(E59="",0,E59)),5)),"")</f>
        <v/>
      </c>
      <c r="G59" s="24" t="str">
        <f aca="false">IFERROR(IF(F59="","",ROUND(F59/2,1)),"")</f>
        <v/>
      </c>
      <c r="H59" s="24" t="str">
        <f aca="false">IFERROR(IF(F59="","",ROUND(F59/2,1)),"")</f>
        <v/>
      </c>
      <c r="I59" s="23"/>
      <c r="J59" s="23"/>
      <c r="K59" s="25" t="n">
        <f aca="false">IFERROR(IF(AND(G59="",H59="",I59="",J59=""),0,SUM(IF(G59="",0,G59),IF(H59="",0,H59),IF(I59="",0,I59),IF(J59="",0,J59))),0)</f>
        <v>0</v>
      </c>
      <c r="L59" s="25" t="n">
        <f aca="false">IFERROR(IF(K59=0,0,ROUND(K59/11*100,1)),0)</f>
        <v>0</v>
      </c>
      <c r="M59" s="27" t="str">
        <f aca="false">IF(K59=0,"N",IF(L59&gt;=40,"Y","N"))</f>
        <v>N</v>
      </c>
      <c r="N59" s="23"/>
      <c r="O59" s="23"/>
      <c r="P59" s="24" t="str">
        <f aca="false">IFERROR(IF(AND(N59="",O59=""),"",MIN(MAX(IF(N59="",0,N59),IF(O59="",0,O59)),5)),"")</f>
        <v/>
      </c>
      <c r="Q59" s="24" t="str">
        <f aca="false">IFERROR(IF(P59="","",ROUND(P59/2,1)),"")</f>
        <v/>
      </c>
      <c r="R59" s="24" t="str">
        <f aca="false">IFERROR(IF(P59="","",ROUND(P59/2,1)),"")</f>
        <v/>
      </c>
      <c r="S59" s="23"/>
      <c r="T59" s="23"/>
      <c r="U59" s="25" t="n">
        <f aca="false">IFERROR(SUM(IF(Q59="",0,Q59),IF(R59="",0,R59),IF(S59="",0,S59),IF(T59="",0,T59)),0)</f>
        <v>0</v>
      </c>
      <c r="V59" s="25" t="n">
        <f aca="false">IFERROR(IF(U59=0,0,ROUND(U59/11*100,1)),0)</f>
        <v>0</v>
      </c>
      <c r="W59" s="27" t="str">
        <f aca="false">IF(U59=0,"N",IF(V59&gt;=40,"Y","N"))</f>
        <v>N</v>
      </c>
      <c r="X59" s="23"/>
      <c r="Y59" s="23"/>
      <c r="Z59" s="24" t="str">
        <f aca="false">IFERROR(IF(AND(X59="",Y59=""),"",MIN(MAX(IF(X59="",0,X59),IF(Y59="",0,Y59)),5)),"")</f>
        <v/>
      </c>
      <c r="AA59" s="24" t="str">
        <f aca="false">IFERROR(IF(Z59="","",ROUND(Z59/2,1)),"")</f>
        <v/>
      </c>
      <c r="AB59" s="23"/>
      <c r="AC59" s="25" t="n">
        <f aca="false">IFERROR(SUM(IF(Z59="",0,Z59),IF(AB59="",0,AB59)),0)</f>
        <v>0</v>
      </c>
      <c r="AD59" s="25" t="n">
        <f aca="false">IFERROR(IF(AC59=0,0,ROUND(AC59/8*100,1)),0)</f>
        <v>0</v>
      </c>
      <c r="AE59" s="27" t="str">
        <f aca="false">IF(AC59=0,"N",IF(AD59&gt;=40,"Y","N"))</f>
        <v>N</v>
      </c>
      <c r="AF59" s="25" t="n">
        <f aca="false">IFERROR(MIN(SUM(IF(F59="",0,F59),IF(P59="",0,P59),IF(Z59="",0,Z59)),15),0)</f>
        <v>0</v>
      </c>
      <c r="AG59" s="25" t="n">
        <f aca="false">IFERROR(MIN(SUM(IF(G59="",0,G59),IF(H59="",0,H59),IF(Q59="",0,Q59),IF(R59="",0,R59),IF(AA59="",0,AA59)),10),0)</f>
        <v>0</v>
      </c>
      <c r="AH59" s="25" t="n">
        <f aca="false">IFERROR(MIN(SUM(IF(I59="",0,I59),IF(J59="",0,J59),IF(S59="",0,S59),IF(T59="",0,T59),IF(AB59="",0,AB59)),5),0)</f>
        <v>0</v>
      </c>
      <c r="AI59" s="28" t="n">
        <f aca="false">IFERROR(AG59*2+AH59*4,0)</f>
        <v>0</v>
      </c>
      <c r="AJ59" s="29" t="n">
        <f aca="false">IFERROR(IF(AI59=0,0,ROUND(AI59/30*100,1)),0)</f>
        <v>0</v>
      </c>
    </row>
    <row r="60" customFormat="false" ht="18" hidden="false" customHeight="true" outlineLevel="0" collapsed="false">
      <c r="A60" s="30" t="n">
        <v>52</v>
      </c>
      <c r="B60" s="22"/>
      <c r="C60" s="31" t="s">
        <v>10</v>
      </c>
      <c r="D60" s="23"/>
      <c r="E60" s="23"/>
      <c r="F60" s="24" t="str">
        <f aca="false">IFERROR(IF(AND(D60="",E60=""),"",MIN(MAX(IF(D60="",0,D60),IF(E60="",0,E60)),5)),"")</f>
        <v/>
      </c>
      <c r="G60" s="24" t="str">
        <f aca="false">IFERROR(IF(F60="","",ROUND(F60/2,1)),"")</f>
        <v/>
      </c>
      <c r="H60" s="24" t="str">
        <f aca="false">IFERROR(IF(F60="","",ROUND(F60/2,1)),"")</f>
        <v/>
      </c>
      <c r="I60" s="23"/>
      <c r="J60" s="23"/>
      <c r="K60" s="25" t="n">
        <f aca="false">IFERROR(IF(AND(G60="",H60="",I60="",J60=""),0,SUM(IF(G60="",0,G60),IF(H60="",0,H60),IF(I60="",0,I60),IF(J60="",0,J60))),0)</f>
        <v>0</v>
      </c>
      <c r="L60" s="25" t="n">
        <f aca="false">IFERROR(IF(K60=0,0,ROUND(K60/11*100,1)),0)</f>
        <v>0</v>
      </c>
      <c r="M60" s="27" t="str">
        <f aca="false">IF(K60=0,"N",IF(L60&gt;=40,"Y","N"))</f>
        <v>N</v>
      </c>
      <c r="N60" s="23"/>
      <c r="O60" s="23"/>
      <c r="P60" s="24" t="str">
        <f aca="false">IFERROR(IF(AND(N60="",O60=""),"",MIN(MAX(IF(N60="",0,N60),IF(O60="",0,O60)),5)),"")</f>
        <v/>
      </c>
      <c r="Q60" s="24" t="str">
        <f aca="false">IFERROR(IF(P60="","",ROUND(P60/2,1)),"")</f>
        <v/>
      </c>
      <c r="R60" s="24" t="str">
        <f aca="false">IFERROR(IF(P60="","",ROUND(P60/2,1)),"")</f>
        <v/>
      </c>
      <c r="S60" s="23"/>
      <c r="T60" s="23"/>
      <c r="U60" s="25" t="n">
        <f aca="false">IFERROR(SUM(IF(Q60="",0,Q60),IF(R60="",0,R60),IF(S60="",0,S60),IF(T60="",0,T60)),0)</f>
        <v>0</v>
      </c>
      <c r="V60" s="25" t="n">
        <f aca="false">IFERROR(IF(U60=0,0,ROUND(U60/11*100,1)),0)</f>
        <v>0</v>
      </c>
      <c r="W60" s="27" t="str">
        <f aca="false">IF(U60=0,"N",IF(V60&gt;=40,"Y","N"))</f>
        <v>N</v>
      </c>
      <c r="X60" s="23"/>
      <c r="Y60" s="23"/>
      <c r="Z60" s="24" t="str">
        <f aca="false">IFERROR(IF(AND(X60="",Y60=""),"",MIN(MAX(IF(X60="",0,X60),IF(Y60="",0,Y60)),5)),"")</f>
        <v/>
      </c>
      <c r="AA60" s="24" t="str">
        <f aca="false">IFERROR(IF(Z60="","",ROUND(Z60/2,1)),"")</f>
        <v/>
      </c>
      <c r="AB60" s="23"/>
      <c r="AC60" s="25" t="n">
        <f aca="false">IFERROR(SUM(IF(Z60="",0,Z60),IF(AB60="",0,AB60)),0)</f>
        <v>0</v>
      </c>
      <c r="AD60" s="25" t="n">
        <f aca="false">IFERROR(IF(AC60=0,0,ROUND(AC60/8*100,1)),0)</f>
        <v>0</v>
      </c>
      <c r="AE60" s="27" t="str">
        <f aca="false">IF(AC60=0,"N",IF(AD60&gt;=40,"Y","N"))</f>
        <v>N</v>
      </c>
      <c r="AF60" s="25" t="n">
        <f aca="false">IFERROR(MIN(SUM(IF(F60="",0,F60),IF(P60="",0,P60),IF(Z60="",0,Z60)),15),0)</f>
        <v>0</v>
      </c>
      <c r="AG60" s="25" t="n">
        <f aca="false">IFERROR(MIN(SUM(IF(G60="",0,G60),IF(H60="",0,H60),IF(Q60="",0,Q60),IF(R60="",0,R60),IF(AA60="",0,AA60)),10),0)</f>
        <v>0</v>
      </c>
      <c r="AH60" s="25" t="n">
        <f aca="false">IFERROR(MIN(SUM(IF(I60="",0,I60),IF(J60="",0,J60),IF(S60="",0,S60),IF(T60="",0,T60),IF(AB60="",0,AB60)),5),0)</f>
        <v>0</v>
      </c>
      <c r="AI60" s="28" t="n">
        <f aca="false">IFERROR(AG60*2+AH60*4,0)</f>
        <v>0</v>
      </c>
      <c r="AJ60" s="29" t="n">
        <f aca="false">IFERROR(IF(AI60=0,0,ROUND(AI60/30*100,1)),0)</f>
        <v>0</v>
      </c>
    </row>
    <row r="61" customFormat="false" ht="18" hidden="false" customHeight="true" outlineLevel="0" collapsed="false">
      <c r="A61" s="21" t="n">
        <v>53</v>
      </c>
      <c r="B61" s="22"/>
      <c r="C61" s="19" t="s">
        <v>10</v>
      </c>
      <c r="D61" s="23"/>
      <c r="E61" s="23"/>
      <c r="F61" s="24" t="str">
        <f aca="false">IFERROR(IF(AND(D61="",E61=""),"",MIN(MAX(IF(D61="",0,D61),IF(E61="",0,E61)),5)),"")</f>
        <v/>
      </c>
      <c r="G61" s="24" t="str">
        <f aca="false">IFERROR(IF(F61="","",ROUND(F61/2,1)),"")</f>
        <v/>
      </c>
      <c r="H61" s="24" t="str">
        <f aca="false">IFERROR(IF(F61="","",ROUND(F61/2,1)),"")</f>
        <v/>
      </c>
      <c r="I61" s="23"/>
      <c r="J61" s="23"/>
      <c r="K61" s="25" t="n">
        <f aca="false">IFERROR(IF(AND(G61="",H61="",I61="",J61=""),0,SUM(IF(G61="",0,G61),IF(H61="",0,H61),IF(I61="",0,I61),IF(J61="",0,J61))),0)</f>
        <v>0</v>
      </c>
      <c r="L61" s="25" t="n">
        <f aca="false">IFERROR(IF(K61=0,0,ROUND(K61/11*100,1)),0)</f>
        <v>0</v>
      </c>
      <c r="M61" s="27" t="str">
        <f aca="false">IF(K61=0,"N",IF(L61&gt;=40,"Y","N"))</f>
        <v>N</v>
      </c>
      <c r="N61" s="23"/>
      <c r="O61" s="23"/>
      <c r="P61" s="24" t="str">
        <f aca="false">IFERROR(IF(AND(N61="",O61=""),"",MIN(MAX(IF(N61="",0,N61),IF(O61="",0,O61)),5)),"")</f>
        <v/>
      </c>
      <c r="Q61" s="24" t="str">
        <f aca="false">IFERROR(IF(P61="","",ROUND(P61/2,1)),"")</f>
        <v/>
      </c>
      <c r="R61" s="24" t="str">
        <f aca="false">IFERROR(IF(P61="","",ROUND(P61/2,1)),"")</f>
        <v/>
      </c>
      <c r="S61" s="23"/>
      <c r="T61" s="23"/>
      <c r="U61" s="25" t="n">
        <f aca="false">IFERROR(SUM(IF(Q61="",0,Q61),IF(R61="",0,R61),IF(S61="",0,S61),IF(T61="",0,T61)),0)</f>
        <v>0</v>
      </c>
      <c r="V61" s="25" t="n">
        <f aca="false">IFERROR(IF(U61=0,0,ROUND(U61/11*100,1)),0)</f>
        <v>0</v>
      </c>
      <c r="W61" s="27" t="str">
        <f aca="false">IF(U61=0,"N",IF(V61&gt;=40,"Y","N"))</f>
        <v>N</v>
      </c>
      <c r="X61" s="23"/>
      <c r="Y61" s="23"/>
      <c r="Z61" s="24" t="str">
        <f aca="false">IFERROR(IF(AND(X61="",Y61=""),"",MIN(MAX(IF(X61="",0,X61),IF(Y61="",0,Y61)),5)),"")</f>
        <v/>
      </c>
      <c r="AA61" s="24" t="str">
        <f aca="false">IFERROR(IF(Z61="","",ROUND(Z61/2,1)),"")</f>
        <v/>
      </c>
      <c r="AB61" s="23"/>
      <c r="AC61" s="25" t="n">
        <f aca="false">IFERROR(SUM(IF(Z61="",0,Z61),IF(AB61="",0,AB61)),0)</f>
        <v>0</v>
      </c>
      <c r="AD61" s="25" t="n">
        <f aca="false">IFERROR(IF(AC61=0,0,ROUND(AC61/8*100,1)),0)</f>
        <v>0</v>
      </c>
      <c r="AE61" s="27" t="str">
        <f aca="false">IF(AC61=0,"N",IF(AD61&gt;=40,"Y","N"))</f>
        <v>N</v>
      </c>
      <c r="AF61" s="25" t="n">
        <f aca="false">IFERROR(MIN(SUM(IF(F61="",0,F61),IF(P61="",0,P61),IF(Z61="",0,Z61)),15),0)</f>
        <v>0</v>
      </c>
      <c r="AG61" s="25" t="n">
        <f aca="false">IFERROR(MIN(SUM(IF(G61="",0,G61),IF(H61="",0,H61),IF(Q61="",0,Q61),IF(R61="",0,R61),IF(AA61="",0,AA61)),10),0)</f>
        <v>0</v>
      </c>
      <c r="AH61" s="25" t="n">
        <f aca="false">IFERROR(MIN(SUM(IF(I61="",0,I61),IF(J61="",0,J61),IF(S61="",0,S61),IF(T61="",0,T61),IF(AB61="",0,AB61)),5),0)</f>
        <v>0</v>
      </c>
      <c r="AI61" s="28" t="n">
        <f aca="false">IFERROR(AG61*2+AH61*4,0)</f>
        <v>0</v>
      </c>
      <c r="AJ61" s="29" t="n">
        <f aca="false">IFERROR(IF(AI61=0,0,ROUND(AI61/30*100,1)),0)</f>
        <v>0</v>
      </c>
    </row>
    <row r="62" customFormat="false" ht="18" hidden="false" customHeight="true" outlineLevel="0" collapsed="false">
      <c r="A62" s="30" t="n">
        <v>54</v>
      </c>
      <c r="B62" s="22"/>
      <c r="C62" s="31" t="s">
        <v>10</v>
      </c>
      <c r="D62" s="23"/>
      <c r="E62" s="23"/>
      <c r="F62" s="24" t="str">
        <f aca="false">IFERROR(IF(AND(D62="",E62=""),"",MIN(MAX(IF(D62="",0,D62),IF(E62="",0,E62)),5)),"")</f>
        <v/>
      </c>
      <c r="G62" s="24" t="str">
        <f aca="false">IFERROR(IF(F62="","",ROUND(F62/2,1)),"")</f>
        <v/>
      </c>
      <c r="H62" s="24" t="str">
        <f aca="false">IFERROR(IF(F62="","",ROUND(F62/2,1)),"")</f>
        <v/>
      </c>
      <c r="I62" s="23"/>
      <c r="J62" s="23"/>
      <c r="K62" s="25" t="n">
        <f aca="false">IFERROR(IF(AND(G62="",H62="",I62="",J62=""),0,SUM(IF(G62="",0,G62),IF(H62="",0,H62),IF(I62="",0,I62),IF(J62="",0,J62))),0)</f>
        <v>0</v>
      </c>
      <c r="L62" s="25" t="n">
        <f aca="false">IFERROR(IF(K62=0,0,ROUND(K62/11*100,1)),0)</f>
        <v>0</v>
      </c>
      <c r="M62" s="27" t="str">
        <f aca="false">IF(K62=0,"N",IF(L62&gt;=40,"Y","N"))</f>
        <v>N</v>
      </c>
      <c r="N62" s="23"/>
      <c r="O62" s="23"/>
      <c r="P62" s="24" t="str">
        <f aca="false">IFERROR(IF(AND(N62="",O62=""),"",MIN(MAX(IF(N62="",0,N62),IF(O62="",0,O62)),5)),"")</f>
        <v/>
      </c>
      <c r="Q62" s="24" t="str">
        <f aca="false">IFERROR(IF(P62="","",ROUND(P62/2,1)),"")</f>
        <v/>
      </c>
      <c r="R62" s="24" t="str">
        <f aca="false">IFERROR(IF(P62="","",ROUND(P62/2,1)),"")</f>
        <v/>
      </c>
      <c r="S62" s="23"/>
      <c r="T62" s="23"/>
      <c r="U62" s="25" t="n">
        <f aca="false">IFERROR(SUM(IF(Q62="",0,Q62),IF(R62="",0,R62),IF(S62="",0,S62),IF(T62="",0,T62)),0)</f>
        <v>0</v>
      </c>
      <c r="V62" s="25" t="n">
        <f aca="false">IFERROR(IF(U62=0,0,ROUND(U62/11*100,1)),0)</f>
        <v>0</v>
      </c>
      <c r="W62" s="27" t="str">
        <f aca="false">IF(U62=0,"N",IF(V62&gt;=40,"Y","N"))</f>
        <v>N</v>
      </c>
      <c r="X62" s="23"/>
      <c r="Y62" s="23"/>
      <c r="Z62" s="24" t="str">
        <f aca="false">IFERROR(IF(AND(X62="",Y62=""),"",MIN(MAX(IF(X62="",0,X62),IF(Y62="",0,Y62)),5)),"")</f>
        <v/>
      </c>
      <c r="AA62" s="24" t="str">
        <f aca="false">IFERROR(IF(Z62="","",ROUND(Z62/2,1)),"")</f>
        <v/>
      </c>
      <c r="AB62" s="23"/>
      <c r="AC62" s="25" t="n">
        <f aca="false">IFERROR(SUM(IF(Z62="",0,Z62),IF(AB62="",0,AB62)),0)</f>
        <v>0</v>
      </c>
      <c r="AD62" s="25" t="n">
        <f aca="false">IFERROR(IF(AC62=0,0,ROUND(AC62/8*100,1)),0)</f>
        <v>0</v>
      </c>
      <c r="AE62" s="27" t="str">
        <f aca="false">IF(AC62=0,"N",IF(AD62&gt;=40,"Y","N"))</f>
        <v>N</v>
      </c>
      <c r="AF62" s="25" t="n">
        <f aca="false">IFERROR(MIN(SUM(IF(F62="",0,F62),IF(P62="",0,P62),IF(Z62="",0,Z62)),15),0)</f>
        <v>0</v>
      </c>
      <c r="AG62" s="25" t="n">
        <f aca="false">IFERROR(MIN(SUM(IF(G62="",0,G62),IF(H62="",0,H62),IF(Q62="",0,Q62),IF(R62="",0,R62),IF(AA62="",0,AA62)),10),0)</f>
        <v>0</v>
      </c>
      <c r="AH62" s="25" t="n">
        <f aca="false">IFERROR(MIN(SUM(IF(I62="",0,I62),IF(J62="",0,J62),IF(S62="",0,S62),IF(T62="",0,T62),IF(AB62="",0,AB62)),5),0)</f>
        <v>0</v>
      </c>
      <c r="AI62" s="28" t="n">
        <f aca="false">IFERROR(AG62*2+AH62*4,0)</f>
        <v>0</v>
      </c>
      <c r="AJ62" s="29" t="n">
        <f aca="false">IFERROR(IF(AI62=0,0,ROUND(AI62/30*100,1)),0)</f>
        <v>0</v>
      </c>
    </row>
    <row r="63" customFormat="false" ht="18" hidden="false" customHeight="true" outlineLevel="0" collapsed="false">
      <c r="A63" s="21" t="n">
        <v>55</v>
      </c>
      <c r="B63" s="22"/>
      <c r="C63" s="19" t="s">
        <v>10</v>
      </c>
      <c r="D63" s="23"/>
      <c r="E63" s="23"/>
      <c r="F63" s="24" t="str">
        <f aca="false">IFERROR(IF(AND(D63="",E63=""),"",MIN(MAX(IF(D63="",0,D63),IF(E63="",0,E63)),5)),"")</f>
        <v/>
      </c>
      <c r="G63" s="24" t="str">
        <f aca="false">IFERROR(IF(F63="","",ROUND(F63/2,1)),"")</f>
        <v/>
      </c>
      <c r="H63" s="24" t="str">
        <f aca="false">IFERROR(IF(F63="","",ROUND(F63/2,1)),"")</f>
        <v/>
      </c>
      <c r="I63" s="23"/>
      <c r="J63" s="23"/>
      <c r="K63" s="25" t="n">
        <f aca="false">IFERROR(IF(AND(G63="",H63="",I63="",J63=""),0,SUM(IF(G63="",0,G63),IF(H63="",0,H63),IF(I63="",0,I63),IF(J63="",0,J63))),0)</f>
        <v>0</v>
      </c>
      <c r="L63" s="25" t="n">
        <f aca="false">IFERROR(IF(K63=0,0,ROUND(K63/11*100,1)),0)</f>
        <v>0</v>
      </c>
      <c r="M63" s="27" t="str">
        <f aca="false">IF(K63=0,"N",IF(L63&gt;=40,"Y","N"))</f>
        <v>N</v>
      </c>
      <c r="N63" s="23"/>
      <c r="O63" s="23"/>
      <c r="P63" s="24" t="str">
        <f aca="false">IFERROR(IF(AND(N63="",O63=""),"",MIN(MAX(IF(N63="",0,N63),IF(O63="",0,O63)),5)),"")</f>
        <v/>
      </c>
      <c r="Q63" s="24" t="str">
        <f aca="false">IFERROR(IF(P63="","",ROUND(P63/2,1)),"")</f>
        <v/>
      </c>
      <c r="R63" s="24" t="str">
        <f aca="false">IFERROR(IF(P63="","",ROUND(P63/2,1)),"")</f>
        <v/>
      </c>
      <c r="S63" s="23"/>
      <c r="T63" s="23"/>
      <c r="U63" s="25" t="n">
        <f aca="false">IFERROR(SUM(IF(Q63="",0,Q63),IF(R63="",0,R63),IF(S63="",0,S63),IF(T63="",0,T63)),0)</f>
        <v>0</v>
      </c>
      <c r="V63" s="25" t="n">
        <f aca="false">IFERROR(IF(U63=0,0,ROUND(U63/11*100,1)),0)</f>
        <v>0</v>
      </c>
      <c r="W63" s="27" t="str">
        <f aca="false">IF(U63=0,"N",IF(V63&gt;=40,"Y","N"))</f>
        <v>N</v>
      </c>
      <c r="X63" s="23"/>
      <c r="Y63" s="23"/>
      <c r="Z63" s="24" t="str">
        <f aca="false">IFERROR(IF(AND(X63="",Y63=""),"",MIN(MAX(IF(X63="",0,X63),IF(Y63="",0,Y63)),5)),"")</f>
        <v/>
      </c>
      <c r="AA63" s="24" t="str">
        <f aca="false">IFERROR(IF(Z63="","",ROUND(Z63/2,1)),"")</f>
        <v/>
      </c>
      <c r="AB63" s="23"/>
      <c r="AC63" s="25" t="n">
        <f aca="false">IFERROR(SUM(IF(Z63="",0,Z63),IF(AB63="",0,AB63)),0)</f>
        <v>0</v>
      </c>
      <c r="AD63" s="25" t="n">
        <f aca="false">IFERROR(IF(AC63=0,0,ROUND(AC63/8*100,1)),0)</f>
        <v>0</v>
      </c>
      <c r="AE63" s="27" t="str">
        <f aca="false">IF(AC63=0,"N",IF(AD63&gt;=40,"Y","N"))</f>
        <v>N</v>
      </c>
      <c r="AF63" s="25" t="n">
        <f aca="false">IFERROR(MIN(SUM(IF(F63="",0,F63),IF(P63="",0,P63),IF(Z63="",0,Z63)),15),0)</f>
        <v>0</v>
      </c>
      <c r="AG63" s="25" t="n">
        <f aca="false">IFERROR(MIN(SUM(IF(G63="",0,G63),IF(H63="",0,H63),IF(Q63="",0,Q63),IF(R63="",0,R63),IF(AA63="",0,AA63)),10),0)</f>
        <v>0</v>
      </c>
      <c r="AH63" s="25" t="n">
        <f aca="false">IFERROR(MIN(SUM(IF(I63="",0,I63),IF(J63="",0,J63),IF(S63="",0,S63),IF(T63="",0,T63),IF(AB63="",0,AB63)),5),0)</f>
        <v>0</v>
      </c>
      <c r="AI63" s="28" t="n">
        <f aca="false">IFERROR(AG63*2+AH63*4,0)</f>
        <v>0</v>
      </c>
      <c r="AJ63" s="29" t="n">
        <f aca="false">IFERROR(IF(AI63=0,0,ROUND(AI63/30*100,1)),0)</f>
        <v>0</v>
      </c>
    </row>
    <row r="64" customFormat="false" ht="18" hidden="false" customHeight="true" outlineLevel="0" collapsed="false">
      <c r="A64" s="30" t="n">
        <v>56</v>
      </c>
      <c r="B64" s="22"/>
      <c r="C64" s="31" t="s">
        <v>10</v>
      </c>
      <c r="D64" s="23"/>
      <c r="E64" s="23"/>
      <c r="F64" s="24" t="str">
        <f aca="false">IFERROR(IF(AND(D64="",E64=""),"",MIN(MAX(IF(D64="",0,D64),IF(E64="",0,E64)),5)),"")</f>
        <v/>
      </c>
      <c r="G64" s="24" t="str">
        <f aca="false">IFERROR(IF(F64="","",ROUND(F64/2,1)),"")</f>
        <v/>
      </c>
      <c r="H64" s="24" t="str">
        <f aca="false">IFERROR(IF(F64="","",ROUND(F64/2,1)),"")</f>
        <v/>
      </c>
      <c r="I64" s="23"/>
      <c r="J64" s="23"/>
      <c r="K64" s="25" t="n">
        <f aca="false">IFERROR(IF(AND(G64="",H64="",I64="",J64=""),0,SUM(IF(G64="",0,G64),IF(H64="",0,H64),IF(I64="",0,I64),IF(J64="",0,J64))),0)</f>
        <v>0</v>
      </c>
      <c r="L64" s="25" t="n">
        <f aca="false">IFERROR(IF(K64=0,0,ROUND(K64/11*100,1)),0)</f>
        <v>0</v>
      </c>
      <c r="M64" s="27" t="str">
        <f aca="false">IF(K64=0,"N",IF(L64&gt;=40,"Y","N"))</f>
        <v>N</v>
      </c>
      <c r="N64" s="23"/>
      <c r="O64" s="23"/>
      <c r="P64" s="24" t="str">
        <f aca="false">IFERROR(IF(AND(N64="",O64=""),"",MIN(MAX(IF(N64="",0,N64),IF(O64="",0,O64)),5)),"")</f>
        <v/>
      </c>
      <c r="Q64" s="24" t="str">
        <f aca="false">IFERROR(IF(P64="","",ROUND(P64/2,1)),"")</f>
        <v/>
      </c>
      <c r="R64" s="24" t="str">
        <f aca="false">IFERROR(IF(P64="","",ROUND(P64/2,1)),"")</f>
        <v/>
      </c>
      <c r="S64" s="23"/>
      <c r="T64" s="23"/>
      <c r="U64" s="25" t="n">
        <f aca="false">IFERROR(SUM(IF(Q64="",0,Q64),IF(R64="",0,R64),IF(S64="",0,S64),IF(T64="",0,T64)),0)</f>
        <v>0</v>
      </c>
      <c r="V64" s="25" t="n">
        <f aca="false">IFERROR(IF(U64=0,0,ROUND(U64/11*100,1)),0)</f>
        <v>0</v>
      </c>
      <c r="W64" s="27" t="str">
        <f aca="false">IF(U64=0,"N",IF(V64&gt;=40,"Y","N"))</f>
        <v>N</v>
      </c>
      <c r="X64" s="23"/>
      <c r="Y64" s="23"/>
      <c r="Z64" s="24" t="str">
        <f aca="false">IFERROR(IF(AND(X64="",Y64=""),"",MIN(MAX(IF(X64="",0,X64),IF(Y64="",0,Y64)),5)),"")</f>
        <v/>
      </c>
      <c r="AA64" s="24" t="str">
        <f aca="false">IFERROR(IF(Z64="","",ROUND(Z64/2,1)),"")</f>
        <v/>
      </c>
      <c r="AB64" s="23"/>
      <c r="AC64" s="25" t="n">
        <f aca="false">IFERROR(SUM(IF(Z64="",0,Z64),IF(AB64="",0,AB64)),0)</f>
        <v>0</v>
      </c>
      <c r="AD64" s="25" t="n">
        <f aca="false">IFERROR(IF(AC64=0,0,ROUND(AC64/8*100,1)),0)</f>
        <v>0</v>
      </c>
      <c r="AE64" s="27" t="str">
        <f aca="false">IF(AC64=0,"N",IF(AD64&gt;=40,"Y","N"))</f>
        <v>N</v>
      </c>
      <c r="AF64" s="25" t="n">
        <f aca="false">IFERROR(MIN(SUM(IF(F64="",0,F64),IF(P64="",0,P64),IF(Z64="",0,Z64)),15),0)</f>
        <v>0</v>
      </c>
      <c r="AG64" s="25" t="n">
        <f aca="false">IFERROR(MIN(SUM(IF(G64="",0,G64),IF(H64="",0,H64),IF(Q64="",0,Q64),IF(R64="",0,R64),IF(AA64="",0,AA64)),10),0)</f>
        <v>0</v>
      </c>
      <c r="AH64" s="25" t="n">
        <f aca="false">IFERROR(MIN(SUM(IF(I64="",0,I64),IF(J64="",0,J64),IF(S64="",0,S64),IF(T64="",0,T64),IF(AB64="",0,AB64)),5),0)</f>
        <v>0</v>
      </c>
      <c r="AI64" s="28" t="n">
        <f aca="false">IFERROR(AG64*2+AH64*4,0)</f>
        <v>0</v>
      </c>
      <c r="AJ64" s="29" t="n">
        <f aca="false">IFERROR(IF(AI64=0,0,ROUND(AI64/30*100,1)),0)</f>
        <v>0</v>
      </c>
    </row>
    <row r="65" customFormat="false" ht="18" hidden="false" customHeight="true" outlineLevel="0" collapsed="false">
      <c r="A65" s="21" t="n">
        <v>57</v>
      </c>
      <c r="B65" s="22"/>
      <c r="C65" s="19" t="s">
        <v>10</v>
      </c>
      <c r="D65" s="23"/>
      <c r="E65" s="23"/>
      <c r="F65" s="24" t="str">
        <f aca="false">IFERROR(IF(AND(D65="",E65=""),"",MIN(MAX(IF(D65="",0,D65),IF(E65="",0,E65)),5)),"")</f>
        <v/>
      </c>
      <c r="G65" s="24" t="str">
        <f aca="false">IFERROR(IF(F65="","",ROUND(F65/2,1)),"")</f>
        <v/>
      </c>
      <c r="H65" s="24" t="str">
        <f aca="false">IFERROR(IF(F65="","",ROUND(F65/2,1)),"")</f>
        <v/>
      </c>
      <c r="I65" s="23"/>
      <c r="J65" s="23"/>
      <c r="K65" s="25" t="n">
        <f aca="false">IFERROR(IF(AND(G65="",H65="",I65="",J65=""),0,SUM(IF(G65="",0,G65),IF(H65="",0,H65),IF(I65="",0,I65),IF(J65="",0,J65))),0)</f>
        <v>0</v>
      </c>
      <c r="L65" s="25" t="n">
        <f aca="false">IFERROR(IF(K65=0,0,ROUND(K65/11*100,1)),0)</f>
        <v>0</v>
      </c>
      <c r="M65" s="27" t="str">
        <f aca="false">IF(K65=0,"N",IF(L65&gt;=40,"Y","N"))</f>
        <v>N</v>
      </c>
      <c r="N65" s="23"/>
      <c r="O65" s="23"/>
      <c r="P65" s="24" t="str">
        <f aca="false">IFERROR(IF(AND(N65="",O65=""),"",MIN(MAX(IF(N65="",0,N65),IF(O65="",0,O65)),5)),"")</f>
        <v/>
      </c>
      <c r="Q65" s="24" t="str">
        <f aca="false">IFERROR(IF(P65="","",ROUND(P65/2,1)),"")</f>
        <v/>
      </c>
      <c r="R65" s="24" t="str">
        <f aca="false">IFERROR(IF(P65="","",ROUND(P65/2,1)),"")</f>
        <v/>
      </c>
      <c r="S65" s="23"/>
      <c r="T65" s="23"/>
      <c r="U65" s="25" t="n">
        <f aca="false">IFERROR(SUM(IF(Q65="",0,Q65),IF(R65="",0,R65),IF(S65="",0,S65),IF(T65="",0,T65)),0)</f>
        <v>0</v>
      </c>
      <c r="V65" s="25" t="n">
        <f aca="false">IFERROR(IF(U65=0,0,ROUND(U65/11*100,1)),0)</f>
        <v>0</v>
      </c>
      <c r="W65" s="27" t="str">
        <f aca="false">IF(U65=0,"N",IF(V65&gt;=40,"Y","N"))</f>
        <v>N</v>
      </c>
      <c r="X65" s="23"/>
      <c r="Y65" s="23"/>
      <c r="Z65" s="24" t="str">
        <f aca="false">IFERROR(IF(AND(X65="",Y65=""),"",MIN(MAX(IF(X65="",0,X65),IF(Y65="",0,Y65)),5)),"")</f>
        <v/>
      </c>
      <c r="AA65" s="24" t="str">
        <f aca="false">IFERROR(IF(Z65="","",ROUND(Z65/2,1)),"")</f>
        <v/>
      </c>
      <c r="AB65" s="23"/>
      <c r="AC65" s="25" t="n">
        <f aca="false">IFERROR(SUM(IF(Z65="",0,Z65),IF(AB65="",0,AB65)),0)</f>
        <v>0</v>
      </c>
      <c r="AD65" s="25" t="n">
        <f aca="false">IFERROR(IF(AC65=0,0,ROUND(AC65/8*100,1)),0)</f>
        <v>0</v>
      </c>
      <c r="AE65" s="27" t="str">
        <f aca="false">IF(AC65=0,"N",IF(AD65&gt;=40,"Y","N"))</f>
        <v>N</v>
      </c>
      <c r="AF65" s="25" t="n">
        <f aca="false">IFERROR(MIN(SUM(IF(F65="",0,F65),IF(P65="",0,P65),IF(Z65="",0,Z65)),15),0)</f>
        <v>0</v>
      </c>
      <c r="AG65" s="25" t="n">
        <f aca="false">IFERROR(MIN(SUM(IF(G65="",0,G65),IF(H65="",0,H65),IF(Q65="",0,Q65),IF(R65="",0,R65),IF(AA65="",0,AA65)),10),0)</f>
        <v>0</v>
      </c>
      <c r="AH65" s="25" t="n">
        <f aca="false">IFERROR(MIN(SUM(IF(I65="",0,I65),IF(J65="",0,J65),IF(S65="",0,S65),IF(T65="",0,T65),IF(AB65="",0,AB65)),5),0)</f>
        <v>0</v>
      </c>
      <c r="AI65" s="28" t="n">
        <f aca="false">IFERROR(AG65*2+AH65*4,0)</f>
        <v>0</v>
      </c>
      <c r="AJ65" s="29" t="n">
        <f aca="false">IFERROR(IF(AI65=0,0,ROUND(AI65/30*100,1)),0)</f>
        <v>0</v>
      </c>
    </row>
    <row r="66" customFormat="false" ht="18" hidden="false" customHeight="true" outlineLevel="0" collapsed="false">
      <c r="A66" s="30" t="n">
        <v>58</v>
      </c>
      <c r="B66" s="22"/>
      <c r="C66" s="31" t="s">
        <v>10</v>
      </c>
      <c r="D66" s="23"/>
      <c r="E66" s="23"/>
      <c r="F66" s="24" t="str">
        <f aca="false">IFERROR(IF(AND(D66="",E66=""),"",MIN(MAX(IF(D66="",0,D66),IF(E66="",0,E66)),5)),"")</f>
        <v/>
      </c>
      <c r="G66" s="24" t="str">
        <f aca="false">IFERROR(IF(F66="","",ROUND(F66/2,1)),"")</f>
        <v/>
      </c>
      <c r="H66" s="24" t="str">
        <f aca="false">IFERROR(IF(F66="","",ROUND(F66/2,1)),"")</f>
        <v/>
      </c>
      <c r="I66" s="23"/>
      <c r="J66" s="23"/>
      <c r="K66" s="25" t="n">
        <f aca="false">IFERROR(IF(AND(G66="",H66="",I66="",J66=""),0,SUM(IF(G66="",0,G66),IF(H66="",0,H66),IF(I66="",0,I66),IF(J66="",0,J66))),0)</f>
        <v>0</v>
      </c>
      <c r="L66" s="25" t="n">
        <f aca="false">IFERROR(IF(K66=0,0,ROUND(K66/11*100,1)),0)</f>
        <v>0</v>
      </c>
      <c r="M66" s="27" t="str">
        <f aca="false">IF(K66=0,"N",IF(L66&gt;=40,"Y","N"))</f>
        <v>N</v>
      </c>
      <c r="N66" s="23"/>
      <c r="O66" s="23"/>
      <c r="P66" s="24" t="str">
        <f aca="false">IFERROR(IF(AND(N66="",O66=""),"",MIN(MAX(IF(N66="",0,N66),IF(O66="",0,O66)),5)),"")</f>
        <v/>
      </c>
      <c r="Q66" s="24" t="str">
        <f aca="false">IFERROR(IF(P66="","",ROUND(P66/2,1)),"")</f>
        <v/>
      </c>
      <c r="R66" s="24" t="str">
        <f aca="false">IFERROR(IF(P66="","",ROUND(P66/2,1)),"")</f>
        <v/>
      </c>
      <c r="S66" s="23"/>
      <c r="T66" s="23"/>
      <c r="U66" s="25" t="n">
        <f aca="false">IFERROR(SUM(IF(Q66="",0,Q66),IF(R66="",0,R66),IF(S66="",0,S66),IF(T66="",0,T66)),0)</f>
        <v>0</v>
      </c>
      <c r="V66" s="25" t="n">
        <f aca="false">IFERROR(IF(U66=0,0,ROUND(U66/11*100,1)),0)</f>
        <v>0</v>
      </c>
      <c r="W66" s="27" t="str">
        <f aca="false">IF(U66=0,"N",IF(V66&gt;=40,"Y","N"))</f>
        <v>N</v>
      </c>
      <c r="X66" s="23"/>
      <c r="Y66" s="23"/>
      <c r="Z66" s="24" t="str">
        <f aca="false">IFERROR(IF(AND(X66="",Y66=""),"",MIN(MAX(IF(X66="",0,X66),IF(Y66="",0,Y66)),5)),"")</f>
        <v/>
      </c>
      <c r="AA66" s="24" t="str">
        <f aca="false">IFERROR(IF(Z66="","",ROUND(Z66/2,1)),"")</f>
        <v/>
      </c>
      <c r="AB66" s="23"/>
      <c r="AC66" s="25" t="n">
        <f aca="false">IFERROR(SUM(IF(Z66="",0,Z66),IF(AB66="",0,AB66)),0)</f>
        <v>0</v>
      </c>
      <c r="AD66" s="25" t="n">
        <f aca="false">IFERROR(IF(AC66=0,0,ROUND(AC66/8*100,1)),0)</f>
        <v>0</v>
      </c>
      <c r="AE66" s="27" t="str">
        <f aca="false">IF(AC66=0,"N",IF(AD66&gt;=40,"Y","N"))</f>
        <v>N</v>
      </c>
      <c r="AF66" s="25" t="n">
        <f aca="false">IFERROR(MIN(SUM(IF(F66="",0,F66),IF(P66="",0,P66),IF(Z66="",0,Z66)),15),0)</f>
        <v>0</v>
      </c>
      <c r="AG66" s="25" t="n">
        <f aca="false">IFERROR(MIN(SUM(IF(G66="",0,G66),IF(H66="",0,H66),IF(Q66="",0,Q66),IF(R66="",0,R66),IF(AA66="",0,AA66)),10),0)</f>
        <v>0</v>
      </c>
      <c r="AH66" s="25" t="n">
        <f aca="false">IFERROR(MIN(SUM(IF(I66="",0,I66),IF(J66="",0,J66),IF(S66="",0,S66),IF(T66="",0,T66),IF(AB66="",0,AB66)),5),0)</f>
        <v>0</v>
      </c>
      <c r="AI66" s="28" t="n">
        <f aca="false">IFERROR(AG66*2+AH66*4,0)</f>
        <v>0</v>
      </c>
      <c r="AJ66" s="29" t="n">
        <f aca="false">IFERROR(IF(AI66=0,0,ROUND(AI66/30*100,1)),0)</f>
        <v>0</v>
      </c>
    </row>
    <row r="67" customFormat="false" ht="18" hidden="false" customHeight="true" outlineLevel="0" collapsed="false">
      <c r="A67" s="21" t="n">
        <v>59</v>
      </c>
      <c r="B67" s="22"/>
      <c r="C67" s="19" t="s">
        <v>10</v>
      </c>
      <c r="D67" s="23"/>
      <c r="E67" s="23"/>
      <c r="F67" s="24" t="str">
        <f aca="false">IFERROR(IF(AND(D67="",E67=""),"",MIN(MAX(IF(D67="",0,D67),IF(E67="",0,E67)),5)),"")</f>
        <v/>
      </c>
      <c r="G67" s="24" t="str">
        <f aca="false">IFERROR(IF(F67="","",ROUND(F67/2,1)),"")</f>
        <v/>
      </c>
      <c r="H67" s="24" t="str">
        <f aca="false">IFERROR(IF(F67="","",ROUND(F67/2,1)),"")</f>
        <v/>
      </c>
      <c r="I67" s="23"/>
      <c r="J67" s="23"/>
      <c r="K67" s="25" t="n">
        <f aca="false">IFERROR(IF(AND(G67="",H67="",I67="",J67=""),0,SUM(IF(G67="",0,G67),IF(H67="",0,H67),IF(I67="",0,I67),IF(J67="",0,J67))),0)</f>
        <v>0</v>
      </c>
      <c r="L67" s="25" t="n">
        <f aca="false">IFERROR(IF(K67=0,0,ROUND(K67/11*100,1)),0)</f>
        <v>0</v>
      </c>
      <c r="M67" s="27" t="str">
        <f aca="false">IF(K67=0,"N",IF(L67&gt;=40,"Y","N"))</f>
        <v>N</v>
      </c>
      <c r="N67" s="23"/>
      <c r="O67" s="23"/>
      <c r="P67" s="24" t="str">
        <f aca="false">IFERROR(IF(AND(N67="",O67=""),"",MIN(MAX(IF(N67="",0,N67),IF(O67="",0,O67)),5)),"")</f>
        <v/>
      </c>
      <c r="Q67" s="24" t="str">
        <f aca="false">IFERROR(IF(P67="","",ROUND(P67/2,1)),"")</f>
        <v/>
      </c>
      <c r="R67" s="24" t="str">
        <f aca="false">IFERROR(IF(P67="","",ROUND(P67/2,1)),"")</f>
        <v/>
      </c>
      <c r="S67" s="23"/>
      <c r="T67" s="23"/>
      <c r="U67" s="25" t="n">
        <f aca="false">IFERROR(SUM(IF(Q67="",0,Q67),IF(R67="",0,R67),IF(S67="",0,S67),IF(T67="",0,T67)),0)</f>
        <v>0</v>
      </c>
      <c r="V67" s="25" t="n">
        <f aca="false">IFERROR(IF(U67=0,0,ROUND(U67/11*100,1)),0)</f>
        <v>0</v>
      </c>
      <c r="W67" s="27" t="str">
        <f aca="false">IF(U67=0,"N",IF(V67&gt;=40,"Y","N"))</f>
        <v>N</v>
      </c>
      <c r="X67" s="23"/>
      <c r="Y67" s="23"/>
      <c r="Z67" s="24" t="str">
        <f aca="false">IFERROR(IF(AND(X67="",Y67=""),"",MIN(MAX(IF(X67="",0,X67),IF(Y67="",0,Y67)),5)),"")</f>
        <v/>
      </c>
      <c r="AA67" s="24" t="str">
        <f aca="false">IFERROR(IF(Z67="","",ROUND(Z67/2,1)),"")</f>
        <v/>
      </c>
      <c r="AB67" s="23"/>
      <c r="AC67" s="25" t="n">
        <f aca="false">IFERROR(SUM(IF(Z67="",0,Z67),IF(AB67="",0,AB67)),0)</f>
        <v>0</v>
      </c>
      <c r="AD67" s="25" t="n">
        <f aca="false">IFERROR(IF(AC67=0,0,ROUND(AC67/8*100,1)),0)</f>
        <v>0</v>
      </c>
      <c r="AE67" s="27" t="str">
        <f aca="false">IF(AC67=0,"N",IF(AD67&gt;=40,"Y","N"))</f>
        <v>N</v>
      </c>
      <c r="AF67" s="25" t="n">
        <f aca="false">IFERROR(MIN(SUM(IF(F67="",0,F67),IF(P67="",0,P67),IF(Z67="",0,Z67)),15),0)</f>
        <v>0</v>
      </c>
      <c r="AG67" s="25" t="n">
        <f aca="false">IFERROR(MIN(SUM(IF(G67="",0,G67),IF(H67="",0,H67),IF(Q67="",0,Q67),IF(R67="",0,R67),IF(AA67="",0,AA67)),10),0)</f>
        <v>0</v>
      </c>
      <c r="AH67" s="25" t="n">
        <f aca="false">IFERROR(MIN(SUM(IF(I67="",0,I67),IF(J67="",0,J67),IF(S67="",0,S67),IF(T67="",0,T67),IF(AB67="",0,AB67)),5),0)</f>
        <v>0</v>
      </c>
      <c r="AI67" s="28" t="n">
        <f aca="false">IFERROR(AG67*2+AH67*4,0)</f>
        <v>0</v>
      </c>
      <c r="AJ67" s="29" t="n">
        <f aca="false">IFERROR(IF(AI67=0,0,ROUND(AI67/30*100,1)),0)</f>
        <v>0</v>
      </c>
    </row>
    <row r="68" customFormat="false" ht="18" hidden="false" customHeight="true" outlineLevel="0" collapsed="false">
      <c r="A68" s="30" t="n">
        <v>60</v>
      </c>
      <c r="B68" s="22"/>
      <c r="C68" s="31" t="s">
        <v>10</v>
      </c>
      <c r="D68" s="23"/>
      <c r="E68" s="23"/>
      <c r="F68" s="24" t="str">
        <f aca="false">IFERROR(IF(AND(D68="",E68=""),"",MIN(MAX(IF(D68="",0,D68),IF(E68="",0,E68)),5)),"")</f>
        <v/>
      </c>
      <c r="G68" s="24" t="str">
        <f aca="false">IFERROR(IF(F68="","",ROUND(F68/2,1)),"")</f>
        <v/>
      </c>
      <c r="H68" s="24" t="str">
        <f aca="false">IFERROR(IF(F68="","",ROUND(F68/2,1)),"")</f>
        <v/>
      </c>
      <c r="I68" s="23"/>
      <c r="J68" s="23"/>
      <c r="K68" s="25" t="n">
        <f aca="false">IFERROR(IF(AND(G68="",H68="",I68="",J68=""),0,SUM(IF(G68="",0,G68),IF(H68="",0,H68),IF(I68="",0,I68),IF(J68="",0,J68))),0)</f>
        <v>0</v>
      </c>
      <c r="L68" s="25" t="n">
        <f aca="false">IFERROR(IF(K68=0,0,ROUND(K68/11*100,1)),0)</f>
        <v>0</v>
      </c>
      <c r="M68" s="27" t="str">
        <f aca="false">IF(K68=0,"N",IF(L68&gt;=40,"Y","N"))</f>
        <v>N</v>
      </c>
      <c r="N68" s="23"/>
      <c r="O68" s="23"/>
      <c r="P68" s="24" t="str">
        <f aca="false">IFERROR(IF(AND(N68="",O68=""),"",MIN(MAX(IF(N68="",0,N68),IF(O68="",0,O68)),5)),"")</f>
        <v/>
      </c>
      <c r="Q68" s="24" t="str">
        <f aca="false">IFERROR(IF(P68="","",ROUND(P68/2,1)),"")</f>
        <v/>
      </c>
      <c r="R68" s="24" t="str">
        <f aca="false">IFERROR(IF(P68="","",ROUND(P68/2,1)),"")</f>
        <v/>
      </c>
      <c r="S68" s="23"/>
      <c r="T68" s="23"/>
      <c r="U68" s="25" t="n">
        <f aca="false">IFERROR(SUM(IF(Q68="",0,Q68),IF(R68="",0,R68),IF(S68="",0,S68),IF(T68="",0,T68)),0)</f>
        <v>0</v>
      </c>
      <c r="V68" s="25" t="n">
        <f aca="false">IFERROR(IF(U68=0,0,ROUND(U68/11*100,1)),0)</f>
        <v>0</v>
      </c>
      <c r="W68" s="27" t="str">
        <f aca="false">IF(U68=0,"N",IF(V68&gt;=40,"Y","N"))</f>
        <v>N</v>
      </c>
      <c r="X68" s="23"/>
      <c r="Y68" s="23"/>
      <c r="Z68" s="24" t="str">
        <f aca="false">IFERROR(IF(AND(X68="",Y68=""),"",MIN(MAX(IF(X68="",0,X68),IF(Y68="",0,Y68)),5)),"")</f>
        <v/>
      </c>
      <c r="AA68" s="24" t="str">
        <f aca="false">IFERROR(IF(Z68="","",ROUND(Z68/2,1)),"")</f>
        <v/>
      </c>
      <c r="AB68" s="23"/>
      <c r="AC68" s="25" t="n">
        <f aca="false">IFERROR(SUM(IF(Z68="",0,Z68),IF(AB68="",0,AB68)),0)</f>
        <v>0</v>
      </c>
      <c r="AD68" s="25" t="n">
        <f aca="false">IFERROR(IF(AC68=0,0,ROUND(AC68/8*100,1)),0)</f>
        <v>0</v>
      </c>
      <c r="AE68" s="27" t="str">
        <f aca="false">IF(AC68=0,"N",IF(AD68&gt;=40,"Y","N"))</f>
        <v>N</v>
      </c>
      <c r="AF68" s="25" t="n">
        <f aca="false">IFERROR(MIN(SUM(IF(F68="",0,F68),IF(P68="",0,P68),IF(Z68="",0,Z68)),15),0)</f>
        <v>0</v>
      </c>
      <c r="AG68" s="25" t="n">
        <f aca="false">IFERROR(MIN(SUM(IF(G68="",0,G68),IF(H68="",0,H68),IF(Q68="",0,Q68),IF(R68="",0,R68),IF(AA68="",0,AA68)),10),0)</f>
        <v>0</v>
      </c>
      <c r="AH68" s="25" t="n">
        <f aca="false">IFERROR(MIN(SUM(IF(I68="",0,I68),IF(J68="",0,J68),IF(S68="",0,S68),IF(T68="",0,T68),IF(AB68="",0,AB68)),5),0)</f>
        <v>0</v>
      </c>
      <c r="AI68" s="28" t="n">
        <f aca="false">IFERROR(AG68*2+AH68*4,0)</f>
        <v>0</v>
      </c>
      <c r="AJ68" s="29" t="n">
        <f aca="false">IFERROR(IF(AI68=0,0,ROUND(AI68/30*100,1)),0)</f>
        <v>0</v>
      </c>
    </row>
    <row r="69" customFormat="false" ht="18" hidden="false" customHeight="true" outlineLevel="0" collapsed="false">
      <c r="A69" s="21" t="n">
        <v>61</v>
      </c>
      <c r="B69" s="22"/>
      <c r="C69" s="19" t="s">
        <v>10</v>
      </c>
      <c r="D69" s="23"/>
      <c r="E69" s="23"/>
      <c r="F69" s="24" t="str">
        <f aca="false">IFERROR(IF(AND(D69="",E69=""),"",MIN(MAX(IF(D69="",0,D69),IF(E69="",0,E69)),5)),"")</f>
        <v/>
      </c>
      <c r="G69" s="24" t="str">
        <f aca="false">IFERROR(IF(F69="","",ROUND(F69/2,1)),"")</f>
        <v/>
      </c>
      <c r="H69" s="24" t="str">
        <f aca="false">IFERROR(IF(F69="","",ROUND(F69/2,1)),"")</f>
        <v/>
      </c>
      <c r="I69" s="23"/>
      <c r="J69" s="23"/>
      <c r="K69" s="25" t="n">
        <f aca="false">IFERROR(IF(AND(G69="",H69="",I69="",J69=""),0,SUM(IF(G69="",0,G69),IF(H69="",0,H69),IF(I69="",0,I69),IF(J69="",0,J69))),0)</f>
        <v>0</v>
      </c>
      <c r="L69" s="25" t="n">
        <f aca="false">IFERROR(IF(K69=0,0,ROUND(K69/11*100,1)),0)</f>
        <v>0</v>
      </c>
      <c r="M69" s="27" t="str">
        <f aca="false">IF(K69=0,"N",IF(L69&gt;=40,"Y","N"))</f>
        <v>N</v>
      </c>
      <c r="N69" s="23"/>
      <c r="O69" s="23"/>
      <c r="P69" s="24" t="str">
        <f aca="false">IFERROR(IF(AND(N69="",O69=""),"",MIN(MAX(IF(N69="",0,N69),IF(O69="",0,O69)),5)),"")</f>
        <v/>
      </c>
      <c r="Q69" s="24" t="str">
        <f aca="false">IFERROR(IF(P69="","",ROUND(P69/2,1)),"")</f>
        <v/>
      </c>
      <c r="R69" s="24" t="str">
        <f aca="false">IFERROR(IF(P69="","",ROUND(P69/2,1)),"")</f>
        <v/>
      </c>
      <c r="S69" s="23"/>
      <c r="T69" s="23"/>
      <c r="U69" s="25" t="n">
        <f aca="false">IFERROR(SUM(IF(Q69="",0,Q69),IF(R69="",0,R69),IF(S69="",0,S69),IF(T69="",0,T69)),0)</f>
        <v>0</v>
      </c>
      <c r="V69" s="25" t="n">
        <f aca="false">IFERROR(IF(U69=0,0,ROUND(U69/11*100,1)),0)</f>
        <v>0</v>
      </c>
      <c r="W69" s="27" t="str">
        <f aca="false">IF(U69=0,"N",IF(V69&gt;=40,"Y","N"))</f>
        <v>N</v>
      </c>
      <c r="X69" s="23"/>
      <c r="Y69" s="23"/>
      <c r="Z69" s="24" t="str">
        <f aca="false">IFERROR(IF(AND(X69="",Y69=""),"",MIN(MAX(IF(X69="",0,X69),IF(Y69="",0,Y69)),5)),"")</f>
        <v/>
      </c>
      <c r="AA69" s="24" t="str">
        <f aca="false">IFERROR(IF(Z69="","",ROUND(Z69/2,1)),"")</f>
        <v/>
      </c>
      <c r="AB69" s="23"/>
      <c r="AC69" s="25" t="n">
        <f aca="false">IFERROR(SUM(IF(Z69="",0,Z69),IF(AB69="",0,AB69)),0)</f>
        <v>0</v>
      </c>
      <c r="AD69" s="25" t="n">
        <f aca="false">IFERROR(IF(AC69=0,0,ROUND(AC69/8*100,1)),0)</f>
        <v>0</v>
      </c>
      <c r="AE69" s="27" t="str">
        <f aca="false">IF(AC69=0,"N",IF(AD69&gt;=40,"Y","N"))</f>
        <v>N</v>
      </c>
      <c r="AF69" s="25" t="n">
        <f aca="false">IFERROR(MIN(SUM(IF(F69="",0,F69),IF(P69="",0,P69),IF(Z69="",0,Z69)),15),0)</f>
        <v>0</v>
      </c>
      <c r="AG69" s="25" t="n">
        <f aca="false">IFERROR(MIN(SUM(IF(G69="",0,G69),IF(H69="",0,H69),IF(Q69="",0,Q69),IF(R69="",0,R69),IF(AA69="",0,AA69)),10),0)</f>
        <v>0</v>
      </c>
      <c r="AH69" s="25" t="n">
        <f aca="false">IFERROR(MIN(SUM(IF(I69="",0,I69),IF(J69="",0,J69),IF(S69="",0,S69),IF(T69="",0,T69),IF(AB69="",0,AB69)),5),0)</f>
        <v>0</v>
      </c>
      <c r="AI69" s="28" t="n">
        <f aca="false">IFERROR(AG69*2+AH69*4,0)</f>
        <v>0</v>
      </c>
      <c r="AJ69" s="29" t="n">
        <f aca="false">IFERROR(IF(AI69=0,0,ROUND(AI69/30*100,1)),0)</f>
        <v>0</v>
      </c>
    </row>
    <row r="70" customFormat="false" ht="18" hidden="false" customHeight="true" outlineLevel="0" collapsed="false">
      <c r="A70" s="30" t="n">
        <v>62</v>
      </c>
      <c r="B70" s="22"/>
      <c r="C70" s="31" t="s">
        <v>10</v>
      </c>
      <c r="D70" s="23"/>
      <c r="E70" s="23"/>
      <c r="F70" s="24" t="str">
        <f aca="false">IFERROR(IF(AND(D70="",E70=""),"",MIN(MAX(IF(D70="",0,D70),IF(E70="",0,E70)),5)),"")</f>
        <v/>
      </c>
      <c r="G70" s="24" t="str">
        <f aca="false">IFERROR(IF(F70="","",ROUND(F70/2,1)),"")</f>
        <v/>
      </c>
      <c r="H70" s="24" t="str">
        <f aca="false">IFERROR(IF(F70="","",ROUND(F70/2,1)),"")</f>
        <v/>
      </c>
      <c r="I70" s="23"/>
      <c r="J70" s="23"/>
      <c r="K70" s="25" t="n">
        <f aca="false">IFERROR(IF(AND(G70="",H70="",I70="",J70=""),0,SUM(IF(G70="",0,G70),IF(H70="",0,H70),IF(I70="",0,I70),IF(J70="",0,J70))),0)</f>
        <v>0</v>
      </c>
      <c r="L70" s="25" t="n">
        <f aca="false">IFERROR(IF(K70=0,0,ROUND(K70/11*100,1)),0)</f>
        <v>0</v>
      </c>
      <c r="M70" s="27" t="str">
        <f aca="false">IF(K70=0,"N",IF(L70&gt;=40,"Y","N"))</f>
        <v>N</v>
      </c>
      <c r="N70" s="23"/>
      <c r="O70" s="23"/>
      <c r="P70" s="24" t="str">
        <f aca="false">IFERROR(IF(AND(N70="",O70=""),"",MIN(MAX(IF(N70="",0,N70),IF(O70="",0,O70)),5)),"")</f>
        <v/>
      </c>
      <c r="Q70" s="24" t="str">
        <f aca="false">IFERROR(IF(P70="","",ROUND(P70/2,1)),"")</f>
        <v/>
      </c>
      <c r="R70" s="24" t="str">
        <f aca="false">IFERROR(IF(P70="","",ROUND(P70/2,1)),"")</f>
        <v/>
      </c>
      <c r="S70" s="23"/>
      <c r="T70" s="23"/>
      <c r="U70" s="25" t="n">
        <f aca="false">IFERROR(SUM(IF(Q70="",0,Q70),IF(R70="",0,R70),IF(S70="",0,S70),IF(T70="",0,T70)),0)</f>
        <v>0</v>
      </c>
      <c r="V70" s="25" t="n">
        <f aca="false">IFERROR(IF(U70=0,0,ROUND(U70/11*100,1)),0)</f>
        <v>0</v>
      </c>
      <c r="W70" s="27" t="str">
        <f aca="false">IF(U70=0,"N",IF(V70&gt;=40,"Y","N"))</f>
        <v>N</v>
      </c>
      <c r="X70" s="23"/>
      <c r="Y70" s="23"/>
      <c r="Z70" s="24" t="str">
        <f aca="false">IFERROR(IF(AND(X70="",Y70=""),"",MIN(MAX(IF(X70="",0,X70),IF(Y70="",0,Y70)),5)),"")</f>
        <v/>
      </c>
      <c r="AA70" s="24" t="str">
        <f aca="false">IFERROR(IF(Z70="","",ROUND(Z70/2,1)),"")</f>
        <v/>
      </c>
      <c r="AB70" s="23"/>
      <c r="AC70" s="25" t="n">
        <f aca="false">IFERROR(SUM(IF(Z70="",0,Z70),IF(AB70="",0,AB70)),0)</f>
        <v>0</v>
      </c>
      <c r="AD70" s="25" t="n">
        <f aca="false">IFERROR(IF(AC70=0,0,ROUND(AC70/8*100,1)),0)</f>
        <v>0</v>
      </c>
      <c r="AE70" s="27" t="str">
        <f aca="false">IF(AC70=0,"N",IF(AD70&gt;=40,"Y","N"))</f>
        <v>N</v>
      </c>
      <c r="AF70" s="25" t="n">
        <f aca="false">IFERROR(MIN(SUM(IF(F70="",0,F70),IF(P70="",0,P70),IF(Z70="",0,Z70)),15),0)</f>
        <v>0</v>
      </c>
      <c r="AG70" s="25" t="n">
        <f aca="false">IFERROR(MIN(SUM(IF(G70="",0,G70),IF(H70="",0,H70),IF(Q70="",0,Q70),IF(R70="",0,R70),IF(AA70="",0,AA70)),10),0)</f>
        <v>0</v>
      </c>
      <c r="AH70" s="25" t="n">
        <f aca="false">IFERROR(MIN(SUM(IF(I70="",0,I70),IF(J70="",0,J70),IF(S70="",0,S70),IF(T70="",0,T70),IF(AB70="",0,AB70)),5),0)</f>
        <v>0</v>
      </c>
      <c r="AI70" s="28" t="n">
        <f aca="false">IFERROR(AG70*2+AH70*4,0)</f>
        <v>0</v>
      </c>
      <c r="AJ70" s="29" t="n">
        <f aca="false">IFERROR(IF(AI70=0,0,ROUND(AI70/30*100,1)),0)</f>
        <v>0</v>
      </c>
    </row>
    <row r="71" customFormat="false" ht="18" hidden="false" customHeight="true" outlineLevel="0" collapsed="false">
      <c r="A71" s="21" t="n">
        <v>63</v>
      </c>
      <c r="B71" s="22"/>
      <c r="C71" s="19" t="s">
        <v>10</v>
      </c>
      <c r="D71" s="23"/>
      <c r="E71" s="23"/>
      <c r="F71" s="24" t="str">
        <f aca="false">IFERROR(IF(AND(D71="",E71=""),"",MIN(MAX(IF(D71="",0,D71),IF(E71="",0,E71)),5)),"")</f>
        <v/>
      </c>
      <c r="G71" s="24" t="str">
        <f aca="false">IFERROR(IF(F71="","",ROUND(F71/2,1)),"")</f>
        <v/>
      </c>
      <c r="H71" s="24" t="str">
        <f aca="false">IFERROR(IF(F71="","",ROUND(F71/2,1)),"")</f>
        <v/>
      </c>
      <c r="I71" s="23"/>
      <c r="J71" s="23"/>
      <c r="K71" s="25" t="n">
        <f aca="false">IFERROR(IF(AND(G71="",H71="",I71="",J71=""),0,SUM(IF(G71="",0,G71),IF(H71="",0,H71),IF(I71="",0,I71),IF(J71="",0,J71))),0)</f>
        <v>0</v>
      </c>
      <c r="L71" s="25" t="n">
        <f aca="false">IFERROR(IF(K71=0,0,ROUND(K71/11*100,1)),0)</f>
        <v>0</v>
      </c>
      <c r="M71" s="27" t="str">
        <f aca="false">IF(K71=0,"N",IF(L71&gt;=40,"Y","N"))</f>
        <v>N</v>
      </c>
      <c r="N71" s="23"/>
      <c r="O71" s="23"/>
      <c r="P71" s="24" t="str">
        <f aca="false">IFERROR(IF(AND(N71="",O71=""),"",MIN(MAX(IF(N71="",0,N71),IF(O71="",0,O71)),5)),"")</f>
        <v/>
      </c>
      <c r="Q71" s="24" t="str">
        <f aca="false">IFERROR(IF(P71="","",ROUND(P71/2,1)),"")</f>
        <v/>
      </c>
      <c r="R71" s="24" t="str">
        <f aca="false">IFERROR(IF(P71="","",ROUND(P71/2,1)),"")</f>
        <v/>
      </c>
      <c r="S71" s="23"/>
      <c r="T71" s="23"/>
      <c r="U71" s="25" t="n">
        <f aca="false">IFERROR(SUM(IF(Q71="",0,Q71),IF(R71="",0,R71),IF(S71="",0,S71),IF(T71="",0,T71)),0)</f>
        <v>0</v>
      </c>
      <c r="V71" s="25" t="n">
        <f aca="false">IFERROR(IF(U71=0,0,ROUND(U71/11*100,1)),0)</f>
        <v>0</v>
      </c>
      <c r="W71" s="27" t="str">
        <f aca="false">IF(U71=0,"N",IF(V71&gt;=40,"Y","N"))</f>
        <v>N</v>
      </c>
      <c r="X71" s="23"/>
      <c r="Y71" s="23"/>
      <c r="Z71" s="24" t="str">
        <f aca="false">IFERROR(IF(AND(X71="",Y71=""),"",MIN(MAX(IF(X71="",0,X71),IF(Y71="",0,Y71)),5)),"")</f>
        <v/>
      </c>
      <c r="AA71" s="24" t="str">
        <f aca="false">IFERROR(IF(Z71="","",ROUND(Z71/2,1)),"")</f>
        <v/>
      </c>
      <c r="AB71" s="23"/>
      <c r="AC71" s="25" t="n">
        <f aca="false">IFERROR(SUM(IF(Z71="",0,Z71),IF(AB71="",0,AB71)),0)</f>
        <v>0</v>
      </c>
      <c r="AD71" s="25" t="n">
        <f aca="false">IFERROR(IF(AC71=0,0,ROUND(AC71/8*100,1)),0)</f>
        <v>0</v>
      </c>
      <c r="AE71" s="27" t="str">
        <f aca="false">IF(AC71=0,"N",IF(AD71&gt;=40,"Y","N"))</f>
        <v>N</v>
      </c>
      <c r="AF71" s="25" t="n">
        <f aca="false">IFERROR(MIN(SUM(IF(F71="",0,F71),IF(P71="",0,P71),IF(Z71="",0,Z71)),15),0)</f>
        <v>0</v>
      </c>
      <c r="AG71" s="25" t="n">
        <f aca="false">IFERROR(MIN(SUM(IF(G71="",0,G71),IF(H71="",0,H71),IF(Q71="",0,Q71),IF(R71="",0,R71),IF(AA71="",0,AA71)),10),0)</f>
        <v>0</v>
      </c>
      <c r="AH71" s="25" t="n">
        <f aca="false">IFERROR(MIN(SUM(IF(I71="",0,I71),IF(J71="",0,J71),IF(S71="",0,S71),IF(T71="",0,T71),IF(AB71="",0,AB71)),5),0)</f>
        <v>0</v>
      </c>
      <c r="AI71" s="28" t="n">
        <f aca="false">IFERROR(AG71*2+AH71*4,0)</f>
        <v>0</v>
      </c>
      <c r="AJ71" s="29" t="n">
        <f aca="false">IFERROR(IF(AI71=0,0,ROUND(AI71/30*100,1)),0)</f>
        <v>0</v>
      </c>
    </row>
    <row r="72" customFormat="false" ht="18" hidden="false" customHeight="true" outlineLevel="0" collapsed="false">
      <c r="A72" s="30" t="n">
        <v>64</v>
      </c>
      <c r="B72" s="22"/>
      <c r="C72" s="31" t="s">
        <v>10</v>
      </c>
      <c r="D72" s="23"/>
      <c r="E72" s="23"/>
      <c r="F72" s="24" t="str">
        <f aca="false">IFERROR(IF(AND(D72="",E72=""),"",MIN(MAX(IF(D72="",0,D72),IF(E72="",0,E72)),5)),"")</f>
        <v/>
      </c>
      <c r="G72" s="24" t="str">
        <f aca="false">IFERROR(IF(F72="","",ROUND(F72/2,1)),"")</f>
        <v/>
      </c>
      <c r="H72" s="24" t="str">
        <f aca="false">IFERROR(IF(F72="","",ROUND(F72/2,1)),"")</f>
        <v/>
      </c>
      <c r="I72" s="23"/>
      <c r="J72" s="23"/>
      <c r="K72" s="25" t="n">
        <f aca="false">IFERROR(IF(AND(G72="",H72="",I72="",J72=""),0,SUM(IF(G72="",0,G72),IF(H72="",0,H72),IF(I72="",0,I72),IF(J72="",0,J72))),0)</f>
        <v>0</v>
      </c>
      <c r="L72" s="25" t="n">
        <f aca="false">IFERROR(IF(K72=0,0,ROUND(K72/11*100,1)),0)</f>
        <v>0</v>
      </c>
      <c r="M72" s="27" t="str">
        <f aca="false">IF(K72=0,"N",IF(L72&gt;=40,"Y","N"))</f>
        <v>N</v>
      </c>
      <c r="N72" s="23"/>
      <c r="O72" s="23"/>
      <c r="P72" s="24" t="str">
        <f aca="false">IFERROR(IF(AND(N72="",O72=""),"",MIN(MAX(IF(N72="",0,N72),IF(O72="",0,O72)),5)),"")</f>
        <v/>
      </c>
      <c r="Q72" s="24" t="str">
        <f aca="false">IFERROR(IF(P72="","",ROUND(P72/2,1)),"")</f>
        <v/>
      </c>
      <c r="R72" s="24" t="str">
        <f aca="false">IFERROR(IF(P72="","",ROUND(P72/2,1)),"")</f>
        <v/>
      </c>
      <c r="S72" s="23"/>
      <c r="T72" s="23"/>
      <c r="U72" s="25" t="n">
        <f aca="false">IFERROR(SUM(IF(Q72="",0,Q72),IF(R72="",0,R72),IF(S72="",0,S72),IF(T72="",0,T72)),0)</f>
        <v>0</v>
      </c>
      <c r="V72" s="25" t="n">
        <f aca="false">IFERROR(IF(U72=0,0,ROUND(U72/11*100,1)),0)</f>
        <v>0</v>
      </c>
      <c r="W72" s="27" t="str">
        <f aca="false">IF(U72=0,"N",IF(V72&gt;=40,"Y","N"))</f>
        <v>N</v>
      </c>
      <c r="X72" s="23"/>
      <c r="Y72" s="23"/>
      <c r="Z72" s="24" t="str">
        <f aca="false">IFERROR(IF(AND(X72="",Y72=""),"",MIN(MAX(IF(X72="",0,X72),IF(Y72="",0,Y72)),5)),"")</f>
        <v/>
      </c>
      <c r="AA72" s="24" t="str">
        <f aca="false">IFERROR(IF(Z72="","",ROUND(Z72/2,1)),"")</f>
        <v/>
      </c>
      <c r="AB72" s="23"/>
      <c r="AC72" s="25" t="n">
        <f aca="false">IFERROR(SUM(IF(Z72="",0,Z72),IF(AB72="",0,AB72)),0)</f>
        <v>0</v>
      </c>
      <c r="AD72" s="25" t="n">
        <f aca="false">IFERROR(IF(AC72=0,0,ROUND(AC72/8*100,1)),0)</f>
        <v>0</v>
      </c>
      <c r="AE72" s="27" t="str">
        <f aca="false">IF(AC72=0,"N",IF(AD72&gt;=40,"Y","N"))</f>
        <v>N</v>
      </c>
      <c r="AF72" s="25" t="n">
        <f aca="false">IFERROR(MIN(SUM(IF(F72="",0,F72),IF(P72="",0,P72),IF(Z72="",0,Z72)),15),0)</f>
        <v>0</v>
      </c>
      <c r="AG72" s="25" t="n">
        <f aca="false">IFERROR(MIN(SUM(IF(G72="",0,G72),IF(H72="",0,H72),IF(Q72="",0,Q72),IF(R72="",0,R72),IF(AA72="",0,AA72)),10),0)</f>
        <v>0</v>
      </c>
      <c r="AH72" s="25" t="n">
        <f aca="false">IFERROR(MIN(SUM(IF(I72="",0,I72),IF(J72="",0,J72),IF(S72="",0,S72),IF(T72="",0,T72),IF(AB72="",0,AB72)),5),0)</f>
        <v>0</v>
      </c>
      <c r="AI72" s="28" t="n">
        <f aca="false">IFERROR(AG72*2+AH72*4,0)</f>
        <v>0</v>
      </c>
      <c r="AJ72" s="29" t="n">
        <f aca="false">IFERROR(IF(AI72=0,0,ROUND(AI72/30*100,1)),0)</f>
        <v>0</v>
      </c>
    </row>
    <row r="73" customFormat="false" ht="18" hidden="false" customHeight="true" outlineLevel="0" collapsed="false">
      <c r="A73" s="21" t="n">
        <v>65</v>
      </c>
      <c r="B73" s="22"/>
      <c r="C73" s="19" t="s">
        <v>10</v>
      </c>
      <c r="D73" s="23"/>
      <c r="E73" s="23"/>
      <c r="F73" s="24" t="str">
        <f aca="false">IFERROR(IF(AND(D73="",E73=""),"",MIN(MAX(IF(D73="",0,D73),IF(E73="",0,E73)),5)),"")</f>
        <v/>
      </c>
      <c r="G73" s="24" t="str">
        <f aca="false">IFERROR(IF(F73="","",ROUND(F73/2,1)),"")</f>
        <v/>
      </c>
      <c r="H73" s="24" t="str">
        <f aca="false">IFERROR(IF(F73="","",ROUND(F73/2,1)),"")</f>
        <v/>
      </c>
      <c r="I73" s="23"/>
      <c r="J73" s="23"/>
      <c r="K73" s="25" t="n">
        <f aca="false">IFERROR(IF(AND(G73="",H73="",I73="",J73=""),0,SUM(IF(G73="",0,G73),IF(H73="",0,H73),IF(I73="",0,I73),IF(J73="",0,J73))),0)</f>
        <v>0</v>
      </c>
      <c r="L73" s="25" t="n">
        <f aca="false">IFERROR(IF(K73=0,0,ROUND(K73/11*100,1)),0)</f>
        <v>0</v>
      </c>
      <c r="M73" s="27" t="str">
        <f aca="false">IF(K73=0,"N",IF(L73&gt;=40,"Y","N"))</f>
        <v>N</v>
      </c>
      <c r="N73" s="23"/>
      <c r="O73" s="23"/>
      <c r="P73" s="24" t="str">
        <f aca="false">IFERROR(IF(AND(N73="",O73=""),"",MIN(MAX(IF(N73="",0,N73),IF(O73="",0,O73)),5)),"")</f>
        <v/>
      </c>
      <c r="Q73" s="24" t="str">
        <f aca="false">IFERROR(IF(P73="","",ROUND(P73/2,1)),"")</f>
        <v/>
      </c>
      <c r="R73" s="24" t="str">
        <f aca="false">IFERROR(IF(P73="","",ROUND(P73/2,1)),"")</f>
        <v/>
      </c>
      <c r="S73" s="23"/>
      <c r="T73" s="23"/>
      <c r="U73" s="25" t="n">
        <f aca="false">IFERROR(SUM(IF(Q73="",0,Q73),IF(R73="",0,R73),IF(S73="",0,S73),IF(T73="",0,T73)),0)</f>
        <v>0</v>
      </c>
      <c r="V73" s="25" t="n">
        <f aca="false">IFERROR(IF(U73=0,0,ROUND(U73/11*100,1)),0)</f>
        <v>0</v>
      </c>
      <c r="W73" s="27" t="str">
        <f aca="false">IF(U73=0,"N",IF(V73&gt;=40,"Y","N"))</f>
        <v>N</v>
      </c>
      <c r="X73" s="23"/>
      <c r="Y73" s="23"/>
      <c r="Z73" s="24" t="str">
        <f aca="false">IFERROR(IF(AND(X73="",Y73=""),"",MIN(MAX(IF(X73="",0,X73),IF(Y73="",0,Y73)),5)),"")</f>
        <v/>
      </c>
      <c r="AA73" s="24" t="str">
        <f aca="false">IFERROR(IF(Z73="","",ROUND(Z73/2,1)),"")</f>
        <v/>
      </c>
      <c r="AB73" s="23"/>
      <c r="AC73" s="25" t="n">
        <f aca="false">IFERROR(SUM(IF(Z73="",0,Z73),IF(AB73="",0,AB73)),0)</f>
        <v>0</v>
      </c>
      <c r="AD73" s="25" t="n">
        <f aca="false">IFERROR(IF(AC73=0,0,ROUND(AC73/8*100,1)),0)</f>
        <v>0</v>
      </c>
      <c r="AE73" s="27" t="str">
        <f aca="false">IF(AC73=0,"N",IF(AD73&gt;=40,"Y","N"))</f>
        <v>N</v>
      </c>
      <c r="AF73" s="25" t="n">
        <f aca="false">IFERROR(MIN(SUM(IF(F73="",0,F73),IF(P73="",0,P73),IF(Z73="",0,Z73)),15),0)</f>
        <v>0</v>
      </c>
      <c r="AG73" s="25" t="n">
        <f aca="false">IFERROR(MIN(SUM(IF(G73="",0,G73),IF(H73="",0,H73),IF(Q73="",0,Q73),IF(R73="",0,R73),IF(AA73="",0,AA73)),10),0)</f>
        <v>0</v>
      </c>
      <c r="AH73" s="25" t="n">
        <f aca="false">IFERROR(MIN(SUM(IF(I73="",0,I73),IF(J73="",0,J73),IF(S73="",0,S73),IF(T73="",0,T73),IF(AB73="",0,AB73)),5),0)</f>
        <v>0</v>
      </c>
      <c r="AI73" s="28" t="n">
        <f aca="false">IFERROR(AG73*2+AH73*4,0)</f>
        <v>0</v>
      </c>
      <c r="AJ73" s="29" t="n">
        <f aca="false">IFERROR(IF(AI73=0,0,ROUND(AI73/30*100,1)),0)</f>
        <v>0</v>
      </c>
    </row>
    <row r="74" customFormat="false" ht="18" hidden="false" customHeight="true" outlineLevel="0" collapsed="false">
      <c r="A74" s="30" t="n">
        <v>66</v>
      </c>
      <c r="B74" s="22"/>
      <c r="C74" s="31" t="s">
        <v>10</v>
      </c>
      <c r="D74" s="23"/>
      <c r="E74" s="23"/>
      <c r="F74" s="24" t="str">
        <f aca="false">IFERROR(IF(AND(D74="",E74=""),"",MIN(MAX(IF(D74="",0,D74),IF(E74="",0,E74)),5)),"")</f>
        <v/>
      </c>
      <c r="G74" s="24" t="str">
        <f aca="false">IFERROR(IF(F74="","",ROUND(F74/2,1)),"")</f>
        <v/>
      </c>
      <c r="H74" s="24" t="str">
        <f aca="false">IFERROR(IF(F74="","",ROUND(F74/2,1)),"")</f>
        <v/>
      </c>
      <c r="I74" s="23"/>
      <c r="J74" s="23"/>
      <c r="K74" s="25" t="n">
        <f aca="false">IFERROR(IF(AND(G74="",H74="",I74="",J74=""),0,SUM(IF(G74="",0,G74),IF(H74="",0,H74),IF(I74="",0,I74),IF(J74="",0,J74))),0)</f>
        <v>0</v>
      </c>
      <c r="L74" s="25" t="n">
        <f aca="false">IFERROR(IF(K74=0,0,ROUND(K74/11*100,1)),0)</f>
        <v>0</v>
      </c>
      <c r="M74" s="27" t="str">
        <f aca="false">IF(K74=0,"N",IF(L74&gt;=40,"Y","N"))</f>
        <v>N</v>
      </c>
      <c r="N74" s="23"/>
      <c r="O74" s="23"/>
      <c r="P74" s="24" t="str">
        <f aca="false">IFERROR(IF(AND(N74="",O74=""),"",MIN(MAX(IF(N74="",0,N74),IF(O74="",0,O74)),5)),"")</f>
        <v/>
      </c>
      <c r="Q74" s="24" t="str">
        <f aca="false">IFERROR(IF(P74="","",ROUND(P74/2,1)),"")</f>
        <v/>
      </c>
      <c r="R74" s="24" t="str">
        <f aca="false">IFERROR(IF(P74="","",ROUND(P74/2,1)),"")</f>
        <v/>
      </c>
      <c r="S74" s="23"/>
      <c r="T74" s="23"/>
      <c r="U74" s="25" t="n">
        <f aca="false">IFERROR(SUM(IF(Q74="",0,Q74),IF(R74="",0,R74),IF(S74="",0,S74),IF(T74="",0,T74)),0)</f>
        <v>0</v>
      </c>
      <c r="V74" s="25" t="n">
        <f aca="false">IFERROR(IF(U74=0,0,ROUND(U74/11*100,1)),0)</f>
        <v>0</v>
      </c>
      <c r="W74" s="27" t="str">
        <f aca="false">IF(U74=0,"N",IF(V74&gt;=40,"Y","N"))</f>
        <v>N</v>
      </c>
      <c r="X74" s="23"/>
      <c r="Y74" s="23"/>
      <c r="Z74" s="24" t="str">
        <f aca="false">IFERROR(IF(AND(X74="",Y74=""),"",MIN(MAX(IF(X74="",0,X74),IF(Y74="",0,Y74)),5)),"")</f>
        <v/>
      </c>
      <c r="AA74" s="24" t="str">
        <f aca="false">IFERROR(IF(Z74="","",ROUND(Z74/2,1)),"")</f>
        <v/>
      </c>
      <c r="AB74" s="23"/>
      <c r="AC74" s="25" t="n">
        <f aca="false">IFERROR(SUM(IF(Z74="",0,Z74),IF(AB74="",0,AB74)),0)</f>
        <v>0</v>
      </c>
      <c r="AD74" s="25" t="n">
        <f aca="false">IFERROR(IF(AC74=0,0,ROUND(AC74/8*100,1)),0)</f>
        <v>0</v>
      </c>
      <c r="AE74" s="27" t="str">
        <f aca="false">IF(AC74=0,"N",IF(AD74&gt;=40,"Y","N"))</f>
        <v>N</v>
      </c>
      <c r="AF74" s="25" t="n">
        <f aca="false">IFERROR(MIN(SUM(IF(F74="",0,F74),IF(P74="",0,P74),IF(Z74="",0,Z74)),15),0)</f>
        <v>0</v>
      </c>
      <c r="AG74" s="25" t="n">
        <f aca="false">IFERROR(MIN(SUM(IF(G74="",0,G74),IF(H74="",0,H74),IF(Q74="",0,Q74),IF(R74="",0,R74),IF(AA74="",0,AA74)),10),0)</f>
        <v>0</v>
      </c>
      <c r="AH74" s="25" t="n">
        <f aca="false">IFERROR(MIN(SUM(IF(I74="",0,I74),IF(J74="",0,J74),IF(S74="",0,S74),IF(T74="",0,T74),IF(AB74="",0,AB74)),5),0)</f>
        <v>0</v>
      </c>
      <c r="AI74" s="28" t="n">
        <f aca="false">IFERROR(AG74*2+AH74*4,0)</f>
        <v>0</v>
      </c>
      <c r="AJ74" s="29" t="n">
        <f aca="false">IFERROR(IF(AI74=0,0,ROUND(AI74/30*100,1)),0)</f>
        <v>0</v>
      </c>
    </row>
    <row r="75" customFormat="false" ht="18" hidden="false" customHeight="true" outlineLevel="0" collapsed="false">
      <c r="A75" s="21" t="n">
        <v>67</v>
      </c>
      <c r="B75" s="22"/>
      <c r="C75" s="19" t="s">
        <v>10</v>
      </c>
      <c r="D75" s="23"/>
      <c r="E75" s="23"/>
      <c r="F75" s="24" t="str">
        <f aca="false">IFERROR(IF(AND(D75="",E75=""),"",MIN(MAX(IF(D75="",0,D75),IF(E75="",0,E75)),5)),"")</f>
        <v/>
      </c>
      <c r="G75" s="24" t="str">
        <f aca="false">IFERROR(IF(F75="","",ROUND(F75/2,1)),"")</f>
        <v/>
      </c>
      <c r="H75" s="24" t="str">
        <f aca="false">IFERROR(IF(F75="","",ROUND(F75/2,1)),"")</f>
        <v/>
      </c>
      <c r="I75" s="23"/>
      <c r="J75" s="23"/>
      <c r="K75" s="25" t="n">
        <f aca="false">IFERROR(IF(AND(G75="",H75="",I75="",J75=""),0,SUM(IF(G75="",0,G75),IF(H75="",0,H75),IF(I75="",0,I75),IF(J75="",0,J75))),0)</f>
        <v>0</v>
      </c>
      <c r="L75" s="25" t="n">
        <f aca="false">IFERROR(IF(K75=0,0,ROUND(K75/11*100,1)),0)</f>
        <v>0</v>
      </c>
      <c r="M75" s="27" t="str">
        <f aca="false">IF(K75=0,"N",IF(L75&gt;=40,"Y","N"))</f>
        <v>N</v>
      </c>
      <c r="N75" s="23"/>
      <c r="O75" s="23"/>
      <c r="P75" s="24" t="str">
        <f aca="false">IFERROR(IF(AND(N75="",O75=""),"",MIN(MAX(IF(N75="",0,N75),IF(O75="",0,O75)),5)),"")</f>
        <v/>
      </c>
      <c r="Q75" s="24" t="str">
        <f aca="false">IFERROR(IF(P75="","",ROUND(P75/2,1)),"")</f>
        <v/>
      </c>
      <c r="R75" s="24" t="str">
        <f aca="false">IFERROR(IF(P75="","",ROUND(P75/2,1)),"")</f>
        <v/>
      </c>
      <c r="S75" s="23"/>
      <c r="T75" s="23"/>
      <c r="U75" s="25" t="n">
        <f aca="false">IFERROR(SUM(IF(Q75="",0,Q75),IF(R75="",0,R75),IF(S75="",0,S75),IF(T75="",0,T75)),0)</f>
        <v>0</v>
      </c>
      <c r="V75" s="25" t="n">
        <f aca="false">IFERROR(IF(U75=0,0,ROUND(U75/11*100,1)),0)</f>
        <v>0</v>
      </c>
      <c r="W75" s="27" t="str">
        <f aca="false">IF(U75=0,"N",IF(V75&gt;=40,"Y","N"))</f>
        <v>N</v>
      </c>
      <c r="X75" s="23"/>
      <c r="Y75" s="23"/>
      <c r="Z75" s="24" t="str">
        <f aca="false">IFERROR(IF(AND(X75="",Y75=""),"",MIN(MAX(IF(X75="",0,X75),IF(Y75="",0,Y75)),5)),"")</f>
        <v/>
      </c>
      <c r="AA75" s="24" t="str">
        <f aca="false">IFERROR(IF(Z75="","",ROUND(Z75/2,1)),"")</f>
        <v/>
      </c>
      <c r="AB75" s="23"/>
      <c r="AC75" s="25" t="n">
        <f aca="false">IFERROR(SUM(IF(Z75="",0,Z75),IF(AB75="",0,AB75)),0)</f>
        <v>0</v>
      </c>
      <c r="AD75" s="25" t="n">
        <f aca="false">IFERROR(IF(AC75=0,0,ROUND(AC75/8*100,1)),0)</f>
        <v>0</v>
      </c>
      <c r="AE75" s="27" t="str">
        <f aca="false">IF(AC75=0,"N",IF(AD75&gt;=40,"Y","N"))</f>
        <v>N</v>
      </c>
      <c r="AF75" s="25" t="n">
        <f aca="false">IFERROR(MIN(SUM(IF(F75="",0,F75),IF(P75="",0,P75),IF(Z75="",0,Z75)),15),0)</f>
        <v>0</v>
      </c>
      <c r="AG75" s="25" t="n">
        <f aca="false">IFERROR(MIN(SUM(IF(G75="",0,G75),IF(H75="",0,H75),IF(Q75="",0,Q75),IF(R75="",0,R75),IF(AA75="",0,AA75)),10),0)</f>
        <v>0</v>
      </c>
      <c r="AH75" s="25" t="n">
        <f aca="false">IFERROR(MIN(SUM(IF(I75="",0,I75),IF(J75="",0,J75),IF(S75="",0,S75),IF(T75="",0,T75),IF(AB75="",0,AB75)),5),0)</f>
        <v>0</v>
      </c>
      <c r="AI75" s="28" t="n">
        <f aca="false">IFERROR(AG75*2+AH75*4,0)</f>
        <v>0</v>
      </c>
      <c r="AJ75" s="29" t="n">
        <f aca="false">IFERROR(IF(AI75=0,0,ROUND(AI75/30*100,1)),0)</f>
        <v>0</v>
      </c>
    </row>
    <row r="76" customFormat="false" ht="18" hidden="false" customHeight="true" outlineLevel="0" collapsed="false">
      <c r="A76" s="30" t="n">
        <v>68</v>
      </c>
      <c r="B76" s="22"/>
      <c r="C76" s="31" t="s">
        <v>10</v>
      </c>
      <c r="D76" s="23"/>
      <c r="E76" s="23"/>
      <c r="F76" s="24" t="str">
        <f aca="false">IFERROR(IF(AND(D76="",E76=""),"",MIN(MAX(IF(D76="",0,D76),IF(E76="",0,E76)),5)),"")</f>
        <v/>
      </c>
      <c r="G76" s="24" t="str">
        <f aca="false">IFERROR(IF(F76="","",ROUND(F76/2,1)),"")</f>
        <v/>
      </c>
      <c r="H76" s="24" t="str">
        <f aca="false">IFERROR(IF(F76="","",ROUND(F76/2,1)),"")</f>
        <v/>
      </c>
      <c r="I76" s="23"/>
      <c r="J76" s="23"/>
      <c r="K76" s="25" t="n">
        <f aca="false">IFERROR(IF(AND(G76="",H76="",I76="",J76=""),0,SUM(IF(G76="",0,G76),IF(H76="",0,H76),IF(I76="",0,I76),IF(J76="",0,J76))),0)</f>
        <v>0</v>
      </c>
      <c r="L76" s="25" t="n">
        <f aca="false">IFERROR(IF(K76=0,0,ROUND(K76/11*100,1)),0)</f>
        <v>0</v>
      </c>
      <c r="M76" s="27" t="str">
        <f aca="false">IF(K76=0,"N",IF(L76&gt;=40,"Y","N"))</f>
        <v>N</v>
      </c>
      <c r="N76" s="23"/>
      <c r="O76" s="23"/>
      <c r="P76" s="24" t="str">
        <f aca="false">IFERROR(IF(AND(N76="",O76=""),"",MIN(MAX(IF(N76="",0,N76),IF(O76="",0,O76)),5)),"")</f>
        <v/>
      </c>
      <c r="Q76" s="24" t="str">
        <f aca="false">IFERROR(IF(P76="","",ROUND(P76/2,1)),"")</f>
        <v/>
      </c>
      <c r="R76" s="24" t="str">
        <f aca="false">IFERROR(IF(P76="","",ROUND(P76/2,1)),"")</f>
        <v/>
      </c>
      <c r="S76" s="23"/>
      <c r="T76" s="23"/>
      <c r="U76" s="25" t="n">
        <f aca="false">IFERROR(SUM(IF(Q76="",0,Q76),IF(R76="",0,R76),IF(S76="",0,S76),IF(T76="",0,T76)),0)</f>
        <v>0</v>
      </c>
      <c r="V76" s="25" t="n">
        <f aca="false">IFERROR(IF(U76=0,0,ROUND(U76/11*100,1)),0)</f>
        <v>0</v>
      </c>
      <c r="W76" s="27" t="str">
        <f aca="false">IF(U76=0,"N",IF(V76&gt;=40,"Y","N"))</f>
        <v>N</v>
      </c>
      <c r="X76" s="23"/>
      <c r="Y76" s="23"/>
      <c r="Z76" s="24" t="str">
        <f aca="false">IFERROR(IF(AND(X76="",Y76=""),"",MIN(MAX(IF(X76="",0,X76),IF(Y76="",0,Y76)),5)),"")</f>
        <v/>
      </c>
      <c r="AA76" s="24" t="str">
        <f aca="false">IFERROR(IF(Z76="","",ROUND(Z76/2,1)),"")</f>
        <v/>
      </c>
      <c r="AB76" s="23"/>
      <c r="AC76" s="25" t="n">
        <f aca="false">IFERROR(SUM(IF(Z76="",0,Z76),IF(AB76="",0,AB76)),0)</f>
        <v>0</v>
      </c>
      <c r="AD76" s="25" t="n">
        <f aca="false">IFERROR(IF(AC76=0,0,ROUND(AC76/8*100,1)),0)</f>
        <v>0</v>
      </c>
      <c r="AE76" s="27" t="str">
        <f aca="false">IF(AC76=0,"N",IF(AD76&gt;=40,"Y","N"))</f>
        <v>N</v>
      </c>
      <c r="AF76" s="25" t="n">
        <f aca="false">IFERROR(MIN(SUM(IF(F76="",0,F76),IF(P76="",0,P76),IF(Z76="",0,Z76)),15),0)</f>
        <v>0</v>
      </c>
      <c r="AG76" s="25" t="n">
        <f aca="false">IFERROR(MIN(SUM(IF(G76="",0,G76),IF(H76="",0,H76),IF(Q76="",0,Q76),IF(R76="",0,R76),IF(AA76="",0,AA76)),10),0)</f>
        <v>0</v>
      </c>
      <c r="AH76" s="25" t="n">
        <f aca="false">IFERROR(MIN(SUM(IF(I76="",0,I76),IF(J76="",0,J76),IF(S76="",0,S76),IF(T76="",0,T76),IF(AB76="",0,AB76)),5),0)</f>
        <v>0</v>
      </c>
      <c r="AI76" s="28" t="n">
        <f aca="false">IFERROR(AG76*2+AH76*4,0)</f>
        <v>0</v>
      </c>
      <c r="AJ76" s="29" t="n">
        <f aca="false">IFERROR(IF(AI76=0,0,ROUND(AI76/30*100,1)),0)</f>
        <v>0</v>
      </c>
    </row>
    <row r="77" customFormat="false" ht="18" hidden="false" customHeight="true" outlineLevel="0" collapsed="false">
      <c r="A77" s="21" t="n">
        <v>69</v>
      </c>
      <c r="B77" s="22"/>
      <c r="C77" s="19" t="s">
        <v>10</v>
      </c>
      <c r="D77" s="23"/>
      <c r="E77" s="23"/>
      <c r="F77" s="24" t="str">
        <f aca="false">IFERROR(IF(AND(D77="",E77=""),"",MIN(MAX(IF(D77="",0,D77),IF(E77="",0,E77)),5)),"")</f>
        <v/>
      </c>
      <c r="G77" s="24" t="str">
        <f aca="false">IFERROR(IF(F77="","",ROUND(F77/2,1)),"")</f>
        <v/>
      </c>
      <c r="H77" s="24" t="str">
        <f aca="false">IFERROR(IF(F77="","",ROUND(F77/2,1)),"")</f>
        <v/>
      </c>
      <c r="I77" s="23"/>
      <c r="J77" s="23"/>
      <c r="K77" s="25" t="n">
        <f aca="false">IFERROR(IF(AND(G77="",H77="",I77="",J77=""),0,SUM(IF(G77="",0,G77),IF(H77="",0,H77),IF(I77="",0,I77),IF(J77="",0,J77))),0)</f>
        <v>0</v>
      </c>
      <c r="L77" s="25" t="n">
        <f aca="false">IFERROR(IF(K77=0,0,ROUND(K77/11*100,1)),0)</f>
        <v>0</v>
      </c>
      <c r="M77" s="27" t="str">
        <f aca="false">IF(K77=0,"N",IF(L77&gt;=40,"Y","N"))</f>
        <v>N</v>
      </c>
      <c r="N77" s="23"/>
      <c r="O77" s="23"/>
      <c r="P77" s="24" t="str">
        <f aca="false">IFERROR(IF(AND(N77="",O77=""),"",MIN(MAX(IF(N77="",0,N77),IF(O77="",0,O77)),5)),"")</f>
        <v/>
      </c>
      <c r="Q77" s="24" t="str">
        <f aca="false">IFERROR(IF(P77="","",ROUND(P77/2,1)),"")</f>
        <v/>
      </c>
      <c r="R77" s="24" t="str">
        <f aca="false">IFERROR(IF(P77="","",ROUND(P77/2,1)),"")</f>
        <v/>
      </c>
      <c r="S77" s="23"/>
      <c r="T77" s="23"/>
      <c r="U77" s="25" t="n">
        <f aca="false">IFERROR(SUM(IF(Q77="",0,Q77),IF(R77="",0,R77),IF(S77="",0,S77),IF(T77="",0,T77)),0)</f>
        <v>0</v>
      </c>
      <c r="V77" s="25" t="n">
        <f aca="false">IFERROR(IF(U77=0,0,ROUND(U77/11*100,1)),0)</f>
        <v>0</v>
      </c>
      <c r="W77" s="27" t="str">
        <f aca="false">IF(U77=0,"N",IF(V77&gt;=40,"Y","N"))</f>
        <v>N</v>
      </c>
      <c r="X77" s="23"/>
      <c r="Y77" s="23"/>
      <c r="Z77" s="24" t="str">
        <f aca="false">IFERROR(IF(AND(X77="",Y77=""),"",MIN(MAX(IF(X77="",0,X77),IF(Y77="",0,Y77)),5)),"")</f>
        <v/>
      </c>
      <c r="AA77" s="24" t="str">
        <f aca="false">IFERROR(IF(Z77="","",ROUND(Z77/2,1)),"")</f>
        <v/>
      </c>
      <c r="AB77" s="23"/>
      <c r="AC77" s="25" t="n">
        <f aca="false">IFERROR(SUM(IF(Z77="",0,Z77),IF(AB77="",0,AB77)),0)</f>
        <v>0</v>
      </c>
      <c r="AD77" s="25" t="n">
        <f aca="false">IFERROR(IF(AC77=0,0,ROUND(AC77/8*100,1)),0)</f>
        <v>0</v>
      </c>
      <c r="AE77" s="27" t="str">
        <f aca="false">IF(AC77=0,"N",IF(AD77&gt;=40,"Y","N"))</f>
        <v>N</v>
      </c>
      <c r="AF77" s="25" t="n">
        <f aca="false">IFERROR(MIN(SUM(IF(F77="",0,F77),IF(P77="",0,P77),IF(Z77="",0,Z77)),15),0)</f>
        <v>0</v>
      </c>
      <c r="AG77" s="25" t="n">
        <f aca="false">IFERROR(MIN(SUM(IF(G77="",0,G77),IF(H77="",0,H77),IF(Q77="",0,Q77),IF(R77="",0,R77),IF(AA77="",0,AA77)),10),0)</f>
        <v>0</v>
      </c>
      <c r="AH77" s="25" t="n">
        <f aca="false">IFERROR(MIN(SUM(IF(I77="",0,I77),IF(J77="",0,J77),IF(S77="",0,S77),IF(T77="",0,T77),IF(AB77="",0,AB77)),5),0)</f>
        <v>0</v>
      </c>
      <c r="AI77" s="28" t="n">
        <f aca="false">IFERROR(AG77*2+AH77*4,0)</f>
        <v>0</v>
      </c>
      <c r="AJ77" s="29" t="n">
        <f aca="false">IFERROR(IF(AI77=0,0,ROUND(AI77/30*100,1)),0)</f>
        <v>0</v>
      </c>
    </row>
    <row r="78" customFormat="false" ht="18" hidden="false" customHeight="true" outlineLevel="0" collapsed="false">
      <c r="A78" s="30" t="n">
        <v>70</v>
      </c>
      <c r="B78" s="22"/>
      <c r="C78" s="31" t="s">
        <v>10</v>
      </c>
      <c r="D78" s="23"/>
      <c r="E78" s="23"/>
      <c r="F78" s="24" t="str">
        <f aca="false">IFERROR(IF(AND(D78="",E78=""),"",MIN(MAX(IF(D78="",0,D78),IF(E78="",0,E78)),5)),"")</f>
        <v/>
      </c>
      <c r="G78" s="24" t="str">
        <f aca="false">IFERROR(IF(F78="","",ROUND(F78/2,1)),"")</f>
        <v/>
      </c>
      <c r="H78" s="24" t="str">
        <f aca="false">IFERROR(IF(F78="","",ROUND(F78/2,1)),"")</f>
        <v/>
      </c>
      <c r="I78" s="23"/>
      <c r="J78" s="23"/>
      <c r="K78" s="25" t="n">
        <f aca="false">IFERROR(IF(AND(G78="",H78="",I78="",J78=""),0,SUM(IF(G78="",0,G78),IF(H78="",0,H78),IF(I78="",0,I78),IF(J78="",0,J78))),0)</f>
        <v>0</v>
      </c>
      <c r="L78" s="25" t="n">
        <f aca="false">IFERROR(IF(K78=0,0,ROUND(K78/11*100,1)),0)</f>
        <v>0</v>
      </c>
      <c r="M78" s="27" t="str">
        <f aca="false">IF(K78=0,"N",IF(L78&gt;=40,"Y","N"))</f>
        <v>N</v>
      </c>
      <c r="N78" s="23"/>
      <c r="O78" s="23"/>
      <c r="P78" s="24" t="str">
        <f aca="false">IFERROR(IF(AND(N78="",O78=""),"",MIN(MAX(IF(N78="",0,N78),IF(O78="",0,O78)),5)),"")</f>
        <v/>
      </c>
      <c r="Q78" s="24" t="str">
        <f aca="false">IFERROR(IF(P78="","",ROUND(P78/2,1)),"")</f>
        <v/>
      </c>
      <c r="R78" s="24" t="str">
        <f aca="false">IFERROR(IF(P78="","",ROUND(P78/2,1)),"")</f>
        <v/>
      </c>
      <c r="S78" s="23"/>
      <c r="T78" s="23"/>
      <c r="U78" s="25" t="n">
        <f aca="false">IFERROR(SUM(IF(Q78="",0,Q78),IF(R78="",0,R78),IF(S78="",0,S78),IF(T78="",0,T78)),0)</f>
        <v>0</v>
      </c>
      <c r="V78" s="25" t="n">
        <f aca="false">IFERROR(IF(U78=0,0,ROUND(U78/11*100,1)),0)</f>
        <v>0</v>
      </c>
      <c r="W78" s="27" t="str">
        <f aca="false">IF(U78=0,"N",IF(V78&gt;=40,"Y","N"))</f>
        <v>N</v>
      </c>
      <c r="X78" s="23"/>
      <c r="Y78" s="23"/>
      <c r="Z78" s="24" t="str">
        <f aca="false">IFERROR(IF(AND(X78="",Y78=""),"",MIN(MAX(IF(X78="",0,X78),IF(Y78="",0,Y78)),5)),"")</f>
        <v/>
      </c>
      <c r="AA78" s="24" t="str">
        <f aca="false">IFERROR(IF(Z78="","",ROUND(Z78/2,1)),"")</f>
        <v/>
      </c>
      <c r="AB78" s="23"/>
      <c r="AC78" s="25" t="n">
        <f aca="false">IFERROR(SUM(IF(Z78="",0,Z78),IF(AB78="",0,AB78)),0)</f>
        <v>0</v>
      </c>
      <c r="AD78" s="25" t="n">
        <f aca="false">IFERROR(IF(AC78=0,0,ROUND(AC78/8*100,1)),0)</f>
        <v>0</v>
      </c>
      <c r="AE78" s="27" t="str">
        <f aca="false">IF(AC78=0,"N",IF(AD78&gt;=40,"Y","N"))</f>
        <v>N</v>
      </c>
      <c r="AF78" s="25" t="n">
        <f aca="false">IFERROR(MIN(SUM(IF(F78="",0,F78),IF(P78="",0,P78),IF(Z78="",0,Z78)),15),0)</f>
        <v>0</v>
      </c>
      <c r="AG78" s="25" t="n">
        <f aca="false">IFERROR(MIN(SUM(IF(G78="",0,G78),IF(H78="",0,H78),IF(Q78="",0,Q78),IF(R78="",0,R78),IF(AA78="",0,AA78)),10),0)</f>
        <v>0</v>
      </c>
      <c r="AH78" s="25" t="n">
        <f aca="false">IFERROR(MIN(SUM(IF(I78="",0,I78),IF(J78="",0,J78),IF(S78="",0,S78),IF(T78="",0,T78),IF(AB78="",0,AB78)),5),0)</f>
        <v>0</v>
      </c>
      <c r="AI78" s="28" t="n">
        <f aca="false">IFERROR(AG78*2+AH78*4,0)</f>
        <v>0</v>
      </c>
      <c r="AJ78" s="29" t="n">
        <f aca="false">IFERROR(IF(AI78=0,0,ROUND(AI78/30*100,1)),0)</f>
        <v>0</v>
      </c>
    </row>
    <row r="79" customFormat="false" ht="21.75" hidden="false" customHeight="true" outlineLevel="0" collapsed="false">
      <c r="A79" s="32" t="s">
        <v>61</v>
      </c>
      <c r="B79" s="32"/>
      <c r="C79" s="32"/>
      <c r="D79" s="33" t="n">
        <f aca="false">IFERROR(AVERAGEIF(D9:D78,"&gt;0"),0)</f>
        <v>0</v>
      </c>
      <c r="E79" s="33" t="n">
        <f aca="false">IFERROR(AVERAGEIF(E9:E78,"&gt;0"),0)</f>
        <v>0</v>
      </c>
      <c r="F79" s="33" t="n">
        <f aca="false">IFERROR(AVERAGEIF(F9:F78,"&gt;0"),0)</f>
        <v>0</v>
      </c>
      <c r="G79" s="33" t="n">
        <f aca="false">IFERROR(AVERAGEIF(G9:G78,"&gt;0"),0)</f>
        <v>0</v>
      </c>
      <c r="H79" s="33" t="n">
        <f aca="false">IFERROR(AVERAGEIF(H9:H78,"&gt;0"),0)</f>
        <v>0</v>
      </c>
      <c r="I79" s="33" t="n">
        <f aca="false">IFERROR(AVERAGEIF(I9:I78,"&gt;0"),0)</f>
        <v>0</v>
      </c>
      <c r="J79" s="33" t="n">
        <f aca="false">IFERROR(AVERAGEIF(J9:J78,"&gt;0"),0)</f>
        <v>0</v>
      </c>
      <c r="K79" s="33" t="n">
        <f aca="false">IFERROR(AVERAGEIF(K9:K78,"&gt;0"),0)</f>
        <v>0</v>
      </c>
      <c r="L79" s="33" t="n">
        <f aca="false">IFERROR(AVERAGEIF(L9:L78,"&gt;0"),0)</f>
        <v>0</v>
      </c>
      <c r="M79" s="34"/>
      <c r="N79" s="33" t="n">
        <f aca="false">IFERROR(AVERAGEIF(N9:N78,"&gt;0"),0)</f>
        <v>0</v>
      </c>
      <c r="O79" s="33" t="n">
        <f aca="false">IFERROR(AVERAGEIF(O9:O78,"&gt;0"),0)</f>
        <v>0</v>
      </c>
      <c r="P79" s="33" t="n">
        <f aca="false">IFERROR(AVERAGEIF(P9:P78,"&gt;0"),0)</f>
        <v>0</v>
      </c>
      <c r="Q79" s="33" t="n">
        <f aca="false">IFERROR(AVERAGEIF(Q9:Q78,"&gt;0"),0)</f>
        <v>0</v>
      </c>
      <c r="R79" s="33" t="n">
        <f aca="false">IFERROR(AVERAGEIF(R9:R78,"&gt;0"),0)</f>
        <v>0</v>
      </c>
      <c r="S79" s="33" t="n">
        <f aca="false">IFERROR(AVERAGEIF(S9:S78,"&gt;0"),0)</f>
        <v>0</v>
      </c>
      <c r="T79" s="33" t="n">
        <f aca="false">IFERROR(AVERAGEIF(T9:T78,"&gt;0"),0)</f>
        <v>0</v>
      </c>
      <c r="U79" s="33" t="n">
        <f aca="false">IFERROR(AVERAGEIF(U9:U78,"&gt;0"),0)</f>
        <v>0</v>
      </c>
      <c r="V79" s="33" t="n">
        <f aca="false">IFERROR(AVERAGEIF(V9:V78,"&gt;0"),0)</f>
        <v>0</v>
      </c>
      <c r="W79" s="34"/>
      <c r="X79" s="33" t="n">
        <f aca="false">IFERROR(AVERAGEIF(X9:X78,"&gt;0"),0)</f>
        <v>0</v>
      </c>
      <c r="Y79" s="33" t="n">
        <f aca="false">IFERROR(AVERAGEIF(Y9:Y78,"&gt;0"),0)</f>
        <v>0</v>
      </c>
      <c r="Z79" s="33" t="n">
        <f aca="false">IFERROR(AVERAGEIF(Z9:Z78,"&gt;0"),0)</f>
        <v>0</v>
      </c>
      <c r="AA79" s="33" t="n">
        <f aca="false">IFERROR(AVERAGEIF(AA9:AA78,"&gt;0"),0)</f>
        <v>0</v>
      </c>
      <c r="AB79" s="33" t="n">
        <f aca="false">IFERROR(AVERAGEIF(AB9:AB78,"&gt;0"),0)</f>
        <v>0</v>
      </c>
      <c r="AC79" s="33" t="n">
        <f aca="false">IFERROR(AVERAGEIF(AC9:AC78,"&gt;0"),0)</f>
        <v>0</v>
      </c>
      <c r="AD79" s="33" t="n">
        <f aca="false">IFERROR(AVERAGEIF(AD9:AD78,"&gt;0"),0)</f>
        <v>0</v>
      </c>
      <c r="AE79" s="34"/>
      <c r="AF79" s="33" t="n">
        <f aca="false">IFERROR(AVERAGEIF(AF9:AF78,"&gt;0"),0)</f>
        <v>0</v>
      </c>
      <c r="AG79" s="33" t="n">
        <f aca="false">IFERROR(AVERAGEIF(AG9:AG78,"&gt;0"),0)</f>
        <v>0</v>
      </c>
      <c r="AH79" s="33" t="n">
        <f aca="false">IFERROR(AVERAGEIF(AH9:AH78,"&gt;0"),0)</f>
        <v>0</v>
      </c>
      <c r="AI79" s="33" t="n">
        <f aca="false">IFERROR(AVERAGEIF(AI9:AI78,"&gt;0"),0)</f>
        <v>0</v>
      </c>
      <c r="AJ79" s="33" t="n">
        <f aca="false">IFERROR(AVERAGEIF(AJ9:AJ78,"&gt;0"),0)</f>
        <v>0</v>
      </c>
    </row>
    <row r="80" customFormat="false" ht="19.5" hidden="false" customHeight="true" outlineLevel="0" collapsed="false">
      <c r="A80" s="35" t="s">
        <v>62</v>
      </c>
      <c r="B80" s="35"/>
      <c r="C80" s="35"/>
      <c r="M80" s="36" t="n">
        <f aca="false">COUNTIF(M9:M78,"Y")</f>
        <v>0</v>
      </c>
      <c r="W80" s="36" t="n">
        <f aca="false">COUNTIF(W9:W78,"Y")</f>
        <v>0</v>
      </c>
      <c r="AE80" s="36" t="n">
        <f aca="false">COUNTIF(AE9:AE78,"Y")</f>
        <v>0</v>
      </c>
    </row>
    <row r="81" customFormat="false" ht="19.5" hidden="false" customHeight="true" outlineLevel="0" collapsed="false">
      <c r="A81" s="10" t="s">
        <v>63</v>
      </c>
      <c r="B81" s="10"/>
      <c r="C81" s="10"/>
      <c r="M81" s="37" t="n">
        <f aca="false">IFERROR(M80/70*100,0)</f>
        <v>0</v>
      </c>
      <c r="W81" s="37" t="n">
        <f aca="false">IFERROR(W80/70*100,0)</f>
        <v>0</v>
      </c>
      <c r="AE81" s="37" t="n">
        <f aca="false">IFERROR(AE80/70*100,0)</f>
        <v>0</v>
      </c>
    </row>
    <row r="82" customFormat="false" ht="21.75" hidden="false" customHeight="true" outlineLevel="0" collapsed="false">
      <c r="A82" s="38" t="s">
        <v>64</v>
      </c>
      <c r="B82" s="38"/>
      <c r="C82" s="38"/>
      <c r="M82" s="39" t="str">
        <f aca="false">IF(M81&gt;=75,"L3 (High)",IF(M81&gt;=60,"L2 (Medium)",IF(M81&gt;=40,"L1 (Low)","L0 (Below)")))</f>
        <v>L0 (Below)</v>
      </c>
      <c r="W82" s="39" t="str">
        <f aca="false">IF(W81&gt;=75,"L3 (High)",IF(W81&gt;=60,"L2 (Medium)",IF(W81&gt;=40,"L1 (Low)","L0 (Below)")))</f>
        <v>L0 (Below)</v>
      </c>
      <c r="AE82" s="39" t="str">
        <f aca="false">IF(AE81&gt;=75,"L3 (High)",IF(AE81&gt;=60,"L2 (Medium)",IF(AE81&gt;=40,"L1 (Low)","L0 (Below)")))</f>
        <v>L0 (Below)</v>
      </c>
    </row>
    <row r="84" customFormat="false" ht="25.5" hidden="false" customHeight="true" outlineLevel="0" collapsed="false">
      <c r="A84" s="40" t="s">
        <v>65</v>
      </c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</row>
    <row r="85" customFormat="false" ht="21.75" hidden="false" customHeight="true" outlineLevel="0" collapsed="false">
      <c r="A85" s="41" t="s">
        <v>66</v>
      </c>
      <c r="B85" s="42" t="s">
        <v>67</v>
      </c>
      <c r="C85" s="43" t="s">
        <v>66</v>
      </c>
      <c r="D85" s="44" t="s">
        <v>68</v>
      </c>
      <c r="E85" s="45" t="s">
        <v>66</v>
      </c>
      <c r="F85" s="46" t="s">
        <v>69</v>
      </c>
      <c r="G85" s="47" t="s">
        <v>66</v>
      </c>
      <c r="H85" s="48" t="s">
        <v>70</v>
      </c>
    </row>
    <row r="86" customFormat="false" ht="18" hidden="false" customHeight="true" outlineLevel="0" collapsed="false">
      <c r="A86" s="19" t="s">
        <v>71</v>
      </c>
      <c r="B86" s="49" t="n">
        <f aca="false">COUNTIF(L9:L78,"=0")</f>
        <v>70</v>
      </c>
      <c r="C86" s="19" t="s">
        <v>71</v>
      </c>
      <c r="D86" s="50" t="n">
        <f aca="false">COUNTIF(V9:V78,"=0")</f>
        <v>70</v>
      </c>
      <c r="E86" s="19" t="s">
        <v>71</v>
      </c>
      <c r="F86" s="51" t="n">
        <f aca="false">COUNTIF(AD9:AD78,"=0")</f>
        <v>70</v>
      </c>
      <c r="G86" s="19" t="s">
        <v>71</v>
      </c>
      <c r="H86" s="21" t="n">
        <f aca="false">COUNTIF(AJ9:AJ78,"=0")</f>
        <v>70</v>
      </c>
    </row>
    <row r="87" customFormat="false" ht="18" hidden="false" customHeight="true" outlineLevel="0" collapsed="false">
      <c r="A87" s="31" t="s">
        <v>72</v>
      </c>
      <c r="B87" s="52" t="n">
        <f aca="false">COUNTIFS(L9:L78,"&gt;0",L9:L78,"&lt;=10")</f>
        <v>0</v>
      </c>
      <c r="C87" s="31" t="s">
        <v>72</v>
      </c>
      <c r="D87" s="53" t="n">
        <f aca="false">COUNTIFS(V9:V78,"&gt;0",V9:V78,"&lt;=10")</f>
        <v>0</v>
      </c>
      <c r="E87" s="31" t="s">
        <v>72</v>
      </c>
      <c r="F87" s="54" t="n">
        <f aca="false">COUNTIFS(AD9:AD78,"&gt;0",AD9:AD78,"&lt;=10")</f>
        <v>0</v>
      </c>
      <c r="G87" s="31" t="s">
        <v>72</v>
      </c>
      <c r="H87" s="30" t="n">
        <f aca="false">COUNTIFS(AJ9:AJ78,"&gt;0",AJ9:AJ78,"&lt;=10")</f>
        <v>0</v>
      </c>
    </row>
    <row r="88" customFormat="false" ht="18" hidden="false" customHeight="true" outlineLevel="0" collapsed="false">
      <c r="A88" s="19" t="s">
        <v>73</v>
      </c>
      <c r="B88" s="49" t="n">
        <f aca="false">COUNTIFS(L9:L78,"&gt;10",L9:L78,"&lt;=20")</f>
        <v>0</v>
      </c>
      <c r="C88" s="19" t="s">
        <v>73</v>
      </c>
      <c r="D88" s="50" t="n">
        <f aca="false">COUNTIFS(V9:V78,"&gt;10",V9:V78,"&lt;=20")</f>
        <v>0</v>
      </c>
      <c r="E88" s="19" t="s">
        <v>73</v>
      </c>
      <c r="F88" s="51" t="n">
        <f aca="false">COUNTIFS(AD9:AD78,"&gt;10",AD9:AD78,"&lt;=20")</f>
        <v>0</v>
      </c>
      <c r="G88" s="19" t="s">
        <v>73</v>
      </c>
      <c r="H88" s="21" t="n">
        <f aca="false">COUNTIFS(AJ9:AJ78,"&gt;10",AJ9:AJ78,"&lt;=20")</f>
        <v>0</v>
      </c>
    </row>
    <row r="89" customFormat="false" ht="18" hidden="false" customHeight="true" outlineLevel="0" collapsed="false">
      <c r="A89" s="31" t="s">
        <v>74</v>
      </c>
      <c r="B89" s="52" t="n">
        <f aca="false">COUNTIFS(L9:L78,"&gt;20",L9:L78,"&lt;=30")</f>
        <v>0</v>
      </c>
      <c r="C89" s="31" t="s">
        <v>74</v>
      </c>
      <c r="D89" s="53" t="n">
        <f aca="false">COUNTIFS(V9:V78,"&gt;20",V9:V78,"&lt;=30")</f>
        <v>0</v>
      </c>
      <c r="E89" s="31" t="s">
        <v>74</v>
      </c>
      <c r="F89" s="54" t="n">
        <f aca="false">COUNTIFS(AD9:AD78,"&gt;20",AD9:AD78,"&lt;=30")</f>
        <v>0</v>
      </c>
      <c r="G89" s="31" t="s">
        <v>74</v>
      </c>
      <c r="H89" s="30" t="n">
        <f aca="false">COUNTIFS(AJ9:AJ78,"&gt;20",AJ9:AJ78,"&lt;=30")</f>
        <v>0</v>
      </c>
    </row>
    <row r="90" customFormat="false" ht="18" hidden="false" customHeight="true" outlineLevel="0" collapsed="false">
      <c r="A90" s="19" t="s">
        <v>75</v>
      </c>
      <c r="B90" s="49" t="n">
        <f aca="false">COUNTIFS(L9:L78,"&gt;30",L9:L78,"&lt;=40")</f>
        <v>0</v>
      </c>
      <c r="C90" s="19" t="s">
        <v>75</v>
      </c>
      <c r="D90" s="50" t="n">
        <f aca="false">COUNTIFS(V9:V78,"&gt;30",V9:V78,"&lt;=40")</f>
        <v>0</v>
      </c>
      <c r="E90" s="19" t="s">
        <v>75</v>
      </c>
      <c r="F90" s="51" t="n">
        <f aca="false">COUNTIFS(AD9:AD78,"&gt;30",AD9:AD78,"&lt;=40")</f>
        <v>0</v>
      </c>
      <c r="G90" s="19" t="s">
        <v>75</v>
      </c>
      <c r="H90" s="21" t="n">
        <f aca="false">COUNTIFS(AJ9:AJ78,"&gt;30",AJ9:AJ78,"&lt;=40")</f>
        <v>0</v>
      </c>
    </row>
    <row r="91" customFormat="false" ht="18" hidden="false" customHeight="true" outlineLevel="0" collapsed="false">
      <c r="A91" s="31" t="s">
        <v>76</v>
      </c>
      <c r="B91" s="52" t="n">
        <f aca="false">COUNTIFS(L9:L78,"&gt;40",L9:L78,"&lt;=50")</f>
        <v>0</v>
      </c>
      <c r="C91" s="31" t="s">
        <v>76</v>
      </c>
      <c r="D91" s="53" t="n">
        <f aca="false">COUNTIFS(V9:V78,"&gt;40",V9:V78,"&lt;=50")</f>
        <v>0</v>
      </c>
      <c r="E91" s="31" t="s">
        <v>76</v>
      </c>
      <c r="F91" s="54" t="n">
        <f aca="false">COUNTIFS(AD9:AD78,"&gt;40",AD9:AD78,"&lt;=50")</f>
        <v>0</v>
      </c>
      <c r="G91" s="31" t="s">
        <v>76</v>
      </c>
      <c r="H91" s="30" t="n">
        <f aca="false">COUNTIFS(AJ9:AJ78,"&gt;40",AJ9:AJ78,"&lt;=50")</f>
        <v>0</v>
      </c>
    </row>
    <row r="92" customFormat="false" ht="18" hidden="false" customHeight="true" outlineLevel="0" collapsed="false">
      <c r="A92" s="19" t="s">
        <v>77</v>
      </c>
      <c r="B92" s="49" t="n">
        <f aca="false">COUNTIFS(L9:L78,"&gt;50",L9:L78,"&lt;=60")</f>
        <v>0</v>
      </c>
      <c r="C92" s="19" t="s">
        <v>77</v>
      </c>
      <c r="D92" s="50" t="n">
        <f aca="false">COUNTIFS(V9:V78,"&gt;50",V9:V78,"&lt;=60")</f>
        <v>0</v>
      </c>
      <c r="E92" s="19" t="s">
        <v>77</v>
      </c>
      <c r="F92" s="51" t="n">
        <f aca="false">COUNTIFS(AD9:AD78,"&gt;50",AD9:AD78,"&lt;=60")</f>
        <v>0</v>
      </c>
      <c r="G92" s="19" t="s">
        <v>77</v>
      </c>
      <c r="H92" s="21" t="n">
        <f aca="false">COUNTIFS(AJ9:AJ78,"&gt;50",AJ9:AJ78,"&lt;=60")</f>
        <v>0</v>
      </c>
    </row>
    <row r="93" customFormat="false" ht="18" hidden="false" customHeight="true" outlineLevel="0" collapsed="false">
      <c r="A93" s="31" t="s">
        <v>78</v>
      </c>
      <c r="B93" s="52" t="n">
        <f aca="false">COUNTIFS(L9:L78,"&gt;60",L9:L78,"&lt;=70")</f>
        <v>0</v>
      </c>
      <c r="C93" s="31" t="s">
        <v>78</v>
      </c>
      <c r="D93" s="53" t="n">
        <f aca="false">COUNTIFS(V9:V78,"&gt;60",V9:V78,"&lt;=70")</f>
        <v>0</v>
      </c>
      <c r="E93" s="31" t="s">
        <v>78</v>
      </c>
      <c r="F93" s="54" t="n">
        <f aca="false">COUNTIFS(AD9:AD78,"&gt;60",AD9:AD78,"&lt;=70")</f>
        <v>0</v>
      </c>
      <c r="G93" s="31" t="s">
        <v>78</v>
      </c>
      <c r="H93" s="30" t="n">
        <f aca="false">COUNTIFS(AJ9:AJ78,"&gt;60",AJ9:AJ78,"&lt;=70")</f>
        <v>0</v>
      </c>
    </row>
    <row r="94" customFormat="false" ht="18" hidden="false" customHeight="true" outlineLevel="0" collapsed="false">
      <c r="A94" s="19" t="s">
        <v>79</v>
      </c>
      <c r="B94" s="49" t="n">
        <f aca="false">COUNTIFS(L9:L78,"&gt;70",L9:L78,"&lt;=80")</f>
        <v>0</v>
      </c>
      <c r="C94" s="19" t="s">
        <v>79</v>
      </c>
      <c r="D94" s="50" t="n">
        <f aca="false">COUNTIFS(V9:V78,"&gt;70",V9:V78,"&lt;=80")</f>
        <v>0</v>
      </c>
      <c r="E94" s="19" t="s">
        <v>79</v>
      </c>
      <c r="F94" s="51" t="n">
        <f aca="false">COUNTIFS(AD9:AD78,"&gt;70",AD9:AD78,"&lt;=80")</f>
        <v>0</v>
      </c>
      <c r="G94" s="19" t="s">
        <v>79</v>
      </c>
      <c r="H94" s="21" t="n">
        <f aca="false">COUNTIFS(AJ9:AJ78,"&gt;70",AJ9:AJ78,"&lt;=80")</f>
        <v>0</v>
      </c>
    </row>
    <row r="95" customFormat="false" ht="18" hidden="false" customHeight="true" outlineLevel="0" collapsed="false">
      <c r="A95" s="31" t="s">
        <v>80</v>
      </c>
      <c r="B95" s="52" t="n">
        <f aca="false">COUNTIFS(L9:L78,"&gt;80",L9:L78,"&lt;=90")</f>
        <v>0</v>
      </c>
      <c r="C95" s="31" t="s">
        <v>80</v>
      </c>
      <c r="D95" s="53" t="n">
        <f aca="false">COUNTIFS(V9:V78,"&gt;80",V9:V78,"&lt;=90")</f>
        <v>0</v>
      </c>
      <c r="E95" s="31" t="s">
        <v>80</v>
      </c>
      <c r="F95" s="54" t="n">
        <f aca="false">COUNTIFS(AD9:AD78,"&gt;80",AD9:AD78,"&lt;=90")</f>
        <v>0</v>
      </c>
      <c r="G95" s="31" t="s">
        <v>80</v>
      </c>
      <c r="H95" s="30" t="n">
        <f aca="false">COUNTIFS(AJ9:AJ78,"&gt;80",AJ9:AJ78,"&lt;=90")</f>
        <v>0</v>
      </c>
    </row>
    <row r="96" customFormat="false" ht="18" hidden="false" customHeight="true" outlineLevel="0" collapsed="false">
      <c r="A96" s="19" t="s">
        <v>81</v>
      </c>
      <c r="B96" s="49" t="n">
        <f aca="false">COUNTIFS(L9:L78,"&gt;90",L9:L78,"&lt;=100")</f>
        <v>0</v>
      </c>
      <c r="C96" s="19" t="s">
        <v>81</v>
      </c>
      <c r="D96" s="50" t="n">
        <f aca="false">COUNTIFS(V9:V78,"&gt;90",V9:V78,"&lt;=100")</f>
        <v>0</v>
      </c>
      <c r="E96" s="19" t="s">
        <v>81</v>
      </c>
      <c r="F96" s="51" t="n">
        <f aca="false">COUNTIFS(AD9:AD78,"&gt;90",AD9:AD78,"&lt;=100")</f>
        <v>0</v>
      </c>
      <c r="G96" s="19" t="s">
        <v>81</v>
      </c>
      <c r="H96" s="21" t="n">
        <f aca="false">COUNTIFS(AJ9:AJ78,"&gt;90",AJ9:AJ78,"&lt;=100")</f>
        <v>0</v>
      </c>
    </row>
    <row r="97" customFormat="false" ht="21.75" hidden="false" customHeight="true" outlineLevel="0" collapsed="false">
      <c r="A97" s="41" t="s">
        <v>82</v>
      </c>
      <c r="B97" s="55" t="n">
        <f aca="false">SUM(B86:B96)</f>
        <v>70</v>
      </c>
      <c r="C97" s="43" t="s">
        <v>82</v>
      </c>
      <c r="D97" s="56" t="n">
        <f aca="false">SUM(D86:D96)</f>
        <v>70</v>
      </c>
      <c r="E97" s="45" t="s">
        <v>82</v>
      </c>
      <c r="F97" s="57" t="n">
        <f aca="false">SUM(F86:F96)</f>
        <v>70</v>
      </c>
      <c r="G97" s="47" t="s">
        <v>82</v>
      </c>
      <c r="H97" s="58" t="n">
        <f aca="false">SUM(H86:H96)</f>
        <v>70</v>
      </c>
    </row>
    <row r="99" customFormat="false" ht="30" hidden="false" customHeight="true" outlineLevel="0" collapsed="false">
      <c r="A99" s="59" t="s">
        <v>83</v>
      </c>
      <c r="B99" s="59"/>
      <c r="C99" s="59"/>
      <c r="D99" s="59"/>
      <c r="E99" s="59"/>
      <c r="F99" s="59"/>
      <c r="G99" s="59"/>
      <c r="H99" s="59"/>
      <c r="I99" s="59" t="s">
        <v>84</v>
      </c>
      <c r="J99" s="59"/>
      <c r="K99" s="59"/>
      <c r="L99" s="59"/>
      <c r="M99" s="59"/>
      <c r="N99" s="59"/>
      <c r="O99" s="59"/>
      <c r="P99" s="59"/>
      <c r="Q99" s="59"/>
      <c r="R99" s="59"/>
      <c r="S99" s="59" t="s">
        <v>85</v>
      </c>
      <c r="T99" s="59"/>
      <c r="U99" s="59"/>
      <c r="V99" s="59"/>
      <c r="W99" s="59"/>
      <c r="X99" s="59"/>
      <c r="Y99" s="59"/>
      <c r="Z99" s="59"/>
      <c r="AA99" s="59"/>
      <c r="AB99" s="59" t="s">
        <v>86</v>
      </c>
      <c r="AC99" s="59"/>
      <c r="AD99" s="59"/>
      <c r="AE99" s="59"/>
      <c r="AF99" s="59"/>
      <c r="AG99" s="59"/>
      <c r="AH99" s="59"/>
      <c r="AI99" s="59"/>
      <c r="AJ99" s="59"/>
    </row>
  </sheetData>
  <mergeCells count="22">
    <mergeCell ref="A1:AI1"/>
    <mergeCell ref="A2:N2"/>
    <mergeCell ref="O2:V2"/>
    <mergeCell ref="W2:Z2"/>
    <mergeCell ref="AA2:AI2"/>
    <mergeCell ref="A3:AI3"/>
    <mergeCell ref="B4:D4"/>
    <mergeCell ref="F4:U4"/>
    <mergeCell ref="V4:X4"/>
    <mergeCell ref="Y4:AA4"/>
    <mergeCell ref="D6:M6"/>
    <mergeCell ref="N6:W6"/>
    <mergeCell ref="X6:AE6"/>
    <mergeCell ref="A79:C79"/>
    <mergeCell ref="A80:C80"/>
    <mergeCell ref="A81:C81"/>
    <mergeCell ref="A82:C82"/>
    <mergeCell ref="A84:AJ84"/>
    <mergeCell ref="A99:H99"/>
    <mergeCell ref="I99:R99"/>
    <mergeCell ref="S99:AA99"/>
    <mergeCell ref="AB99:AJ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4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1.5" hidden="false" customHeight="true" outlineLevel="0" collapsed="false">
      <c r="A1" s="1" t="s">
        <v>87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48" t="s">
        <v>88</v>
      </c>
      <c r="B2" s="60" t="s">
        <v>89</v>
      </c>
      <c r="C2" s="61" t="s">
        <v>90</v>
      </c>
      <c r="D2" s="44" t="s">
        <v>91</v>
      </c>
      <c r="E2" s="62" t="s">
        <v>92</v>
      </c>
      <c r="F2" s="63" t="s">
        <v>93</v>
      </c>
    </row>
    <row r="3" customFormat="false" ht="27.75" hidden="false" customHeight="true" outlineLevel="0" collapsed="false">
      <c r="A3" s="64" t="s">
        <v>94</v>
      </c>
      <c r="B3" s="65" t="s">
        <v>95</v>
      </c>
      <c r="C3" s="66" t="s">
        <v>96</v>
      </c>
      <c r="D3" s="50" t="s">
        <v>97</v>
      </c>
      <c r="E3" s="67" t="s">
        <v>98</v>
      </c>
      <c r="F3" s="19"/>
    </row>
    <row r="4" customFormat="false" ht="27.75" hidden="false" customHeight="true" outlineLevel="0" collapsed="false">
      <c r="A4" s="64" t="s">
        <v>99</v>
      </c>
      <c r="B4" s="68" t="s">
        <v>100</v>
      </c>
      <c r="C4" s="69" t="s">
        <v>101</v>
      </c>
      <c r="D4" s="53" t="s">
        <v>102</v>
      </c>
      <c r="E4" s="70" t="s">
        <v>98</v>
      </c>
      <c r="F4" s="31"/>
    </row>
    <row r="5" customFormat="false" ht="27.75" hidden="false" customHeight="true" outlineLevel="0" collapsed="false">
      <c r="A5" s="71" t="s">
        <v>103</v>
      </c>
      <c r="B5" s="65" t="s">
        <v>104</v>
      </c>
      <c r="C5" s="66" t="s">
        <v>105</v>
      </c>
      <c r="D5" s="50" t="s">
        <v>106</v>
      </c>
      <c r="E5" s="67" t="s">
        <v>98</v>
      </c>
      <c r="F5" s="19"/>
    </row>
    <row r="6" customFormat="false" ht="27.75" hidden="false" customHeight="true" outlineLevel="0" collapsed="false">
      <c r="A6" s="71" t="s">
        <v>107</v>
      </c>
      <c r="B6" s="68" t="s">
        <v>108</v>
      </c>
      <c r="C6" s="69" t="s">
        <v>109</v>
      </c>
      <c r="D6" s="53" t="s">
        <v>97</v>
      </c>
      <c r="E6" s="70" t="s">
        <v>98</v>
      </c>
      <c r="F6" s="31"/>
    </row>
    <row r="7" customFormat="false" ht="27.75" hidden="false" customHeight="true" outlineLevel="0" collapsed="false">
      <c r="A7" s="72" t="s">
        <v>110</v>
      </c>
      <c r="B7" s="65" t="s">
        <v>111</v>
      </c>
      <c r="C7" s="66" t="s">
        <v>96</v>
      </c>
      <c r="D7" s="50" t="s">
        <v>112</v>
      </c>
      <c r="E7" s="67" t="s">
        <v>98</v>
      </c>
      <c r="F7" s="19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9"/>
  </cols>
  <sheetData>
    <row r="1" customFormat="false" ht="31.5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.75" hidden="false" customHeight="true" outlineLevel="0" collapsed="false">
      <c r="A2" s="63" t="s">
        <v>114</v>
      </c>
      <c r="B2" s="47" t="s">
        <v>115</v>
      </c>
      <c r="C2" s="47" t="s">
        <v>116</v>
      </c>
      <c r="D2" s="47" t="s">
        <v>117</v>
      </c>
      <c r="E2" s="47" t="s">
        <v>118</v>
      </c>
      <c r="F2" s="47" t="s">
        <v>119</v>
      </c>
      <c r="G2" s="47" t="s">
        <v>120</v>
      </c>
      <c r="H2" s="47" t="s">
        <v>121</v>
      </c>
      <c r="I2" s="47" t="s">
        <v>122</v>
      </c>
      <c r="J2" s="47" t="s">
        <v>123</v>
      </c>
      <c r="K2" s="47" t="s">
        <v>124</v>
      </c>
      <c r="L2" s="47" t="s">
        <v>125</v>
      </c>
      <c r="M2" s="47" t="s">
        <v>126</v>
      </c>
      <c r="N2" s="45" t="s">
        <v>127</v>
      </c>
      <c r="O2" s="45" t="s">
        <v>128</v>
      </c>
    </row>
    <row r="3" customFormat="false" ht="21.75" hidden="false" customHeight="true" outlineLevel="0" collapsed="false">
      <c r="A3" s="64" t="s">
        <v>94</v>
      </c>
      <c r="B3" s="73" t="n">
        <v>3</v>
      </c>
      <c r="C3" s="74" t="n">
        <v>2</v>
      </c>
      <c r="D3" s="75" t="s">
        <v>129</v>
      </c>
      <c r="E3" s="75" t="s">
        <v>129</v>
      </c>
      <c r="F3" s="75" t="s">
        <v>129</v>
      </c>
      <c r="G3" s="75" t="s">
        <v>129</v>
      </c>
      <c r="H3" s="75" t="s">
        <v>129</v>
      </c>
      <c r="I3" s="75" t="s">
        <v>129</v>
      </c>
      <c r="J3" s="75" t="s">
        <v>129</v>
      </c>
      <c r="K3" s="75" t="s">
        <v>129</v>
      </c>
      <c r="L3" s="75" t="s">
        <v>129</v>
      </c>
      <c r="M3" s="75" t="s">
        <v>129</v>
      </c>
      <c r="N3" s="73" t="n">
        <v>3</v>
      </c>
      <c r="O3" s="74" t="n">
        <v>2</v>
      </c>
    </row>
    <row r="4" customFormat="false" ht="21.75" hidden="false" customHeight="true" outlineLevel="0" collapsed="false">
      <c r="A4" s="64" t="s">
        <v>99</v>
      </c>
      <c r="B4" s="73" t="n">
        <v>3</v>
      </c>
      <c r="C4" s="75" t="s">
        <v>129</v>
      </c>
      <c r="D4" s="73" t="n">
        <v>3</v>
      </c>
      <c r="E4" s="75" t="s">
        <v>129</v>
      </c>
      <c r="F4" s="75" t="s">
        <v>129</v>
      </c>
      <c r="G4" s="75" t="s">
        <v>129</v>
      </c>
      <c r="H4" s="75" t="s">
        <v>129</v>
      </c>
      <c r="I4" s="75" t="s">
        <v>129</v>
      </c>
      <c r="J4" s="75" t="s">
        <v>129</v>
      </c>
      <c r="K4" s="75" t="s">
        <v>129</v>
      </c>
      <c r="L4" s="75" t="s">
        <v>129</v>
      </c>
      <c r="M4" s="75" t="s">
        <v>129</v>
      </c>
      <c r="N4" s="73" t="n">
        <v>3</v>
      </c>
      <c r="O4" s="75" t="s">
        <v>129</v>
      </c>
    </row>
    <row r="5" customFormat="false" ht="21.75" hidden="false" customHeight="true" outlineLevel="0" collapsed="false">
      <c r="A5" s="71" t="s">
        <v>103</v>
      </c>
      <c r="B5" s="73" t="n">
        <v>3</v>
      </c>
      <c r="C5" s="74" t="n">
        <v>2</v>
      </c>
      <c r="D5" s="73" t="n">
        <v>3</v>
      </c>
      <c r="E5" s="75" t="s">
        <v>129</v>
      </c>
      <c r="F5" s="75" t="s">
        <v>129</v>
      </c>
      <c r="G5" s="75" t="s">
        <v>129</v>
      </c>
      <c r="H5" s="75" t="s">
        <v>129</v>
      </c>
      <c r="I5" s="75" t="s">
        <v>129</v>
      </c>
      <c r="J5" s="75" t="s">
        <v>129</v>
      </c>
      <c r="K5" s="75" t="s">
        <v>129</v>
      </c>
      <c r="L5" s="75" t="s">
        <v>129</v>
      </c>
      <c r="M5" s="75" t="s">
        <v>129</v>
      </c>
      <c r="N5" s="75" t="s">
        <v>129</v>
      </c>
      <c r="O5" s="74" t="n">
        <v>2</v>
      </c>
    </row>
    <row r="6" customFormat="false" ht="21.75" hidden="false" customHeight="true" outlineLevel="0" collapsed="false">
      <c r="A6" s="71" t="s">
        <v>107</v>
      </c>
      <c r="B6" s="75" t="s">
        <v>129</v>
      </c>
      <c r="C6" s="74" t="n">
        <v>2</v>
      </c>
      <c r="D6" s="73" t="n">
        <v>3</v>
      </c>
      <c r="E6" s="75" t="s">
        <v>129</v>
      </c>
      <c r="F6" s="75" t="s">
        <v>129</v>
      </c>
      <c r="G6" s="75" t="s">
        <v>129</v>
      </c>
      <c r="H6" s="75" t="s">
        <v>129</v>
      </c>
      <c r="I6" s="75" t="s">
        <v>129</v>
      </c>
      <c r="J6" s="75" t="s">
        <v>129</v>
      </c>
      <c r="K6" s="75" t="s">
        <v>129</v>
      </c>
      <c r="L6" s="75" t="s">
        <v>129</v>
      </c>
      <c r="M6" s="75" t="s">
        <v>129</v>
      </c>
      <c r="N6" s="75" t="s">
        <v>129</v>
      </c>
      <c r="O6" s="74" t="n">
        <v>2</v>
      </c>
    </row>
    <row r="7" customFormat="false" ht="21.75" hidden="false" customHeight="true" outlineLevel="0" collapsed="false">
      <c r="A7" s="72" t="s">
        <v>110</v>
      </c>
      <c r="B7" s="73" t="n">
        <v>3</v>
      </c>
      <c r="C7" s="74" t="n">
        <v>2</v>
      </c>
      <c r="D7" s="75" t="s">
        <v>129</v>
      </c>
      <c r="E7" s="75" t="s">
        <v>129</v>
      </c>
      <c r="F7" s="75" t="s">
        <v>129</v>
      </c>
      <c r="G7" s="75" t="s">
        <v>129</v>
      </c>
      <c r="H7" s="75" t="s">
        <v>129</v>
      </c>
      <c r="I7" s="75" t="s">
        <v>129</v>
      </c>
      <c r="J7" s="75" t="s">
        <v>129</v>
      </c>
      <c r="K7" s="75" t="s">
        <v>129</v>
      </c>
      <c r="L7" s="75" t="s">
        <v>129</v>
      </c>
      <c r="M7" s="75" t="s">
        <v>129</v>
      </c>
      <c r="N7" s="73" t="n">
        <v>3</v>
      </c>
      <c r="O7" s="75" t="s">
        <v>129</v>
      </c>
    </row>
    <row r="8" customFormat="false" ht="21.75" hidden="false" customHeight="true" outlineLevel="0" collapsed="false">
      <c r="A8" s="76" t="s">
        <v>130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8" min="3" style="0" width="14"/>
  </cols>
  <sheetData>
    <row r="1" customFormat="false" ht="31.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48" t="s">
        <v>132</v>
      </c>
      <c r="B2" s="60" t="s">
        <v>133</v>
      </c>
      <c r="C2" s="42" t="s">
        <v>134</v>
      </c>
      <c r="D2" s="44" t="s">
        <v>135</v>
      </c>
      <c r="E2" s="61" t="s">
        <v>136</v>
      </c>
      <c r="F2" s="62" t="s">
        <v>137</v>
      </c>
      <c r="G2" s="44" t="s">
        <v>138</v>
      </c>
      <c r="H2" s="77" t="s">
        <v>139</v>
      </c>
    </row>
    <row r="3" customFormat="false" ht="25.5" hidden="false" customHeight="true" outlineLevel="0" collapsed="false">
      <c r="A3" s="64" t="s">
        <v>94</v>
      </c>
      <c r="B3" s="65" t="s">
        <v>140</v>
      </c>
      <c r="C3" s="67" t="str">
        <f aca="false">InSEM_Mid1_Section_A!M82</f>
        <v>L0 (Below)</v>
      </c>
      <c r="D3" s="23"/>
      <c r="E3" s="23"/>
      <c r="F3" s="23"/>
      <c r="G3" s="23"/>
      <c r="H3" s="78" t="n">
        <f aca="false">IFERROR(IF(COUNTA(C3:G3)=0,"—",AVERAGEIF(C3:G3,"&lt;&gt;—")),0)</f>
        <v>0</v>
      </c>
    </row>
    <row r="4" customFormat="false" ht="25.5" hidden="false" customHeight="true" outlineLevel="0" collapsed="false">
      <c r="A4" s="64" t="s">
        <v>99</v>
      </c>
      <c r="B4" s="68" t="s">
        <v>141</v>
      </c>
      <c r="C4" s="70" t="str">
        <f aca="false">InSEM_Mid1_Section_A!W82</f>
        <v>L0 (Below)</v>
      </c>
      <c r="D4" s="23"/>
      <c r="E4" s="23"/>
      <c r="F4" s="23"/>
      <c r="G4" s="23"/>
      <c r="H4" s="78" t="n">
        <f aca="false">IFERROR(IF(COUNTA(C4:G4)=0,"—",AVERAGEIF(C4:G4,"&lt;&gt;—")),0)</f>
        <v>0</v>
      </c>
    </row>
    <row r="5" customFormat="false" ht="25.5" hidden="false" customHeight="true" outlineLevel="0" collapsed="false">
      <c r="A5" s="71" t="s">
        <v>103</v>
      </c>
      <c r="B5" s="65" t="s">
        <v>142</v>
      </c>
      <c r="C5" s="67" t="str">
        <f aca="false">InSEM_Mid1_Section_A!AE82</f>
        <v>L0 (Below)</v>
      </c>
      <c r="D5" s="23"/>
      <c r="E5" s="23"/>
      <c r="F5" s="23"/>
      <c r="G5" s="23"/>
      <c r="H5" s="78" t="n">
        <f aca="false">IFERROR(IF(COUNTA(C5:G5)=0,"—",AVERAGEIF(C5:G5,"&lt;&gt;—")),0)</f>
        <v>0</v>
      </c>
    </row>
    <row r="6" customFormat="false" ht="25.5" hidden="false" customHeight="true" outlineLevel="0" collapsed="false">
      <c r="A6" s="71" t="s">
        <v>107</v>
      </c>
      <c r="B6" s="68" t="s">
        <v>143</v>
      </c>
      <c r="C6" s="31" t="s">
        <v>129</v>
      </c>
      <c r="D6" s="23"/>
      <c r="E6" s="23"/>
      <c r="F6" s="23"/>
      <c r="G6" s="23"/>
      <c r="H6" s="78" t="n">
        <f aca="false">IFERROR(IF(COUNTA(C6:G6)=0,"—",AVERAGEIF(C6:G6,"&lt;&gt;—")),0)</f>
        <v>0</v>
      </c>
    </row>
    <row r="7" customFormat="false" ht="25.5" hidden="false" customHeight="true" outlineLevel="0" collapsed="false">
      <c r="A7" s="72" t="s">
        <v>110</v>
      </c>
      <c r="B7" s="65" t="s">
        <v>144</v>
      </c>
      <c r="C7" s="19" t="s">
        <v>129</v>
      </c>
      <c r="D7" s="23"/>
      <c r="E7" s="23"/>
      <c r="F7" s="23"/>
      <c r="G7" s="23"/>
      <c r="H7" s="78" t="n">
        <f aca="false">IFERROR(IF(COUNTA(C7:G7)=0,"—",AVERAGEIF(C7:G7,"&lt;&gt;—")),0)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6" min="3" style="0" width="14"/>
  </cols>
  <sheetData>
    <row r="1" customFormat="false" ht="31.5" hidden="false" customHeight="true" outlineLevel="0" collapsed="false">
      <c r="A1" s="1" t="s">
        <v>145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79" t="s">
        <v>146</v>
      </c>
      <c r="B2" s="79"/>
      <c r="C2" s="79"/>
      <c r="D2" s="79"/>
      <c r="E2" s="79"/>
      <c r="F2" s="79"/>
    </row>
    <row r="3" customFormat="false" ht="21.75" hidden="false" customHeight="true" outlineLevel="0" collapsed="false">
      <c r="A3" s="80" t="s">
        <v>147</v>
      </c>
      <c r="B3" s="81" t="s">
        <v>148</v>
      </c>
      <c r="C3" s="81"/>
      <c r="D3" s="81"/>
      <c r="E3" s="81"/>
      <c r="F3" s="81"/>
    </row>
    <row r="4" customFormat="false" ht="21.75" hidden="false" customHeight="true" outlineLevel="0" collapsed="false">
      <c r="A4" s="82" t="s">
        <v>149</v>
      </c>
      <c r="B4" s="83" t="s">
        <v>150</v>
      </c>
      <c r="C4" s="83"/>
      <c r="D4" s="83"/>
      <c r="E4" s="83"/>
      <c r="F4" s="83"/>
    </row>
    <row r="5" customFormat="false" ht="21.75" hidden="false" customHeight="true" outlineLevel="0" collapsed="false">
      <c r="A5" s="80" t="s">
        <v>151</v>
      </c>
      <c r="B5" s="81" t="s">
        <v>152</v>
      </c>
      <c r="C5" s="81"/>
      <c r="D5" s="81"/>
      <c r="E5" s="81"/>
      <c r="F5" s="81"/>
    </row>
    <row r="6" customFormat="false" ht="21.75" hidden="false" customHeight="true" outlineLevel="0" collapsed="false">
      <c r="A6" s="82" t="s">
        <v>153</v>
      </c>
      <c r="B6" s="83" t="s">
        <v>154</v>
      </c>
      <c r="C6" s="83"/>
      <c r="D6" s="83"/>
      <c r="E6" s="83"/>
      <c r="F6" s="83"/>
    </row>
    <row r="7" customFormat="false" ht="21.75" hidden="false" customHeight="true" outlineLevel="0" collapsed="false">
      <c r="A7" s="80" t="s">
        <v>155</v>
      </c>
      <c r="B7" s="81" t="s">
        <v>156</v>
      </c>
      <c r="C7" s="81"/>
      <c r="D7" s="81"/>
      <c r="E7" s="81"/>
      <c r="F7" s="81"/>
    </row>
    <row r="8" customFormat="false" ht="21.75" hidden="false" customHeight="true" outlineLevel="0" collapsed="false">
      <c r="A8" s="82" t="s">
        <v>157</v>
      </c>
      <c r="B8" s="83" t="s">
        <v>158</v>
      </c>
      <c r="C8" s="83"/>
      <c r="D8" s="83"/>
      <c r="E8" s="83"/>
      <c r="F8" s="83"/>
    </row>
    <row r="9" customFormat="false" ht="21.75" hidden="false" customHeight="true" outlineLevel="0" collapsed="false">
      <c r="A9" s="80" t="s">
        <v>159</v>
      </c>
      <c r="B9" s="81" t="s">
        <v>160</v>
      </c>
      <c r="C9" s="81"/>
      <c r="D9" s="81"/>
      <c r="E9" s="81"/>
      <c r="F9" s="81"/>
    </row>
    <row r="10" customFormat="false" ht="21.75" hidden="false" customHeight="true" outlineLevel="0" collapsed="false">
      <c r="A10" s="82" t="s">
        <v>161</v>
      </c>
      <c r="B10" s="83" t="s">
        <v>162</v>
      </c>
      <c r="C10" s="83"/>
      <c r="D10" s="83"/>
      <c r="E10" s="83"/>
      <c r="F10" s="83"/>
    </row>
    <row r="11" customFormat="false" ht="21.75" hidden="false" customHeight="true" outlineLevel="0" collapsed="false">
      <c r="A11" s="80" t="s">
        <v>163</v>
      </c>
      <c r="B11" s="81" t="s">
        <v>164</v>
      </c>
      <c r="C11" s="81"/>
      <c r="D11" s="81"/>
      <c r="E11" s="81"/>
      <c r="F11" s="81"/>
    </row>
    <row r="12" customFormat="false" ht="21.75" hidden="false" customHeight="true" outlineLevel="0" collapsed="false">
      <c r="A12" s="82" t="s">
        <v>165</v>
      </c>
      <c r="B12" s="83" t="s">
        <v>166</v>
      </c>
      <c r="C12" s="83"/>
      <c r="D12" s="83"/>
      <c r="E12" s="83"/>
      <c r="F12" s="83"/>
    </row>
    <row r="13" customFormat="false" ht="21.75" hidden="false" customHeight="true" outlineLevel="0" collapsed="false">
      <c r="A13" s="80" t="s">
        <v>167</v>
      </c>
      <c r="B13" s="81" t="s">
        <v>168</v>
      </c>
      <c r="C13" s="81"/>
      <c r="D13" s="81"/>
      <c r="E13" s="81"/>
      <c r="F13" s="81"/>
    </row>
    <row r="14" customFormat="false" ht="21.75" hidden="false" customHeight="true" outlineLevel="0" collapsed="false">
      <c r="A14" s="82" t="s">
        <v>169</v>
      </c>
      <c r="B14" s="83" t="s">
        <v>170</v>
      </c>
      <c r="C14" s="83"/>
      <c r="D14" s="83"/>
      <c r="E14" s="83"/>
      <c r="F14" s="83"/>
    </row>
    <row r="15" customFormat="false" ht="21.75" hidden="false" customHeight="true" outlineLevel="0" collapsed="false">
      <c r="A15" s="80" t="s">
        <v>171</v>
      </c>
      <c r="B15" s="81" t="s">
        <v>172</v>
      </c>
      <c r="C15" s="81"/>
      <c r="D15" s="81"/>
      <c r="E15" s="81"/>
      <c r="F15" s="81"/>
    </row>
    <row r="17" customFormat="false" ht="25.5" hidden="false" customHeight="true" outlineLevel="0" collapsed="false">
      <c r="A17" s="84" t="s">
        <v>173</v>
      </c>
      <c r="B17" s="84"/>
      <c r="C17" s="84"/>
      <c r="D17" s="84"/>
      <c r="E17" s="84"/>
      <c r="F17" s="84"/>
    </row>
    <row r="18" customFormat="false" ht="21.75" hidden="false" customHeight="true" outlineLevel="0" collapsed="false">
      <c r="A18" s="23" t="s">
        <v>174</v>
      </c>
      <c r="B18" s="81" t="s">
        <v>175</v>
      </c>
      <c r="C18" s="81"/>
      <c r="D18" s="81"/>
      <c r="E18" s="81"/>
      <c r="F18" s="81"/>
    </row>
    <row r="19" customFormat="false" ht="21.75" hidden="false" customHeight="true" outlineLevel="0" collapsed="false">
      <c r="A19" s="24" t="s">
        <v>174</v>
      </c>
      <c r="B19" s="83" t="s">
        <v>176</v>
      </c>
      <c r="C19" s="83"/>
      <c r="D19" s="83"/>
      <c r="E19" s="83"/>
      <c r="F19" s="83"/>
    </row>
    <row r="20" customFormat="false" ht="21.75" hidden="false" customHeight="true" outlineLevel="0" collapsed="false">
      <c r="A20" s="19" t="s">
        <v>174</v>
      </c>
      <c r="B20" s="81" t="s">
        <v>177</v>
      </c>
      <c r="C20" s="81"/>
      <c r="D20" s="81"/>
      <c r="E20" s="81"/>
      <c r="F20" s="81"/>
    </row>
    <row r="21" customFormat="false" ht="21.75" hidden="false" customHeight="true" outlineLevel="0" collapsed="false">
      <c r="A21" s="85" t="s">
        <v>174</v>
      </c>
      <c r="B21" s="83" t="s">
        <v>178</v>
      </c>
      <c r="C21" s="83"/>
      <c r="D21" s="83"/>
      <c r="E21" s="83"/>
      <c r="F21" s="83"/>
    </row>
    <row r="22" customFormat="false" ht="21.75" hidden="false" customHeight="true" outlineLevel="0" collapsed="false">
      <c r="A22" s="86" t="s">
        <v>174</v>
      </c>
      <c r="B22" s="81" t="s">
        <v>179</v>
      </c>
      <c r="C22" s="81"/>
      <c r="D22" s="81"/>
      <c r="E22" s="81"/>
      <c r="F22" s="81"/>
    </row>
    <row r="23" customFormat="false" ht="21.75" hidden="false" customHeight="true" outlineLevel="0" collapsed="false">
      <c r="A23" s="87" t="s">
        <v>174</v>
      </c>
      <c r="B23" s="83" t="s">
        <v>180</v>
      </c>
      <c r="C23" s="83"/>
      <c r="D23" s="83"/>
      <c r="E23" s="83"/>
      <c r="F23" s="83"/>
    </row>
    <row r="24" customFormat="false" ht="21.75" hidden="false" customHeight="true" outlineLevel="0" collapsed="false">
      <c r="A24" s="88" t="s">
        <v>174</v>
      </c>
      <c r="B24" s="81" t="s">
        <v>181</v>
      </c>
      <c r="C24" s="81"/>
      <c r="D24" s="81"/>
      <c r="E24" s="81"/>
      <c r="F24" s="81"/>
    </row>
  </sheetData>
  <mergeCells count="23">
    <mergeCell ref="A1:F1"/>
    <mergeCell ref="A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A17:F17"/>
    <mergeCell ref="B18:F18"/>
    <mergeCell ref="B19:F19"/>
    <mergeCell ref="B20:F20"/>
    <mergeCell ref="B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2026-05-16T10:37:47Z</dcterms:created>
  <dc:creator>openpyxl</dc:creator>
  <dc:description/>
  <dc:language>en-US</dc:language>
  <cp:lastModifiedBy/>
  <dcterms:modified xsi:type="dcterms:W3CDTF">2026-05-16T10:37:47Z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