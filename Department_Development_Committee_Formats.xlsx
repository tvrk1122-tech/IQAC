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DC-00 Composition" sheetId="2" state="visible" r:id="rId2"/>
    <sheet xmlns:r="http://schemas.openxmlformats.org/officeDocument/2006/relationships" name="DDC-NA Notice &amp; Agenda" sheetId="3" state="visible" r:id="rId3"/>
    <sheet xmlns:r="http://schemas.openxmlformats.org/officeDocument/2006/relationships" name="DDC-AT Attendance" sheetId="4" state="visible" r:id="rId4"/>
    <sheet xmlns:r="http://schemas.openxmlformats.org/officeDocument/2006/relationships" name="DDC-MM Minutes" sheetId="5" state="visible" r:id="rId5"/>
    <sheet xmlns:r="http://schemas.openxmlformats.org/officeDocument/2006/relationships" name="DDC-ATR Action Report" sheetId="6" state="visible" r:id="rId6"/>
    <sheet xmlns:r="http://schemas.openxmlformats.org/officeDocument/2006/relationships" name="DDC-02 Annual Dev Plan" sheetId="7" state="visible" r:id="rId7"/>
    <sheet xmlns:r="http://schemas.openxmlformats.org/officeDocument/2006/relationships" name="DDC-08 CO Attainment" sheetId="8" state="visible" r:id="rId8"/>
    <sheet xmlns:r="http://schemas.openxmlformats.org/officeDocument/2006/relationships" name="DDC-22 Faculty Profile Register" sheetId="9" state="visible" r:id="rId9"/>
    <sheet xmlns:r="http://schemas.openxmlformats.org/officeDocument/2006/relationships" name="DDC-25 Research Publications" sheetId="10" state="visible" r:id="rId10"/>
    <sheet xmlns:r="http://schemas.openxmlformats.org/officeDocument/2006/relationships" name="DDC-30 Student Result Analysis" sheetId="11" state="visible" r:id="rId11"/>
    <sheet xmlns:r="http://schemas.openxmlformats.org/officeDocument/2006/relationships" name="DDC-36 Research Projects" sheetId="12" state="visible" r:id="rId12"/>
    <sheet xmlns:r="http://schemas.openxmlformats.org/officeDocument/2006/relationships" name="DDC-38 MOU Register" sheetId="13" state="visible" r:id="rId13"/>
    <sheet xmlns:r="http://schemas.openxmlformats.org/officeDocument/2006/relationships" name="DDC-42 Internship Register" sheetId="14" state="visible" r:id="rId14"/>
    <sheet xmlns:r="http://schemas.openxmlformats.org/officeDocument/2006/relationships" name="DDC-34 Placement Register" sheetId="15" state="visible" r:id="rId15"/>
    <sheet xmlns:r="http://schemas.openxmlformats.org/officeDocument/2006/relationships" name="DDC-50 Student Feedback" sheetId="16" state="visible" r:id="rId16"/>
    <sheet xmlns:r="http://schemas.openxmlformats.org/officeDocument/2006/relationships" name="DDC-54 NBA Compliance" sheetId="17" state="visible" r:id="rId17"/>
    <sheet xmlns:r="http://schemas.openxmlformats.org/officeDocument/2006/relationships" name="DDC-57 KPI Dashboard" sheetId="18" state="visible" r:id="rId18"/>
    <sheet xmlns:r="http://schemas.openxmlformats.org/officeDocument/2006/relationships" name="DDC-58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6653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66534"/>
      <sz val="10"/>
    </font>
    <font>
      <name val="Arial"/>
      <b val="1"/>
      <color rgb="00334155"/>
      <sz val="10"/>
    </font>
    <font>
      <name val="Arial"/>
      <color rgb="000F172A"/>
      <sz val="9"/>
    </font>
    <font>
      <name val="Arial"/>
      <b val="1"/>
      <color rgb="003F2000"/>
      <sz val="10"/>
    </font>
    <font>
      <name val="Arial"/>
      <b val="1"/>
      <color rgb="000F172A"/>
      <sz val="9"/>
    </font>
    <font>
      <name val="Arial"/>
      <color rgb="00166534"/>
      <sz val="10"/>
    </font>
  </fonts>
  <fills count="20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C2410C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14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DEPARTMENT DEVELOPMENT COMMITTEE (DDC)
Data Collection Formats — Master Workbook</t>
        </is>
      </c>
    </row>
    <row r="3" ht="28" customHeight="1">
      <c r="B3" s="2" t="inlineStr">
        <is>
          <t>Institution: _________________________  Department: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DDC-00</t>
        </is>
      </c>
      <c r="C6" s="6" t="inlineStr">
        <is>
          <t>Committee Composition &amp; Members Register</t>
        </is>
      </c>
      <c r="D6" s="6" t="inlineStr">
        <is>
          <t>Record DDC members, faculty reps &amp; student reps</t>
        </is>
      </c>
      <c r="E6" s="7" t="inlineStr">
        <is>
          <t>Annual</t>
        </is>
      </c>
    </row>
    <row r="7" ht="20" customHeight="1">
      <c r="B7" s="8" t="inlineStr">
        <is>
          <t>DDC-NA</t>
        </is>
      </c>
      <c r="C7" s="9" t="inlineStr">
        <is>
          <t>Meeting Notice, Agenda &amp; Dispatch Record</t>
        </is>
      </c>
      <c r="D7" s="9" t="inlineStr">
        <is>
          <t>Formal notice and agenda for DDC meetings</t>
        </is>
      </c>
      <c r="E7" s="10" t="inlineStr">
        <is>
          <t>Each Meeting</t>
        </is>
      </c>
    </row>
    <row r="8" ht="20" customHeight="1">
      <c r="B8" s="5" t="inlineStr">
        <is>
          <t>DDC-AT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DDC-MM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DDC-ATR</t>
        </is>
      </c>
      <c r="C10" s="6" t="inlineStr">
        <is>
          <t>Action Taken Report</t>
        </is>
      </c>
      <c r="D10" s="6" t="inlineStr">
        <is>
          <t>Track implementation of DDC resolutions</t>
        </is>
      </c>
      <c r="E10" s="7" t="inlineStr">
        <is>
          <t>Each Meeting</t>
        </is>
      </c>
    </row>
    <row r="11" ht="20" customHeight="1">
      <c r="B11" s="4" t="inlineStr">
        <is>
          <t>── STRATEGIC PLANNING ──</t>
        </is>
      </c>
    </row>
    <row r="12" ht="20" customHeight="1">
      <c r="B12" s="5" t="inlineStr">
        <is>
          <t>DDC-01</t>
        </is>
      </c>
      <c r="C12" s="6" t="inlineStr">
        <is>
          <t>Department Vision, Mission &amp; Objectives Register</t>
        </is>
      </c>
      <c r="D12" s="6" t="inlineStr">
        <is>
          <t>Document dept. vision, mission, PEOs and PSOs</t>
        </is>
      </c>
      <c r="E12" s="7" t="inlineStr">
        <is>
          <t>Annual / Per Revision</t>
        </is>
      </c>
    </row>
    <row r="13" ht="20" customHeight="1">
      <c r="B13" s="8" t="inlineStr">
        <is>
          <t>DDC-02</t>
        </is>
      </c>
      <c r="C13" s="9" t="inlineStr">
        <is>
          <t>Department Annual Development Plan</t>
        </is>
      </c>
      <c r="D13" s="9" t="inlineStr">
        <is>
          <t>Plan annual development goals across all parameters</t>
        </is>
      </c>
      <c r="E13" s="10" t="inlineStr">
        <is>
          <t>Annual</t>
        </is>
      </c>
    </row>
    <row r="14" ht="20" customHeight="1">
      <c r="B14" s="5" t="inlineStr">
        <is>
          <t>DDC-03</t>
        </is>
      </c>
      <c r="C14" s="6" t="inlineStr">
        <is>
          <t>Department 3–5 Year Strategic Plan</t>
        </is>
      </c>
      <c r="D14" s="6" t="inlineStr">
        <is>
          <t>Long-term development roadmap for the department</t>
        </is>
      </c>
      <c r="E14" s="7" t="inlineStr">
        <is>
          <t>Triennial</t>
        </is>
      </c>
    </row>
    <row r="15" ht="20" customHeight="1">
      <c r="B15" s="8" t="inlineStr">
        <is>
          <t>DDC-04</t>
        </is>
      </c>
      <c r="C15" s="9" t="inlineStr">
        <is>
          <t>Department SWOT Analysis Register</t>
        </is>
      </c>
      <c r="D15" s="9" t="inlineStr">
        <is>
          <t>Document annual SWOT analysis and action points</t>
        </is>
      </c>
      <c r="E15" s="10" t="inlineStr">
        <is>
          <t>Annual</t>
        </is>
      </c>
    </row>
    <row r="16" ht="20" customHeight="1">
      <c r="B16" s="5" t="inlineStr">
        <is>
          <t>DDC-05</t>
        </is>
      </c>
      <c r="C16" s="6" t="inlineStr">
        <is>
          <t>Department Budget Planning Register</t>
        </is>
      </c>
      <c r="D16" s="6" t="inlineStr">
        <is>
          <t>Plan annual departmental budget across all heads</t>
        </is>
      </c>
      <c r="E16" s="7" t="inlineStr">
        <is>
          <t>Annual</t>
        </is>
      </c>
    </row>
    <row r="17" ht="20" customHeight="1">
      <c r="B17" s="4" t="inlineStr">
        <is>
          <t>── ACADEMIC DEVELOPMENT ──</t>
        </is>
      </c>
    </row>
    <row r="18" ht="20" customHeight="1">
      <c r="B18" s="5" t="inlineStr">
        <is>
          <t>DDC-06</t>
        </is>
      </c>
      <c r="C18" s="6" t="inlineStr">
        <is>
          <t>Curriculum Development &amp; Review Register</t>
        </is>
      </c>
      <c r="D18" s="6" t="inlineStr">
        <is>
          <t>Track BoS meetings, curriculum revisions and approvals</t>
        </is>
      </c>
      <c r="E18" s="7" t="inlineStr">
        <is>
          <t>Annual / Per Revision</t>
        </is>
      </c>
    </row>
    <row r="19" ht="20" customHeight="1">
      <c r="B19" s="8" t="inlineStr">
        <is>
          <t>DDC-07</t>
        </is>
      </c>
      <c r="C19" s="9" t="inlineStr">
        <is>
          <t>Course Outcome (CO) &amp; PO Mapping Register</t>
        </is>
      </c>
      <c r="D19" s="9" t="inlineStr">
        <is>
          <t>Document CO-PO mapping for all courses</t>
        </is>
      </c>
      <c r="E19" s="10" t="inlineStr">
        <is>
          <t>Annual / Per Revision</t>
        </is>
      </c>
    </row>
    <row r="20" ht="20" customHeight="1">
      <c r="B20" s="5" t="inlineStr">
        <is>
          <t>DDC-08</t>
        </is>
      </c>
      <c r="C20" s="6" t="inlineStr">
        <is>
          <t>CO Attainment Calculation Register</t>
        </is>
      </c>
      <c r="D20" s="6" t="inlineStr">
        <is>
          <t>Calculate and track CO attainment levels</t>
        </is>
      </c>
      <c r="E20" s="7" t="inlineStr">
        <is>
          <t>Each Semester</t>
        </is>
      </c>
    </row>
    <row r="21" ht="20" customHeight="1">
      <c r="B21" s="8" t="inlineStr">
        <is>
          <t>DDC-09</t>
        </is>
      </c>
      <c r="C21" s="9" t="inlineStr">
        <is>
          <t>PO / PSO Attainment Register</t>
        </is>
      </c>
      <c r="D21" s="9" t="inlineStr">
        <is>
          <t>Calculate and track PO/PSO attainment levels</t>
        </is>
      </c>
      <c r="E21" s="10" t="inlineStr">
        <is>
          <t>Annual</t>
        </is>
      </c>
    </row>
    <row r="22" ht="20" customHeight="1">
      <c r="B22" s="5" t="inlineStr">
        <is>
          <t>DDC-10</t>
        </is>
      </c>
      <c r="C22" s="6" t="inlineStr">
        <is>
          <t>New Course / Elective Introduction Register</t>
        </is>
      </c>
      <c r="D22" s="6" t="inlineStr">
        <is>
          <t>Propose and track introduction of new courses</t>
        </is>
      </c>
      <c r="E22" s="7" t="inlineStr">
        <is>
          <t>Per Introduction</t>
        </is>
      </c>
    </row>
    <row r="23" ht="20" customHeight="1">
      <c r="B23" s="8" t="inlineStr">
        <is>
          <t>DDC-11</t>
        </is>
      </c>
      <c r="C23" s="9" t="inlineStr">
        <is>
          <t>Value-Added Course Register</t>
        </is>
      </c>
      <c r="D23" s="9" t="inlineStr">
        <is>
          <t>Register and track dept. value-added and skill courses</t>
        </is>
      </c>
      <c r="E23" s="10" t="inlineStr">
        <is>
          <t>Annual</t>
        </is>
      </c>
    </row>
    <row r="24" ht="20" customHeight="1">
      <c r="B24" s="5" t="inlineStr">
        <is>
          <t>DDC-12</t>
        </is>
      </c>
      <c r="C24" s="6" t="inlineStr">
        <is>
          <t>MOOC / NPTEL Integration Register</t>
        </is>
      </c>
      <c r="D24" s="6" t="inlineStr">
        <is>
          <t>Track MOOCs and online learning credits for students</t>
        </is>
      </c>
      <c r="E24" s="7" t="inlineStr">
        <is>
          <t>Annual</t>
        </is>
      </c>
    </row>
    <row r="25" ht="20" customHeight="1">
      <c r="B25" s="4" t="inlineStr">
        <is>
          <t>── TEACHING-LEARNING PROCESSES ──</t>
        </is>
      </c>
    </row>
    <row r="26" ht="20" customHeight="1">
      <c r="B26" s="5" t="inlineStr">
        <is>
          <t>DDC-13</t>
        </is>
      </c>
      <c r="C26" s="6" t="inlineStr">
        <is>
          <t>Department Teaching Plan Repository</t>
        </is>
      </c>
      <c r="D26" s="6" t="inlineStr">
        <is>
          <t>Collect, review and archive all faculty teaching plans</t>
        </is>
      </c>
      <c r="E26" s="7" t="inlineStr">
        <is>
          <t>Each Semester</t>
        </is>
      </c>
    </row>
    <row r="27" ht="20" customHeight="1">
      <c r="B27" s="8" t="inlineStr">
        <is>
          <t>DDC-14</t>
        </is>
      </c>
      <c r="C27" s="9" t="inlineStr">
        <is>
          <t>Innovative Teaching Method Register</t>
        </is>
      </c>
      <c r="D27" s="9" t="inlineStr">
        <is>
          <t>Document and promote innovative pedagogy in dept.</t>
        </is>
      </c>
      <c r="E27" s="10" t="inlineStr">
        <is>
          <t>Annual</t>
        </is>
      </c>
    </row>
    <row r="28" ht="20" customHeight="1">
      <c r="B28" s="5" t="inlineStr">
        <is>
          <t>DDC-15</t>
        </is>
      </c>
      <c r="C28" s="6" t="inlineStr">
        <is>
          <t>ICT &amp; Digital Tools Integration Register</t>
        </is>
      </c>
      <c r="D28" s="6" t="inlineStr">
        <is>
          <t>Track use of LMS, simulation, e-content in teaching</t>
        </is>
      </c>
      <c r="E28" s="7" t="inlineStr">
        <is>
          <t>Annual</t>
        </is>
      </c>
    </row>
    <row r="29" ht="20" customHeight="1">
      <c r="B29" s="8" t="inlineStr">
        <is>
          <t>DDC-16</t>
        </is>
      </c>
      <c r="C29" s="9" t="inlineStr">
        <is>
          <t>Slow Learner &amp; Advanced Learner Support Reg.</t>
        </is>
      </c>
      <c r="D29" s="9" t="inlineStr">
        <is>
          <t>Identify and track support for diverse learners</t>
        </is>
      </c>
      <c r="E29" s="10" t="inlineStr">
        <is>
          <t>Each Semester</t>
        </is>
      </c>
    </row>
    <row r="30" ht="20" customHeight="1">
      <c r="B30" s="5" t="inlineStr">
        <is>
          <t>DDC-17</t>
        </is>
      </c>
      <c r="C30" s="6" t="inlineStr">
        <is>
          <t>Department Guest Lecture &amp; Expert Talk Reg.</t>
        </is>
      </c>
      <c r="D30" s="6" t="inlineStr">
        <is>
          <t>Log all guest lectures organised by department</t>
        </is>
      </c>
      <c r="E30" s="7" t="inlineStr">
        <is>
          <t>Per Event</t>
        </is>
      </c>
    </row>
    <row r="31" ht="20" customHeight="1">
      <c r="B31" s="8" t="inlineStr">
        <is>
          <t>DDC-18</t>
        </is>
      </c>
      <c r="C31" s="9" t="inlineStr">
        <is>
          <t>Department Industrial Visit Register</t>
        </is>
      </c>
      <c r="D31" s="9" t="inlineStr">
        <is>
          <t>Document industrial visits organised by department</t>
        </is>
      </c>
      <c r="E31" s="10" t="inlineStr">
        <is>
          <t>Per Visit</t>
        </is>
      </c>
    </row>
    <row r="32" ht="20" customHeight="1">
      <c r="B32" s="5" t="inlineStr">
        <is>
          <t>DDC-19</t>
        </is>
      </c>
      <c r="C32" s="6" t="inlineStr">
        <is>
          <t>Seminar / Symposium / Conference Register</t>
        </is>
      </c>
      <c r="D32" s="6" t="inlineStr">
        <is>
          <t>Track seminars and conferences organised by dept.</t>
        </is>
      </c>
      <c r="E32" s="7" t="inlineStr">
        <is>
          <t>Per Event</t>
        </is>
      </c>
    </row>
    <row r="33" ht="20" customHeight="1">
      <c r="B33" s="8" t="inlineStr">
        <is>
          <t>DDC-20</t>
        </is>
      </c>
      <c r="C33" s="9" t="inlineStr">
        <is>
          <t>Department Lab Development Register</t>
        </is>
      </c>
      <c r="D33" s="9" t="inlineStr">
        <is>
          <t>Track lab equipment, upgrades and new additions</t>
        </is>
      </c>
      <c r="E33" s="10" t="inlineStr">
        <is>
          <t>Annual</t>
        </is>
      </c>
    </row>
    <row r="34" ht="20" customHeight="1">
      <c r="B34" s="5" t="inlineStr">
        <is>
          <t>DDC-21</t>
        </is>
      </c>
      <c r="C34" s="6" t="inlineStr">
        <is>
          <t>Department Library Resource Register</t>
        </is>
      </c>
      <c r="D34" s="6" t="inlineStr">
        <is>
          <t>Track dept.-specific books, journals and e-resources</t>
        </is>
      </c>
      <c r="E34" s="7" t="inlineStr">
        <is>
          <t>Annual</t>
        </is>
      </c>
    </row>
    <row r="35" ht="20" customHeight="1">
      <c r="B35" s="4" t="inlineStr">
        <is>
          <t>── FACULTY MANAGEMENT ──</t>
        </is>
      </c>
    </row>
    <row r="36" ht="20" customHeight="1">
      <c r="B36" s="5" t="inlineStr">
        <is>
          <t>DDC-22</t>
        </is>
      </c>
      <c r="C36" s="6" t="inlineStr">
        <is>
          <t>Faculty Profile &amp; Qualification Register</t>
        </is>
      </c>
      <c r="D36" s="6" t="inlineStr">
        <is>
          <t>Maintain faculty details — qualification, experience, API</t>
        </is>
      </c>
      <c r="E36" s="7" t="inlineStr">
        <is>
          <t>Annual</t>
        </is>
      </c>
    </row>
    <row r="37" ht="20" customHeight="1">
      <c r="B37" s="8" t="inlineStr">
        <is>
          <t>DDC-23</t>
        </is>
      </c>
      <c r="C37" s="9" t="inlineStr">
        <is>
          <t>Faculty Workload &amp; Assignment Register</t>
        </is>
      </c>
      <c r="D37" s="9" t="inlineStr">
        <is>
          <t>Track teaching load, courses and additional duties</t>
        </is>
      </c>
      <c r="E37" s="10" t="inlineStr">
        <is>
          <t>Each Semester</t>
        </is>
      </c>
    </row>
    <row r="38" ht="20" customHeight="1">
      <c r="B38" s="5" t="inlineStr">
        <is>
          <t>DDC-24</t>
        </is>
      </c>
      <c r="C38" s="6" t="inlineStr">
        <is>
          <t>Faculty Development Programme (FDP) Register</t>
        </is>
      </c>
      <c r="D38" s="6" t="inlineStr">
        <is>
          <t>Track FDP attendance and self-improvement activities</t>
        </is>
      </c>
      <c r="E38" s="7" t="inlineStr">
        <is>
          <t>Annual</t>
        </is>
      </c>
    </row>
    <row r="39" ht="20" customHeight="1">
      <c r="B39" s="8" t="inlineStr">
        <is>
          <t>DDC-25</t>
        </is>
      </c>
      <c r="C39" s="9" t="inlineStr">
        <is>
          <t>Faculty Research &amp; Publication Register</t>
        </is>
      </c>
      <c r="D39" s="9" t="inlineStr">
        <is>
          <t>Track research papers, books, patents, projects</t>
        </is>
      </c>
      <c r="E39" s="10" t="inlineStr">
        <is>
          <t>Annual</t>
        </is>
      </c>
    </row>
    <row r="40" ht="20" customHeight="1">
      <c r="B40" s="5" t="inlineStr">
        <is>
          <t>DDC-26</t>
        </is>
      </c>
      <c r="C40" s="6" t="inlineStr">
        <is>
          <t>Faculty Award &amp; Recognition Register</t>
        </is>
      </c>
      <c r="D40" s="6" t="inlineStr">
        <is>
          <t>Document faculty awards, fellowships and honours</t>
        </is>
      </c>
      <c r="E40" s="7" t="inlineStr">
        <is>
          <t>Annual</t>
        </is>
      </c>
    </row>
    <row r="41" ht="20" customHeight="1">
      <c r="B41" s="8" t="inlineStr">
        <is>
          <t>DDC-27</t>
        </is>
      </c>
      <c r="C41" s="9" t="inlineStr">
        <is>
          <t>Faculty Appraisal (PBAS / API) Register</t>
        </is>
      </c>
      <c r="D41" s="9" t="inlineStr">
        <is>
          <t>Annual performance appraisal of all faculty</t>
        </is>
      </c>
      <c r="E41" s="10" t="inlineStr">
        <is>
          <t>Annual</t>
        </is>
      </c>
    </row>
    <row r="42" ht="20" customHeight="1">
      <c r="B42" s="5" t="inlineStr">
        <is>
          <t>DDC-28</t>
        </is>
      </c>
      <c r="C42" s="6" t="inlineStr">
        <is>
          <t>Faculty Recruitment &amp; Vacancy Register</t>
        </is>
      </c>
      <c r="D42" s="6" t="inlineStr">
        <is>
          <t>Track faculty vacancies, recruitment and appointments</t>
        </is>
      </c>
      <c r="E42" s="7" t="inlineStr">
        <is>
          <t>As needed</t>
        </is>
      </c>
    </row>
    <row r="43" ht="20" customHeight="1">
      <c r="B43" s="4" t="inlineStr">
        <is>
          <t>── STUDENT DEVELOPMENT ──</t>
        </is>
      </c>
    </row>
    <row r="44" ht="20" customHeight="1">
      <c r="B44" s="5" t="inlineStr">
        <is>
          <t>DDC-29</t>
        </is>
      </c>
      <c r="C44" s="6" t="inlineStr">
        <is>
          <t>Student Enrolment &amp; Strength Register</t>
        </is>
      </c>
      <c r="D44" s="6" t="inlineStr">
        <is>
          <t>Track student strength — year-wise and category-wise</t>
        </is>
      </c>
      <c r="E44" s="7" t="inlineStr">
        <is>
          <t>Annual</t>
        </is>
      </c>
    </row>
    <row r="45" ht="20" customHeight="1">
      <c r="B45" s="8" t="inlineStr">
        <is>
          <t>DDC-30</t>
        </is>
      </c>
      <c r="C45" s="9" t="inlineStr">
        <is>
          <t>Student Academic Performance Register</t>
        </is>
      </c>
      <c r="D45" s="9" t="inlineStr">
        <is>
          <t>Track semester results — pass%, toppers, backlogs</t>
        </is>
      </c>
      <c r="E45" s="10" t="inlineStr">
        <is>
          <t>Each Semester</t>
        </is>
      </c>
    </row>
    <row r="46" ht="20" customHeight="1">
      <c r="B46" s="5" t="inlineStr">
        <is>
          <t>DDC-31</t>
        </is>
      </c>
      <c r="C46" s="6" t="inlineStr">
        <is>
          <t>Student Attendance Monitoring Register</t>
        </is>
      </c>
      <c r="D46" s="6" t="inlineStr">
        <is>
          <t>Track attendance — defaulters and condonation</t>
        </is>
      </c>
      <c r="E46" s="7" t="inlineStr">
        <is>
          <t>Monthly</t>
        </is>
      </c>
    </row>
    <row r="47" ht="20" customHeight="1">
      <c r="B47" s="8" t="inlineStr">
        <is>
          <t>DDC-32</t>
        </is>
      </c>
      <c r="C47" s="9" t="inlineStr">
        <is>
          <t>Student Project &amp; Research Register</t>
        </is>
      </c>
      <c r="D47" s="9" t="inlineStr">
        <is>
          <t>Track student projects — mini, major, final year</t>
        </is>
      </c>
      <c r="E47" s="10" t="inlineStr">
        <is>
          <t>Annual</t>
        </is>
      </c>
    </row>
    <row r="48" ht="20" customHeight="1">
      <c r="B48" s="5" t="inlineStr">
        <is>
          <t>DDC-33</t>
        </is>
      </c>
      <c r="C48" s="6" t="inlineStr">
        <is>
          <t>Student Achievement &amp; Award Register</t>
        </is>
      </c>
      <c r="D48" s="6" t="inlineStr">
        <is>
          <t>Track student awards, competitions and recognitions</t>
        </is>
      </c>
      <c r="E48" s="7" t="inlineStr">
        <is>
          <t>Continuous</t>
        </is>
      </c>
    </row>
    <row r="49" ht="20" customHeight="1">
      <c r="B49" s="8" t="inlineStr">
        <is>
          <t>DDC-34</t>
        </is>
      </c>
      <c r="C49" s="9" t="inlineStr">
        <is>
          <t>Student Placement &amp; Higher Studies Register</t>
        </is>
      </c>
      <c r="D49" s="9" t="inlineStr">
        <is>
          <t>Track placement and higher education statistics</t>
        </is>
      </c>
      <c r="E49" s="10" t="inlineStr">
        <is>
          <t>Annual</t>
        </is>
      </c>
    </row>
    <row r="50" ht="20" customHeight="1">
      <c r="B50" s="5" t="inlineStr">
        <is>
          <t>DDC-35</t>
        </is>
      </c>
      <c r="C50" s="6" t="inlineStr">
        <is>
          <t>Student Mentoring &amp; Counselling Register</t>
        </is>
      </c>
      <c r="D50" s="6" t="inlineStr">
        <is>
          <t>Track mentoring sessions and student welfare support</t>
        </is>
      </c>
      <c r="E50" s="7" t="inlineStr">
        <is>
          <t>Each Semester</t>
        </is>
      </c>
    </row>
    <row r="51" ht="20" customHeight="1">
      <c r="B51" s="4" t="inlineStr">
        <is>
          <t>── RESEARCH &amp; DEVELOPMENT ──</t>
        </is>
      </c>
    </row>
    <row r="52" ht="20" customHeight="1">
      <c r="B52" s="5" t="inlineStr">
        <is>
          <t>DDC-36</t>
        </is>
      </c>
      <c r="C52" s="6" t="inlineStr">
        <is>
          <t>Department Research Project Register</t>
        </is>
      </c>
      <c r="D52" s="6" t="inlineStr">
        <is>
          <t>Track funded and unfunded research projects</t>
        </is>
      </c>
      <c r="E52" s="7" t="inlineStr">
        <is>
          <t>Annual</t>
        </is>
      </c>
    </row>
    <row r="53" ht="20" customHeight="1">
      <c r="B53" s="8" t="inlineStr">
        <is>
          <t>DDC-37</t>
        </is>
      </c>
      <c r="C53" s="9" t="inlineStr">
        <is>
          <t>Department Patents &amp; Intellectual Property Reg.</t>
        </is>
      </c>
      <c r="D53" s="9" t="inlineStr">
        <is>
          <t>Track patent applications and grants</t>
        </is>
      </c>
      <c r="E53" s="10" t="inlineStr">
        <is>
          <t>Annual</t>
        </is>
      </c>
    </row>
    <row r="54" ht="20" customHeight="1">
      <c r="B54" s="5" t="inlineStr">
        <is>
          <t>DDC-38</t>
        </is>
      </c>
      <c r="C54" s="6" t="inlineStr">
        <is>
          <t>Department MOU / Collaboration Register</t>
        </is>
      </c>
      <c r="D54" s="6" t="inlineStr">
        <is>
          <t>Track MOUs with industry and other institutions</t>
        </is>
      </c>
      <c r="E54" s="7" t="inlineStr">
        <is>
          <t>Annual</t>
        </is>
      </c>
    </row>
    <row r="55" ht="20" customHeight="1">
      <c r="B55" s="8" t="inlineStr">
        <is>
          <t>DDC-39</t>
        </is>
      </c>
      <c r="C55" s="9" t="inlineStr">
        <is>
          <t>Consultancy &amp; Testing Services Register</t>
        </is>
      </c>
      <c r="D55" s="9" t="inlineStr">
        <is>
          <t>Track consultancy, testing and sponsored work</t>
        </is>
      </c>
      <c r="E55" s="10" t="inlineStr">
        <is>
          <t>Annual</t>
        </is>
      </c>
    </row>
    <row r="56" ht="20" customHeight="1">
      <c r="B56" s="5" t="inlineStr">
        <is>
          <t>DDC-40</t>
        </is>
      </c>
      <c r="C56" s="6" t="inlineStr">
        <is>
          <t>Department Research Publication Register</t>
        </is>
      </c>
      <c r="D56" s="6" t="inlineStr">
        <is>
          <t>Consolidated publication record — all faculty</t>
        </is>
      </c>
      <c r="E56" s="7" t="inlineStr">
        <is>
          <t>Annual</t>
        </is>
      </c>
    </row>
    <row r="57" ht="20" customHeight="1">
      <c r="B57" s="4" t="inlineStr">
        <is>
          <t>── INDUSTRY-INSTITUTE INTERACTION ──</t>
        </is>
      </c>
    </row>
    <row r="58" ht="20" customHeight="1">
      <c r="B58" s="5" t="inlineStr">
        <is>
          <t>DDC-41</t>
        </is>
      </c>
      <c r="C58" s="6" t="inlineStr">
        <is>
          <t>Industry Partnership &amp; Advisory Board Register</t>
        </is>
      </c>
      <c r="D58" s="6" t="inlineStr">
        <is>
          <t>Track industry advisory board and regular interactions</t>
        </is>
      </c>
      <c r="E58" s="7" t="inlineStr">
        <is>
          <t>Annual</t>
        </is>
      </c>
    </row>
    <row r="59" ht="20" customHeight="1">
      <c r="B59" s="8" t="inlineStr">
        <is>
          <t>DDC-42</t>
        </is>
      </c>
      <c r="C59" s="9" t="inlineStr">
        <is>
          <t>Internship &amp; In-plant Training Register</t>
        </is>
      </c>
      <c r="D59" s="9" t="inlineStr">
        <is>
          <t>Track student internships with industry</t>
        </is>
      </c>
      <c r="E59" s="10" t="inlineStr">
        <is>
          <t>Annual</t>
        </is>
      </c>
    </row>
    <row r="60" ht="20" customHeight="1">
      <c r="B60" s="5" t="inlineStr">
        <is>
          <t>DDC-43</t>
        </is>
      </c>
      <c r="C60" s="6" t="inlineStr">
        <is>
          <t>Expert Lecture Series Register</t>
        </is>
      </c>
      <c r="D60" s="6" t="inlineStr">
        <is>
          <t>Track expert lectures from industry professionals</t>
        </is>
      </c>
      <c r="E60" s="7" t="inlineStr">
        <is>
          <t>Per Event</t>
        </is>
      </c>
    </row>
    <row r="61" ht="20" customHeight="1">
      <c r="B61" s="8" t="inlineStr">
        <is>
          <t>DDC-44</t>
        </is>
      </c>
      <c r="C61" s="9" t="inlineStr">
        <is>
          <t>Industry Project &amp; Live Problem Register</t>
        </is>
      </c>
      <c r="D61" s="9" t="inlineStr">
        <is>
          <t>Track live industry problems assigned to student teams</t>
        </is>
      </c>
      <c r="E61" s="10" t="inlineStr">
        <is>
          <t>Annual</t>
        </is>
      </c>
    </row>
    <row r="62" ht="20" customHeight="1">
      <c r="B62" s="4" t="inlineStr">
        <is>
          <t>── EXTENSION &amp; OUTREACH ──</t>
        </is>
      </c>
    </row>
    <row r="63" ht="20" customHeight="1">
      <c r="B63" s="8" t="inlineStr">
        <is>
          <t>DDC-45</t>
        </is>
      </c>
      <c r="C63" s="9" t="inlineStr">
        <is>
          <t>Community Outreach &amp; Extension Register</t>
        </is>
      </c>
      <c r="D63" s="9" t="inlineStr">
        <is>
          <t>Track community service and social responsibility activities</t>
        </is>
      </c>
      <c r="E63" s="10" t="inlineStr">
        <is>
          <t>Annual</t>
        </is>
      </c>
    </row>
    <row r="64" ht="20" customHeight="1">
      <c r="B64" s="5" t="inlineStr">
        <is>
          <t>DDC-46</t>
        </is>
      </c>
      <c r="C64" s="6" t="inlineStr">
        <is>
          <t>Department Social Media &amp; Digital Presence Reg.</t>
        </is>
      </c>
      <c r="D64" s="6" t="inlineStr">
        <is>
          <t>Track dept. online presence, content and reach</t>
        </is>
      </c>
      <c r="E64" s="7" t="inlineStr">
        <is>
          <t>Monthly</t>
        </is>
      </c>
    </row>
    <row r="65" ht="20" customHeight="1">
      <c r="B65" s="4" t="inlineStr">
        <is>
          <t>── INFRASTRUCTURE &amp; RESOURCES ──</t>
        </is>
      </c>
    </row>
    <row r="66" ht="20" customHeight="1">
      <c r="B66" s="5" t="inlineStr">
        <is>
          <t>DDC-47</t>
        </is>
      </c>
      <c r="C66" s="6" t="inlineStr">
        <is>
          <t>Department Physical Infrastructure Register</t>
        </is>
      </c>
      <c r="D66" s="6" t="inlineStr">
        <is>
          <t>Inventory of classrooms, labs, offices and equipment</t>
        </is>
      </c>
      <c r="E66" s="7" t="inlineStr">
        <is>
          <t>Annual</t>
        </is>
      </c>
    </row>
    <row r="67" ht="20" customHeight="1">
      <c r="B67" s="8" t="inlineStr">
        <is>
          <t>DDC-48</t>
        </is>
      </c>
      <c r="C67" s="9" t="inlineStr">
        <is>
          <t>Department Software &amp; IT Resources Register</t>
        </is>
      </c>
      <c r="D67" s="9" t="inlineStr">
        <is>
          <t>Track software licences, hardware and IT resources</t>
        </is>
      </c>
      <c r="E67" s="10" t="inlineStr">
        <is>
          <t>Annual</t>
        </is>
      </c>
    </row>
    <row r="68" ht="20" customHeight="1">
      <c r="B68" s="5" t="inlineStr">
        <is>
          <t>DDC-49</t>
        </is>
      </c>
      <c r="C68" s="6" t="inlineStr">
        <is>
          <t>Department Equipment Maintenance Register</t>
        </is>
      </c>
      <c r="D68" s="6" t="inlineStr">
        <is>
          <t>Track lab equipment maintenance and AMC</t>
        </is>
      </c>
      <c r="E68" s="7" t="inlineStr">
        <is>
          <t>Annual</t>
        </is>
      </c>
    </row>
    <row r="69" ht="20" customHeight="1">
      <c r="B69" s="4" t="inlineStr">
        <is>
          <t>── FEEDBACK &amp; QUALITY ──</t>
        </is>
      </c>
    </row>
    <row r="70" ht="20" customHeight="1">
      <c r="B70" s="5" t="inlineStr">
        <is>
          <t>DDC-50</t>
        </is>
      </c>
      <c r="C70" s="6" t="inlineStr">
        <is>
          <t>Student Feedback on Department — Semester-wise</t>
        </is>
      </c>
      <c r="D70" s="6" t="inlineStr">
        <is>
          <t>Collect student feedback on dept. academic processes</t>
        </is>
      </c>
      <c r="E70" s="7" t="inlineStr">
        <is>
          <t>Each Semester</t>
        </is>
      </c>
    </row>
    <row r="71" ht="20" customHeight="1">
      <c r="B71" s="8" t="inlineStr">
        <is>
          <t>DDC-51</t>
        </is>
      </c>
      <c r="C71" s="9" t="inlineStr">
        <is>
          <t>Alumni Feedback on Department</t>
        </is>
      </c>
      <c r="D71" s="9" t="inlineStr">
        <is>
          <t>Collect alumni input on curriculum and development</t>
        </is>
      </c>
      <c r="E71" s="10" t="inlineStr">
        <is>
          <t>Annual</t>
        </is>
      </c>
    </row>
    <row r="72" ht="20" customHeight="1">
      <c r="B72" s="5" t="inlineStr">
        <is>
          <t>DDC-52</t>
        </is>
      </c>
      <c r="C72" s="6" t="inlineStr">
        <is>
          <t>Employer / Industry Feedback on Dept. Graduates</t>
        </is>
      </c>
      <c r="D72" s="6" t="inlineStr">
        <is>
          <t>Collect employer feedback on graduate competency</t>
        </is>
      </c>
      <c r="E72" s="7" t="inlineStr">
        <is>
          <t>Annual</t>
        </is>
      </c>
    </row>
    <row r="73" ht="20" customHeight="1">
      <c r="B73" s="8" t="inlineStr">
        <is>
          <t>DDC-53</t>
        </is>
      </c>
      <c r="C73" s="9" t="inlineStr">
        <is>
          <t>Department Best Practices Register</t>
        </is>
      </c>
      <c r="D73" s="9" t="inlineStr">
        <is>
          <t>Document and share best practices from the department</t>
        </is>
      </c>
      <c r="E73" s="10" t="inlineStr">
        <is>
          <t>Annual</t>
        </is>
      </c>
    </row>
    <row r="74" ht="20" customHeight="1">
      <c r="B74" s="4" t="inlineStr">
        <is>
          <t>── ACCREDITATION &amp; COMPLIANCE ──</t>
        </is>
      </c>
    </row>
    <row r="75" ht="20" customHeight="1">
      <c r="B75" s="8" t="inlineStr">
        <is>
          <t>DDC-54</t>
        </is>
      </c>
      <c r="C75" s="9" t="inlineStr">
        <is>
          <t>NBA Criteria Compliance Register</t>
        </is>
      </c>
      <c r="D75" s="9" t="inlineStr">
        <is>
          <t>Track NBA Self-Assessment Report (SAR) data</t>
        </is>
      </c>
      <c r="E75" s="10" t="inlineStr">
        <is>
          <t>Annual / Per Cycle</t>
        </is>
      </c>
    </row>
    <row r="76" ht="20" customHeight="1">
      <c r="B76" s="5" t="inlineStr">
        <is>
          <t>DDC-55</t>
        </is>
      </c>
      <c r="C76" s="6" t="inlineStr">
        <is>
          <t>NAAC Criterion-wise Data Register</t>
        </is>
      </c>
      <c r="D76" s="6" t="inlineStr">
        <is>
          <t>Compile NAAC AQAR data — Criterion II, III, V, VI</t>
        </is>
      </c>
      <c r="E76" s="7" t="inlineStr">
        <is>
          <t>Annual</t>
        </is>
      </c>
    </row>
    <row r="77" ht="20" customHeight="1">
      <c r="B77" s="8" t="inlineStr">
        <is>
          <t>DDC-56</t>
        </is>
      </c>
      <c r="C77" s="9" t="inlineStr">
        <is>
          <t>Regulatory &amp; University Compliance Register</t>
        </is>
      </c>
      <c r="D77" s="9" t="inlineStr">
        <is>
          <t>Track UGC/AICTE/University compliance for dept.</t>
        </is>
      </c>
      <c r="E77" s="10" t="inlineStr">
        <is>
          <t>Annual</t>
        </is>
      </c>
    </row>
    <row r="78" ht="20" customHeight="1">
      <c r="B78" s="4" t="inlineStr">
        <is>
          <t>── MONITORING &amp; REPORTING ──</t>
        </is>
      </c>
    </row>
    <row r="79" ht="20" customHeight="1">
      <c r="B79" s="8" t="inlineStr">
        <is>
          <t>DDC-57</t>
        </is>
      </c>
      <c r="C79" s="9" t="inlineStr">
        <is>
          <t>DDC KPI Dashboard</t>
        </is>
      </c>
      <c r="D79" s="9" t="inlineStr">
        <is>
          <t>Track all department KPIs across all development areas</t>
        </is>
      </c>
      <c r="E79" s="10" t="inlineStr">
        <is>
          <t>Quarterly / Annual</t>
        </is>
      </c>
    </row>
    <row r="80" ht="20" customHeight="1">
      <c r="B80" s="5" t="inlineStr">
        <is>
          <t>DDC-58</t>
        </is>
      </c>
      <c r="C80" s="6" t="inlineStr">
        <is>
          <t>Department Annual Report Compilation Form</t>
        </is>
      </c>
      <c r="D80" s="6" t="inlineStr">
        <is>
          <t>Year-end report for management, NAAC, NBA, Governing Body</t>
        </is>
      </c>
      <c r="E80" s="7" t="inlineStr">
        <is>
          <t>Annual</t>
        </is>
      </c>
    </row>
    <row r="164">
      <c r="B164" s="11" t="inlineStr">
        <is>
          <t>• DDC = Department Development Committee — the apex body for holistic development of each academic department.</t>
        </is>
      </c>
    </row>
    <row r="165">
      <c r="B165" s="11" t="inlineStr">
        <is>
          <t>• DDC is department-level; CAC is institution-level. DDC feeds into CAC, Academic Council and Governing Body.</t>
        </is>
      </c>
    </row>
    <row r="166">
      <c r="B166" s="11" t="inlineStr">
        <is>
          <t>• DDC meets minimum once per month — more frequently when NBA/NAAC accreditation or major milestones are due.</t>
        </is>
      </c>
    </row>
    <row r="167">
      <c r="B167" s="11" t="inlineStr">
        <is>
          <t>• All BoS (Board of Studies) decisions must be discussed in DDC before being forwarded to CAC and Academic Council.</t>
        </is>
      </c>
    </row>
    <row r="168">
      <c r="B168" s="11" t="inlineStr">
        <is>
          <t>• CO attainment and PO attainment are mandatory for NBA-accredited programmes — DDC must compute every semester.</t>
        </is>
      </c>
    </row>
    <row r="169">
      <c r="B169" s="11" t="inlineStr">
        <is>
          <t>• DDC data feeds into: NAAC AQAR (Criteria II, III, V, VI), NBA SAR (all criteria), NIRF, ARIIA, Governing Body.</t>
        </is>
      </c>
    </row>
    <row r="170">
      <c r="B170" s="11" t="inlineStr">
        <is>
          <t>• Faculty workload must be equitable — DDC reviews workload distribution and escalates imbalances to CAC/Principal.</t>
        </is>
      </c>
    </row>
    <row r="171">
      <c r="B171" s="11" t="inlineStr">
        <is>
          <t>• Student placement and higher studies data must be updated within 6 months of graduation for NIRF/NAAC compliance.</t>
        </is>
      </c>
    </row>
    <row r="172">
      <c r="B172" s="11" t="inlineStr">
        <is>
          <t>• All MOUs with industry must be active and functional — DDC reviews MOU utilisation annually.</t>
        </is>
      </c>
    </row>
    <row r="173">
      <c r="B173" s="11" t="inlineStr">
        <is>
          <t>• Best practices documented by DDC form the basis of NAAC Criterion VII submissions — ensure they are well-evidenced.</t>
        </is>
      </c>
    </row>
  </sheetData>
  <mergeCells count="25">
    <mergeCell ref="B65:E65"/>
    <mergeCell ref="B74:E74"/>
    <mergeCell ref="B5:E5"/>
    <mergeCell ref="B51:E51"/>
    <mergeCell ref="B164:E164"/>
    <mergeCell ref="B169:E169"/>
    <mergeCell ref="B35:E35"/>
    <mergeCell ref="B173:E173"/>
    <mergeCell ref="B62:E62"/>
    <mergeCell ref="B25:E25"/>
    <mergeCell ref="B165:E165"/>
    <mergeCell ref="B3:E3"/>
    <mergeCell ref="B43:E43"/>
    <mergeCell ref="B167:E167"/>
    <mergeCell ref="B11:E11"/>
    <mergeCell ref="B2:E2"/>
    <mergeCell ref="B17:E17"/>
    <mergeCell ref="B57:E57"/>
    <mergeCell ref="B170:E170"/>
    <mergeCell ref="B166:E166"/>
    <mergeCell ref="B69:E69"/>
    <mergeCell ref="B171:E171"/>
    <mergeCell ref="B78:E78"/>
    <mergeCell ref="B172:E172"/>
    <mergeCell ref="B168:E1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DDC-00: DEPARTMENT DEVELOPMENT COMMITTEE — COMPOSITION REGISTER</t>
        </is>
      </c>
    </row>
    <row r="3" ht="25" customHeight="1">
      <c r="B3" s="2" t="inlineStr">
        <is>
          <t>Department: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DDC</t>
        </is>
      </c>
      <c r="F4" s="13" t="inlineStr">
        <is>
          <t>Qualification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Head of Department (HoD)</t>
        </is>
      </c>
      <c r="E5" s="14" t="inlineStr">
        <is>
          <t>Chairperson</t>
        </is>
      </c>
      <c r="F5" s="16" t="inlineStr">
        <is>
          <t>DDC Leadership &amp; Strategic Vision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Senior Faculty Member (Dept.)</t>
        </is>
      </c>
      <c r="E6" s="8" t="inlineStr">
        <is>
          <t>DDC Coordinator</t>
        </is>
      </c>
      <c r="F6" s="10" t="inlineStr">
        <is>
          <t>DDC Coordination &amp; Records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Senior Faculty — Board of Studies Convener</t>
        </is>
      </c>
      <c r="E7" s="14" t="inlineStr">
        <is>
          <t>BoS Convener</t>
        </is>
      </c>
      <c r="F7" s="16" t="inlineStr">
        <is>
          <t>Curriculum &amp; Syllabus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Faculty In-charge — Research &amp; Projects</t>
        </is>
      </c>
      <c r="E8" s="8" t="inlineStr">
        <is>
          <t>Research Coordinator</t>
        </is>
      </c>
      <c r="F8" s="10" t="inlineStr">
        <is>
          <t>Research &amp; Innovation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In-charge — Industry Interaction</t>
        </is>
      </c>
      <c r="E9" s="14" t="inlineStr">
        <is>
          <t>Industry Liaison</t>
        </is>
      </c>
      <c r="F9" s="16" t="inlineStr">
        <is>
          <t>Industry &amp; MOU Management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In-charge — Training &amp; Placement</t>
        </is>
      </c>
      <c r="E10" s="8" t="inlineStr">
        <is>
          <t>T&amp;P Coordinator (Dept.)</t>
        </is>
      </c>
      <c r="F10" s="10" t="inlineStr">
        <is>
          <t>Student Placement &amp; Career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— Lab Coordinator</t>
        </is>
      </c>
      <c r="E11" s="14" t="inlineStr">
        <is>
          <t>Lab In-charge</t>
        </is>
      </c>
      <c r="F11" s="16" t="inlineStr">
        <is>
          <t>Infrastructure &amp; Lab Dev.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Associate Professor (Elected)</t>
        </is>
      </c>
      <c r="E12" s="8" t="inlineStr">
        <is>
          <t>Faculty Member – 1</t>
        </is>
      </c>
      <c r="F12" s="10" t="inlineStr">
        <is>
          <t>Faculty Academic Affairs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Assistant Professor (Elected)</t>
        </is>
      </c>
      <c r="E13" s="14" t="inlineStr">
        <is>
          <t>Faculty Member – 2</t>
        </is>
      </c>
      <c r="F13" s="16" t="inlineStr">
        <is>
          <t>Teaching-Learning Innovation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Assistant Professor (Elected)</t>
        </is>
      </c>
      <c r="E14" s="8" t="inlineStr">
        <is>
          <t>Faculty Member – 3</t>
        </is>
      </c>
      <c r="F14" s="10" t="inlineStr">
        <is>
          <t>Student Affairs &amp; Welfare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Faculty In-charge — NBA / Accreditation</t>
        </is>
      </c>
      <c r="E15" s="14" t="inlineStr">
        <is>
          <t>NBA Coordinator</t>
        </is>
      </c>
      <c r="F15" s="16" t="inlineStr">
        <is>
          <t>Accreditation &amp; Compliance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Faculty — IQAC Departmental Coordinator</t>
        </is>
      </c>
      <c r="E16" s="8" t="inlineStr">
        <is>
          <t>IQAC Dept. Coordinator</t>
        </is>
      </c>
      <c r="F16" s="10" t="inlineStr">
        <is>
          <t>Quality &amp; NAAC Compliance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Final Year Student — Class Representative</t>
        </is>
      </c>
      <c r="E17" s="14" t="inlineStr">
        <is>
          <t>Student Rep – 1</t>
        </is>
      </c>
      <c r="F17" s="16" t="inlineStr">
        <is>
          <t>Senior Student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Third Year Student — Class Representative</t>
        </is>
      </c>
      <c r="E18" s="8" t="inlineStr">
        <is>
          <t>Student Rep – 2</t>
        </is>
      </c>
      <c r="F18" s="10" t="inlineStr">
        <is>
          <t>Junior Student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Association President (Dept.)</t>
        </is>
      </c>
      <c r="E19" s="14" t="inlineStr">
        <is>
          <t>Student Rep – 3</t>
        </is>
      </c>
      <c r="F19" s="16" t="inlineStr">
        <is>
          <t>Dept. Association Activities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Dept. Alumni — Recent Graduate</t>
        </is>
      </c>
      <c r="E20" s="8" t="inlineStr">
        <is>
          <t>Alumni Representative</t>
        </is>
      </c>
      <c r="F20" s="10" t="inlineStr">
        <is>
          <t>Alumni Linkage &amp; Feedback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Industry Professional / Advisory Board Member</t>
        </is>
      </c>
      <c r="E21" s="14" t="inlineStr">
        <is>
          <t>Industry Expert (External)</t>
        </is>
      </c>
      <c r="F21" s="16" t="inlineStr">
        <is>
          <t>Industry Perspective</t>
        </is>
      </c>
      <c r="G21" s="15" t="inlineStr"/>
      <c r="H21" s="16" t="inlineStr"/>
      <c r="I21" s="16" t="inlineStr"/>
    </row>
    <row r="22" ht="22" customHeight="1"/>
    <row r="23" ht="20" customHeight="1">
      <c r="B23" s="17" t="inlineStr">
        <is>
          <t>DDC meets monthly minimum. Industry Expert attends quarterly. All faculty in the department may attend as observers. DDC resolutions are forwarded to CAC and Principal for institutional-level decisions.</t>
        </is>
      </c>
    </row>
    <row r="24" ht="22" customHeight="1"/>
    <row r="25" ht="22" customHeight="1"/>
  </sheetData>
  <mergeCells count="3">
    <mergeCell ref="B23:I23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DEPARTMENT DEVELOPMENT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Department:</t>
        </is>
      </c>
      <c r="C4" s="9" t="n"/>
    </row>
    <row r="5" ht="22" customHeight="1">
      <c r="B5" s="18" t="inlineStr">
        <is>
          <t>Academic Year / Semester:</t>
        </is>
      </c>
      <c r="C5" s="9" t="n"/>
    </row>
    <row r="6" ht="22" customHeight="1">
      <c r="B6" s="18" t="inlineStr">
        <is>
          <t>Date:</t>
        </is>
      </c>
      <c r="C6" s="9" t="n"/>
    </row>
    <row r="7" ht="22" customHeight="1">
      <c r="B7" s="18" t="inlineStr">
        <is>
          <t>Time:</t>
        </is>
      </c>
      <c r="C7" s="9" t="n"/>
    </row>
    <row r="8" ht="22" customHeight="1">
      <c r="B8" s="18" t="inlineStr">
        <is>
          <t>Venue:</t>
        </is>
      </c>
      <c r="C8" s="9" t="n"/>
    </row>
    <row r="9" ht="22" customHeight="1">
      <c r="B9" s="18" t="inlineStr">
        <is>
          <t>Mode:</t>
        </is>
      </c>
      <c r="C9" s="9" t="n"/>
    </row>
    <row r="10" ht="22" customHeight="1">
      <c r="B10" s="18" t="inlineStr">
        <is>
          <t>Notice by:</t>
        </is>
      </c>
      <c r="C10" s="9" t="n"/>
    </row>
    <row r="11" ht="22" customHeight="1">
      <c r="B11" s="18" t="inlineStr">
        <is>
          <t>Notice Date:</t>
        </is>
      </c>
      <c r="C11" s="9" t="n"/>
    </row>
    <row r="12" ht="24" customHeight="1">
      <c r="B12" s="19" t="inlineStr">
        <is>
          <t>AGENDA ITEMS</t>
        </is>
      </c>
    </row>
    <row r="13" ht="24" customHeight="1">
      <c r="B13" s="13" t="inlineStr">
        <is>
          <t>Item
No.</t>
        </is>
      </c>
      <c r="C13" s="13" t="inlineStr">
        <is>
          <t>Agenda Item</t>
        </is>
      </c>
      <c r="D13" s="13" t="inlineStr">
        <is>
          <t>Lead</t>
        </is>
      </c>
      <c r="E13" s="13" t="inlineStr">
        <is>
          <t>Duration (Min)</t>
        </is>
      </c>
    </row>
    <row r="14" ht="24" customHeight="1">
      <c r="B14" s="14" t="n">
        <v>1</v>
      </c>
      <c r="C14" s="15" t="inlineStr">
        <is>
          <t>Confirmation of minutes of previous DDC meeting</t>
        </is>
      </c>
      <c r="D14" s="16" t="inlineStr"/>
      <c r="E14" s="16" t="inlineStr"/>
    </row>
    <row r="15" ht="24" customHeight="1">
      <c r="B15" s="8" t="n">
        <v>2</v>
      </c>
      <c r="C15" s="9" t="inlineStr">
        <is>
          <t>Action Taken Report on previous DDC resolutions</t>
        </is>
      </c>
      <c r="D15" s="10" t="inlineStr"/>
      <c r="E15" s="10" t="inlineStr"/>
    </row>
    <row r="16" ht="24" customHeight="1">
      <c r="B16" s="14" t="n">
        <v>3</v>
      </c>
      <c r="C16" s="15" t="inlineStr">
        <is>
          <t>Department vision &amp; strategic plan — progress review</t>
        </is>
      </c>
      <c r="D16" s="16" t="inlineStr"/>
      <c r="E16" s="16" t="inlineStr"/>
    </row>
    <row r="17" ht="24" customHeight="1">
      <c r="B17" s="8" t="n">
        <v>4</v>
      </c>
      <c r="C17" s="9" t="inlineStr">
        <is>
          <t>BoS recommendations — curriculum updates and proposals</t>
        </is>
      </c>
      <c r="D17" s="10" t="inlineStr"/>
      <c r="E17" s="10" t="inlineStr"/>
    </row>
    <row r="18" ht="24" customHeight="1">
      <c r="B18" s="14" t="n">
        <v>5</v>
      </c>
      <c r="C18" s="15" t="inlineStr">
        <is>
          <t>CO / PO attainment — semester results and analysis</t>
        </is>
      </c>
      <c r="D18" s="16" t="inlineStr"/>
      <c r="E18" s="16" t="inlineStr"/>
    </row>
    <row r="19" ht="24" customHeight="1">
      <c r="B19" s="8" t="n">
        <v>6</v>
      </c>
      <c r="C19" s="9" t="inlineStr">
        <is>
          <t>Teaching plan submissions — compliance and quality review</t>
        </is>
      </c>
      <c r="D19" s="10" t="inlineStr"/>
      <c r="E19" s="10" t="inlineStr"/>
    </row>
    <row r="20" ht="24" customHeight="1">
      <c r="B20" s="14" t="n">
        <v>7</v>
      </c>
      <c r="C20" s="15" t="inlineStr">
        <is>
          <t>Innovative teaching and ICT integration — update</t>
        </is>
      </c>
      <c r="D20" s="16" t="inlineStr"/>
      <c r="E20" s="16" t="inlineStr"/>
    </row>
    <row r="21" ht="24" customHeight="1">
      <c r="B21" s="8" t="n">
        <v>8</v>
      </c>
      <c r="C21" s="9" t="inlineStr">
        <is>
          <t>Slow / advanced learner support — dept. status</t>
        </is>
      </c>
      <c r="D21" s="10" t="inlineStr"/>
      <c r="E21" s="10" t="inlineStr"/>
    </row>
    <row r="22" ht="24" customHeight="1">
      <c r="B22" s="14" t="n">
        <v>9</v>
      </c>
      <c r="C22" s="15" t="inlineStr">
        <is>
          <t>Student attendance — defaulter analysis</t>
        </is>
      </c>
      <c r="D22" s="16" t="inlineStr"/>
      <c r="E22" s="16" t="inlineStr"/>
    </row>
    <row r="23" ht="24" customHeight="1">
      <c r="B23" s="8" t="n">
        <v>10</v>
      </c>
      <c r="C23" s="9" t="inlineStr">
        <is>
          <t>Student result analysis — pass%, backlogs, toppers</t>
        </is>
      </c>
      <c r="D23" s="10" t="inlineStr"/>
      <c r="E23" s="10" t="inlineStr"/>
    </row>
    <row r="24" ht="24" customHeight="1">
      <c r="B24" s="14" t="n">
        <v>11</v>
      </c>
      <c r="C24" s="15" t="inlineStr">
        <is>
          <t>Student projects — mini, major, final year progress</t>
        </is>
      </c>
      <c r="D24" s="16" t="inlineStr"/>
      <c r="E24" s="16" t="inlineStr"/>
    </row>
    <row r="25" ht="24" customHeight="1">
      <c r="B25" s="8" t="n">
        <v>12</v>
      </c>
      <c r="C25" s="9" t="inlineStr">
        <is>
          <t>Student achievements — awards, competitions</t>
        </is>
      </c>
      <c r="D25" s="10" t="inlineStr"/>
      <c r="E25" s="10" t="inlineStr"/>
    </row>
    <row r="26" ht="24" customHeight="1">
      <c r="B26" s="14" t="n">
        <v>13</v>
      </c>
      <c r="C26" s="15" t="inlineStr">
        <is>
          <t>Guest lectures and industrial visits — update</t>
        </is>
      </c>
      <c r="D26" s="16" t="inlineStr"/>
      <c r="E26" s="16" t="inlineStr"/>
    </row>
    <row r="27" ht="24" customHeight="1">
      <c r="B27" s="8" t="n">
        <v>14</v>
      </c>
      <c r="C27" s="9" t="inlineStr">
        <is>
          <t>Faculty development — FDP, research, publications</t>
        </is>
      </c>
      <c r="D27" s="10" t="inlineStr"/>
      <c r="E27" s="10" t="inlineStr"/>
    </row>
    <row r="28" ht="24" customHeight="1">
      <c r="B28" s="14" t="n">
        <v>15</v>
      </c>
      <c r="C28" s="15" t="inlineStr">
        <is>
          <t>Faculty workload — equity and compliance</t>
        </is>
      </c>
      <c r="D28" s="16" t="inlineStr"/>
      <c r="E28" s="16" t="inlineStr"/>
    </row>
    <row r="29" ht="24" customHeight="1">
      <c r="B29" s="8" t="n">
        <v>16</v>
      </c>
      <c r="C29" s="9" t="inlineStr">
        <is>
          <t>Research projects and consultancy — status</t>
        </is>
      </c>
      <c r="D29" s="10" t="inlineStr"/>
      <c r="E29" s="10" t="inlineStr"/>
    </row>
    <row r="30" ht="24" customHeight="1">
      <c r="B30" s="14" t="n">
        <v>17</v>
      </c>
      <c r="C30" s="15" t="inlineStr">
        <is>
          <t>MOUs and industry interactions — review</t>
        </is>
      </c>
      <c r="D30" s="16" t="inlineStr"/>
      <c r="E30" s="16" t="inlineStr"/>
    </row>
    <row r="31" ht="24" customHeight="1">
      <c r="B31" s="8" t="n">
        <v>18</v>
      </c>
      <c r="C31" s="9" t="inlineStr">
        <is>
          <t>Internship and placement — status</t>
        </is>
      </c>
      <c r="D31" s="10" t="inlineStr"/>
      <c r="E31" s="10" t="inlineStr"/>
    </row>
    <row r="32" ht="24" customHeight="1">
      <c r="B32" s="14" t="n">
        <v>19</v>
      </c>
      <c r="C32" s="15" t="inlineStr">
        <is>
          <t>Department infrastructure — lab and equipment update</t>
        </is>
      </c>
      <c r="D32" s="16" t="inlineStr"/>
      <c r="E32" s="16" t="inlineStr"/>
    </row>
    <row r="33" ht="24" customHeight="1">
      <c r="B33" s="8" t="n">
        <v>20</v>
      </c>
      <c r="C33" s="9" t="inlineStr">
        <is>
          <t>Student and alumni feedback — analysis and action</t>
        </is>
      </c>
      <c r="D33" s="10" t="inlineStr"/>
      <c r="E33" s="10" t="inlineStr"/>
    </row>
    <row r="34" ht="24" customHeight="1">
      <c r="B34" s="14" t="n">
        <v>21</v>
      </c>
      <c r="C34" s="15" t="inlineStr">
        <is>
          <t>NBA/NAAC data — compilation status</t>
        </is>
      </c>
      <c r="D34" s="16" t="inlineStr"/>
      <c r="E34" s="16" t="inlineStr"/>
    </row>
    <row r="35" ht="24" customHeight="1">
      <c r="B35" s="8" t="n">
        <v>22</v>
      </c>
      <c r="C35" s="9" t="inlineStr">
        <is>
          <t>Budget review — expenditure vs. allocation</t>
        </is>
      </c>
      <c r="D35" s="10" t="inlineStr"/>
      <c r="E35" s="10" t="inlineStr"/>
    </row>
    <row r="36" ht="24" customHeight="1">
      <c r="B36" s="14" t="n">
        <v>23</v>
      </c>
      <c r="C36" s="15" t="inlineStr">
        <is>
          <t>Any Other Matter with Permission of Chairperson (AOMPC)</t>
        </is>
      </c>
      <c r="D36" s="16" t="inlineStr"/>
      <c r="E36" s="16" t="inlineStr"/>
    </row>
    <row r="37" ht="24" customHeight="1"/>
    <row r="38" ht="24" customHeight="1">
      <c r="B38" s="20" t="inlineStr">
        <is>
          <t>DISPATCH RECORD</t>
        </is>
      </c>
    </row>
    <row r="39">
      <c r="B39" s="21" t="inlineStr">
        <is>
          <t>Sl.</t>
        </is>
      </c>
      <c r="C39" s="21" t="inlineStr">
        <is>
          <t>Member Name &amp; Role</t>
        </is>
      </c>
      <c r="D39" s="21" t="inlineStr">
        <is>
          <t>Mode</t>
        </is>
      </c>
      <c r="E39" s="21" t="inlineStr">
        <is>
          <t>Date &amp; Acknowledgement</t>
        </is>
      </c>
    </row>
    <row r="40" ht="22" customHeight="1">
      <c r="B40" s="22" t="n"/>
      <c r="C40" s="22" t="n"/>
      <c r="D40" s="22" t="n"/>
      <c r="E40" s="22" t="n"/>
    </row>
    <row r="41" ht="22" customHeight="1">
      <c r="B41" s="10" t="n"/>
      <c r="C41" s="10" t="n"/>
      <c r="D41" s="10" t="n"/>
      <c r="E41" s="10" t="n"/>
    </row>
    <row r="42" ht="22" customHeight="1">
      <c r="B42" s="22" t="n"/>
      <c r="C42" s="22" t="n"/>
      <c r="D42" s="22" t="n"/>
      <c r="E42" s="22" t="n"/>
    </row>
    <row r="43" ht="22" customHeight="1">
      <c r="B43" s="10" t="n"/>
      <c r="C43" s="10" t="n"/>
      <c r="D43" s="10" t="n"/>
      <c r="E43" s="10" t="n"/>
    </row>
  </sheetData>
  <mergeCells count="12">
    <mergeCell ref="C11:E11"/>
    <mergeCell ref="C5:E5"/>
    <mergeCell ref="B12:E12"/>
    <mergeCell ref="B38:E38"/>
    <mergeCell ref="C8:E8"/>
    <mergeCell ref="C9:E9"/>
    <mergeCell ref="C4:E4"/>
    <mergeCell ref="C3:E3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DDC: ATTENDANCE &amp; QUORUM REGISTER</t>
        </is>
      </c>
    </row>
    <row r="3" ht="25" customHeight="1">
      <c r="B3" s="2" t="inlineStr">
        <is>
          <t>Dept.: _______  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/>
    <row r="25" ht="24" customHeight="1">
      <c r="B25" s="20" t="inlineStr">
        <is>
          <t>QUORUM VERIFICATION</t>
        </is>
      </c>
    </row>
    <row r="26" ht="22" customHeight="1">
      <c r="B26" s="23" t="inlineStr">
        <is>
          <t>Total DDC Members</t>
        </is>
      </c>
      <c r="G26" s="24" t="inlineStr"/>
    </row>
    <row r="27" ht="22" customHeight="1">
      <c r="B27" s="25" t="inlineStr">
        <is>
          <t>Present (Physical)</t>
        </is>
      </c>
      <c r="G27" s="24">
        <f>COUNTIF(F5:F23,"P")</f>
        <v/>
      </c>
    </row>
    <row r="28">
      <c r="B28" s="23" t="inlineStr">
        <is>
          <t>Present (VC)</t>
        </is>
      </c>
      <c r="G28" s="24" t="inlineStr"/>
    </row>
    <row r="29">
      <c r="B29" s="25" t="inlineStr">
        <is>
          <t>Total Effective</t>
        </is>
      </c>
      <c r="G29" s="24">
        <f>IFERROR(C27+C28,"")</f>
        <v/>
      </c>
    </row>
    <row r="30">
      <c r="B30" s="23" t="inlineStr">
        <is>
          <t>Quorum Required (50%)</t>
        </is>
      </c>
      <c r="G30" s="24" t="inlineStr"/>
    </row>
    <row r="31">
      <c r="B31" s="25" t="inlineStr">
        <is>
          <t>Quorum Achieved?</t>
        </is>
      </c>
      <c r="G31" s="26">
        <f>IFERROR(IF(C29&gt;=C30,"YES — Meeting Valid","NO — Adjourned"),"")</f>
        <v/>
      </c>
    </row>
  </sheetData>
  <mergeCells count="15">
    <mergeCell ref="B30:F30"/>
    <mergeCell ref="B29:F29"/>
    <mergeCell ref="G28:I28"/>
    <mergeCell ref="G27:I27"/>
    <mergeCell ref="B25:I25"/>
    <mergeCell ref="B2:I2"/>
    <mergeCell ref="B28:F28"/>
    <mergeCell ref="G31:I31"/>
    <mergeCell ref="B3:I3"/>
    <mergeCell ref="B31:F31"/>
    <mergeCell ref="G26:I26"/>
    <mergeCell ref="G29:I29"/>
    <mergeCell ref="G30:I30"/>
    <mergeCell ref="B26:F26"/>
    <mergeCell ref="B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DDC: MEETING MINUTES &amp; RESOLUTIONS</t>
        </is>
      </c>
    </row>
    <row r="3" ht="25" customHeight="1">
      <c r="B3" s="2" t="inlineStr">
        <is>
          <t>Dept.: _______  Meeting No.: _______  Date: _______  HoD: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DDC/RES/001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DDC/RES/002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DDC/RES/003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DDC/RES/004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DDC/RES/005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DDC/RES/006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DDC/RES/007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DDC/RES/008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DDC/RES/009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DDC/RES/010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DDC/RES/011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DDC/RES/012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DDC/RES/013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DDC/RES/014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HoD: ___________________    DDC Coordinator: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DDC: ACTION TAKEN REPORT (ATR)</t>
        </is>
      </c>
    </row>
    <row r="3" ht="25" customHeight="1">
      <c r="B3" s="2" t="inlineStr">
        <is>
          <t>Dept.: _______  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DDC/RES/001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DDC/RES/002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DDC/RES/003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DDC/RES/004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DDC/RES/005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DDC/RES/006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DDC/RES/007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DDC/RES/008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DDC/RES/009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DDC/RES/010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DDC/RES/011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DDC/RES/012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DDC/RES/013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DDC/RES/014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4" t="inlineStr">
        <is>
          <t>ATR SUMMARY</t>
        </is>
      </c>
    </row>
    <row r="21" ht="26" customHeight="1">
      <c r="B21" s="35" t="inlineStr">
        <is>
          <t>Total Resolutions Under Review</t>
        </is>
      </c>
      <c r="F21" s="26">
        <f>COUNTA(B5:B18)</f>
        <v/>
      </c>
    </row>
    <row r="22" ht="26" customHeight="1">
      <c r="B22" s="25" t="inlineStr">
        <is>
          <t>Implemented</t>
        </is>
      </c>
      <c r="F22" s="36">
        <f>COUNTIF(H5:H18,"Implemented")</f>
        <v/>
      </c>
    </row>
    <row r="23" ht="26" customHeight="1">
      <c r="B23" s="35" t="inlineStr">
        <is>
          <t>In Progress</t>
        </is>
      </c>
      <c r="F23" s="26">
        <f>COUNTIF(H5:H18,"In Progress")</f>
        <v/>
      </c>
    </row>
    <row r="24">
      <c r="B24" s="25" t="inlineStr">
        <is>
          <t>Pending</t>
        </is>
      </c>
      <c r="F24" s="36">
        <f>COUNTIF(H5:H18,"Pending")</f>
        <v/>
      </c>
    </row>
    <row r="25">
      <c r="B25" s="35" t="inlineStr">
        <is>
          <t>Deferred</t>
        </is>
      </c>
      <c r="F25" s="26">
        <f>COUNTIF(H5:H18,"Deferred")</f>
        <v/>
      </c>
    </row>
    <row r="26">
      <c r="B26" s="25" t="inlineStr">
        <is>
          <t>Implementation Rate (%)</t>
        </is>
      </c>
      <c r="F26" s="36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52" customHeight="1">
      <c r="B2" s="12" t="inlineStr">
        <is>
          <t>DDC-02: DEPARTMENT ANNUAL DEVELOPMENT PLAN</t>
        </is>
      </c>
    </row>
    <row r="3" ht="25" customHeight="1">
      <c r="B3" s="2" t="inlineStr">
        <is>
          <t>Department: _______  A.Y.: _______  HoD: ___________________  Approved by: Principal  Date: _______</t>
        </is>
      </c>
    </row>
    <row r="4" ht="25" customHeight="1">
      <c r="B4" s="13" t="inlineStr">
        <is>
          <t>Sl.</t>
        </is>
      </c>
      <c r="C4" s="13" t="inlineStr">
        <is>
          <t>Development Goal / Activity</t>
        </is>
      </c>
      <c r="D4" s="13" t="inlineStr">
        <is>
          <t>Area</t>
        </is>
      </c>
      <c r="E4" s="13" t="inlineStr">
        <is>
          <t>Target
Q1</t>
        </is>
      </c>
      <c r="F4" s="13" t="inlineStr">
        <is>
          <t>Target
Q2</t>
        </is>
      </c>
      <c r="G4" s="13" t="inlineStr">
        <is>
          <t>Target
Q3</t>
        </is>
      </c>
      <c r="H4" s="13" t="inlineStr">
        <is>
          <t>Target
Q4</t>
        </is>
      </c>
      <c r="I4" s="13" t="inlineStr">
        <is>
          <t>Responsible</t>
        </is>
      </c>
      <c r="J4" s="13" t="inlineStr">
        <is>
          <t>Status</t>
        </is>
      </c>
    </row>
    <row r="5" ht="24" customHeight="1">
      <c r="B5" s="19" t="inlineStr">
        <is>
          <t>ACADEMIC DEVELOPMENT</t>
        </is>
      </c>
    </row>
    <row r="6" ht="24" customHeight="1">
      <c r="B6" s="14" t="n">
        <v>1</v>
      </c>
      <c r="C6" s="15" t="inlineStr">
        <is>
          <t>BoS meeting and curriculum review</t>
        </is>
      </c>
      <c r="D6" s="16" t="inlineStr">
        <is>
          <t>Curriculum</t>
        </is>
      </c>
      <c r="E6" s="16" t="inlineStr"/>
      <c r="F6" s="16" t="inlineStr"/>
      <c r="G6" s="16" t="inlineStr"/>
      <c r="H6" s="16" t="inlineStr"/>
      <c r="I6" s="15" t="inlineStr"/>
      <c r="J6" s="16" t="inlineStr">
        <is>
          <t>Planned</t>
        </is>
      </c>
    </row>
    <row r="7" ht="24" customHeight="1">
      <c r="B7" s="8" t="n">
        <v>2</v>
      </c>
      <c r="C7" s="9" t="inlineStr">
        <is>
          <t>New elective / value-added course introduction</t>
        </is>
      </c>
      <c r="D7" s="10" t="inlineStr">
        <is>
          <t>Curriculum</t>
        </is>
      </c>
      <c r="E7" s="10" t="inlineStr"/>
      <c r="F7" s="10" t="inlineStr"/>
      <c r="G7" s="10" t="inlineStr"/>
      <c r="H7" s="10" t="inlineStr"/>
      <c r="I7" s="9" t="inlineStr"/>
      <c r="J7" s="10" t="inlineStr">
        <is>
          <t>Planned</t>
        </is>
      </c>
    </row>
    <row r="8" ht="24" customHeight="1">
      <c r="B8" s="14" t="n">
        <v>3</v>
      </c>
      <c r="C8" s="15" t="inlineStr">
        <is>
          <t>CO-PO mapping review and update</t>
        </is>
      </c>
      <c r="D8" s="16" t="inlineStr">
        <is>
          <t>OBE</t>
        </is>
      </c>
      <c r="E8" s="16" t="inlineStr"/>
      <c r="F8" s="16" t="inlineStr"/>
      <c r="G8" s="16" t="inlineStr"/>
      <c r="H8" s="16" t="inlineStr"/>
      <c r="I8" s="15" t="inlineStr"/>
      <c r="J8" s="16" t="inlineStr">
        <is>
          <t>Planned</t>
        </is>
      </c>
    </row>
    <row r="9" ht="24" customHeight="1">
      <c r="B9" s="8" t="n">
        <v>4</v>
      </c>
      <c r="C9" s="9" t="inlineStr">
        <is>
          <t>Teaching plan submission — 100% on time</t>
        </is>
      </c>
      <c r="D9" s="10" t="inlineStr">
        <is>
          <t>T-L</t>
        </is>
      </c>
      <c r="E9" s="10" t="inlineStr"/>
      <c r="F9" s="10" t="inlineStr"/>
      <c r="G9" s="10" t="inlineStr"/>
      <c r="H9" s="10" t="inlineStr"/>
      <c r="I9" s="9" t="inlineStr"/>
      <c r="J9" s="10" t="inlineStr">
        <is>
          <t>Planned</t>
        </is>
      </c>
    </row>
    <row r="10" ht="24" customHeight="1">
      <c r="B10" s="14" t="n">
        <v>5</v>
      </c>
      <c r="C10" s="15" t="inlineStr">
        <is>
          <t>ICT integration in ≥40% of classes</t>
        </is>
      </c>
      <c r="D10" s="16" t="inlineStr">
        <is>
          <t>T-L Innovation</t>
        </is>
      </c>
      <c r="E10" s="16" t="inlineStr"/>
      <c r="F10" s="16" t="inlineStr"/>
      <c r="G10" s="16" t="inlineStr"/>
      <c r="H10" s="16" t="inlineStr"/>
      <c r="I10" s="15" t="inlineStr"/>
      <c r="J10" s="16" t="inlineStr">
        <is>
          <t>Planned</t>
        </is>
      </c>
    </row>
    <row r="11" ht="24" customHeight="1">
      <c r="B11" s="8" t="n">
        <v>6</v>
      </c>
      <c r="C11" s="9" t="inlineStr">
        <is>
          <t>Guest lecture series — ≥8 per year</t>
        </is>
      </c>
      <c r="D11" s="10" t="inlineStr">
        <is>
          <t>Industry Linkage</t>
        </is>
      </c>
      <c r="E11" s="10" t="inlineStr"/>
      <c r="F11" s="10" t="inlineStr"/>
      <c r="G11" s="10" t="inlineStr"/>
      <c r="H11" s="10" t="inlineStr"/>
      <c r="I11" s="9" t="inlineStr"/>
      <c r="J11" s="10" t="inlineStr">
        <is>
          <t>Planned</t>
        </is>
      </c>
    </row>
    <row r="12" ht="24" customHeight="1"/>
    <row r="13" ht="24" customHeight="1">
      <c r="B13" s="37" t="inlineStr">
        <is>
          <t>STUDENT DEVELOPMENT</t>
        </is>
      </c>
    </row>
    <row r="14" ht="24" customHeight="1">
      <c r="B14" s="38" t="n">
        <v>7</v>
      </c>
      <c r="C14" s="39" t="inlineStr">
        <is>
          <t>Student pass % target — ≥80%</t>
        </is>
      </c>
      <c r="D14" s="40" t="inlineStr">
        <is>
          <t>Academic Performance</t>
        </is>
      </c>
      <c r="E14" s="40" t="inlineStr"/>
      <c r="F14" s="40" t="inlineStr"/>
      <c r="G14" s="40" t="inlineStr"/>
      <c r="H14" s="40" t="inlineStr"/>
      <c r="I14" s="39" t="inlineStr"/>
      <c r="J14" s="40" t="inlineStr">
        <is>
          <t>Planned</t>
        </is>
      </c>
    </row>
    <row r="15" ht="24" customHeight="1">
      <c r="B15" s="8" t="n">
        <v>8</v>
      </c>
      <c r="C15" s="9" t="inlineStr">
        <is>
          <t>Reduce backlog students to &lt; 10%</t>
        </is>
      </c>
      <c r="D15" s="10" t="inlineStr">
        <is>
          <t>Academic Performance</t>
        </is>
      </c>
      <c r="E15" s="10" t="inlineStr"/>
      <c r="F15" s="10" t="inlineStr"/>
      <c r="G15" s="10" t="inlineStr"/>
      <c r="H15" s="10" t="inlineStr"/>
      <c r="I15" s="9" t="inlineStr"/>
      <c r="J15" s="10" t="inlineStr">
        <is>
          <t>Planned</t>
        </is>
      </c>
    </row>
    <row r="16" ht="24" customHeight="1">
      <c r="B16" s="38" t="n">
        <v>9</v>
      </c>
      <c r="C16" s="39" t="inlineStr">
        <is>
          <t>Student attendance ≥ 75% across all courses</t>
        </is>
      </c>
      <c r="D16" s="40" t="inlineStr">
        <is>
          <t>Attendance</t>
        </is>
      </c>
      <c r="E16" s="40" t="inlineStr"/>
      <c r="F16" s="40" t="inlineStr"/>
      <c r="G16" s="40" t="inlineStr"/>
      <c r="H16" s="40" t="inlineStr"/>
      <c r="I16" s="39" t="inlineStr"/>
      <c r="J16" s="40" t="inlineStr">
        <is>
          <t>Planned</t>
        </is>
      </c>
    </row>
    <row r="17" ht="24" customHeight="1">
      <c r="B17" s="8" t="n">
        <v>10</v>
      </c>
      <c r="C17" s="9" t="inlineStr">
        <is>
          <t>Final year project quality improvement</t>
        </is>
      </c>
      <c r="D17" s="10" t="inlineStr">
        <is>
          <t>Research</t>
        </is>
      </c>
      <c r="E17" s="10" t="inlineStr"/>
      <c r="F17" s="10" t="inlineStr"/>
      <c r="G17" s="10" t="inlineStr"/>
      <c r="H17" s="10" t="inlineStr"/>
      <c r="I17" s="9" t="inlineStr"/>
      <c r="J17" s="10" t="inlineStr">
        <is>
          <t>Planned</t>
        </is>
      </c>
    </row>
    <row r="18" ht="24" customHeight="1">
      <c r="B18" s="38" t="n">
        <v>11</v>
      </c>
      <c r="C18" s="39" t="inlineStr">
        <is>
          <t>Student achievement in competitions — ≥5 awards</t>
        </is>
      </c>
      <c r="D18" s="40" t="inlineStr">
        <is>
          <t>Co-curricular</t>
        </is>
      </c>
      <c r="E18" s="40" t="inlineStr"/>
      <c r="F18" s="40" t="inlineStr"/>
      <c r="G18" s="40" t="inlineStr"/>
      <c r="H18" s="40" t="inlineStr"/>
      <c r="I18" s="39" t="inlineStr"/>
      <c r="J18" s="40" t="inlineStr">
        <is>
          <t>Planned</t>
        </is>
      </c>
    </row>
    <row r="19" ht="24" customHeight="1">
      <c r="B19" s="8" t="n">
        <v>12</v>
      </c>
      <c r="C19" s="9" t="inlineStr">
        <is>
          <t>Placement rate — ≥70% of eligible</t>
        </is>
      </c>
      <c r="D19" s="10" t="inlineStr">
        <is>
          <t>Placement</t>
        </is>
      </c>
      <c r="E19" s="10" t="inlineStr"/>
      <c r="F19" s="10" t="inlineStr"/>
      <c r="G19" s="10" t="inlineStr"/>
      <c r="H19" s="10" t="inlineStr"/>
      <c r="I19" s="9" t="inlineStr"/>
      <c r="J19" s="10" t="inlineStr">
        <is>
          <t>Planned</t>
        </is>
      </c>
    </row>
    <row r="20" ht="24" customHeight="1"/>
    <row r="21" ht="24" customHeight="1">
      <c r="B21" s="34" t="inlineStr">
        <is>
          <t>FACULTY DEVELOPMENT</t>
        </is>
      </c>
    </row>
    <row r="22" ht="24" customHeight="1">
      <c r="B22" s="31" t="n">
        <v>13</v>
      </c>
      <c r="C22" s="32" t="inlineStr">
        <is>
          <t>All faculty to attend min. 1 FDP / year</t>
        </is>
      </c>
      <c r="D22" s="33" t="inlineStr">
        <is>
          <t>FDP</t>
        </is>
      </c>
      <c r="E22" s="33" t="inlineStr"/>
      <c r="F22" s="33" t="inlineStr"/>
      <c r="G22" s="33" t="inlineStr"/>
      <c r="H22" s="33" t="inlineStr"/>
      <c r="I22" s="32" t="inlineStr"/>
      <c r="J22" s="33" t="inlineStr">
        <is>
          <t>Planned</t>
        </is>
      </c>
    </row>
    <row r="23" ht="24" customHeight="1">
      <c r="B23" s="8" t="n">
        <v>14</v>
      </c>
      <c r="C23" s="9" t="inlineStr">
        <is>
          <t>Research publications — ≥2 per faculty</t>
        </is>
      </c>
      <c r="D23" s="10" t="inlineStr">
        <is>
          <t>Research</t>
        </is>
      </c>
      <c r="E23" s="10" t="inlineStr"/>
      <c r="F23" s="10" t="inlineStr"/>
      <c r="G23" s="10" t="inlineStr"/>
      <c r="H23" s="10" t="inlineStr"/>
      <c r="I23" s="9" t="inlineStr"/>
      <c r="J23" s="10" t="inlineStr">
        <is>
          <t>Planned</t>
        </is>
      </c>
    </row>
    <row r="24" ht="24" customHeight="1">
      <c r="B24" s="31" t="n">
        <v>15</v>
      </c>
      <c r="C24" s="32" t="inlineStr">
        <is>
          <t>Ph.D. completion — faculty pursuing</t>
        </is>
      </c>
      <c r="D24" s="33" t="inlineStr">
        <is>
          <t>Research</t>
        </is>
      </c>
      <c r="E24" s="33" t="inlineStr"/>
      <c r="F24" s="33" t="inlineStr"/>
      <c r="G24" s="33" t="inlineStr"/>
      <c r="H24" s="33" t="inlineStr"/>
      <c r="I24" s="32" t="inlineStr"/>
      <c r="J24" s="33" t="inlineStr">
        <is>
          <t>Planned</t>
        </is>
      </c>
    </row>
    <row r="25" ht="24" customHeight="1">
      <c r="B25" s="8" t="n">
        <v>16</v>
      </c>
      <c r="C25" s="9" t="inlineStr">
        <is>
          <t>Industry certification for ≥3 faculty</t>
        </is>
      </c>
      <c r="D25" s="10" t="inlineStr">
        <is>
          <t>Skill</t>
        </is>
      </c>
      <c r="E25" s="10" t="inlineStr"/>
      <c r="F25" s="10" t="inlineStr"/>
      <c r="G25" s="10" t="inlineStr"/>
      <c r="H25" s="10" t="inlineStr"/>
      <c r="I25" s="9" t="inlineStr"/>
      <c r="J25" s="10" t="inlineStr">
        <is>
          <t>Planned</t>
        </is>
      </c>
    </row>
    <row r="26" ht="24" customHeight="1">
      <c r="B26" s="31" t="n">
        <v>17</v>
      </c>
      <c r="C26" s="32" t="inlineStr">
        <is>
          <t>Faculty appraisal completed on time</t>
        </is>
      </c>
      <c r="D26" s="33" t="inlineStr">
        <is>
          <t>Performance</t>
        </is>
      </c>
      <c r="E26" s="33" t="inlineStr"/>
      <c r="F26" s="33" t="inlineStr"/>
      <c r="G26" s="33" t="inlineStr"/>
      <c r="H26" s="33" t="inlineStr"/>
      <c r="I26" s="32" t="inlineStr"/>
      <c r="J26" s="33" t="inlineStr">
        <is>
          <t>Planned</t>
        </is>
      </c>
    </row>
    <row r="27" ht="24" customHeight="1">
      <c r="B27" s="8" t="n">
        <v>18</v>
      </c>
      <c r="C27" s="9" t="inlineStr">
        <is>
          <t>New faculty recruitment (if vacancy)</t>
        </is>
      </c>
      <c r="D27" s="10" t="inlineStr">
        <is>
          <t>HR</t>
        </is>
      </c>
      <c r="E27" s="10" t="inlineStr"/>
      <c r="F27" s="10" t="inlineStr"/>
      <c r="G27" s="10" t="inlineStr"/>
      <c r="H27" s="10" t="inlineStr"/>
      <c r="I27" s="9" t="inlineStr"/>
      <c r="J27" s="10" t="inlineStr">
        <is>
          <t>Planned</t>
        </is>
      </c>
    </row>
    <row r="28" ht="24" customHeight="1"/>
    <row r="29" ht="24" customHeight="1">
      <c r="B29" s="41" t="inlineStr">
        <is>
          <t>RESEARCH &amp; INNOVATION</t>
        </is>
      </c>
    </row>
    <row r="30" ht="24" customHeight="1">
      <c r="B30" s="42" t="n">
        <v>19</v>
      </c>
      <c r="C30" s="43" t="inlineStr">
        <is>
          <t>Funded research project applications — ≥2</t>
        </is>
      </c>
      <c r="D30" s="44" t="inlineStr">
        <is>
          <t>R&amp;D</t>
        </is>
      </c>
      <c r="E30" s="44" t="inlineStr"/>
      <c r="F30" s="44" t="inlineStr"/>
      <c r="G30" s="44" t="inlineStr"/>
      <c r="H30" s="44" t="inlineStr"/>
      <c r="I30" s="43" t="inlineStr"/>
      <c r="J30" s="44" t="inlineStr">
        <is>
          <t>Planned</t>
        </is>
      </c>
    </row>
    <row r="31" ht="24" customHeight="1">
      <c r="B31" s="8" t="n">
        <v>20</v>
      </c>
      <c r="C31" s="9" t="inlineStr">
        <is>
          <t>Patent applications — ≥1</t>
        </is>
      </c>
      <c r="D31" s="10" t="inlineStr">
        <is>
          <t>IPR</t>
        </is>
      </c>
      <c r="E31" s="10" t="inlineStr"/>
      <c r="F31" s="10" t="inlineStr"/>
      <c r="G31" s="10" t="inlineStr"/>
      <c r="H31" s="10" t="inlineStr"/>
      <c r="I31" s="9" t="inlineStr"/>
      <c r="J31" s="10" t="inlineStr">
        <is>
          <t>Planned</t>
        </is>
      </c>
    </row>
    <row r="32" ht="24" customHeight="1">
      <c r="B32" s="42" t="n">
        <v>21</v>
      </c>
      <c r="C32" s="43" t="inlineStr">
        <is>
          <t>Consultancy / testing revenue target (₹L)</t>
        </is>
      </c>
      <c r="D32" s="44" t="inlineStr">
        <is>
          <t>Consultancy</t>
        </is>
      </c>
      <c r="E32" s="44" t="inlineStr"/>
      <c r="F32" s="44" t="inlineStr"/>
      <c r="G32" s="44" t="inlineStr"/>
      <c r="H32" s="44" t="inlineStr"/>
      <c r="I32" s="43" t="inlineStr"/>
      <c r="J32" s="44" t="inlineStr">
        <is>
          <t>Planned</t>
        </is>
      </c>
    </row>
    <row r="33" ht="24" customHeight="1">
      <c r="B33" s="8" t="n">
        <v>22</v>
      </c>
      <c r="C33" s="9" t="inlineStr">
        <is>
          <t>Industry MOU — new / renewal</t>
        </is>
      </c>
      <c r="D33" s="10" t="inlineStr">
        <is>
          <t>Industry</t>
        </is>
      </c>
      <c r="E33" s="10" t="inlineStr"/>
      <c r="F33" s="10" t="inlineStr"/>
      <c r="G33" s="10" t="inlineStr"/>
      <c r="H33" s="10" t="inlineStr"/>
      <c r="I33" s="9" t="inlineStr"/>
      <c r="J33" s="10" t="inlineStr">
        <is>
          <t>Planned</t>
        </is>
      </c>
    </row>
    <row r="34" ht="24" customHeight="1">
      <c r="B34" s="42" t="n">
        <v>23</v>
      </c>
      <c r="C34" s="43" t="inlineStr">
        <is>
          <t>Conference organisation / student paper — ≥5</t>
        </is>
      </c>
      <c r="D34" s="44" t="inlineStr">
        <is>
          <t>Research</t>
        </is>
      </c>
      <c r="E34" s="44" t="inlineStr"/>
      <c r="F34" s="44" t="inlineStr"/>
      <c r="G34" s="44" t="inlineStr"/>
      <c r="H34" s="44" t="inlineStr"/>
      <c r="I34" s="43" t="inlineStr"/>
      <c r="J34" s="44" t="inlineStr">
        <is>
          <t>Planned</t>
        </is>
      </c>
    </row>
    <row r="35" ht="24" customHeight="1">
      <c r="B35" s="8" t="n">
        <v>24</v>
      </c>
      <c r="C35" s="9" t="inlineStr">
        <is>
          <t>Student innovation project showcase</t>
        </is>
      </c>
      <c r="D35" s="10" t="inlineStr">
        <is>
          <t>Innovation</t>
        </is>
      </c>
      <c r="E35" s="10" t="inlineStr"/>
      <c r="F35" s="10" t="inlineStr"/>
      <c r="G35" s="10" t="inlineStr"/>
      <c r="H35" s="10" t="inlineStr"/>
      <c r="I35" s="9" t="inlineStr"/>
      <c r="J35" s="10" t="inlineStr">
        <is>
          <t>Planned</t>
        </is>
      </c>
    </row>
    <row r="36" ht="24" customHeight="1"/>
    <row r="37" ht="24" customHeight="1">
      <c r="B37" s="20" t="inlineStr">
        <is>
          <t>INFRASTRUCTURE &amp; RESOURCES</t>
        </is>
      </c>
    </row>
    <row r="38" ht="24" customHeight="1">
      <c r="B38" s="45" t="n">
        <v>25</v>
      </c>
      <c r="C38" s="46" t="inlineStr">
        <is>
          <t>Lab equipment addition / upgrade — ≥1 major</t>
        </is>
      </c>
      <c r="D38" s="22" t="inlineStr">
        <is>
          <t>Lab</t>
        </is>
      </c>
      <c r="E38" s="22" t="inlineStr"/>
      <c r="F38" s="22" t="inlineStr"/>
      <c r="G38" s="22" t="inlineStr"/>
      <c r="H38" s="22" t="inlineStr"/>
      <c r="I38" s="46" t="inlineStr"/>
      <c r="J38" s="22" t="inlineStr">
        <is>
          <t>Planned</t>
        </is>
      </c>
    </row>
    <row r="39" ht="24" customHeight="1">
      <c r="B39" s="8" t="n">
        <v>26</v>
      </c>
      <c r="C39" s="9" t="inlineStr">
        <is>
          <t>New software licence / tool for dept.</t>
        </is>
      </c>
      <c r="D39" s="10" t="inlineStr">
        <is>
          <t>ICT</t>
        </is>
      </c>
      <c r="E39" s="10" t="inlineStr"/>
      <c r="F39" s="10" t="inlineStr"/>
      <c r="G39" s="10" t="inlineStr"/>
      <c r="H39" s="10" t="inlineStr"/>
      <c r="I39" s="9" t="inlineStr"/>
      <c r="J39" s="10" t="inlineStr">
        <is>
          <t>Planned</t>
        </is>
      </c>
    </row>
    <row r="40" ht="24" customHeight="1">
      <c r="B40" s="45" t="n">
        <v>27</v>
      </c>
      <c r="C40" s="46" t="inlineStr">
        <is>
          <t>Department library resource addition</t>
        </is>
      </c>
      <c r="D40" s="22" t="inlineStr">
        <is>
          <t>Library</t>
        </is>
      </c>
      <c r="E40" s="22" t="inlineStr"/>
      <c r="F40" s="22" t="inlineStr"/>
      <c r="G40" s="22" t="inlineStr"/>
      <c r="H40" s="22" t="inlineStr"/>
      <c r="I40" s="46" t="inlineStr"/>
      <c r="J40" s="22" t="inlineStr">
        <is>
          <t>Planned</t>
        </is>
      </c>
    </row>
    <row r="41" ht="24" customHeight="1">
      <c r="B41" s="8" t="n">
        <v>28</v>
      </c>
      <c r="C41" s="9" t="inlineStr">
        <is>
          <t>Equipment AMC renewals on time</t>
        </is>
      </c>
      <c r="D41" s="10" t="inlineStr">
        <is>
          <t>Maintenance</t>
        </is>
      </c>
      <c r="E41" s="10" t="inlineStr"/>
      <c r="F41" s="10" t="inlineStr"/>
      <c r="G41" s="10" t="inlineStr"/>
      <c r="H41" s="10" t="inlineStr"/>
      <c r="I41" s="9" t="inlineStr"/>
      <c r="J41" s="10" t="inlineStr">
        <is>
          <t>Planned</t>
        </is>
      </c>
    </row>
    <row r="42" ht="24" customHeight="1">
      <c r="B42" s="45" t="n">
        <v>29</v>
      </c>
      <c r="C42" s="46" t="inlineStr">
        <is>
          <t>Energy efficiency improvement in labs</t>
        </is>
      </c>
      <c r="D42" s="22" t="inlineStr">
        <is>
          <t>Sustainability</t>
        </is>
      </c>
      <c r="E42" s="22" t="inlineStr"/>
      <c r="F42" s="22" t="inlineStr"/>
      <c r="G42" s="22" t="inlineStr"/>
      <c r="H42" s="22" t="inlineStr"/>
      <c r="I42" s="46" t="inlineStr"/>
      <c r="J42" s="22" t="inlineStr">
        <is>
          <t>Planned</t>
        </is>
      </c>
    </row>
    <row r="43" ht="24" customHeight="1">
      <c r="B43" s="8" t="n">
        <v>30</v>
      </c>
      <c r="C43" s="9" t="inlineStr">
        <is>
          <t>Department website content update</t>
        </is>
      </c>
      <c r="D43" s="10" t="inlineStr">
        <is>
          <t>Digital</t>
        </is>
      </c>
      <c r="E43" s="10" t="inlineStr"/>
      <c r="F43" s="10" t="inlineStr"/>
      <c r="G43" s="10" t="inlineStr"/>
      <c r="H43" s="10" t="inlineStr"/>
      <c r="I43" s="9" t="inlineStr"/>
      <c r="J43" s="10" t="inlineStr">
        <is>
          <t>Planned</t>
        </is>
      </c>
    </row>
    <row r="44" ht="24" customHeight="1"/>
    <row r="45" ht="24" customHeight="1">
      <c r="B45" s="27" t="inlineStr">
        <is>
          <t>ACCREDITATION &amp; QUALITY</t>
        </is>
      </c>
    </row>
    <row r="46" ht="24" customHeight="1">
      <c r="B46" s="47" t="n">
        <v>31</v>
      </c>
      <c r="C46" s="48" t="inlineStr">
        <is>
          <t>NBA SAR data compilation — on time</t>
        </is>
      </c>
      <c r="D46" s="49" t="inlineStr">
        <is>
          <t>NBA</t>
        </is>
      </c>
      <c r="E46" s="49" t="inlineStr"/>
      <c r="F46" s="49" t="inlineStr"/>
      <c r="G46" s="49" t="inlineStr"/>
      <c r="H46" s="49" t="inlineStr"/>
      <c r="I46" s="48" t="inlineStr"/>
      <c r="J46" s="49" t="inlineStr">
        <is>
          <t>Planned</t>
        </is>
      </c>
    </row>
    <row r="47" ht="24" customHeight="1">
      <c r="B47" s="8" t="n">
        <v>32</v>
      </c>
      <c r="C47" s="9" t="inlineStr">
        <is>
          <t>NAAC AQAR data submission</t>
        </is>
      </c>
      <c r="D47" s="10" t="inlineStr">
        <is>
          <t>NAAC</t>
        </is>
      </c>
      <c r="E47" s="10" t="inlineStr"/>
      <c r="F47" s="10" t="inlineStr"/>
      <c r="G47" s="10" t="inlineStr"/>
      <c r="H47" s="10" t="inlineStr"/>
      <c r="I47" s="9" t="inlineStr"/>
      <c r="J47" s="10" t="inlineStr">
        <is>
          <t>Planned</t>
        </is>
      </c>
    </row>
    <row r="48" ht="24" customHeight="1">
      <c r="B48" s="47" t="n">
        <v>33</v>
      </c>
      <c r="C48" s="48" t="inlineStr">
        <is>
          <t>Academic audit — all parameters ≥3.5</t>
        </is>
      </c>
      <c r="D48" s="49" t="inlineStr">
        <is>
          <t>Internal Quality</t>
        </is>
      </c>
      <c r="E48" s="49" t="inlineStr"/>
      <c r="F48" s="49" t="inlineStr"/>
      <c r="G48" s="49" t="inlineStr"/>
      <c r="H48" s="49" t="inlineStr"/>
      <c r="I48" s="48" t="inlineStr"/>
      <c r="J48" s="49" t="inlineStr">
        <is>
          <t>Planned</t>
        </is>
      </c>
    </row>
    <row r="49" ht="24" customHeight="1">
      <c r="B49" s="8" t="n">
        <v>34</v>
      </c>
      <c r="C49" s="9" t="inlineStr">
        <is>
          <t>Feedback analysis and action taken</t>
        </is>
      </c>
      <c r="D49" s="10" t="inlineStr">
        <is>
          <t>Quality</t>
        </is>
      </c>
      <c r="E49" s="10" t="inlineStr"/>
      <c r="F49" s="10" t="inlineStr"/>
      <c r="G49" s="10" t="inlineStr"/>
      <c r="H49" s="10" t="inlineStr"/>
      <c r="I49" s="9" t="inlineStr"/>
      <c r="J49" s="10" t="inlineStr">
        <is>
          <t>Planned</t>
        </is>
      </c>
    </row>
    <row r="50" ht="24" customHeight="1">
      <c r="B50" s="47" t="n">
        <v>35</v>
      </c>
      <c r="C50" s="48" t="inlineStr">
        <is>
          <t>Best practice documentation — ≥1</t>
        </is>
      </c>
      <c r="D50" s="49" t="inlineStr">
        <is>
          <t>Quality</t>
        </is>
      </c>
      <c r="E50" s="49" t="inlineStr"/>
      <c r="F50" s="49" t="inlineStr"/>
      <c r="G50" s="49" t="inlineStr"/>
      <c r="H50" s="49" t="inlineStr"/>
      <c r="I50" s="48" t="inlineStr"/>
      <c r="J50" s="49" t="inlineStr">
        <is>
          <t>Planned</t>
        </is>
      </c>
    </row>
    <row r="51" ht="24" customHeight="1">
      <c r="B51" s="8" t="n">
        <v>36</v>
      </c>
      <c r="C51" s="9" t="inlineStr">
        <is>
          <t>Department annual report — submitted</t>
        </is>
      </c>
      <c r="D51" s="10" t="inlineStr">
        <is>
          <t>Reporting</t>
        </is>
      </c>
      <c r="E51" s="10" t="inlineStr"/>
      <c r="F51" s="10" t="inlineStr"/>
      <c r="G51" s="10" t="inlineStr"/>
      <c r="H51" s="10" t="inlineStr"/>
      <c r="I51" s="9" t="inlineStr"/>
      <c r="J51" s="10" t="inlineStr">
        <is>
          <t>Planned</t>
        </is>
      </c>
    </row>
    <row r="53">
      <c r="B53" s="29" t="inlineStr">
        <is>
          <t>HoD Signature: ___________________    Principal Approval: ___________________    IQAC Coordinator: ___________________    Date: ___________________</t>
        </is>
      </c>
    </row>
  </sheetData>
  <mergeCells count="9">
    <mergeCell ref="B29:J29"/>
    <mergeCell ref="B3:J3"/>
    <mergeCell ref="B5:J5"/>
    <mergeCell ref="B37:J37"/>
    <mergeCell ref="B45:J45"/>
    <mergeCell ref="B53:J53"/>
    <mergeCell ref="B13:J13"/>
    <mergeCell ref="B21:J21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DDC-08: COURSE OUTCOME (CO) ATTAINMENT CALCULATION REGISTER</t>
        </is>
      </c>
    </row>
    <row r="3" ht="20" customHeight="1">
      <c r="B3" s="2" t="inlineStr">
        <is>
          <t>Department: _______  Semester: _______  A.Y.: _______  NBA Ref.: Criterion 4.2</t>
        </is>
      </c>
    </row>
    <row r="4" ht="20" customHeight="1">
      <c r="B4" s="17" t="inlineStr">
        <is>
          <t>CO Attainment = (Direct Attainment × 0.7) + (Indirect Attainment × 0.3). Direct: CIE + SEE marks. Indirect: Student feedback survey. Target: CO attainment ≥ 2 (on 3-point scale) for ≥60% of students.</t>
        </is>
      </c>
    </row>
    <row r="5" ht="22" customHeight="1">
      <c r="B5" s="13" t="inlineStr">
        <is>
          <t>Course
Code</t>
        </is>
      </c>
      <c r="C5" s="13" t="inlineStr">
        <is>
          <t>Course Name</t>
        </is>
      </c>
      <c r="D5" s="13" t="inlineStr">
        <is>
          <t>Faculty</t>
        </is>
      </c>
      <c r="E5" s="13" t="inlineStr">
        <is>
          <t>CO1
Attain.</t>
        </is>
      </c>
      <c r="F5" s="13" t="inlineStr">
        <is>
          <t>CO2
Attain.</t>
        </is>
      </c>
      <c r="G5" s="13" t="inlineStr">
        <is>
          <t>CO3
Attain.</t>
        </is>
      </c>
      <c r="H5" s="13" t="inlineStr">
        <is>
          <t>CO4
Attain.</t>
        </is>
      </c>
      <c r="I5" s="13" t="inlineStr">
        <is>
          <t>CO5
Attain.</t>
        </is>
      </c>
      <c r="J5" s="13" t="inlineStr">
        <is>
          <t>CO6
Attain.</t>
        </is>
      </c>
      <c r="K5" s="13" t="inlineStr">
        <is>
          <t>Avg CO
Attain.</t>
        </is>
      </c>
      <c r="L5" s="13" t="inlineStr">
        <is>
          <t>Status</t>
        </is>
      </c>
    </row>
    <row r="6" ht="22" customHeight="1">
      <c r="B6" s="16" t="inlineStr"/>
      <c r="C6" s="15" t="inlineStr"/>
      <c r="D6" s="15" t="inlineStr"/>
      <c r="E6" s="16" t="inlineStr"/>
      <c r="F6" s="16" t="inlineStr"/>
      <c r="G6" s="16" t="inlineStr"/>
      <c r="H6" s="16" t="inlineStr"/>
      <c r="I6" s="16" t="inlineStr"/>
      <c r="J6" s="16" t="inlineStr"/>
      <c r="K6" s="26">
        <f>IFERROR(ROUND(AVERAGE(E6:J6),2),"")</f>
        <v/>
      </c>
      <c r="L6" s="16">
        <f>IFERROR(IF(K6&gt;=2,"Attained","Not Attained — Review"),"")</f>
        <v/>
      </c>
    </row>
    <row r="7" ht="22" customHeight="1">
      <c r="B7" s="10" t="inlineStr"/>
      <c r="C7" s="9" t="inlineStr"/>
      <c r="D7" s="9" t="inlineStr"/>
      <c r="E7" s="10" t="inlineStr"/>
      <c r="F7" s="10" t="inlineStr"/>
      <c r="G7" s="10" t="inlineStr"/>
      <c r="H7" s="10" t="inlineStr"/>
      <c r="I7" s="10" t="inlineStr"/>
      <c r="J7" s="10" t="inlineStr"/>
      <c r="K7" s="36">
        <f>IFERROR(ROUND(AVERAGE(E7:J7),2),"")</f>
        <v/>
      </c>
      <c r="L7" s="10">
        <f>IFERROR(IF(K7&gt;=2,"Attained","Not Attained — Review"),"")</f>
        <v/>
      </c>
    </row>
    <row r="8" ht="22" customHeight="1">
      <c r="B8" s="16" t="inlineStr"/>
      <c r="C8" s="15" t="inlineStr"/>
      <c r="D8" s="15" t="inlineStr"/>
      <c r="E8" s="16" t="inlineStr"/>
      <c r="F8" s="16" t="inlineStr"/>
      <c r="G8" s="16" t="inlineStr"/>
      <c r="H8" s="16" t="inlineStr"/>
      <c r="I8" s="16" t="inlineStr"/>
      <c r="J8" s="16" t="inlineStr"/>
      <c r="K8" s="26">
        <f>IFERROR(ROUND(AVERAGE(E8:J8),2),"")</f>
        <v/>
      </c>
      <c r="L8" s="16">
        <f>IFERROR(IF(K8&gt;=2,"Attained","Not Attained — Review"),"")</f>
        <v/>
      </c>
    </row>
    <row r="9" ht="22" customHeight="1">
      <c r="B9" s="10" t="inlineStr"/>
      <c r="C9" s="9" t="inlineStr"/>
      <c r="D9" s="9" t="inlineStr"/>
      <c r="E9" s="10" t="inlineStr"/>
      <c r="F9" s="10" t="inlineStr"/>
      <c r="G9" s="10" t="inlineStr"/>
      <c r="H9" s="10" t="inlineStr"/>
      <c r="I9" s="10" t="inlineStr"/>
      <c r="J9" s="10" t="inlineStr"/>
      <c r="K9" s="36">
        <f>IFERROR(ROUND(AVERAGE(E9:J9),2),"")</f>
        <v/>
      </c>
      <c r="L9" s="10">
        <f>IFERROR(IF(K9&gt;=2,"Attained","Not Attained — Review"),"")</f>
        <v/>
      </c>
    </row>
    <row r="10" ht="22" customHeight="1">
      <c r="B10" s="16" t="inlineStr"/>
      <c r="C10" s="15" t="inlineStr"/>
      <c r="D10" s="15" t="inlineStr"/>
      <c r="E10" s="16" t="inlineStr"/>
      <c r="F10" s="16" t="inlineStr"/>
      <c r="G10" s="16" t="inlineStr"/>
      <c r="H10" s="16" t="inlineStr"/>
      <c r="I10" s="16" t="inlineStr"/>
      <c r="J10" s="16" t="inlineStr"/>
      <c r="K10" s="26">
        <f>IFERROR(ROUND(AVERAGE(E10:J10),2),"")</f>
        <v/>
      </c>
      <c r="L10" s="16">
        <f>IFERROR(IF(K10&gt;=2,"Attained","Not Attained — Review"),"")</f>
        <v/>
      </c>
    </row>
    <row r="11" ht="22" customHeight="1">
      <c r="B11" s="10" t="inlineStr"/>
      <c r="C11" s="9" t="inlineStr"/>
      <c r="D11" s="9" t="inlineStr"/>
      <c r="E11" s="10" t="inlineStr"/>
      <c r="F11" s="10" t="inlineStr"/>
      <c r="G11" s="10" t="inlineStr"/>
      <c r="H11" s="10" t="inlineStr"/>
      <c r="I11" s="10" t="inlineStr"/>
      <c r="J11" s="10" t="inlineStr"/>
      <c r="K11" s="36">
        <f>IFERROR(ROUND(AVERAGE(E11:J11),2),"")</f>
        <v/>
      </c>
      <c r="L11" s="10">
        <f>IFERROR(IF(K11&gt;=2,"Attained","Not Attained — Review"),"")</f>
        <v/>
      </c>
    </row>
    <row r="12" ht="22" customHeight="1">
      <c r="B12" s="16" t="inlineStr"/>
      <c r="C12" s="15" t="inlineStr"/>
      <c r="D12" s="15" t="inlineStr"/>
      <c r="E12" s="16" t="inlineStr"/>
      <c r="F12" s="16" t="inlineStr"/>
      <c r="G12" s="16" t="inlineStr"/>
      <c r="H12" s="16" t="inlineStr"/>
      <c r="I12" s="16" t="inlineStr"/>
      <c r="J12" s="16" t="inlineStr"/>
      <c r="K12" s="26">
        <f>IFERROR(ROUND(AVERAGE(E12:J12),2),"")</f>
        <v/>
      </c>
      <c r="L12" s="16">
        <f>IFERROR(IF(K12&gt;=2,"Attained","Not Attained — Review"),"")</f>
        <v/>
      </c>
    </row>
    <row r="13" ht="22" customHeight="1">
      <c r="B13" s="10" t="inlineStr"/>
      <c r="C13" s="9" t="inlineStr"/>
      <c r="D13" s="9" t="inlineStr"/>
      <c r="E13" s="10" t="inlineStr"/>
      <c r="F13" s="10" t="inlineStr"/>
      <c r="G13" s="10" t="inlineStr"/>
      <c r="H13" s="10" t="inlineStr"/>
      <c r="I13" s="10" t="inlineStr"/>
      <c r="J13" s="10" t="inlineStr"/>
      <c r="K13" s="36">
        <f>IFERROR(ROUND(AVERAGE(E13:J13),2),"")</f>
        <v/>
      </c>
      <c r="L13" s="10">
        <f>IFERROR(IF(K13&gt;=2,"Attained","Not Attained — Review"),"")</f>
        <v/>
      </c>
    </row>
    <row r="14" ht="22" customHeight="1">
      <c r="B14" s="16" t="inlineStr"/>
      <c r="C14" s="15" t="inlineStr"/>
      <c r="D14" s="15" t="inlineStr"/>
      <c r="E14" s="16" t="inlineStr"/>
      <c r="F14" s="16" t="inlineStr"/>
      <c r="G14" s="16" t="inlineStr"/>
      <c r="H14" s="16" t="inlineStr"/>
      <c r="I14" s="16" t="inlineStr"/>
      <c r="J14" s="16" t="inlineStr"/>
      <c r="K14" s="26">
        <f>IFERROR(ROUND(AVERAGE(E14:J14),2),"")</f>
        <v/>
      </c>
      <c r="L14" s="16">
        <f>IFERROR(IF(K14&gt;=2,"Attained","Not Attained — Review"),"")</f>
        <v/>
      </c>
    </row>
    <row r="15" ht="22" customHeight="1">
      <c r="B15" s="10" t="inlineStr"/>
      <c r="C15" s="9" t="inlineStr"/>
      <c r="D15" s="9" t="inlineStr"/>
      <c r="E15" s="10" t="inlineStr"/>
      <c r="F15" s="10" t="inlineStr"/>
      <c r="G15" s="10" t="inlineStr"/>
      <c r="H15" s="10" t="inlineStr"/>
      <c r="I15" s="10" t="inlineStr"/>
      <c r="J15" s="10" t="inlineStr"/>
      <c r="K15" s="36">
        <f>IFERROR(ROUND(AVERAGE(E15:J15),2),"")</f>
        <v/>
      </c>
      <c r="L15" s="10">
        <f>IFERROR(IF(K15&gt;=2,"Attained","Not Attained — Review"),"")</f>
        <v/>
      </c>
    </row>
    <row r="16" ht="22" customHeight="1">
      <c r="B16" s="16" t="inlineStr"/>
      <c r="C16" s="15" t="inlineStr"/>
      <c r="D16" s="15" t="inlineStr"/>
      <c r="E16" s="16" t="inlineStr"/>
      <c r="F16" s="16" t="inlineStr"/>
      <c r="G16" s="16" t="inlineStr"/>
      <c r="H16" s="16" t="inlineStr"/>
      <c r="I16" s="16" t="inlineStr"/>
      <c r="J16" s="16" t="inlineStr"/>
      <c r="K16" s="26">
        <f>IFERROR(ROUND(AVERAGE(E16:J16),2),"")</f>
        <v/>
      </c>
      <c r="L16" s="16">
        <f>IFERROR(IF(K16&gt;=2,"Attained","Not Attained — Review"),"")</f>
        <v/>
      </c>
    </row>
    <row r="17" ht="22" customHeight="1">
      <c r="B17" s="10" t="inlineStr"/>
      <c r="C17" s="9" t="inlineStr"/>
      <c r="D17" s="9" t="inlineStr"/>
      <c r="E17" s="10" t="inlineStr"/>
      <c r="F17" s="10" t="inlineStr"/>
      <c r="G17" s="10" t="inlineStr"/>
      <c r="H17" s="10" t="inlineStr"/>
      <c r="I17" s="10" t="inlineStr"/>
      <c r="J17" s="10" t="inlineStr"/>
      <c r="K17" s="36">
        <f>IFERROR(ROUND(AVERAGE(E17:J17),2),"")</f>
        <v/>
      </c>
      <c r="L17" s="10">
        <f>IFERROR(IF(K17&gt;=2,"Attained","Not Attained — Review"),"")</f>
        <v/>
      </c>
    </row>
    <row r="18" ht="22" customHeight="1">
      <c r="B18" s="16" t="inlineStr"/>
      <c r="C18" s="15" t="inlineStr"/>
      <c r="D18" s="15" t="inlineStr"/>
      <c r="E18" s="16" t="inlineStr"/>
      <c r="F18" s="16" t="inlineStr"/>
      <c r="G18" s="16" t="inlineStr"/>
      <c r="H18" s="16" t="inlineStr"/>
      <c r="I18" s="16" t="inlineStr"/>
      <c r="J18" s="16" t="inlineStr"/>
      <c r="K18" s="26">
        <f>IFERROR(ROUND(AVERAGE(E18:J18),2),"")</f>
        <v/>
      </c>
      <c r="L18" s="16">
        <f>IFERROR(IF(K18&gt;=2,"Attained","Not Attained — Review"),"")</f>
        <v/>
      </c>
    </row>
    <row r="19" ht="22" customHeight="1">
      <c r="B19" s="10" t="inlineStr"/>
      <c r="C19" s="9" t="inlineStr"/>
      <c r="D19" s="9" t="inlineStr"/>
      <c r="E19" s="10" t="inlineStr"/>
      <c r="F19" s="10" t="inlineStr"/>
      <c r="G19" s="10" t="inlineStr"/>
      <c r="H19" s="10" t="inlineStr"/>
      <c r="I19" s="10" t="inlineStr"/>
      <c r="J19" s="10" t="inlineStr"/>
      <c r="K19" s="36">
        <f>IFERROR(ROUND(AVERAGE(E19:J19),2),"")</f>
        <v/>
      </c>
      <c r="L19" s="10">
        <f>IFERROR(IF(K19&gt;=2,"Attained","Not Attained — Review"),"")</f>
        <v/>
      </c>
    </row>
    <row r="20" ht="22" customHeight="1">
      <c r="B20" s="16" t="inlineStr"/>
      <c r="C20" s="15" t="inlineStr"/>
      <c r="D20" s="15" t="inlineStr"/>
      <c r="E20" s="16" t="inlineStr"/>
      <c r="F20" s="16" t="inlineStr"/>
      <c r="G20" s="16" t="inlineStr"/>
      <c r="H20" s="16" t="inlineStr"/>
      <c r="I20" s="16" t="inlineStr"/>
      <c r="J20" s="16" t="inlineStr"/>
      <c r="K20" s="26">
        <f>IFERROR(ROUND(AVERAGE(E20:J20),2),"")</f>
        <v/>
      </c>
      <c r="L20" s="16">
        <f>IFERROR(IF(K20&gt;=2,"Attained","Not Attained — Review"),"")</f>
        <v/>
      </c>
    </row>
    <row r="21" ht="22" customHeight="1">
      <c r="B21" s="10" t="inlineStr"/>
      <c r="C21" s="9" t="inlineStr"/>
      <c r="D21" s="9" t="inlineStr"/>
      <c r="E21" s="10" t="inlineStr"/>
      <c r="F21" s="10" t="inlineStr"/>
      <c r="G21" s="10" t="inlineStr"/>
      <c r="H21" s="10" t="inlineStr"/>
      <c r="I21" s="10" t="inlineStr"/>
      <c r="J21" s="10" t="inlineStr"/>
      <c r="K21" s="36">
        <f>IFERROR(ROUND(AVERAGE(E21:J21),2),"")</f>
        <v/>
      </c>
      <c r="L21" s="10">
        <f>IFERROR(IF(K21&gt;=2,"Attained","Not Attained — Review"),"")</f>
        <v/>
      </c>
    </row>
    <row r="22" ht="22" customHeight="1">
      <c r="B22" s="16" t="inlineStr"/>
      <c r="C22" s="15" t="inlineStr"/>
      <c r="D22" s="15" t="inlineStr"/>
      <c r="E22" s="16" t="inlineStr"/>
      <c r="F22" s="16" t="inlineStr"/>
      <c r="G22" s="16" t="inlineStr"/>
      <c r="H22" s="16" t="inlineStr"/>
      <c r="I22" s="16" t="inlineStr"/>
      <c r="J22" s="16" t="inlineStr"/>
      <c r="K22" s="26">
        <f>IFERROR(ROUND(AVERAGE(E22:J22),2),"")</f>
        <v/>
      </c>
      <c r="L22" s="16">
        <f>IFERROR(IF(K22&gt;=2,"Attained","Not Attained — Review"),"")</f>
        <v/>
      </c>
    </row>
    <row r="23" ht="22" customHeight="1">
      <c r="B23" s="10" t="inlineStr"/>
      <c r="C23" s="9" t="inlineStr"/>
      <c r="D23" s="9" t="inlineStr"/>
      <c r="E23" s="10" t="inlineStr"/>
      <c r="F23" s="10" t="inlineStr"/>
      <c r="G23" s="10" t="inlineStr"/>
      <c r="H23" s="10" t="inlineStr"/>
      <c r="I23" s="10" t="inlineStr"/>
      <c r="J23" s="10" t="inlineStr"/>
      <c r="K23" s="36">
        <f>IFERROR(ROUND(AVERAGE(E23:J23),2),"")</f>
        <v/>
      </c>
      <c r="L23" s="10">
        <f>IFERROR(IF(K23&gt;=2,"Attained","Not Attained — Review"),"")</f>
        <v/>
      </c>
    </row>
    <row r="24" ht="22" customHeight="1">
      <c r="B24" s="16" t="inlineStr"/>
      <c r="C24" s="15" t="inlineStr"/>
      <c r="D24" s="15" t="inlineStr"/>
      <c r="E24" s="16" t="inlineStr"/>
      <c r="F24" s="16" t="inlineStr"/>
      <c r="G24" s="16" t="inlineStr"/>
      <c r="H24" s="16" t="inlineStr"/>
      <c r="I24" s="16" t="inlineStr"/>
      <c r="J24" s="16" t="inlineStr"/>
      <c r="K24" s="26">
        <f>IFERROR(ROUND(AVERAGE(E24:J24),2),"")</f>
        <v/>
      </c>
      <c r="L24" s="16">
        <f>IFERROR(IF(K24&gt;=2,"Attained","Not Attained — Review"),"")</f>
        <v/>
      </c>
    </row>
    <row r="25" ht="22" customHeight="1">
      <c r="B25" s="10" t="inlineStr"/>
      <c r="C25" s="9" t="inlineStr"/>
      <c r="D25" s="9" t="inlineStr"/>
      <c r="E25" s="10" t="inlineStr"/>
      <c r="F25" s="10" t="inlineStr"/>
      <c r="G25" s="10" t="inlineStr"/>
      <c r="H25" s="10" t="inlineStr"/>
      <c r="I25" s="10" t="inlineStr"/>
      <c r="J25" s="10" t="inlineStr"/>
      <c r="K25" s="36">
        <f>IFERROR(ROUND(AVERAGE(E25:J25),2),"")</f>
        <v/>
      </c>
      <c r="L25" s="10">
        <f>IFERROR(IF(K25&gt;=2,"Attained","Not Attained — Review"),"")</f>
        <v/>
      </c>
    </row>
    <row r="26" ht="22" customHeight="1">
      <c r="B26" s="16" t="inlineStr"/>
      <c r="C26" s="15" t="inlineStr"/>
      <c r="D26" s="15" t="inlineStr"/>
      <c r="E26" s="16" t="inlineStr"/>
      <c r="F26" s="16" t="inlineStr"/>
      <c r="G26" s="16" t="inlineStr"/>
      <c r="H26" s="16" t="inlineStr"/>
      <c r="I26" s="16" t="inlineStr"/>
      <c r="J26" s="16" t="inlineStr"/>
      <c r="K26" s="26">
        <f>IFERROR(ROUND(AVERAGE(E26:J26),2),"")</f>
        <v/>
      </c>
      <c r="L26" s="16">
        <f>IFERROR(IF(K26&gt;=2,"Attained","Not Attained — Review"),"")</f>
        <v/>
      </c>
    </row>
    <row r="27" ht="22" customHeight="1">
      <c r="B27" s="10" t="inlineStr"/>
      <c r="C27" s="9" t="inlineStr"/>
      <c r="D27" s="9" t="inlineStr"/>
      <c r="E27" s="10" t="inlineStr"/>
      <c r="F27" s="10" t="inlineStr"/>
      <c r="G27" s="10" t="inlineStr"/>
      <c r="H27" s="10" t="inlineStr"/>
      <c r="I27" s="10" t="inlineStr"/>
      <c r="J27" s="10" t="inlineStr"/>
      <c r="K27" s="36">
        <f>IFERROR(ROUND(AVERAGE(E27:J27),2),"")</f>
        <v/>
      </c>
      <c r="L27" s="10">
        <f>IFERROR(IF(K27&gt;=2,"Attained","Not Attained — Review"),"")</f>
        <v/>
      </c>
    </row>
    <row r="28" ht="22" customHeight="1">
      <c r="B28" s="16" t="inlineStr"/>
      <c r="C28" s="15" t="inlineStr"/>
      <c r="D28" s="15" t="inlineStr"/>
      <c r="E28" s="16" t="inlineStr"/>
      <c r="F28" s="16" t="inlineStr"/>
      <c r="G28" s="16" t="inlineStr"/>
      <c r="H28" s="16" t="inlineStr"/>
      <c r="I28" s="16" t="inlineStr"/>
      <c r="J28" s="16" t="inlineStr"/>
      <c r="K28" s="26">
        <f>IFERROR(ROUND(AVERAGE(E28:J28),2),"")</f>
        <v/>
      </c>
      <c r="L28" s="16">
        <f>IFERROR(IF(K28&gt;=2,"Attained","Not Attained — Review"),"")</f>
        <v/>
      </c>
    </row>
    <row r="29" ht="22" customHeight="1">
      <c r="B29" s="10" t="inlineStr"/>
      <c r="C29" s="9" t="inlineStr"/>
      <c r="D29" s="9" t="inlineStr"/>
      <c r="E29" s="10" t="inlineStr"/>
      <c r="F29" s="10" t="inlineStr"/>
      <c r="G29" s="10" t="inlineStr"/>
      <c r="H29" s="10" t="inlineStr"/>
      <c r="I29" s="10" t="inlineStr"/>
      <c r="J29" s="10" t="inlineStr"/>
      <c r="K29" s="36">
        <f>IFERROR(ROUND(AVERAGE(E29:J29),2),"")</f>
        <v/>
      </c>
      <c r="L29" s="10">
        <f>IFERROR(IF(K29&gt;=2,"Attained","Not Attained — Review"),"")</f>
        <v/>
      </c>
    </row>
    <row r="30" ht="22" customHeight="1">
      <c r="B30" s="16" t="inlineStr"/>
      <c r="C30" s="15" t="inlineStr"/>
      <c r="D30" s="15" t="inlineStr"/>
      <c r="E30" s="16" t="inlineStr"/>
      <c r="F30" s="16" t="inlineStr"/>
      <c r="G30" s="16" t="inlineStr"/>
      <c r="H30" s="16" t="inlineStr"/>
      <c r="I30" s="16" t="inlineStr"/>
      <c r="J30" s="16" t="inlineStr"/>
      <c r="K30" s="26">
        <f>IFERROR(ROUND(AVERAGE(E30:J30),2),"")</f>
        <v/>
      </c>
      <c r="L30" s="16">
        <f>IFERROR(IF(K30&gt;=2,"Attained","Not Attained — Review"),"")</f>
        <v/>
      </c>
    </row>
    <row r="31" ht="22" customHeight="1">
      <c r="B31" s="10" t="inlineStr"/>
      <c r="C31" s="9" t="inlineStr"/>
      <c r="D31" s="9" t="inlineStr"/>
      <c r="E31" s="10" t="inlineStr"/>
      <c r="F31" s="10" t="inlineStr"/>
      <c r="G31" s="10" t="inlineStr"/>
      <c r="H31" s="10" t="inlineStr"/>
      <c r="I31" s="10" t="inlineStr"/>
      <c r="J31" s="10" t="inlineStr"/>
      <c r="K31" s="36">
        <f>IFERROR(ROUND(AVERAGE(E31:J31),2),"")</f>
        <v/>
      </c>
      <c r="L31" s="10">
        <f>IFERROR(IF(K31&gt;=2,"Attained","Not Attained — Review"),"")</f>
        <v/>
      </c>
    </row>
    <row r="32" ht="22" customHeight="1">
      <c r="B32" s="16" t="inlineStr"/>
      <c r="C32" s="15" t="inlineStr"/>
      <c r="D32" s="15" t="inlineStr"/>
      <c r="E32" s="16" t="inlineStr"/>
      <c r="F32" s="16" t="inlineStr"/>
      <c r="G32" s="16" t="inlineStr"/>
      <c r="H32" s="16" t="inlineStr"/>
      <c r="I32" s="16" t="inlineStr"/>
      <c r="J32" s="16" t="inlineStr"/>
      <c r="K32" s="26">
        <f>IFERROR(ROUND(AVERAGE(E32:J32),2),"")</f>
        <v/>
      </c>
      <c r="L32" s="16">
        <f>IFERROR(IF(K32&gt;=2,"Attained","Not Attained — Review"),"")</f>
        <v/>
      </c>
    </row>
    <row r="33" ht="22" customHeight="1">
      <c r="B33" s="10" t="inlineStr"/>
      <c r="C33" s="9" t="inlineStr"/>
      <c r="D33" s="9" t="inlineStr"/>
      <c r="E33" s="10" t="inlineStr"/>
      <c r="F33" s="10" t="inlineStr"/>
      <c r="G33" s="10" t="inlineStr"/>
      <c r="H33" s="10" t="inlineStr"/>
      <c r="I33" s="10" t="inlineStr"/>
      <c r="J33" s="10" t="inlineStr"/>
      <c r="K33" s="36">
        <f>IFERROR(ROUND(AVERAGE(E33:J33),2),"")</f>
        <v/>
      </c>
      <c r="L33" s="10">
        <f>IFERROR(IF(K33&gt;=2,"Attained","Not Attained — Review"),"")</f>
        <v/>
      </c>
    </row>
    <row r="34" ht="22" customHeight="1"/>
    <row r="35" ht="24" customHeight="1">
      <c r="B35" s="34" t="inlineStr">
        <is>
          <t>CO ATTAINMENT SUMMARY</t>
        </is>
      </c>
    </row>
    <row r="36">
      <c r="B36" s="50" t="inlineStr">
        <is>
          <t>Total Courses</t>
        </is>
      </c>
      <c r="G36" s="26">
        <f>COUNTA(B6:B33)</f>
        <v/>
      </c>
    </row>
    <row r="37">
      <c r="B37" s="25" t="inlineStr">
        <is>
          <t>Courses with CO Attainment ≥ 2</t>
        </is>
      </c>
      <c r="G37" s="36">
        <f>COUNTIF(L6:L33,"Attained")</f>
        <v/>
      </c>
    </row>
    <row r="38">
      <c r="B38" s="50" t="inlineStr">
        <is>
          <t>Courses Not Attained</t>
        </is>
      </c>
      <c r="G38" s="26">
        <f>COUNTIF(L6:L33,"Not Attained — Review")</f>
        <v/>
      </c>
    </row>
    <row r="39">
      <c r="B39" s="25" t="inlineStr">
        <is>
          <t>Department Average CO Attainment</t>
        </is>
      </c>
      <c r="G39" s="36">
        <f>IFERROR(ROUND(AVERAGE(K6:K33),2),"")</f>
        <v/>
      </c>
    </row>
    <row r="40">
      <c r="B40" s="50" t="inlineStr">
        <is>
          <t>CO Attainment Rate (%)</t>
        </is>
      </c>
      <c r="G40" s="26">
        <f>IFERROR(ROUND(C37/C36*100,1),"")</f>
        <v/>
      </c>
    </row>
    <row r="41">
      <c r="B41" s="25" t="inlineStr">
        <is>
          <t>Target: ≥60% Courses Attained?</t>
        </is>
      </c>
      <c r="G41" s="36">
        <f>IFERROR(IF(C39&gt;=60,"YES — Target Met","NO — Action Required"),"")</f>
        <v/>
      </c>
    </row>
  </sheetData>
  <mergeCells count="16">
    <mergeCell ref="B35:L35"/>
    <mergeCell ref="B4:L4"/>
    <mergeCell ref="B39:F39"/>
    <mergeCell ref="G41:L41"/>
    <mergeCell ref="G37:L37"/>
    <mergeCell ref="B38:F38"/>
    <mergeCell ref="G36:L36"/>
    <mergeCell ref="G40:L40"/>
    <mergeCell ref="B3:L3"/>
    <mergeCell ref="B2:L2"/>
    <mergeCell ref="B37:F37"/>
    <mergeCell ref="G39:L39"/>
    <mergeCell ref="B36:F36"/>
    <mergeCell ref="B40:F40"/>
    <mergeCell ref="B41:F41"/>
    <mergeCell ref="G38:L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DDC-22: FACULTY PROFILE &amp; QUALIFICATION REGISTER</t>
        </is>
      </c>
    </row>
    <row r="3" ht="20" customHeight="1">
      <c r="B3" s="2" t="inlineStr">
        <is>
          <t>Department: _______  A.Y.: _______  HoD: ___________________  NAAC Ref.: Criterion II.4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Designation</t>
        </is>
      </c>
      <c r="E4" s="13" t="inlineStr">
        <is>
          <t>Highest
Qual.</t>
        </is>
      </c>
      <c r="F4" s="13" t="inlineStr">
        <is>
          <t>Ph.D.
Status</t>
        </is>
      </c>
      <c r="G4" s="13" t="inlineStr">
        <is>
          <t>NET /
SET</t>
        </is>
      </c>
      <c r="H4" s="13" t="inlineStr">
        <is>
          <t>Exp.
(Yrs)</t>
        </is>
      </c>
      <c r="I4" s="13" t="inlineStr">
        <is>
          <t>Industry
Exp.</t>
        </is>
      </c>
      <c r="J4" s="13" t="inlineStr">
        <is>
          <t>Papers
Published</t>
        </is>
      </c>
      <c r="K4" s="13" t="inlineStr">
        <is>
          <t>Projects
Handled</t>
        </is>
      </c>
      <c r="L4" s="13" t="inlineStr">
        <is>
          <t>UGC
Eligible</t>
        </is>
      </c>
    </row>
    <row r="5" ht="22" customHeight="1">
      <c r="B5" s="14" t="n">
        <v>1</v>
      </c>
      <c r="C5" s="15" t="inlineStr"/>
      <c r="D5" s="16" t="inlineStr">
        <is>
          <t>Professor</t>
        </is>
      </c>
      <c r="E5" s="16" t="inlineStr">
        <is>
          <t>Ph.D.</t>
        </is>
      </c>
      <c r="F5" s="16" t="inlineStr">
        <is>
          <t>Awarded</t>
        </is>
      </c>
      <c r="G5" s="16" t="inlineStr">
        <is>
          <t>Yes</t>
        </is>
      </c>
      <c r="H5" s="16" t="inlineStr"/>
      <c r="I5" s="16" t="inlineStr"/>
      <c r="J5" s="16" t="inlineStr"/>
      <c r="K5" s="16" t="inlineStr"/>
      <c r="L5" s="16" t="inlineStr">
        <is>
          <t>Yes</t>
        </is>
      </c>
    </row>
    <row r="6" ht="22" customHeight="1">
      <c r="B6" s="8" t="n">
        <v>2</v>
      </c>
      <c r="C6" s="9" t="inlineStr"/>
      <c r="D6" s="10" t="inlineStr">
        <is>
          <t>Associate Professor</t>
        </is>
      </c>
      <c r="E6" s="10" t="inlineStr">
        <is>
          <t>M.E./M.Tech</t>
        </is>
      </c>
      <c r="F6" s="10" t="inlineStr">
        <is>
          <t>Submitted</t>
        </is>
      </c>
      <c r="G6" s="10" t="inlineStr">
        <is>
          <t>Yes</t>
        </is>
      </c>
      <c r="H6" s="10" t="inlineStr"/>
      <c r="I6" s="10" t="inlineStr"/>
      <c r="J6" s="10" t="inlineStr"/>
      <c r="K6" s="10" t="inlineStr"/>
      <c r="L6" s="10" t="inlineStr">
        <is>
          <t>Yes</t>
        </is>
      </c>
    </row>
    <row r="7" ht="22" customHeight="1">
      <c r="B7" s="14" t="n">
        <v>3</v>
      </c>
      <c r="C7" s="15" t="inlineStr"/>
      <c r="D7" s="16" t="inlineStr">
        <is>
          <t>Asst. Professor (Sr.)</t>
        </is>
      </c>
      <c r="E7" s="16" t="inlineStr">
        <is>
          <t>M.E.+Ph.D.(P)</t>
        </is>
      </c>
      <c r="F7" s="16" t="inlineStr">
        <is>
          <t>Pursuing</t>
        </is>
      </c>
      <c r="G7" s="16" t="inlineStr">
        <is>
          <t>Yes</t>
        </is>
      </c>
      <c r="H7" s="16" t="inlineStr"/>
      <c r="I7" s="16" t="inlineStr"/>
      <c r="J7" s="16" t="inlineStr"/>
      <c r="K7" s="16" t="inlineStr"/>
      <c r="L7" s="16" t="inlineStr">
        <is>
          <t>Yes</t>
        </is>
      </c>
    </row>
    <row r="8" ht="22" customHeight="1">
      <c r="B8" s="8" t="n">
        <v>4</v>
      </c>
      <c r="C8" s="9" t="inlineStr"/>
      <c r="D8" s="10" t="inlineStr">
        <is>
          <t>Asst. Professor</t>
        </is>
      </c>
      <c r="E8" s="10" t="inlineStr">
        <is>
          <t>M.Sc.</t>
        </is>
      </c>
      <c r="F8" s="10" t="inlineStr">
        <is>
          <t>—</t>
        </is>
      </c>
      <c r="G8" s="10" t="inlineStr">
        <is>
          <t>Yes</t>
        </is>
      </c>
      <c r="H8" s="10" t="inlineStr"/>
      <c r="I8" s="10" t="inlineStr"/>
      <c r="J8" s="10" t="inlineStr"/>
      <c r="K8" s="10" t="inlineStr"/>
      <c r="L8" s="10" t="inlineStr">
        <is>
          <t>Yes</t>
        </is>
      </c>
    </row>
    <row r="9" ht="22" customHeight="1">
      <c r="B9" s="14" t="n">
        <v>5</v>
      </c>
      <c r="C9" s="15" t="inlineStr"/>
      <c r="D9" s="16" t="inlineStr">
        <is>
          <t>Lecturer</t>
        </is>
      </c>
      <c r="E9" s="16" t="inlineStr">
        <is>
          <t>M.B.A.</t>
        </is>
      </c>
      <c r="F9" s="16" t="inlineStr">
        <is>
          <t>Awarded</t>
        </is>
      </c>
      <c r="G9" s="16" t="inlineStr">
        <is>
          <t>No</t>
        </is>
      </c>
      <c r="H9" s="16" t="inlineStr"/>
      <c r="I9" s="16" t="inlineStr"/>
      <c r="J9" s="16" t="inlineStr"/>
      <c r="K9" s="16" t="inlineStr"/>
      <c r="L9" s="16" t="inlineStr">
        <is>
          <t>Yes</t>
        </is>
      </c>
    </row>
    <row r="10" ht="22" customHeight="1">
      <c r="B10" s="8" t="n">
        <v>6</v>
      </c>
      <c r="C10" s="9" t="inlineStr"/>
      <c r="D10" s="10" t="inlineStr">
        <is>
          <t>Visiting</t>
        </is>
      </c>
      <c r="E10" s="10" t="inlineStr">
        <is>
          <t>M.Phil.</t>
        </is>
      </c>
      <c r="F10" s="10" t="inlineStr">
        <is>
          <t>Submitted</t>
        </is>
      </c>
      <c r="G10" s="10" t="inlineStr">
        <is>
          <t>Yes</t>
        </is>
      </c>
      <c r="H10" s="10" t="inlineStr"/>
      <c r="I10" s="10" t="inlineStr"/>
      <c r="J10" s="10" t="inlineStr"/>
      <c r="K10" s="10" t="inlineStr"/>
      <c r="L10" s="10" t="inlineStr">
        <is>
          <t>No — Upgrade</t>
        </is>
      </c>
    </row>
    <row r="11" ht="22" customHeight="1">
      <c r="B11" s="14" t="n">
        <v>7</v>
      </c>
      <c r="C11" s="15" t="inlineStr"/>
      <c r="D11" s="16" t="inlineStr">
        <is>
          <t>Professor</t>
        </is>
      </c>
      <c r="E11" s="16" t="inlineStr">
        <is>
          <t>Ph.D.</t>
        </is>
      </c>
      <c r="F11" s="16" t="inlineStr">
        <is>
          <t>Pursuing</t>
        </is>
      </c>
      <c r="G11" s="16" t="inlineStr">
        <is>
          <t>Yes</t>
        </is>
      </c>
      <c r="H11" s="16" t="inlineStr"/>
      <c r="I11" s="16" t="inlineStr"/>
      <c r="J11" s="16" t="inlineStr"/>
      <c r="K11" s="16" t="inlineStr"/>
      <c r="L11" s="16" t="inlineStr">
        <is>
          <t>Yes</t>
        </is>
      </c>
    </row>
    <row r="12" ht="22" customHeight="1">
      <c r="B12" s="8" t="n">
        <v>8</v>
      </c>
      <c r="C12" s="9" t="inlineStr"/>
      <c r="D12" s="10" t="inlineStr">
        <is>
          <t>Associate Professor</t>
        </is>
      </c>
      <c r="E12" s="10" t="inlineStr">
        <is>
          <t>M.E./M.Tech</t>
        </is>
      </c>
      <c r="F12" s="10" t="inlineStr">
        <is>
          <t>—</t>
        </is>
      </c>
      <c r="G12" s="10" t="inlineStr">
        <is>
          <t>Yes</t>
        </is>
      </c>
      <c r="H12" s="10" t="inlineStr"/>
      <c r="I12" s="10" t="inlineStr"/>
      <c r="J12" s="10" t="inlineStr"/>
      <c r="K12" s="10" t="inlineStr"/>
      <c r="L12" s="10" t="inlineStr">
        <is>
          <t>Yes</t>
        </is>
      </c>
    </row>
    <row r="13" ht="22" customHeight="1">
      <c r="B13" s="14" t="n">
        <v>9</v>
      </c>
      <c r="C13" s="15" t="inlineStr"/>
      <c r="D13" s="16" t="inlineStr">
        <is>
          <t>Asst. Professor (Sr.)</t>
        </is>
      </c>
      <c r="E13" s="16" t="inlineStr">
        <is>
          <t>M.E.+Ph.D.(P)</t>
        </is>
      </c>
      <c r="F13" s="16" t="inlineStr">
        <is>
          <t>Awarded</t>
        </is>
      </c>
      <c r="G13" s="16" t="inlineStr">
        <is>
          <t>Yes</t>
        </is>
      </c>
      <c r="H13" s="16" t="inlineStr"/>
      <c r="I13" s="16" t="inlineStr"/>
      <c r="J13" s="16" t="inlineStr"/>
      <c r="K13" s="16" t="inlineStr"/>
      <c r="L13" s="16" t="inlineStr">
        <is>
          <t>Yes</t>
        </is>
      </c>
    </row>
    <row r="14" ht="22" customHeight="1">
      <c r="B14" s="8" t="n">
        <v>10</v>
      </c>
      <c r="C14" s="9" t="inlineStr"/>
      <c r="D14" s="10" t="inlineStr">
        <is>
          <t>Asst. Professor</t>
        </is>
      </c>
      <c r="E14" s="10" t="inlineStr">
        <is>
          <t>M.Sc.</t>
        </is>
      </c>
      <c r="F14" s="10" t="inlineStr">
        <is>
          <t>Submitted</t>
        </is>
      </c>
      <c r="G14" s="10" t="inlineStr">
        <is>
          <t>No</t>
        </is>
      </c>
      <c r="H14" s="10" t="inlineStr"/>
      <c r="I14" s="10" t="inlineStr"/>
      <c r="J14" s="10" t="inlineStr"/>
      <c r="K14" s="10" t="inlineStr"/>
      <c r="L14" s="10" t="inlineStr">
        <is>
          <t>Yes</t>
        </is>
      </c>
    </row>
    <row r="15" ht="22" customHeight="1">
      <c r="B15" s="14" t="n">
        <v>11</v>
      </c>
      <c r="C15" s="15" t="inlineStr"/>
      <c r="D15" s="16" t="inlineStr">
        <is>
          <t>Lecturer</t>
        </is>
      </c>
      <c r="E15" s="16" t="inlineStr">
        <is>
          <t>M.B.A.</t>
        </is>
      </c>
      <c r="F15" s="16" t="inlineStr">
        <is>
          <t>Pursuing</t>
        </is>
      </c>
      <c r="G15" s="16" t="inlineStr">
        <is>
          <t>Yes</t>
        </is>
      </c>
      <c r="H15" s="16" t="inlineStr"/>
      <c r="I15" s="16" t="inlineStr"/>
      <c r="J15" s="16" t="inlineStr"/>
      <c r="K15" s="16" t="inlineStr"/>
      <c r="L15" s="16" t="inlineStr">
        <is>
          <t>Yes</t>
        </is>
      </c>
    </row>
    <row r="16" ht="22" customHeight="1">
      <c r="B16" s="8" t="n">
        <v>12</v>
      </c>
      <c r="C16" s="9" t="inlineStr"/>
      <c r="D16" s="10" t="inlineStr">
        <is>
          <t>Visiting</t>
        </is>
      </c>
      <c r="E16" s="10" t="inlineStr">
        <is>
          <t>M.Phil.</t>
        </is>
      </c>
      <c r="F16" s="10" t="inlineStr">
        <is>
          <t>—</t>
        </is>
      </c>
      <c r="G16" s="10" t="inlineStr">
        <is>
          <t>Yes</t>
        </is>
      </c>
      <c r="H16" s="10" t="inlineStr"/>
      <c r="I16" s="10" t="inlineStr"/>
      <c r="J16" s="10" t="inlineStr"/>
      <c r="K16" s="10" t="inlineStr"/>
      <c r="L16" s="10" t="inlineStr">
        <is>
          <t>No — Upgrade</t>
        </is>
      </c>
    </row>
    <row r="17" ht="22" customHeight="1">
      <c r="B17" s="14" t="n">
        <v>13</v>
      </c>
      <c r="C17" s="15" t="inlineStr"/>
      <c r="D17" s="16" t="inlineStr">
        <is>
          <t>Professor</t>
        </is>
      </c>
      <c r="E17" s="16" t="inlineStr">
        <is>
          <t>Ph.D.</t>
        </is>
      </c>
      <c r="F17" s="16" t="inlineStr">
        <is>
          <t>Awarded</t>
        </is>
      </c>
      <c r="G17" s="16" t="inlineStr">
        <is>
          <t>Yes</t>
        </is>
      </c>
      <c r="H17" s="16" t="inlineStr"/>
      <c r="I17" s="16" t="inlineStr"/>
      <c r="J17" s="16" t="inlineStr"/>
      <c r="K17" s="16" t="inlineStr"/>
      <c r="L17" s="16" t="inlineStr">
        <is>
          <t>Yes</t>
        </is>
      </c>
    </row>
    <row r="18" ht="22" customHeight="1">
      <c r="B18" s="8" t="n">
        <v>14</v>
      </c>
      <c r="C18" s="9" t="inlineStr"/>
      <c r="D18" s="10" t="inlineStr">
        <is>
          <t>Associate Professor</t>
        </is>
      </c>
      <c r="E18" s="10" t="inlineStr">
        <is>
          <t>M.E./M.Tech</t>
        </is>
      </c>
      <c r="F18" s="10" t="inlineStr">
        <is>
          <t>Submitted</t>
        </is>
      </c>
      <c r="G18" s="10" t="inlineStr">
        <is>
          <t>Yes</t>
        </is>
      </c>
      <c r="H18" s="10" t="inlineStr"/>
      <c r="I18" s="10" t="inlineStr"/>
      <c r="J18" s="10" t="inlineStr"/>
      <c r="K18" s="10" t="inlineStr"/>
      <c r="L18" s="10" t="inlineStr">
        <is>
          <t>Yes</t>
        </is>
      </c>
    </row>
    <row r="19" ht="22" customHeight="1">
      <c r="B19" s="14" t="n">
        <v>15</v>
      </c>
      <c r="C19" s="15" t="inlineStr"/>
      <c r="D19" s="16" t="inlineStr">
        <is>
          <t>Asst. Professor (Sr.)</t>
        </is>
      </c>
      <c r="E19" s="16" t="inlineStr">
        <is>
          <t>M.E.+Ph.D.(P)</t>
        </is>
      </c>
      <c r="F19" s="16" t="inlineStr">
        <is>
          <t>Pursuing</t>
        </is>
      </c>
      <c r="G19" s="16" t="inlineStr">
        <is>
          <t>No</t>
        </is>
      </c>
      <c r="H19" s="16" t="inlineStr"/>
      <c r="I19" s="16" t="inlineStr"/>
      <c r="J19" s="16" t="inlineStr"/>
      <c r="K19" s="16" t="inlineStr"/>
      <c r="L19" s="16" t="inlineStr">
        <is>
          <t>Yes</t>
        </is>
      </c>
    </row>
    <row r="20" ht="22" customHeight="1">
      <c r="B20" s="8" t="n">
        <v>16</v>
      </c>
      <c r="C20" s="9" t="inlineStr"/>
      <c r="D20" s="10" t="inlineStr">
        <is>
          <t>Asst. Professor</t>
        </is>
      </c>
      <c r="E20" s="10" t="inlineStr">
        <is>
          <t>M.Sc.</t>
        </is>
      </c>
      <c r="F20" s="10" t="inlineStr">
        <is>
          <t>—</t>
        </is>
      </c>
      <c r="G20" s="10" t="inlineStr">
        <is>
          <t>Yes</t>
        </is>
      </c>
      <c r="H20" s="10" t="inlineStr"/>
      <c r="I20" s="10" t="inlineStr"/>
      <c r="J20" s="10" t="inlineStr"/>
      <c r="K20" s="10" t="inlineStr"/>
      <c r="L20" s="10" t="inlineStr">
        <is>
          <t>Yes</t>
        </is>
      </c>
    </row>
    <row r="21" ht="22" customHeight="1">
      <c r="B21" s="14" t="n">
        <v>17</v>
      </c>
      <c r="C21" s="15" t="inlineStr"/>
      <c r="D21" s="16" t="inlineStr">
        <is>
          <t>Lecturer</t>
        </is>
      </c>
      <c r="E21" s="16" t="inlineStr">
        <is>
          <t>M.B.A.</t>
        </is>
      </c>
      <c r="F21" s="16" t="inlineStr">
        <is>
          <t>Awarded</t>
        </is>
      </c>
      <c r="G21" s="16" t="inlineStr">
        <is>
          <t>Yes</t>
        </is>
      </c>
      <c r="H21" s="16" t="inlineStr"/>
      <c r="I21" s="16" t="inlineStr"/>
      <c r="J21" s="16" t="inlineStr"/>
      <c r="K21" s="16" t="inlineStr"/>
      <c r="L21" s="16" t="inlineStr">
        <is>
          <t>Yes</t>
        </is>
      </c>
    </row>
    <row r="22" ht="22" customHeight="1">
      <c r="B22" s="8" t="n">
        <v>18</v>
      </c>
      <c r="C22" s="9" t="inlineStr"/>
      <c r="D22" s="10" t="inlineStr">
        <is>
          <t>Visiting</t>
        </is>
      </c>
      <c r="E22" s="10" t="inlineStr">
        <is>
          <t>M.Phil.</t>
        </is>
      </c>
      <c r="F22" s="10" t="inlineStr">
        <is>
          <t>Submitted</t>
        </is>
      </c>
      <c r="G22" s="10" t="inlineStr">
        <is>
          <t>Yes</t>
        </is>
      </c>
      <c r="H22" s="10" t="inlineStr"/>
      <c r="I22" s="10" t="inlineStr"/>
      <c r="J22" s="10" t="inlineStr"/>
      <c r="K22" s="10" t="inlineStr"/>
      <c r="L22" s="10" t="inlineStr">
        <is>
          <t>No — Upgrade</t>
        </is>
      </c>
    </row>
    <row r="23" ht="22" customHeight="1">
      <c r="B23" s="14" t="n">
        <v>19</v>
      </c>
      <c r="C23" s="15" t="inlineStr"/>
      <c r="D23" s="16" t="inlineStr">
        <is>
          <t>Professor</t>
        </is>
      </c>
      <c r="E23" s="16" t="inlineStr">
        <is>
          <t>Ph.D.</t>
        </is>
      </c>
      <c r="F23" s="16" t="inlineStr">
        <is>
          <t>Pursuing</t>
        </is>
      </c>
      <c r="G23" s="16" t="inlineStr">
        <is>
          <t>Yes</t>
        </is>
      </c>
      <c r="H23" s="16" t="inlineStr"/>
      <c r="I23" s="16" t="inlineStr"/>
      <c r="J23" s="16" t="inlineStr"/>
      <c r="K23" s="16" t="inlineStr"/>
      <c r="L23" s="16" t="inlineStr">
        <is>
          <t>Yes</t>
        </is>
      </c>
    </row>
    <row r="24" ht="22" customHeight="1">
      <c r="B24" s="8" t="n">
        <v>20</v>
      </c>
      <c r="C24" s="9" t="inlineStr"/>
      <c r="D24" s="10" t="inlineStr">
        <is>
          <t>Associate Professor</t>
        </is>
      </c>
      <c r="E24" s="10" t="inlineStr">
        <is>
          <t>M.E./M.Tech</t>
        </is>
      </c>
      <c r="F24" s="10" t="inlineStr">
        <is>
          <t>—</t>
        </is>
      </c>
      <c r="G24" s="10" t="inlineStr">
        <is>
          <t>No</t>
        </is>
      </c>
      <c r="H24" s="10" t="inlineStr"/>
      <c r="I24" s="10" t="inlineStr"/>
      <c r="J24" s="10" t="inlineStr"/>
      <c r="K24" s="10" t="inlineStr"/>
      <c r="L24" s="10" t="inlineStr">
        <is>
          <t>Yes</t>
        </is>
      </c>
    </row>
    <row r="25" ht="22" customHeight="1">
      <c r="B25" s="14" t="n">
        <v>21</v>
      </c>
      <c r="C25" s="15" t="inlineStr"/>
      <c r="D25" s="16" t="inlineStr">
        <is>
          <t>Asst. Professor (Sr.)</t>
        </is>
      </c>
      <c r="E25" s="16" t="inlineStr">
        <is>
          <t>M.E.+Ph.D.(P)</t>
        </is>
      </c>
      <c r="F25" s="16" t="inlineStr">
        <is>
          <t>Awarded</t>
        </is>
      </c>
      <c r="G25" s="16" t="inlineStr">
        <is>
          <t>Yes</t>
        </is>
      </c>
      <c r="H25" s="16" t="inlineStr"/>
      <c r="I25" s="16" t="inlineStr"/>
      <c r="J25" s="16" t="inlineStr"/>
      <c r="K25" s="16" t="inlineStr"/>
      <c r="L25" s="16" t="inlineStr">
        <is>
          <t>Yes</t>
        </is>
      </c>
    </row>
    <row r="26" ht="22" customHeight="1">
      <c r="B26" s="8" t="n">
        <v>22</v>
      </c>
      <c r="C26" s="9" t="inlineStr"/>
      <c r="D26" s="10" t="inlineStr">
        <is>
          <t>Asst. Professor</t>
        </is>
      </c>
      <c r="E26" s="10" t="inlineStr">
        <is>
          <t>M.Sc.</t>
        </is>
      </c>
      <c r="F26" s="10" t="inlineStr">
        <is>
          <t>Submitted</t>
        </is>
      </c>
      <c r="G26" s="10" t="inlineStr">
        <is>
          <t>Yes</t>
        </is>
      </c>
      <c r="H26" s="10" t="inlineStr"/>
      <c r="I26" s="10" t="inlineStr"/>
      <c r="J26" s="10" t="inlineStr"/>
      <c r="K26" s="10" t="inlineStr"/>
      <c r="L26" s="10" t="inlineStr">
        <is>
          <t>Yes</t>
        </is>
      </c>
    </row>
    <row r="27" ht="22" customHeight="1"/>
    <row r="28" ht="24" customHeight="1">
      <c r="B28" s="34" t="inlineStr">
        <is>
          <t>FACULTY PROFILE SUMMARY</t>
        </is>
      </c>
    </row>
    <row r="29" ht="22" customHeight="1">
      <c r="B29" s="50" t="inlineStr">
        <is>
          <t>Total Faculty</t>
        </is>
      </c>
      <c r="G29" s="26">
        <f>COUNTA(B5:B26)</f>
        <v/>
      </c>
    </row>
    <row r="30">
      <c r="B30" s="25" t="inlineStr">
        <is>
          <t>Ph.D. Awarded</t>
        </is>
      </c>
      <c r="G30" s="36">
        <f>COUNTIF(F5:F26,"Awarded")</f>
        <v/>
      </c>
    </row>
    <row r="31">
      <c r="B31" s="50" t="inlineStr">
        <is>
          <t>Ph.D. Pursuing</t>
        </is>
      </c>
      <c r="G31" s="26">
        <f>COUNTIF(F5:F26,"Pursuing")</f>
        <v/>
      </c>
    </row>
    <row r="32">
      <c r="B32" s="25" t="inlineStr">
        <is>
          <t>NET / SET Qualified</t>
        </is>
      </c>
      <c r="G32" s="36">
        <f>COUNTIF(G5:G26,"Yes")</f>
        <v/>
      </c>
    </row>
    <row r="33">
      <c r="B33" s="50" t="inlineStr">
        <is>
          <t>UGC Eligible</t>
        </is>
      </c>
      <c r="G33" s="26">
        <f>COUNTIF(L5:L26,"Yes")</f>
        <v/>
      </c>
    </row>
    <row r="34">
      <c r="B34" s="25" t="inlineStr">
        <is>
          <t>Ph.D. % (Awarded)</t>
        </is>
      </c>
      <c r="G34" s="36">
        <f>IFERROR(ROUND(C30/C29*100,1),"")</f>
        <v/>
      </c>
    </row>
  </sheetData>
  <mergeCells count="15">
    <mergeCell ref="B30:F30"/>
    <mergeCell ref="G33:L33"/>
    <mergeCell ref="B29:F29"/>
    <mergeCell ref="G32:L32"/>
    <mergeCell ref="B34:F34"/>
    <mergeCell ref="B33:F33"/>
    <mergeCell ref="B3:L3"/>
    <mergeCell ref="B2:L2"/>
    <mergeCell ref="G31:L31"/>
    <mergeCell ref="B31:F31"/>
    <mergeCell ref="B28:L28"/>
    <mergeCell ref="B32:F32"/>
    <mergeCell ref="G34:L34"/>
    <mergeCell ref="G29:L29"/>
    <mergeCell ref="G30:L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DDC-25: FACULTY RESEARCH &amp; PUBLICATION REGISTER</t>
        </is>
      </c>
    </row>
    <row r="3" ht="20" customHeight="1">
      <c r="B3" s="2" t="inlineStr">
        <is>
          <t>Department: _______  A.Y.: _______  HoD: ___________________  NAAC Ref.: Criterion III.3</t>
        </is>
      </c>
    </row>
    <row r="4" ht="25" customHeight="1">
      <c r="B4" s="13" t="inlineStr">
        <is>
          <t>Sl.</t>
        </is>
      </c>
      <c r="C4" s="13" t="inlineStr">
        <is>
          <t>Faculty Name</t>
        </is>
      </c>
      <c r="D4" s="13" t="inlineStr">
        <is>
          <t>Title of Publication /
Research Output</t>
        </is>
      </c>
      <c r="E4" s="13" t="inlineStr">
        <is>
          <t>Type</t>
        </is>
      </c>
      <c r="F4" s="13" t="inlineStr">
        <is>
          <t>Journal /
Conference Name</t>
        </is>
      </c>
      <c r="G4" s="13" t="inlineStr">
        <is>
          <t>Indexing
(SCI/Scopus/UGC)</t>
        </is>
      </c>
      <c r="H4" s="13" t="inlineStr">
        <is>
          <t>Year</t>
        </is>
      </c>
      <c r="I4" s="13" t="inlineStr">
        <is>
          <t>Impact
Factor</t>
        </is>
      </c>
      <c r="J4" s="13" t="inlineStr">
        <is>
          <t>Status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Journal Paper — SCI Indexed</t>
        </is>
      </c>
      <c r="F5" s="15" t="inlineStr"/>
      <c r="G5" s="16" t="inlineStr">
        <is>
          <t>SCI / SCIE</t>
        </is>
      </c>
      <c r="H5" s="16" t="inlineStr"/>
      <c r="I5" s="16" t="inlineStr"/>
      <c r="J5" s="16" t="inlineStr">
        <is>
          <t>Published</t>
        </is>
      </c>
    </row>
    <row r="6" ht="22" customHeight="1">
      <c r="B6" s="8" t="n">
        <v>2</v>
      </c>
      <c r="C6" s="9" t="inlineStr"/>
      <c r="D6" s="9" t="inlineStr"/>
      <c r="E6" s="10" t="inlineStr">
        <is>
          <t>Journal Paper — Scopus</t>
        </is>
      </c>
      <c r="F6" s="9" t="inlineStr"/>
      <c r="G6" s="10" t="inlineStr">
        <is>
          <t>Scopus</t>
        </is>
      </c>
      <c r="H6" s="10" t="inlineStr"/>
      <c r="I6" s="10" t="inlineStr"/>
      <c r="J6" s="10" t="inlineStr">
        <is>
          <t>Published</t>
        </is>
      </c>
    </row>
    <row r="7" ht="22" customHeight="1">
      <c r="B7" s="14" t="n">
        <v>3</v>
      </c>
      <c r="C7" s="15" t="inlineStr"/>
      <c r="D7" s="15" t="inlineStr"/>
      <c r="E7" s="16" t="inlineStr">
        <is>
          <t>Journal Paper — UGC Care</t>
        </is>
      </c>
      <c r="F7" s="15" t="inlineStr"/>
      <c r="G7" s="16" t="inlineStr">
        <is>
          <t>UGC CARE List</t>
        </is>
      </c>
      <c r="H7" s="16" t="inlineStr"/>
      <c r="I7" s="16" t="inlineStr"/>
      <c r="J7" s="16" t="inlineStr">
        <is>
          <t>Published</t>
        </is>
      </c>
    </row>
    <row r="8" ht="22" customHeight="1">
      <c r="B8" s="8" t="n">
        <v>4</v>
      </c>
      <c r="C8" s="9" t="inlineStr"/>
      <c r="D8" s="9" t="inlineStr"/>
      <c r="E8" s="10" t="inlineStr">
        <is>
          <t>Conference Paper — International</t>
        </is>
      </c>
      <c r="F8" s="9" t="inlineStr"/>
      <c r="G8" s="10" t="inlineStr">
        <is>
          <t>Web of Science</t>
        </is>
      </c>
      <c r="H8" s="10" t="inlineStr"/>
      <c r="I8" s="10" t="inlineStr"/>
      <c r="J8" s="10" t="inlineStr">
        <is>
          <t>Published</t>
        </is>
      </c>
    </row>
    <row r="9" ht="22" customHeight="1">
      <c r="B9" s="14" t="n">
        <v>5</v>
      </c>
      <c r="C9" s="15" t="inlineStr"/>
      <c r="D9" s="15" t="inlineStr"/>
      <c r="E9" s="16" t="inlineStr">
        <is>
          <t>Conference Paper — National</t>
        </is>
      </c>
      <c r="F9" s="15" t="inlineStr"/>
      <c r="G9" s="16" t="inlineStr">
        <is>
          <t>ESCI</t>
        </is>
      </c>
      <c r="H9" s="16" t="inlineStr"/>
      <c r="I9" s="16" t="inlineStr"/>
      <c r="J9" s="16" t="inlineStr">
        <is>
          <t>Published</t>
        </is>
      </c>
    </row>
    <row r="10" ht="22" customHeight="1">
      <c r="B10" s="8" t="n">
        <v>6</v>
      </c>
      <c r="C10" s="9" t="inlineStr"/>
      <c r="D10" s="9" t="inlineStr"/>
      <c r="E10" s="10" t="inlineStr">
        <is>
          <t>Book Chapter</t>
        </is>
      </c>
      <c r="F10" s="9" t="inlineStr"/>
      <c r="G10" s="10" t="inlineStr">
        <is>
          <t>Non-Indexed / Institutional</t>
        </is>
      </c>
      <c r="H10" s="10" t="inlineStr"/>
      <c r="I10" s="10" t="inlineStr"/>
      <c r="J10" s="10" t="inlineStr">
        <is>
          <t>Published</t>
        </is>
      </c>
    </row>
    <row r="11" ht="22" customHeight="1">
      <c r="B11" s="14" t="n">
        <v>7</v>
      </c>
      <c r="C11" s="15" t="inlineStr"/>
      <c r="D11" s="15" t="inlineStr"/>
      <c r="E11" s="16" t="inlineStr">
        <is>
          <t>Book (Authored / Edited)</t>
        </is>
      </c>
      <c r="F11" s="15" t="inlineStr"/>
      <c r="G11" s="16" t="inlineStr">
        <is>
          <t>N/A — Patent / Book</t>
        </is>
      </c>
      <c r="H11" s="16" t="inlineStr"/>
      <c r="I11" s="16" t="inlineStr"/>
      <c r="J11" s="16" t="inlineStr">
        <is>
          <t>Published</t>
        </is>
      </c>
    </row>
    <row r="12" ht="22" customHeight="1">
      <c r="B12" s="8" t="n">
        <v>8</v>
      </c>
      <c r="C12" s="9" t="inlineStr"/>
      <c r="D12" s="9" t="inlineStr"/>
      <c r="E12" s="10" t="inlineStr">
        <is>
          <t>Patent — Filed</t>
        </is>
      </c>
      <c r="F12" s="9" t="inlineStr"/>
      <c r="G12" s="10" t="inlineStr">
        <is>
          <t>SCI / SCIE</t>
        </is>
      </c>
      <c r="H12" s="10" t="inlineStr"/>
      <c r="I12" s="10" t="inlineStr"/>
      <c r="J12" s="10" t="inlineStr">
        <is>
          <t>Published</t>
        </is>
      </c>
    </row>
    <row r="13" ht="22" customHeight="1">
      <c r="B13" s="14" t="n">
        <v>9</v>
      </c>
      <c r="C13" s="15" t="inlineStr"/>
      <c r="D13" s="15" t="inlineStr"/>
      <c r="E13" s="16" t="inlineStr">
        <is>
          <t>Patent — Granted</t>
        </is>
      </c>
      <c r="F13" s="15" t="inlineStr"/>
      <c r="G13" s="16" t="inlineStr">
        <is>
          <t>Scopus</t>
        </is>
      </c>
      <c r="H13" s="16" t="inlineStr"/>
      <c r="I13" s="16" t="inlineStr"/>
      <c r="J13" s="16" t="inlineStr">
        <is>
          <t>Published</t>
        </is>
      </c>
    </row>
    <row r="14" ht="22" customHeight="1">
      <c r="B14" s="8" t="n">
        <v>10</v>
      </c>
      <c r="C14" s="9" t="inlineStr"/>
      <c r="D14" s="9" t="inlineStr"/>
      <c r="E14" s="10" t="inlineStr">
        <is>
          <t>Research Project Report</t>
        </is>
      </c>
      <c r="F14" s="9" t="inlineStr"/>
      <c r="G14" s="10" t="inlineStr">
        <is>
          <t>UGC CARE List</t>
        </is>
      </c>
      <c r="H14" s="10" t="inlineStr"/>
      <c r="I14" s="10" t="inlineStr"/>
      <c r="J14" s="10" t="inlineStr">
        <is>
          <t>Published</t>
        </is>
      </c>
    </row>
    <row r="15" ht="22" customHeight="1">
      <c r="B15" s="14" t="n">
        <v>11</v>
      </c>
      <c r="C15" s="15" t="inlineStr"/>
      <c r="D15" s="15" t="inlineStr"/>
      <c r="E15" s="16" t="inlineStr">
        <is>
          <t>Review Article</t>
        </is>
      </c>
      <c r="F15" s="15" t="inlineStr"/>
      <c r="G15" s="16" t="inlineStr">
        <is>
          <t>Web of Science</t>
        </is>
      </c>
      <c r="H15" s="16" t="inlineStr"/>
      <c r="I15" s="16" t="inlineStr"/>
      <c r="J15" s="16" t="inlineStr">
        <is>
          <t>Published</t>
        </is>
      </c>
    </row>
    <row r="16" ht="22" customHeight="1">
      <c r="B16" s="8" t="n">
        <v>12</v>
      </c>
      <c r="C16" s="9" t="inlineStr"/>
      <c r="D16" s="9" t="inlineStr"/>
      <c r="E16" s="10" t="inlineStr">
        <is>
          <t>Technical Report</t>
        </is>
      </c>
      <c r="F16" s="9" t="inlineStr"/>
      <c r="G16" s="10" t="inlineStr">
        <is>
          <t>ESCI</t>
        </is>
      </c>
      <c r="H16" s="10" t="inlineStr"/>
      <c r="I16" s="10" t="inlineStr"/>
      <c r="J16" s="10" t="inlineStr">
        <is>
          <t>Published</t>
        </is>
      </c>
    </row>
    <row r="17" ht="22" customHeight="1">
      <c r="B17" s="14" t="n">
        <v>13</v>
      </c>
      <c r="C17" s="15" t="inlineStr"/>
      <c r="D17" s="15" t="inlineStr"/>
      <c r="E17" s="16" t="inlineStr">
        <is>
          <t>Journal Paper — SCI Indexed</t>
        </is>
      </c>
      <c r="F17" s="15" t="inlineStr"/>
      <c r="G17" s="16" t="inlineStr">
        <is>
          <t>Non-Indexed / Institutional</t>
        </is>
      </c>
      <c r="H17" s="16" t="inlineStr"/>
      <c r="I17" s="16" t="inlineStr"/>
      <c r="J17" s="16" t="inlineStr">
        <is>
          <t>Published</t>
        </is>
      </c>
    </row>
    <row r="18" ht="22" customHeight="1">
      <c r="B18" s="8" t="n">
        <v>14</v>
      </c>
      <c r="C18" s="9" t="inlineStr"/>
      <c r="D18" s="9" t="inlineStr"/>
      <c r="E18" s="10" t="inlineStr">
        <is>
          <t>Journal Paper — Scopus</t>
        </is>
      </c>
      <c r="F18" s="9" t="inlineStr"/>
      <c r="G18" s="10" t="inlineStr">
        <is>
          <t>N/A — Patent / Book</t>
        </is>
      </c>
      <c r="H18" s="10" t="inlineStr"/>
      <c r="I18" s="10" t="inlineStr"/>
      <c r="J18" s="10" t="inlineStr">
        <is>
          <t>Published</t>
        </is>
      </c>
    </row>
    <row r="19" ht="22" customHeight="1">
      <c r="B19" s="14" t="n">
        <v>15</v>
      </c>
      <c r="C19" s="15" t="inlineStr"/>
      <c r="D19" s="15" t="inlineStr"/>
      <c r="E19" s="16" t="inlineStr">
        <is>
          <t>Journal Paper — UGC Care</t>
        </is>
      </c>
      <c r="F19" s="15" t="inlineStr"/>
      <c r="G19" s="16" t="inlineStr">
        <is>
          <t>SCI / SCIE</t>
        </is>
      </c>
      <c r="H19" s="16" t="inlineStr"/>
      <c r="I19" s="16" t="inlineStr"/>
      <c r="J19" s="16" t="inlineStr">
        <is>
          <t>Published</t>
        </is>
      </c>
    </row>
    <row r="20" ht="22" customHeight="1">
      <c r="B20" s="8" t="n">
        <v>16</v>
      </c>
      <c r="C20" s="9" t="inlineStr"/>
      <c r="D20" s="9" t="inlineStr"/>
      <c r="E20" s="10" t="inlineStr">
        <is>
          <t>Conference Paper — International</t>
        </is>
      </c>
      <c r="F20" s="9" t="inlineStr"/>
      <c r="G20" s="10" t="inlineStr">
        <is>
          <t>Scopus</t>
        </is>
      </c>
      <c r="H20" s="10" t="inlineStr"/>
      <c r="I20" s="10" t="inlineStr"/>
      <c r="J20" s="10" t="inlineStr">
        <is>
          <t>Published</t>
        </is>
      </c>
    </row>
    <row r="21" ht="22" customHeight="1">
      <c r="B21" s="14" t="n">
        <v>17</v>
      </c>
      <c r="C21" s="15" t="inlineStr"/>
      <c r="D21" s="15" t="inlineStr"/>
      <c r="E21" s="16" t="inlineStr">
        <is>
          <t>Conference Paper — National</t>
        </is>
      </c>
      <c r="F21" s="15" t="inlineStr"/>
      <c r="G21" s="16" t="inlineStr">
        <is>
          <t>UGC CARE List</t>
        </is>
      </c>
      <c r="H21" s="16" t="inlineStr"/>
      <c r="I21" s="16" t="inlineStr"/>
      <c r="J21" s="16" t="inlineStr">
        <is>
          <t>Published</t>
        </is>
      </c>
    </row>
    <row r="22" ht="22" customHeight="1">
      <c r="B22" s="8" t="n">
        <v>18</v>
      </c>
      <c r="C22" s="9" t="inlineStr"/>
      <c r="D22" s="9" t="inlineStr"/>
      <c r="E22" s="10" t="inlineStr">
        <is>
          <t>Book Chapter</t>
        </is>
      </c>
      <c r="F22" s="9" t="inlineStr"/>
      <c r="G22" s="10" t="inlineStr">
        <is>
          <t>Web of Science</t>
        </is>
      </c>
      <c r="H22" s="10" t="inlineStr"/>
      <c r="I22" s="10" t="inlineStr"/>
      <c r="J22" s="10" t="inlineStr">
        <is>
          <t>Published</t>
        </is>
      </c>
    </row>
    <row r="23" ht="22" customHeight="1">
      <c r="B23" s="14" t="n">
        <v>19</v>
      </c>
      <c r="C23" s="15" t="inlineStr"/>
      <c r="D23" s="15" t="inlineStr"/>
      <c r="E23" s="16" t="inlineStr">
        <is>
          <t>Book (Authored / Edited)</t>
        </is>
      </c>
      <c r="F23" s="15" t="inlineStr"/>
      <c r="G23" s="16" t="inlineStr">
        <is>
          <t>ESCI</t>
        </is>
      </c>
      <c r="H23" s="16" t="inlineStr"/>
      <c r="I23" s="16" t="inlineStr"/>
      <c r="J23" s="16" t="inlineStr">
        <is>
          <t>Published</t>
        </is>
      </c>
    </row>
    <row r="24" ht="22" customHeight="1">
      <c r="B24" s="8" t="n">
        <v>20</v>
      </c>
      <c r="C24" s="9" t="inlineStr"/>
      <c r="D24" s="9" t="inlineStr"/>
      <c r="E24" s="10" t="inlineStr">
        <is>
          <t>Patent — Filed</t>
        </is>
      </c>
      <c r="F24" s="9" t="inlineStr"/>
      <c r="G24" s="10" t="inlineStr">
        <is>
          <t>Non-Indexed / Institutional</t>
        </is>
      </c>
      <c r="H24" s="10" t="inlineStr"/>
      <c r="I24" s="10" t="inlineStr"/>
      <c r="J24" s="10" t="inlineStr">
        <is>
          <t>Published</t>
        </is>
      </c>
    </row>
    <row r="25" ht="22" customHeight="1">
      <c r="B25" s="14" t="n">
        <v>21</v>
      </c>
      <c r="C25" s="15" t="inlineStr"/>
      <c r="D25" s="15" t="inlineStr"/>
      <c r="E25" s="16" t="inlineStr">
        <is>
          <t>Patent — Granted</t>
        </is>
      </c>
      <c r="F25" s="15" t="inlineStr"/>
      <c r="G25" s="16" t="inlineStr">
        <is>
          <t>N/A — Patent / Book</t>
        </is>
      </c>
      <c r="H25" s="16" t="inlineStr"/>
      <c r="I25" s="16" t="inlineStr"/>
      <c r="J25" s="16" t="inlineStr">
        <is>
          <t>Published</t>
        </is>
      </c>
    </row>
    <row r="26" ht="22" customHeight="1">
      <c r="B26" s="8" t="n">
        <v>22</v>
      </c>
      <c r="C26" s="9" t="inlineStr"/>
      <c r="D26" s="9" t="inlineStr"/>
      <c r="E26" s="10" t="inlineStr">
        <is>
          <t>Research Project Report</t>
        </is>
      </c>
      <c r="F26" s="9" t="inlineStr"/>
      <c r="G26" s="10" t="inlineStr">
        <is>
          <t>SCI / SCIE</t>
        </is>
      </c>
      <c r="H26" s="10" t="inlineStr"/>
      <c r="I26" s="10" t="inlineStr"/>
      <c r="J26" s="10" t="inlineStr">
        <is>
          <t>Published</t>
        </is>
      </c>
    </row>
    <row r="27" ht="22" customHeight="1">
      <c r="B27" s="14" t="n">
        <v>23</v>
      </c>
      <c r="C27" s="15" t="inlineStr"/>
      <c r="D27" s="15" t="inlineStr"/>
      <c r="E27" s="16" t="inlineStr">
        <is>
          <t>Review Article</t>
        </is>
      </c>
      <c r="F27" s="15" t="inlineStr"/>
      <c r="G27" s="16" t="inlineStr">
        <is>
          <t>Scopus</t>
        </is>
      </c>
      <c r="H27" s="16" t="inlineStr"/>
      <c r="I27" s="16" t="inlineStr"/>
      <c r="J27" s="16" t="inlineStr">
        <is>
          <t>Published</t>
        </is>
      </c>
    </row>
    <row r="28" ht="22" customHeight="1">
      <c r="B28" s="8" t="n">
        <v>24</v>
      </c>
      <c r="C28" s="9" t="inlineStr"/>
      <c r="D28" s="9" t="inlineStr"/>
      <c r="E28" s="10" t="inlineStr">
        <is>
          <t>Technical Report</t>
        </is>
      </c>
      <c r="F28" s="9" t="inlineStr"/>
      <c r="G28" s="10" t="inlineStr">
        <is>
          <t>UGC CARE List</t>
        </is>
      </c>
      <c r="H28" s="10" t="inlineStr"/>
      <c r="I28" s="10" t="inlineStr"/>
      <c r="J28" s="10" t="inlineStr">
        <is>
          <t>Published</t>
        </is>
      </c>
    </row>
    <row r="29" ht="22" customHeight="1">
      <c r="B29" s="14" t="n">
        <v>25</v>
      </c>
      <c r="C29" s="15" t="inlineStr"/>
      <c r="D29" s="15" t="inlineStr"/>
      <c r="E29" s="16" t="inlineStr">
        <is>
          <t>Journal Paper — SCI Indexed</t>
        </is>
      </c>
      <c r="F29" s="15" t="inlineStr"/>
      <c r="G29" s="16" t="inlineStr">
        <is>
          <t>Web of Science</t>
        </is>
      </c>
      <c r="H29" s="16" t="inlineStr"/>
      <c r="I29" s="16" t="inlineStr"/>
      <c r="J29" s="16" t="inlineStr">
        <is>
          <t>Published</t>
        </is>
      </c>
    </row>
    <row r="30" ht="22" customHeight="1">
      <c r="B30" s="8" t="n">
        <v>26</v>
      </c>
      <c r="C30" s="9" t="inlineStr"/>
      <c r="D30" s="9" t="inlineStr"/>
      <c r="E30" s="10" t="inlineStr">
        <is>
          <t>Journal Paper — Scopus</t>
        </is>
      </c>
      <c r="F30" s="9" t="inlineStr"/>
      <c r="G30" s="10" t="inlineStr">
        <is>
          <t>ESCI</t>
        </is>
      </c>
      <c r="H30" s="10" t="inlineStr"/>
      <c r="I30" s="10" t="inlineStr"/>
      <c r="J30" s="10" t="inlineStr">
        <is>
          <t>Published</t>
        </is>
      </c>
    </row>
    <row r="31" ht="22" customHeight="1"/>
    <row r="32" ht="24" customHeight="1">
      <c r="B32" s="34" t="inlineStr">
        <is>
          <t>PUBLICATION SUMMARY</t>
        </is>
      </c>
    </row>
    <row r="33" ht="22" customHeight="1">
      <c r="B33" s="50" t="inlineStr">
        <is>
          <t>Total Publications</t>
        </is>
      </c>
      <c r="F33" s="26">
        <f>COUNTA(B5:B30)</f>
        <v/>
      </c>
    </row>
    <row r="34">
      <c r="B34" s="25" t="inlineStr">
        <is>
          <t>SCI / SCIE Indexed</t>
        </is>
      </c>
      <c r="F34" s="36">
        <f>COUNTIF(G5:G30,"SCI / SCIE")</f>
        <v/>
      </c>
    </row>
    <row r="35">
      <c r="B35" s="50" t="inlineStr">
        <is>
          <t>Scopus Indexed</t>
        </is>
      </c>
      <c r="F35" s="26">
        <f>COUNTIF(G5:G30,"Scopus")</f>
        <v/>
      </c>
    </row>
    <row r="36">
      <c r="B36" s="25" t="inlineStr">
        <is>
          <t>Patents (Filed + Granted)</t>
        </is>
      </c>
      <c r="F36" s="36">
        <f>COUNTIF(E5:E30,"Patent — Filed")+COUNTIF(E5:E30,"Patent — Granted")</f>
        <v/>
      </c>
    </row>
    <row r="37">
      <c r="B37" s="50" t="inlineStr">
        <is>
          <t>Books / Book Chapters</t>
        </is>
      </c>
      <c r="F37" s="26">
        <f>COUNTIF(E5:E30,"Book (Authored / Edited)")+COUNTIF(E5:E30,"Book Chapter")</f>
        <v/>
      </c>
    </row>
    <row r="38">
      <c r="B38" s="25" t="inlineStr">
        <is>
          <t>Average IF (SCI papers)</t>
        </is>
      </c>
      <c r="F38" s="36">
        <f>IFERROR(ROUND(AVERAGEIF(G5:G30,"SCI / SCIE",I5:I30),2),"")</f>
        <v/>
      </c>
    </row>
  </sheetData>
  <mergeCells count="15">
    <mergeCell ref="B3:J3"/>
    <mergeCell ref="B35:E35"/>
    <mergeCell ref="F37:J37"/>
    <mergeCell ref="F34:J34"/>
    <mergeCell ref="B37:E37"/>
    <mergeCell ref="F38:J38"/>
    <mergeCell ref="B32:J32"/>
    <mergeCell ref="B38:E38"/>
    <mergeCell ref="F36:J36"/>
    <mergeCell ref="B33:E33"/>
    <mergeCell ref="F33:J33"/>
    <mergeCell ref="B34:E34"/>
    <mergeCell ref="F35:J35"/>
    <mergeCell ref="B36:E36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DDC-30: STUDENT ACADEMIC RESULT ANALYSIS REGISTER</t>
        </is>
      </c>
    </row>
    <row r="3" ht="20" customHeight="1">
      <c r="B3" s="2" t="inlineStr">
        <is>
          <t>Department: _______  Semester: _______  A.Y.: _______  HoD: ___________________</t>
        </is>
      </c>
    </row>
    <row r="4" ht="25" customHeight="1">
      <c r="B4" s="13" t="inlineStr">
        <is>
          <t>Course
Code</t>
        </is>
      </c>
      <c r="C4" s="13" t="inlineStr">
        <is>
          <t>Course Name</t>
        </is>
      </c>
      <c r="D4" s="13" t="inlineStr">
        <is>
          <t>Faculty</t>
        </is>
      </c>
      <c r="E4" s="13" t="inlineStr">
        <is>
          <t>Students
Appeared</t>
        </is>
      </c>
      <c r="F4" s="13" t="inlineStr">
        <is>
          <t>Students
Passed</t>
        </is>
      </c>
      <c r="G4" s="13" t="inlineStr">
        <is>
          <t>Pass
%</t>
        </is>
      </c>
      <c r="H4" s="13" t="inlineStr">
        <is>
          <t>Dist.
(≥75)</t>
        </is>
      </c>
      <c r="I4" s="13" t="inlineStr">
        <is>
          <t>First
(60–74)</t>
        </is>
      </c>
      <c r="J4" s="13" t="inlineStr">
        <is>
          <t>Second
(50–59)</t>
        </is>
      </c>
      <c r="K4" s="13" t="inlineStr">
        <is>
          <t>Below
50%</t>
        </is>
      </c>
      <c r="L4" s="13" t="inlineStr">
        <is>
          <t>Action
Required</t>
        </is>
      </c>
    </row>
    <row r="5" ht="22" customHeight="1">
      <c r="B5" s="16" t="inlineStr"/>
      <c r="C5" s="15" t="inlineStr"/>
      <c r="D5" s="15" t="inlineStr"/>
      <c r="E5" s="16" t="inlineStr"/>
      <c r="F5" s="16" t="inlineStr"/>
      <c r="G5" s="26">
        <f>IFERROR(ROUND(F5/E5*100,1),"")</f>
        <v/>
      </c>
      <c r="H5" s="16" t="inlineStr"/>
      <c r="I5" s="16" t="inlineStr"/>
      <c r="J5" s="16" t="inlineStr"/>
      <c r="K5" s="16" t="inlineStr"/>
      <c r="L5" s="15" t="inlineStr"/>
    </row>
    <row r="6" ht="22" customHeight="1">
      <c r="B6" s="10" t="inlineStr"/>
      <c r="C6" s="9" t="inlineStr"/>
      <c r="D6" s="9" t="inlineStr"/>
      <c r="E6" s="10" t="inlineStr"/>
      <c r="F6" s="10" t="inlineStr"/>
      <c r="G6" s="36">
        <f>IFERROR(ROUND(F6/E6*100,1),"")</f>
        <v/>
      </c>
      <c r="H6" s="10" t="inlineStr"/>
      <c r="I6" s="10" t="inlineStr"/>
      <c r="J6" s="10" t="inlineStr"/>
      <c r="K6" s="10" t="inlineStr"/>
      <c r="L6" s="9" t="inlineStr"/>
    </row>
    <row r="7" ht="22" customHeight="1">
      <c r="B7" s="16" t="inlineStr"/>
      <c r="C7" s="15" t="inlineStr"/>
      <c r="D7" s="15" t="inlineStr"/>
      <c r="E7" s="16" t="inlineStr"/>
      <c r="F7" s="16" t="inlineStr"/>
      <c r="G7" s="26">
        <f>IFERROR(ROUND(F7/E7*100,1),"")</f>
        <v/>
      </c>
      <c r="H7" s="16" t="inlineStr"/>
      <c r="I7" s="16" t="inlineStr"/>
      <c r="J7" s="16" t="inlineStr"/>
      <c r="K7" s="16" t="inlineStr"/>
      <c r="L7" s="15" t="inlineStr"/>
    </row>
    <row r="8" ht="22" customHeight="1">
      <c r="B8" s="10" t="inlineStr"/>
      <c r="C8" s="9" t="inlineStr"/>
      <c r="D8" s="9" t="inlineStr"/>
      <c r="E8" s="10" t="inlineStr"/>
      <c r="F8" s="10" t="inlineStr"/>
      <c r="G8" s="36">
        <f>IFERROR(ROUND(F8/E8*100,1),"")</f>
        <v/>
      </c>
      <c r="H8" s="10" t="inlineStr"/>
      <c r="I8" s="10" t="inlineStr"/>
      <c r="J8" s="10" t="inlineStr"/>
      <c r="K8" s="10" t="inlineStr"/>
      <c r="L8" s="9" t="inlineStr"/>
    </row>
    <row r="9" ht="22" customHeight="1">
      <c r="B9" s="16" t="inlineStr"/>
      <c r="C9" s="15" t="inlineStr"/>
      <c r="D9" s="15" t="inlineStr"/>
      <c r="E9" s="16" t="inlineStr"/>
      <c r="F9" s="16" t="inlineStr"/>
      <c r="G9" s="26">
        <f>IFERROR(ROUND(F9/E9*100,1),"")</f>
        <v/>
      </c>
      <c r="H9" s="16" t="inlineStr"/>
      <c r="I9" s="16" t="inlineStr"/>
      <c r="J9" s="16" t="inlineStr"/>
      <c r="K9" s="16" t="inlineStr"/>
      <c r="L9" s="15" t="inlineStr"/>
    </row>
    <row r="10" ht="22" customHeight="1">
      <c r="B10" s="10" t="inlineStr"/>
      <c r="C10" s="9" t="inlineStr"/>
      <c r="D10" s="9" t="inlineStr"/>
      <c r="E10" s="10" t="inlineStr"/>
      <c r="F10" s="10" t="inlineStr"/>
      <c r="G10" s="36">
        <f>IFERROR(ROUND(F10/E10*100,1),"")</f>
        <v/>
      </c>
      <c r="H10" s="10" t="inlineStr"/>
      <c r="I10" s="10" t="inlineStr"/>
      <c r="J10" s="10" t="inlineStr"/>
      <c r="K10" s="10" t="inlineStr"/>
      <c r="L10" s="9" t="inlineStr"/>
    </row>
    <row r="11" ht="22" customHeight="1">
      <c r="B11" s="16" t="inlineStr"/>
      <c r="C11" s="15" t="inlineStr"/>
      <c r="D11" s="15" t="inlineStr"/>
      <c r="E11" s="16" t="inlineStr"/>
      <c r="F11" s="16" t="inlineStr"/>
      <c r="G11" s="26">
        <f>IFERROR(ROUND(F11/E11*100,1),"")</f>
        <v/>
      </c>
      <c r="H11" s="16" t="inlineStr"/>
      <c r="I11" s="16" t="inlineStr"/>
      <c r="J11" s="16" t="inlineStr"/>
      <c r="K11" s="16" t="inlineStr"/>
      <c r="L11" s="15" t="inlineStr"/>
    </row>
    <row r="12" ht="22" customHeight="1">
      <c r="B12" s="10" t="inlineStr"/>
      <c r="C12" s="9" t="inlineStr"/>
      <c r="D12" s="9" t="inlineStr"/>
      <c r="E12" s="10" t="inlineStr"/>
      <c r="F12" s="10" t="inlineStr"/>
      <c r="G12" s="36">
        <f>IFERROR(ROUND(F12/E12*100,1),"")</f>
        <v/>
      </c>
      <c r="H12" s="10" t="inlineStr"/>
      <c r="I12" s="10" t="inlineStr"/>
      <c r="J12" s="10" t="inlineStr"/>
      <c r="K12" s="10" t="inlineStr"/>
      <c r="L12" s="9" t="inlineStr"/>
    </row>
    <row r="13" ht="22" customHeight="1">
      <c r="B13" s="16" t="inlineStr"/>
      <c r="C13" s="15" t="inlineStr"/>
      <c r="D13" s="15" t="inlineStr"/>
      <c r="E13" s="16" t="inlineStr"/>
      <c r="F13" s="16" t="inlineStr"/>
      <c r="G13" s="26">
        <f>IFERROR(ROUND(F13/E13*100,1),"")</f>
        <v/>
      </c>
      <c r="H13" s="16" t="inlineStr"/>
      <c r="I13" s="16" t="inlineStr"/>
      <c r="J13" s="16" t="inlineStr"/>
      <c r="K13" s="16" t="inlineStr"/>
      <c r="L13" s="15" t="inlineStr"/>
    </row>
    <row r="14" ht="22" customHeight="1">
      <c r="B14" s="10" t="inlineStr"/>
      <c r="C14" s="9" t="inlineStr"/>
      <c r="D14" s="9" t="inlineStr"/>
      <c r="E14" s="10" t="inlineStr"/>
      <c r="F14" s="10" t="inlineStr"/>
      <c r="G14" s="36">
        <f>IFERROR(ROUND(F14/E14*100,1),"")</f>
        <v/>
      </c>
      <c r="H14" s="10" t="inlineStr"/>
      <c r="I14" s="10" t="inlineStr"/>
      <c r="J14" s="10" t="inlineStr"/>
      <c r="K14" s="10" t="inlineStr"/>
      <c r="L14" s="9" t="inlineStr"/>
    </row>
    <row r="15" ht="22" customHeight="1">
      <c r="B15" s="16" t="inlineStr"/>
      <c r="C15" s="15" t="inlineStr"/>
      <c r="D15" s="15" t="inlineStr"/>
      <c r="E15" s="16" t="inlineStr"/>
      <c r="F15" s="16" t="inlineStr"/>
      <c r="G15" s="26">
        <f>IFERROR(ROUND(F15/E15*100,1),"")</f>
        <v/>
      </c>
      <c r="H15" s="16" t="inlineStr"/>
      <c r="I15" s="16" t="inlineStr"/>
      <c r="J15" s="16" t="inlineStr"/>
      <c r="K15" s="16" t="inlineStr"/>
      <c r="L15" s="15" t="inlineStr"/>
    </row>
    <row r="16" ht="22" customHeight="1">
      <c r="B16" s="10" t="inlineStr"/>
      <c r="C16" s="9" t="inlineStr"/>
      <c r="D16" s="9" t="inlineStr"/>
      <c r="E16" s="10" t="inlineStr"/>
      <c r="F16" s="10" t="inlineStr"/>
      <c r="G16" s="36">
        <f>IFERROR(ROUND(F16/E16*100,1),"")</f>
        <v/>
      </c>
      <c r="H16" s="10" t="inlineStr"/>
      <c r="I16" s="10" t="inlineStr"/>
      <c r="J16" s="10" t="inlineStr"/>
      <c r="K16" s="10" t="inlineStr"/>
      <c r="L16" s="9" t="inlineStr"/>
    </row>
    <row r="17" ht="22" customHeight="1">
      <c r="B17" s="16" t="inlineStr"/>
      <c r="C17" s="15" t="inlineStr"/>
      <c r="D17" s="15" t="inlineStr"/>
      <c r="E17" s="16" t="inlineStr"/>
      <c r="F17" s="16" t="inlineStr"/>
      <c r="G17" s="26">
        <f>IFERROR(ROUND(F17/E17*100,1),"")</f>
        <v/>
      </c>
      <c r="H17" s="16" t="inlineStr"/>
      <c r="I17" s="16" t="inlineStr"/>
      <c r="J17" s="16" t="inlineStr"/>
      <c r="K17" s="16" t="inlineStr"/>
      <c r="L17" s="15" t="inlineStr"/>
    </row>
    <row r="18" ht="22" customHeight="1">
      <c r="B18" s="10" t="inlineStr"/>
      <c r="C18" s="9" t="inlineStr"/>
      <c r="D18" s="9" t="inlineStr"/>
      <c r="E18" s="10" t="inlineStr"/>
      <c r="F18" s="10" t="inlineStr"/>
      <c r="G18" s="36">
        <f>IFERROR(ROUND(F18/E18*100,1),"")</f>
        <v/>
      </c>
      <c r="H18" s="10" t="inlineStr"/>
      <c r="I18" s="10" t="inlineStr"/>
      <c r="J18" s="10" t="inlineStr"/>
      <c r="K18" s="10" t="inlineStr"/>
      <c r="L18" s="9" t="inlineStr"/>
    </row>
    <row r="19" ht="22" customHeight="1">
      <c r="B19" s="16" t="inlineStr"/>
      <c r="C19" s="15" t="inlineStr"/>
      <c r="D19" s="15" t="inlineStr"/>
      <c r="E19" s="16" t="inlineStr"/>
      <c r="F19" s="16" t="inlineStr"/>
      <c r="G19" s="26">
        <f>IFERROR(ROUND(F19/E19*100,1),"")</f>
        <v/>
      </c>
      <c r="H19" s="16" t="inlineStr"/>
      <c r="I19" s="16" t="inlineStr"/>
      <c r="J19" s="16" t="inlineStr"/>
      <c r="K19" s="16" t="inlineStr"/>
      <c r="L19" s="15" t="inlineStr"/>
    </row>
    <row r="20" ht="22" customHeight="1">
      <c r="B20" s="10" t="inlineStr"/>
      <c r="C20" s="9" t="inlineStr"/>
      <c r="D20" s="9" t="inlineStr"/>
      <c r="E20" s="10" t="inlineStr"/>
      <c r="F20" s="10" t="inlineStr"/>
      <c r="G20" s="36">
        <f>IFERROR(ROUND(F20/E20*100,1),"")</f>
        <v/>
      </c>
      <c r="H20" s="10" t="inlineStr"/>
      <c r="I20" s="10" t="inlineStr"/>
      <c r="J20" s="10" t="inlineStr"/>
      <c r="K20" s="10" t="inlineStr"/>
      <c r="L20" s="9" t="inlineStr"/>
    </row>
    <row r="21" ht="22" customHeight="1">
      <c r="B21" s="16" t="inlineStr"/>
      <c r="C21" s="15" t="inlineStr"/>
      <c r="D21" s="15" t="inlineStr"/>
      <c r="E21" s="16" t="inlineStr"/>
      <c r="F21" s="16" t="inlineStr"/>
      <c r="G21" s="26">
        <f>IFERROR(ROUND(F21/E21*100,1),"")</f>
        <v/>
      </c>
      <c r="H21" s="16" t="inlineStr"/>
      <c r="I21" s="16" t="inlineStr"/>
      <c r="J21" s="16" t="inlineStr"/>
      <c r="K21" s="16" t="inlineStr"/>
      <c r="L21" s="15" t="inlineStr"/>
    </row>
    <row r="22" ht="22" customHeight="1">
      <c r="B22" s="10" t="inlineStr"/>
      <c r="C22" s="9" t="inlineStr"/>
      <c r="D22" s="9" t="inlineStr"/>
      <c r="E22" s="10" t="inlineStr"/>
      <c r="F22" s="10" t="inlineStr"/>
      <c r="G22" s="36">
        <f>IFERROR(ROUND(F22/E22*100,1),"")</f>
        <v/>
      </c>
      <c r="H22" s="10" t="inlineStr"/>
      <c r="I22" s="10" t="inlineStr"/>
      <c r="J22" s="10" t="inlineStr"/>
      <c r="K22" s="10" t="inlineStr"/>
      <c r="L22" s="9" t="inlineStr"/>
    </row>
    <row r="23" ht="22" customHeight="1">
      <c r="B23" s="16" t="inlineStr"/>
      <c r="C23" s="15" t="inlineStr"/>
      <c r="D23" s="15" t="inlineStr"/>
      <c r="E23" s="16" t="inlineStr"/>
      <c r="F23" s="16" t="inlineStr"/>
      <c r="G23" s="26">
        <f>IFERROR(ROUND(F23/E23*100,1),"")</f>
        <v/>
      </c>
      <c r="H23" s="16" t="inlineStr"/>
      <c r="I23" s="16" t="inlineStr"/>
      <c r="J23" s="16" t="inlineStr"/>
      <c r="K23" s="16" t="inlineStr"/>
      <c r="L23" s="15" t="inlineStr"/>
    </row>
    <row r="24" ht="22" customHeight="1">
      <c r="B24" s="10" t="inlineStr"/>
      <c r="C24" s="9" t="inlineStr"/>
      <c r="D24" s="9" t="inlineStr"/>
      <c r="E24" s="10" t="inlineStr"/>
      <c r="F24" s="10" t="inlineStr"/>
      <c r="G24" s="36">
        <f>IFERROR(ROUND(F24/E24*100,1),"")</f>
        <v/>
      </c>
      <c r="H24" s="10" t="inlineStr"/>
      <c r="I24" s="10" t="inlineStr"/>
      <c r="J24" s="10" t="inlineStr"/>
      <c r="K24" s="10" t="inlineStr"/>
      <c r="L24" s="9" t="inlineStr"/>
    </row>
    <row r="25" ht="22" customHeight="1"/>
    <row r="26" ht="26" customHeight="1">
      <c r="B26" s="51" t="inlineStr">
        <is>
          <t>DEPT. TOTAL</t>
        </is>
      </c>
      <c r="C26" s="52" t="n"/>
      <c r="D26" s="52" t="n"/>
      <c r="E26" s="53">
        <f>IFERROR(SUM(E5:E24),"")</f>
        <v/>
      </c>
      <c r="F26" s="53">
        <f>IFERROR(SUM(F5:F24),"")</f>
        <v/>
      </c>
      <c r="G26" s="53">
        <f>IFERROR(ROUND(F26/E26*100,1),"")</f>
        <v/>
      </c>
      <c r="H26" s="53">
        <f>IFERROR(SUM(H5:H24),"")</f>
        <v/>
      </c>
      <c r="I26" s="53">
        <f>IFERROR(SUM(I5:I24),"")</f>
        <v/>
      </c>
      <c r="J26" s="53">
        <f>IFERROR(SUM(J5:J24),"")</f>
        <v/>
      </c>
      <c r="K26" s="53">
        <f>IFERROR(SUM(K5:K24),"")</f>
        <v/>
      </c>
      <c r="L26" s="52" t="n"/>
    </row>
    <row r="27" ht="22" customHeight="1"/>
  </sheetData>
  <mergeCells count="2">
    <mergeCell ref="B2:L2"/>
    <mergeCell ref="B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DDC-36: DEPARTMENT RESEARCH PROJECT REGISTER</t>
        </is>
      </c>
    </row>
    <row r="3" ht="20" customHeight="1">
      <c r="B3" s="2" t="inlineStr">
        <is>
          <t>Department: _______  A.Y.: _______  Research Coordinator: ___________________  NAAC Ref.: Criterion III.1</t>
        </is>
      </c>
    </row>
    <row r="4" ht="25" customHeight="1">
      <c r="B4" s="13" t="inlineStr">
        <is>
          <t>Project
Ref.</t>
        </is>
      </c>
      <c r="C4" s="13" t="inlineStr">
        <is>
          <t>Project Title</t>
        </is>
      </c>
      <c r="D4" s="13" t="inlineStr">
        <is>
          <t>Principal
Investigator</t>
        </is>
      </c>
      <c r="E4" s="13" t="inlineStr">
        <is>
          <t>Funding
Agency</t>
        </is>
      </c>
      <c r="F4" s="13" t="inlineStr">
        <is>
          <t>Grant
Amount (₹L)</t>
        </is>
      </c>
      <c r="G4" s="13" t="inlineStr">
        <is>
          <t>Duration</t>
        </is>
      </c>
      <c r="H4" s="13" t="inlineStr">
        <is>
          <t>Start
Date</t>
        </is>
      </c>
      <c r="I4" s="13" t="inlineStr">
        <is>
          <t>Status</t>
        </is>
      </c>
      <c r="J4" s="13" t="inlineStr">
        <is>
          <t>Outcomes</t>
        </is>
      </c>
    </row>
    <row r="5" ht="22" customHeight="1">
      <c r="B5" s="14" t="inlineStr">
        <is>
          <t>RP/2023/001</t>
        </is>
      </c>
      <c r="C5" s="15" t="inlineStr"/>
      <c r="D5" s="15" t="inlineStr"/>
      <c r="E5" s="15" t="inlineStr">
        <is>
          <t>SERB / DST</t>
        </is>
      </c>
      <c r="F5" s="16" t="inlineStr"/>
      <c r="G5" s="16" t="inlineStr"/>
      <c r="H5" s="16" t="inlineStr"/>
      <c r="I5" s="16" t="inlineStr">
        <is>
          <t>Ongoing</t>
        </is>
      </c>
      <c r="J5" s="15" t="inlineStr"/>
    </row>
    <row r="6" ht="22" customHeight="1">
      <c r="B6" s="8" t="inlineStr">
        <is>
          <t>RP/2023/002</t>
        </is>
      </c>
      <c r="C6" s="9" t="inlineStr"/>
      <c r="D6" s="9" t="inlineStr"/>
      <c r="E6" s="9" t="inlineStr">
        <is>
          <t>AICTE MODROBS</t>
        </is>
      </c>
      <c r="F6" s="10" t="inlineStr"/>
      <c r="G6" s="10" t="inlineStr"/>
      <c r="H6" s="10" t="inlineStr"/>
      <c r="I6" s="10" t="inlineStr">
        <is>
          <t>Completed</t>
        </is>
      </c>
      <c r="J6" s="9" t="inlineStr"/>
    </row>
    <row r="7" ht="22" customHeight="1">
      <c r="B7" s="14" t="inlineStr">
        <is>
          <t>RP/2023/003</t>
        </is>
      </c>
      <c r="C7" s="15" t="inlineStr"/>
      <c r="D7" s="15" t="inlineStr"/>
      <c r="E7" s="15" t="inlineStr">
        <is>
          <t>UGC</t>
        </is>
      </c>
      <c r="F7" s="16" t="inlineStr"/>
      <c r="G7" s="16" t="inlineStr"/>
      <c r="H7" s="16" t="inlineStr"/>
      <c r="I7" s="16" t="inlineStr">
        <is>
          <t>Submitted — Under Review</t>
        </is>
      </c>
      <c r="J7" s="15" t="inlineStr"/>
    </row>
    <row r="8" ht="22" customHeight="1">
      <c r="B8" s="8" t="inlineStr">
        <is>
          <t>RP/2023/004</t>
        </is>
      </c>
      <c r="C8" s="9" t="inlineStr"/>
      <c r="D8" s="9" t="inlineStr"/>
      <c r="E8" s="9" t="inlineStr">
        <is>
          <t>DBT</t>
        </is>
      </c>
      <c r="F8" s="10" t="inlineStr"/>
      <c r="G8" s="10" t="inlineStr"/>
      <c r="H8" s="10" t="inlineStr"/>
      <c r="I8" s="10" t="inlineStr">
        <is>
          <t>Sanctioned — Yet to Start</t>
        </is>
      </c>
      <c r="J8" s="9" t="inlineStr"/>
    </row>
    <row r="9" ht="22" customHeight="1">
      <c r="B9" s="14" t="inlineStr">
        <is>
          <t>RP/2023/005</t>
        </is>
      </c>
      <c r="C9" s="15" t="inlineStr"/>
      <c r="D9" s="15" t="inlineStr"/>
      <c r="E9" s="15" t="inlineStr">
        <is>
          <t>CSIR</t>
        </is>
      </c>
      <c r="F9" s="16" t="inlineStr"/>
      <c r="G9" s="16" t="inlineStr"/>
      <c r="H9" s="16" t="inlineStr"/>
      <c r="I9" s="16" t="inlineStr">
        <is>
          <t>Rejected — Resubmitting</t>
        </is>
      </c>
      <c r="J9" s="15" t="inlineStr"/>
    </row>
    <row r="10" ht="22" customHeight="1">
      <c r="B10" s="8" t="inlineStr">
        <is>
          <t>RP/2023/006</t>
        </is>
      </c>
      <c r="C10" s="9" t="inlineStr"/>
      <c r="D10" s="9" t="inlineStr"/>
      <c r="E10" s="9" t="inlineStr">
        <is>
          <t>DRDO</t>
        </is>
      </c>
      <c r="F10" s="10" t="inlineStr"/>
      <c r="G10" s="10" t="inlineStr"/>
      <c r="H10" s="10" t="inlineStr"/>
      <c r="I10" s="10" t="inlineStr">
        <is>
          <t>Completed — Report Submitted</t>
        </is>
      </c>
      <c r="J10" s="9" t="inlineStr"/>
    </row>
    <row r="11" ht="22" customHeight="1">
      <c r="B11" s="14" t="inlineStr">
        <is>
          <t>RP/2024/007</t>
        </is>
      </c>
      <c r="C11" s="15" t="inlineStr"/>
      <c r="D11" s="15" t="inlineStr"/>
      <c r="E11" s="15" t="inlineStr">
        <is>
          <t>ICMR</t>
        </is>
      </c>
      <c r="F11" s="16" t="inlineStr"/>
      <c r="G11" s="16" t="inlineStr"/>
      <c r="H11" s="16" t="inlineStr"/>
      <c r="I11" s="16" t="inlineStr">
        <is>
          <t>Ongoing</t>
        </is>
      </c>
      <c r="J11" s="15" t="inlineStr"/>
    </row>
    <row r="12" ht="22" customHeight="1">
      <c r="B12" s="8" t="inlineStr">
        <is>
          <t>RP/2024/008</t>
        </is>
      </c>
      <c r="C12" s="9" t="inlineStr"/>
      <c r="D12" s="9" t="inlineStr"/>
      <c r="E12" s="9" t="inlineStr">
        <is>
          <t>State DST</t>
        </is>
      </c>
      <c r="F12" s="10" t="inlineStr"/>
      <c r="G12" s="10" t="inlineStr"/>
      <c r="H12" s="10" t="inlineStr"/>
      <c r="I12" s="10" t="inlineStr">
        <is>
          <t>Completed</t>
        </is>
      </c>
      <c r="J12" s="9" t="inlineStr"/>
    </row>
    <row r="13" ht="22" customHeight="1">
      <c r="B13" s="14" t="inlineStr">
        <is>
          <t>RP/2024/009</t>
        </is>
      </c>
      <c r="C13" s="15" t="inlineStr"/>
      <c r="D13" s="15" t="inlineStr"/>
      <c r="E13" s="15" t="inlineStr">
        <is>
          <t>Industry Sponsored</t>
        </is>
      </c>
      <c r="F13" s="16" t="inlineStr"/>
      <c r="G13" s="16" t="inlineStr"/>
      <c r="H13" s="16" t="inlineStr"/>
      <c r="I13" s="16" t="inlineStr">
        <is>
          <t>Submitted — Under Review</t>
        </is>
      </c>
      <c r="J13" s="15" t="inlineStr"/>
    </row>
    <row r="14" ht="22" customHeight="1">
      <c r="B14" s="8" t="inlineStr">
        <is>
          <t>RP/2024/010</t>
        </is>
      </c>
      <c r="C14" s="9" t="inlineStr"/>
      <c r="D14" s="9" t="inlineStr"/>
      <c r="E14" s="9" t="inlineStr">
        <is>
          <t>Institutional (Self-funded)</t>
        </is>
      </c>
      <c r="F14" s="10" t="inlineStr"/>
      <c r="G14" s="10" t="inlineStr"/>
      <c r="H14" s="10" t="inlineStr"/>
      <c r="I14" s="10" t="inlineStr">
        <is>
          <t>Sanctioned — Yet to Start</t>
        </is>
      </c>
      <c r="J14" s="9" t="inlineStr"/>
    </row>
    <row r="15" ht="22" customHeight="1">
      <c r="B15" s="14" t="inlineStr">
        <is>
          <t>RP/2024/011</t>
        </is>
      </c>
      <c r="C15" s="15" t="inlineStr"/>
      <c r="D15" s="15" t="inlineStr"/>
      <c r="E15" s="15" t="inlineStr">
        <is>
          <t>RUSA</t>
        </is>
      </c>
      <c r="F15" s="16" t="inlineStr"/>
      <c r="G15" s="16" t="inlineStr"/>
      <c r="H15" s="16" t="inlineStr"/>
      <c r="I15" s="16" t="inlineStr">
        <is>
          <t>Rejected — Resubmitting</t>
        </is>
      </c>
      <c r="J15" s="15" t="inlineStr"/>
    </row>
    <row r="16" ht="22" customHeight="1">
      <c r="B16" s="8" t="inlineStr">
        <is>
          <t>RP/2024/012</t>
        </is>
      </c>
      <c r="C16" s="9" t="inlineStr"/>
      <c r="D16" s="9" t="inlineStr"/>
      <c r="E16" s="9" t="inlineStr">
        <is>
          <t>World Bank</t>
        </is>
      </c>
      <c r="F16" s="10" t="inlineStr"/>
      <c r="G16" s="10" t="inlineStr"/>
      <c r="H16" s="10" t="inlineStr"/>
      <c r="I16" s="10" t="inlineStr">
        <is>
          <t>Completed — Report Submitted</t>
        </is>
      </c>
      <c r="J16" s="9" t="inlineStr"/>
    </row>
    <row r="17" ht="22" customHeight="1">
      <c r="B17" s="14" t="inlineStr">
        <is>
          <t>RP/2025/013</t>
        </is>
      </c>
      <c r="C17" s="15" t="inlineStr"/>
      <c r="D17" s="15" t="inlineStr"/>
      <c r="E17" s="15" t="inlineStr">
        <is>
          <t>SERB / DST</t>
        </is>
      </c>
      <c r="F17" s="16" t="inlineStr"/>
      <c r="G17" s="16" t="inlineStr"/>
      <c r="H17" s="16" t="inlineStr"/>
      <c r="I17" s="16" t="inlineStr">
        <is>
          <t>Ongoing</t>
        </is>
      </c>
      <c r="J17" s="15" t="inlineStr"/>
    </row>
    <row r="18" ht="22" customHeight="1">
      <c r="B18" s="8" t="inlineStr">
        <is>
          <t>RP/2025/014</t>
        </is>
      </c>
      <c r="C18" s="9" t="inlineStr"/>
      <c r="D18" s="9" t="inlineStr"/>
      <c r="E18" s="9" t="inlineStr">
        <is>
          <t>AICTE MODROBS</t>
        </is>
      </c>
      <c r="F18" s="10" t="inlineStr"/>
      <c r="G18" s="10" t="inlineStr"/>
      <c r="H18" s="10" t="inlineStr"/>
      <c r="I18" s="10" t="inlineStr">
        <is>
          <t>Completed</t>
        </is>
      </c>
      <c r="J18" s="9" t="inlineStr"/>
    </row>
    <row r="19" ht="22" customHeight="1">
      <c r="B19" s="14" t="inlineStr">
        <is>
          <t>RP/2025/015</t>
        </is>
      </c>
      <c r="C19" s="15" t="inlineStr"/>
      <c r="D19" s="15" t="inlineStr"/>
      <c r="E19" s="15" t="inlineStr">
        <is>
          <t>UGC</t>
        </is>
      </c>
      <c r="F19" s="16" t="inlineStr"/>
      <c r="G19" s="16" t="inlineStr"/>
      <c r="H19" s="16" t="inlineStr"/>
      <c r="I19" s="16" t="inlineStr">
        <is>
          <t>Submitted — Under Review</t>
        </is>
      </c>
      <c r="J19" s="15" t="inlineStr"/>
    </row>
    <row r="20" ht="22" customHeight="1">
      <c r="B20" s="8" t="inlineStr">
        <is>
          <t>RP/2025/016</t>
        </is>
      </c>
      <c r="C20" s="9" t="inlineStr"/>
      <c r="D20" s="9" t="inlineStr"/>
      <c r="E20" s="9" t="inlineStr">
        <is>
          <t>DBT</t>
        </is>
      </c>
      <c r="F20" s="10" t="inlineStr"/>
      <c r="G20" s="10" t="inlineStr"/>
      <c r="H20" s="10" t="inlineStr"/>
      <c r="I20" s="10" t="inlineStr">
        <is>
          <t>Sanctioned — Yet to Start</t>
        </is>
      </c>
      <c r="J20" s="9" t="inlineStr"/>
    </row>
    <row r="21" ht="22" customHeight="1">
      <c r="B21" s="14" t="inlineStr">
        <is>
          <t>RP/2025/017</t>
        </is>
      </c>
      <c r="C21" s="15" t="inlineStr"/>
      <c r="D21" s="15" t="inlineStr"/>
      <c r="E21" s="15" t="inlineStr">
        <is>
          <t>CSIR</t>
        </is>
      </c>
      <c r="F21" s="16" t="inlineStr"/>
      <c r="G21" s="16" t="inlineStr"/>
      <c r="H21" s="16" t="inlineStr"/>
      <c r="I21" s="16" t="inlineStr">
        <is>
          <t>Rejected — Resubmitting</t>
        </is>
      </c>
      <c r="J21" s="15" t="inlineStr"/>
    </row>
    <row r="22" ht="22" customHeight="1">
      <c r="B22" s="8" t="inlineStr">
        <is>
          <t>RP/2025/018</t>
        </is>
      </c>
      <c r="C22" s="9" t="inlineStr"/>
      <c r="D22" s="9" t="inlineStr"/>
      <c r="E22" s="9" t="inlineStr">
        <is>
          <t>DRDO</t>
        </is>
      </c>
      <c r="F22" s="10" t="inlineStr"/>
      <c r="G22" s="10" t="inlineStr"/>
      <c r="H22" s="10" t="inlineStr"/>
      <c r="I22" s="10" t="inlineStr">
        <is>
          <t>Completed — Report Submitted</t>
        </is>
      </c>
      <c r="J22" s="9" t="inlineStr"/>
    </row>
    <row r="23" ht="22" customHeight="1"/>
    <row r="24" ht="24" customHeight="1">
      <c r="B24" s="34" t="inlineStr">
        <is>
          <t>RESEARCH PROJECT SUMMARY</t>
        </is>
      </c>
    </row>
    <row r="25" ht="22" customHeight="1">
      <c r="B25" s="50" t="inlineStr">
        <is>
          <t>Total Projects</t>
        </is>
      </c>
      <c r="F25" s="26">
        <f>COUNTA(B5:B22)</f>
        <v/>
      </c>
    </row>
    <row r="26">
      <c r="B26" s="25" t="inlineStr">
        <is>
          <t>Ongoing Projects</t>
        </is>
      </c>
      <c r="F26" s="36">
        <f>COUNTIF(I5:I22,"Ongoing")</f>
        <v/>
      </c>
    </row>
    <row r="27">
      <c r="B27" s="50" t="inlineStr">
        <is>
          <t>Completed Projects</t>
        </is>
      </c>
      <c r="F27" s="26">
        <f>COUNTIF(I5:I22,"Completed")</f>
        <v/>
      </c>
    </row>
    <row r="28">
      <c r="B28" s="25" t="inlineStr">
        <is>
          <t>Total Grant Amount (₹L)</t>
        </is>
      </c>
      <c r="F28" s="36">
        <f>IFERROR(SUM(F5:F22),"")</f>
        <v/>
      </c>
    </row>
    <row r="29">
      <c r="B29" s="50" t="inlineStr">
        <is>
          <t>Govt. Funded Projects</t>
        </is>
      </c>
      <c r="F29" s="26">
        <f>COUNTIF(E5:E22,"SERB / DST")+COUNTIF(E5:E22,"AICTE MODROBS")+COUNTIF(E5:E22,"UGC")</f>
        <v/>
      </c>
    </row>
    <row r="30">
      <c r="B30" s="25" t="inlineStr">
        <is>
          <t>Industry Sponsored</t>
        </is>
      </c>
      <c r="F30" s="36">
        <f>COUNTIF(E5:E22,"Industry Sponsored")</f>
        <v/>
      </c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DDC-38: DEPARTMENT MOU &amp; INDUSTRY COLLABORATION REGISTER</t>
        </is>
      </c>
    </row>
    <row r="3" ht="20" customHeight="1">
      <c r="B3" s="2" t="inlineStr">
        <is>
          <t>Department: _______  A.Y.: _______  Industry Liaison: ___________________  NAAC Ref.: Criterion III.5</t>
        </is>
      </c>
    </row>
    <row r="4" ht="25" customHeight="1">
      <c r="B4" s="13" t="inlineStr">
        <is>
          <t>MOU
Ref.</t>
        </is>
      </c>
      <c r="C4" s="13" t="inlineStr">
        <is>
          <t>Organisation / Institution</t>
        </is>
      </c>
      <c r="D4" s="13" t="inlineStr">
        <is>
          <t>Type of
Collaboration</t>
        </is>
      </c>
      <c r="E4" s="13" t="inlineStr">
        <is>
          <t>MOU
Date</t>
        </is>
      </c>
      <c r="F4" s="13" t="inlineStr">
        <is>
          <t>Validity
(Years)</t>
        </is>
      </c>
      <c r="G4" s="13" t="inlineStr">
        <is>
          <t>Expiry
Date</t>
        </is>
      </c>
      <c r="H4" s="13" t="inlineStr">
        <is>
          <t>Activities
Utilised</t>
        </is>
      </c>
      <c r="I4" s="13" t="inlineStr">
        <is>
          <t>Days to
Expiry</t>
        </is>
      </c>
      <c r="J4" s="13" t="inlineStr">
        <is>
          <t>Status</t>
        </is>
      </c>
    </row>
    <row r="5" ht="22" customHeight="1">
      <c r="B5" s="14" t="inlineStr">
        <is>
          <t>MOU/001</t>
        </is>
      </c>
      <c r="C5" s="15" t="inlineStr"/>
      <c r="D5" s="15" t="inlineStr">
        <is>
          <t>Industry — Internship / Training</t>
        </is>
      </c>
      <c r="E5" s="16" t="inlineStr"/>
      <c r="F5" s="16" t="inlineStr"/>
      <c r="G5" s="16" t="inlineStr"/>
      <c r="H5" s="16" t="inlineStr"/>
      <c r="I5" s="16">
        <f>IFERROR(G5-TODAY(),"")</f>
        <v/>
      </c>
      <c r="J5" s="16">
        <f>IFERROR(IF(G5&lt;TODAY(),"EXPIRED — Renew",IF(G5-TODAY()&lt;=60,"Expiring Soon","Active")),"")</f>
        <v/>
      </c>
    </row>
    <row r="6" ht="22" customHeight="1">
      <c r="B6" s="8" t="inlineStr">
        <is>
          <t>MOU/002</t>
        </is>
      </c>
      <c r="C6" s="9" t="inlineStr"/>
      <c r="D6" s="9" t="inlineStr">
        <is>
          <t>Industry — Research</t>
        </is>
      </c>
      <c r="E6" s="10" t="inlineStr"/>
      <c r="F6" s="10" t="inlineStr"/>
      <c r="G6" s="10" t="inlineStr"/>
      <c r="H6" s="10" t="inlineStr"/>
      <c r="I6" s="10">
        <f>IFERROR(G6-TODAY(),"")</f>
        <v/>
      </c>
      <c r="J6" s="10">
        <f>IFERROR(IF(G6&lt;TODAY(),"EXPIRED — Renew",IF(G6-TODAY()&lt;=60,"Expiring Soon","Active")),"")</f>
        <v/>
      </c>
    </row>
    <row r="7" ht="22" customHeight="1">
      <c r="B7" s="14" t="inlineStr">
        <is>
          <t>MOU/003</t>
        </is>
      </c>
      <c r="C7" s="15" t="inlineStr"/>
      <c r="D7" s="15" t="inlineStr">
        <is>
          <t>Industry — Guest Lectures</t>
        </is>
      </c>
      <c r="E7" s="16" t="inlineStr"/>
      <c r="F7" s="16" t="inlineStr"/>
      <c r="G7" s="16" t="inlineStr"/>
      <c r="H7" s="16" t="inlineStr"/>
      <c r="I7" s="16">
        <f>IFERROR(G7-TODAY(),"")</f>
        <v/>
      </c>
      <c r="J7" s="16">
        <f>IFERROR(IF(G7&lt;TODAY(),"EXPIRED — Renew",IF(G7-TODAY()&lt;=60,"Expiring Soon","Active")),"")</f>
        <v/>
      </c>
    </row>
    <row r="8" ht="22" customHeight="1">
      <c r="B8" s="8" t="inlineStr">
        <is>
          <t>MOU/004</t>
        </is>
      </c>
      <c r="C8" s="9" t="inlineStr"/>
      <c r="D8" s="9" t="inlineStr">
        <is>
          <t>Institute — Academic Exchange</t>
        </is>
      </c>
      <c r="E8" s="10" t="inlineStr"/>
      <c r="F8" s="10" t="inlineStr"/>
      <c r="G8" s="10" t="inlineStr"/>
      <c r="H8" s="10" t="inlineStr"/>
      <c r="I8" s="10">
        <f>IFERROR(G8-TODAY(),"")</f>
        <v/>
      </c>
      <c r="J8" s="10">
        <f>IFERROR(IF(G8&lt;TODAY(),"EXPIRED — Renew",IF(G8-TODAY()&lt;=60,"Expiring Soon","Active")),"")</f>
        <v/>
      </c>
    </row>
    <row r="9" ht="22" customHeight="1">
      <c r="B9" s="14" t="inlineStr">
        <is>
          <t>MOU/005</t>
        </is>
      </c>
      <c r="C9" s="15" t="inlineStr"/>
      <c r="D9" s="15" t="inlineStr">
        <is>
          <t>Institute — Research Collaboration</t>
        </is>
      </c>
      <c r="E9" s="16" t="inlineStr"/>
      <c r="F9" s="16" t="inlineStr"/>
      <c r="G9" s="16" t="inlineStr"/>
      <c r="H9" s="16" t="inlineStr"/>
      <c r="I9" s="16">
        <f>IFERROR(G9-TODAY(),"")</f>
        <v/>
      </c>
      <c r="J9" s="16">
        <f>IFERROR(IF(G9&lt;TODAY(),"EXPIRED — Renew",IF(G9-TODAY()&lt;=60,"Expiring Soon","Active")),"")</f>
        <v/>
      </c>
    </row>
    <row r="10" ht="22" customHeight="1">
      <c r="B10" s="8" t="inlineStr">
        <is>
          <t>MOU/006</t>
        </is>
      </c>
      <c r="C10" s="9" t="inlineStr"/>
      <c r="D10" s="9" t="inlineStr">
        <is>
          <t>Industry — Placement</t>
        </is>
      </c>
      <c r="E10" s="10" t="inlineStr"/>
      <c r="F10" s="10" t="inlineStr"/>
      <c r="G10" s="10" t="inlineStr"/>
      <c r="H10" s="10" t="inlineStr"/>
      <c r="I10" s="10">
        <f>IFERROR(G10-TODAY(),"")</f>
        <v/>
      </c>
      <c r="J10" s="10">
        <f>IFERROR(IF(G10&lt;TODAY(),"EXPIRED — Renew",IF(G10-TODAY()&lt;=60,"Expiring Soon","Active")),"")</f>
        <v/>
      </c>
    </row>
    <row r="11" ht="22" customHeight="1">
      <c r="B11" s="14" t="inlineStr">
        <is>
          <t>MOU/007</t>
        </is>
      </c>
      <c r="C11" s="15" t="inlineStr"/>
      <c r="D11" s="15" t="inlineStr">
        <is>
          <t>NGO — Community Service</t>
        </is>
      </c>
      <c r="E11" s="16" t="inlineStr"/>
      <c r="F11" s="16" t="inlineStr"/>
      <c r="G11" s="16" t="inlineStr"/>
      <c r="H11" s="16" t="inlineStr"/>
      <c r="I11" s="16">
        <f>IFERROR(G11-TODAY(),"")</f>
        <v/>
      </c>
      <c r="J11" s="16">
        <f>IFERROR(IF(G11&lt;TODAY(),"EXPIRED — Renew",IF(G11-TODAY()&lt;=60,"Expiring Soon","Active")),"")</f>
        <v/>
      </c>
    </row>
    <row r="12" ht="22" customHeight="1">
      <c r="B12" s="8" t="inlineStr">
        <is>
          <t>MOU/008</t>
        </is>
      </c>
      <c r="C12" s="9" t="inlineStr"/>
      <c r="D12" s="9" t="inlineStr">
        <is>
          <t>International — Student Exchange</t>
        </is>
      </c>
      <c r="E12" s="10" t="inlineStr"/>
      <c r="F12" s="10" t="inlineStr"/>
      <c r="G12" s="10" t="inlineStr"/>
      <c r="H12" s="10" t="inlineStr"/>
      <c r="I12" s="10">
        <f>IFERROR(G12-TODAY(),"")</f>
        <v/>
      </c>
      <c r="J12" s="10">
        <f>IFERROR(IF(G12&lt;TODAY(),"EXPIRED — Renew",IF(G12-TODAY()&lt;=60,"Expiring Soon","Active")),"")</f>
        <v/>
      </c>
    </row>
    <row r="13" ht="22" customHeight="1">
      <c r="B13" s="14" t="inlineStr">
        <is>
          <t>MOU/009</t>
        </is>
      </c>
      <c r="C13" s="15" t="inlineStr"/>
      <c r="D13" s="15" t="inlineStr">
        <is>
          <t>Govt. Agency — Project</t>
        </is>
      </c>
      <c r="E13" s="16" t="inlineStr"/>
      <c r="F13" s="16" t="inlineStr"/>
      <c r="G13" s="16" t="inlineStr"/>
      <c r="H13" s="16" t="inlineStr"/>
      <c r="I13" s="16">
        <f>IFERROR(G13-TODAY(),"")</f>
        <v/>
      </c>
      <c r="J13" s="16">
        <f>IFERROR(IF(G13&lt;TODAY(),"EXPIRED — Renew",IF(G13-TODAY()&lt;=60,"Expiring Soon","Active")),"")</f>
        <v/>
      </c>
    </row>
    <row r="14" ht="22" customHeight="1">
      <c r="B14" s="8" t="inlineStr">
        <is>
          <t>MOU/010</t>
        </is>
      </c>
      <c r="C14" s="9" t="inlineStr"/>
      <c r="D14" s="9" t="inlineStr">
        <is>
          <t>Industry — Consultancy</t>
        </is>
      </c>
      <c r="E14" s="10" t="inlineStr"/>
      <c r="F14" s="10" t="inlineStr"/>
      <c r="G14" s="10" t="inlineStr"/>
      <c r="H14" s="10" t="inlineStr"/>
      <c r="I14" s="10">
        <f>IFERROR(G14-TODAY(),"")</f>
        <v/>
      </c>
      <c r="J14" s="10">
        <f>IFERROR(IF(G14&lt;TODAY(),"EXPIRED — Renew",IF(G14-TODAY()&lt;=60,"Expiring Soon","Active")),"")</f>
        <v/>
      </c>
    </row>
    <row r="15" ht="22" customHeight="1">
      <c r="B15" s="14" t="inlineStr">
        <is>
          <t>MOU/011</t>
        </is>
      </c>
      <c r="C15" s="15" t="inlineStr"/>
      <c r="D15" s="15" t="inlineStr">
        <is>
          <t>Industry — Internship / Training</t>
        </is>
      </c>
      <c r="E15" s="16" t="inlineStr"/>
      <c r="F15" s="16" t="inlineStr"/>
      <c r="G15" s="16" t="inlineStr"/>
      <c r="H15" s="16" t="inlineStr"/>
      <c r="I15" s="16">
        <f>IFERROR(G15-TODAY(),"")</f>
        <v/>
      </c>
      <c r="J15" s="16">
        <f>IFERROR(IF(G15&lt;TODAY(),"EXPIRED — Renew",IF(G15-TODAY()&lt;=60,"Expiring Soon","Active")),"")</f>
        <v/>
      </c>
    </row>
    <row r="16" ht="22" customHeight="1">
      <c r="B16" s="8" t="inlineStr">
        <is>
          <t>MOU/012</t>
        </is>
      </c>
      <c r="C16" s="9" t="inlineStr"/>
      <c r="D16" s="9" t="inlineStr">
        <is>
          <t>Industry — Research</t>
        </is>
      </c>
      <c r="E16" s="10" t="inlineStr"/>
      <c r="F16" s="10" t="inlineStr"/>
      <c r="G16" s="10" t="inlineStr"/>
      <c r="H16" s="10" t="inlineStr"/>
      <c r="I16" s="10">
        <f>IFERROR(G16-TODAY(),"")</f>
        <v/>
      </c>
      <c r="J16" s="10">
        <f>IFERROR(IF(G16&lt;TODAY(),"EXPIRED — Renew",IF(G16-TODAY()&lt;=60,"Expiring Soon","Active")),"")</f>
        <v/>
      </c>
    </row>
    <row r="17" ht="22" customHeight="1">
      <c r="B17" s="14" t="inlineStr">
        <is>
          <t>MOU/013</t>
        </is>
      </c>
      <c r="C17" s="15" t="inlineStr"/>
      <c r="D17" s="15" t="inlineStr">
        <is>
          <t>Industry — Guest Lectures</t>
        </is>
      </c>
      <c r="E17" s="16" t="inlineStr"/>
      <c r="F17" s="16" t="inlineStr"/>
      <c r="G17" s="16" t="inlineStr"/>
      <c r="H17" s="16" t="inlineStr"/>
      <c r="I17" s="16">
        <f>IFERROR(G17-TODAY(),"")</f>
        <v/>
      </c>
      <c r="J17" s="16">
        <f>IFERROR(IF(G17&lt;TODAY(),"EXPIRED — Renew",IF(G17-TODAY()&lt;=60,"Expiring Soon","Active")),"")</f>
        <v/>
      </c>
    </row>
    <row r="18" ht="22" customHeight="1">
      <c r="B18" s="8" t="inlineStr">
        <is>
          <t>MOU/014</t>
        </is>
      </c>
      <c r="C18" s="9" t="inlineStr"/>
      <c r="D18" s="9" t="inlineStr">
        <is>
          <t>Institute — Academic Exchange</t>
        </is>
      </c>
      <c r="E18" s="10" t="inlineStr"/>
      <c r="F18" s="10" t="inlineStr"/>
      <c r="G18" s="10" t="inlineStr"/>
      <c r="H18" s="10" t="inlineStr"/>
      <c r="I18" s="10">
        <f>IFERROR(G18-TODAY(),"")</f>
        <v/>
      </c>
      <c r="J18" s="10">
        <f>IFERROR(IF(G18&lt;TODAY(),"EXPIRED — Renew",IF(G18-TODAY()&lt;=60,"Expiring Soon","Active")),"")</f>
        <v/>
      </c>
    </row>
    <row r="19" ht="22" customHeight="1">
      <c r="B19" s="14" t="inlineStr">
        <is>
          <t>MOU/015</t>
        </is>
      </c>
      <c r="C19" s="15" t="inlineStr"/>
      <c r="D19" s="15" t="inlineStr">
        <is>
          <t>Institute — Research Collaboration</t>
        </is>
      </c>
      <c r="E19" s="16" t="inlineStr"/>
      <c r="F19" s="16" t="inlineStr"/>
      <c r="G19" s="16" t="inlineStr"/>
      <c r="H19" s="16" t="inlineStr"/>
      <c r="I19" s="16">
        <f>IFERROR(G19-TODAY(),"")</f>
        <v/>
      </c>
      <c r="J19" s="16">
        <f>IFERROR(IF(G19&lt;TODAY(),"EXPIRED — Renew",IF(G19-TODAY()&lt;=60,"Expiring Soon","Active")),"")</f>
        <v/>
      </c>
    </row>
    <row r="20" ht="22" customHeight="1">
      <c r="B20" s="8" t="inlineStr">
        <is>
          <t>MOU/016</t>
        </is>
      </c>
      <c r="C20" s="9" t="inlineStr"/>
      <c r="D20" s="9" t="inlineStr">
        <is>
          <t>Industry — Placement</t>
        </is>
      </c>
      <c r="E20" s="10" t="inlineStr"/>
      <c r="F20" s="10" t="inlineStr"/>
      <c r="G20" s="10" t="inlineStr"/>
      <c r="H20" s="10" t="inlineStr"/>
      <c r="I20" s="10">
        <f>IFERROR(G20-TODAY(),"")</f>
        <v/>
      </c>
      <c r="J20" s="10">
        <f>IFERROR(IF(G20&lt;TODAY(),"EXPIRED — Renew",IF(G20-TODAY()&lt;=60,"Expiring Soon","Active")),"")</f>
        <v/>
      </c>
    </row>
    <row r="21" ht="22" customHeight="1"/>
    <row r="22" ht="24" customHeight="1">
      <c r="B22" s="34" t="inlineStr">
        <is>
          <t>MOU STATUS SUMMARY</t>
        </is>
      </c>
    </row>
    <row r="23" ht="22" customHeight="1">
      <c r="B23" s="50" t="inlineStr">
        <is>
          <t>Total MOUs Registered</t>
        </is>
      </c>
      <c r="F23" s="26">
        <f>COUNTA(B5:B20)</f>
        <v/>
      </c>
    </row>
    <row r="24">
      <c r="B24" s="25" t="inlineStr">
        <is>
          <t>Active MOUs</t>
        </is>
      </c>
      <c r="F24" s="36">
        <f>COUNTIF(J5:J20,"Active")</f>
        <v/>
      </c>
    </row>
    <row r="25">
      <c r="B25" s="50" t="inlineStr">
        <is>
          <t>Expiring in 60 Days</t>
        </is>
      </c>
      <c r="F25" s="26">
        <f>COUNTIF(J5:J20,"Expiring Soon")</f>
        <v/>
      </c>
    </row>
    <row r="26">
      <c r="B26" s="25" t="inlineStr">
        <is>
          <t>Expired — Action Required</t>
        </is>
      </c>
      <c r="F26" s="36">
        <f>COUNTIF(J5:J20,"EXPIRED — Renew")</f>
        <v/>
      </c>
    </row>
    <row r="27">
      <c r="B27" s="50" t="inlineStr">
        <is>
          <t>Industry MOUs</t>
        </is>
      </c>
      <c r="F27" s="26">
        <f>COUNTIF(D5:D20,"Industry — Internship / Training")+COUNTIF(D5:D20,"Industry — Research")+COUNTIF(D5:D20,"Industry — Placement")</f>
        <v/>
      </c>
    </row>
    <row r="28">
      <c r="B28" s="25" t="inlineStr">
        <is>
          <t>MOUs with Activities Utilised</t>
        </is>
      </c>
      <c r="F28" s="36">
        <f>COUNTIF(H5:H20,"&lt;&gt;"&amp;"")</f>
        <v/>
      </c>
    </row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DDC-42: STUDENT INTERNSHIP &amp; IN-PLANT TRAINING REGISTER</t>
        </is>
      </c>
    </row>
    <row r="3" ht="20" customHeight="1">
      <c r="B3" s="2" t="inlineStr">
        <is>
          <t>Department: _______  A.Y.: _______  T&amp;P Coordinator: ___________________  NAAC Ref.: Criterion V.2</t>
        </is>
      </c>
    </row>
    <row r="4" ht="25" customHeight="1">
      <c r="B4" s="13" t="inlineStr">
        <is>
          <t>Sl.</t>
        </is>
      </c>
      <c r="C4" s="13" t="inlineStr">
        <is>
          <t>Student Name</t>
        </is>
      </c>
      <c r="D4" s="13" t="inlineStr">
        <is>
          <t>Roll No. /
Year</t>
        </is>
      </c>
      <c r="E4" s="13" t="inlineStr">
        <is>
          <t>Organisation</t>
        </is>
      </c>
      <c r="F4" s="13" t="inlineStr">
        <is>
          <t>Internship
Type</t>
        </is>
      </c>
      <c r="G4" s="13" t="inlineStr">
        <is>
          <t>Start
Date</t>
        </is>
      </c>
      <c r="H4" s="13" t="inlineStr">
        <is>
          <t>End
Date</t>
        </is>
      </c>
      <c r="I4" s="13" t="inlineStr">
        <is>
          <t>Duration
(Weeks)</t>
        </is>
      </c>
      <c r="J4" s="13" t="inlineStr">
        <is>
          <t>Stipend
(₹/month)</t>
        </is>
      </c>
      <c r="K4" s="13" t="inlineStr">
        <is>
          <t>Report
Submitted</t>
        </is>
      </c>
    </row>
    <row r="5" ht="22" customHeight="1">
      <c r="B5" s="14" t="n">
        <v>1</v>
      </c>
      <c r="C5" s="15" t="inlineStr"/>
      <c r="D5" s="16" t="inlineStr"/>
      <c r="E5" s="15" t="inlineStr"/>
      <c r="F5" s="16" t="inlineStr">
        <is>
          <t>Industrial Internship (6 weeks)</t>
        </is>
      </c>
      <c r="G5" s="16" t="inlineStr"/>
      <c r="H5" s="16" t="inlineStr"/>
      <c r="I5" s="16">
        <f>IFERROR(ROUND((H5-G5)/7,0),"")</f>
        <v/>
      </c>
      <c r="J5" s="16" t="inlineStr"/>
      <c r="K5" s="16" t="inlineStr">
        <is>
          <t>Y</t>
        </is>
      </c>
    </row>
    <row r="6" ht="22" customHeight="1">
      <c r="B6" s="8" t="n">
        <v>2</v>
      </c>
      <c r="C6" s="9" t="inlineStr"/>
      <c r="D6" s="10" t="inlineStr"/>
      <c r="E6" s="9" t="inlineStr"/>
      <c r="F6" s="10" t="inlineStr">
        <is>
          <t>Summer Internship (4–8 weeks)</t>
        </is>
      </c>
      <c r="G6" s="10" t="inlineStr"/>
      <c r="H6" s="10" t="inlineStr"/>
      <c r="I6" s="10">
        <f>IFERROR(ROUND((H6-G6)/7,0),"")</f>
        <v/>
      </c>
      <c r="J6" s="10" t="inlineStr"/>
      <c r="K6" s="10" t="inlineStr">
        <is>
          <t>Y</t>
        </is>
      </c>
    </row>
    <row r="7" ht="22" customHeight="1">
      <c r="B7" s="14" t="n">
        <v>3</v>
      </c>
      <c r="C7" s="15" t="inlineStr"/>
      <c r="D7" s="16" t="inlineStr"/>
      <c r="E7" s="15" t="inlineStr"/>
      <c r="F7" s="16" t="inlineStr">
        <is>
          <t>In-plant Training (2–4 weeks)</t>
        </is>
      </c>
      <c r="G7" s="16" t="inlineStr"/>
      <c r="H7" s="16" t="inlineStr"/>
      <c r="I7" s="16">
        <f>IFERROR(ROUND((H7-G7)/7,0),"")</f>
        <v/>
      </c>
      <c r="J7" s="16" t="inlineStr"/>
      <c r="K7" s="16" t="inlineStr">
        <is>
          <t>Y</t>
        </is>
      </c>
    </row>
    <row r="8" ht="22" customHeight="1">
      <c r="B8" s="8" t="n">
        <v>4</v>
      </c>
      <c r="C8" s="9" t="inlineStr"/>
      <c r="D8" s="10" t="inlineStr"/>
      <c r="E8" s="9" t="inlineStr"/>
      <c r="F8" s="10" t="inlineStr">
        <is>
          <t>Research Internship — IIT / NIT</t>
        </is>
      </c>
      <c r="G8" s="10" t="inlineStr"/>
      <c r="H8" s="10" t="inlineStr"/>
      <c r="I8" s="10">
        <f>IFERROR(ROUND((H8-G8)/7,0),"")</f>
        <v/>
      </c>
      <c r="J8" s="10" t="inlineStr"/>
      <c r="K8" s="10" t="inlineStr">
        <is>
          <t>Y</t>
        </is>
      </c>
    </row>
    <row r="9" ht="22" customHeight="1">
      <c r="B9" s="14" t="n">
        <v>5</v>
      </c>
      <c r="C9" s="15" t="inlineStr"/>
      <c r="D9" s="16" t="inlineStr"/>
      <c r="E9" s="15" t="inlineStr"/>
      <c r="F9" s="16" t="inlineStr">
        <is>
          <t>Government / PSU Internship</t>
        </is>
      </c>
      <c r="G9" s="16" t="inlineStr"/>
      <c r="H9" s="16" t="inlineStr"/>
      <c r="I9" s="16">
        <f>IFERROR(ROUND((H9-G9)/7,0),"")</f>
        <v/>
      </c>
      <c r="J9" s="16" t="inlineStr"/>
      <c r="K9" s="16" t="inlineStr">
        <is>
          <t>Y</t>
        </is>
      </c>
    </row>
    <row r="10" ht="22" customHeight="1">
      <c r="B10" s="8" t="n">
        <v>6</v>
      </c>
      <c r="C10" s="9" t="inlineStr"/>
      <c r="D10" s="10" t="inlineStr"/>
      <c r="E10" s="9" t="inlineStr"/>
      <c r="F10" s="10" t="inlineStr">
        <is>
          <t>Startup / Entrepreneurship Internship</t>
        </is>
      </c>
      <c r="G10" s="10" t="inlineStr"/>
      <c r="H10" s="10" t="inlineStr"/>
      <c r="I10" s="10">
        <f>IFERROR(ROUND((H10-G10)/7,0),"")</f>
        <v/>
      </c>
      <c r="J10" s="10" t="inlineStr"/>
      <c r="K10" s="10" t="inlineStr">
        <is>
          <t>Y</t>
        </is>
      </c>
    </row>
    <row r="11" ht="22" customHeight="1">
      <c r="B11" s="14" t="n">
        <v>7</v>
      </c>
      <c r="C11" s="15" t="inlineStr"/>
      <c r="D11" s="16" t="inlineStr"/>
      <c r="E11" s="15" t="inlineStr"/>
      <c r="F11" s="16" t="inlineStr">
        <is>
          <t>Online / Remote Internship</t>
        </is>
      </c>
      <c r="G11" s="16" t="inlineStr"/>
      <c r="H11" s="16" t="inlineStr"/>
      <c r="I11" s="16">
        <f>IFERROR(ROUND((H11-G11)/7,0),"")</f>
        <v/>
      </c>
      <c r="J11" s="16" t="inlineStr"/>
      <c r="K11" s="16" t="inlineStr">
        <is>
          <t>Y</t>
        </is>
      </c>
    </row>
    <row r="12" ht="22" customHeight="1">
      <c r="B12" s="8" t="n">
        <v>8</v>
      </c>
      <c r="C12" s="9" t="inlineStr"/>
      <c r="D12" s="10" t="inlineStr"/>
      <c r="E12" s="9" t="inlineStr"/>
      <c r="F12" s="10" t="inlineStr">
        <is>
          <t>NGO / Social Internship</t>
        </is>
      </c>
      <c r="G12" s="10" t="inlineStr"/>
      <c r="H12" s="10" t="inlineStr"/>
      <c r="I12" s="10">
        <f>IFERROR(ROUND((H12-G12)/7,0),"")</f>
        <v/>
      </c>
      <c r="J12" s="10" t="inlineStr"/>
      <c r="K12" s="10" t="inlineStr">
        <is>
          <t>Y</t>
        </is>
      </c>
    </row>
    <row r="13" ht="22" customHeight="1">
      <c r="B13" s="14" t="n">
        <v>9</v>
      </c>
      <c r="C13" s="15" t="inlineStr"/>
      <c r="D13" s="16" t="inlineStr"/>
      <c r="E13" s="15" t="inlineStr"/>
      <c r="F13" s="16" t="inlineStr">
        <is>
          <t>International Internship</t>
        </is>
      </c>
      <c r="G13" s="16" t="inlineStr"/>
      <c r="H13" s="16" t="inlineStr"/>
      <c r="I13" s="16">
        <f>IFERROR(ROUND((H13-G13)/7,0),"")</f>
        <v/>
      </c>
      <c r="J13" s="16" t="inlineStr"/>
      <c r="K13" s="16" t="inlineStr">
        <is>
          <t>Y</t>
        </is>
      </c>
    </row>
    <row r="14" ht="22" customHeight="1">
      <c r="B14" s="8" t="n">
        <v>10</v>
      </c>
      <c r="C14" s="9" t="inlineStr"/>
      <c r="D14" s="10" t="inlineStr"/>
      <c r="E14" s="9" t="inlineStr"/>
      <c r="F14" s="10" t="inlineStr">
        <is>
          <t>Industrial Internship (6 weeks)</t>
        </is>
      </c>
      <c r="G14" s="10" t="inlineStr"/>
      <c r="H14" s="10" t="inlineStr"/>
      <c r="I14" s="10">
        <f>IFERROR(ROUND((H14-G14)/7,0),"")</f>
        <v/>
      </c>
      <c r="J14" s="10" t="inlineStr"/>
      <c r="K14" s="10" t="inlineStr">
        <is>
          <t>Y</t>
        </is>
      </c>
    </row>
    <row r="15" ht="22" customHeight="1">
      <c r="B15" s="14" t="n">
        <v>11</v>
      </c>
      <c r="C15" s="15" t="inlineStr"/>
      <c r="D15" s="16" t="inlineStr"/>
      <c r="E15" s="15" t="inlineStr"/>
      <c r="F15" s="16" t="inlineStr">
        <is>
          <t>Summer Internship (4–8 weeks)</t>
        </is>
      </c>
      <c r="G15" s="16" t="inlineStr"/>
      <c r="H15" s="16" t="inlineStr"/>
      <c r="I15" s="16">
        <f>IFERROR(ROUND((H15-G15)/7,0),"")</f>
        <v/>
      </c>
      <c r="J15" s="16" t="inlineStr"/>
      <c r="K15" s="16" t="inlineStr">
        <is>
          <t>Y</t>
        </is>
      </c>
    </row>
    <row r="16" ht="22" customHeight="1">
      <c r="B16" s="8" t="n">
        <v>12</v>
      </c>
      <c r="C16" s="9" t="inlineStr"/>
      <c r="D16" s="10" t="inlineStr"/>
      <c r="E16" s="9" t="inlineStr"/>
      <c r="F16" s="10" t="inlineStr">
        <is>
          <t>In-plant Training (2–4 weeks)</t>
        </is>
      </c>
      <c r="G16" s="10" t="inlineStr"/>
      <c r="H16" s="10" t="inlineStr"/>
      <c r="I16" s="10">
        <f>IFERROR(ROUND((H16-G16)/7,0),"")</f>
        <v/>
      </c>
      <c r="J16" s="10" t="inlineStr"/>
      <c r="K16" s="10" t="inlineStr">
        <is>
          <t>Y</t>
        </is>
      </c>
    </row>
    <row r="17" ht="22" customHeight="1">
      <c r="B17" s="14" t="n">
        <v>13</v>
      </c>
      <c r="C17" s="15" t="inlineStr"/>
      <c r="D17" s="16" t="inlineStr"/>
      <c r="E17" s="15" t="inlineStr"/>
      <c r="F17" s="16" t="inlineStr">
        <is>
          <t>Research Internship — IIT / NIT</t>
        </is>
      </c>
      <c r="G17" s="16" t="inlineStr"/>
      <c r="H17" s="16" t="inlineStr"/>
      <c r="I17" s="16">
        <f>IFERROR(ROUND((H17-G17)/7,0),"")</f>
        <v/>
      </c>
      <c r="J17" s="16" t="inlineStr"/>
      <c r="K17" s="16" t="inlineStr">
        <is>
          <t>Y</t>
        </is>
      </c>
    </row>
    <row r="18" ht="22" customHeight="1">
      <c r="B18" s="8" t="n">
        <v>14</v>
      </c>
      <c r="C18" s="9" t="inlineStr"/>
      <c r="D18" s="10" t="inlineStr"/>
      <c r="E18" s="9" t="inlineStr"/>
      <c r="F18" s="10" t="inlineStr">
        <is>
          <t>Government / PSU Internship</t>
        </is>
      </c>
      <c r="G18" s="10" t="inlineStr"/>
      <c r="H18" s="10" t="inlineStr"/>
      <c r="I18" s="10">
        <f>IFERROR(ROUND((H18-G18)/7,0),"")</f>
        <v/>
      </c>
      <c r="J18" s="10" t="inlineStr"/>
      <c r="K18" s="10" t="inlineStr">
        <is>
          <t>Y</t>
        </is>
      </c>
    </row>
    <row r="19" ht="22" customHeight="1">
      <c r="B19" s="14" t="n">
        <v>15</v>
      </c>
      <c r="C19" s="15" t="inlineStr"/>
      <c r="D19" s="16" t="inlineStr"/>
      <c r="E19" s="15" t="inlineStr"/>
      <c r="F19" s="16" t="inlineStr">
        <is>
          <t>Startup / Entrepreneurship Internship</t>
        </is>
      </c>
      <c r="G19" s="16" t="inlineStr"/>
      <c r="H19" s="16" t="inlineStr"/>
      <c r="I19" s="16">
        <f>IFERROR(ROUND((H19-G19)/7,0),"")</f>
        <v/>
      </c>
      <c r="J19" s="16" t="inlineStr"/>
      <c r="K19" s="16" t="inlineStr">
        <is>
          <t>Y</t>
        </is>
      </c>
    </row>
    <row r="20" ht="22" customHeight="1">
      <c r="B20" s="8" t="n">
        <v>16</v>
      </c>
      <c r="C20" s="9" t="inlineStr"/>
      <c r="D20" s="10" t="inlineStr"/>
      <c r="E20" s="9" t="inlineStr"/>
      <c r="F20" s="10" t="inlineStr">
        <is>
          <t>Online / Remote Internship</t>
        </is>
      </c>
      <c r="G20" s="10" t="inlineStr"/>
      <c r="H20" s="10" t="inlineStr"/>
      <c r="I20" s="10">
        <f>IFERROR(ROUND((H20-G20)/7,0),"")</f>
        <v/>
      </c>
      <c r="J20" s="10" t="inlineStr"/>
      <c r="K20" s="10" t="inlineStr">
        <is>
          <t>Y</t>
        </is>
      </c>
    </row>
    <row r="21" ht="22" customHeight="1">
      <c r="B21" s="14" t="n">
        <v>17</v>
      </c>
      <c r="C21" s="15" t="inlineStr"/>
      <c r="D21" s="16" t="inlineStr"/>
      <c r="E21" s="15" t="inlineStr"/>
      <c r="F21" s="16" t="inlineStr">
        <is>
          <t>NGO / Social Internship</t>
        </is>
      </c>
      <c r="G21" s="16" t="inlineStr"/>
      <c r="H21" s="16" t="inlineStr"/>
      <c r="I21" s="16">
        <f>IFERROR(ROUND((H21-G21)/7,0),"")</f>
        <v/>
      </c>
      <c r="J21" s="16" t="inlineStr"/>
      <c r="K21" s="16" t="inlineStr">
        <is>
          <t>Y</t>
        </is>
      </c>
    </row>
    <row r="22" ht="22" customHeight="1">
      <c r="B22" s="8" t="n">
        <v>18</v>
      </c>
      <c r="C22" s="9" t="inlineStr"/>
      <c r="D22" s="10" t="inlineStr"/>
      <c r="E22" s="9" t="inlineStr"/>
      <c r="F22" s="10" t="inlineStr">
        <is>
          <t>International Internship</t>
        </is>
      </c>
      <c r="G22" s="10" t="inlineStr"/>
      <c r="H22" s="10" t="inlineStr"/>
      <c r="I22" s="10">
        <f>IFERROR(ROUND((H22-G22)/7,0),"")</f>
        <v/>
      </c>
      <c r="J22" s="10" t="inlineStr"/>
      <c r="K22" s="10" t="inlineStr">
        <is>
          <t>Y</t>
        </is>
      </c>
    </row>
    <row r="23" ht="22" customHeight="1">
      <c r="B23" s="14" t="n">
        <v>19</v>
      </c>
      <c r="C23" s="15" t="inlineStr"/>
      <c r="D23" s="16" t="inlineStr"/>
      <c r="E23" s="15" t="inlineStr"/>
      <c r="F23" s="16" t="inlineStr">
        <is>
          <t>Industrial Internship (6 weeks)</t>
        </is>
      </c>
      <c r="G23" s="16" t="inlineStr"/>
      <c r="H23" s="16" t="inlineStr"/>
      <c r="I23" s="16">
        <f>IFERROR(ROUND((H23-G23)/7,0),"")</f>
        <v/>
      </c>
      <c r="J23" s="16" t="inlineStr"/>
      <c r="K23" s="16" t="inlineStr">
        <is>
          <t>Y</t>
        </is>
      </c>
    </row>
    <row r="24" ht="22" customHeight="1">
      <c r="B24" s="8" t="n">
        <v>20</v>
      </c>
      <c r="C24" s="9" t="inlineStr"/>
      <c r="D24" s="10" t="inlineStr"/>
      <c r="E24" s="9" t="inlineStr"/>
      <c r="F24" s="10" t="inlineStr">
        <is>
          <t>Summer Internship (4–8 weeks)</t>
        </is>
      </c>
      <c r="G24" s="10" t="inlineStr"/>
      <c r="H24" s="10" t="inlineStr"/>
      <c r="I24" s="10">
        <f>IFERROR(ROUND((H24-G24)/7,0),"")</f>
        <v/>
      </c>
      <c r="J24" s="10" t="inlineStr"/>
      <c r="K24" s="10" t="inlineStr">
        <is>
          <t>Y</t>
        </is>
      </c>
    </row>
    <row r="25" ht="22" customHeight="1">
      <c r="B25" s="14" t="n">
        <v>21</v>
      </c>
      <c r="C25" s="15" t="inlineStr"/>
      <c r="D25" s="16" t="inlineStr"/>
      <c r="E25" s="15" t="inlineStr"/>
      <c r="F25" s="16" t="inlineStr">
        <is>
          <t>In-plant Training (2–4 weeks)</t>
        </is>
      </c>
      <c r="G25" s="16" t="inlineStr"/>
      <c r="H25" s="16" t="inlineStr"/>
      <c r="I25" s="16">
        <f>IFERROR(ROUND((H25-G25)/7,0),"")</f>
        <v/>
      </c>
      <c r="J25" s="16" t="inlineStr"/>
      <c r="K25" s="16" t="inlineStr">
        <is>
          <t>Y</t>
        </is>
      </c>
    </row>
    <row r="26" ht="22" customHeight="1">
      <c r="B26" s="8" t="n">
        <v>22</v>
      </c>
      <c r="C26" s="9" t="inlineStr"/>
      <c r="D26" s="10" t="inlineStr"/>
      <c r="E26" s="9" t="inlineStr"/>
      <c r="F26" s="10" t="inlineStr">
        <is>
          <t>Research Internship — IIT / NIT</t>
        </is>
      </c>
      <c r="G26" s="10" t="inlineStr"/>
      <c r="H26" s="10" t="inlineStr"/>
      <c r="I26" s="10">
        <f>IFERROR(ROUND((H26-G26)/7,0),"")</f>
        <v/>
      </c>
      <c r="J26" s="10" t="inlineStr"/>
      <c r="K26" s="10" t="inlineStr">
        <is>
          <t>Y</t>
        </is>
      </c>
    </row>
    <row r="27" ht="22" customHeight="1">
      <c r="B27" s="14" t="n">
        <v>23</v>
      </c>
      <c r="C27" s="15" t="inlineStr"/>
      <c r="D27" s="16" t="inlineStr"/>
      <c r="E27" s="15" t="inlineStr"/>
      <c r="F27" s="16" t="inlineStr">
        <is>
          <t>Government / PSU Internship</t>
        </is>
      </c>
      <c r="G27" s="16" t="inlineStr"/>
      <c r="H27" s="16" t="inlineStr"/>
      <c r="I27" s="16">
        <f>IFERROR(ROUND((H27-G27)/7,0),"")</f>
        <v/>
      </c>
      <c r="J27" s="16" t="inlineStr"/>
      <c r="K27" s="16" t="inlineStr">
        <is>
          <t>Y</t>
        </is>
      </c>
    </row>
    <row r="28" ht="22" customHeight="1">
      <c r="B28" s="8" t="n">
        <v>24</v>
      </c>
      <c r="C28" s="9" t="inlineStr"/>
      <c r="D28" s="10" t="inlineStr"/>
      <c r="E28" s="9" t="inlineStr"/>
      <c r="F28" s="10" t="inlineStr">
        <is>
          <t>Startup / Entrepreneurship Internship</t>
        </is>
      </c>
      <c r="G28" s="10" t="inlineStr"/>
      <c r="H28" s="10" t="inlineStr"/>
      <c r="I28" s="10">
        <f>IFERROR(ROUND((H28-G28)/7,0),"")</f>
        <v/>
      </c>
      <c r="J28" s="10" t="inlineStr"/>
      <c r="K28" s="10" t="inlineStr">
        <is>
          <t>Y</t>
        </is>
      </c>
    </row>
    <row r="29" ht="22" customHeight="1">
      <c r="B29" s="14" t="n">
        <v>25</v>
      </c>
      <c r="C29" s="15" t="inlineStr"/>
      <c r="D29" s="16" t="inlineStr"/>
      <c r="E29" s="15" t="inlineStr"/>
      <c r="F29" s="16" t="inlineStr">
        <is>
          <t>Online / Remote Internship</t>
        </is>
      </c>
      <c r="G29" s="16" t="inlineStr"/>
      <c r="H29" s="16" t="inlineStr"/>
      <c r="I29" s="16">
        <f>IFERROR(ROUND((H29-G29)/7,0),"")</f>
        <v/>
      </c>
      <c r="J29" s="16" t="inlineStr"/>
      <c r="K29" s="16" t="inlineStr">
        <is>
          <t>Y</t>
        </is>
      </c>
    </row>
    <row r="30" ht="22" customHeight="1">
      <c r="B30" s="8" t="n">
        <v>26</v>
      </c>
      <c r="C30" s="9" t="inlineStr"/>
      <c r="D30" s="10" t="inlineStr"/>
      <c r="E30" s="9" t="inlineStr"/>
      <c r="F30" s="10" t="inlineStr">
        <is>
          <t>NGO / Social Internship</t>
        </is>
      </c>
      <c r="G30" s="10" t="inlineStr"/>
      <c r="H30" s="10" t="inlineStr"/>
      <c r="I30" s="10">
        <f>IFERROR(ROUND((H30-G30)/7,0),"")</f>
        <v/>
      </c>
      <c r="J30" s="10" t="inlineStr"/>
      <c r="K30" s="10" t="inlineStr">
        <is>
          <t>Y</t>
        </is>
      </c>
    </row>
    <row r="31" ht="22" customHeight="1">
      <c r="B31" s="14" t="n">
        <v>27</v>
      </c>
      <c r="C31" s="15" t="inlineStr"/>
      <c r="D31" s="16" t="inlineStr"/>
      <c r="E31" s="15" t="inlineStr"/>
      <c r="F31" s="16" t="inlineStr">
        <is>
          <t>International Internship</t>
        </is>
      </c>
      <c r="G31" s="16" t="inlineStr"/>
      <c r="H31" s="16" t="inlineStr"/>
      <c r="I31" s="16">
        <f>IFERROR(ROUND((H31-G31)/7,0),"")</f>
        <v/>
      </c>
      <c r="J31" s="16" t="inlineStr"/>
      <c r="K31" s="16" t="inlineStr">
        <is>
          <t>Y</t>
        </is>
      </c>
    </row>
    <row r="32" ht="22" customHeight="1">
      <c r="B32" s="8" t="n">
        <v>28</v>
      </c>
      <c r="C32" s="9" t="inlineStr"/>
      <c r="D32" s="10" t="inlineStr"/>
      <c r="E32" s="9" t="inlineStr"/>
      <c r="F32" s="10" t="inlineStr">
        <is>
          <t>Industrial Internship (6 weeks)</t>
        </is>
      </c>
      <c r="G32" s="10" t="inlineStr"/>
      <c r="H32" s="10" t="inlineStr"/>
      <c r="I32" s="10">
        <f>IFERROR(ROUND((H32-G32)/7,0),"")</f>
        <v/>
      </c>
      <c r="J32" s="10" t="inlineStr"/>
      <c r="K32" s="10" t="inlineStr">
        <is>
          <t>Y</t>
        </is>
      </c>
    </row>
    <row r="33" ht="22" customHeight="1"/>
    <row r="34" ht="24" customHeight="1">
      <c r="B34" s="34" t="inlineStr">
        <is>
          <t>INTERNSHIP SUMMARY</t>
        </is>
      </c>
    </row>
    <row r="35" ht="22" customHeight="1">
      <c r="B35" s="50" t="inlineStr">
        <is>
          <t>Total Students for Internship</t>
        </is>
      </c>
      <c r="F35" s="26">
        <f>COUNTA(B5:B32)</f>
        <v/>
      </c>
    </row>
    <row r="36">
      <c r="B36" s="25" t="inlineStr">
        <is>
          <t>Reports Submitted</t>
        </is>
      </c>
      <c r="F36" s="36">
        <f>COUNTIF(K5:K32,"Y")</f>
        <v/>
      </c>
    </row>
    <row r="37">
      <c r="B37" s="50" t="inlineStr">
        <is>
          <t>Stipend-bearing Internships</t>
        </is>
      </c>
      <c r="F37" s="26">
        <f>COUNTIF(J5:J32,"&gt;"&amp;0)</f>
        <v/>
      </c>
    </row>
    <row r="38">
      <c r="B38" s="25" t="inlineStr">
        <is>
          <t>Research Internships (IIT/NIT)</t>
        </is>
      </c>
      <c r="F38" s="36">
        <f>COUNTIF(F5:F32,"Research Internship — IIT / NIT")</f>
        <v/>
      </c>
    </row>
    <row r="39">
      <c r="B39" s="50" t="inlineStr">
        <is>
          <t>Average Duration (weeks)</t>
        </is>
      </c>
      <c r="F39" s="26">
        <f>IFERROR(ROUND(AVERAGE(I5:I32),1),"")</f>
        <v/>
      </c>
    </row>
    <row r="40">
      <c r="B40" s="25" t="inlineStr">
        <is>
          <t>Report Submission Rate (%)</t>
        </is>
      </c>
      <c r="F40" s="36">
        <f>IFERROR(ROUND(C37/C36*100,1),"")</f>
        <v/>
      </c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DDC-34: STUDENT PLACEMENT &amp; HIGHER STUDIES REGISTER</t>
        </is>
      </c>
    </row>
    <row r="3" ht="20" customHeight="1">
      <c r="B3" s="2" t="inlineStr">
        <is>
          <t>Department: _______  Batch / A.Y.: _______  T&amp;P Coordinator: ___________________  NAAC Ref.: Criterion V.2 / NIRF</t>
        </is>
      </c>
    </row>
    <row r="4" ht="25" customHeight="1">
      <c r="B4" s="13" t="inlineStr">
        <is>
          <t>Sl.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Category</t>
        </is>
      </c>
      <c r="F4" s="13" t="inlineStr">
        <is>
          <t>Organisation /
Institution</t>
        </is>
      </c>
      <c r="G4" s="13" t="inlineStr">
        <is>
          <t>Designation /
Programme</t>
        </is>
      </c>
      <c r="H4" s="13" t="inlineStr">
        <is>
          <t>CTC /
Stipend (₹L)</t>
        </is>
      </c>
      <c r="I4" s="13" t="inlineStr">
        <is>
          <t>Location</t>
        </is>
      </c>
      <c r="J4" s="13" t="inlineStr">
        <is>
          <t>Offer Date</t>
        </is>
      </c>
      <c r="K4" s="13" t="inlineStr">
        <is>
          <t>Status</t>
        </is>
      </c>
    </row>
    <row r="5" ht="22" customHeight="1">
      <c r="B5" s="14" t="n">
        <v>1</v>
      </c>
      <c r="C5" s="15" t="inlineStr"/>
      <c r="D5" s="16" t="inlineStr"/>
      <c r="E5" s="15" t="inlineStr">
        <is>
          <t>Placed — Core (Relevant to Branch)</t>
        </is>
      </c>
      <c r="F5" s="15" t="inlineStr"/>
      <c r="G5" s="15" t="inlineStr"/>
      <c r="H5" s="16" t="inlineStr"/>
      <c r="I5" s="16" t="inlineStr"/>
      <c r="J5" s="16" t="inlineStr"/>
      <c r="K5" s="16" t="inlineStr">
        <is>
          <t>Confirmed</t>
        </is>
      </c>
    </row>
    <row r="6" ht="22" customHeight="1">
      <c r="B6" s="8" t="n">
        <v>2</v>
      </c>
      <c r="C6" s="9" t="inlineStr"/>
      <c r="D6" s="10" t="inlineStr"/>
      <c r="E6" s="9" t="inlineStr">
        <is>
          <t>Placed — IT / Software</t>
        </is>
      </c>
      <c r="F6" s="9" t="inlineStr"/>
      <c r="G6" s="9" t="inlineStr"/>
      <c r="H6" s="10" t="inlineStr"/>
      <c r="I6" s="10" t="inlineStr"/>
      <c r="J6" s="10" t="inlineStr"/>
      <c r="K6" s="10" t="inlineStr">
        <is>
          <t>Confirmed</t>
        </is>
      </c>
    </row>
    <row r="7" ht="22" customHeight="1">
      <c r="B7" s="14" t="n">
        <v>3</v>
      </c>
      <c r="C7" s="15" t="inlineStr"/>
      <c r="D7" s="16" t="inlineStr"/>
      <c r="E7" s="15" t="inlineStr">
        <is>
          <t>Placed — Govt. / PSU</t>
        </is>
      </c>
      <c r="F7" s="15" t="inlineStr"/>
      <c r="G7" s="15" t="inlineStr"/>
      <c r="H7" s="16" t="inlineStr"/>
      <c r="I7" s="16" t="inlineStr"/>
      <c r="J7" s="16" t="inlineStr"/>
      <c r="K7" s="16" t="inlineStr">
        <is>
          <t>Confirmed</t>
        </is>
      </c>
    </row>
    <row r="8" ht="22" customHeight="1">
      <c r="B8" s="8" t="n">
        <v>4</v>
      </c>
      <c r="C8" s="9" t="inlineStr"/>
      <c r="D8" s="10" t="inlineStr"/>
      <c r="E8" s="9" t="inlineStr">
        <is>
          <t>Placed — BFSI / Finance</t>
        </is>
      </c>
      <c r="F8" s="9" t="inlineStr"/>
      <c r="G8" s="9" t="inlineStr"/>
      <c r="H8" s="10" t="inlineStr"/>
      <c r="I8" s="10" t="inlineStr"/>
      <c r="J8" s="10" t="inlineStr"/>
      <c r="K8" s="10" t="inlineStr">
        <is>
          <t>Confirmed</t>
        </is>
      </c>
    </row>
    <row r="9" ht="22" customHeight="1">
      <c r="B9" s="14" t="n">
        <v>5</v>
      </c>
      <c r="C9" s="15" t="inlineStr"/>
      <c r="D9" s="16" t="inlineStr"/>
      <c r="E9" s="15" t="inlineStr">
        <is>
          <t>Placed — Manufacturing</t>
        </is>
      </c>
      <c r="F9" s="15" t="inlineStr"/>
      <c r="G9" s="15" t="inlineStr"/>
      <c r="H9" s="16" t="inlineStr"/>
      <c r="I9" s="16" t="inlineStr"/>
      <c r="J9" s="16" t="inlineStr"/>
      <c r="K9" s="16" t="inlineStr">
        <is>
          <t>Confirmed</t>
        </is>
      </c>
    </row>
    <row r="10" ht="22" customHeight="1">
      <c r="B10" s="8" t="n">
        <v>6</v>
      </c>
      <c r="C10" s="9" t="inlineStr"/>
      <c r="D10" s="10" t="inlineStr"/>
      <c r="E10" s="9" t="inlineStr">
        <is>
          <t>Placed — Consulting</t>
        </is>
      </c>
      <c r="F10" s="9" t="inlineStr"/>
      <c r="G10" s="9" t="inlineStr"/>
      <c r="H10" s="10" t="inlineStr"/>
      <c r="I10" s="10" t="inlineStr"/>
      <c r="J10" s="10" t="inlineStr"/>
      <c r="K10" s="10" t="inlineStr">
        <is>
          <t>Confirmed</t>
        </is>
      </c>
    </row>
    <row r="11" ht="22" customHeight="1">
      <c r="B11" s="14" t="n">
        <v>7</v>
      </c>
      <c r="C11" s="15" t="inlineStr"/>
      <c r="D11" s="16" t="inlineStr"/>
      <c r="E11" s="15" t="inlineStr">
        <is>
          <t>Higher Studies — M.Tech / M.E.</t>
        </is>
      </c>
      <c r="F11" s="15" t="inlineStr"/>
      <c r="G11" s="15" t="inlineStr"/>
      <c r="H11" s="16" t="inlineStr"/>
      <c r="I11" s="16" t="inlineStr"/>
      <c r="J11" s="16" t="inlineStr"/>
      <c r="K11" s="16" t="inlineStr">
        <is>
          <t>Confirmed</t>
        </is>
      </c>
    </row>
    <row r="12" ht="22" customHeight="1">
      <c r="B12" s="8" t="n">
        <v>8</v>
      </c>
      <c r="C12" s="9" t="inlineStr"/>
      <c r="D12" s="10" t="inlineStr"/>
      <c r="E12" s="9" t="inlineStr">
        <is>
          <t>Higher Studies — MBA</t>
        </is>
      </c>
      <c r="F12" s="9" t="inlineStr"/>
      <c r="G12" s="9" t="inlineStr"/>
      <c r="H12" s="10" t="inlineStr"/>
      <c r="I12" s="10" t="inlineStr"/>
      <c r="J12" s="10" t="inlineStr"/>
      <c r="K12" s="10" t="inlineStr">
        <is>
          <t>Confirmed</t>
        </is>
      </c>
    </row>
    <row r="13" ht="22" customHeight="1">
      <c r="B13" s="14" t="n">
        <v>9</v>
      </c>
      <c r="C13" s="15" t="inlineStr"/>
      <c r="D13" s="16" t="inlineStr"/>
      <c r="E13" s="15" t="inlineStr">
        <is>
          <t>Higher Studies — M.Sc. / Integrated</t>
        </is>
      </c>
      <c r="F13" s="15" t="inlineStr"/>
      <c r="G13" s="15" t="inlineStr"/>
      <c r="H13" s="16" t="inlineStr"/>
      <c r="I13" s="16" t="inlineStr"/>
      <c r="J13" s="16" t="inlineStr"/>
      <c r="K13" s="16" t="inlineStr">
        <is>
          <t>Confirmed</t>
        </is>
      </c>
    </row>
    <row r="14" ht="22" customHeight="1">
      <c r="B14" s="8" t="n">
        <v>10</v>
      </c>
      <c r="C14" s="9" t="inlineStr"/>
      <c r="D14" s="10" t="inlineStr"/>
      <c r="E14" s="9" t="inlineStr">
        <is>
          <t>GATE Qualified — PG Admission</t>
        </is>
      </c>
      <c r="F14" s="9" t="inlineStr"/>
      <c r="G14" s="9" t="inlineStr"/>
      <c r="H14" s="10" t="inlineStr"/>
      <c r="I14" s="10" t="inlineStr"/>
      <c r="J14" s="10" t="inlineStr"/>
      <c r="K14" s="10" t="inlineStr">
        <is>
          <t>Confirmed</t>
        </is>
      </c>
    </row>
    <row r="15" ht="22" customHeight="1">
      <c r="B15" s="14" t="n">
        <v>11</v>
      </c>
      <c r="C15" s="15" t="inlineStr"/>
      <c r="D15" s="16" t="inlineStr"/>
      <c r="E15" s="15" t="inlineStr">
        <is>
          <t>Civil Services / Govt. Exam</t>
        </is>
      </c>
      <c r="F15" s="15" t="inlineStr"/>
      <c r="G15" s="15" t="inlineStr"/>
      <c r="H15" s="16" t="inlineStr"/>
      <c r="I15" s="16" t="inlineStr"/>
      <c r="J15" s="16" t="inlineStr"/>
      <c r="K15" s="16" t="inlineStr">
        <is>
          <t>Confirmed</t>
        </is>
      </c>
    </row>
    <row r="16" ht="22" customHeight="1">
      <c r="B16" s="8" t="n">
        <v>12</v>
      </c>
      <c r="C16" s="9" t="inlineStr"/>
      <c r="D16" s="10" t="inlineStr"/>
      <c r="E16" s="9" t="inlineStr">
        <is>
          <t>Entrepreneurship / Startup</t>
        </is>
      </c>
      <c r="F16" s="9" t="inlineStr"/>
      <c r="G16" s="9" t="inlineStr"/>
      <c r="H16" s="10" t="inlineStr"/>
      <c r="I16" s="10" t="inlineStr"/>
      <c r="J16" s="10" t="inlineStr"/>
      <c r="K16" s="10" t="inlineStr">
        <is>
          <t>Confirmed</t>
        </is>
      </c>
    </row>
    <row r="17" ht="22" customHeight="1">
      <c r="B17" s="14" t="n">
        <v>13</v>
      </c>
      <c r="C17" s="15" t="inlineStr"/>
      <c r="D17" s="16" t="inlineStr"/>
      <c r="E17" s="15" t="inlineStr">
        <is>
          <t>Not Yet Placed</t>
        </is>
      </c>
      <c r="F17" s="15" t="inlineStr"/>
      <c r="G17" s="15" t="inlineStr"/>
      <c r="H17" s="16" t="inlineStr"/>
      <c r="I17" s="16" t="inlineStr"/>
      <c r="J17" s="16" t="inlineStr"/>
      <c r="K17" s="16" t="inlineStr">
        <is>
          <t>Confirmed</t>
        </is>
      </c>
    </row>
    <row r="18" ht="22" customHeight="1">
      <c r="B18" s="8" t="n">
        <v>14</v>
      </c>
      <c r="C18" s="9" t="inlineStr"/>
      <c r="D18" s="10" t="inlineStr"/>
      <c r="E18" s="9" t="inlineStr">
        <is>
          <t>Placed — Core (Relevant to Branch)</t>
        </is>
      </c>
      <c r="F18" s="9" t="inlineStr"/>
      <c r="G18" s="9" t="inlineStr"/>
      <c r="H18" s="10" t="inlineStr"/>
      <c r="I18" s="10" t="inlineStr"/>
      <c r="J18" s="10" t="inlineStr"/>
      <c r="K18" s="10" t="inlineStr">
        <is>
          <t>Confirmed</t>
        </is>
      </c>
    </row>
    <row r="19" ht="22" customHeight="1">
      <c r="B19" s="14" t="n">
        <v>15</v>
      </c>
      <c r="C19" s="15" t="inlineStr"/>
      <c r="D19" s="16" t="inlineStr"/>
      <c r="E19" s="15" t="inlineStr">
        <is>
          <t>Placed — IT / Software</t>
        </is>
      </c>
      <c r="F19" s="15" t="inlineStr"/>
      <c r="G19" s="15" t="inlineStr"/>
      <c r="H19" s="16" t="inlineStr"/>
      <c r="I19" s="16" t="inlineStr"/>
      <c r="J19" s="16" t="inlineStr"/>
      <c r="K19" s="16" t="inlineStr">
        <is>
          <t>Confirmed</t>
        </is>
      </c>
    </row>
    <row r="20" ht="22" customHeight="1">
      <c r="B20" s="8" t="n">
        <v>16</v>
      </c>
      <c r="C20" s="9" t="inlineStr"/>
      <c r="D20" s="10" t="inlineStr"/>
      <c r="E20" s="9" t="inlineStr">
        <is>
          <t>Placed — Govt. / PSU</t>
        </is>
      </c>
      <c r="F20" s="9" t="inlineStr"/>
      <c r="G20" s="9" t="inlineStr"/>
      <c r="H20" s="10" t="inlineStr"/>
      <c r="I20" s="10" t="inlineStr"/>
      <c r="J20" s="10" t="inlineStr"/>
      <c r="K20" s="10" t="inlineStr">
        <is>
          <t>Confirmed</t>
        </is>
      </c>
    </row>
    <row r="21" ht="22" customHeight="1">
      <c r="B21" s="14" t="n">
        <v>17</v>
      </c>
      <c r="C21" s="15" t="inlineStr"/>
      <c r="D21" s="16" t="inlineStr"/>
      <c r="E21" s="15" t="inlineStr">
        <is>
          <t>Placed — BFSI / Finance</t>
        </is>
      </c>
      <c r="F21" s="15" t="inlineStr"/>
      <c r="G21" s="15" t="inlineStr"/>
      <c r="H21" s="16" t="inlineStr"/>
      <c r="I21" s="16" t="inlineStr"/>
      <c r="J21" s="16" t="inlineStr"/>
      <c r="K21" s="16" t="inlineStr">
        <is>
          <t>Confirmed</t>
        </is>
      </c>
    </row>
    <row r="22" ht="22" customHeight="1">
      <c r="B22" s="8" t="n">
        <v>18</v>
      </c>
      <c r="C22" s="9" t="inlineStr"/>
      <c r="D22" s="10" t="inlineStr"/>
      <c r="E22" s="9" t="inlineStr">
        <is>
          <t>Placed — Manufacturing</t>
        </is>
      </c>
      <c r="F22" s="9" t="inlineStr"/>
      <c r="G22" s="9" t="inlineStr"/>
      <c r="H22" s="10" t="inlineStr"/>
      <c r="I22" s="10" t="inlineStr"/>
      <c r="J22" s="10" t="inlineStr"/>
      <c r="K22" s="10" t="inlineStr">
        <is>
          <t>Confirmed</t>
        </is>
      </c>
    </row>
    <row r="23" ht="22" customHeight="1">
      <c r="B23" s="14" t="n">
        <v>19</v>
      </c>
      <c r="C23" s="15" t="inlineStr"/>
      <c r="D23" s="16" t="inlineStr"/>
      <c r="E23" s="15" t="inlineStr">
        <is>
          <t>Placed — Consulting</t>
        </is>
      </c>
      <c r="F23" s="15" t="inlineStr"/>
      <c r="G23" s="15" t="inlineStr"/>
      <c r="H23" s="16" t="inlineStr"/>
      <c r="I23" s="16" t="inlineStr"/>
      <c r="J23" s="16" t="inlineStr"/>
      <c r="K23" s="16" t="inlineStr">
        <is>
          <t>Confirmed</t>
        </is>
      </c>
    </row>
    <row r="24" ht="22" customHeight="1">
      <c r="B24" s="8" t="n">
        <v>20</v>
      </c>
      <c r="C24" s="9" t="inlineStr"/>
      <c r="D24" s="10" t="inlineStr"/>
      <c r="E24" s="9" t="inlineStr">
        <is>
          <t>Higher Studies — M.Tech / M.E.</t>
        </is>
      </c>
      <c r="F24" s="9" t="inlineStr"/>
      <c r="G24" s="9" t="inlineStr"/>
      <c r="H24" s="10" t="inlineStr"/>
      <c r="I24" s="10" t="inlineStr"/>
      <c r="J24" s="10" t="inlineStr"/>
      <c r="K24" s="10" t="inlineStr">
        <is>
          <t>Confirmed</t>
        </is>
      </c>
    </row>
    <row r="25" ht="22" customHeight="1">
      <c r="B25" s="14" t="n">
        <v>21</v>
      </c>
      <c r="C25" s="15" t="inlineStr"/>
      <c r="D25" s="16" t="inlineStr"/>
      <c r="E25" s="15" t="inlineStr">
        <is>
          <t>Higher Studies — MBA</t>
        </is>
      </c>
      <c r="F25" s="15" t="inlineStr"/>
      <c r="G25" s="15" t="inlineStr"/>
      <c r="H25" s="16" t="inlineStr"/>
      <c r="I25" s="16" t="inlineStr"/>
      <c r="J25" s="16" t="inlineStr"/>
      <c r="K25" s="16" t="inlineStr">
        <is>
          <t>Confirmed</t>
        </is>
      </c>
    </row>
    <row r="26" ht="22" customHeight="1">
      <c r="B26" s="8" t="n">
        <v>22</v>
      </c>
      <c r="C26" s="9" t="inlineStr"/>
      <c r="D26" s="10" t="inlineStr"/>
      <c r="E26" s="9" t="inlineStr">
        <is>
          <t>Higher Studies — M.Sc. / Integrated</t>
        </is>
      </c>
      <c r="F26" s="9" t="inlineStr"/>
      <c r="G26" s="9" t="inlineStr"/>
      <c r="H26" s="10" t="inlineStr"/>
      <c r="I26" s="10" t="inlineStr"/>
      <c r="J26" s="10" t="inlineStr"/>
      <c r="K26" s="10" t="inlineStr">
        <is>
          <t>Confirmed</t>
        </is>
      </c>
    </row>
    <row r="27" ht="22" customHeight="1">
      <c r="B27" s="14" t="n">
        <v>23</v>
      </c>
      <c r="C27" s="15" t="inlineStr"/>
      <c r="D27" s="16" t="inlineStr"/>
      <c r="E27" s="15" t="inlineStr">
        <is>
          <t>GATE Qualified — PG Admission</t>
        </is>
      </c>
      <c r="F27" s="15" t="inlineStr"/>
      <c r="G27" s="15" t="inlineStr"/>
      <c r="H27" s="16" t="inlineStr"/>
      <c r="I27" s="16" t="inlineStr"/>
      <c r="J27" s="16" t="inlineStr"/>
      <c r="K27" s="16" t="inlineStr">
        <is>
          <t>Confirmed</t>
        </is>
      </c>
    </row>
    <row r="28" ht="22" customHeight="1">
      <c r="B28" s="8" t="n">
        <v>24</v>
      </c>
      <c r="C28" s="9" t="inlineStr"/>
      <c r="D28" s="10" t="inlineStr"/>
      <c r="E28" s="9" t="inlineStr">
        <is>
          <t>Civil Services / Govt. Exam</t>
        </is>
      </c>
      <c r="F28" s="9" t="inlineStr"/>
      <c r="G28" s="9" t="inlineStr"/>
      <c r="H28" s="10" t="inlineStr"/>
      <c r="I28" s="10" t="inlineStr"/>
      <c r="J28" s="10" t="inlineStr"/>
      <c r="K28" s="10" t="inlineStr">
        <is>
          <t>Confirmed</t>
        </is>
      </c>
    </row>
    <row r="29" ht="22" customHeight="1">
      <c r="B29" s="14" t="n">
        <v>25</v>
      </c>
      <c r="C29" s="15" t="inlineStr"/>
      <c r="D29" s="16" t="inlineStr"/>
      <c r="E29" s="15" t="inlineStr">
        <is>
          <t>Entrepreneurship / Startup</t>
        </is>
      </c>
      <c r="F29" s="15" t="inlineStr"/>
      <c r="G29" s="15" t="inlineStr"/>
      <c r="H29" s="16" t="inlineStr"/>
      <c r="I29" s="16" t="inlineStr"/>
      <c r="J29" s="16" t="inlineStr"/>
      <c r="K29" s="16" t="inlineStr">
        <is>
          <t>Confirmed</t>
        </is>
      </c>
    </row>
    <row r="30" ht="22" customHeight="1">
      <c r="B30" s="8" t="n">
        <v>26</v>
      </c>
      <c r="C30" s="9" t="inlineStr"/>
      <c r="D30" s="10" t="inlineStr"/>
      <c r="E30" s="9" t="inlineStr">
        <is>
          <t>Not Yet Placed</t>
        </is>
      </c>
      <c r="F30" s="9" t="inlineStr"/>
      <c r="G30" s="9" t="inlineStr"/>
      <c r="H30" s="10" t="inlineStr"/>
      <c r="I30" s="10" t="inlineStr"/>
      <c r="J30" s="10" t="inlineStr"/>
      <c r="K30" s="10" t="inlineStr">
        <is>
          <t>Confirmed</t>
        </is>
      </c>
    </row>
    <row r="31" ht="22" customHeight="1">
      <c r="B31" s="14" t="n">
        <v>27</v>
      </c>
      <c r="C31" s="15" t="inlineStr"/>
      <c r="D31" s="16" t="inlineStr"/>
      <c r="E31" s="15" t="inlineStr">
        <is>
          <t>Placed — Core (Relevant to Branch)</t>
        </is>
      </c>
      <c r="F31" s="15" t="inlineStr"/>
      <c r="G31" s="15" t="inlineStr"/>
      <c r="H31" s="16" t="inlineStr"/>
      <c r="I31" s="16" t="inlineStr"/>
      <c r="J31" s="16" t="inlineStr"/>
      <c r="K31" s="16" t="inlineStr">
        <is>
          <t>Confirmed</t>
        </is>
      </c>
    </row>
    <row r="32" ht="22" customHeight="1">
      <c r="B32" s="8" t="n">
        <v>28</v>
      </c>
      <c r="C32" s="9" t="inlineStr"/>
      <c r="D32" s="10" t="inlineStr"/>
      <c r="E32" s="9" t="inlineStr">
        <is>
          <t>Placed — IT / Software</t>
        </is>
      </c>
      <c r="F32" s="9" t="inlineStr"/>
      <c r="G32" s="9" t="inlineStr"/>
      <c r="H32" s="10" t="inlineStr"/>
      <c r="I32" s="10" t="inlineStr"/>
      <c r="J32" s="10" t="inlineStr"/>
      <c r="K32" s="10" t="inlineStr">
        <is>
          <t>Confirmed</t>
        </is>
      </c>
    </row>
    <row r="33" ht="22" customHeight="1"/>
    <row r="34" ht="24" customHeight="1">
      <c r="B34" s="34" t="inlineStr">
        <is>
          <t>PLACEMENT &amp; PROGRESSION SUMMARY</t>
        </is>
      </c>
    </row>
    <row r="35" ht="22" customHeight="1">
      <c r="B35" s="50" t="inlineStr">
        <is>
          <t>Total Eligible Students</t>
        </is>
      </c>
      <c r="F35" s="26">
        <f>COUNTA(B5:B32)</f>
        <v/>
      </c>
    </row>
    <row r="36">
      <c r="B36" s="25" t="inlineStr">
        <is>
          <t>Placed (all categories)</t>
        </is>
      </c>
      <c r="F36" s="36">
        <f>COUNTIF(K5:K32,"Confirmed")</f>
        <v/>
      </c>
    </row>
    <row r="37">
      <c r="B37" s="50" t="inlineStr">
        <is>
          <t>Core Sector Placements</t>
        </is>
      </c>
      <c r="F37" s="26">
        <f>COUNTIF(E5:E32,"Placed — Core (Relevant to Branch)")</f>
        <v/>
      </c>
    </row>
    <row r="38">
      <c r="B38" s="25" t="inlineStr">
        <is>
          <t>Higher Studies</t>
        </is>
      </c>
      <c r="F38" s="36">
        <f>COUNTIF(E5:E32,"Higher Studies — M.Tech / M.E.")+COUNTIF(E5:E32,"Higher Studies — MBA")+COUNTIF(E5:E32,"Higher Studies — M.Sc. / Integrated")</f>
        <v/>
      </c>
    </row>
    <row r="39">
      <c r="B39" s="50" t="inlineStr">
        <is>
          <t>Average CTC (₹L) — Placed</t>
        </is>
      </c>
      <c r="F39" s="26">
        <f>IFERROR(ROUND(AVERAGEIF(K5:K32,"Confirmed",H5:H32),2),"")</f>
        <v/>
      </c>
    </row>
    <row r="40">
      <c r="B40" s="25" t="inlineStr">
        <is>
          <t>Placement Rate (%)</t>
        </is>
      </c>
      <c r="F40" s="36">
        <f>IFERROR(ROUND((COUNTIF(K5:K32,"Confirmed")/COUNTA(B5:B32))*100,1),"")</f>
        <v/>
      </c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DDC-50: STUDENT FEEDBACK ON DEPARTMENT — SEMESTER-WISE</t>
        </is>
      </c>
    </row>
    <row r="3" ht="25" customHeight="1">
      <c r="B3" s="2" t="inlineStr">
        <is>
          <t>Department: _______  Semester: _______  A.Y.: _______  Respondents: _______  Date: _______</t>
        </is>
      </c>
    </row>
    <row r="4" ht="22" customHeight="1">
      <c r="B4" s="54" t="inlineStr">
        <is>
          <t>Scale: 1 = Strongly Disagree  |  2 = Disagree  |  3 = Neutral  |  4 = Agree  |  5 = Strongly Agree</t>
        </is>
      </c>
    </row>
    <row r="5" ht="24" customHeight="1">
      <c r="B5" s="19" t="inlineStr">
        <is>
          <t>A. ACADEMIC QUALITY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Strongly
Agree (5)</t>
        </is>
      </c>
      <c r="E6" s="13" t="inlineStr">
        <is>
          <t>Agree
(4)</t>
        </is>
      </c>
      <c r="F6" s="13" t="inlineStr">
        <is>
          <t>Neutral
(3)</t>
        </is>
      </c>
      <c r="G6" s="13" t="inlineStr">
        <is>
          <t>Disagree
(2)</t>
        </is>
      </c>
      <c r="H6" s="13" t="inlineStr">
        <is>
          <t>Strongly
Disagree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Teaching quality across courses is consistently high</t>
        </is>
      </c>
      <c r="D7" s="16" t="inlineStr"/>
      <c r="E7" s="16" t="inlineStr"/>
      <c r="F7" s="16" t="inlineStr"/>
      <c r="G7" s="16" t="inlineStr"/>
      <c r="H7" s="16" t="inlineStr"/>
      <c r="I7" s="26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Faculty explains CO and PO linkage clearly</t>
        </is>
      </c>
      <c r="D8" s="10" t="inlineStr"/>
      <c r="E8" s="10" t="inlineStr"/>
      <c r="F8" s="10" t="inlineStr"/>
      <c r="G8" s="10" t="inlineStr"/>
      <c r="H8" s="10" t="inlineStr"/>
      <c r="I8" s="36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Syllabus is updated and industry-relevant</t>
        </is>
      </c>
      <c r="D9" s="16" t="inlineStr"/>
      <c r="E9" s="16" t="inlineStr"/>
      <c r="F9" s="16" t="inlineStr"/>
      <c r="G9" s="16" t="inlineStr"/>
      <c r="H9" s="16" t="inlineStr"/>
      <c r="I9" s="26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Assessment and evaluation is fair and transparent</t>
        </is>
      </c>
      <c r="D10" s="10" t="inlineStr"/>
      <c r="E10" s="10" t="inlineStr"/>
      <c r="F10" s="10" t="inlineStr"/>
      <c r="G10" s="10" t="inlineStr"/>
      <c r="H10" s="10" t="inlineStr"/>
      <c r="I10" s="36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Guest lectures and industrial visits enhance learning</t>
        </is>
      </c>
      <c r="D11" s="16" t="inlineStr"/>
      <c r="E11" s="16" t="inlineStr"/>
      <c r="F11" s="16" t="inlineStr"/>
      <c r="G11" s="16" t="inlineStr"/>
      <c r="H11" s="16" t="inlineStr"/>
      <c r="I11" s="26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ICT and digital tools are effectively used in teaching</t>
        </is>
      </c>
      <c r="D12" s="10" t="inlineStr"/>
      <c r="E12" s="10" t="inlineStr"/>
      <c r="F12" s="10" t="inlineStr"/>
      <c r="G12" s="10" t="inlineStr"/>
      <c r="H12" s="10" t="inlineStr"/>
      <c r="I12" s="36">
        <f>IFERROR(ROUND((D12*5+E12*4+F12*3+G12*2+H12)/SUM(D12:H12),2),"")</f>
        <v/>
      </c>
    </row>
    <row r="13" ht="22" customHeight="1"/>
    <row r="14" ht="24" customHeight="1">
      <c r="B14" s="37" t="inlineStr">
        <is>
          <t>B. FACULTY SUPPORT</t>
        </is>
      </c>
    </row>
    <row r="15" ht="22" customHeight="1">
      <c r="B15" s="55" t="inlineStr">
        <is>
          <t>Q.</t>
        </is>
      </c>
      <c r="C15" s="55" t="inlineStr">
        <is>
          <t>Survey Statement</t>
        </is>
      </c>
      <c r="D15" s="55" t="inlineStr">
        <is>
          <t>Strongly
Agree (5)</t>
        </is>
      </c>
      <c r="E15" s="55" t="inlineStr">
        <is>
          <t>Agree
(4)</t>
        </is>
      </c>
      <c r="F15" s="55" t="inlineStr">
        <is>
          <t>Neutral
(3)</t>
        </is>
      </c>
      <c r="G15" s="55" t="inlineStr">
        <is>
          <t>Disagree
(2)</t>
        </is>
      </c>
      <c r="H15" s="55" t="inlineStr">
        <is>
          <t>Strongly
Disagree (1)</t>
        </is>
      </c>
      <c r="I15" s="55" t="inlineStr">
        <is>
          <t>Avg Score</t>
        </is>
      </c>
    </row>
    <row r="16" ht="22" customHeight="1">
      <c r="B16" s="38" t="inlineStr">
        <is>
          <t>Q7</t>
        </is>
      </c>
      <c r="C16" s="39" t="inlineStr">
        <is>
          <t>Faculty is accessible for academic help beyond class hours</t>
        </is>
      </c>
      <c r="D16" s="40" t="inlineStr"/>
      <c r="E16" s="40" t="inlineStr"/>
      <c r="F16" s="40" t="inlineStr"/>
      <c r="G16" s="40" t="inlineStr"/>
      <c r="H16" s="40" t="inlineStr"/>
      <c r="I16" s="56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Mentor-mentee sessions are regular and helpful</t>
        </is>
      </c>
      <c r="D17" s="10" t="inlineStr"/>
      <c r="E17" s="10" t="inlineStr"/>
      <c r="F17" s="10" t="inlineStr"/>
      <c r="G17" s="10" t="inlineStr"/>
      <c r="H17" s="10" t="inlineStr"/>
      <c r="I17" s="36">
        <f>IFERROR(ROUND((D17*5+E17*4+F17*3+G17*2+H17)/SUM(D17:H17),2),"")</f>
        <v/>
      </c>
    </row>
    <row r="18" ht="22" customHeight="1">
      <c r="B18" s="38" t="inlineStr">
        <is>
          <t>Q9</t>
        </is>
      </c>
      <c r="C18" s="39" t="inlineStr">
        <is>
          <t>Slow learners receive adequate additional support</t>
        </is>
      </c>
      <c r="D18" s="40" t="inlineStr"/>
      <c r="E18" s="40" t="inlineStr"/>
      <c r="F18" s="40" t="inlineStr"/>
      <c r="G18" s="40" t="inlineStr"/>
      <c r="H18" s="40" t="inlineStr"/>
      <c r="I18" s="56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Career guidance by faculty is available and relevant</t>
        </is>
      </c>
      <c r="D19" s="10" t="inlineStr"/>
      <c r="E19" s="10" t="inlineStr"/>
      <c r="F19" s="10" t="inlineStr"/>
      <c r="G19" s="10" t="inlineStr"/>
      <c r="H19" s="10" t="inlineStr"/>
      <c r="I19" s="36">
        <f>IFERROR(ROUND((D19*5+E19*4+F19*3+G19*2+H19)/SUM(D19:H19),2),"")</f>
        <v/>
      </c>
    </row>
    <row r="20" ht="22" customHeight="1">
      <c r="B20" s="38" t="inlineStr">
        <is>
          <t>Q11</t>
        </is>
      </c>
      <c r="C20" s="39" t="inlineStr">
        <is>
          <t>Faculty encourages student research and innovation</t>
        </is>
      </c>
      <c r="D20" s="40" t="inlineStr"/>
      <c r="E20" s="40" t="inlineStr"/>
      <c r="F20" s="40" t="inlineStr"/>
      <c r="G20" s="40" t="inlineStr"/>
      <c r="H20" s="40" t="inlineStr"/>
      <c r="I20" s="56">
        <f>IFERROR(ROUND((D20*5+E20*4+F20*3+G20*2+H20)/SUM(D20:H20),2),"")</f>
        <v/>
      </c>
    </row>
    <row r="21" ht="22" customHeight="1"/>
    <row r="22" ht="24" customHeight="1">
      <c r="B22" s="34" t="inlineStr">
        <is>
          <t>C. INFRASTRUCTURE &amp; RESOURCES</t>
        </is>
      </c>
    </row>
    <row r="23" ht="22" customHeight="1">
      <c r="B23" s="30" t="inlineStr">
        <is>
          <t>Q.</t>
        </is>
      </c>
      <c r="C23" s="30" t="inlineStr">
        <is>
          <t>Survey Statement</t>
        </is>
      </c>
      <c r="D23" s="30" t="inlineStr">
        <is>
          <t>Strongly
Agree (5)</t>
        </is>
      </c>
      <c r="E23" s="30" t="inlineStr">
        <is>
          <t>Agree
(4)</t>
        </is>
      </c>
      <c r="F23" s="30" t="inlineStr">
        <is>
          <t>Neutral
(3)</t>
        </is>
      </c>
      <c r="G23" s="30" t="inlineStr">
        <is>
          <t>Disagree
(2)</t>
        </is>
      </c>
      <c r="H23" s="30" t="inlineStr">
        <is>
          <t>Strongly
Disagree (1)</t>
        </is>
      </c>
      <c r="I23" s="30" t="inlineStr">
        <is>
          <t>Avg Score</t>
        </is>
      </c>
    </row>
    <row r="24" ht="22" customHeight="1">
      <c r="B24" s="31" t="inlineStr">
        <is>
          <t>Q12</t>
        </is>
      </c>
      <c r="C24" s="32" t="inlineStr">
        <is>
          <t>Labs are well-equipped and maintained</t>
        </is>
      </c>
      <c r="D24" s="33" t="inlineStr"/>
      <c r="E24" s="33" t="inlineStr"/>
      <c r="F24" s="33" t="inlineStr"/>
      <c r="G24" s="33" t="inlineStr"/>
      <c r="H24" s="33" t="inlineStr"/>
      <c r="I24" s="57">
        <f>IFERROR(ROUND((D24*5+E24*4+F24*3+G24*2+H24)/SUM(D24:H24),2),"")</f>
        <v/>
      </c>
    </row>
    <row r="25" ht="22" customHeight="1">
      <c r="B25" s="8" t="inlineStr">
        <is>
          <t>Q13</t>
        </is>
      </c>
      <c r="C25" s="9" t="inlineStr">
        <is>
          <t>Software tools and computing resources are adequate</t>
        </is>
      </c>
      <c r="D25" s="10" t="inlineStr"/>
      <c r="E25" s="10" t="inlineStr"/>
      <c r="F25" s="10" t="inlineStr"/>
      <c r="G25" s="10" t="inlineStr"/>
      <c r="H25" s="10" t="inlineStr"/>
      <c r="I25" s="36">
        <f>IFERROR(ROUND((D25*5+E25*4+F25*3+G25*2+H25)/SUM(D25:H25),2),"")</f>
        <v/>
      </c>
    </row>
    <row r="26" ht="22" customHeight="1">
      <c r="B26" s="31" t="inlineStr">
        <is>
          <t>Q14</t>
        </is>
      </c>
      <c r="C26" s="32" t="inlineStr">
        <is>
          <t>Library resources (books, e-journals) are sufficient</t>
        </is>
      </c>
      <c r="D26" s="33" t="inlineStr"/>
      <c r="E26" s="33" t="inlineStr"/>
      <c r="F26" s="33" t="inlineStr"/>
      <c r="G26" s="33" t="inlineStr"/>
      <c r="H26" s="33" t="inlineStr"/>
      <c r="I26" s="57">
        <f>IFERROR(ROUND((D26*5+E26*4+F26*3+G26*2+H26)/SUM(D26:H26),2),"")</f>
        <v/>
      </c>
    </row>
    <row r="27" ht="22" customHeight="1">
      <c r="B27" s="8" t="inlineStr">
        <is>
          <t>Q15</t>
        </is>
      </c>
      <c r="C27" s="9" t="inlineStr">
        <is>
          <t>Internet connectivity and LMS access is reliable</t>
        </is>
      </c>
      <c r="D27" s="10" t="inlineStr"/>
      <c r="E27" s="10" t="inlineStr"/>
      <c r="F27" s="10" t="inlineStr"/>
      <c r="G27" s="10" t="inlineStr"/>
      <c r="H27" s="10" t="inlineStr"/>
      <c r="I27" s="36">
        <f>IFERROR(ROUND((D27*5+E27*4+F27*3+G27*2+H27)/SUM(D27:H27),2),"")</f>
        <v/>
      </c>
    </row>
    <row r="28" ht="22" customHeight="1">
      <c r="B28" s="31" t="inlineStr">
        <is>
          <t>Q16</t>
        </is>
      </c>
      <c r="C28" s="32" t="inlineStr">
        <is>
          <t>Classroom AV and smart board facilities are functional</t>
        </is>
      </c>
      <c r="D28" s="33" t="inlineStr"/>
      <c r="E28" s="33" t="inlineStr"/>
      <c r="F28" s="33" t="inlineStr"/>
      <c r="G28" s="33" t="inlineStr"/>
      <c r="H28" s="33" t="inlineStr"/>
      <c r="I28" s="57">
        <f>IFERROR(ROUND((D28*5+E28*4+F28*3+G28*2+H28)/SUM(D28:H28),2),"")</f>
        <v/>
      </c>
    </row>
    <row r="29" ht="22" customHeight="1"/>
    <row r="30" ht="24" customHeight="1">
      <c r="B30" s="20" t="inlineStr">
        <is>
          <t>D. STUDENT DEVELOPMENT</t>
        </is>
      </c>
    </row>
    <row r="31" ht="22" customHeight="1">
      <c r="B31" s="21" t="inlineStr">
        <is>
          <t>Q.</t>
        </is>
      </c>
      <c r="C31" s="21" t="inlineStr">
        <is>
          <t>Survey Statement</t>
        </is>
      </c>
      <c r="D31" s="21" t="inlineStr">
        <is>
          <t>Strongly
Agree (5)</t>
        </is>
      </c>
      <c r="E31" s="21" t="inlineStr">
        <is>
          <t>Agree
(4)</t>
        </is>
      </c>
      <c r="F31" s="21" t="inlineStr">
        <is>
          <t>Neutral
(3)</t>
        </is>
      </c>
      <c r="G31" s="21" t="inlineStr">
        <is>
          <t>Disagree
(2)</t>
        </is>
      </c>
      <c r="H31" s="21" t="inlineStr">
        <is>
          <t>Strongly
Disagree (1)</t>
        </is>
      </c>
      <c r="I31" s="21" t="inlineStr">
        <is>
          <t>Avg Score</t>
        </is>
      </c>
    </row>
    <row r="32" ht="22" customHeight="1">
      <c r="B32" s="45" t="inlineStr">
        <is>
          <t>Q17</t>
        </is>
      </c>
      <c r="C32" s="46" t="inlineStr">
        <is>
          <t>Department association activities are engaging and relevant</t>
        </is>
      </c>
      <c r="D32" s="22" t="inlineStr"/>
      <c r="E32" s="22" t="inlineStr"/>
      <c r="F32" s="22" t="inlineStr"/>
      <c r="G32" s="22" t="inlineStr"/>
      <c r="H32" s="22" t="inlineStr"/>
      <c r="I32" s="58">
        <f>IFERROR(ROUND((D32*5+E32*4+F32*3+G32*2+H32)/SUM(D32:H32),2),"")</f>
        <v/>
      </c>
    </row>
    <row r="33" ht="22" customHeight="1">
      <c r="B33" s="8" t="inlineStr">
        <is>
          <t>Q18</t>
        </is>
      </c>
      <c r="C33" s="9" t="inlineStr">
        <is>
          <t>Industry interaction (visits, internships) opportunities are adequate</t>
        </is>
      </c>
      <c r="D33" s="10" t="inlineStr"/>
      <c r="E33" s="10" t="inlineStr"/>
      <c r="F33" s="10" t="inlineStr"/>
      <c r="G33" s="10" t="inlineStr"/>
      <c r="H33" s="10" t="inlineStr"/>
      <c r="I33" s="36">
        <f>IFERROR(ROUND((D33*5+E33*4+F33*3+G33*2+H33)/SUM(D33:H33),2),"")</f>
        <v/>
      </c>
    </row>
    <row r="34" ht="22" customHeight="1">
      <c r="B34" s="45" t="inlineStr">
        <is>
          <t>Q19</t>
        </is>
      </c>
      <c r="C34" s="46" t="inlineStr">
        <is>
          <t>Placement preparation and support is effective</t>
        </is>
      </c>
      <c r="D34" s="22" t="inlineStr"/>
      <c r="E34" s="22" t="inlineStr"/>
      <c r="F34" s="22" t="inlineStr"/>
      <c r="G34" s="22" t="inlineStr"/>
      <c r="H34" s="22" t="inlineStr"/>
      <c r="I34" s="58">
        <f>IFERROR(ROUND((D34*5+E34*4+F34*3+G34*2+H34)/SUM(D34:H34),2),"")</f>
        <v/>
      </c>
    </row>
    <row r="35" ht="22" customHeight="1">
      <c r="B35" s="8" t="inlineStr">
        <is>
          <t>Q20</t>
        </is>
      </c>
      <c r="C35" s="9" t="inlineStr">
        <is>
          <t>Research and project opportunities are available to students</t>
        </is>
      </c>
      <c r="D35" s="10" t="inlineStr"/>
      <c r="E35" s="10" t="inlineStr"/>
      <c r="F35" s="10" t="inlineStr"/>
      <c r="G35" s="10" t="inlineStr"/>
      <c r="H35" s="10" t="inlineStr"/>
      <c r="I35" s="36">
        <f>IFERROR(ROUND((D35*5+E35*4+F35*3+G35*2+H35)/SUM(D35:H35),2),"")</f>
        <v/>
      </c>
    </row>
    <row r="36" ht="22" customHeight="1">
      <c r="B36" s="45" t="inlineStr">
        <is>
          <t>Q21</t>
        </is>
      </c>
      <c r="C36" s="46" t="inlineStr">
        <is>
          <t>Student grievances are addressed promptly and fairly</t>
        </is>
      </c>
      <c r="D36" s="22" t="inlineStr"/>
      <c r="E36" s="22" t="inlineStr"/>
      <c r="F36" s="22" t="inlineStr"/>
      <c r="G36" s="22" t="inlineStr"/>
      <c r="H36" s="22" t="inlineStr"/>
      <c r="I36" s="58">
        <f>IFERROR(ROUND((D36*5+E36*4+F36*3+G36*2+H36)/SUM(D36:H36),2),"")</f>
        <v/>
      </c>
    </row>
    <row r="37" ht="22" customHeight="1"/>
    <row r="38" ht="24" customHeight="1">
      <c r="B38" s="41" t="inlineStr">
        <is>
          <t>E. OVERALL EXPERIENCE</t>
        </is>
      </c>
    </row>
    <row r="39" ht="22" customHeight="1">
      <c r="B39" s="59" t="inlineStr">
        <is>
          <t>Q.</t>
        </is>
      </c>
      <c r="C39" s="59" t="inlineStr">
        <is>
          <t>Survey Statement</t>
        </is>
      </c>
      <c r="D39" s="59" t="inlineStr">
        <is>
          <t>Strongly
Agree (5)</t>
        </is>
      </c>
      <c r="E39" s="59" t="inlineStr">
        <is>
          <t>Agree
(4)</t>
        </is>
      </c>
      <c r="F39" s="59" t="inlineStr">
        <is>
          <t>Neutral
(3)</t>
        </is>
      </c>
      <c r="G39" s="59" t="inlineStr">
        <is>
          <t>Disagree
(2)</t>
        </is>
      </c>
      <c r="H39" s="59" t="inlineStr">
        <is>
          <t>Strongly
Disagree (1)</t>
        </is>
      </c>
      <c r="I39" s="59" t="inlineStr">
        <is>
          <t>Avg Score</t>
        </is>
      </c>
    </row>
    <row r="40" ht="22" customHeight="1">
      <c r="B40" s="42" t="inlineStr">
        <is>
          <t>Q22</t>
        </is>
      </c>
      <c r="C40" s="43" t="inlineStr">
        <is>
          <t>The department creates a positive learning environment</t>
        </is>
      </c>
      <c r="D40" s="44" t="inlineStr"/>
      <c r="E40" s="44" t="inlineStr"/>
      <c r="F40" s="44" t="inlineStr"/>
      <c r="G40" s="44" t="inlineStr"/>
      <c r="H40" s="44" t="inlineStr"/>
      <c r="I40" s="60">
        <f>IFERROR(ROUND((D40*5+E40*4+F40*3+G40*2+H40)/SUM(D40:H40),2),"")</f>
        <v/>
      </c>
    </row>
    <row r="41" ht="22" customHeight="1">
      <c r="B41" s="8" t="inlineStr">
        <is>
          <t>Q23</t>
        </is>
      </c>
      <c r="C41" s="9" t="inlineStr">
        <is>
          <t>Overall academic experience in this department is satisfying</t>
        </is>
      </c>
      <c r="D41" s="10" t="inlineStr"/>
      <c r="E41" s="10" t="inlineStr"/>
      <c r="F41" s="10" t="inlineStr"/>
      <c r="G41" s="10" t="inlineStr"/>
      <c r="H41" s="10" t="inlineStr"/>
      <c r="I41" s="36">
        <f>IFERROR(ROUND((D41*5+E41*4+F41*3+G41*2+H41)/SUM(D41:H41),2),"")</f>
        <v/>
      </c>
    </row>
    <row r="42" ht="22" customHeight="1">
      <c r="B42" s="42" t="inlineStr">
        <is>
          <t>Q24</t>
        </is>
      </c>
      <c r="C42" s="43" t="inlineStr">
        <is>
          <t>Would recommend this department to prospective students</t>
        </is>
      </c>
      <c r="D42" s="44" t="inlineStr"/>
      <c r="E42" s="44" t="inlineStr"/>
      <c r="F42" s="44" t="inlineStr"/>
      <c r="G42" s="44" t="inlineStr"/>
      <c r="H42" s="44" t="inlineStr"/>
      <c r="I42" s="60">
        <f>IFERROR(ROUND((D42*5+E42*4+F42*3+G42*2+H42)/SUM(D42:H42),2),"")</f>
        <v/>
      </c>
    </row>
    <row r="43" ht="22" customHeight="1">
      <c r="B43" s="8" t="inlineStr">
        <is>
          <t>Q25</t>
        </is>
      </c>
      <c r="C43" s="9" t="inlineStr">
        <is>
          <t>Department is continuously improving and developing</t>
        </is>
      </c>
      <c r="D43" s="10" t="inlineStr"/>
      <c r="E43" s="10" t="inlineStr"/>
      <c r="F43" s="10" t="inlineStr"/>
      <c r="G43" s="10" t="inlineStr"/>
      <c r="H43" s="10" t="inlineStr"/>
      <c r="I43" s="36">
        <f>IFERROR(ROUND((D43*5+E43*4+F43*3+G43*2+H43)/SUM(D43:H43),2),"")</f>
        <v/>
      </c>
    </row>
    <row r="44" ht="22" customHeight="1"/>
    <row r="45" ht="24" customHeight="1">
      <c r="B45" s="27" t="inlineStr">
        <is>
          <t>FEEDBACK SUMMARY &amp; ACTION PLAN</t>
        </is>
      </c>
    </row>
    <row r="46" ht="22" customHeight="1">
      <c r="B46" s="28" t="inlineStr">
        <is>
          <t>Section</t>
        </is>
      </c>
      <c r="C46" s="28" t="inlineStr">
        <is>
          <t>Avg Score (/5)</t>
        </is>
      </c>
      <c r="D46" s="28" t="inlineStr">
        <is>
          <t>Satisfaction %</t>
        </is>
      </c>
      <c r="E46" s="28" t="inlineStr">
        <is>
          <t>Benchmark
(≥3.5)</t>
        </is>
      </c>
      <c r="F46" s="28" t="inlineStr">
        <is>
          <t>Gap</t>
        </is>
      </c>
      <c r="G46" s="28" t="inlineStr">
        <is>
          <t>Status</t>
        </is>
      </c>
      <c r="H46" s="28" t="inlineStr">
        <is>
          <t>Priority Action</t>
        </is>
      </c>
    </row>
    <row r="47" ht="22" customHeight="1">
      <c r="B47" s="50" t="inlineStr">
        <is>
          <t>ACADEMIC QUALITY</t>
        </is>
      </c>
      <c r="C47" s="16" t="inlineStr"/>
      <c r="D47" s="16">
        <f>IFERROR(ROUND(C47/5*100,1),"")</f>
        <v/>
      </c>
      <c r="E47" s="16" t="n">
        <v>3.5</v>
      </c>
      <c r="F47" s="16">
        <f>IFERROR(ROUND(C47-E47,2),"")</f>
        <v/>
      </c>
      <c r="G47" s="16">
        <f>IFERROR(IF(C47&gt;=3.5,"Satisfactory","Needs Attention"),"")</f>
        <v/>
      </c>
      <c r="H47" s="15" t="inlineStr"/>
      <c r="I47" s="61" t="n"/>
    </row>
    <row r="48" ht="22" customHeight="1">
      <c r="B48" s="25" t="inlineStr">
        <is>
          <t>FACULTY SUPPORT</t>
        </is>
      </c>
      <c r="C48" s="10" t="inlineStr"/>
      <c r="D48" s="10">
        <f>IFERROR(ROUND(C48/5*100,1),"")</f>
        <v/>
      </c>
      <c r="E48" s="10" t="n">
        <v>3.5</v>
      </c>
      <c r="F48" s="10">
        <f>IFERROR(ROUND(C48-E48,2),"")</f>
        <v/>
      </c>
      <c r="G48" s="10">
        <f>IFERROR(IF(C48&gt;=3.5,"Satisfactory","Needs Attention"),"")</f>
        <v/>
      </c>
      <c r="H48" s="9" t="inlineStr"/>
      <c r="I48" s="62" t="n"/>
    </row>
    <row r="49" ht="22" customHeight="1">
      <c r="B49" s="50" t="inlineStr">
        <is>
          <t>INFRASTRUCTURE &amp; RESOURCES</t>
        </is>
      </c>
      <c r="C49" s="16" t="inlineStr"/>
      <c r="D49" s="16">
        <f>IFERROR(ROUND(C49/5*100,1),"")</f>
        <v/>
      </c>
      <c r="E49" s="16" t="n">
        <v>3.5</v>
      </c>
      <c r="F49" s="16">
        <f>IFERROR(ROUND(C49-E49,2),"")</f>
        <v/>
      </c>
      <c r="G49" s="16">
        <f>IFERROR(IF(C49&gt;=3.5,"Satisfactory","Needs Attention"),"")</f>
        <v/>
      </c>
      <c r="H49" s="15" t="inlineStr"/>
      <c r="I49" s="61" t="n"/>
    </row>
    <row r="50" ht="22" customHeight="1">
      <c r="B50" s="25" t="inlineStr">
        <is>
          <t>STUDENT DEVELOPMENT</t>
        </is>
      </c>
      <c r="C50" s="10" t="inlineStr"/>
      <c r="D50" s="10">
        <f>IFERROR(ROUND(C50/5*100,1),"")</f>
        <v/>
      </c>
      <c r="E50" s="10" t="n">
        <v>3.5</v>
      </c>
      <c r="F50" s="10">
        <f>IFERROR(ROUND(C50-E50,2),"")</f>
        <v/>
      </c>
      <c r="G50" s="10">
        <f>IFERROR(IF(C50&gt;=3.5,"Satisfactory","Needs Attention"),"")</f>
        <v/>
      </c>
      <c r="H50" s="9" t="inlineStr"/>
      <c r="I50" s="62" t="n"/>
    </row>
    <row r="51" ht="22" customHeight="1">
      <c r="B51" s="50" t="inlineStr">
        <is>
          <t>OVERALL EXPERIENCE</t>
        </is>
      </c>
      <c r="C51" s="16" t="inlineStr"/>
      <c r="D51" s="16">
        <f>IFERROR(ROUND(C51/5*100,1),"")</f>
        <v/>
      </c>
      <c r="E51" s="16" t="n">
        <v>3.5</v>
      </c>
      <c r="F51" s="16">
        <f>IFERROR(ROUND(C51-E51,2),"")</f>
        <v/>
      </c>
      <c r="G51" s="16">
        <f>IFERROR(IF(C51&gt;=3.5,"Satisfactory","Needs Attention"),"")</f>
        <v/>
      </c>
      <c r="H51" s="15" t="inlineStr"/>
      <c r="I51" s="61" t="n"/>
    </row>
  </sheetData>
  <mergeCells count="9">
    <mergeCell ref="B30:I30"/>
    <mergeCell ref="B38:I38"/>
    <mergeCell ref="B2:I2"/>
    <mergeCell ref="B3:I3"/>
    <mergeCell ref="B5:I5"/>
    <mergeCell ref="B14:I14"/>
    <mergeCell ref="B22:I22"/>
    <mergeCell ref="B45:I45"/>
    <mergeCell ref="B4: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DDC-54: NBA CRITERIA COMPLIANCE REGISTER (SAR READINESS)</t>
        </is>
      </c>
    </row>
    <row r="3" ht="20" customHeight="1">
      <c r="B3" s="17" t="inlineStr">
        <is>
          <t>NBA SAR (Self-Assessment Report) data must be compiled semester-wise. Rating: 1 = Not Compliant  2 = Partial  3 = Mostly  4 = Full  5 = Exemplary. Target: All criteria ≥ 3.5 for NBA accreditation readiness.</t>
        </is>
      </c>
    </row>
    <row r="4" ht="25" customHeight="1">
      <c r="B4" s="13" t="inlineStr">
        <is>
          <t>Sl.</t>
        </is>
      </c>
      <c r="C4" s="13" t="inlineStr">
        <is>
          <t>NBA Criterion / Parameter</t>
        </is>
      </c>
      <c r="D4" s="13" t="inlineStr">
        <is>
          <t>NBA
Ref.</t>
        </is>
      </c>
      <c r="E4" s="13" t="inlineStr">
        <is>
          <t>Rating
(1–5)</t>
        </is>
      </c>
      <c r="F4" s="13" t="inlineStr">
        <is>
          <t>Evidence
Available</t>
        </is>
      </c>
      <c r="G4" s="13" t="inlineStr">
        <is>
          <t>Observations</t>
        </is>
      </c>
      <c r="H4" s="13" t="inlineStr">
        <is>
          <t>Action Required</t>
        </is>
      </c>
    </row>
    <row r="5" ht="24" customHeight="1">
      <c r="B5" s="19" t="inlineStr">
        <is>
          <t>CRITERION 1 — VISION, MISSION &amp; PROGRAMME EDUCATIONAL OBJECTIVES</t>
        </is>
      </c>
    </row>
    <row r="6" ht="26" customHeight="1">
      <c r="B6" s="63" t="n">
        <v>1</v>
      </c>
      <c r="C6" s="64" t="inlineStr">
        <is>
          <t>Department Vision and Mission defined and displayed</t>
        </is>
      </c>
      <c r="D6" s="65" t="inlineStr">
        <is>
          <t>1.1</t>
        </is>
      </c>
      <c r="E6" s="65" t="inlineStr"/>
      <c r="F6" s="65" t="inlineStr">
        <is>
          <t>Y</t>
        </is>
      </c>
      <c r="G6" s="64" t="inlineStr"/>
      <c r="H6" s="64" t="inlineStr"/>
    </row>
    <row r="7" ht="26" customHeight="1">
      <c r="B7" s="66" t="n">
        <v>2</v>
      </c>
      <c r="C7" s="67" t="inlineStr">
        <is>
          <t>PEOs defined, published and reviewed periodically</t>
        </is>
      </c>
      <c r="D7" s="68" t="inlineStr">
        <is>
          <t>1.2</t>
        </is>
      </c>
      <c r="E7" s="68" t="inlineStr"/>
      <c r="F7" s="68" t="inlineStr">
        <is>
          <t>Y</t>
        </is>
      </c>
      <c r="G7" s="67" t="inlineStr"/>
      <c r="H7" s="67" t="inlineStr"/>
    </row>
    <row r="8" ht="26" customHeight="1">
      <c r="B8" s="63" t="n">
        <v>3</v>
      </c>
      <c r="C8" s="64" t="inlineStr">
        <is>
          <t>PSOs defined and aligned to PEOs</t>
        </is>
      </c>
      <c r="D8" s="65" t="inlineStr">
        <is>
          <t>1.3</t>
        </is>
      </c>
      <c r="E8" s="65" t="inlineStr"/>
      <c r="F8" s="65" t="inlineStr">
        <is>
          <t>Y</t>
        </is>
      </c>
      <c r="G8" s="64" t="inlineStr"/>
      <c r="H8" s="64" t="inlineStr"/>
    </row>
    <row r="9" ht="26" customHeight="1">
      <c r="B9" s="66" t="n">
        <v>4</v>
      </c>
      <c r="C9" s="67" t="inlineStr">
        <is>
          <t>Stakeholder involvement in PEO/PSO setting</t>
        </is>
      </c>
      <c r="D9" s="68" t="inlineStr">
        <is>
          <t>1.4</t>
        </is>
      </c>
      <c r="E9" s="68" t="inlineStr"/>
      <c r="F9" s="68" t="inlineStr">
        <is>
          <t>Y</t>
        </is>
      </c>
      <c r="G9" s="67" t="inlineStr"/>
      <c r="H9" s="67" t="inlineStr"/>
    </row>
    <row r="10" ht="26" customHeight="1"/>
    <row r="11" ht="24" customHeight="1">
      <c r="B11" s="37" t="inlineStr">
        <is>
          <t>CRITERION 2 — PROGRAMME CURRICULUM</t>
        </is>
      </c>
    </row>
    <row r="12" ht="26" customHeight="1">
      <c r="B12" s="69" t="n">
        <v>5</v>
      </c>
      <c r="C12" s="70" t="inlineStr">
        <is>
          <t>Curriculum aligned to graduate attributes (GAs)</t>
        </is>
      </c>
      <c r="D12" s="71" t="inlineStr">
        <is>
          <t>2.1</t>
        </is>
      </c>
      <c r="E12" s="71" t="inlineStr"/>
      <c r="F12" s="71" t="inlineStr">
        <is>
          <t>Y</t>
        </is>
      </c>
      <c r="G12" s="70" t="inlineStr"/>
      <c r="H12" s="70" t="inlineStr"/>
    </row>
    <row r="13" ht="26" customHeight="1">
      <c r="B13" s="66" t="n">
        <v>6</v>
      </c>
      <c r="C13" s="67" t="inlineStr">
        <is>
          <t>Course content regularly updated to meet PEOs</t>
        </is>
      </c>
      <c r="D13" s="68" t="inlineStr">
        <is>
          <t>2.2</t>
        </is>
      </c>
      <c r="E13" s="68" t="inlineStr"/>
      <c r="F13" s="68" t="inlineStr">
        <is>
          <t>Y</t>
        </is>
      </c>
      <c r="G13" s="67" t="inlineStr"/>
      <c r="H13" s="67" t="inlineStr"/>
    </row>
    <row r="14" ht="26" customHeight="1">
      <c r="B14" s="69" t="n">
        <v>7</v>
      </c>
      <c r="C14" s="70" t="inlineStr">
        <is>
          <t>BoS meeting held annually — curriculum review</t>
        </is>
      </c>
      <c r="D14" s="71" t="inlineStr">
        <is>
          <t>2.3</t>
        </is>
      </c>
      <c r="E14" s="71" t="inlineStr"/>
      <c r="F14" s="71" t="inlineStr">
        <is>
          <t>Y</t>
        </is>
      </c>
      <c r="G14" s="70" t="inlineStr"/>
      <c r="H14" s="70" t="inlineStr"/>
    </row>
    <row r="15" ht="26" customHeight="1">
      <c r="B15" s="66" t="n">
        <v>8</v>
      </c>
      <c r="C15" s="67" t="inlineStr">
        <is>
          <t>Industry electives and open electives offered</t>
        </is>
      </c>
      <c r="D15" s="68" t="inlineStr">
        <is>
          <t>2.4</t>
        </is>
      </c>
      <c r="E15" s="68" t="inlineStr"/>
      <c r="F15" s="68" t="inlineStr">
        <is>
          <t>Y</t>
        </is>
      </c>
      <c r="G15" s="67" t="inlineStr"/>
      <c r="H15" s="67" t="inlineStr"/>
    </row>
    <row r="16" ht="26" customHeight="1">
      <c r="B16" s="69" t="n">
        <v>9</v>
      </c>
      <c r="C16" s="70" t="inlineStr">
        <is>
          <t>MOOC / NPTEL integration for credit</t>
        </is>
      </c>
      <c r="D16" s="71" t="inlineStr">
        <is>
          <t>2.5</t>
        </is>
      </c>
      <c r="E16" s="71" t="inlineStr"/>
      <c r="F16" s="71" t="inlineStr">
        <is>
          <t>Y</t>
        </is>
      </c>
      <c r="G16" s="70" t="inlineStr"/>
      <c r="H16" s="70" t="inlineStr"/>
    </row>
    <row r="17" ht="26" customHeight="1"/>
    <row r="18" ht="24" customHeight="1">
      <c r="B18" s="34" t="inlineStr">
        <is>
          <t>CRITERION 3 — COURSE OUTCOMES &amp; PROGRAMME OUTCOMES</t>
        </is>
      </c>
    </row>
    <row r="19" ht="26" customHeight="1">
      <c r="B19" s="72" t="n">
        <v>10</v>
      </c>
      <c r="C19" s="73" t="inlineStr">
        <is>
          <t>COs defined for all courses with Bloom's level</t>
        </is>
      </c>
      <c r="D19" s="74" t="inlineStr">
        <is>
          <t>3.1</t>
        </is>
      </c>
      <c r="E19" s="74" t="inlineStr"/>
      <c r="F19" s="74" t="inlineStr">
        <is>
          <t>Y</t>
        </is>
      </c>
      <c r="G19" s="73" t="inlineStr"/>
      <c r="H19" s="73" t="inlineStr"/>
    </row>
    <row r="20" ht="26" customHeight="1">
      <c r="B20" s="66" t="n">
        <v>11</v>
      </c>
      <c r="C20" s="67" t="inlineStr">
        <is>
          <t>CO-PO mapping matrix prepared and maintained</t>
        </is>
      </c>
      <c r="D20" s="68" t="inlineStr">
        <is>
          <t>3.2</t>
        </is>
      </c>
      <c r="E20" s="68" t="inlineStr"/>
      <c r="F20" s="68" t="inlineStr">
        <is>
          <t>Y</t>
        </is>
      </c>
      <c r="G20" s="67" t="inlineStr"/>
      <c r="H20" s="67" t="inlineStr"/>
    </row>
    <row r="21" ht="26" customHeight="1">
      <c r="B21" s="72" t="n">
        <v>12</v>
      </c>
      <c r="C21" s="73" t="inlineStr">
        <is>
          <t>Direct CO attainment calculated each semester</t>
        </is>
      </c>
      <c r="D21" s="74" t="inlineStr">
        <is>
          <t>3.3</t>
        </is>
      </c>
      <c r="E21" s="74" t="inlineStr"/>
      <c r="F21" s="74" t="inlineStr">
        <is>
          <t>Y</t>
        </is>
      </c>
      <c r="G21" s="73" t="inlineStr"/>
      <c r="H21" s="73" t="inlineStr"/>
    </row>
    <row r="22" ht="26" customHeight="1">
      <c r="B22" s="66" t="n">
        <v>13</v>
      </c>
      <c r="C22" s="67" t="inlineStr">
        <is>
          <t>Indirect CO attainment (feedback survey) computed</t>
        </is>
      </c>
      <c r="D22" s="68" t="inlineStr">
        <is>
          <t>3.4</t>
        </is>
      </c>
      <c r="E22" s="68" t="inlineStr"/>
      <c r="F22" s="68" t="inlineStr">
        <is>
          <t>Y</t>
        </is>
      </c>
      <c r="G22" s="67" t="inlineStr"/>
      <c r="H22" s="67" t="inlineStr"/>
    </row>
    <row r="23" ht="26" customHeight="1">
      <c r="B23" s="72" t="n">
        <v>14</v>
      </c>
      <c r="C23" s="73" t="inlineStr">
        <is>
          <t>PO attainment calculated annually</t>
        </is>
      </c>
      <c r="D23" s="74" t="inlineStr">
        <is>
          <t>3.5</t>
        </is>
      </c>
      <c r="E23" s="74" t="inlineStr"/>
      <c r="F23" s="74" t="inlineStr">
        <is>
          <t>Y</t>
        </is>
      </c>
      <c r="G23" s="73" t="inlineStr"/>
      <c r="H23" s="73" t="inlineStr"/>
    </row>
    <row r="24" ht="26" customHeight="1">
      <c r="B24" s="66" t="n">
        <v>15</v>
      </c>
      <c r="C24" s="67" t="inlineStr">
        <is>
          <t>Attainment targets set and reviewed</t>
        </is>
      </c>
      <c r="D24" s="68" t="inlineStr">
        <is>
          <t>3.6</t>
        </is>
      </c>
      <c r="E24" s="68" t="inlineStr"/>
      <c r="F24" s="68" t="inlineStr">
        <is>
          <t>Y</t>
        </is>
      </c>
      <c r="G24" s="67" t="inlineStr"/>
      <c r="H24" s="67" t="inlineStr"/>
    </row>
    <row r="25" ht="26" customHeight="1"/>
    <row r="26" ht="24" customHeight="1">
      <c r="B26" s="20" t="inlineStr">
        <is>
          <t>CRITERION 4 — TEACHING-LEARNING &amp; EVALUATION</t>
        </is>
      </c>
    </row>
    <row r="27" ht="26" customHeight="1">
      <c r="B27" s="75" t="n">
        <v>16</v>
      </c>
      <c r="C27" s="76" t="inlineStr">
        <is>
          <t>Teaching plans submitted by all faculty</t>
        </is>
      </c>
      <c r="D27" s="77" t="inlineStr">
        <is>
          <t>4.1</t>
        </is>
      </c>
      <c r="E27" s="77" t="inlineStr"/>
      <c r="F27" s="77" t="inlineStr">
        <is>
          <t>Y</t>
        </is>
      </c>
      <c r="G27" s="76" t="inlineStr"/>
      <c r="H27" s="76" t="inlineStr"/>
    </row>
    <row r="28" ht="26" customHeight="1">
      <c r="B28" s="66" t="n">
        <v>17</v>
      </c>
      <c r="C28" s="67" t="inlineStr">
        <is>
          <t>Innovative teaching methods used regularly</t>
        </is>
      </c>
      <c r="D28" s="68" t="inlineStr">
        <is>
          <t>4.2</t>
        </is>
      </c>
      <c r="E28" s="68" t="inlineStr"/>
      <c r="F28" s="68" t="inlineStr">
        <is>
          <t>Y</t>
        </is>
      </c>
      <c r="G28" s="67" t="inlineStr"/>
      <c r="H28" s="67" t="inlineStr"/>
    </row>
    <row r="29" ht="26" customHeight="1">
      <c r="B29" s="75" t="n">
        <v>18</v>
      </c>
      <c r="C29" s="76" t="inlineStr">
        <is>
          <t>Student feedback on teaching collected each semester</t>
        </is>
      </c>
      <c r="D29" s="77" t="inlineStr">
        <is>
          <t>4.3</t>
        </is>
      </c>
      <c r="E29" s="77" t="inlineStr"/>
      <c r="F29" s="77" t="inlineStr">
        <is>
          <t>Y</t>
        </is>
      </c>
      <c r="G29" s="76" t="inlineStr"/>
      <c r="H29" s="76" t="inlineStr"/>
    </row>
    <row r="30" ht="26" customHeight="1">
      <c r="B30" s="66" t="n">
        <v>19</v>
      </c>
      <c r="C30" s="67" t="inlineStr">
        <is>
          <t>Internal assessment (CIE) — 3 tests per semester</t>
        </is>
      </c>
      <c r="D30" s="68" t="inlineStr">
        <is>
          <t>4.4</t>
        </is>
      </c>
      <c r="E30" s="68" t="inlineStr"/>
      <c r="F30" s="68" t="inlineStr">
        <is>
          <t>Y</t>
        </is>
      </c>
      <c r="G30" s="67" t="inlineStr"/>
      <c r="H30" s="67" t="inlineStr"/>
    </row>
    <row r="31" ht="26" customHeight="1">
      <c r="B31" s="75" t="n">
        <v>20</v>
      </c>
      <c r="C31" s="76" t="inlineStr">
        <is>
          <t>Assignments, projects, labs aligned to COs</t>
        </is>
      </c>
      <c r="D31" s="77" t="inlineStr">
        <is>
          <t>4.5</t>
        </is>
      </c>
      <c r="E31" s="77" t="inlineStr"/>
      <c r="F31" s="77" t="inlineStr">
        <is>
          <t>Y</t>
        </is>
      </c>
      <c r="G31" s="76" t="inlineStr"/>
      <c r="H31" s="76" t="inlineStr"/>
    </row>
    <row r="32" ht="26" customHeight="1">
      <c r="B32" s="66" t="n">
        <v>21</v>
      </c>
      <c r="C32" s="67" t="inlineStr">
        <is>
          <t>Slow/advanced learner support documented</t>
        </is>
      </c>
      <c r="D32" s="68" t="inlineStr">
        <is>
          <t>4.6</t>
        </is>
      </c>
      <c r="E32" s="68" t="inlineStr"/>
      <c r="F32" s="68" t="inlineStr">
        <is>
          <t>Y</t>
        </is>
      </c>
      <c r="G32" s="67" t="inlineStr"/>
      <c r="H32" s="67" t="inlineStr"/>
    </row>
    <row r="33" ht="26" customHeight="1"/>
    <row r="34" ht="24" customHeight="1">
      <c r="B34" s="41" t="inlineStr">
        <is>
          <t>CRITERION 5 — FACULTY INFORMATION &amp; CONTRIBUTIONS</t>
        </is>
      </c>
    </row>
    <row r="35" ht="26" customHeight="1">
      <c r="B35" s="78" t="n">
        <v>22</v>
      </c>
      <c r="C35" s="79" t="inlineStr">
        <is>
          <t>Faculty qualification meets NBA norms (Ph.D./PG)</t>
        </is>
      </c>
      <c r="D35" s="80" t="inlineStr">
        <is>
          <t>5.1</t>
        </is>
      </c>
      <c r="E35" s="80" t="inlineStr"/>
      <c r="F35" s="80" t="inlineStr">
        <is>
          <t>Y</t>
        </is>
      </c>
      <c r="G35" s="79" t="inlineStr"/>
      <c r="H35" s="79" t="inlineStr"/>
    </row>
    <row r="36" ht="26" customHeight="1">
      <c r="B36" s="66" t="n">
        <v>23</v>
      </c>
      <c r="C36" s="67" t="inlineStr">
        <is>
          <t>Faculty:Student ratio within NBA norms</t>
        </is>
      </c>
      <c r="D36" s="68" t="inlineStr">
        <is>
          <t>5.2</t>
        </is>
      </c>
      <c r="E36" s="68" t="inlineStr"/>
      <c r="F36" s="68" t="inlineStr">
        <is>
          <t>Y</t>
        </is>
      </c>
      <c r="G36" s="67" t="inlineStr"/>
      <c r="H36" s="67" t="inlineStr"/>
    </row>
    <row r="37" ht="26" customHeight="1">
      <c r="B37" s="78" t="n">
        <v>24</v>
      </c>
      <c r="C37" s="79" t="inlineStr">
        <is>
          <t>Research publications in indexed journals</t>
        </is>
      </c>
      <c r="D37" s="80" t="inlineStr">
        <is>
          <t>5.3</t>
        </is>
      </c>
      <c r="E37" s="80" t="inlineStr"/>
      <c r="F37" s="80" t="inlineStr">
        <is>
          <t>Y</t>
        </is>
      </c>
      <c r="G37" s="79" t="inlineStr"/>
      <c r="H37" s="79" t="inlineStr"/>
    </row>
    <row r="38" ht="26" customHeight="1">
      <c r="B38" s="66" t="n">
        <v>25</v>
      </c>
      <c r="C38" s="67" t="inlineStr">
        <is>
          <t>Faculty FDP participation ≥ 1 per year</t>
        </is>
      </c>
      <c r="D38" s="68" t="inlineStr">
        <is>
          <t>5.4</t>
        </is>
      </c>
      <c r="E38" s="68" t="inlineStr"/>
      <c r="F38" s="68" t="inlineStr">
        <is>
          <t>Y</t>
        </is>
      </c>
      <c r="G38" s="67" t="inlineStr"/>
      <c r="H38" s="67" t="inlineStr"/>
    </row>
    <row r="39" ht="26" customHeight="1">
      <c r="B39" s="78" t="n">
        <v>26</v>
      </c>
      <c r="C39" s="79" t="inlineStr">
        <is>
          <t>Faculty funded research projects</t>
        </is>
      </c>
      <c r="D39" s="80" t="inlineStr">
        <is>
          <t>5.5</t>
        </is>
      </c>
      <c r="E39" s="80" t="inlineStr"/>
      <c r="F39" s="80" t="inlineStr">
        <is>
          <t>Y</t>
        </is>
      </c>
      <c r="G39" s="79" t="inlineStr"/>
      <c r="H39" s="79" t="inlineStr"/>
    </row>
    <row r="40" ht="26" customHeight="1">
      <c r="B40" s="66" t="n">
        <v>27</v>
      </c>
      <c r="C40" s="67" t="inlineStr">
        <is>
          <t>Patents filed / granted</t>
        </is>
      </c>
      <c r="D40" s="68" t="inlineStr">
        <is>
          <t>5.6</t>
        </is>
      </c>
      <c r="E40" s="68" t="inlineStr"/>
      <c r="F40" s="68" t="inlineStr">
        <is>
          <t>Y</t>
        </is>
      </c>
      <c r="G40" s="67" t="inlineStr"/>
      <c r="H40" s="67" t="inlineStr"/>
    </row>
    <row r="41" ht="26" customHeight="1"/>
    <row r="42" ht="24" customHeight="1">
      <c r="B42" s="81" t="inlineStr">
        <is>
          <t>CRITERION 6 — FACILITIES &amp; TECHNICAL SUPPORT</t>
        </is>
      </c>
    </row>
    <row r="43" ht="26" customHeight="1">
      <c r="B43" s="82" t="n">
        <v>28</v>
      </c>
      <c r="C43" s="83" t="inlineStr">
        <is>
          <t>Labs with adequate equipment — as per NBA norms</t>
        </is>
      </c>
      <c r="D43" s="84" t="inlineStr">
        <is>
          <t>6.1</t>
        </is>
      </c>
      <c r="E43" s="84" t="inlineStr"/>
      <c r="F43" s="84" t="inlineStr">
        <is>
          <t>Y</t>
        </is>
      </c>
      <c r="G43" s="83" t="inlineStr"/>
      <c r="H43" s="83" t="inlineStr"/>
    </row>
    <row r="44" ht="26" customHeight="1">
      <c r="B44" s="66" t="n">
        <v>29</v>
      </c>
      <c r="C44" s="67" t="inlineStr">
        <is>
          <t>Software tools available and licensed</t>
        </is>
      </c>
      <c r="D44" s="68" t="inlineStr">
        <is>
          <t>6.2</t>
        </is>
      </c>
      <c r="E44" s="68" t="inlineStr"/>
      <c r="F44" s="68" t="inlineStr">
        <is>
          <t>Y</t>
        </is>
      </c>
      <c r="G44" s="67" t="inlineStr"/>
      <c r="H44" s="67" t="inlineStr"/>
    </row>
    <row r="45" ht="26" customHeight="1">
      <c r="B45" s="82" t="n">
        <v>30</v>
      </c>
      <c r="C45" s="83" t="inlineStr">
        <is>
          <t>Computing facility per student meets norms</t>
        </is>
      </c>
      <c r="D45" s="84" t="inlineStr">
        <is>
          <t>6.3</t>
        </is>
      </c>
      <c r="E45" s="84" t="inlineStr"/>
      <c r="F45" s="84" t="inlineStr">
        <is>
          <t>Y</t>
        </is>
      </c>
      <c r="G45" s="83" t="inlineStr"/>
      <c r="H45" s="83" t="inlineStr"/>
    </row>
    <row r="46" ht="26" customHeight="1">
      <c r="B46" s="66" t="n">
        <v>31</v>
      </c>
      <c r="C46" s="67" t="inlineStr">
        <is>
          <t>Lab manuals prepared and available</t>
        </is>
      </c>
      <c r="D46" s="68" t="inlineStr">
        <is>
          <t>6.4</t>
        </is>
      </c>
      <c r="E46" s="68" t="inlineStr"/>
      <c r="F46" s="68" t="inlineStr">
        <is>
          <t>Y</t>
        </is>
      </c>
      <c r="G46" s="67" t="inlineStr"/>
      <c r="H46" s="67" t="inlineStr"/>
    </row>
    <row r="47" ht="26" customHeight="1"/>
    <row r="48" ht="24" customHeight="1">
      <c r="B48" s="27" t="inlineStr">
        <is>
          <t>CRITERION 7 — CONTINUOUS IMPROVEMENT</t>
        </is>
      </c>
    </row>
    <row r="49" ht="26" customHeight="1">
      <c r="B49" s="85" t="n">
        <v>32</v>
      </c>
      <c r="C49" s="86" t="inlineStr">
        <is>
          <t>CO/PO attainment below target — action taken</t>
        </is>
      </c>
      <c r="D49" s="87" t="inlineStr">
        <is>
          <t>7.1</t>
        </is>
      </c>
      <c r="E49" s="87" t="inlineStr"/>
      <c r="F49" s="87" t="inlineStr">
        <is>
          <t>Y</t>
        </is>
      </c>
      <c r="G49" s="86" t="inlineStr"/>
      <c r="H49" s="86" t="inlineStr"/>
    </row>
    <row r="50" ht="26" customHeight="1">
      <c r="B50" s="66" t="n">
        <v>33</v>
      </c>
      <c r="C50" s="67" t="inlineStr">
        <is>
          <t>Feedback analysis leads to documented improvements</t>
        </is>
      </c>
      <c r="D50" s="68" t="inlineStr">
        <is>
          <t>7.2</t>
        </is>
      </c>
      <c r="E50" s="68" t="inlineStr"/>
      <c r="F50" s="68" t="inlineStr">
        <is>
          <t>Y</t>
        </is>
      </c>
      <c r="G50" s="67" t="inlineStr"/>
      <c r="H50" s="67" t="inlineStr"/>
    </row>
    <row r="51" ht="26" customHeight="1">
      <c r="B51" s="85" t="n">
        <v>34</v>
      </c>
      <c r="C51" s="86" t="inlineStr">
        <is>
          <t>Academic audit findings addressed</t>
        </is>
      </c>
      <c r="D51" s="87" t="inlineStr">
        <is>
          <t>7.3</t>
        </is>
      </c>
      <c r="E51" s="87" t="inlineStr"/>
      <c r="F51" s="87" t="inlineStr">
        <is>
          <t>Y</t>
        </is>
      </c>
      <c r="G51" s="86" t="inlineStr"/>
      <c r="H51" s="86" t="inlineStr"/>
    </row>
    <row r="52" ht="26" customHeight="1">
      <c r="B52" s="66" t="n">
        <v>35</v>
      </c>
      <c r="C52" s="67" t="inlineStr">
        <is>
          <t>Best practices from NBA process documented</t>
        </is>
      </c>
      <c r="D52" s="68" t="inlineStr">
        <is>
          <t>7.4</t>
        </is>
      </c>
      <c r="E52" s="68" t="inlineStr"/>
      <c r="F52" s="68" t="inlineStr">
        <is>
          <t>Y</t>
        </is>
      </c>
      <c r="G52" s="67" t="inlineStr"/>
      <c r="H52" s="67" t="inlineStr"/>
    </row>
    <row r="54" ht="24" customHeight="1">
      <c r="B54" s="34" t="inlineStr">
        <is>
          <t>NBA SAR READINESS SUMMARY</t>
        </is>
      </c>
    </row>
    <row r="55" ht="26" customHeight="1">
      <c r="B55" s="35" t="inlineStr">
        <is>
          <t>Total Parameters Checked</t>
        </is>
      </c>
      <c r="F55" s="88" t="inlineStr"/>
    </row>
    <row r="56" ht="26" customHeight="1">
      <c r="B56" s="25" t="inlineStr">
        <is>
          <t>Score ≥ 4</t>
        </is>
      </c>
      <c r="F56" s="89">
        <f>COUNTIF(E5:E48,"&gt;="&amp;4)</f>
        <v/>
      </c>
    </row>
    <row r="57" ht="26" customHeight="1">
      <c r="B57" s="35" t="inlineStr">
        <is>
          <t>Score &lt; 3</t>
        </is>
      </c>
      <c r="F57" s="88">
        <f>COUNTIF(E5:E48,"&lt;"&amp;3)</f>
        <v/>
      </c>
    </row>
    <row r="58" ht="26" customHeight="1">
      <c r="B58" s="25" t="inlineStr">
        <is>
          <t>Average Score (/5)</t>
        </is>
      </c>
      <c r="F58" s="89">
        <f>IFERROR(ROUND(AVERAGE(E5:E48),2),"")</f>
        <v/>
      </c>
    </row>
    <row r="59" ht="26" customHeight="1">
      <c r="B59" s="35" t="inlineStr">
        <is>
          <t>NBA SAR Readiness</t>
        </is>
      </c>
      <c r="F59" s="53">
        <f>IFERROR(IF(AVERAGE(E5:E48)&gt;=3.5,"READY","GAPS TO ADDRESS"),"")</f>
        <v/>
      </c>
    </row>
    <row r="60" ht="26" customHeight="1">
      <c r="B60" s="25" t="inlineStr">
        <is>
          <t>Last NBA Accreditation</t>
        </is>
      </c>
      <c r="F60" s="89" t="inlineStr"/>
    </row>
  </sheetData>
  <mergeCells count="22">
    <mergeCell ref="B55:E55"/>
    <mergeCell ref="B5:H5"/>
    <mergeCell ref="B26:H26"/>
    <mergeCell ref="F58:H58"/>
    <mergeCell ref="B54:H54"/>
    <mergeCell ref="F56:H56"/>
    <mergeCell ref="B59:E59"/>
    <mergeCell ref="B3:H3"/>
    <mergeCell ref="B56:E56"/>
    <mergeCell ref="B18:H18"/>
    <mergeCell ref="F60:H60"/>
    <mergeCell ref="B58:E58"/>
    <mergeCell ref="F57:H57"/>
    <mergeCell ref="B2:H2"/>
    <mergeCell ref="B48:H48"/>
    <mergeCell ref="B42:H42"/>
    <mergeCell ref="B11:H11"/>
    <mergeCell ref="B60:E60"/>
    <mergeCell ref="B57:E57"/>
    <mergeCell ref="F59:H59"/>
    <mergeCell ref="B34:H34"/>
    <mergeCell ref="F55:H5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DDC-57: DEPARTMENT DEVELOPMENT COMMITTEE KPI DASHBOARD</t>
        </is>
      </c>
    </row>
    <row r="3" ht="25" customHeight="1">
      <c r="B3" s="2" t="inlineStr">
        <is>
          <t>Department: _______  Semester / A.Y.: _______  HoD: ___________________  Date: _______</t>
        </is>
      </c>
    </row>
    <row r="4" ht="24" customHeight="1">
      <c r="B4" s="19" t="inlineStr">
        <is>
          <t>ACADEMIC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Sem.
Actual</t>
        </is>
      </c>
      <c r="G5" s="13" t="inlineStr">
        <is>
          <t>Current Sem.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Teaching plans submitted on time (% faculty)</t>
        </is>
      </c>
      <c r="D6" s="16" t="inlineStr">
        <is>
          <t>% on time</t>
        </is>
      </c>
      <c r="E6" s="16" t="inlineStr">
        <is>
          <t>100%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Syllabus coverage ≥ 90% (% of courses)</t>
        </is>
      </c>
      <c r="D7" s="10" t="inlineStr">
        <is>
          <t>% courses</t>
        </is>
      </c>
      <c r="E7" s="10" t="inlineStr">
        <is>
          <t>≥90%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CO attainment ≥ 2 (% of courses)</t>
        </is>
      </c>
      <c r="D8" s="16" t="inlineStr">
        <is>
          <t>% courses</t>
        </is>
      </c>
      <c r="E8" s="16" t="inlineStr">
        <is>
          <t>≥60%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Dept. pass % (SEE)</t>
        </is>
      </c>
      <c r="D9" s="10" t="inlineStr">
        <is>
          <t>% pass</t>
        </is>
      </c>
      <c r="E9" s="10" t="inlineStr">
        <is>
          <t>≥80%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Students with backlog (%)</t>
        </is>
      </c>
      <c r="D10" s="16" t="inlineStr">
        <is>
          <t>% students</t>
        </is>
      </c>
      <c r="E10" s="16" t="inlineStr">
        <is>
          <t>&lt; 10%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Value-added courses offered</t>
        </is>
      </c>
      <c r="D11" s="10" t="inlineStr">
        <is>
          <t>No. per year</t>
        </is>
      </c>
      <c r="E11" s="10" t="inlineStr">
        <is>
          <t>≥2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7" t="inlineStr">
        <is>
          <t>STUDENT DEVELOPMENT KPIs</t>
        </is>
      </c>
    </row>
    <row r="14" ht="22" customHeight="1">
      <c r="B14" s="55" t="inlineStr">
        <is>
          <t>Sl.</t>
        </is>
      </c>
      <c r="C14" s="55" t="inlineStr">
        <is>
          <t>Key Performance Indicator</t>
        </is>
      </c>
      <c r="D14" s="55" t="inlineStr">
        <is>
          <t>Unit</t>
        </is>
      </c>
      <c r="E14" s="55" t="inlineStr">
        <is>
          <t>Target</t>
        </is>
      </c>
      <c r="F14" s="55" t="inlineStr">
        <is>
          <t>Prev. Sem.
Actual</t>
        </is>
      </c>
      <c r="G14" s="55" t="inlineStr">
        <is>
          <t>Current Sem.
Actual</t>
        </is>
      </c>
      <c r="H14" s="55" t="inlineStr">
        <is>
          <t>Status</t>
        </is>
      </c>
      <c r="I14" s="55" t="inlineStr">
        <is>
          <t>Action Required</t>
        </is>
      </c>
    </row>
    <row r="15" ht="22" customHeight="1">
      <c r="B15" s="38" t="n">
        <v>1</v>
      </c>
      <c r="C15" s="39" t="inlineStr">
        <is>
          <t>Student average attendance (%)</t>
        </is>
      </c>
      <c r="D15" s="40" t="inlineStr">
        <is>
          <t>% attendance</t>
        </is>
      </c>
      <c r="E15" s="40" t="inlineStr">
        <is>
          <t>≥80%</t>
        </is>
      </c>
      <c r="F15" s="40" t="inlineStr"/>
      <c r="G15" s="40" t="inlineStr"/>
      <c r="H15" s="40" t="inlineStr">
        <is>
          <t>On Track</t>
        </is>
      </c>
      <c r="I15" s="39" t="inlineStr"/>
    </row>
    <row r="16" ht="22" customHeight="1">
      <c r="B16" s="8" t="n">
        <v>2</v>
      </c>
      <c r="C16" s="9" t="inlineStr">
        <is>
          <t>Student feedback score (/5)</t>
        </is>
      </c>
      <c r="D16" s="10" t="inlineStr">
        <is>
          <t>Score</t>
        </is>
      </c>
      <c r="E16" s="10" t="inlineStr">
        <is>
          <t>≥3.5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38" t="n">
        <v>3</v>
      </c>
      <c r="C17" s="39" t="inlineStr">
        <is>
          <t>Internship completion (% of eligible)</t>
        </is>
      </c>
      <c r="D17" s="40" t="inlineStr">
        <is>
          <t>% students</t>
        </is>
      </c>
      <c r="E17" s="40" t="inlineStr">
        <is>
          <t>≥80%</t>
        </is>
      </c>
      <c r="F17" s="40" t="inlineStr"/>
      <c r="G17" s="40" t="inlineStr"/>
      <c r="H17" s="40" t="inlineStr">
        <is>
          <t>On Track</t>
        </is>
      </c>
      <c r="I17" s="39" t="inlineStr"/>
    </row>
    <row r="18" ht="22" customHeight="1">
      <c r="B18" s="8" t="n">
        <v>4</v>
      </c>
      <c r="C18" s="9" t="inlineStr">
        <is>
          <t>Placement / higher studies (% graduates)</t>
        </is>
      </c>
      <c r="D18" s="10" t="inlineStr">
        <is>
          <t>% students</t>
        </is>
      </c>
      <c r="E18" s="10" t="inlineStr">
        <is>
          <t>≥70%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38" t="n">
        <v>5</v>
      </c>
      <c r="C19" s="39" t="inlineStr">
        <is>
          <t>Student awards / achievements</t>
        </is>
      </c>
      <c r="D19" s="40" t="inlineStr">
        <is>
          <t>No. per year</t>
        </is>
      </c>
      <c r="E19" s="40" t="inlineStr">
        <is>
          <t>≥5</t>
        </is>
      </c>
      <c r="F19" s="40" t="inlineStr"/>
      <c r="G19" s="40" t="inlineStr"/>
      <c r="H19" s="40" t="inlineStr">
        <is>
          <t>On Track</t>
        </is>
      </c>
      <c r="I19" s="39" t="inlineStr"/>
    </row>
    <row r="20" ht="22" customHeight="1">
      <c r="B20" s="8" t="n">
        <v>6</v>
      </c>
      <c r="C20" s="9" t="inlineStr">
        <is>
          <t>Final year project quality (external eval.)</t>
        </is>
      </c>
      <c r="D20" s="10" t="inlineStr">
        <is>
          <t>Score /10</t>
        </is>
      </c>
      <c r="E20" s="10" t="inlineStr">
        <is>
          <t>≥7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4" t="inlineStr">
        <is>
          <t>FACULTY DEVELOPMENT KPIs</t>
        </is>
      </c>
    </row>
    <row r="23" ht="22" customHeight="1">
      <c r="B23" s="30" t="inlineStr">
        <is>
          <t>Sl.</t>
        </is>
      </c>
      <c r="C23" s="30" t="inlineStr">
        <is>
          <t>Key Performance Indicator</t>
        </is>
      </c>
      <c r="D23" s="30" t="inlineStr">
        <is>
          <t>Unit</t>
        </is>
      </c>
      <c r="E23" s="30" t="inlineStr">
        <is>
          <t>Target</t>
        </is>
      </c>
      <c r="F23" s="30" t="inlineStr">
        <is>
          <t>Prev. Sem.
Actual</t>
        </is>
      </c>
      <c r="G23" s="30" t="inlineStr">
        <is>
          <t>Current Sem.
Actual</t>
        </is>
      </c>
      <c r="H23" s="30" t="inlineStr">
        <is>
          <t>Status</t>
        </is>
      </c>
      <c r="I23" s="30" t="inlineStr">
        <is>
          <t>Action Required</t>
        </is>
      </c>
    </row>
    <row r="24" ht="22" customHeight="1">
      <c r="B24" s="31" t="n">
        <v>1</v>
      </c>
      <c r="C24" s="32" t="inlineStr">
        <is>
          <t>FDP participation (% of faculty)</t>
        </is>
      </c>
      <c r="D24" s="33" t="inlineStr">
        <is>
          <t>% faculty</t>
        </is>
      </c>
      <c r="E24" s="33" t="inlineStr">
        <is>
          <t>100%</t>
        </is>
      </c>
      <c r="F24" s="33" t="inlineStr"/>
      <c r="G24" s="33" t="inlineStr"/>
      <c r="H24" s="33" t="inlineStr">
        <is>
          <t>On Track</t>
        </is>
      </c>
      <c r="I24" s="32" t="inlineStr"/>
    </row>
    <row r="25" ht="22" customHeight="1">
      <c r="B25" s="8" t="n">
        <v>2</v>
      </c>
      <c r="C25" s="9" t="inlineStr">
        <is>
          <t>Research publications (SCI/Scopus)</t>
        </is>
      </c>
      <c r="D25" s="10" t="inlineStr">
        <is>
          <t>No. per year</t>
        </is>
      </c>
      <c r="E25" s="10" t="inlineStr">
        <is>
          <t>≥5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1" t="n">
        <v>3</v>
      </c>
      <c r="C26" s="32" t="inlineStr">
        <is>
          <t>Ph.D. faculty (%)</t>
        </is>
      </c>
      <c r="D26" s="33" t="inlineStr">
        <is>
          <t>% faculty</t>
        </is>
      </c>
      <c r="E26" s="33" t="inlineStr">
        <is>
          <t>≥35%</t>
        </is>
      </c>
      <c r="F26" s="33" t="inlineStr"/>
      <c r="G26" s="33" t="inlineStr"/>
      <c r="H26" s="33" t="inlineStr">
        <is>
          <t>On Track</t>
        </is>
      </c>
      <c r="I26" s="32" t="inlineStr"/>
    </row>
    <row r="27" ht="22" customHeight="1">
      <c r="B27" s="8" t="n">
        <v>4</v>
      </c>
      <c r="C27" s="9" t="inlineStr">
        <is>
          <t>Funded research projects</t>
        </is>
      </c>
      <c r="D27" s="10" t="inlineStr">
        <is>
          <t>No. active</t>
        </is>
      </c>
      <c r="E27" s="10" t="inlineStr">
        <is>
          <t>≥2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1" t="n">
        <v>5</v>
      </c>
      <c r="C28" s="32" t="inlineStr">
        <is>
          <t>Patents filed / granted</t>
        </is>
      </c>
      <c r="D28" s="33" t="inlineStr">
        <is>
          <t>No. per year</t>
        </is>
      </c>
      <c r="E28" s="33" t="inlineStr">
        <is>
          <t>≥1</t>
        </is>
      </c>
      <c r="F28" s="33" t="inlineStr"/>
      <c r="G28" s="33" t="inlineStr"/>
      <c r="H28" s="33" t="inlineStr">
        <is>
          <t>On Track</t>
        </is>
      </c>
      <c r="I28" s="32" t="inlineStr"/>
    </row>
    <row r="29" ht="22" customHeight="1">
      <c r="B29" s="8" t="n">
        <v>6</v>
      </c>
      <c r="C29" s="9" t="inlineStr">
        <is>
          <t>Faculty appraisal on time</t>
        </is>
      </c>
      <c r="D29" s="10" t="inlineStr">
        <is>
          <t>% on time</t>
        </is>
      </c>
      <c r="E29" s="10" t="inlineStr">
        <is>
          <t>100%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20" t="inlineStr">
        <is>
          <t>INDUSTRY &amp; RESEARCH KPIs</t>
        </is>
      </c>
    </row>
    <row r="32" ht="22" customHeight="1">
      <c r="B32" s="21" t="inlineStr">
        <is>
          <t>Sl.</t>
        </is>
      </c>
      <c r="C32" s="21" t="inlineStr">
        <is>
          <t>Key Performance Indicator</t>
        </is>
      </c>
      <c r="D32" s="21" t="inlineStr">
        <is>
          <t>Unit</t>
        </is>
      </c>
      <c r="E32" s="21" t="inlineStr">
        <is>
          <t>Target</t>
        </is>
      </c>
      <c r="F32" s="21" t="inlineStr">
        <is>
          <t>Prev. Sem.
Actual</t>
        </is>
      </c>
      <c r="G32" s="21" t="inlineStr">
        <is>
          <t>Current Sem.
Actual</t>
        </is>
      </c>
      <c r="H32" s="21" t="inlineStr">
        <is>
          <t>Status</t>
        </is>
      </c>
      <c r="I32" s="21" t="inlineStr">
        <is>
          <t>Action Required</t>
        </is>
      </c>
    </row>
    <row r="33" ht="22" customHeight="1">
      <c r="B33" s="45" t="n">
        <v>1</v>
      </c>
      <c r="C33" s="46" t="inlineStr">
        <is>
          <t>Active MOUs with industry</t>
        </is>
      </c>
      <c r="D33" s="22" t="inlineStr">
        <is>
          <t>No.</t>
        </is>
      </c>
      <c r="E33" s="22" t="inlineStr">
        <is>
          <t>≥5</t>
        </is>
      </c>
      <c r="F33" s="22" t="inlineStr"/>
      <c r="G33" s="22" t="inlineStr"/>
      <c r="H33" s="22" t="inlineStr">
        <is>
          <t>On Track</t>
        </is>
      </c>
      <c r="I33" s="46" t="inlineStr"/>
    </row>
    <row r="34" ht="22" customHeight="1">
      <c r="B34" s="8" t="n">
        <v>2</v>
      </c>
      <c r="C34" s="9" t="inlineStr">
        <is>
          <t>MOU utilisation (activities conducted)</t>
        </is>
      </c>
      <c r="D34" s="10" t="inlineStr">
        <is>
          <t>% utilised</t>
        </is>
      </c>
      <c r="E34" s="10" t="inlineStr">
        <is>
          <t>≥60%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45" t="n">
        <v>3</v>
      </c>
      <c r="C35" s="46" t="inlineStr">
        <is>
          <t>Consultancy / testing revenue (₹L)</t>
        </is>
      </c>
      <c r="D35" s="22" t="inlineStr">
        <is>
          <t>₹L</t>
        </is>
      </c>
      <c r="E35" s="22" t="inlineStr">
        <is>
          <t>Increasing</t>
        </is>
      </c>
      <c r="F35" s="22" t="inlineStr"/>
      <c r="G35" s="22" t="inlineStr"/>
      <c r="H35" s="22" t="inlineStr">
        <is>
          <t>On Track</t>
        </is>
      </c>
      <c r="I35" s="46" t="inlineStr"/>
    </row>
    <row r="36" ht="22" customHeight="1">
      <c r="B36" s="8" t="n">
        <v>4</v>
      </c>
      <c r="C36" s="9" t="inlineStr">
        <is>
          <t>Expert / guest lectures</t>
        </is>
      </c>
      <c r="D36" s="10" t="inlineStr">
        <is>
          <t>No. per year</t>
        </is>
      </c>
      <c r="E36" s="10" t="inlineStr">
        <is>
          <t>≥8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45" t="n">
        <v>5</v>
      </c>
      <c r="C37" s="46" t="inlineStr">
        <is>
          <t>Industrial visits organised</t>
        </is>
      </c>
      <c r="D37" s="22" t="inlineStr">
        <is>
          <t>No. per year</t>
        </is>
      </c>
      <c r="E37" s="22" t="inlineStr">
        <is>
          <t>≥2</t>
        </is>
      </c>
      <c r="F37" s="22" t="inlineStr"/>
      <c r="G37" s="22" t="inlineStr"/>
      <c r="H37" s="22" t="inlineStr">
        <is>
          <t>On Track</t>
        </is>
      </c>
      <c r="I37" s="46" t="inlineStr"/>
    </row>
    <row r="38" ht="22" customHeight="1">
      <c r="B38" s="8" t="n">
        <v>6</v>
      </c>
      <c r="C38" s="9" t="inlineStr">
        <is>
          <t>Research funding received (₹L)</t>
        </is>
      </c>
      <c r="D38" s="10" t="inlineStr">
        <is>
          <t>₹L</t>
        </is>
      </c>
      <c r="E38" s="10" t="inlineStr">
        <is>
          <t>Increasing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/>
    <row r="40" ht="24" customHeight="1">
      <c r="B40" s="41" t="inlineStr">
        <is>
          <t>QUALITY &amp; COMPLIANCE KPIs</t>
        </is>
      </c>
    </row>
    <row r="41" ht="22" customHeight="1">
      <c r="B41" s="59" t="inlineStr">
        <is>
          <t>Sl.</t>
        </is>
      </c>
      <c r="C41" s="59" t="inlineStr">
        <is>
          <t>Key Performance Indicator</t>
        </is>
      </c>
      <c r="D41" s="59" t="inlineStr">
        <is>
          <t>Unit</t>
        </is>
      </c>
      <c r="E41" s="59" t="inlineStr">
        <is>
          <t>Target</t>
        </is>
      </c>
      <c r="F41" s="59" t="inlineStr">
        <is>
          <t>Prev. Sem.
Actual</t>
        </is>
      </c>
      <c r="G41" s="59" t="inlineStr">
        <is>
          <t>Current Sem.
Actual</t>
        </is>
      </c>
      <c r="H41" s="59" t="inlineStr">
        <is>
          <t>Status</t>
        </is>
      </c>
      <c r="I41" s="59" t="inlineStr">
        <is>
          <t>Action Required</t>
        </is>
      </c>
    </row>
    <row r="42" ht="22" customHeight="1">
      <c r="B42" s="42" t="n">
        <v>1</v>
      </c>
      <c r="C42" s="43" t="inlineStr">
        <is>
          <t>NBA SAR data compiled on time</t>
        </is>
      </c>
      <c r="D42" s="44" t="inlineStr">
        <is>
          <t>Y/N</t>
        </is>
      </c>
      <c r="E42" s="44" t="inlineStr">
        <is>
          <t>Yes — semester-wise</t>
        </is>
      </c>
      <c r="F42" s="44" t="inlineStr"/>
      <c r="G42" s="44" t="inlineStr"/>
      <c r="H42" s="44" t="inlineStr">
        <is>
          <t>On Track</t>
        </is>
      </c>
      <c r="I42" s="43" t="inlineStr"/>
    </row>
    <row r="43" ht="22" customHeight="1">
      <c r="B43" s="8" t="n">
        <v>2</v>
      </c>
      <c r="C43" s="9" t="inlineStr">
        <is>
          <t>NAAC AQAR data submitted</t>
        </is>
      </c>
      <c r="D43" s="10" t="inlineStr">
        <is>
          <t>Y/N</t>
        </is>
      </c>
      <c r="E43" s="10" t="inlineStr">
        <is>
          <t>Yes annually</t>
        </is>
      </c>
      <c r="F43" s="10" t="inlineStr"/>
      <c r="G43" s="10" t="inlineStr"/>
      <c r="H43" s="10" t="inlineStr">
        <is>
          <t>On Track</t>
        </is>
      </c>
      <c r="I43" s="9" t="inlineStr"/>
    </row>
    <row r="44" ht="22" customHeight="1">
      <c r="B44" s="42" t="n">
        <v>3</v>
      </c>
      <c r="C44" s="43" t="inlineStr">
        <is>
          <t>DDC meetings held per month</t>
        </is>
      </c>
      <c r="D44" s="44" t="inlineStr">
        <is>
          <t>No.</t>
        </is>
      </c>
      <c r="E44" s="44" t="inlineStr">
        <is>
          <t>≥1 per month</t>
        </is>
      </c>
      <c r="F44" s="44" t="inlineStr"/>
      <c r="G44" s="44" t="inlineStr"/>
      <c r="H44" s="44" t="inlineStr">
        <is>
          <t>On Track</t>
        </is>
      </c>
      <c r="I44" s="43" t="inlineStr"/>
    </row>
    <row r="45" ht="22" customHeight="1">
      <c r="B45" s="8" t="n">
        <v>4</v>
      </c>
      <c r="C45" s="9" t="inlineStr">
        <is>
          <t>Academic audit score (/5)</t>
        </is>
      </c>
      <c r="D45" s="10" t="inlineStr">
        <is>
          <t>Score</t>
        </is>
      </c>
      <c r="E45" s="10" t="inlineStr">
        <is>
          <t>≥3.5</t>
        </is>
      </c>
      <c r="F45" s="10" t="inlineStr"/>
      <c r="G45" s="10" t="inlineStr"/>
      <c r="H45" s="10" t="inlineStr">
        <is>
          <t>On Track</t>
        </is>
      </c>
      <c r="I45" s="9" t="inlineStr"/>
    </row>
    <row r="46" ht="22" customHeight="1">
      <c r="B46" s="42" t="n">
        <v>5</v>
      </c>
      <c r="C46" s="43" t="inlineStr">
        <is>
          <t>Best practices documented</t>
        </is>
      </c>
      <c r="D46" s="44" t="inlineStr">
        <is>
          <t>No. per year</t>
        </is>
      </c>
      <c r="E46" s="44" t="inlineStr">
        <is>
          <t>≥1</t>
        </is>
      </c>
      <c r="F46" s="44" t="inlineStr"/>
      <c r="G46" s="44" t="inlineStr"/>
      <c r="H46" s="44" t="inlineStr">
        <is>
          <t>On Track</t>
        </is>
      </c>
      <c r="I46" s="43" t="inlineStr"/>
    </row>
    <row r="47" ht="22" customHeight="1">
      <c r="B47" s="8" t="n">
        <v>6</v>
      </c>
      <c r="C47" s="9" t="inlineStr">
        <is>
          <t>Department annual report submitted</t>
        </is>
      </c>
      <c r="D47" s="10" t="inlineStr">
        <is>
          <t>Y/N</t>
        </is>
      </c>
      <c r="E47" s="10" t="inlineStr">
        <is>
          <t>Yes by July 31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2:I2"/>
    <mergeCell ref="B3:I3"/>
    <mergeCell ref="B22:I22"/>
    <mergeCell ref="B31:I31"/>
    <mergeCell ref="B4:I4"/>
    <mergeCell ref="B40:I4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DDC-58: DEPARTMENT ANNUAL REPORT COMPILATION FORM</t>
        </is>
      </c>
    </row>
    <row r="3" ht="25" customHeight="1">
      <c r="B3" s="2" t="inlineStr">
        <is>
          <t>Department: _______  A.Y.: _______  HoD: ___________________  Submitted to: Principal / CAC / IQAC  Date: _______</t>
        </is>
      </c>
    </row>
    <row r="4" ht="24" customHeight="1">
      <c r="B4" s="19" t="inlineStr">
        <is>
          <t>SECTION 1 — ACADEMICS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students enrolled (all years)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New admissions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Overall pass % (all semesters)</t>
        </is>
      </c>
      <c r="D8" s="16" t="inlineStr">
        <is>
          <t>% pass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Curriculum revisions made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Value-added / skill courses offered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CO attainment ≥ 2 (% of courses)</t>
        </is>
      </c>
      <c r="D11" s="10" t="inlineStr">
        <is>
          <t>% courses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37" t="inlineStr">
        <is>
          <t>SECTION 2 — STUDENT OUTCOMES</t>
        </is>
      </c>
    </row>
    <row r="14" ht="22" customHeight="1">
      <c r="B14" s="55" t="inlineStr">
        <is>
          <t>Sl.</t>
        </is>
      </c>
      <c r="C14" s="55" t="inlineStr">
        <is>
          <t>Performance Metric</t>
        </is>
      </c>
      <c r="D14" s="55" t="inlineStr">
        <is>
          <t>Unit</t>
        </is>
      </c>
      <c r="E14" s="55" t="inlineStr">
        <is>
          <t>Current A.Y.</t>
        </is>
      </c>
      <c r="F14" s="55" t="inlineStr">
        <is>
          <t>Previous A.Y.</t>
        </is>
      </c>
      <c r="G14" s="55" t="inlineStr">
        <is>
          <t>Growth %</t>
        </is>
      </c>
      <c r="H14" s="55" t="inlineStr">
        <is>
          <t>Target Next Year</t>
        </is>
      </c>
    </row>
    <row r="15" ht="22" customHeight="1">
      <c r="B15" s="38" t="n">
        <v>1</v>
      </c>
      <c r="C15" s="39" t="inlineStr">
        <is>
          <t>Final year graduates</t>
        </is>
      </c>
      <c r="D15" s="40" t="inlineStr">
        <is>
          <t>No.</t>
        </is>
      </c>
      <c r="E15" s="40" t="inlineStr"/>
      <c r="F15" s="40" t="inlineStr"/>
      <c r="G15" s="40">
        <f>IFERROR(ROUND((E15-F15)/IF(F15=0,1,F15)*100,1),"")</f>
        <v/>
      </c>
      <c r="H15" s="40" t="inlineStr"/>
    </row>
    <row r="16" ht="22" customHeight="1">
      <c r="B16" s="8" t="n">
        <v>2</v>
      </c>
      <c r="C16" s="9" t="inlineStr">
        <is>
          <t>Placed in industry</t>
        </is>
      </c>
      <c r="D16" s="10" t="inlineStr">
        <is>
          <t>No. / %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38" t="n">
        <v>3</v>
      </c>
      <c r="C17" s="39" t="inlineStr">
        <is>
          <t>Higher studies</t>
        </is>
      </c>
      <c r="D17" s="40" t="inlineStr">
        <is>
          <t>No. / %</t>
        </is>
      </c>
      <c r="E17" s="40" t="inlineStr"/>
      <c r="F17" s="40" t="inlineStr"/>
      <c r="G17" s="40">
        <f>IFERROR(ROUND((E17-F17)/IF(F17=0,1,F17)*100,1),"")</f>
        <v/>
      </c>
      <c r="H17" s="40" t="inlineStr"/>
    </row>
    <row r="18" ht="22" customHeight="1">
      <c r="B18" s="8" t="n">
        <v>4</v>
      </c>
      <c r="C18" s="9" t="inlineStr">
        <is>
          <t>Average CTC (₹L)</t>
        </is>
      </c>
      <c r="D18" s="10" t="inlineStr">
        <is>
          <t>₹L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38" t="n">
        <v>5</v>
      </c>
      <c r="C19" s="39" t="inlineStr">
        <is>
          <t>Student awards and achievements</t>
        </is>
      </c>
      <c r="D19" s="40" t="inlineStr">
        <is>
          <t>No.</t>
        </is>
      </c>
      <c r="E19" s="40" t="inlineStr"/>
      <c r="F19" s="40" t="inlineStr"/>
      <c r="G19" s="40">
        <f>IFERROR(ROUND((E19-F19)/IF(F19=0,1,F19)*100,1),"")</f>
        <v/>
      </c>
      <c r="H19" s="40" t="inlineStr"/>
    </row>
    <row r="20" ht="22" customHeight="1">
      <c r="B20" s="8" t="n">
        <v>6</v>
      </c>
      <c r="C20" s="9" t="inlineStr">
        <is>
          <t>Internships completed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4" t="inlineStr">
        <is>
          <t>SECTION 3 — FACULTY</t>
        </is>
      </c>
    </row>
    <row r="23" ht="22" customHeight="1">
      <c r="B23" s="30" t="inlineStr">
        <is>
          <t>Sl.</t>
        </is>
      </c>
      <c r="C23" s="30" t="inlineStr">
        <is>
          <t>Performance Metric</t>
        </is>
      </c>
      <c r="D23" s="30" t="inlineStr">
        <is>
          <t>Unit</t>
        </is>
      </c>
      <c r="E23" s="30" t="inlineStr">
        <is>
          <t>Current A.Y.</t>
        </is>
      </c>
      <c r="F23" s="30" t="inlineStr">
        <is>
          <t>Previous A.Y.</t>
        </is>
      </c>
      <c r="G23" s="30" t="inlineStr">
        <is>
          <t>Growth %</t>
        </is>
      </c>
      <c r="H23" s="30" t="inlineStr">
        <is>
          <t>Target Next Year</t>
        </is>
      </c>
    </row>
    <row r="24" ht="22" customHeight="1">
      <c r="B24" s="31" t="n">
        <v>1</v>
      </c>
      <c r="C24" s="32" t="inlineStr">
        <is>
          <t>Total faculty</t>
        </is>
      </c>
      <c r="D24" s="33" t="inlineStr">
        <is>
          <t>No.</t>
        </is>
      </c>
      <c r="E24" s="33" t="inlineStr"/>
      <c r="F24" s="33" t="inlineStr"/>
      <c r="G24" s="33">
        <f>IFERROR(ROUND((E24-F24)/IF(F24=0,1,F24)*100,1),"")</f>
        <v/>
      </c>
      <c r="H24" s="33" t="inlineStr"/>
    </row>
    <row r="25" ht="22" customHeight="1">
      <c r="B25" s="8" t="n">
        <v>2</v>
      </c>
      <c r="C25" s="9" t="inlineStr">
        <is>
          <t>Ph.D. awarded / pursuing (%)</t>
        </is>
      </c>
      <c r="D25" s="10" t="inlineStr">
        <is>
          <t>% faculty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1" t="n">
        <v>3</v>
      </c>
      <c r="C26" s="32" t="inlineStr">
        <is>
          <t>FDP participations</t>
        </is>
      </c>
      <c r="D26" s="33" t="inlineStr">
        <is>
          <t>No.</t>
        </is>
      </c>
      <c r="E26" s="33" t="inlineStr"/>
      <c r="F26" s="33" t="inlineStr"/>
      <c r="G26" s="33">
        <f>IFERROR(ROUND((E26-F26)/IF(F26=0,1,F26)*100,1),"")</f>
        <v/>
      </c>
      <c r="H26" s="33" t="inlineStr"/>
    </row>
    <row r="27" ht="22" customHeight="1">
      <c r="B27" s="8" t="n">
        <v>4</v>
      </c>
      <c r="C27" s="9" t="inlineStr">
        <is>
          <t>Research publications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1" t="n">
        <v>5</v>
      </c>
      <c r="C28" s="32" t="inlineStr">
        <is>
          <t>Funded research projects</t>
        </is>
      </c>
      <c r="D28" s="33" t="inlineStr">
        <is>
          <t>No.</t>
        </is>
      </c>
      <c r="E28" s="33" t="inlineStr"/>
      <c r="F28" s="33" t="inlineStr"/>
      <c r="G28" s="33">
        <f>IFERROR(ROUND((E28-F28)/IF(F28=0,1,F28)*100,1),"")</f>
        <v/>
      </c>
      <c r="H28" s="33" t="inlineStr"/>
    </row>
    <row r="29" ht="22" customHeight="1">
      <c r="B29" s="8" t="n">
        <v>6</v>
      </c>
      <c r="C29" s="9" t="inlineStr">
        <is>
          <t>Patents filed / granted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20" t="inlineStr">
        <is>
          <t>SECTION 4 — RESEARCH &amp; INDUSTRY</t>
        </is>
      </c>
    </row>
    <row r="32" ht="22" customHeight="1">
      <c r="B32" s="21" t="inlineStr">
        <is>
          <t>Sl.</t>
        </is>
      </c>
      <c r="C32" s="21" t="inlineStr">
        <is>
          <t>Performance Metric</t>
        </is>
      </c>
      <c r="D32" s="21" t="inlineStr">
        <is>
          <t>Unit</t>
        </is>
      </c>
      <c r="E32" s="21" t="inlineStr">
        <is>
          <t>Current A.Y.</t>
        </is>
      </c>
      <c r="F32" s="21" t="inlineStr">
        <is>
          <t>Previous A.Y.</t>
        </is>
      </c>
      <c r="G32" s="21" t="inlineStr">
        <is>
          <t>Growth %</t>
        </is>
      </c>
      <c r="H32" s="21" t="inlineStr">
        <is>
          <t>Target Next Year</t>
        </is>
      </c>
    </row>
    <row r="33" ht="22" customHeight="1">
      <c r="B33" s="45" t="n">
        <v>1</v>
      </c>
      <c r="C33" s="46" t="inlineStr">
        <is>
          <t>Research grants received (₹L)</t>
        </is>
      </c>
      <c r="D33" s="22" t="inlineStr">
        <is>
          <t>₹L</t>
        </is>
      </c>
      <c r="E33" s="22" t="inlineStr"/>
      <c r="F33" s="22" t="inlineStr"/>
      <c r="G33" s="22">
        <f>IFERROR(ROUND((E33-F33)/IF(F33=0,1,F33)*100,1),"")</f>
        <v/>
      </c>
      <c r="H33" s="22" t="inlineStr"/>
    </row>
    <row r="34" ht="22" customHeight="1">
      <c r="B34" s="8" t="n">
        <v>2</v>
      </c>
      <c r="C34" s="9" t="inlineStr">
        <is>
          <t>Consultancy revenue (₹L)</t>
        </is>
      </c>
      <c r="D34" s="10" t="inlineStr">
        <is>
          <t>₹L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45" t="n">
        <v>3</v>
      </c>
      <c r="C35" s="46" t="inlineStr">
        <is>
          <t>Active MOUs</t>
        </is>
      </c>
      <c r="D35" s="22" t="inlineStr">
        <is>
          <t>No.</t>
        </is>
      </c>
      <c r="E35" s="22" t="inlineStr"/>
      <c r="F35" s="22" t="inlineStr"/>
      <c r="G35" s="22">
        <f>IFERROR(ROUND((E35-F35)/IF(F35=0,1,F35)*100,1),"")</f>
        <v/>
      </c>
      <c r="H35" s="22" t="inlineStr"/>
    </row>
    <row r="36" ht="22" customHeight="1">
      <c r="B36" s="8" t="n">
        <v>4</v>
      </c>
      <c r="C36" s="9" t="inlineStr">
        <is>
          <t>Industry visits for students</t>
        </is>
      </c>
      <c r="D36" s="10" t="inlineStr">
        <is>
          <t>No.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45" t="n">
        <v>5</v>
      </c>
      <c r="C37" s="46" t="inlineStr">
        <is>
          <t>Guest / expert lectures</t>
        </is>
      </c>
      <c r="D37" s="22" t="inlineStr">
        <is>
          <t>No.</t>
        </is>
      </c>
      <c r="E37" s="22" t="inlineStr"/>
      <c r="F37" s="22" t="inlineStr"/>
      <c r="G37" s="22">
        <f>IFERROR(ROUND((E37-F37)/IF(F37=0,1,F37)*100,1),"")</f>
        <v/>
      </c>
      <c r="H37" s="22" t="inlineStr"/>
    </row>
    <row r="38" ht="22" customHeight="1">
      <c r="B38" s="8" t="n">
        <v>6</v>
      </c>
      <c r="C38" s="9" t="inlineStr">
        <is>
          <t>MOU activities utilised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41" t="inlineStr">
        <is>
          <t>SECTION 5 — QUALITY &amp; COMPLIANCE</t>
        </is>
      </c>
    </row>
    <row r="41" ht="22" customHeight="1">
      <c r="B41" s="59" t="inlineStr">
        <is>
          <t>Sl.</t>
        </is>
      </c>
      <c r="C41" s="59" t="inlineStr">
        <is>
          <t>Performance Metric</t>
        </is>
      </c>
      <c r="D41" s="59" t="inlineStr">
        <is>
          <t>Unit</t>
        </is>
      </c>
      <c r="E41" s="59" t="inlineStr">
        <is>
          <t>Current A.Y.</t>
        </is>
      </c>
      <c r="F41" s="59" t="inlineStr">
        <is>
          <t>Previous A.Y.</t>
        </is>
      </c>
      <c r="G41" s="59" t="inlineStr">
        <is>
          <t>Growth %</t>
        </is>
      </c>
      <c r="H41" s="59" t="inlineStr">
        <is>
          <t>Target Next Year</t>
        </is>
      </c>
    </row>
    <row r="42" ht="22" customHeight="1">
      <c r="B42" s="42" t="n">
        <v>1</v>
      </c>
      <c r="C42" s="43" t="inlineStr">
        <is>
          <t>Academic audit score (/5)</t>
        </is>
      </c>
      <c r="D42" s="44" t="inlineStr">
        <is>
          <t>Score</t>
        </is>
      </c>
      <c r="E42" s="44" t="inlineStr"/>
      <c r="F42" s="44" t="inlineStr"/>
      <c r="G42" s="44">
        <f>IFERROR(ROUND((E42-F42)/IF(F42=0,1,F42)*100,1),"")</f>
        <v/>
      </c>
      <c r="H42" s="44" t="inlineStr"/>
    </row>
    <row r="43" ht="22" customHeight="1">
      <c r="B43" s="8" t="n">
        <v>2</v>
      </c>
      <c r="C43" s="9" t="inlineStr">
        <is>
          <t>Student feedback score (/5)</t>
        </is>
      </c>
      <c r="D43" s="10" t="inlineStr">
        <is>
          <t>Score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42" t="n">
        <v>3</v>
      </c>
      <c r="C44" s="43" t="inlineStr">
        <is>
          <t>NBA SAR data submitted</t>
        </is>
      </c>
      <c r="D44" s="44" t="inlineStr">
        <is>
          <t>Y/N</t>
        </is>
      </c>
      <c r="E44" s="44" t="inlineStr"/>
      <c r="F44" s="44" t="inlineStr"/>
      <c r="G44" s="44">
        <f>IFERROR(ROUND((E44-F44)/IF(F44=0,1,F44)*100,1),"")</f>
        <v/>
      </c>
      <c r="H44" s="44" t="inlineStr"/>
    </row>
    <row r="45" ht="22" customHeight="1">
      <c r="B45" s="8" t="n">
        <v>4</v>
      </c>
      <c r="C45" s="9" t="inlineStr">
        <is>
          <t>NAAC AQAR data submitted</t>
        </is>
      </c>
      <c r="D45" s="10" t="inlineStr">
        <is>
          <t>Y/N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42" t="n">
        <v>5</v>
      </c>
      <c r="C46" s="43" t="inlineStr">
        <is>
          <t>Best practices documented</t>
        </is>
      </c>
      <c r="D46" s="44" t="inlineStr">
        <is>
          <t>No.</t>
        </is>
      </c>
      <c r="E46" s="44" t="inlineStr"/>
      <c r="F46" s="44" t="inlineStr"/>
      <c r="G46" s="44">
        <f>IFERROR(ROUND((E46-F46)/IF(F46=0,1,F46)*100,1),"")</f>
        <v/>
      </c>
      <c r="H46" s="44" t="inlineStr"/>
    </row>
    <row r="47" ht="22" customHeight="1">
      <c r="B47" s="8" t="n">
        <v>6</v>
      </c>
      <c r="C47" s="9" t="inlineStr">
        <is>
          <t>DDC meetings held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Principal, CAC, IQAC (NAAC AQAR Criteria II, III, V, VI), NBA SAR team, Governing Body, University (if required). Retain all supporting evidence for 5 years.</t>
        </is>
      </c>
    </row>
    <row r="50" ht="22" customHeight="1">
      <c r="B50" s="29" t="inlineStr">
        <is>
          <t>HoD: ___________________    DDC Coordinator: ___________________    Principal: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2026-05-02T10:04:17Z</dcterms:created>
  <dcterms:modified xmlns:dcterms="http://purl.org/dc/terms/" xmlns:xsi="http://www.w3.org/2001/XMLSchema-instance" xsi:type="dcterms:W3CDTF">2026-05-02T10:04:18Z</dcterms:modified>
</cp:coreProperties>
</file>