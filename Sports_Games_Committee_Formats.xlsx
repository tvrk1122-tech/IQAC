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GC-00 Composition" sheetId="2" state="visible" r:id="rId2"/>
    <sheet xmlns:r="http://schemas.openxmlformats.org/officeDocument/2006/relationships" name="SGC-NA Notice &amp; Agenda" sheetId="3" state="visible" r:id="rId3"/>
    <sheet xmlns:r="http://schemas.openxmlformats.org/officeDocument/2006/relationships" name="SGC-AT Attendance" sheetId="4" state="visible" r:id="rId4"/>
    <sheet xmlns:r="http://schemas.openxmlformats.org/officeDocument/2006/relationships" name="SGC-MM Minutes" sheetId="5" state="visible" r:id="rId5"/>
    <sheet xmlns:r="http://schemas.openxmlformats.org/officeDocument/2006/relationships" name="SGC-ATR Action Report" sheetId="6" state="visible" r:id="rId6"/>
    <sheet xmlns:r="http://schemas.openxmlformats.org/officeDocument/2006/relationships" name="SGC-02 Annual Sports Calendar" sheetId="7" state="visible" r:id="rId7"/>
    <sheet xmlns:r="http://schemas.openxmlformats.org/officeDocument/2006/relationships" name="SGC-04 Student Registration" sheetId="8" state="visible" r:id="rId8"/>
    <sheet xmlns:r="http://schemas.openxmlformats.org/officeDocument/2006/relationships" name="SGC-05 Athlete Profiles" sheetId="9" state="visible" r:id="rId9"/>
    <sheet xmlns:r="http://schemas.openxmlformats.org/officeDocument/2006/relationships" name="SGC-07-08 Infra &amp; Equipment" sheetId="10" state="visible" r:id="rId10"/>
    <sheet xmlns:r="http://schemas.openxmlformats.org/officeDocument/2006/relationships" name="SGC-12 Coaches Register" sheetId="11" state="visible" r:id="rId11"/>
    <sheet xmlns:r="http://schemas.openxmlformats.org/officeDocument/2006/relationships" name="SGC-13 Training Session Log" sheetId="12" state="visible" r:id="rId12"/>
    <sheet xmlns:r="http://schemas.openxmlformats.org/officeDocument/2006/relationships" name="SGC-16 Injury Register" sheetId="13" state="visible" r:id="rId13"/>
    <sheet xmlns:r="http://schemas.openxmlformats.org/officeDocument/2006/relationships" name="SGC-17 Intra Tournaments" sheetId="14" state="visible" r:id="rId14"/>
    <sheet xmlns:r="http://schemas.openxmlformats.org/officeDocument/2006/relationships" name="SGC-18 Inter Tournaments" sheetId="15" state="visible" r:id="rId15"/>
    <sheet xmlns:r="http://schemas.openxmlformats.org/officeDocument/2006/relationships" name="SGC-22 Achievements Register" sheetId="16" state="visible" r:id="rId16"/>
    <sheet xmlns:r="http://schemas.openxmlformats.org/officeDocument/2006/relationships" name="SGC-19 Event Planning" sheetId="17" state="visible" r:id="rId17"/>
    <sheet xmlns:r="http://schemas.openxmlformats.org/officeDocument/2006/relationships" name="SGC-29 Sports Feedback Survey" sheetId="18" state="visible" r:id="rId18"/>
    <sheet xmlns:r="http://schemas.openxmlformats.org/officeDocument/2006/relationships" name="SGC-30 KPI Dashboard" sheetId="19" state="visible" r:id="rId19"/>
    <sheet xmlns:r="http://schemas.openxmlformats.org/officeDocument/2006/relationships" name="SGC-31 Annual Repor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166534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166534"/>
      <sz val="10"/>
    </font>
    <font>
      <name val="Arial"/>
      <b val="1"/>
      <color rgb="00334155"/>
      <sz val="10"/>
    </font>
    <font>
      <name val="Arial"/>
      <color rgb="000F172A"/>
      <sz val="9"/>
    </font>
    <font>
      <name val="Arial"/>
      <b val="1"/>
      <color rgb="000A1F0A"/>
      <sz val="10"/>
    </font>
    <font>
      <name val="Arial"/>
      <b val="1"/>
      <color rgb="001E3A5F"/>
      <sz val="10"/>
    </font>
  </fonts>
  <fills count="24">
    <fill>
      <patternFill/>
    </fill>
    <fill>
      <patternFill patternType="gray125"/>
    </fill>
    <fill>
      <patternFill patternType="solid">
        <fgColor rgb="000A1F0A"/>
      </patternFill>
    </fill>
    <fill>
      <patternFill patternType="solid">
        <fgColor rgb="00DCFCE7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66534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C2410C"/>
      </patternFill>
    </fill>
    <fill>
      <patternFill patternType="solid">
        <fgColor rgb="00FFEDD5"/>
      </patternFill>
    </fill>
    <fill>
      <patternFill patternType="solid">
        <fgColor rgb="00B91C1C"/>
      </patternFill>
    </fill>
    <fill>
      <patternFill patternType="solid">
        <fgColor rgb="00FEE2E2"/>
      </patternFill>
    </fill>
    <fill>
      <patternFill patternType="solid">
        <fgColor rgb="004338CA"/>
      </patternFill>
    </fill>
    <fill>
      <patternFill patternType="solid">
        <fgColor rgb="00E0E7FF"/>
      </patternFill>
    </fill>
    <fill>
      <patternFill patternType="solid">
        <fgColor rgb="007C3AED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14" borderId="0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0" fillId="15" borderId="1" pivotButton="0" quotePrefix="0" xfId="0"/>
    <xf numFmtId="0" fontId="0" fillId="7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3" fillId="16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 wrapText="1"/>
    </xf>
    <xf numFmtId="0" fontId="0" fillId="17" borderId="1" pivotButton="0" quotePrefix="0" xfId="0"/>
    <xf numFmtId="0" fontId="9" fillId="9" borderId="0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3" fillId="20" borderId="0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22" borderId="0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horizontal="left" vertical="center" wrapText="1"/>
    </xf>
    <xf numFmtId="0" fontId="6" fillId="2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75" customHeight="1">
      <c r="B2" s="1" t="inlineStr">
        <is>
          <t>SPORTS &amp; GAMES COMMITTEE
Data Collection Formats — Master Workbook</t>
        </is>
      </c>
    </row>
    <row r="3" ht="28" customHeight="1">
      <c r="B3" s="2" t="inlineStr">
        <is>
          <t>Institution: _________________________  Sports Director / Coordinator: _____________  A.Y.: _______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 / Stage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SGC-00</t>
        </is>
      </c>
      <c r="C6" s="6" t="inlineStr">
        <is>
          <t>Committee Composition &amp; Members Register</t>
        </is>
      </c>
      <c r="D6" s="6" t="inlineStr">
        <is>
          <t>Record committee members, coaches, trainers &amp; student reps</t>
        </is>
      </c>
      <c r="E6" s="7" t="inlineStr">
        <is>
          <t>Annual</t>
        </is>
      </c>
    </row>
    <row r="7" ht="20" customHeight="1">
      <c r="B7" s="8" t="inlineStr">
        <is>
          <t>SGC-NA</t>
        </is>
      </c>
      <c r="C7" s="9" t="inlineStr">
        <is>
          <t>Meeting Notice, Agenda &amp; Dispatch Record</t>
        </is>
      </c>
      <c r="D7" s="9" t="inlineStr">
        <is>
          <t>Formal notice and agenda for SGC meetings</t>
        </is>
      </c>
      <c r="E7" s="10" t="inlineStr">
        <is>
          <t>Each Meeting</t>
        </is>
      </c>
    </row>
    <row r="8" ht="20" customHeight="1">
      <c r="B8" s="5" t="inlineStr">
        <is>
          <t>SGC-AT</t>
        </is>
      </c>
      <c r="C8" s="6" t="inlineStr">
        <is>
          <t>Attendance &amp; Quorum Register</t>
        </is>
      </c>
      <c r="D8" s="6" t="inlineStr">
        <is>
          <t>Confirm attendance and quorum validity</t>
        </is>
      </c>
      <c r="E8" s="7" t="inlineStr">
        <is>
          <t>Each Meeting</t>
        </is>
      </c>
    </row>
    <row r="9" ht="20" customHeight="1">
      <c r="B9" s="8" t="inlineStr">
        <is>
          <t>SGC-MM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SGC-ATR</t>
        </is>
      </c>
      <c r="C10" s="6" t="inlineStr">
        <is>
          <t>Action Taken Report</t>
        </is>
      </c>
      <c r="D10" s="6" t="inlineStr">
        <is>
          <t>Track implementation of SGC resolutions</t>
        </is>
      </c>
      <c r="E10" s="7" t="inlineStr">
        <is>
          <t>Each Meeting</t>
        </is>
      </c>
    </row>
    <row r="11" ht="20" customHeight="1">
      <c r="B11" s="4" t="inlineStr">
        <is>
          <t>── SPORTS POLICY &amp; PLANNING ──</t>
        </is>
      </c>
    </row>
    <row r="12" ht="20" customHeight="1">
      <c r="B12" s="5" t="inlineStr">
        <is>
          <t>SGC-01</t>
        </is>
      </c>
      <c r="C12" s="6" t="inlineStr">
        <is>
          <t>Sports Policy &amp; Development Framework</t>
        </is>
      </c>
      <c r="D12" s="6" t="inlineStr">
        <is>
          <t>Document institutional sports policy, vision &amp; priorities</t>
        </is>
      </c>
      <c r="E12" s="7" t="inlineStr">
        <is>
          <t>Annual</t>
        </is>
      </c>
    </row>
    <row r="13" ht="20" customHeight="1">
      <c r="B13" s="8" t="inlineStr">
        <is>
          <t>SGC-02</t>
        </is>
      </c>
      <c r="C13" s="9" t="inlineStr">
        <is>
          <t>Annual Sports Calendar &amp; Activity Plan</t>
        </is>
      </c>
      <c r="D13" s="9" t="inlineStr">
        <is>
          <t>Plan all sports events, tournaments &amp; training programmes</t>
        </is>
      </c>
      <c r="E13" s="10" t="inlineStr">
        <is>
          <t>Annual (Pre-Year)</t>
        </is>
      </c>
    </row>
    <row r="14" ht="20" customHeight="1">
      <c r="B14" s="5" t="inlineStr">
        <is>
          <t>SGC-03</t>
        </is>
      </c>
      <c r="C14" s="6" t="inlineStr">
        <is>
          <t>Sports Budget &amp; Resource Plan</t>
        </is>
      </c>
      <c r="D14" s="6" t="inlineStr">
        <is>
          <t>Plan and track sports budget allocation and expenditure</t>
        </is>
      </c>
      <c r="E14" s="7" t="inlineStr">
        <is>
          <t>Annual</t>
        </is>
      </c>
    </row>
    <row r="15" ht="20" customHeight="1">
      <c r="B15" s="4" t="inlineStr">
        <is>
          <t>── STUDENT SPORTS REGISTRATION ──</t>
        </is>
      </c>
    </row>
    <row r="16" ht="20" customHeight="1">
      <c r="B16" s="5" t="inlineStr">
        <is>
          <t>SGC-04</t>
        </is>
      </c>
      <c r="C16" s="6" t="inlineStr">
        <is>
          <t>Student Sports Registration Form</t>
        </is>
      </c>
      <c r="D16" s="6" t="inlineStr">
        <is>
          <t>Register students for sports — disciplines, category, level</t>
        </is>
      </c>
      <c r="E16" s="7" t="inlineStr">
        <is>
          <t>Annual / Per Season</t>
        </is>
      </c>
    </row>
    <row r="17" ht="20" customHeight="1">
      <c r="B17" s="8" t="inlineStr">
        <is>
          <t>SGC-05</t>
        </is>
      </c>
      <c r="C17" s="9" t="inlineStr">
        <is>
          <t>Student Athlete Profile Register</t>
        </is>
      </c>
      <c r="D17" s="9" t="inlineStr">
        <is>
          <t>Maintain comprehensive profile of student athletes</t>
        </is>
      </c>
      <c r="E17" s="10" t="inlineStr">
        <is>
          <t>Annual / Continuous</t>
        </is>
      </c>
    </row>
    <row r="18" ht="20" customHeight="1">
      <c r="B18" s="5" t="inlineStr">
        <is>
          <t>SGC-06</t>
        </is>
      </c>
      <c r="C18" s="6" t="inlineStr">
        <is>
          <t>Sports Scholarship &amp; Fee Concession Register</t>
        </is>
      </c>
      <c r="D18" s="6" t="inlineStr">
        <is>
          <t>Track sports scholarships and fee concessions awarded</t>
        </is>
      </c>
      <c r="E18" s="7" t="inlineStr">
        <is>
          <t>Annual</t>
        </is>
      </c>
    </row>
    <row r="19" ht="20" customHeight="1">
      <c r="B19" s="4" t="inlineStr">
        <is>
          <t>── FACILITIES &amp; EQUIPMENT ──</t>
        </is>
      </c>
    </row>
    <row r="20" ht="20" customHeight="1">
      <c r="B20" s="5" t="inlineStr">
        <is>
          <t>SGC-07</t>
        </is>
      </c>
      <c r="C20" s="6" t="inlineStr">
        <is>
          <t>Sports Infrastructure Inventory Register</t>
        </is>
      </c>
      <c r="D20" s="6" t="inlineStr">
        <is>
          <t>Document all sports facilities, grounds &amp; courts</t>
        </is>
      </c>
      <c r="E20" s="7" t="inlineStr">
        <is>
          <t>Annual</t>
        </is>
      </c>
    </row>
    <row r="21" ht="20" customHeight="1">
      <c r="B21" s="8" t="inlineStr">
        <is>
          <t>SGC-08</t>
        </is>
      </c>
      <c r="C21" s="9" t="inlineStr">
        <is>
          <t>Sports Equipment Inventory Register</t>
        </is>
      </c>
      <c r="D21" s="9" t="inlineStr">
        <is>
          <t>Track all sports equipment — purchased and stock</t>
        </is>
      </c>
      <c r="E21" s="10" t="inlineStr">
        <is>
          <t>Annual / Continuous</t>
        </is>
      </c>
    </row>
    <row r="22" ht="20" customHeight="1">
      <c r="B22" s="5" t="inlineStr">
        <is>
          <t>SGC-09</t>
        </is>
      </c>
      <c r="C22" s="6" t="inlineStr">
        <is>
          <t>Sports Equipment Issue &amp; Return Register</t>
        </is>
      </c>
      <c r="D22" s="6" t="inlineStr">
        <is>
          <t>Log daily issue and return of equipment to players</t>
        </is>
      </c>
      <c r="E22" s="7" t="inlineStr">
        <is>
          <t>Continuous</t>
        </is>
      </c>
    </row>
    <row r="23" ht="20" customHeight="1">
      <c r="B23" s="8" t="inlineStr">
        <is>
          <t>SGC-10</t>
        </is>
      </c>
      <c r="C23" s="9" t="inlineStr">
        <is>
          <t>Facility Booking &amp; Utilisation Register</t>
        </is>
      </c>
      <c r="D23" s="9" t="inlineStr">
        <is>
          <t>Manage sports facility scheduling and usage tracking</t>
        </is>
      </c>
      <c r="E23" s="10" t="inlineStr">
        <is>
          <t>Continuous</t>
        </is>
      </c>
    </row>
    <row r="24" ht="20" customHeight="1">
      <c r="B24" s="5" t="inlineStr">
        <is>
          <t>SGC-11</t>
        </is>
      </c>
      <c r="C24" s="6" t="inlineStr">
        <is>
          <t>Sports Facility Maintenance Log</t>
        </is>
      </c>
      <c r="D24" s="6" t="inlineStr">
        <is>
          <t>Record maintenance, repairs and upkeep of facilities</t>
        </is>
      </c>
      <c r="E24" s="7" t="inlineStr">
        <is>
          <t>Continuous</t>
        </is>
      </c>
    </row>
    <row r="25" ht="20" customHeight="1">
      <c r="B25" s="4" t="inlineStr">
        <is>
          <t>── COACHING &amp; TRAINING ──</t>
        </is>
      </c>
    </row>
    <row r="26" ht="20" customHeight="1">
      <c r="B26" s="5" t="inlineStr">
        <is>
          <t>SGC-12</t>
        </is>
      </c>
      <c r="C26" s="6" t="inlineStr">
        <is>
          <t>Coaches &amp; Physical Trainers Register</t>
        </is>
      </c>
      <c r="D26" s="6" t="inlineStr">
        <is>
          <t>Record coach details, qualifications &amp; assignments</t>
        </is>
      </c>
      <c r="E26" s="7" t="inlineStr">
        <is>
          <t>Annual</t>
        </is>
      </c>
    </row>
    <row r="27" ht="20" customHeight="1">
      <c r="B27" s="8" t="inlineStr">
        <is>
          <t>SGC-13</t>
        </is>
      </c>
      <c r="C27" s="9" t="inlineStr">
        <is>
          <t>Training Session Log</t>
        </is>
      </c>
      <c r="D27" s="9" t="inlineStr">
        <is>
          <t>Document regular practice sessions and attendance</t>
        </is>
      </c>
      <c r="E27" s="10" t="inlineStr">
        <is>
          <t>Each Session</t>
        </is>
      </c>
    </row>
    <row r="28" ht="20" customHeight="1">
      <c r="B28" s="5" t="inlineStr">
        <is>
          <t>SGC-14</t>
        </is>
      </c>
      <c r="C28" s="6" t="inlineStr">
        <is>
          <t>Player Fitness &amp; Medical Assessment Register</t>
        </is>
      </c>
      <c r="D28" s="6" t="inlineStr">
        <is>
          <t>Track student athlete fitness, medical tests &amp; clearance</t>
        </is>
      </c>
      <c r="E28" s="7" t="inlineStr">
        <is>
          <t>Pre-Season / Annual</t>
        </is>
      </c>
    </row>
    <row r="29" ht="20" customHeight="1">
      <c r="B29" s="8" t="inlineStr">
        <is>
          <t>SGC-15</t>
        </is>
      </c>
      <c r="C29" s="9" t="inlineStr">
        <is>
          <t>Diet &amp; Nutrition Programme Register</t>
        </is>
      </c>
      <c r="D29" s="9" t="inlineStr">
        <is>
          <t>Document nutrition support and diet plans for athletes</t>
        </is>
      </c>
      <c r="E29" s="10" t="inlineStr">
        <is>
          <t>Annual</t>
        </is>
      </c>
    </row>
    <row r="30" ht="20" customHeight="1">
      <c r="B30" s="5" t="inlineStr">
        <is>
          <t>SGC-16</t>
        </is>
      </c>
      <c r="C30" s="6" t="inlineStr">
        <is>
          <t>Sports Injury &amp; Medical Register</t>
        </is>
      </c>
      <c r="D30" s="6" t="inlineStr">
        <is>
          <t>Log all sports-related injuries and treatment</t>
        </is>
      </c>
      <c r="E30" s="7" t="inlineStr">
        <is>
          <t>Continuous</t>
        </is>
      </c>
    </row>
    <row r="31" ht="20" customHeight="1">
      <c r="B31" s="4" t="inlineStr">
        <is>
          <t>── TOURNAMENTS &amp; COMPETITIONS ──</t>
        </is>
      </c>
    </row>
    <row r="32" ht="20" customHeight="1">
      <c r="B32" s="5" t="inlineStr">
        <is>
          <t>SGC-17</t>
        </is>
      </c>
      <c r="C32" s="6" t="inlineStr">
        <is>
          <t>Intra-Institutional Tournament Register</t>
        </is>
      </c>
      <c r="D32" s="6" t="inlineStr">
        <is>
          <t>Plan and manage internal sports competitions and events</t>
        </is>
      </c>
      <c r="E32" s="7" t="inlineStr">
        <is>
          <t>Per Tournament</t>
        </is>
      </c>
    </row>
    <row r="33" ht="20" customHeight="1">
      <c r="B33" s="8" t="inlineStr">
        <is>
          <t>SGC-18</t>
        </is>
      </c>
      <c r="C33" s="9" t="inlineStr">
        <is>
          <t>Inter-Institutional Tournament Register</t>
        </is>
      </c>
      <c r="D33" s="9" t="inlineStr">
        <is>
          <t>Track participation in external tournaments and meets</t>
        </is>
      </c>
      <c r="E33" s="10" t="inlineStr">
        <is>
          <t>Per Tournament</t>
        </is>
      </c>
    </row>
    <row r="34" ht="20" customHeight="1">
      <c r="B34" s="5" t="inlineStr">
        <is>
          <t>SGC-19</t>
        </is>
      </c>
      <c r="C34" s="6" t="inlineStr">
        <is>
          <t>Tournament / Event Planning Checklist</t>
        </is>
      </c>
      <c r="D34" s="6" t="inlineStr">
        <is>
          <t>Step-by-step checklist for hosting sports events</t>
        </is>
      </c>
      <c r="E34" s="7" t="inlineStr">
        <is>
          <t>Per Event</t>
        </is>
      </c>
    </row>
    <row r="35" ht="20" customHeight="1">
      <c r="B35" s="8" t="inlineStr">
        <is>
          <t>SGC-20</t>
        </is>
      </c>
      <c r="C35" s="9" t="inlineStr">
        <is>
          <t>Match Results &amp; Scores Register</t>
        </is>
      </c>
      <c r="D35" s="9" t="inlineStr">
        <is>
          <t>Record all match results, scores and statistics</t>
        </is>
      </c>
      <c r="E35" s="10" t="inlineStr">
        <is>
          <t>Per Match / Event</t>
        </is>
      </c>
    </row>
    <row r="36" ht="20" customHeight="1">
      <c r="B36" s="5" t="inlineStr">
        <is>
          <t>SGC-21</t>
        </is>
      </c>
      <c r="C36" s="6" t="inlineStr">
        <is>
          <t>Referee / Umpire &amp; Officials Register</t>
        </is>
      </c>
      <c r="D36" s="6" t="inlineStr">
        <is>
          <t>Maintain database of referees and officials for events</t>
        </is>
      </c>
      <c r="E36" s="7" t="inlineStr">
        <is>
          <t>Annual</t>
        </is>
      </c>
    </row>
    <row r="37" ht="20" customHeight="1">
      <c r="B37" s="4" t="inlineStr">
        <is>
          <t>── ACHIEVEMENTS &amp; RECOGNITION ──</t>
        </is>
      </c>
    </row>
    <row r="38" ht="20" customHeight="1">
      <c r="B38" s="5" t="inlineStr">
        <is>
          <t>SGC-22</t>
        </is>
      </c>
      <c r="C38" s="6" t="inlineStr">
        <is>
          <t>Student Sports Achievement Register</t>
        </is>
      </c>
      <c r="D38" s="6" t="inlineStr">
        <is>
          <t>Record student victories, medals and rankings</t>
        </is>
      </c>
      <c r="E38" s="7" t="inlineStr">
        <is>
          <t>Continuous</t>
        </is>
      </c>
    </row>
    <row r="39" ht="20" customHeight="1">
      <c r="B39" s="8" t="inlineStr">
        <is>
          <t>SGC-23</t>
        </is>
      </c>
      <c r="C39" s="9" t="inlineStr">
        <is>
          <t>University / State / National Sports Register</t>
        </is>
      </c>
      <c r="D39" s="9" t="inlineStr">
        <is>
          <t>Track participation in official university/state meets</t>
        </is>
      </c>
      <c r="E39" s="10" t="inlineStr">
        <is>
          <t>Per Event</t>
        </is>
      </c>
    </row>
    <row r="40" ht="20" customHeight="1">
      <c r="B40" s="5" t="inlineStr">
        <is>
          <t>SGC-24</t>
        </is>
      </c>
      <c r="C40" s="6" t="inlineStr">
        <is>
          <t>Outstanding Sportsperson Award Register</t>
        </is>
      </c>
      <c r="D40" s="6" t="inlineStr">
        <is>
          <t>Document annual sports awards and felicitation</t>
        </is>
      </c>
      <c r="E40" s="7" t="inlineStr">
        <is>
          <t>Annual</t>
        </is>
      </c>
    </row>
    <row r="41" ht="20" customHeight="1">
      <c r="B41" s="8" t="inlineStr">
        <is>
          <t>SGC-25</t>
        </is>
      </c>
      <c r="C41" s="9" t="inlineStr">
        <is>
          <t>Alumni Sports Achievement Register</t>
        </is>
      </c>
      <c r="D41" s="9" t="inlineStr">
        <is>
          <t>Track alumni achievements in sports post-graduation</t>
        </is>
      </c>
      <c r="E41" s="10" t="inlineStr">
        <is>
          <t>Annual</t>
        </is>
      </c>
    </row>
    <row r="42" ht="20" customHeight="1">
      <c r="B42" s="4" t="inlineStr">
        <is>
          <t>── OUTREACH &amp; WELFARE ──</t>
        </is>
      </c>
    </row>
    <row r="43" ht="20" customHeight="1">
      <c r="B43" s="8" t="inlineStr">
        <is>
          <t>SGC-26</t>
        </is>
      </c>
      <c r="C43" s="9" t="inlineStr">
        <is>
          <t>Sports Outreach &amp; Community Programme Reg.</t>
        </is>
      </c>
      <c r="D43" s="9" t="inlineStr">
        <is>
          <t>Document sports events for community and school outreach</t>
        </is>
      </c>
      <c r="E43" s="10" t="inlineStr">
        <is>
          <t>Annual</t>
        </is>
      </c>
    </row>
    <row r="44" ht="20" customHeight="1">
      <c r="B44" s="5" t="inlineStr">
        <is>
          <t>SGC-27</t>
        </is>
      </c>
      <c r="C44" s="6" t="inlineStr">
        <is>
          <t>Anti-Doping &amp; Sports Ethics Register</t>
        </is>
      </c>
      <c r="D44" s="6" t="inlineStr">
        <is>
          <t>Track anti-doping education and compliance activities</t>
        </is>
      </c>
      <c r="E44" s="7" t="inlineStr">
        <is>
          <t>Annual</t>
        </is>
      </c>
    </row>
    <row r="45" ht="20" customHeight="1">
      <c r="B45" s="8" t="inlineStr">
        <is>
          <t>SGC-28</t>
        </is>
      </c>
      <c r="C45" s="9" t="inlineStr">
        <is>
          <t>Sports Insurance &amp; Player Safety Register</t>
        </is>
      </c>
      <c r="D45" s="9" t="inlineStr">
        <is>
          <t>Manage player insurance policies and safety protocols</t>
        </is>
      </c>
      <c r="E45" s="10" t="inlineStr">
        <is>
          <t>Annual</t>
        </is>
      </c>
    </row>
    <row r="46" ht="20" customHeight="1">
      <c r="B46" s="4" t="inlineStr">
        <is>
          <t>── MONITORING &amp; REPORTING ──</t>
        </is>
      </c>
    </row>
    <row r="47" ht="20" customHeight="1">
      <c r="B47" s="8" t="inlineStr">
        <is>
          <t>SGC-29</t>
        </is>
      </c>
      <c r="C47" s="9" t="inlineStr">
        <is>
          <t>Student Sports Feedback &amp; Satisfaction Survey</t>
        </is>
      </c>
      <c r="D47" s="9" t="inlineStr">
        <is>
          <t>Annual survey on sports facilities, coaching &amp; events</t>
        </is>
      </c>
      <c r="E47" s="10" t="inlineStr">
        <is>
          <t>Annual</t>
        </is>
      </c>
    </row>
    <row r="48" ht="20" customHeight="1">
      <c r="B48" s="5" t="inlineStr">
        <is>
          <t>SGC-30</t>
        </is>
      </c>
      <c r="C48" s="6" t="inlineStr">
        <is>
          <t>SGC KPI Dashboard</t>
        </is>
      </c>
      <c r="D48" s="6" t="inlineStr">
        <is>
          <t>Track all sports KPIs — participation, achievements, infra</t>
        </is>
      </c>
      <c r="E48" s="7" t="inlineStr">
        <is>
          <t>Monthly / Annual</t>
        </is>
      </c>
    </row>
    <row r="49" ht="20" customHeight="1">
      <c r="B49" s="8" t="inlineStr">
        <is>
          <t>SGC-31</t>
        </is>
      </c>
      <c r="C49" s="9" t="inlineStr">
        <is>
          <t>Sports Annual Report Compilation Form</t>
        </is>
      </c>
      <c r="D49" s="9" t="inlineStr">
        <is>
          <t>Year-end sports report for management and accreditation</t>
        </is>
      </c>
      <c r="E49" s="10" t="inlineStr">
        <is>
          <t>Annual</t>
        </is>
      </c>
    </row>
    <row r="50" ht="21" customHeight="1"/>
    <row r="51" ht="21" customHeight="1"/>
    <row r="52" ht="21" customHeight="1"/>
    <row r="53" ht="21" customHeight="1"/>
    <row r="54" ht="21" customHeight="1"/>
    <row r="102">
      <c r="B102" s="11" t="inlineStr">
        <is>
          <t>• SGC = Sports &amp; Games Committee — the body responsible for all sports, physical education and recreation activities.</t>
        </is>
      </c>
    </row>
    <row r="103">
      <c r="B103" s="11" t="inlineStr">
        <is>
          <t>• Sports data feeds into: NAAC AQAR Criterion V.3 (Student Activities), NIRF (Student Graduation Outcomes), NBA SAR.</t>
        </is>
      </c>
    </row>
    <row r="104">
      <c r="B104" s="11" t="inlineStr">
        <is>
          <t>• All students representing institution must carry institutional ID + authorization letter for external tournaments.</t>
        </is>
      </c>
    </row>
    <row r="105">
      <c r="B105" s="11" t="inlineStr">
        <is>
          <t>• Sports injuries must be reported within 24 hours; medical clearance mandatory before resuming play.</t>
        </is>
      </c>
    </row>
    <row r="106">
      <c r="B106" s="11" t="inlineStr">
        <is>
          <t>• Sports equipment register must be reconciled annually; damaged/lost items recovered from borrower as per policy.</t>
        </is>
      </c>
    </row>
    <row r="107">
      <c r="B107" s="11" t="inlineStr">
        <is>
          <t>• Sports scholarships and fee concessions must be sanctioned by the Principal and noted in Finance records.</t>
        </is>
      </c>
    </row>
    <row r="108">
      <c r="B108" s="11" t="inlineStr">
        <is>
          <t>• Anti-doping awareness is mandatory for all competitive athletes per NADA / WADA guidelines.</t>
        </is>
      </c>
    </row>
  </sheetData>
  <mergeCells count="18">
    <mergeCell ref="B108:E108"/>
    <mergeCell ref="B31:E31"/>
    <mergeCell ref="B107:E107"/>
    <mergeCell ref="B102:E102"/>
    <mergeCell ref="B105:E105"/>
    <mergeCell ref="B106:E106"/>
    <mergeCell ref="B37:E37"/>
    <mergeCell ref="B15:E15"/>
    <mergeCell ref="B11:E11"/>
    <mergeCell ref="B25:E25"/>
    <mergeCell ref="B3:E3"/>
    <mergeCell ref="B5:E5"/>
    <mergeCell ref="B2:E2"/>
    <mergeCell ref="B19:E19"/>
    <mergeCell ref="B103:E103"/>
    <mergeCell ref="B42:E42"/>
    <mergeCell ref="B46:E46"/>
    <mergeCell ref="B104:E1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SGC-00: SPORTS &amp; GAMES COMMITTEE — COMPOSITION REGISTER</t>
        </is>
      </c>
    </row>
    <row r="3" ht="25" customHeight="1">
      <c r="B3" s="2" t="inlineStr">
        <is>
          <t>Institution: _________________________  A.Y.: _______  Constituted on: _______ 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SGC</t>
        </is>
      </c>
      <c r="F4" s="13" t="inlineStr">
        <is>
          <t>Sport / Domain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Director / Dean Student Affairs</t>
        </is>
      </c>
      <c r="E5" s="14" t="inlineStr">
        <is>
          <t>Chairperson</t>
        </is>
      </c>
      <c r="F5" s="16" t="inlineStr">
        <is>
          <t>Sports Policy &amp; Leadership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Director of Physical Education (DPE)</t>
        </is>
      </c>
      <c r="E6" s="8" t="inlineStr">
        <is>
          <t>Sports Director</t>
        </is>
      </c>
      <c r="F6" s="10" t="inlineStr">
        <is>
          <t>Overall Sports Operations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Assistant Director of Physical Education</t>
        </is>
      </c>
      <c r="E7" s="14" t="inlineStr">
        <is>
          <t>Deputy Sports Director</t>
        </is>
      </c>
      <c r="F7" s="16" t="inlineStr">
        <is>
          <t>Events &amp; Training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Full-time Coach (Cricket / Football / Athletics)</t>
        </is>
      </c>
      <c r="E8" s="8" t="inlineStr">
        <is>
          <t>Coach – Outdoor Sports</t>
        </is>
      </c>
      <c r="F8" s="10" t="inlineStr">
        <is>
          <t>Outdoor Sports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Full-time Coach (Badminton / TT / Chess)</t>
        </is>
      </c>
      <c r="E9" s="14" t="inlineStr">
        <is>
          <t>Coach – Indoor Sports</t>
        </is>
      </c>
      <c r="F9" s="16" t="inlineStr">
        <is>
          <t>Indoor Sports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Fitness Trainer / Gym Instructor</t>
        </is>
      </c>
      <c r="E10" s="8" t="inlineStr">
        <is>
          <t>Physical Trainer</t>
        </is>
      </c>
      <c r="F10" s="10" t="inlineStr">
        <is>
          <t>Fitness &amp; Conditioning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Senior Faculty (Engineering Dept.)</t>
        </is>
      </c>
      <c r="E11" s="14" t="inlineStr">
        <is>
          <t>Faculty Rep – 1</t>
        </is>
      </c>
      <c r="F11" s="16" t="inlineStr">
        <is>
          <t>Faculty Sports Liaison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Senior Faculty (Management Dept.)</t>
        </is>
      </c>
      <c r="E12" s="8" t="inlineStr">
        <is>
          <t>Faculty Rep – 2</t>
        </is>
      </c>
      <c r="F12" s="10" t="inlineStr">
        <is>
          <t>Faculty Sports Liaison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Student Council – Male Sports Captain</t>
        </is>
      </c>
      <c r="E13" s="14" t="inlineStr">
        <is>
          <t>Student Captain – Male</t>
        </is>
      </c>
      <c r="F13" s="16" t="inlineStr">
        <is>
          <t>Male Student Athlete Rep.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Student Council – Female Sports Captain</t>
        </is>
      </c>
      <c r="E14" s="8" t="inlineStr">
        <is>
          <t>Student Captain – Female</t>
        </is>
      </c>
      <c r="F14" s="10" t="inlineStr">
        <is>
          <t>Female Student Athlete Rep.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Student Athlete (University Level)</t>
        </is>
      </c>
      <c r="E15" s="14" t="inlineStr">
        <is>
          <t>Student Rep – 1</t>
        </is>
      </c>
      <c r="F15" s="16" t="inlineStr">
        <is>
          <t>Inter-University Sports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Medical Officer / Physiotherapist</t>
        </is>
      </c>
      <c r="E16" s="8" t="inlineStr">
        <is>
          <t>Sports Medical Officer</t>
        </is>
      </c>
      <c r="F16" s="10" t="inlineStr">
        <is>
          <t>Sports Medicine &amp; Safety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Distinguished Alumnus Sportsperson</t>
        </is>
      </c>
      <c r="E17" s="14" t="inlineStr">
        <is>
          <t>Alumni Sports Legend</t>
        </is>
      </c>
      <c r="F17" s="16" t="inlineStr">
        <is>
          <t>Sports Alumni Connect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IQAC In-charge</t>
        </is>
      </c>
      <c r="E18" s="8" t="inlineStr">
        <is>
          <t>IQAC Coordinator (Ex-off.)</t>
        </is>
      </c>
      <c r="F18" s="10" t="inlineStr">
        <is>
          <t>Quality &amp; Accreditation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Finance Officer</t>
        </is>
      </c>
      <c r="E19" s="14" t="inlineStr">
        <is>
          <t>Finance Officer (Ex-off.)</t>
        </is>
      </c>
      <c r="F19" s="16" t="inlineStr">
        <is>
          <t>Sports Budget</t>
        </is>
      </c>
      <c r="G19" s="15" t="inlineStr"/>
      <c r="H19" s="16" t="inlineStr"/>
      <c r="I19" s="16" t="inlineStr"/>
    </row>
    <row r="20" ht="22" customHeight="1"/>
    <row r="21" ht="20" customHeight="1">
      <c r="B21" s="17" t="inlineStr">
        <is>
          <t>SGC meets minimum once per month during sports season. Student captains are elected/selected annually. All coaches must hold recognized sports coaching certificates.</t>
        </is>
      </c>
    </row>
    <row r="22" ht="22" customHeight="1"/>
    <row r="23" ht="22" customHeight="1"/>
    <row r="24" ht="22" customHeight="1"/>
    <row r="25" ht="22" customHeight="1"/>
  </sheetData>
  <mergeCells count="3">
    <mergeCell ref="B3:I3"/>
    <mergeCell ref="B21:I21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SGC: MEETING NOTICE &amp; AGENDA</t>
        </is>
      </c>
    </row>
    <row r="3" ht="22" customHeight="1">
      <c r="B3" s="18" t="inlineStr">
        <is>
          <t>Meeting No.:</t>
        </is>
      </c>
      <c r="C3" s="9" t="n"/>
    </row>
    <row r="4" ht="22" customHeight="1">
      <c r="B4" s="18" t="inlineStr">
        <is>
          <t>Academic Year:</t>
        </is>
      </c>
      <c r="C4" s="9" t="n"/>
    </row>
    <row r="5" ht="22" customHeight="1">
      <c r="B5" s="18" t="inlineStr">
        <is>
          <t>Date:</t>
        </is>
      </c>
      <c r="C5" s="9" t="n"/>
    </row>
    <row r="6" ht="22" customHeight="1">
      <c r="B6" s="18" t="inlineStr">
        <is>
          <t>Time:</t>
        </is>
      </c>
      <c r="C6" s="9" t="n"/>
    </row>
    <row r="7" ht="22" customHeight="1">
      <c r="B7" s="18" t="inlineStr">
        <is>
          <t>Venue:</t>
        </is>
      </c>
      <c r="C7" s="9" t="n"/>
    </row>
    <row r="8" ht="22" customHeight="1">
      <c r="B8" s="18" t="inlineStr">
        <is>
          <t>Mode:</t>
        </is>
      </c>
      <c r="C8" s="9" t="n"/>
    </row>
    <row r="9" ht="22" customHeight="1">
      <c r="B9" s="18" t="inlineStr">
        <is>
          <t>Notice by:</t>
        </is>
      </c>
      <c r="C9" s="9" t="n"/>
    </row>
    <row r="10" ht="22" customHeight="1">
      <c r="B10" s="18" t="inlineStr">
        <is>
          <t>Notice Date:</t>
        </is>
      </c>
      <c r="C10" s="9" t="n"/>
    </row>
    <row r="11" ht="24" customHeight="1">
      <c r="B11" s="19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 / Discussion</t>
        </is>
      </c>
      <c r="D12" s="13" t="inlineStr">
        <is>
          <t>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SGC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Annual sports calendar — upcoming events and fixtures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Sports registration — new enrolments and team selection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Training programme — schedule, attendance, fitness levels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Sports infrastructure — maintenance status, new requirements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Equipment inventory — audit, purchases, loss/damage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Intra-institutional tournaments — planning and results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Inter-institutional tournaments — selection, travel, results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University / State / National representation — team selection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Sports achievements — recognition and felicitation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Sports scholarships and fee concessions — review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Injuries and medical clearances — status update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Anti-doping and sports ethics — awareness update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Sports outreach and community activities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Budget review — sports expenditure and requirements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NAAC / NIRF sports data — compilation status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Any Other Matter with Permission of Chairperson (AOMPC)</t>
        </is>
      </c>
      <c r="D30" s="10" t="inlineStr"/>
      <c r="E30" s="10" t="inlineStr"/>
    </row>
    <row r="31" ht="24" customHeight="1"/>
    <row r="32" ht="24" customHeight="1">
      <c r="B32" s="20" t="inlineStr">
        <is>
          <t>DISPATCH RECORD</t>
        </is>
      </c>
    </row>
    <row r="33" ht="24" customHeight="1">
      <c r="B33" s="21" t="inlineStr">
        <is>
          <t>Sl.</t>
        </is>
      </c>
      <c r="C33" s="21" t="inlineStr">
        <is>
          <t>Member Name &amp; Role</t>
        </is>
      </c>
      <c r="D33" s="21" t="inlineStr">
        <is>
          <t>Mode of Dispatch</t>
        </is>
      </c>
      <c r="E33" s="21" t="inlineStr">
        <is>
          <t>Date &amp; Acknowledgement</t>
        </is>
      </c>
    </row>
    <row r="34" ht="22" customHeight="1">
      <c r="B34" s="22" t="n"/>
      <c r="C34" s="22" t="n"/>
      <c r="D34" s="22" t="n"/>
      <c r="E34" s="22" t="n"/>
    </row>
    <row r="35" ht="22" customHeight="1">
      <c r="B35" s="10" t="n"/>
      <c r="C35" s="10" t="n"/>
      <c r="D35" s="10" t="n"/>
      <c r="E35" s="10" t="n"/>
    </row>
    <row r="36" ht="22" customHeight="1">
      <c r="B36" s="22" t="n"/>
      <c r="C36" s="22" t="n"/>
      <c r="D36" s="22" t="n"/>
      <c r="E36" s="22" t="n"/>
    </row>
    <row r="37" ht="22" customHeight="1">
      <c r="B37" s="10" t="n"/>
      <c r="C37" s="10" t="n"/>
      <c r="D37" s="10" t="n"/>
      <c r="E37" s="10" t="n"/>
    </row>
  </sheetData>
  <mergeCells count="11">
    <mergeCell ref="C5:E5"/>
    <mergeCell ref="C8:E8"/>
    <mergeCell ref="C9:E9"/>
    <mergeCell ref="C4:E4"/>
    <mergeCell ref="B32:E32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SGC: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>
      <c r="B21" s="14" t="n">
        <v>17</v>
      </c>
      <c r="C21" s="15" t="inlineStr"/>
      <c r="D21" s="15" t="inlineStr"/>
      <c r="E21" s="16" t="inlineStr">
        <is>
          <t>Physical</t>
        </is>
      </c>
      <c r="F21" s="16" t="inlineStr"/>
      <c r="G21" s="16" t="inlineStr">
        <is>
          <t>N</t>
        </is>
      </c>
      <c r="H21" s="16" t="inlineStr"/>
      <c r="I21" s="16" t="inlineStr"/>
    </row>
    <row r="22" ht="22" customHeight="1"/>
    <row r="23" ht="24" customHeight="1">
      <c r="B23" s="20" t="inlineStr">
        <is>
          <t>QUORUM VERIFICATION</t>
        </is>
      </c>
    </row>
    <row r="24" ht="22" customHeight="1">
      <c r="B24" s="23" t="inlineStr">
        <is>
          <t>Total SGC Members</t>
        </is>
      </c>
      <c r="G24" s="24" t="inlineStr"/>
    </row>
    <row r="25" ht="22" customHeight="1">
      <c r="B25" s="25" t="inlineStr">
        <is>
          <t>Present (Physical)</t>
        </is>
      </c>
      <c r="G25" s="24">
        <f>COUNTIF(F5:F21,"P")</f>
        <v/>
      </c>
    </row>
    <row r="26" ht="22" customHeight="1">
      <c r="B26" s="23" t="inlineStr">
        <is>
          <t>Present (VC)</t>
        </is>
      </c>
      <c r="G26" s="24" t="inlineStr"/>
    </row>
    <row r="27" ht="22" customHeight="1">
      <c r="B27" s="25" t="inlineStr">
        <is>
          <t>Total Effective</t>
        </is>
      </c>
      <c r="G27" s="24">
        <f>IFERROR(C25+C26,"")</f>
        <v/>
      </c>
    </row>
    <row r="28" ht="22" customHeight="1">
      <c r="B28" s="23" t="inlineStr">
        <is>
          <t>Quorum Required (50%)</t>
        </is>
      </c>
      <c r="G28" s="24" t="inlineStr"/>
    </row>
    <row r="29" ht="22" customHeight="1">
      <c r="B29" s="25" t="inlineStr">
        <is>
          <t>Quorum Achieved?</t>
        </is>
      </c>
      <c r="G29" s="26">
        <f>IFERROR(IF(C27&gt;=C28,"YES — Meeting Valid","NO — Adjourned"),"")</f>
        <v/>
      </c>
    </row>
  </sheetData>
  <mergeCells count="15">
    <mergeCell ref="G24:I24"/>
    <mergeCell ref="B29:F29"/>
    <mergeCell ref="G28:I28"/>
    <mergeCell ref="B24:F24"/>
    <mergeCell ref="G27:I27"/>
    <mergeCell ref="B2:I2"/>
    <mergeCell ref="B25:F25"/>
    <mergeCell ref="B28:F28"/>
    <mergeCell ref="B3:I3"/>
    <mergeCell ref="G26:I26"/>
    <mergeCell ref="B23:I23"/>
    <mergeCell ref="G29:I29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SGC: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7" t="inlineStr">
        <is>
          <t>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&amp; Resolution</t>
        </is>
      </c>
      <c r="D5" s="28" t="inlineStr">
        <is>
          <t>Responsible</t>
        </is>
      </c>
      <c r="E5" s="28" t="inlineStr">
        <is>
          <t>Voting</t>
        </is>
      </c>
      <c r="F5" s="28" t="inlineStr">
        <is>
          <t>Target
Date</t>
        </is>
      </c>
      <c r="G5" s="28" t="inlineStr">
        <is>
          <t>Status</t>
        </is>
      </c>
    </row>
    <row r="6" ht="30" customHeight="1">
      <c r="B6" s="14" t="inlineStr">
        <is>
          <t>SGC/RES/001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SGC/RES/002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SGC/RES/003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SGC/RES/004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SGC/RES/005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SGC/RES/006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SGC/RES/007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SGC/RES/008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SGC/RES/009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SGC/RES/010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SGC/RES/011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SGC/RES/012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>
      <c r="B18" s="14" t="inlineStr">
        <is>
          <t>SGC/RES/013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0" customHeight="1">
      <c r="B19" s="8" t="inlineStr">
        <is>
          <t>SGC/RES/014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9" t="inlineStr">
        <is>
          <t>Next Meeting: _______    Chairperson: ___________________    Sports Director: ___________________</t>
        </is>
      </c>
    </row>
    <row r="22" ht="30" customHeight="1"/>
    <row r="23" ht="30" customHeight="1"/>
    <row r="24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SGC: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0" t="inlineStr">
        <is>
          <t>Resolution
No.</t>
        </is>
      </c>
      <c r="C4" s="30" t="inlineStr">
        <is>
          <t>Resolution / Decision</t>
        </is>
      </c>
      <c r="D4" s="30" t="inlineStr">
        <is>
          <t>Action Required</t>
        </is>
      </c>
      <c r="E4" s="30" t="inlineStr">
        <is>
          <t>Responsible</t>
        </is>
      </c>
      <c r="F4" s="30" t="inlineStr">
        <is>
          <t>Target
Date</t>
        </is>
      </c>
      <c r="G4" s="30" t="inlineStr">
        <is>
          <t>Completion
Date</t>
        </is>
      </c>
      <c r="H4" s="30" t="inlineStr">
        <is>
          <t>Status</t>
        </is>
      </c>
    </row>
    <row r="5" ht="26" customHeight="1">
      <c r="B5" s="31" t="inlineStr">
        <is>
          <t>SGC/RES/001</t>
        </is>
      </c>
      <c r="C5" s="32" t="inlineStr"/>
      <c r="D5" s="32" t="inlineStr"/>
      <c r="E5" s="33" t="inlineStr"/>
      <c r="F5" s="33" t="inlineStr"/>
      <c r="G5" s="33" t="inlineStr"/>
      <c r="H5" s="32" t="inlineStr">
        <is>
          <t>In Progress</t>
        </is>
      </c>
    </row>
    <row r="6" ht="26" customHeight="1">
      <c r="B6" s="8" t="inlineStr">
        <is>
          <t>SGC/RES/002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1" t="inlineStr">
        <is>
          <t>SGC/RES/003</t>
        </is>
      </c>
      <c r="C7" s="32" t="inlineStr"/>
      <c r="D7" s="32" t="inlineStr"/>
      <c r="E7" s="33" t="inlineStr"/>
      <c r="F7" s="33" t="inlineStr"/>
      <c r="G7" s="33" t="inlineStr"/>
      <c r="H7" s="32" t="inlineStr">
        <is>
          <t>In Progress</t>
        </is>
      </c>
    </row>
    <row r="8" ht="26" customHeight="1">
      <c r="B8" s="8" t="inlineStr">
        <is>
          <t>SGC/RES/004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1" t="inlineStr">
        <is>
          <t>SGC/RES/005</t>
        </is>
      </c>
      <c r="C9" s="32" t="inlineStr"/>
      <c r="D9" s="32" t="inlineStr"/>
      <c r="E9" s="33" t="inlineStr"/>
      <c r="F9" s="33" t="inlineStr"/>
      <c r="G9" s="33" t="inlineStr"/>
      <c r="H9" s="32" t="inlineStr">
        <is>
          <t>In Progress</t>
        </is>
      </c>
    </row>
    <row r="10" ht="26" customHeight="1">
      <c r="B10" s="8" t="inlineStr">
        <is>
          <t>SGC/RES/006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1" t="inlineStr">
        <is>
          <t>SGC/RES/007</t>
        </is>
      </c>
      <c r="C11" s="32" t="inlineStr"/>
      <c r="D11" s="32" t="inlineStr"/>
      <c r="E11" s="33" t="inlineStr"/>
      <c r="F11" s="33" t="inlineStr"/>
      <c r="G11" s="33" t="inlineStr"/>
      <c r="H11" s="32" t="inlineStr">
        <is>
          <t>In Progress</t>
        </is>
      </c>
    </row>
    <row r="12" ht="26" customHeight="1">
      <c r="B12" s="8" t="inlineStr">
        <is>
          <t>SGC/RES/008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1" t="inlineStr">
        <is>
          <t>SGC/RES/009</t>
        </is>
      </c>
      <c r="C13" s="32" t="inlineStr"/>
      <c r="D13" s="32" t="inlineStr"/>
      <c r="E13" s="33" t="inlineStr"/>
      <c r="F13" s="33" t="inlineStr"/>
      <c r="G13" s="33" t="inlineStr"/>
      <c r="H13" s="32" t="inlineStr">
        <is>
          <t>In Progress</t>
        </is>
      </c>
    </row>
    <row r="14" ht="26" customHeight="1">
      <c r="B14" s="8" t="inlineStr">
        <is>
          <t>SGC/RES/010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1" t="inlineStr">
        <is>
          <t>SGC/RES/011</t>
        </is>
      </c>
      <c r="C15" s="32" t="inlineStr"/>
      <c r="D15" s="32" t="inlineStr"/>
      <c r="E15" s="33" t="inlineStr"/>
      <c r="F15" s="33" t="inlineStr"/>
      <c r="G15" s="33" t="inlineStr"/>
      <c r="H15" s="32" t="inlineStr">
        <is>
          <t>In Progress</t>
        </is>
      </c>
    </row>
    <row r="16" ht="26" customHeight="1">
      <c r="B16" s="8" t="inlineStr">
        <is>
          <t>SGC/RES/012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1" t="inlineStr">
        <is>
          <t>SGC/RES/013</t>
        </is>
      </c>
      <c r="C17" s="32" t="inlineStr"/>
      <c r="D17" s="32" t="inlineStr"/>
      <c r="E17" s="33" t="inlineStr"/>
      <c r="F17" s="33" t="inlineStr"/>
      <c r="G17" s="33" t="inlineStr"/>
      <c r="H17" s="32" t="inlineStr">
        <is>
          <t>In Progress</t>
        </is>
      </c>
    </row>
    <row r="18" ht="26" customHeight="1">
      <c r="B18" s="8" t="inlineStr">
        <is>
          <t>SGC/RES/014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31" t="inlineStr">
        <is>
          <t>SGC/RES/015</t>
        </is>
      </c>
      <c r="C19" s="32" t="inlineStr"/>
      <c r="D19" s="32" t="inlineStr"/>
      <c r="E19" s="33" t="inlineStr"/>
      <c r="F19" s="33" t="inlineStr"/>
      <c r="G19" s="33" t="inlineStr"/>
      <c r="H19" s="32" t="inlineStr">
        <is>
          <t>In Progress</t>
        </is>
      </c>
    </row>
    <row r="20" ht="26" customHeight="1"/>
    <row r="21" ht="24" customHeight="1">
      <c r="B21" s="34" t="inlineStr">
        <is>
          <t>ATR SUMMARY</t>
        </is>
      </c>
    </row>
    <row r="22" ht="26" customHeight="1">
      <c r="B22" s="35" t="inlineStr">
        <is>
          <t>Total Resolutions Under Review</t>
        </is>
      </c>
      <c r="F22" s="26">
        <f>COUNTA(B5:B19)</f>
        <v/>
      </c>
    </row>
    <row r="23" ht="26" customHeight="1">
      <c r="B23" s="25" t="inlineStr">
        <is>
          <t>Implemented</t>
        </is>
      </c>
      <c r="F23" s="36">
        <f>COUNTIF(H5:H19,"Implemented")</f>
        <v/>
      </c>
    </row>
    <row r="24" ht="26" customHeight="1">
      <c r="B24" s="35" t="inlineStr">
        <is>
          <t>In Progress</t>
        </is>
      </c>
      <c r="F24" s="26">
        <f>COUNTIF(H5:H19,"In Progress")</f>
        <v/>
      </c>
    </row>
    <row r="25" ht="26" customHeight="1">
      <c r="B25" s="25" t="inlineStr">
        <is>
          <t>Pending</t>
        </is>
      </c>
      <c r="F25" s="36">
        <f>COUNTIF(H5:H19,"Pending")</f>
        <v/>
      </c>
    </row>
    <row r="26" ht="26" customHeight="1">
      <c r="B26" s="35" t="inlineStr">
        <is>
          <t>Deferred</t>
        </is>
      </c>
      <c r="F26" s="26">
        <f>COUNTIF(H5:H19,"Deferred")</f>
        <v/>
      </c>
    </row>
    <row r="27" ht="26" customHeight="1">
      <c r="B27" s="25" t="inlineStr">
        <is>
          <t>Implementation Rate (%)</t>
        </is>
      </c>
      <c r="F27" s="36">
        <f>IFERROR(ROUND(C23/C22*100,1),"")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2" t="inlineStr">
        <is>
          <t>SGC-02: ANNUAL SPORTS CALENDAR &amp; ACTIVITY PLAN</t>
        </is>
      </c>
    </row>
    <row r="3" ht="25" customHeight="1">
      <c r="B3" s="2" t="inlineStr">
        <is>
          <t>A.Y.: _______  Sports Director: ___________________  Approved by: ___________________  Date: _______</t>
        </is>
      </c>
    </row>
    <row r="4" ht="25" customHeight="1">
      <c r="B4" s="13" t="inlineStr">
        <is>
          <t>Sl.</t>
        </is>
      </c>
      <c r="C4" s="13" t="inlineStr">
        <is>
          <t>Event / Activity</t>
        </is>
      </c>
      <c r="D4" s="13" t="inlineStr">
        <is>
          <t>Type</t>
        </is>
      </c>
      <c r="E4" s="13" t="inlineStr">
        <is>
          <t>Sports
Discipline</t>
        </is>
      </c>
      <c r="F4" s="13" t="inlineStr">
        <is>
          <t>Month</t>
        </is>
      </c>
      <c r="G4" s="13" t="inlineStr">
        <is>
          <t>Venue</t>
        </is>
      </c>
      <c r="H4" s="13" t="inlineStr">
        <is>
          <t>Participants
Target</t>
        </is>
      </c>
      <c r="I4" s="13" t="inlineStr">
        <is>
          <t>Budget (₹)</t>
        </is>
      </c>
      <c r="J4" s="13" t="inlineStr">
        <is>
          <t>Responsible</t>
        </is>
      </c>
      <c r="K4" s="13" t="inlineStr">
        <is>
          <t>Status</t>
        </is>
      </c>
    </row>
    <row r="5" ht="22" customHeight="1">
      <c r="B5" s="14" t="n">
        <v>1</v>
      </c>
      <c r="C5" s="15" t="inlineStr">
        <is>
          <t>Sports Day Inauguration &amp; Opening Ceremony</t>
        </is>
      </c>
      <c r="D5" s="16" t="inlineStr">
        <is>
          <t>Ceremony</t>
        </is>
      </c>
      <c r="E5" s="16" t="inlineStr">
        <is>
          <t>All Sports</t>
        </is>
      </c>
      <c r="F5" s="16" t="inlineStr">
        <is>
          <t>July</t>
        </is>
      </c>
      <c r="G5" s="16" t="inlineStr"/>
      <c r="H5" s="16" t="inlineStr"/>
      <c r="I5" s="16" t="inlineStr"/>
      <c r="J5" s="16" t="inlineStr"/>
      <c r="K5" s="16" t="inlineStr">
        <is>
          <t>Planned</t>
        </is>
      </c>
    </row>
    <row r="6" ht="22" customHeight="1">
      <c r="B6" s="8" t="n">
        <v>2</v>
      </c>
      <c r="C6" s="9" t="inlineStr">
        <is>
          <t>Intra-College Cricket Tournament</t>
        </is>
      </c>
      <c r="D6" s="10" t="inlineStr">
        <is>
          <t>Tournament</t>
        </is>
      </c>
      <c r="E6" s="10" t="inlineStr">
        <is>
          <t>Cricket</t>
        </is>
      </c>
      <c r="F6" s="10" t="inlineStr">
        <is>
          <t>August</t>
        </is>
      </c>
      <c r="G6" s="10" t="inlineStr"/>
      <c r="H6" s="10" t="inlineStr"/>
      <c r="I6" s="10" t="inlineStr"/>
      <c r="J6" s="10" t="inlineStr"/>
      <c r="K6" s="10" t="inlineStr">
        <is>
          <t>Planned</t>
        </is>
      </c>
    </row>
    <row r="7" ht="22" customHeight="1">
      <c r="B7" s="14" t="n">
        <v>3</v>
      </c>
      <c r="C7" s="15" t="inlineStr">
        <is>
          <t>Intra-College Football Tournament</t>
        </is>
      </c>
      <c r="D7" s="16" t="inlineStr">
        <is>
          <t>Tournament</t>
        </is>
      </c>
      <c r="E7" s="16" t="inlineStr">
        <is>
          <t>Football</t>
        </is>
      </c>
      <c r="F7" s="16" t="inlineStr">
        <is>
          <t>August</t>
        </is>
      </c>
      <c r="G7" s="16" t="inlineStr"/>
      <c r="H7" s="16" t="inlineStr"/>
      <c r="I7" s="16" t="inlineStr"/>
      <c r="J7" s="16" t="inlineStr"/>
      <c r="K7" s="16" t="inlineStr">
        <is>
          <t>Planned</t>
        </is>
      </c>
    </row>
    <row r="8" ht="22" customHeight="1">
      <c r="B8" s="8" t="n">
        <v>4</v>
      </c>
      <c r="C8" s="9" t="inlineStr">
        <is>
          <t>Intra-College Badminton Championship</t>
        </is>
      </c>
      <c r="D8" s="10" t="inlineStr">
        <is>
          <t>Tournament</t>
        </is>
      </c>
      <c r="E8" s="10" t="inlineStr">
        <is>
          <t>Badminton</t>
        </is>
      </c>
      <c r="F8" s="10" t="inlineStr">
        <is>
          <t>September</t>
        </is>
      </c>
      <c r="G8" s="10" t="inlineStr"/>
      <c r="H8" s="10" t="inlineStr"/>
      <c r="I8" s="10" t="inlineStr"/>
      <c r="J8" s="10" t="inlineStr"/>
      <c r="K8" s="10" t="inlineStr">
        <is>
          <t>Planned</t>
        </is>
      </c>
    </row>
    <row r="9" ht="22" customHeight="1">
      <c r="B9" s="14" t="n">
        <v>5</v>
      </c>
      <c r="C9" s="15" t="inlineStr">
        <is>
          <t>Intra-College Table Tennis Championship</t>
        </is>
      </c>
      <c r="D9" s="16" t="inlineStr">
        <is>
          <t>Tournament</t>
        </is>
      </c>
      <c r="E9" s="16" t="inlineStr">
        <is>
          <t>Table Tennis</t>
        </is>
      </c>
      <c r="F9" s="16" t="inlineStr">
        <is>
          <t>September</t>
        </is>
      </c>
      <c r="G9" s="16" t="inlineStr"/>
      <c r="H9" s="16" t="inlineStr"/>
      <c r="I9" s="16" t="inlineStr"/>
      <c r="J9" s="16" t="inlineStr"/>
      <c r="K9" s="16" t="inlineStr">
        <is>
          <t>Planned</t>
        </is>
      </c>
    </row>
    <row r="10" ht="22" customHeight="1">
      <c r="B10" s="8" t="n">
        <v>6</v>
      </c>
      <c r="C10" s="9" t="inlineStr">
        <is>
          <t>Intra-College Volleyball Tournament</t>
        </is>
      </c>
      <c r="D10" s="10" t="inlineStr">
        <is>
          <t>Tournament</t>
        </is>
      </c>
      <c r="E10" s="10" t="inlineStr">
        <is>
          <t>Volleyball</t>
        </is>
      </c>
      <c r="F10" s="10" t="inlineStr">
        <is>
          <t>October</t>
        </is>
      </c>
      <c r="G10" s="10" t="inlineStr"/>
      <c r="H10" s="10" t="inlineStr"/>
      <c r="I10" s="10" t="inlineStr"/>
      <c r="J10" s="10" t="inlineStr"/>
      <c r="K10" s="10" t="inlineStr">
        <is>
          <t>Planned</t>
        </is>
      </c>
    </row>
    <row r="11" ht="22" customHeight="1">
      <c r="B11" s="14" t="n">
        <v>7</v>
      </c>
      <c r="C11" s="15" t="inlineStr">
        <is>
          <t>Intra-College Basketball Tournament</t>
        </is>
      </c>
      <c r="D11" s="16" t="inlineStr">
        <is>
          <t>Tournament</t>
        </is>
      </c>
      <c r="E11" s="16" t="inlineStr">
        <is>
          <t>Basketball</t>
        </is>
      </c>
      <c r="F11" s="16" t="inlineStr">
        <is>
          <t>October</t>
        </is>
      </c>
      <c r="G11" s="16" t="inlineStr"/>
      <c r="H11" s="16" t="inlineStr"/>
      <c r="I11" s="16" t="inlineStr"/>
      <c r="J11" s="16" t="inlineStr"/>
      <c r="K11" s="16" t="inlineStr">
        <is>
          <t>Planned</t>
        </is>
      </c>
    </row>
    <row r="12" ht="22" customHeight="1">
      <c r="B12" s="8" t="n">
        <v>8</v>
      </c>
      <c r="C12" s="9" t="inlineStr">
        <is>
          <t>Athletic Meet (Track &amp; Field)</t>
        </is>
      </c>
      <c r="D12" s="10" t="inlineStr">
        <is>
          <t>Athletic Meet</t>
        </is>
      </c>
      <c r="E12" s="10" t="inlineStr">
        <is>
          <t>Athletics</t>
        </is>
      </c>
      <c r="F12" s="10" t="inlineStr">
        <is>
          <t>November</t>
        </is>
      </c>
      <c r="G12" s="10" t="inlineStr"/>
      <c r="H12" s="10" t="inlineStr"/>
      <c r="I12" s="10" t="inlineStr"/>
      <c r="J12" s="10" t="inlineStr"/>
      <c r="K12" s="10" t="inlineStr">
        <is>
          <t>Planned</t>
        </is>
      </c>
    </row>
    <row r="13" ht="22" customHeight="1">
      <c r="B13" s="14" t="n">
        <v>9</v>
      </c>
      <c r="C13" s="15" t="inlineStr">
        <is>
          <t>Intra-College Chess Championship</t>
        </is>
      </c>
      <c r="D13" s="16" t="inlineStr">
        <is>
          <t>Tournament</t>
        </is>
      </c>
      <c r="E13" s="16" t="inlineStr">
        <is>
          <t>Chess</t>
        </is>
      </c>
      <c r="F13" s="16" t="inlineStr">
        <is>
          <t>November</t>
        </is>
      </c>
      <c r="G13" s="16" t="inlineStr"/>
      <c r="H13" s="16" t="inlineStr"/>
      <c r="I13" s="16" t="inlineStr"/>
      <c r="J13" s="16" t="inlineStr"/>
      <c r="K13" s="16" t="inlineStr">
        <is>
          <t>Planned</t>
        </is>
      </c>
    </row>
    <row r="14" ht="22" customHeight="1">
      <c r="B14" s="8" t="n">
        <v>10</v>
      </c>
      <c r="C14" s="9" t="inlineStr">
        <is>
          <t>Yoga &amp; Wellness Week</t>
        </is>
      </c>
      <c r="D14" s="10" t="inlineStr">
        <is>
          <t>Wellness</t>
        </is>
      </c>
      <c r="E14" s="10" t="inlineStr">
        <is>
          <t>Yoga / Wellness</t>
        </is>
      </c>
      <c r="F14" s="10" t="inlineStr">
        <is>
          <t>December</t>
        </is>
      </c>
      <c r="G14" s="10" t="inlineStr"/>
      <c r="H14" s="10" t="inlineStr"/>
      <c r="I14" s="10" t="inlineStr"/>
      <c r="J14" s="10" t="inlineStr"/>
      <c r="K14" s="10" t="inlineStr">
        <is>
          <t>Planned</t>
        </is>
      </c>
    </row>
    <row r="15" ht="22" customHeight="1">
      <c r="B15" s="14" t="n">
        <v>11</v>
      </c>
      <c r="C15" s="15" t="inlineStr">
        <is>
          <t>Annual Sports Day Celebration</t>
        </is>
      </c>
      <c r="D15" s="16" t="inlineStr">
        <is>
          <t>Annual Event</t>
        </is>
      </c>
      <c r="E15" s="16" t="inlineStr">
        <is>
          <t>All Sports</t>
        </is>
      </c>
      <c r="F15" s="16" t="inlineStr">
        <is>
          <t>January</t>
        </is>
      </c>
      <c r="G15" s="16" t="inlineStr"/>
      <c r="H15" s="16" t="inlineStr"/>
      <c r="I15" s="16" t="inlineStr"/>
      <c r="J15" s="16" t="inlineStr"/>
      <c r="K15" s="16" t="inlineStr">
        <is>
          <t>Planned</t>
        </is>
      </c>
    </row>
    <row r="16" ht="22" customHeight="1">
      <c r="B16" s="8" t="n">
        <v>12</v>
      </c>
      <c r="C16" s="9" t="inlineStr">
        <is>
          <t>Inter-College / University Tournaments</t>
        </is>
      </c>
      <c r="D16" s="10" t="inlineStr">
        <is>
          <t>External</t>
        </is>
      </c>
      <c r="E16" s="10" t="inlineStr">
        <is>
          <t>Multiple</t>
        </is>
      </c>
      <c r="F16" s="10" t="inlineStr">
        <is>
          <t>Year-round</t>
        </is>
      </c>
      <c r="G16" s="10" t="inlineStr"/>
      <c r="H16" s="10" t="inlineStr"/>
      <c r="I16" s="10" t="inlineStr"/>
      <c r="J16" s="10" t="inlineStr"/>
      <c r="K16" s="10" t="inlineStr">
        <is>
          <t>Planned</t>
        </is>
      </c>
    </row>
    <row r="17" ht="22" customHeight="1">
      <c r="B17" s="14" t="n">
        <v>13</v>
      </c>
      <c r="C17" s="15" t="inlineStr">
        <is>
          <t>State / National Level Representation</t>
        </is>
      </c>
      <c r="D17" s="16" t="inlineStr">
        <is>
          <t>External</t>
        </is>
      </c>
      <c r="E17" s="16" t="inlineStr">
        <is>
          <t>Multiple</t>
        </is>
      </c>
      <c r="F17" s="16" t="inlineStr">
        <is>
          <t>Year-round</t>
        </is>
      </c>
      <c r="G17" s="16" t="inlineStr"/>
      <c r="H17" s="16" t="inlineStr"/>
      <c r="I17" s="16" t="inlineStr"/>
      <c r="J17" s="16" t="inlineStr"/>
      <c r="K17" s="16" t="inlineStr">
        <is>
          <t>Planned</t>
        </is>
      </c>
    </row>
    <row r="18" ht="22" customHeight="1">
      <c r="B18" s="8" t="n">
        <v>14</v>
      </c>
      <c r="C18" s="9" t="inlineStr">
        <is>
          <t>Fitness Assessment Camp</t>
        </is>
      </c>
      <c r="D18" s="10" t="inlineStr">
        <is>
          <t>Assessment</t>
        </is>
      </c>
      <c r="E18" s="10" t="inlineStr">
        <is>
          <t>Fitness</t>
        </is>
      </c>
      <c r="F18" s="10" t="inlineStr">
        <is>
          <t>Pre-Season</t>
        </is>
      </c>
      <c r="G18" s="10" t="inlineStr"/>
      <c r="H18" s="10" t="inlineStr"/>
      <c r="I18" s="10" t="inlineStr"/>
      <c r="J18" s="10" t="inlineStr"/>
      <c r="K18" s="10" t="inlineStr">
        <is>
          <t>Planned</t>
        </is>
      </c>
    </row>
    <row r="19" ht="22" customHeight="1">
      <c r="B19" s="14" t="n">
        <v>15</v>
      </c>
      <c r="C19" s="15" t="inlineStr">
        <is>
          <t>Coaching Camp (Summer / Winter)</t>
        </is>
      </c>
      <c r="D19" s="16" t="inlineStr">
        <is>
          <t>Training Camp</t>
        </is>
      </c>
      <c r="E19" s="16" t="inlineStr">
        <is>
          <t>Multiple</t>
        </is>
      </c>
      <c r="F19" s="16" t="inlineStr">
        <is>
          <t>Vacation</t>
        </is>
      </c>
      <c r="G19" s="16" t="inlineStr"/>
      <c r="H19" s="16" t="inlineStr"/>
      <c r="I19" s="16" t="inlineStr"/>
      <c r="J19" s="16" t="inlineStr"/>
      <c r="K19" s="16" t="inlineStr">
        <is>
          <t>Planned</t>
        </is>
      </c>
    </row>
    <row r="20" ht="22" customHeight="1">
      <c r="B20" s="8" t="n">
        <v>16</v>
      </c>
      <c r="C20" s="9" t="inlineStr">
        <is>
          <t>Sports Outreach — School Level</t>
        </is>
      </c>
      <c r="D20" s="10" t="inlineStr">
        <is>
          <t>Outreach</t>
        </is>
      </c>
      <c r="E20" s="10" t="inlineStr">
        <is>
          <t>Multiple</t>
        </is>
      </c>
      <c r="F20" s="10" t="inlineStr">
        <is>
          <t>February</t>
        </is>
      </c>
      <c r="G20" s="10" t="inlineStr"/>
      <c r="H20" s="10" t="inlineStr"/>
      <c r="I20" s="10" t="inlineStr"/>
      <c r="J20" s="10" t="inlineStr"/>
      <c r="K20" s="10" t="inlineStr">
        <is>
          <t>Planned</t>
        </is>
      </c>
    </row>
    <row r="21" ht="22" customHeight="1">
      <c r="B21" s="14" t="n">
        <v>17</v>
      </c>
      <c r="C21" s="15" t="inlineStr">
        <is>
          <t>Sports Felicitation / Awards Ceremony</t>
        </is>
      </c>
      <c r="D21" s="16" t="inlineStr">
        <is>
          <t>Recognition</t>
        </is>
      </c>
      <c r="E21" s="16" t="inlineStr">
        <is>
          <t>All</t>
        </is>
      </c>
      <c r="F21" s="16" t="inlineStr">
        <is>
          <t>March</t>
        </is>
      </c>
      <c r="G21" s="16" t="inlineStr"/>
      <c r="H21" s="16" t="inlineStr"/>
      <c r="I21" s="16" t="inlineStr"/>
      <c r="J21" s="16" t="inlineStr"/>
      <c r="K21" s="16" t="inlineStr">
        <is>
          <t>Planned</t>
        </is>
      </c>
    </row>
    <row r="22" ht="22" customHeight="1">
      <c r="B22" s="8" t="n">
        <v>18</v>
      </c>
      <c r="C22" s="9" t="inlineStr">
        <is>
          <t>Sports Budget &amp; Audit Review</t>
        </is>
      </c>
      <c r="D22" s="10" t="inlineStr">
        <is>
          <t>Administrative</t>
        </is>
      </c>
      <c r="E22" s="10" t="inlineStr">
        <is>
          <t>N/A</t>
        </is>
      </c>
      <c r="F22" s="10" t="inlineStr">
        <is>
          <t>March</t>
        </is>
      </c>
      <c r="G22" s="10" t="inlineStr"/>
      <c r="H22" s="10" t="inlineStr"/>
      <c r="I22" s="10" t="inlineStr"/>
      <c r="J22" s="10" t="inlineStr"/>
      <c r="K22" s="10" t="inlineStr">
        <is>
          <t>Planned</t>
        </is>
      </c>
    </row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</sheetData>
  <mergeCells count="2">
    <mergeCell ref="B3:K3"/>
    <mergeCell ref="B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2" t="inlineStr">
        <is>
          <t>SGC-04: STUDENT SPORTS REGISTRATION FORM</t>
        </is>
      </c>
    </row>
    <row r="3" ht="25" customHeight="1">
      <c r="B3" s="2" t="inlineStr">
        <is>
          <t>Registration Ref.: SGC/SREG/______/______   Date: _______   A.Y.: _______   Sports Director: _______</t>
        </is>
      </c>
    </row>
    <row r="4" ht="24" customHeight="1">
      <c r="B4" s="19" t="inlineStr">
        <is>
          <t>SECTION A — PERSONAL DETAILS</t>
        </is>
      </c>
    </row>
    <row r="5" ht="26" customHeight="1">
      <c r="B5" s="37" t="inlineStr">
        <is>
          <t>Full Name:</t>
        </is>
      </c>
      <c r="C5" s="9" t="n"/>
    </row>
    <row r="6" ht="26" customHeight="1">
      <c r="B6" s="37" t="inlineStr">
        <is>
          <t>Roll Number / Student ID:</t>
        </is>
      </c>
      <c r="C6" s="9" t="n"/>
    </row>
    <row r="7" ht="26" customHeight="1">
      <c r="B7" s="37" t="inlineStr">
        <is>
          <t>Programme &amp; Year:</t>
        </is>
      </c>
      <c r="C7" s="9" t="n"/>
    </row>
    <row r="8" ht="26" customHeight="1">
      <c r="B8" s="37" t="inlineStr">
        <is>
          <t>Department:</t>
        </is>
      </c>
      <c r="C8" s="9" t="n"/>
    </row>
    <row r="9" ht="26" customHeight="1">
      <c r="B9" s="37" t="inlineStr">
        <is>
          <t>Date of Birth:</t>
        </is>
      </c>
      <c r="C9" s="9" t="n"/>
    </row>
    <row r="10" ht="26" customHeight="1">
      <c r="B10" s="37" t="inlineStr">
        <is>
          <t>Age:</t>
        </is>
      </c>
      <c r="C10" s="9" t="n"/>
    </row>
    <row r="11" ht="26" customHeight="1">
      <c r="B11" s="37" t="inlineStr">
        <is>
          <t>Gender:</t>
        </is>
      </c>
      <c r="C11" s="38" t="inlineStr">
        <is>
          <t>[ ] Male  [ ] Female  [ ] Non-binary</t>
        </is>
      </c>
    </row>
    <row r="12" ht="26" customHeight="1">
      <c r="B12" s="37" t="inlineStr">
        <is>
          <t>Blood Group:</t>
        </is>
      </c>
      <c r="C12" s="9" t="n"/>
    </row>
    <row r="13" ht="26" customHeight="1">
      <c r="B13" s="37" t="inlineStr">
        <is>
          <t>Contact Number:</t>
        </is>
      </c>
      <c r="C13" s="9" t="n"/>
    </row>
    <row r="14" ht="26" customHeight="1">
      <c r="B14" s="37" t="inlineStr">
        <is>
          <t>Parent / Guardian Contact:</t>
        </is>
      </c>
      <c r="C14" s="9" t="n"/>
    </row>
    <row r="15" ht="26" customHeight="1">
      <c r="B15" s="37" t="inlineStr">
        <is>
          <t>Hostel Resident:</t>
        </is>
      </c>
      <c r="C15" s="38" t="inlineStr">
        <is>
          <t>[ ] Yes — Hostel: _______   [ ] Day Scholar</t>
        </is>
      </c>
    </row>
    <row r="16" ht="28" customHeight="1"/>
    <row r="17" ht="24" customHeight="1">
      <c r="B17" s="19" t="inlineStr">
        <is>
          <t>SECTION B — SPORTS DETAILS</t>
        </is>
      </c>
    </row>
    <row r="18" ht="28" customHeight="1">
      <c r="B18" s="18" t="inlineStr">
        <is>
          <t>Primary Sport:</t>
        </is>
      </c>
      <c r="C18" s="38" t="inlineStr">
        <is>
          <t>[ ] Cricket  [ ] Football  [ ] Badminton  [ ] TT  [ ] Volleyball  [ ] Basketball  [ ] Athletics  [ ] Chess  [ ] Other: _______</t>
        </is>
      </c>
    </row>
    <row r="19" ht="28" customHeight="1">
      <c r="B19" s="18" t="inlineStr">
        <is>
          <t>Secondary Sport (if any):</t>
        </is>
      </c>
      <c r="C19" s="9" t="n"/>
    </row>
    <row r="20" ht="28" customHeight="1">
      <c r="B20" s="18" t="inlineStr">
        <is>
          <t>Playing Category:</t>
        </is>
      </c>
      <c r="C20" s="38" t="inlineStr">
        <is>
          <t>[ ] Outdoor  [ ] Indoor  [ ] Combat / Martial Arts  [ ] Aquatics  [ ] Track &amp; Field</t>
        </is>
      </c>
    </row>
    <row r="21" ht="28" customHeight="1">
      <c r="B21" s="18" t="inlineStr">
        <is>
          <t>Position / Event:</t>
        </is>
      </c>
      <c r="C21" s="38" t="inlineStr">
        <is>
          <t>e.g., Batsman, Striker, Sprinter (100m), etc.</t>
        </is>
      </c>
    </row>
    <row r="22" ht="28" customHeight="1">
      <c r="B22" s="18" t="inlineStr">
        <is>
          <t>Highest level played:</t>
        </is>
      </c>
      <c r="C22" s="38" t="inlineStr">
        <is>
          <t>[ ] Institutional  [ ] Inter-College  [ ] University  [ ] State  [ ] National  [ ] International</t>
        </is>
      </c>
    </row>
    <row r="23" ht="28" customHeight="1">
      <c r="B23" s="18" t="inlineStr">
        <is>
          <t>Previous institution (if transferred):</t>
        </is>
      </c>
      <c r="C23" s="9" t="n"/>
    </row>
    <row r="24" ht="28" customHeight="1">
      <c r="B24" s="18" t="inlineStr">
        <is>
          <t>Achievements (last 3 years):</t>
        </is>
      </c>
      <c r="C24" s="9" t="n"/>
    </row>
    <row r="25" ht="28" customHeight="1">
      <c r="B25" s="18" t="inlineStr">
        <is>
          <t>Any sports-related injury history?</t>
        </is>
      </c>
      <c r="C25" s="38" t="inlineStr">
        <is>
          <t>[ ] Yes — Details: _______   [ ] No</t>
        </is>
      </c>
    </row>
    <row r="26" ht="28" customHeight="1">
      <c r="B26" s="18" t="inlineStr">
        <is>
          <t>Medical fitness certificate enclosed?</t>
        </is>
      </c>
      <c r="C26" s="38" t="inlineStr">
        <is>
          <t>[ ] Yes  [ ] No — Reason: _______</t>
        </is>
      </c>
    </row>
    <row r="27" ht="28" customHeight="1"/>
    <row r="28" ht="24" customHeight="1">
      <c r="B28" s="39" t="inlineStr">
        <is>
          <t>SECTION C — PREFERENCE &amp; AVAILABILITY</t>
        </is>
      </c>
    </row>
    <row r="29" ht="26" customHeight="1">
      <c r="B29" s="40" t="inlineStr">
        <is>
          <t>Interested in coaching / training:</t>
        </is>
      </c>
      <c r="C29" s="38" t="inlineStr">
        <is>
          <t>[ ] Yes  [ ] No</t>
        </is>
      </c>
    </row>
    <row r="30" ht="26" customHeight="1">
      <c r="B30" s="40" t="inlineStr">
        <is>
          <t>Available for inter-college tournaments:</t>
        </is>
      </c>
      <c r="C30" s="38" t="inlineStr">
        <is>
          <t>[ ] Yes  [ ] No — Reason: _______</t>
        </is>
      </c>
    </row>
    <row r="31" ht="26" customHeight="1">
      <c r="B31" s="40" t="inlineStr">
        <is>
          <t>Available for early morning training:</t>
        </is>
      </c>
      <c r="C31" s="38" t="inlineStr">
        <is>
          <t>[ ] Yes (6:00–8:00 AM)  [ ] Evenings only  [ ] Flexible</t>
        </is>
      </c>
    </row>
    <row r="32" ht="26" customHeight="1">
      <c r="B32" s="40" t="inlineStr">
        <is>
          <t>Sports scholarship required?</t>
        </is>
      </c>
      <c r="C32" s="38" t="inlineStr">
        <is>
          <t>[ ] Yes  [ ] No</t>
        </is>
      </c>
    </row>
    <row r="33" ht="26" customHeight="1">
      <c r="B33" s="40" t="inlineStr">
        <is>
          <t>Sports equipment required from institution:</t>
        </is>
      </c>
      <c r="C33" s="38" t="inlineStr">
        <is>
          <t>[ ] Yes — Type: _______   [ ] No</t>
        </is>
      </c>
    </row>
    <row r="34" ht="28" customHeight="1"/>
    <row r="35" ht="28" customHeight="1">
      <c r="B35" s="41" t="inlineStr">
        <is>
          <t>I declare the above information is correct. I agree to abide by institutional sports rules and anti-doping policies.</t>
        </is>
      </c>
    </row>
    <row r="36" ht="28" customHeight="1">
      <c r="B36" s="29" t="inlineStr">
        <is>
          <t>Student Signature: ___________________    Date: ___________________    Parent Consent (if &lt; 18): ___________________    Sports Director: ___________________</t>
        </is>
      </c>
    </row>
    <row r="37" ht="28" customHeight="1"/>
    <row r="38" ht="28" customHeight="1"/>
    <row r="39" ht="28" customHeight="1"/>
    <row r="40" ht="28" customHeight="1"/>
    <row r="41" ht="28" customHeight="1"/>
    <row r="42" ht="28" customHeight="1"/>
    <row r="43" ht="28" customHeight="1"/>
  </sheetData>
  <mergeCells count="32">
    <mergeCell ref="C31:E31"/>
    <mergeCell ref="C22:E22"/>
    <mergeCell ref="B28:E28"/>
    <mergeCell ref="C9:E9"/>
    <mergeCell ref="C21:E21"/>
    <mergeCell ref="C12:E12"/>
    <mergeCell ref="B36:E36"/>
    <mergeCell ref="C11:E11"/>
    <mergeCell ref="B35:E35"/>
    <mergeCell ref="B4:E4"/>
    <mergeCell ref="C23:E23"/>
    <mergeCell ref="C8:E8"/>
    <mergeCell ref="B3:E3"/>
    <mergeCell ref="C7:E7"/>
    <mergeCell ref="C32:E32"/>
    <mergeCell ref="C13:E13"/>
    <mergeCell ref="C19:E19"/>
    <mergeCell ref="C18:E18"/>
    <mergeCell ref="B2:E2"/>
    <mergeCell ref="C30:E30"/>
    <mergeCell ref="C15:E15"/>
    <mergeCell ref="C6:E6"/>
    <mergeCell ref="C24:E24"/>
    <mergeCell ref="B17:E17"/>
    <mergeCell ref="C33:E33"/>
    <mergeCell ref="C14:E14"/>
    <mergeCell ref="C5:E5"/>
    <mergeCell ref="C26:E26"/>
    <mergeCell ref="C29:E29"/>
    <mergeCell ref="C20:E20"/>
    <mergeCell ref="C25:E25"/>
    <mergeCell ref="C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K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SGC-05: STUDENT ATHLETE PROFILE REGISTER</t>
        </is>
      </c>
    </row>
    <row r="3" ht="25" customHeight="1">
      <c r="B3" s="2" t="inlineStr">
        <is>
          <t>A.Y.: _______  Sports Director: ___________________</t>
        </is>
      </c>
    </row>
    <row r="4" ht="25" customHeight="1">
      <c r="B4" s="13" t="inlineStr">
        <is>
          <t>Athlete
ID</t>
        </is>
      </c>
      <c r="C4" s="13" t="inlineStr">
        <is>
          <t>Student Name</t>
        </is>
      </c>
      <c r="D4" s="13" t="inlineStr">
        <is>
          <t>Roll No.</t>
        </is>
      </c>
      <c r="E4" s="13" t="inlineStr">
        <is>
          <t>Primary
Sport</t>
        </is>
      </c>
      <c r="F4" s="13" t="inlineStr">
        <is>
          <t>Level
(Inst/Inter/State/Natl)</t>
        </is>
      </c>
      <c r="G4" s="13" t="inlineStr">
        <is>
          <t>Blood
Group</t>
        </is>
      </c>
      <c r="H4" s="13" t="inlineStr">
        <is>
          <t>Medical
Fit (Y/N)</t>
        </is>
      </c>
      <c r="I4" s="13" t="inlineStr">
        <is>
          <t>Achievements
(Current A.Y.)</t>
        </is>
      </c>
      <c r="J4" s="13" t="inlineStr">
        <is>
          <t>Scholarship
(Y/N)</t>
        </is>
      </c>
      <c r="K4" s="13" t="inlineStr">
        <is>
          <t>Status</t>
        </is>
      </c>
    </row>
    <row r="5" ht="22" customHeight="1">
      <c r="B5" s="14" t="inlineStr">
        <is>
          <t>ATH/2024/0001</t>
        </is>
      </c>
      <c r="C5" s="15" t="inlineStr"/>
      <c r="D5" s="16" t="inlineStr"/>
      <c r="E5" s="16" t="inlineStr">
        <is>
          <t>Cricket</t>
        </is>
      </c>
      <c r="F5" s="16" t="inlineStr">
        <is>
          <t>Institutional</t>
        </is>
      </c>
      <c r="G5" s="16" t="inlineStr"/>
      <c r="H5" s="16" t="inlineStr">
        <is>
          <t>Y</t>
        </is>
      </c>
      <c r="I5" s="15" t="inlineStr"/>
      <c r="J5" s="16" t="inlineStr">
        <is>
          <t>N</t>
        </is>
      </c>
      <c r="K5" s="16" t="inlineStr">
        <is>
          <t>Active</t>
        </is>
      </c>
    </row>
    <row r="6" ht="22" customHeight="1">
      <c r="B6" s="8" t="inlineStr">
        <is>
          <t>ATH/2024/0002</t>
        </is>
      </c>
      <c r="C6" s="9" t="inlineStr"/>
      <c r="D6" s="10" t="inlineStr"/>
      <c r="E6" s="10" t="inlineStr">
        <is>
          <t>Football</t>
        </is>
      </c>
      <c r="F6" s="10" t="inlineStr">
        <is>
          <t>Inter-College</t>
        </is>
      </c>
      <c r="G6" s="10" t="inlineStr"/>
      <c r="H6" s="10" t="inlineStr">
        <is>
          <t>Y</t>
        </is>
      </c>
      <c r="I6" s="9" t="inlineStr"/>
      <c r="J6" s="10" t="inlineStr">
        <is>
          <t>N</t>
        </is>
      </c>
      <c r="K6" s="10" t="inlineStr">
        <is>
          <t>Active</t>
        </is>
      </c>
    </row>
    <row r="7" ht="22" customHeight="1">
      <c r="B7" s="14" t="inlineStr">
        <is>
          <t>ATH/2024/0003</t>
        </is>
      </c>
      <c r="C7" s="15" t="inlineStr"/>
      <c r="D7" s="16" t="inlineStr"/>
      <c r="E7" s="16" t="inlineStr">
        <is>
          <t>Volleyball</t>
        </is>
      </c>
      <c r="F7" s="16" t="inlineStr">
        <is>
          <t>University</t>
        </is>
      </c>
      <c r="G7" s="16" t="inlineStr"/>
      <c r="H7" s="16" t="inlineStr">
        <is>
          <t>Y</t>
        </is>
      </c>
      <c r="I7" s="15" t="inlineStr"/>
      <c r="J7" s="16" t="inlineStr">
        <is>
          <t>N</t>
        </is>
      </c>
      <c r="K7" s="16" t="inlineStr">
        <is>
          <t>Active</t>
        </is>
      </c>
    </row>
    <row r="8" ht="22" customHeight="1">
      <c r="B8" s="8" t="inlineStr">
        <is>
          <t>ATH/2024/0004</t>
        </is>
      </c>
      <c r="C8" s="9" t="inlineStr"/>
      <c r="D8" s="10" t="inlineStr"/>
      <c r="E8" s="10" t="inlineStr">
        <is>
          <t>Basketball</t>
        </is>
      </c>
      <c r="F8" s="10" t="inlineStr">
        <is>
          <t>State</t>
        </is>
      </c>
      <c r="G8" s="10" t="inlineStr"/>
      <c r="H8" s="10" t="inlineStr">
        <is>
          <t>Y</t>
        </is>
      </c>
      <c r="I8" s="9" t="inlineStr"/>
      <c r="J8" s="10" t="inlineStr">
        <is>
          <t>N</t>
        </is>
      </c>
      <c r="K8" s="10" t="inlineStr">
        <is>
          <t>Active</t>
        </is>
      </c>
    </row>
    <row r="9" ht="22" customHeight="1">
      <c r="B9" s="14" t="inlineStr">
        <is>
          <t>ATH/2024/0005</t>
        </is>
      </c>
      <c r="C9" s="15" t="inlineStr"/>
      <c r="D9" s="16" t="inlineStr"/>
      <c r="E9" s="16" t="inlineStr">
        <is>
          <t>Badminton</t>
        </is>
      </c>
      <c r="F9" s="16" t="inlineStr">
        <is>
          <t>National</t>
        </is>
      </c>
      <c r="G9" s="16" t="inlineStr"/>
      <c r="H9" s="16" t="inlineStr">
        <is>
          <t>Y</t>
        </is>
      </c>
      <c r="I9" s="15" t="inlineStr"/>
      <c r="J9" s="16" t="inlineStr">
        <is>
          <t>N</t>
        </is>
      </c>
      <c r="K9" s="16" t="inlineStr">
        <is>
          <t>Active</t>
        </is>
      </c>
    </row>
    <row r="10" ht="22" customHeight="1">
      <c r="B10" s="8" t="inlineStr">
        <is>
          <t>ATH/2024/0006</t>
        </is>
      </c>
      <c r="C10" s="9" t="inlineStr"/>
      <c r="D10" s="10" t="inlineStr"/>
      <c r="E10" s="10" t="inlineStr">
        <is>
          <t>Table Tennis</t>
        </is>
      </c>
      <c r="F10" s="10" t="inlineStr">
        <is>
          <t>International</t>
        </is>
      </c>
      <c r="G10" s="10" t="inlineStr"/>
      <c r="H10" s="10" t="inlineStr">
        <is>
          <t>Y</t>
        </is>
      </c>
      <c r="I10" s="9" t="inlineStr"/>
      <c r="J10" s="10" t="inlineStr">
        <is>
          <t>N</t>
        </is>
      </c>
      <c r="K10" s="10" t="inlineStr">
        <is>
          <t>Active</t>
        </is>
      </c>
    </row>
    <row r="11" ht="22" customHeight="1">
      <c r="B11" s="14" t="inlineStr">
        <is>
          <t>ATH/2024/0007</t>
        </is>
      </c>
      <c r="C11" s="15" t="inlineStr"/>
      <c r="D11" s="16" t="inlineStr"/>
      <c r="E11" s="16" t="inlineStr">
        <is>
          <t>Athletics</t>
        </is>
      </c>
      <c r="F11" s="16" t="inlineStr">
        <is>
          <t>Institutional</t>
        </is>
      </c>
      <c r="G11" s="16" t="inlineStr"/>
      <c r="H11" s="16" t="inlineStr">
        <is>
          <t>Y</t>
        </is>
      </c>
      <c r="I11" s="15" t="inlineStr"/>
      <c r="J11" s="16" t="inlineStr">
        <is>
          <t>N</t>
        </is>
      </c>
      <c r="K11" s="16" t="inlineStr">
        <is>
          <t>Active</t>
        </is>
      </c>
    </row>
    <row r="12" ht="22" customHeight="1">
      <c r="B12" s="8" t="inlineStr">
        <is>
          <t>ATH/2024/0008</t>
        </is>
      </c>
      <c r="C12" s="9" t="inlineStr"/>
      <c r="D12" s="10" t="inlineStr"/>
      <c r="E12" s="10" t="inlineStr">
        <is>
          <t>Chess</t>
        </is>
      </c>
      <c r="F12" s="10" t="inlineStr">
        <is>
          <t>Inter-College</t>
        </is>
      </c>
      <c r="G12" s="10" t="inlineStr"/>
      <c r="H12" s="10" t="inlineStr">
        <is>
          <t>Y</t>
        </is>
      </c>
      <c r="I12" s="9" t="inlineStr"/>
      <c r="J12" s="10" t="inlineStr">
        <is>
          <t>N</t>
        </is>
      </c>
      <c r="K12" s="10" t="inlineStr">
        <is>
          <t>Active</t>
        </is>
      </c>
    </row>
    <row r="13" ht="22" customHeight="1">
      <c r="B13" s="14" t="inlineStr">
        <is>
          <t>ATH/2024/0009</t>
        </is>
      </c>
      <c r="C13" s="15" t="inlineStr"/>
      <c r="D13" s="16" t="inlineStr"/>
      <c r="E13" s="16" t="inlineStr">
        <is>
          <t>Kabaddi</t>
        </is>
      </c>
      <c r="F13" s="16" t="inlineStr">
        <is>
          <t>University</t>
        </is>
      </c>
      <c r="G13" s="16" t="inlineStr"/>
      <c r="H13" s="16" t="inlineStr">
        <is>
          <t>Y</t>
        </is>
      </c>
      <c r="I13" s="15" t="inlineStr"/>
      <c r="J13" s="16" t="inlineStr">
        <is>
          <t>N</t>
        </is>
      </c>
      <c r="K13" s="16" t="inlineStr">
        <is>
          <t>Active</t>
        </is>
      </c>
    </row>
    <row r="14" ht="22" customHeight="1">
      <c r="B14" s="8" t="inlineStr">
        <is>
          <t>ATH/2024/0010</t>
        </is>
      </c>
      <c r="C14" s="9" t="inlineStr"/>
      <c r="D14" s="10" t="inlineStr"/>
      <c r="E14" s="10" t="inlineStr">
        <is>
          <t>Kho-Kho</t>
        </is>
      </c>
      <c r="F14" s="10" t="inlineStr">
        <is>
          <t>State</t>
        </is>
      </c>
      <c r="G14" s="10" t="inlineStr"/>
      <c r="H14" s="10" t="inlineStr">
        <is>
          <t>Y</t>
        </is>
      </c>
      <c r="I14" s="9" t="inlineStr"/>
      <c r="J14" s="10" t="inlineStr">
        <is>
          <t>N</t>
        </is>
      </c>
      <c r="K14" s="10" t="inlineStr">
        <is>
          <t>Active</t>
        </is>
      </c>
    </row>
    <row r="15" ht="22" customHeight="1">
      <c r="B15" s="14" t="inlineStr">
        <is>
          <t>ATH/2024/0011</t>
        </is>
      </c>
      <c r="C15" s="15" t="inlineStr"/>
      <c r="D15" s="16" t="inlineStr"/>
      <c r="E15" s="16" t="inlineStr">
        <is>
          <t>Swimming</t>
        </is>
      </c>
      <c r="F15" s="16" t="inlineStr">
        <is>
          <t>National</t>
        </is>
      </c>
      <c r="G15" s="16" t="inlineStr"/>
      <c r="H15" s="16" t="inlineStr">
        <is>
          <t>Y</t>
        </is>
      </c>
      <c r="I15" s="15" t="inlineStr"/>
      <c r="J15" s="16" t="inlineStr">
        <is>
          <t>N</t>
        </is>
      </c>
      <c r="K15" s="16" t="inlineStr">
        <is>
          <t>Active</t>
        </is>
      </c>
    </row>
    <row r="16" ht="22" customHeight="1">
      <c r="B16" s="8" t="inlineStr">
        <is>
          <t>ATH/2024/0012</t>
        </is>
      </c>
      <c r="C16" s="9" t="inlineStr"/>
      <c r="D16" s="10" t="inlineStr"/>
      <c r="E16" s="10" t="inlineStr">
        <is>
          <t>Boxing</t>
        </is>
      </c>
      <c r="F16" s="10" t="inlineStr">
        <is>
          <t>International</t>
        </is>
      </c>
      <c r="G16" s="10" t="inlineStr"/>
      <c r="H16" s="10" t="inlineStr">
        <is>
          <t>Y</t>
        </is>
      </c>
      <c r="I16" s="9" t="inlineStr"/>
      <c r="J16" s="10" t="inlineStr">
        <is>
          <t>N</t>
        </is>
      </c>
      <c r="K16" s="10" t="inlineStr">
        <is>
          <t>Active</t>
        </is>
      </c>
    </row>
    <row r="17" ht="22" customHeight="1">
      <c r="B17" s="14" t="inlineStr">
        <is>
          <t>ATH/2024/0013</t>
        </is>
      </c>
      <c r="C17" s="15" t="inlineStr"/>
      <c r="D17" s="16" t="inlineStr"/>
      <c r="E17" s="16" t="inlineStr">
        <is>
          <t>Wrestling</t>
        </is>
      </c>
      <c r="F17" s="16" t="inlineStr">
        <is>
          <t>Institutional</t>
        </is>
      </c>
      <c r="G17" s="16" t="inlineStr"/>
      <c r="H17" s="16" t="inlineStr">
        <is>
          <t>Y</t>
        </is>
      </c>
      <c r="I17" s="15" t="inlineStr"/>
      <c r="J17" s="16" t="inlineStr">
        <is>
          <t>N</t>
        </is>
      </c>
      <c r="K17" s="16" t="inlineStr">
        <is>
          <t>Active</t>
        </is>
      </c>
    </row>
    <row r="18" ht="22" customHeight="1">
      <c r="B18" s="8" t="inlineStr">
        <is>
          <t>ATH/2024/0014</t>
        </is>
      </c>
      <c r="C18" s="9" t="inlineStr"/>
      <c r="D18" s="10" t="inlineStr"/>
      <c r="E18" s="10" t="inlineStr">
        <is>
          <t>Judo</t>
        </is>
      </c>
      <c r="F18" s="10" t="inlineStr">
        <is>
          <t>Inter-College</t>
        </is>
      </c>
      <c r="G18" s="10" t="inlineStr"/>
      <c r="H18" s="10" t="inlineStr">
        <is>
          <t>Y</t>
        </is>
      </c>
      <c r="I18" s="9" t="inlineStr"/>
      <c r="J18" s="10" t="inlineStr">
        <is>
          <t>N</t>
        </is>
      </c>
      <c r="K18" s="10" t="inlineStr">
        <is>
          <t>Active</t>
        </is>
      </c>
    </row>
    <row r="19" ht="22" customHeight="1">
      <c r="B19" s="14" t="inlineStr">
        <is>
          <t>ATH/2024/0015</t>
        </is>
      </c>
      <c r="C19" s="15" t="inlineStr"/>
      <c r="D19" s="16" t="inlineStr"/>
      <c r="E19" s="16" t="inlineStr">
        <is>
          <t>Cycling</t>
        </is>
      </c>
      <c r="F19" s="16" t="inlineStr">
        <is>
          <t>University</t>
        </is>
      </c>
      <c r="G19" s="16" t="inlineStr"/>
      <c r="H19" s="16" t="inlineStr">
        <is>
          <t>Y</t>
        </is>
      </c>
      <c r="I19" s="15" t="inlineStr"/>
      <c r="J19" s="16" t="inlineStr">
        <is>
          <t>N</t>
        </is>
      </c>
      <c r="K19" s="16" t="inlineStr">
        <is>
          <t>Active</t>
        </is>
      </c>
    </row>
    <row r="20" ht="22" customHeight="1">
      <c r="B20" s="8" t="inlineStr">
        <is>
          <t>ATH/2025/0016</t>
        </is>
      </c>
      <c r="C20" s="9" t="inlineStr"/>
      <c r="D20" s="10" t="inlineStr"/>
      <c r="E20" s="10" t="inlineStr">
        <is>
          <t>Shooting</t>
        </is>
      </c>
      <c r="F20" s="10" t="inlineStr">
        <is>
          <t>State</t>
        </is>
      </c>
      <c r="G20" s="10" t="inlineStr"/>
      <c r="H20" s="10" t="inlineStr">
        <is>
          <t>Y</t>
        </is>
      </c>
      <c r="I20" s="9" t="inlineStr"/>
      <c r="J20" s="10" t="inlineStr">
        <is>
          <t>N</t>
        </is>
      </c>
      <c r="K20" s="10" t="inlineStr">
        <is>
          <t>Active</t>
        </is>
      </c>
    </row>
    <row r="21" ht="22" customHeight="1">
      <c r="B21" s="14" t="inlineStr">
        <is>
          <t>ATH/2025/0017</t>
        </is>
      </c>
      <c r="C21" s="15" t="inlineStr"/>
      <c r="D21" s="16" t="inlineStr"/>
      <c r="E21" s="16" t="inlineStr">
        <is>
          <t>Cricket</t>
        </is>
      </c>
      <c r="F21" s="16" t="inlineStr">
        <is>
          <t>National</t>
        </is>
      </c>
      <c r="G21" s="16" t="inlineStr"/>
      <c r="H21" s="16" t="inlineStr">
        <is>
          <t>Y</t>
        </is>
      </c>
      <c r="I21" s="15" t="inlineStr"/>
      <c r="J21" s="16" t="inlineStr">
        <is>
          <t>N</t>
        </is>
      </c>
      <c r="K21" s="16" t="inlineStr">
        <is>
          <t>Active</t>
        </is>
      </c>
    </row>
    <row r="22" ht="22" customHeight="1">
      <c r="B22" s="8" t="inlineStr">
        <is>
          <t>ATH/2025/0018</t>
        </is>
      </c>
      <c r="C22" s="9" t="inlineStr"/>
      <c r="D22" s="10" t="inlineStr"/>
      <c r="E22" s="10" t="inlineStr">
        <is>
          <t>Football</t>
        </is>
      </c>
      <c r="F22" s="10" t="inlineStr">
        <is>
          <t>International</t>
        </is>
      </c>
      <c r="G22" s="10" t="inlineStr"/>
      <c r="H22" s="10" t="inlineStr">
        <is>
          <t>Y</t>
        </is>
      </c>
      <c r="I22" s="9" t="inlineStr"/>
      <c r="J22" s="10" t="inlineStr">
        <is>
          <t>N</t>
        </is>
      </c>
      <c r="K22" s="10" t="inlineStr">
        <is>
          <t>Active</t>
        </is>
      </c>
    </row>
    <row r="23" ht="22" customHeight="1">
      <c r="B23" s="14" t="inlineStr">
        <is>
          <t>ATH/2025/0019</t>
        </is>
      </c>
      <c r="C23" s="15" t="inlineStr"/>
      <c r="D23" s="16" t="inlineStr"/>
      <c r="E23" s="16" t="inlineStr">
        <is>
          <t>Volleyball</t>
        </is>
      </c>
      <c r="F23" s="16" t="inlineStr">
        <is>
          <t>Institutional</t>
        </is>
      </c>
      <c r="G23" s="16" t="inlineStr"/>
      <c r="H23" s="16" t="inlineStr">
        <is>
          <t>Y</t>
        </is>
      </c>
      <c r="I23" s="15" t="inlineStr"/>
      <c r="J23" s="16" t="inlineStr">
        <is>
          <t>N</t>
        </is>
      </c>
      <c r="K23" s="16" t="inlineStr">
        <is>
          <t>Active</t>
        </is>
      </c>
    </row>
    <row r="24" ht="22" customHeight="1">
      <c r="B24" s="8" t="inlineStr">
        <is>
          <t>ATH/2025/0020</t>
        </is>
      </c>
      <c r="C24" s="9" t="inlineStr"/>
      <c r="D24" s="10" t="inlineStr"/>
      <c r="E24" s="10" t="inlineStr">
        <is>
          <t>Basketball</t>
        </is>
      </c>
      <c r="F24" s="10" t="inlineStr">
        <is>
          <t>Inter-College</t>
        </is>
      </c>
      <c r="G24" s="10" t="inlineStr"/>
      <c r="H24" s="10" t="inlineStr">
        <is>
          <t>Y</t>
        </is>
      </c>
      <c r="I24" s="9" t="inlineStr"/>
      <c r="J24" s="10" t="inlineStr">
        <is>
          <t>N</t>
        </is>
      </c>
      <c r="K24" s="10" t="inlineStr">
        <is>
          <t>Active</t>
        </is>
      </c>
    </row>
    <row r="25" ht="22" customHeight="1">
      <c r="B25" s="14" t="inlineStr">
        <is>
          <t>ATH/2025/0021</t>
        </is>
      </c>
      <c r="C25" s="15" t="inlineStr"/>
      <c r="D25" s="16" t="inlineStr"/>
      <c r="E25" s="16" t="inlineStr">
        <is>
          <t>Badminton</t>
        </is>
      </c>
      <c r="F25" s="16" t="inlineStr">
        <is>
          <t>University</t>
        </is>
      </c>
      <c r="G25" s="16" t="inlineStr"/>
      <c r="H25" s="16" t="inlineStr">
        <is>
          <t>Y</t>
        </is>
      </c>
      <c r="I25" s="15" t="inlineStr"/>
      <c r="J25" s="16" t="inlineStr">
        <is>
          <t>N</t>
        </is>
      </c>
      <c r="K25" s="16" t="inlineStr">
        <is>
          <t>Active</t>
        </is>
      </c>
    </row>
    <row r="26" ht="22" customHeight="1">
      <c r="B26" s="8" t="inlineStr">
        <is>
          <t>ATH/2025/0022</t>
        </is>
      </c>
      <c r="C26" s="9" t="inlineStr"/>
      <c r="D26" s="10" t="inlineStr"/>
      <c r="E26" s="10" t="inlineStr">
        <is>
          <t>Table Tennis</t>
        </is>
      </c>
      <c r="F26" s="10" t="inlineStr">
        <is>
          <t>State</t>
        </is>
      </c>
      <c r="G26" s="10" t="inlineStr"/>
      <c r="H26" s="10" t="inlineStr">
        <is>
          <t>Y</t>
        </is>
      </c>
      <c r="I26" s="9" t="inlineStr"/>
      <c r="J26" s="10" t="inlineStr">
        <is>
          <t>N</t>
        </is>
      </c>
      <c r="K26" s="10" t="inlineStr">
        <is>
          <t>Active</t>
        </is>
      </c>
    </row>
    <row r="27" ht="22" customHeight="1">
      <c r="B27" s="14" t="inlineStr">
        <is>
          <t>ATH/2025/0023</t>
        </is>
      </c>
      <c r="C27" s="15" t="inlineStr"/>
      <c r="D27" s="16" t="inlineStr"/>
      <c r="E27" s="16" t="inlineStr">
        <is>
          <t>Athletics</t>
        </is>
      </c>
      <c r="F27" s="16" t="inlineStr">
        <is>
          <t>National</t>
        </is>
      </c>
      <c r="G27" s="16" t="inlineStr"/>
      <c r="H27" s="16" t="inlineStr">
        <is>
          <t>Y</t>
        </is>
      </c>
      <c r="I27" s="15" t="inlineStr"/>
      <c r="J27" s="16" t="inlineStr">
        <is>
          <t>N</t>
        </is>
      </c>
      <c r="K27" s="16" t="inlineStr">
        <is>
          <t>Active</t>
        </is>
      </c>
    </row>
    <row r="28" ht="22" customHeight="1">
      <c r="B28" s="8" t="inlineStr">
        <is>
          <t>ATH/2025/0024</t>
        </is>
      </c>
      <c r="C28" s="9" t="inlineStr"/>
      <c r="D28" s="10" t="inlineStr"/>
      <c r="E28" s="10" t="inlineStr">
        <is>
          <t>Chess</t>
        </is>
      </c>
      <c r="F28" s="10" t="inlineStr">
        <is>
          <t>International</t>
        </is>
      </c>
      <c r="G28" s="10" t="inlineStr"/>
      <c r="H28" s="10" t="inlineStr">
        <is>
          <t>Y</t>
        </is>
      </c>
      <c r="I28" s="9" t="inlineStr"/>
      <c r="J28" s="10" t="inlineStr">
        <is>
          <t>N</t>
        </is>
      </c>
      <c r="K28" s="10" t="inlineStr">
        <is>
          <t>Active</t>
        </is>
      </c>
    </row>
    <row r="29" ht="22" customHeight="1">
      <c r="B29" s="14" t="inlineStr">
        <is>
          <t>ATH/2025/0025</t>
        </is>
      </c>
      <c r="C29" s="15" t="inlineStr"/>
      <c r="D29" s="16" t="inlineStr"/>
      <c r="E29" s="16" t="inlineStr">
        <is>
          <t>Kabaddi</t>
        </is>
      </c>
      <c r="F29" s="16" t="inlineStr">
        <is>
          <t>Institutional</t>
        </is>
      </c>
      <c r="G29" s="16" t="inlineStr"/>
      <c r="H29" s="16" t="inlineStr">
        <is>
          <t>Y</t>
        </is>
      </c>
      <c r="I29" s="15" t="inlineStr"/>
      <c r="J29" s="16" t="inlineStr">
        <is>
          <t>N</t>
        </is>
      </c>
      <c r="K29" s="16" t="inlineStr">
        <is>
          <t>Active</t>
        </is>
      </c>
    </row>
    <row r="30" ht="22" customHeight="1">
      <c r="B30" s="8" t="inlineStr">
        <is>
          <t>ATH/2025/0026</t>
        </is>
      </c>
      <c r="C30" s="9" t="inlineStr"/>
      <c r="D30" s="10" t="inlineStr"/>
      <c r="E30" s="10" t="inlineStr">
        <is>
          <t>Kho-Kho</t>
        </is>
      </c>
      <c r="F30" s="10" t="inlineStr">
        <is>
          <t>Inter-College</t>
        </is>
      </c>
      <c r="G30" s="10" t="inlineStr"/>
      <c r="H30" s="10" t="inlineStr">
        <is>
          <t>Y</t>
        </is>
      </c>
      <c r="I30" s="9" t="inlineStr"/>
      <c r="J30" s="10" t="inlineStr">
        <is>
          <t>N</t>
        </is>
      </c>
      <c r="K30" s="10" t="inlineStr">
        <is>
          <t>Active</t>
        </is>
      </c>
    </row>
    <row r="31" ht="22" customHeight="1">
      <c r="B31" s="14" t="inlineStr">
        <is>
          <t>ATH/2025/0027</t>
        </is>
      </c>
      <c r="C31" s="15" t="inlineStr"/>
      <c r="D31" s="16" t="inlineStr"/>
      <c r="E31" s="16" t="inlineStr">
        <is>
          <t>Swimming</t>
        </is>
      </c>
      <c r="F31" s="16" t="inlineStr">
        <is>
          <t>University</t>
        </is>
      </c>
      <c r="G31" s="16" t="inlineStr"/>
      <c r="H31" s="16" t="inlineStr">
        <is>
          <t>Y</t>
        </is>
      </c>
      <c r="I31" s="15" t="inlineStr"/>
      <c r="J31" s="16" t="inlineStr">
        <is>
          <t>N</t>
        </is>
      </c>
      <c r="K31" s="16" t="inlineStr">
        <is>
          <t>Active</t>
        </is>
      </c>
    </row>
    <row r="32" ht="22" customHeight="1">
      <c r="B32" s="8" t="inlineStr">
        <is>
          <t>ATH/2025/0028</t>
        </is>
      </c>
      <c r="C32" s="9" t="inlineStr"/>
      <c r="D32" s="10" t="inlineStr"/>
      <c r="E32" s="10" t="inlineStr">
        <is>
          <t>Boxing</t>
        </is>
      </c>
      <c r="F32" s="10" t="inlineStr">
        <is>
          <t>State</t>
        </is>
      </c>
      <c r="G32" s="10" t="inlineStr"/>
      <c r="H32" s="10" t="inlineStr">
        <is>
          <t>Y</t>
        </is>
      </c>
      <c r="I32" s="9" t="inlineStr"/>
      <c r="J32" s="10" t="inlineStr">
        <is>
          <t>N</t>
        </is>
      </c>
      <c r="K32" s="10" t="inlineStr">
        <is>
          <t>Active</t>
        </is>
      </c>
    </row>
    <row r="33" ht="22" customHeight="1">
      <c r="B33" s="14" t="inlineStr">
        <is>
          <t>ATH/2025/0029</t>
        </is>
      </c>
      <c r="C33" s="15" t="inlineStr"/>
      <c r="D33" s="16" t="inlineStr"/>
      <c r="E33" s="16" t="inlineStr">
        <is>
          <t>Wrestling</t>
        </is>
      </c>
      <c r="F33" s="16" t="inlineStr">
        <is>
          <t>National</t>
        </is>
      </c>
      <c r="G33" s="16" t="inlineStr"/>
      <c r="H33" s="16" t="inlineStr">
        <is>
          <t>Y</t>
        </is>
      </c>
      <c r="I33" s="15" t="inlineStr"/>
      <c r="J33" s="16" t="inlineStr">
        <is>
          <t>N</t>
        </is>
      </c>
      <c r="K33" s="16" t="inlineStr">
        <is>
          <t>Active</t>
        </is>
      </c>
    </row>
    <row r="34" ht="22" customHeight="1">
      <c r="B34" s="8" t="inlineStr">
        <is>
          <t>ATH/2025/0030</t>
        </is>
      </c>
      <c r="C34" s="9" t="inlineStr"/>
      <c r="D34" s="10" t="inlineStr"/>
      <c r="E34" s="10" t="inlineStr">
        <is>
          <t>Judo</t>
        </is>
      </c>
      <c r="F34" s="10" t="inlineStr">
        <is>
          <t>International</t>
        </is>
      </c>
      <c r="G34" s="10" t="inlineStr"/>
      <c r="H34" s="10" t="inlineStr">
        <is>
          <t>Y</t>
        </is>
      </c>
      <c r="I34" s="9" t="inlineStr"/>
      <c r="J34" s="10" t="inlineStr">
        <is>
          <t>N</t>
        </is>
      </c>
      <c r="K34" s="10" t="inlineStr">
        <is>
          <t>Active</t>
        </is>
      </c>
    </row>
    <row r="35" ht="22" customHeight="1"/>
    <row r="36" ht="24" customHeight="1">
      <c r="B36" s="39" t="inlineStr">
        <is>
          <t>SPORT-WISE ATHLETE STRENGTH SUMMARY</t>
        </is>
      </c>
    </row>
    <row r="37" ht="22" customHeight="1">
      <c r="B37" s="42" t="inlineStr">
        <is>
          <t>Sport</t>
        </is>
      </c>
      <c r="C37" s="42" t="inlineStr">
        <is>
          <t>Total Registered</t>
        </is>
      </c>
      <c r="D37" s="42" t="inlineStr">
        <is>
          <t>Male</t>
        </is>
      </c>
      <c r="E37" s="42" t="inlineStr">
        <is>
          <t>Female</t>
        </is>
      </c>
      <c r="F37" s="42" t="inlineStr">
        <is>
          <t>Medical Fit</t>
        </is>
      </c>
      <c r="G37" s="42" t="inlineStr">
        <is>
          <t>State Level+</t>
        </is>
      </c>
      <c r="H37" s="42" t="inlineStr">
        <is>
          <t>National Level+</t>
        </is>
      </c>
      <c r="I37" s="42" t="inlineStr">
        <is>
          <t>With Scholarship</t>
        </is>
      </c>
    </row>
    <row r="38" ht="22" customHeight="1">
      <c r="B38" s="43" t="inlineStr">
        <is>
          <t>Cricket</t>
        </is>
      </c>
      <c r="C38" s="44" t="inlineStr"/>
      <c r="D38" s="44" t="inlineStr"/>
      <c r="E38" s="44" t="inlineStr"/>
      <c r="F38" s="44" t="inlineStr"/>
      <c r="G38" s="44" t="inlineStr"/>
      <c r="H38" s="44" t="inlineStr"/>
      <c r="I38" s="44" t="inlineStr"/>
      <c r="J38" s="45" t="n"/>
      <c r="K38" s="45" t="n"/>
    </row>
    <row r="39" ht="22" customHeight="1">
      <c r="B39" s="9" t="inlineStr">
        <is>
          <t>Football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46" t="n"/>
      <c r="K39" s="46" t="n"/>
    </row>
    <row r="40" ht="22" customHeight="1">
      <c r="B40" s="43" t="inlineStr">
        <is>
          <t>Volleyball</t>
        </is>
      </c>
      <c r="C40" s="44" t="inlineStr"/>
      <c r="D40" s="44" t="inlineStr"/>
      <c r="E40" s="44" t="inlineStr"/>
      <c r="F40" s="44" t="inlineStr"/>
      <c r="G40" s="44" t="inlineStr"/>
      <c r="H40" s="44" t="inlineStr"/>
      <c r="I40" s="44" t="inlineStr"/>
      <c r="J40" s="45" t="n"/>
      <c r="K40" s="45" t="n"/>
    </row>
    <row r="41" ht="22" customHeight="1">
      <c r="B41" s="9" t="inlineStr">
        <is>
          <t>Basketball</t>
        </is>
      </c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46" t="n"/>
      <c r="K41" s="46" t="n"/>
    </row>
    <row r="42">
      <c r="B42" s="43" t="inlineStr">
        <is>
          <t>Badminton</t>
        </is>
      </c>
      <c r="C42" s="44" t="inlineStr"/>
      <c r="D42" s="44" t="inlineStr"/>
      <c r="E42" s="44" t="inlineStr"/>
      <c r="F42" s="44" t="inlineStr"/>
      <c r="G42" s="44" t="inlineStr"/>
      <c r="H42" s="44" t="inlineStr"/>
      <c r="I42" s="44" t="inlineStr"/>
      <c r="J42" s="45" t="n"/>
      <c r="K42" s="45" t="n"/>
    </row>
    <row r="43">
      <c r="B43" s="9" t="inlineStr">
        <is>
          <t>Table Tennis</t>
        </is>
      </c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46" t="n"/>
      <c r="K43" s="46" t="n"/>
    </row>
    <row r="44">
      <c r="B44" s="43" t="inlineStr">
        <is>
          <t>Athletics</t>
        </is>
      </c>
      <c r="C44" s="44" t="inlineStr"/>
      <c r="D44" s="44" t="inlineStr"/>
      <c r="E44" s="44" t="inlineStr"/>
      <c r="F44" s="44" t="inlineStr"/>
      <c r="G44" s="44" t="inlineStr"/>
      <c r="H44" s="44" t="inlineStr"/>
      <c r="I44" s="44" t="inlineStr"/>
      <c r="J44" s="45" t="n"/>
      <c r="K44" s="45" t="n"/>
    </row>
    <row r="45">
      <c r="B45" s="9" t="inlineStr">
        <is>
          <t>Chess</t>
        </is>
      </c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46" t="n"/>
      <c r="K45" s="46" t="n"/>
    </row>
    <row r="46">
      <c r="B46" s="43" t="inlineStr">
        <is>
          <t>Kabaddi</t>
        </is>
      </c>
      <c r="C46" s="44" t="inlineStr"/>
      <c r="D46" s="44" t="inlineStr"/>
      <c r="E46" s="44" t="inlineStr"/>
      <c r="F46" s="44" t="inlineStr"/>
      <c r="G46" s="44" t="inlineStr"/>
      <c r="H46" s="44" t="inlineStr"/>
      <c r="I46" s="44" t="inlineStr"/>
      <c r="J46" s="45" t="n"/>
      <c r="K46" s="45" t="n"/>
    </row>
    <row r="47">
      <c r="B47" s="9" t="inlineStr">
        <is>
          <t>Kho-Kho</t>
        </is>
      </c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46" t="n"/>
      <c r="K47" s="46" t="n"/>
    </row>
    <row r="48">
      <c r="B48" s="43" t="inlineStr">
        <is>
          <t>Others</t>
        </is>
      </c>
      <c r="C48" s="44" t="inlineStr"/>
      <c r="D48" s="44" t="inlineStr"/>
      <c r="E48" s="44" t="inlineStr"/>
      <c r="F48" s="44" t="inlineStr"/>
      <c r="G48" s="44" t="inlineStr"/>
      <c r="H48" s="44" t="inlineStr"/>
      <c r="I48" s="44" t="inlineStr"/>
      <c r="J48" s="45" t="n"/>
      <c r="K48" s="45" t="n"/>
    </row>
    <row r="49">
      <c r="B49" s="23" t="inlineStr">
        <is>
          <t>TOTAL</t>
        </is>
      </c>
      <c r="C49" s="47" t="inlineStr"/>
      <c r="D49" s="47" t="inlineStr"/>
      <c r="E49" s="47" t="inlineStr"/>
      <c r="F49" s="47" t="inlineStr"/>
      <c r="G49" s="47" t="inlineStr"/>
      <c r="H49" s="47" t="inlineStr"/>
      <c r="I49" s="47" t="inlineStr"/>
      <c r="J49" s="48" t="n"/>
      <c r="K49" s="48" t="n"/>
    </row>
  </sheetData>
  <mergeCells count="3">
    <mergeCell ref="B3:K3"/>
    <mergeCell ref="B36:K36"/>
    <mergeCell ref="B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2" t="inlineStr">
        <is>
          <t>SGC-07 &amp; 08: SPORTS INFRASTRUCTURE &amp; EQUIPMENT INVENTORY</t>
        </is>
      </c>
    </row>
    <row r="3" ht="25" customHeight="1">
      <c r="B3" s="2" t="inlineStr">
        <is>
          <t>A.Y.: _______  Sports Director: ___________________  Last Physical Verification: _______</t>
        </is>
      </c>
    </row>
    <row r="4" ht="24" customHeight="1">
      <c r="B4" s="19" t="inlineStr">
        <is>
          <t>SPORTS INFRASTRUCTURE INVENTORY</t>
        </is>
      </c>
    </row>
    <row r="5" ht="22" customHeight="1">
      <c r="B5" s="13" t="inlineStr">
        <is>
          <t>Sl.</t>
        </is>
      </c>
      <c r="C5" s="13" t="inlineStr">
        <is>
          <t>Facility / Ground / Court</t>
        </is>
      </c>
      <c r="D5" s="13" t="inlineStr">
        <is>
          <t>Sport(s)</t>
        </is>
      </c>
      <c r="E5" s="13" t="inlineStr">
        <is>
          <t>Area (sq.m)</t>
        </is>
      </c>
      <c r="F5" s="13" t="inlineStr">
        <is>
          <t>Capacity
(Players)</t>
        </is>
      </c>
      <c r="G5" s="13" t="inlineStr">
        <is>
          <t>Floodlights
(Y/N)</t>
        </is>
      </c>
      <c r="H5" s="13" t="inlineStr">
        <is>
          <t>Surface
Type</t>
        </is>
      </c>
      <c r="I5" s="13" t="inlineStr">
        <is>
          <t>Last
Renovated</t>
        </is>
      </c>
      <c r="J5" s="13" t="inlineStr">
        <is>
          <t>Condition
(G/F/P)</t>
        </is>
      </c>
      <c r="K5" s="13" t="inlineStr">
        <is>
          <t>Status</t>
        </is>
      </c>
    </row>
    <row r="6" ht="22" customHeight="1">
      <c r="B6" s="14" t="n">
        <v>1</v>
      </c>
      <c r="C6" s="15" t="inlineStr">
        <is>
          <t>Cricket Ground</t>
        </is>
      </c>
      <c r="D6" s="16" t="inlineStr">
        <is>
          <t>Cricket</t>
        </is>
      </c>
      <c r="E6" s="16" t="inlineStr"/>
      <c r="F6" s="16" t="inlineStr">
        <is>
          <t>11+fielders</t>
        </is>
      </c>
      <c r="G6" s="16" t="inlineStr">
        <is>
          <t>Y</t>
        </is>
      </c>
      <c r="H6" s="16" t="inlineStr">
        <is>
          <t>Turf/Hard</t>
        </is>
      </c>
      <c r="I6" s="16" t="inlineStr"/>
      <c r="J6" s="16" t="inlineStr">
        <is>
          <t>G</t>
        </is>
      </c>
      <c r="K6" s="16" t="inlineStr">
        <is>
          <t>Functional</t>
        </is>
      </c>
    </row>
    <row r="7" ht="22" customHeight="1">
      <c r="B7" s="8" t="n">
        <v>2</v>
      </c>
      <c r="C7" s="9" t="inlineStr">
        <is>
          <t>Football Ground</t>
        </is>
      </c>
      <c r="D7" s="10" t="inlineStr">
        <is>
          <t>Football</t>
        </is>
      </c>
      <c r="E7" s="10" t="inlineStr"/>
      <c r="F7" s="10" t="inlineStr">
        <is>
          <t>22</t>
        </is>
      </c>
      <c r="G7" s="10" t="inlineStr">
        <is>
          <t>Y</t>
        </is>
      </c>
      <c r="H7" s="10" t="inlineStr">
        <is>
          <t>Turf/Hard</t>
        </is>
      </c>
      <c r="I7" s="10" t="inlineStr"/>
      <c r="J7" s="10" t="inlineStr">
        <is>
          <t>G</t>
        </is>
      </c>
      <c r="K7" s="10" t="inlineStr">
        <is>
          <t>Functional</t>
        </is>
      </c>
    </row>
    <row r="8" ht="22" customHeight="1">
      <c r="B8" s="14" t="n">
        <v>3</v>
      </c>
      <c r="C8" s="15" t="inlineStr">
        <is>
          <t>Volleyball Court – 1</t>
        </is>
      </c>
      <c r="D8" s="16" t="inlineStr">
        <is>
          <t>Volleyball</t>
        </is>
      </c>
      <c r="E8" s="16" t="inlineStr">
        <is>
          <t>162</t>
        </is>
      </c>
      <c r="F8" s="16" t="inlineStr">
        <is>
          <t>12</t>
        </is>
      </c>
      <c r="G8" s="16" t="inlineStr">
        <is>
          <t>Y</t>
        </is>
      </c>
      <c r="H8" s="16" t="inlineStr">
        <is>
          <t>Turf/Hard</t>
        </is>
      </c>
      <c r="I8" s="16" t="inlineStr"/>
      <c r="J8" s="16" t="inlineStr">
        <is>
          <t>G</t>
        </is>
      </c>
      <c r="K8" s="16" t="inlineStr">
        <is>
          <t>Functional</t>
        </is>
      </c>
    </row>
    <row r="9" ht="22" customHeight="1">
      <c r="B9" s="8" t="n">
        <v>4</v>
      </c>
      <c r="C9" s="9" t="inlineStr">
        <is>
          <t>Volleyball Court – 2</t>
        </is>
      </c>
      <c r="D9" s="10" t="inlineStr">
        <is>
          <t>Volleyball</t>
        </is>
      </c>
      <c r="E9" s="10" t="inlineStr">
        <is>
          <t>162</t>
        </is>
      </c>
      <c r="F9" s="10" t="inlineStr">
        <is>
          <t>12</t>
        </is>
      </c>
      <c r="G9" s="10" t="inlineStr">
        <is>
          <t>Y</t>
        </is>
      </c>
      <c r="H9" s="10" t="inlineStr">
        <is>
          <t>Turf/Hard</t>
        </is>
      </c>
      <c r="I9" s="10" t="inlineStr"/>
      <c r="J9" s="10" t="inlineStr">
        <is>
          <t>G</t>
        </is>
      </c>
      <c r="K9" s="10" t="inlineStr">
        <is>
          <t>Functional</t>
        </is>
      </c>
    </row>
    <row r="10" ht="22" customHeight="1">
      <c r="B10" s="14" t="n">
        <v>5</v>
      </c>
      <c r="C10" s="15" t="inlineStr">
        <is>
          <t>Basketball Court</t>
        </is>
      </c>
      <c r="D10" s="16" t="inlineStr">
        <is>
          <t>Basketball</t>
        </is>
      </c>
      <c r="E10" s="16" t="inlineStr">
        <is>
          <t>420</t>
        </is>
      </c>
      <c r="F10" s="16" t="inlineStr">
        <is>
          <t>10</t>
        </is>
      </c>
      <c r="G10" s="16" t="inlineStr">
        <is>
          <t>Y</t>
        </is>
      </c>
      <c r="H10" s="16" t="inlineStr">
        <is>
          <t>Turf/Hard</t>
        </is>
      </c>
      <c r="I10" s="16" t="inlineStr"/>
      <c r="J10" s="16" t="inlineStr">
        <is>
          <t>G</t>
        </is>
      </c>
      <c r="K10" s="16" t="inlineStr">
        <is>
          <t>Functional</t>
        </is>
      </c>
    </row>
    <row r="11" ht="22" customHeight="1">
      <c r="B11" s="8" t="n">
        <v>6</v>
      </c>
      <c r="C11" s="9" t="inlineStr">
        <is>
          <t>Badminton Court – 1</t>
        </is>
      </c>
      <c r="D11" s="10" t="inlineStr">
        <is>
          <t>Badminton</t>
        </is>
      </c>
      <c r="E11" s="10" t="inlineStr">
        <is>
          <t>81</t>
        </is>
      </c>
      <c r="F11" s="10" t="inlineStr">
        <is>
          <t>4</t>
        </is>
      </c>
      <c r="G11" s="10" t="inlineStr">
        <is>
          <t>Y</t>
        </is>
      </c>
      <c r="H11" s="10" t="inlineStr">
        <is>
          <t>Turf/Hard</t>
        </is>
      </c>
      <c r="I11" s="10" t="inlineStr"/>
      <c r="J11" s="10" t="inlineStr">
        <is>
          <t>G</t>
        </is>
      </c>
      <c r="K11" s="10" t="inlineStr">
        <is>
          <t>Functional</t>
        </is>
      </c>
    </row>
    <row r="12" ht="22" customHeight="1">
      <c r="B12" s="14" t="n">
        <v>7</v>
      </c>
      <c r="C12" s="15" t="inlineStr">
        <is>
          <t>Badminton Court – 2</t>
        </is>
      </c>
      <c r="D12" s="16" t="inlineStr">
        <is>
          <t>Badminton</t>
        </is>
      </c>
      <c r="E12" s="16" t="inlineStr">
        <is>
          <t>81</t>
        </is>
      </c>
      <c r="F12" s="16" t="inlineStr">
        <is>
          <t>4</t>
        </is>
      </c>
      <c r="G12" s="16" t="inlineStr">
        <is>
          <t>Y</t>
        </is>
      </c>
      <c r="H12" s="16" t="inlineStr">
        <is>
          <t>Turf/Hard</t>
        </is>
      </c>
      <c r="I12" s="16" t="inlineStr"/>
      <c r="J12" s="16" t="inlineStr">
        <is>
          <t>G</t>
        </is>
      </c>
      <c r="K12" s="16" t="inlineStr">
        <is>
          <t>Functional</t>
        </is>
      </c>
    </row>
    <row r="13" ht="22" customHeight="1">
      <c r="B13" s="8" t="n">
        <v>8</v>
      </c>
      <c r="C13" s="9" t="inlineStr">
        <is>
          <t>Table Tennis Hall</t>
        </is>
      </c>
      <c r="D13" s="10" t="inlineStr">
        <is>
          <t>Table Tennis</t>
        </is>
      </c>
      <c r="E13" s="10" t="inlineStr"/>
      <c r="F13" s="10" t="inlineStr">
        <is>
          <t>16+</t>
        </is>
      </c>
      <c r="G13" s="10" t="inlineStr">
        <is>
          <t>Y</t>
        </is>
      </c>
      <c r="H13" s="10" t="inlineStr">
        <is>
          <t>Turf/Hard</t>
        </is>
      </c>
      <c r="I13" s="10" t="inlineStr"/>
      <c r="J13" s="10" t="inlineStr">
        <is>
          <t>G</t>
        </is>
      </c>
      <c r="K13" s="10" t="inlineStr">
        <is>
          <t>Functional</t>
        </is>
      </c>
    </row>
    <row r="14" ht="22" customHeight="1">
      <c r="B14" s="14" t="n">
        <v>9</v>
      </c>
      <c r="C14" s="15" t="inlineStr">
        <is>
          <t>Athletic Track (400m)</t>
        </is>
      </c>
      <c r="D14" s="16" t="inlineStr">
        <is>
          <t>Athletics</t>
        </is>
      </c>
      <c r="E14" s="16" t="inlineStr"/>
      <c r="F14" s="16" t="inlineStr">
        <is>
          <t>8 lanes</t>
        </is>
      </c>
      <c r="G14" s="16" t="inlineStr">
        <is>
          <t>Y</t>
        </is>
      </c>
      <c r="H14" s="16" t="inlineStr">
        <is>
          <t>Turf/Hard</t>
        </is>
      </c>
      <c r="I14" s="16" t="inlineStr"/>
      <c r="J14" s="16" t="inlineStr">
        <is>
          <t>G</t>
        </is>
      </c>
      <c r="K14" s="16" t="inlineStr">
        <is>
          <t>Functional</t>
        </is>
      </c>
    </row>
    <row r="15" ht="22" customHeight="1">
      <c r="B15" s="8" t="n">
        <v>10</v>
      </c>
      <c r="C15" s="9" t="inlineStr">
        <is>
          <t>Gymnasium / Fitness Centre</t>
        </is>
      </c>
      <c r="D15" s="10" t="inlineStr">
        <is>
          <t>Multi-sport</t>
        </is>
      </c>
      <c r="E15" s="10" t="inlineStr"/>
      <c r="F15" s="10" t="inlineStr">
        <is>
          <t>50+</t>
        </is>
      </c>
      <c r="G15" s="10" t="inlineStr">
        <is>
          <t>Y</t>
        </is>
      </c>
      <c r="H15" s="10" t="inlineStr">
        <is>
          <t>Turf/Hard</t>
        </is>
      </c>
      <c r="I15" s="10" t="inlineStr"/>
      <c r="J15" s="10" t="inlineStr">
        <is>
          <t>G</t>
        </is>
      </c>
      <c r="K15" s="10" t="inlineStr">
        <is>
          <t>Functional</t>
        </is>
      </c>
    </row>
    <row r="16" ht="22" customHeight="1">
      <c r="B16" s="14" t="n">
        <v>11</v>
      </c>
      <c r="C16" s="15" t="inlineStr">
        <is>
          <t>Indoor Sports Complex</t>
        </is>
      </c>
      <c r="D16" s="16" t="inlineStr">
        <is>
          <t>Multi-sport</t>
        </is>
      </c>
      <c r="E16" s="16" t="inlineStr"/>
      <c r="F16" s="16" t="inlineStr">
        <is>
          <t>200</t>
        </is>
      </c>
      <c r="G16" s="16" t="inlineStr">
        <is>
          <t>Y</t>
        </is>
      </c>
      <c r="H16" s="16" t="inlineStr">
        <is>
          <t>Turf/Hard</t>
        </is>
      </c>
      <c r="I16" s="16" t="inlineStr"/>
      <c r="J16" s="16" t="inlineStr">
        <is>
          <t>G</t>
        </is>
      </c>
      <c r="K16" s="16" t="inlineStr">
        <is>
          <t>Functional</t>
        </is>
      </c>
    </row>
    <row r="17" ht="22" customHeight="1">
      <c r="B17" s="8" t="n">
        <v>12</v>
      </c>
      <c r="C17" s="9" t="inlineStr">
        <is>
          <t>Swimming Pool</t>
        </is>
      </c>
      <c r="D17" s="10" t="inlineStr">
        <is>
          <t>Aquatics</t>
        </is>
      </c>
      <c r="E17" s="10" t="inlineStr"/>
      <c r="F17" s="10" t="inlineStr">
        <is>
          <t>6 lanes</t>
        </is>
      </c>
      <c r="G17" s="10" t="inlineStr">
        <is>
          <t>Y</t>
        </is>
      </c>
      <c r="H17" s="10" t="inlineStr">
        <is>
          <t>Turf/Hard</t>
        </is>
      </c>
      <c r="I17" s="10" t="inlineStr"/>
      <c r="J17" s="10" t="inlineStr">
        <is>
          <t>G</t>
        </is>
      </c>
      <c r="K17" s="10" t="inlineStr">
        <is>
          <t>Functional</t>
        </is>
      </c>
    </row>
    <row r="18" ht="22" customHeight="1">
      <c r="B18" s="14" t="n">
        <v>13</v>
      </c>
      <c r="C18" s="15" t="inlineStr">
        <is>
          <t>Chess / Carrom Room</t>
        </is>
      </c>
      <c r="D18" s="16" t="inlineStr">
        <is>
          <t>Indoor Games</t>
        </is>
      </c>
      <c r="E18" s="16" t="inlineStr"/>
      <c r="F18" s="16" t="inlineStr">
        <is>
          <t>20</t>
        </is>
      </c>
      <c r="G18" s="16" t="inlineStr">
        <is>
          <t>Y</t>
        </is>
      </c>
      <c r="H18" s="16" t="inlineStr">
        <is>
          <t>Turf/Hard</t>
        </is>
      </c>
      <c r="I18" s="16" t="inlineStr"/>
      <c r="J18" s="16" t="inlineStr">
        <is>
          <t>G</t>
        </is>
      </c>
      <c r="K18" s="16" t="inlineStr">
        <is>
          <t>Functional</t>
        </is>
      </c>
    </row>
    <row r="19" ht="22" customHeight="1">
      <c r="B19" s="8" t="n">
        <v>14</v>
      </c>
      <c r="C19" s="9" t="inlineStr">
        <is>
          <t>Kabaddi / Kho-Kho Ground</t>
        </is>
      </c>
      <c r="D19" s="10" t="inlineStr">
        <is>
          <t>Contact Sports</t>
        </is>
      </c>
      <c r="E19" s="10" t="inlineStr"/>
      <c r="F19" s="10" t="inlineStr">
        <is>
          <t>22</t>
        </is>
      </c>
      <c r="G19" s="10" t="inlineStr">
        <is>
          <t>Y</t>
        </is>
      </c>
      <c r="H19" s="10" t="inlineStr">
        <is>
          <t>Turf/Hard</t>
        </is>
      </c>
      <c r="I19" s="10" t="inlineStr"/>
      <c r="J19" s="10" t="inlineStr">
        <is>
          <t>G</t>
        </is>
      </c>
      <c r="K19" s="10" t="inlineStr">
        <is>
          <t>Functional</t>
        </is>
      </c>
    </row>
    <row r="20" ht="22" customHeight="1">
      <c r="B20" s="14" t="n">
        <v>15</v>
      </c>
      <c r="C20" s="15" t="inlineStr">
        <is>
          <t>Shooting / Archery Range</t>
        </is>
      </c>
      <c r="D20" s="16" t="inlineStr">
        <is>
          <t>Shooting</t>
        </is>
      </c>
      <c r="E20" s="16" t="inlineStr"/>
      <c r="F20" s="16" t="inlineStr">
        <is>
          <t>10</t>
        </is>
      </c>
      <c r="G20" s="16" t="inlineStr">
        <is>
          <t>Y</t>
        </is>
      </c>
      <c r="H20" s="16" t="inlineStr">
        <is>
          <t>Turf/Hard</t>
        </is>
      </c>
      <c r="I20" s="16" t="inlineStr"/>
      <c r="J20" s="16" t="inlineStr">
        <is>
          <t>G</t>
        </is>
      </c>
      <c r="K20" s="16" t="inlineStr">
        <is>
          <t>Functional</t>
        </is>
      </c>
    </row>
    <row r="21" ht="22" customHeight="1"/>
    <row r="22" ht="24" customHeight="1">
      <c r="B22" s="49" t="inlineStr">
        <is>
          <t>SPORTS EQUIPMENT INVENTORY</t>
        </is>
      </c>
    </row>
    <row r="23" ht="22" customHeight="1">
      <c r="B23" s="50" t="inlineStr">
        <is>
          <t>Item
Ref.</t>
        </is>
      </c>
      <c r="C23" s="50" t="inlineStr">
        <is>
          <t>Equipment Name</t>
        </is>
      </c>
      <c r="D23" s="50" t="inlineStr">
        <is>
          <t>Sport</t>
        </is>
      </c>
      <c r="E23" s="50" t="inlineStr">
        <is>
          <t>Unit</t>
        </is>
      </c>
      <c r="F23" s="50" t="inlineStr">
        <is>
          <t>Opening
Stock</t>
        </is>
      </c>
      <c r="G23" s="50" t="inlineStr">
        <is>
          <t>Purchased
This Year</t>
        </is>
      </c>
      <c r="H23" s="50" t="inlineStr">
        <is>
          <t>Issued
(In Use)</t>
        </is>
      </c>
      <c r="I23" s="50" t="inlineStr">
        <is>
          <t>Damaged /
Lost</t>
        </is>
      </c>
      <c r="J23" s="50" t="inlineStr">
        <is>
          <t>Closing
Stock</t>
        </is>
      </c>
      <c r="K23" s="50" t="inlineStr">
        <is>
          <t>Condition</t>
        </is>
      </c>
    </row>
    <row r="24" ht="22" customHeight="1">
      <c r="B24" s="51" t="inlineStr">
        <is>
          <t>EQ/001</t>
        </is>
      </c>
      <c r="C24" s="52" t="inlineStr">
        <is>
          <t>Cricket Ball (SG / Kookaburra)</t>
        </is>
      </c>
      <c r="D24" s="53" t="inlineStr">
        <is>
          <t>Cricket</t>
        </is>
      </c>
      <c r="E24" s="53" t="inlineStr">
        <is>
          <t>Nos.</t>
        </is>
      </c>
      <c r="F24" s="53" t="inlineStr"/>
      <c r="G24" s="53" t="inlineStr"/>
      <c r="H24" s="53" t="inlineStr"/>
      <c r="I24" s="53" t="inlineStr"/>
      <c r="J24" s="53">
        <f>IFERROR(F24+G24-H24-I24,"")</f>
        <v/>
      </c>
      <c r="K24" s="53" t="inlineStr">
        <is>
          <t>Good</t>
        </is>
      </c>
    </row>
    <row r="25" ht="22" customHeight="1">
      <c r="B25" s="8" t="inlineStr">
        <is>
          <t>EQ/002</t>
        </is>
      </c>
      <c r="C25" s="9" t="inlineStr">
        <is>
          <t>Cricket Bat (English Willow)</t>
        </is>
      </c>
      <c r="D25" s="10" t="inlineStr">
        <is>
          <t>Cricket</t>
        </is>
      </c>
      <c r="E25" s="10" t="inlineStr">
        <is>
          <t>Nos.</t>
        </is>
      </c>
      <c r="F25" s="10" t="inlineStr"/>
      <c r="G25" s="10" t="inlineStr"/>
      <c r="H25" s="10" t="inlineStr"/>
      <c r="I25" s="10" t="inlineStr"/>
      <c r="J25" s="10">
        <f>IFERROR(F25+G25-H25-I25,"")</f>
        <v/>
      </c>
      <c r="K25" s="10" t="inlineStr">
        <is>
          <t>Good</t>
        </is>
      </c>
    </row>
    <row r="26" ht="22" customHeight="1">
      <c r="B26" s="51" t="inlineStr">
        <is>
          <t>EQ/003</t>
        </is>
      </c>
      <c r="C26" s="52" t="inlineStr">
        <is>
          <t>Cricket Helmet</t>
        </is>
      </c>
      <c r="D26" s="53" t="inlineStr">
        <is>
          <t>Cricket</t>
        </is>
      </c>
      <c r="E26" s="53" t="inlineStr">
        <is>
          <t>Nos.</t>
        </is>
      </c>
      <c r="F26" s="53" t="inlineStr"/>
      <c r="G26" s="53" t="inlineStr"/>
      <c r="H26" s="53" t="inlineStr"/>
      <c r="I26" s="53" t="inlineStr"/>
      <c r="J26" s="53">
        <f>IFERROR(F26+G26-H26-I26,"")</f>
        <v/>
      </c>
      <c r="K26" s="53" t="inlineStr">
        <is>
          <t>Good</t>
        </is>
      </c>
    </row>
    <row r="27" ht="22" customHeight="1">
      <c r="B27" s="8" t="inlineStr">
        <is>
          <t>EQ/004</t>
        </is>
      </c>
      <c r="C27" s="9" t="inlineStr">
        <is>
          <t>Cricket Pads (Set)</t>
        </is>
      </c>
      <c r="D27" s="10" t="inlineStr">
        <is>
          <t>Cricket</t>
        </is>
      </c>
      <c r="E27" s="10" t="inlineStr">
        <is>
          <t>Sets</t>
        </is>
      </c>
      <c r="F27" s="10" t="inlineStr"/>
      <c r="G27" s="10" t="inlineStr"/>
      <c r="H27" s="10" t="inlineStr"/>
      <c r="I27" s="10" t="inlineStr"/>
      <c r="J27" s="10">
        <f>IFERROR(F27+G27-H27-I27,"")</f>
        <v/>
      </c>
      <c r="K27" s="10" t="inlineStr">
        <is>
          <t>Good</t>
        </is>
      </c>
    </row>
    <row r="28" ht="22" customHeight="1">
      <c r="B28" s="51" t="inlineStr">
        <is>
          <t>EQ/005</t>
        </is>
      </c>
      <c r="C28" s="52" t="inlineStr">
        <is>
          <t>Cricket Gloves (Set)</t>
        </is>
      </c>
      <c r="D28" s="53" t="inlineStr">
        <is>
          <t>Cricket</t>
        </is>
      </c>
      <c r="E28" s="53" t="inlineStr">
        <is>
          <t>Sets</t>
        </is>
      </c>
      <c r="F28" s="53" t="inlineStr"/>
      <c r="G28" s="53" t="inlineStr"/>
      <c r="H28" s="53" t="inlineStr"/>
      <c r="I28" s="53" t="inlineStr"/>
      <c r="J28" s="53">
        <f>IFERROR(F28+G28-H28-I28,"")</f>
        <v/>
      </c>
      <c r="K28" s="53" t="inlineStr">
        <is>
          <t>Good</t>
        </is>
      </c>
    </row>
    <row r="29" ht="22" customHeight="1">
      <c r="B29" s="8" t="inlineStr">
        <is>
          <t>EQ/006</t>
        </is>
      </c>
      <c r="C29" s="9" t="inlineStr">
        <is>
          <t>Football (FIFA Standard)</t>
        </is>
      </c>
      <c r="D29" s="10" t="inlineStr">
        <is>
          <t>Football</t>
        </is>
      </c>
      <c r="E29" s="10" t="inlineStr">
        <is>
          <t>Nos.</t>
        </is>
      </c>
      <c r="F29" s="10" t="inlineStr"/>
      <c r="G29" s="10" t="inlineStr"/>
      <c r="H29" s="10" t="inlineStr"/>
      <c r="I29" s="10" t="inlineStr"/>
      <c r="J29" s="10">
        <f>IFERROR(F29+G29-H29-I29,"")</f>
        <v/>
      </c>
      <c r="K29" s="10" t="inlineStr">
        <is>
          <t>Good</t>
        </is>
      </c>
    </row>
    <row r="30" ht="22" customHeight="1">
      <c r="B30" s="51" t="inlineStr">
        <is>
          <t>EQ/007</t>
        </is>
      </c>
      <c r="C30" s="52" t="inlineStr">
        <is>
          <t>Volleyball</t>
        </is>
      </c>
      <c r="D30" s="53" t="inlineStr">
        <is>
          <t>Volleyball</t>
        </is>
      </c>
      <c r="E30" s="53" t="inlineStr">
        <is>
          <t>Nos.</t>
        </is>
      </c>
      <c r="F30" s="53" t="inlineStr"/>
      <c r="G30" s="53" t="inlineStr"/>
      <c r="H30" s="53" t="inlineStr"/>
      <c r="I30" s="53" t="inlineStr"/>
      <c r="J30" s="53">
        <f>IFERROR(F30+G30-H30-I30,"")</f>
        <v/>
      </c>
      <c r="K30" s="53" t="inlineStr">
        <is>
          <t>Good</t>
        </is>
      </c>
    </row>
    <row r="31" ht="22" customHeight="1">
      <c r="B31" s="8" t="inlineStr">
        <is>
          <t>EQ/008</t>
        </is>
      </c>
      <c r="C31" s="9" t="inlineStr">
        <is>
          <t>Basketball</t>
        </is>
      </c>
      <c r="D31" s="10" t="inlineStr">
        <is>
          <t>Basketball</t>
        </is>
      </c>
      <c r="E31" s="10" t="inlineStr">
        <is>
          <t>Nos.</t>
        </is>
      </c>
      <c r="F31" s="10" t="inlineStr"/>
      <c r="G31" s="10" t="inlineStr"/>
      <c r="H31" s="10" t="inlineStr"/>
      <c r="I31" s="10" t="inlineStr"/>
      <c r="J31" s="10">
        <f>IFERROR(F31+G31-H31-I31,"")</f>
        <v/>
      </c>
      <c r="K31" s="10" t="inlineStr">
        <is>
          <t>Good</t>
        </is>
      </c>
    </row>
    <row r="32" ht="22" customHeight="1">
      <c r="B32" s="51" t="inlineStr">
        <is>
          <t>EQ/009</t>
        </is>
      </c>
      <c r="C32" s="52" t="inlineStr">
        <is>
          <t>Badminton Racket</t>
        </is>
      </c>
      <c r="D32" s="53" t="inlineStr">
        <is>
          <t>Badminton</t>
        </is>
      </c>
      <c r="E32" s="53" t="inlineStr">
        <is>
          <t>Nos.</t>
        </is>
      </c>
      <c r="F32" s="53" t="inlineStr"/>
      <c r="G32" s="53" t="inlineStr"/>
      <c r="H32" s="53" t="inlineStr"/>
      <c r="I32" s="53" t="inlineStr"/>
      <c r="J32" s="53">
        <f>IFERROR(F32+G32-H32-I32,"")</f>
        <v/>
      </c>
      <c r="K32" s="53" t="inlineStr">
        <is>
          <t>Good</t>
        </is>
      </c>
    </row>
    <row r="33" ht="22" customHeight="1">
      <c r="B33" s="8" t="inlineStr">
        <is>
          <t>EQ/010</t>
        </is>
      </c>
      <c r="C33" s="9" t="inlineStr">
        <is>
          <t>Badminton Shuttlecock (Box)</t>
        </is>
      </c>
      <c r="D33" s="10" t="inlineStr">
        <is>
          <t>Badminton</t>
        </is>
      </c>
      <c r="E33" s="10" t="inlineStr">
        <is>
          <t>Boxes</t>
        </is>
      </c>
      <c r="F33" s="10" t="inlineStr"/>
      <c r="G33" s="10" t="inlineStr"/>
      <c r="H33" s="10" t="inlineStr"/>
      <c r="I33" s="10" t="inlineStr"/>
      <c r="J33" s="10">
        <f>IFERROR(F33+G33-H33-I33,"")</f>
        <v/>
      </c>
      <c r="K33" s="10" t="inlineStr">
        <is>
          <t>Good</t>
        </is>
      </c>
    </row>
    <row r="34" ht="22" customHeight="1">
      <c r="B34" s="51" t="inlineStr">
        <is>
          <t>EQ/011</t>
        </is>
      </c>
      <c r="C34" s="52" t="inlineStr">
        <is>
          <t>Table Tennis Bat</t>
        </is>
      </c>
      <c r="D34" s="53" t="inlineStr">
        <is>
          <t>Table Tennis</t>
        </is>
      </c>
      <c r="E34" s="53" t="inlineStr">
        <is>
          <t>Nos.</t>
        </is>
      </c>
      <c r="F34" s="53" t="inlineStr"/>
      <c r="G34" s="53" t="inlineStr"/>
      <c r="H34" s="53" t="inlineStr"/>
      <c r="I34" s="53" t="inlineStr"/>
      <c r="J34" s="53">
        <f>IFERROR(F34+G34-H34-I34,"")</f>
        <v/>
      </c>
      <c r="K34" s="53" t="inlineStr">
        <is>
          <t>Good</t>
        </is>
      </c>
    </row>
    <row r="35" ht="22" customHeight="1">
      <c r="B35" s="8" t="inlineStr">
        <is>
          <t>EQ/012</t>
        </is>
      </c>
      <c r="C35" s="9" t="inlineStr">
        <is>
          <t>Table Tennis Ball (Box)</t>
        </is>
      </c>
      <c r="D35" s="10" t="inlineStr">
        <is>
          <t>Table Tennis</t>
        </is>
      </c>
      <c r="E35" s="10" t="inlineStr">
        <is>
          <t>Boxes</t>
        </is>
      </c>
      <c r="F35" s="10" t="inlineStr"/>
      <c r="G35" s="10" t="inlineStr"/>
      <c r="H35" s="10" t="inlineStr"/>
      <c r="I35" s="10" t="inlineStr"/>
      <c r="J35" s="10">
        <f>IFERROR(F35+G35-H35-I35,"")</f>
        <v/>
      </c>
      <c r="K35" s="10" t="inlineStr">
        <is>
          <t>Good</t>
        </is>
      </c>
    </row>
    <row r="36" ht="22" customHeight="1">
      <c r="B36" s="51" t="inlineStr">
        <is>
          <t>EQ/013</t>
        </is>
      </c>
      <c r="C36" s="52" t="inlineStr">
        <is>
          <t>Athletics Shot Put</t>
        </is>
      </c>
      <c r="D36" s="53" t="inlineStr">
        <is>
          <t>Athletics</t>
        </is>
      </c>
      <c r="E36" s="53" t="inlineStr">
        <is>
          <t>Nos.</t>
        </is>
      </c>
      <c r="F36" s="53" t="inlineStr"/>
      <c r="G36" s="53" t="inlineStr"/>
      <c r="H36" s="53" t="inlineStr"/>
      <c r="I36" s="53" t="inlineStr"/>
      <c r="J36" s="53">
        <f>IFERROR(F36+G36-H36-I36,"")</f>
        <v/>
      </c>
      <c r="K36" s="53" t="inlineStr">
        <is>
          <t>Good</t>
        </is>
      </c>
    </row>
    <row r="37" ht="22" customHeight="1">
      <c r="B37" s="8" t="inlineStr">
        <is>
          <t>EQ/014</t>
        </is>
      </c>
      <c r="C37" s="9" t="inlineStr">
        <is>
          <t>Athletics Discus</t>
        </is>
      </c>
      <c r="D37" s="10" t="inlineStr">
        <is>
          <t>Athletics</t>
        </is>
      </c>
      <c r="E37" s="10" t="inlineStr">
        <is>
          <t>Nos.</t>
        </is>
      </c>
      <c r="F37" s="10" t="inlineStr"/>
      <c r="G37" s="10" t="inlineStr"/>
      <c r="H37" s="10" t="inlineStr"/>
      <c r="I37" s="10" t="inlineStr"/>
      <c r="J37" s="10">
        <f>IFERROR(F37+G37-H37-I37,"")</f>
        <v/>
      </c>
      <c r="K37" s="10" t="inlineStr">
        <is>
          <t>Good</t>
        </is>
      </c>
    </row>
    <row r="38" ht="22" customHeight="1">
      <c r="B38" s="51" t="inlineStr">
        <is>
          <t>EQ/015</t>
        </is>
      </c>
      <c r="C38" s="52" t="inlineStr">
        <is>
          <t>Yoga Mat</t>
        </is>
      </c>
      <c r="D38" s="53" t="inlineStr">
        <is>
          <t>Wellness</t>
        </is>
      </c>
      <c r="E38" s="53" t="inlineStr">
        <is>
          <t>Nos.</t>
        </is>
      </c>
      <c r="F38" s="53" t="inlineStr"/>
      <c r="G38" s="53" t="inlineStr"/>
      <c r="H38" s="53" t="inlineStr"/>
      <c r="I38" s="53" t="inlineStr"/>
      <c r="J38" s="53">
        <f>IFERROR(F38+G38-H38-I38,"")</f>
        <v/>
      </c>
      <c r="K38" s="53" t="inlineStr">
        <is>
          <t>Good</t>
        </is>
      </c>
    </row>
    <row r="39" ht="22" customHeight="1">
      <c r="B39" s="8" t="inlineStr">
        <is>
          <t>EQ/016</t>
        </is>
      </c>
      <c r="C39" s="9" t="inlineStr">
        <is>
          <t>Gym Dumbbell Set</t>
        </is>
      </c>
      <c r="D39" s="10" t="inlineStr">
        <is>
          <t>Fitness</t>
        </is>
      </c>
      <c r="E39" s="10" t="inlineStr">
        <is>
          <t>Sets</t>
        </is>
      </c>
      <c r="F39" s="10" t="inlineStr"/>
      <c r="G39" s="10" t="inlineStr"/>
      <c r="H39" s="10" t="inlineStr"/>
      <c r="I39" s="10" t="inlineStr"/>
      <c r="J39" s="10">
        <f>IFERROR(F39+G39-H39-I39,"")</f>
        <v/>
      </c>
      <c r="K39" s="10" t="inlineStr">
        <is>
          <t>Good</t>
        </is>
      </c>
    </row>
    <row r="40" ht="22" customHeight="1">
      <c r="B40" s="51" t="inlineStr">
        <is>
          <t>EQ/017</t>
        </is>
      </c>
      <c r="C40" s="52" t="inlineStr">
        <is>
          <t>Chess Set</t>
        </is>
      </c>
      <c r="D40" s="53" t="inlineStr">
        <is>
          <t>Chess</t>
        </is>
      </c>
      <c r="E40" s="53" t="inlineStr">
        <is>
          <t>Sets</t>
        </is>
      </c>
      <c r="F40" s="53" t="inlineStr"/>
      <c r="G40" s="53" t="inlineStr"/>
      <c r="H40" s="53" t="inlineStr"/>
      <c r="I40" s="53" t="inlineStr"/>
      <c r="J40" s="53">
        <f>IFERROR(F40+G40-H40-I40,"")</f>
        <v/>
      </c>
      <c r="K40" s="53" t="inlineStr">
        <is>
          <t>Good</t>
        </is>
      </c>
    </row>
    <row r="41" ht="22" customHeight="1">
      <c r="B41" s="8" t="inlineStr">
        <is>
          <t>EQ/018</t>
        </is>
      </c>
      <c r="C41" s="9" t="inlineStr">
        <is>
          <t>First Aid Kit (Sports)</t>
        </is>
      </c>
      <c r="D41" s="10" t="inlineStr">
        <is>
          <t>Medical</t>
        </is>
      </c>
      <c r="E41" s="10" t="inlineStr">
        <is>
          <t>Kits</t>
        </is>
      </c>
      <c r="F41" s="10" t="inlineStr"/>
      <c r="G41" s="10" t="inlineStr"/>
      <c r="H41" s="10" t="inlineStr"/>
      <c r="I41" s="10" t="inlineStr"/>
      <c r="J41" s="10">
        <f>IFERROR(F41+G41-H41-I41,"")</f>
        <v/>
      </c>
      <c r="K41" s="10" t="inlineStr">
        <is>
          <t>Good</t>
        </is>
      </c>
    </row>
    <row r="42" ht="22" customHeight="1"/>
    <row r="43" ht="22" customHeight="1"/>
  </sheetData>
  <mergeCells count="4">
    <mergeCell ref="B4:K4"/>
    <mergeCell ref="B22:K22"/>
    <mergeCell ref="B3:K3"/>
    <mergeCell ref="B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8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SGC-12: COACHES, TRAINERS &amp; PHYSICAL EDUCATION STAFF REGISTER</t>
        </is>
      </c>
    </row>
    <row r="3" ht="25" customHeight="1">
      <c r="B3" s="2" t="inlineStr">
        <is>
          <t>A.Y.: _______  Sports Director: ___________________</t>
        </is>
      </c>
    </row>
    <row r="4" ht="25" customHeight="1">
      <c r="B4" s="13" t="inlineStr">
        <is>
          <t>Sl.</t>
        </is>
      </c>
      <c r="C4" s="13" t="inlineStr">
        <is>
          <t>Coach / Trainer Name</t>
        </is>
      </c>
      <c r="D4" s="13" t="inlineStr">
        <is>
          <t>Qualification / Certification</t>
        </is>
      </c>
      <c r="E4" s="13" t="inlineStr">
        <is>
          <t>Sport(s) Assigned</t>
        </is>
      </c>
      <c r="F4" s="13" t="inlineStr">
        <is>
          <t>Type</t>
        </is>
      </c>
      <c r="G4" s="13" t="inlineStr">
        <is>
          <t>Date of
Joining</t>
        </is>
      </c>
      <c r="H4" s="13" t="inlineStr">
        <is>
          <t>Contact</t>
        </is>
      </c>
      <c r="I4" s="13" t="inlineStr">
        <is>
          <t>Athletes
Assigned</t>
        </is>
      </c>
      <c r="J4" s="13" t="inlineStr">
        <is>
          <t>Status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Cricket</t>
        </is>
      </c>
      <c r="F5" s="16" t="inlineStr">
        <is>
          <t>Full-time Faculty (PE)</t>
        </is>
      </c>
      <c r="G5" s="16" t="inlineStr"/>
      <c r="H5" s="16" t="inlineStr"/>
      <c r="I5" s="16" t="inlineStr"/>
      <c r="J5" s="16" t="inlineStr">
        <is>
          <t>Active</t>
        </is>
      </c>
    </row>
    <row r="6" ht="22" customHeight="1">
      <c r="B6" s="8" t="n">
        <v>2</v>
      </c>
      <c r="C6" s="9" t="inlineStr"/>
      <c r="D6" s="9" t="inlineStr"/>
      <c r="E6" s="10" t="inlineStr">
        <is>
          <t>Football</t>
        </is>
      </c>
      <c r="F6" s="10" t="inlineStr">
        <is>
          <t>Full-time Coach</t>
        </is>
      </c>
      <c r="G6" s="10" t="inlineStr"/>
      <c r="H6" s="10" t="inlineStr"/>
      <c r="I6" s="10" t="inlineStr"/>
      <c r="J6" s="10" t="inlineStr">
        <is>
          <t>Active</t>
        </is>
      </c>
    </row>
    <row r="7" ht="22" customHeight="1">
      <c r="B7" s="14" t="n">
        <v>3</v>
      </c>
      <c r="C7" s="15" t="inlineStr"/>
      <c r="D7" s="15" t="inlineStr"/>
      <c r="E7" s="16" t="inlineStr">
        <is>
          <t>Volleyball</t>
        </is>
      </c>
      <c r="F7" s="16" t="inlineStr">
        <is>
          <t>Part-time Coach</t>
        </is>
      </c>
      <c r="G7" s="16" t="inlineStr"/>
      <c r="H7" s="16" t="inlineStr"/>
      <c r="I7" s="16" t="inlineStr"/>
      <c r="J7" s="16" t="inlineStr">
        <is>
          <t>Active</t>
        </is>
      </c>
    </row>
    <row r="8" ht="22" customHeight="1">
      <c r="B8" s="8" t="n">
        <v>4</v>
      </c>
      <c r="C8" s="9" t="inlineStr"/>
      <c r="D8" s="9" t="inlineStr"/>
      <c r="E8" s="10" t="inlineStr">
        <is>
          <t>Basketball</t>
        </is>
      </c>
      <c r="F8" s="10" t="inlineStr">
        <is>
          <t>Visiting Expert Coach</t>
        </is>
      </c>
      <c r="G8" s="10" t="inlineStr"/>
      <c r="H8" s="10" t="inlineStr"/>
      <c r="I8" s="10" t="inlineStr"/>
      <c r="J8" s="10" t="inlineStr">
        <is>
          <t>Active</t>
        </is>
      </c>
    </row>
    <row r="9" ht="22" customHeight="1">
      <c r="B9" s="14" t="n">
        <v>5</v>
      </c>
      <c r="C9" s="15" t="inlineStr"/>
      <c r="D9" s="15" t="inlineStr"/>
      <c r="E9" s="16" t="inlineStr">
        <is>
          <t>Badminton</t>
        </is>
      </c>
      <c r="F9" s="16" t="inlineStr">
        <is>
          <t>External Consultant</t>
        </is>
      </c>
      <c r="G9" s="16" t="inlineStr"/>
      <c r="H9" s="16" t="inlineStr"/>
      <c r="I9" s="16" t="inlineStr"/>
      <c r="J9" s="16" t="inlineStr">
        <is>
          <t>Active</t>
        </is>
      </c>
    </row>
    <row r="10" ht="22" customHeight="1">
      <c r="B10" s="8" t="n">
        <v>6</v>
      </c>
      <c r="C10" s="9" t="inlineStr"/>
      <c r="D10" s="9" t="inlineStr"/>
      <c r="E10" s="10" t="inlineStr">
        <is>
          <t>Table Tennis</t>
        </is>
      </c>
      <c r="F10" s="10" t="inlineStr">
        <is>
          <t>Fitness Trainer</t>
        </is>
      </c>
      <c r="G10" s="10" t="inlineStr"/>
      <c r="H10" s="10" t="inlineStr"/>
      <c r="I10" s="10" t="inlineStr"/>
      <c r="J10" s="10" t="inlineStr">
        <is>
          <t>Active</t>
        </is>
      </c>
    </row>
    <row r="11" ht="22" customHeight="1">
      <c r="B11" s="14" t="n">
        <v>7</v>
      </c>
      <c r="C11" s="15" t="inlineStr"/>
      <c r="D11" s="15" t="inlineStr"/>
      <c r="E11" s="16" t="inlineStr">
        <is>
          <t>Athletics</t>
        </is>
      </c>
      <c r="F11" s="16" t="inlineStr">
        <is>
          <t>Physiotherapist / Sports Therapist</t>
        </is>
      </c>
      <c r="G11" s="16" t="inlineStr"/>
      <c r="H11" s="16" t="inlineStr"/>
      <c r="I11" s="16" t="inlineStr"/>
      <c r="J11" s="16" t="inlineStr">
        <is>
          <t>Active</t>
        </is>
      </c>
    </row>
    <row r="12" ht="22" customHeight="1">
      <c r="B12" s="8" t="n">
        <v>8</v>
      </c>
      <c r="C12" s="9" t="inlineStr"/>
      <c r="D12" s="9" t="inlineStr"/>
      <c r="E12" s="10" t="inlineStr">
        <is>
          <t>Chess</t>
        </is>
      </c>
      <c r="F12" s="10" t="inlineStr">
        <is>
          <t>Full-time Faculty (PE)</t>
        </is>
      </c>
      <c r="G12" s="10" t="inlineStr"/>
      <c r="H12" s="10" t="inlineStr"/>
      <c r="I12" s="10" t="inlineStr"/>
      <c r="J12" s="10" t="inlineStr">
        <is>
          <t>Active</t>
        </is>
      </c>
    </row>
    <row r="13" ht="22" customHeight="1">
      <c r="B13" s="14" t="n">
        <v>9</v>
      </c>
      <c r="C13" s="15" t="inlineStr"/>
      <c r="D13" s="15" t="inlineStr"/>
      <c r="E13" s="16" t="inlineStr">
        <is>
          <t>Kabaddi</t>
        </is>
      </c>
      <c r="F13" s="16" t="inlineStr">
        <is>
          <t>Full-time Coach</t>
        </is>
      </c>
      <c r="G13" s="16" t="inlineStr"/>
      <c r="H13" s="16" t="inlineStr"/>
      <c r="I13" s="16" t="inlineStr"/>
      <c r="J13" s="16" t="inlineStr">
        <is>
          <t>Active</t>
        </is>
      </c>
    </row>
    <row r="14" ht="22" customHeight="1">
      <c r="B14" s="8" t="n">
        <v>10</v>
      </c>
      <c r="C14" s="9" t="inlineStr"/>
      <c r="D14" s="9" t="inlineStr"/>
      <c r="E14" s="10" t="inlineStr">
        <is>
          <t>Kho-Kho</t>
        </is>
      </c>
      <c r="F14" s="10" t="inlineStr">
        <is>
          <t>Part-time Coach</t>
        </is>
      </c>
      <c r="G14" s="10" t="inlineStr"/>
      <c r="H14" s="10" t="inlineStr"/>
      <c r="I14" s="10" t="inlineStr"/>
      <c r="J14" s="10" t="inlineStr">
        <is>
          <t>Active</t>
        </is>
      </c>
    </row>
    <row r="15" ht="22" customHeight="1">
      <c r="B15" s="14" t="n">
        <v>11</v>
      </c>
      <c r="C15" s="15" t="inlineStr"/>
      <c r="D15" s="15" t="inlineStr"/>
      <c r="E15" s="16" t="inlineStr">
        <is>
          <t>Swimming</t>
        </is>
      </c>
      <c r="F15" s="16" t="inlineStr">
        <is>
          <t>Visiting Expert Coach</t>
        </is>
      </c>
      <c r="G15" s="16" t="inlineStr"/>
      <c r="H15" s="16" t="inlineStr"/>
      <c r="I15" s="16" t="inlineStr"/>
      <c r="J15" s="16" t="inlineStr">
        <is>
          <t>Active</t>
        </is>
      </c>
    </row>
    <row r="16" ht="22" customHeight="1">
      <c r="B16" s="8" t="n">
        <v>12</v>
      </c>
      <c r="C16" s="9" t="inlineStr"/>
      <c r="D16" s="9" t="inlineStr"/>
      <c r="E16" s="10" t="inlineStr">
        <is>
          <t>Boxing</t>
        </is>
      </c>
      <c r="F16" s="10" t="inlineStr">
        <is>
          <t>External Consultant</t>
        </is>
      </c>
      <c r="G16" s="10" t="inlineStr"/>
      <c r="H16" s="10" t="inlineStr"/>
      <c r="I16" s="10" t="inlineStr"/>
      <c r="J16" s="10" t="inlineStr">
        <is>
          <t>Active</t>
        </is>
      </c>
    </row>
    <row r="17" ht="22" customHeight="1">
      <c r="B17" s="14" t="n">
        <v>13</v>
      </c>
      <c r="C17" s="15" t="inlineStr"/>
      <c r="D17" s="15" t="inlineStr"/>
      <c r="E17" s="16" t="inlineStr">
        <is>
          <t>Wrestling</t>
        </is>
      </c>
      <c r="F17" s="16" t="inlineStr">
        <is>
          <t>Fitness Trainer</t>
        </is>
      </c>
      <c r="G17" s="16" t="inlineStr"/>
      <c r="H17" s="16" t="inlineStr"/>
      <c r="I17" s="16" t="inlineStr"/>
      <c r="J17" s="16" t="inlineStr">
        <is>
          <t>Active</t>
        </is>
      </c>
    </row>
    <row r="18" ht="22" customHeight="1">
      <c r="B18" s="8" t="n">
        <v>14</v>
      </c>
      <c r="C18" s="9" t="inlineStr"/>
      <c r="D18" s="9" t="inlineStr"/>
      <c r="E18" s="10" t="inlineStr">
        <is>
          <t>Judo</t>
        </is>
      </c>
      <c r="F18" s="10" t="inlineStr">
        <is>
          <t>Physiotherapist / Sports Therapist</t>
        </is>
      </c>
      <c r="G18" s="10" t="inlineStr"/>
      <c r="H18" s="10" t="inlineStr"/>
      <c r="I18" s="10" t="inlineStr"/>
      <c r="J18" s="10" t="inlineStr">
        <is>
          <t>Active</t>
        </is>
      </c>
    </row>
    <row r="19" ht="22" customHeight="1"/>
    <row r="20" ht="20" customHeight="1">
      <c r="B20" s="17" t="inlineStr">
        <is>
          <t>All coaches must hold recognized certifications (SAI / NIS / NSF / University-approved). Coaching qualifications to be verified and updated annually.</t>
        </is>
      </c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</sheetData>
  <mergeCells count="3">
    <mergeCell ref="B20:J20"/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SGC-13: SPORTS TRAINING SESSION LOG</t>
        </is>
      </c>
    </row>
    <row r="3" ht="25" customHeight="1">
      <c r="B3" s="2" t="inlineStr">
        <is>
          <t>Sport: _______  Coach: ___________________  Season: _______  A.Y.: _______</t>
        </is>
      </c>
    </row>
    <row r="4" ht="25" customHeight="1">
      <c r="B4" s="13" t="inlineStr">
        <is>
          <t>Session
No.</t>
        </is>
      </c>
      <c r="C4" s="13" t="inlineStr">
        <is>
          <t>Date</t>
        </is>
      </c>
      <c r="D4" s="13" t="inlineStr">
        <is>
          <t>Day</t>
        </is>
      </c>
      <c r="E4" s="13" t="inlineStr">
        <is>
          <t>Time
(Start–End)</t>
        </is>
      </c>
      <c r="F4" s="13" t="inlineStr">
        <is>
          <t>Venue</t>
        </is>
      </c>
      <c r="G4" s="13" t="inlineStr">
        <is>
          <t>Focus Area</t>
        </is>
      </c>
      <c r="H4" s="13" t="inlineStr">
        <is>
          <t>Players
Registered</t>
        </is>
      </c>
      <c r="I4" s="13" t="inlineStr">
        <is>
          <t>Players
Present</t>
        </is>
      </c>
      <c r="J4" s="13" t="inlineStr">
        <is>
          <t>Attendance
%</t>
        </is>
      </c>
      <c r="K4" s="13" t="inlineStr">
        <is>
          <t>Coach
Notes</t>
        </is>
      </c>
    </row>
    <row r="5" ht="22" customHeight="1">
      <c r="B5" s="14" t="n">
        <v>1</v>
      </c>
      <c r="C5" s="16" t="inlineStr"/>
      <c r="D5" s="16" t="inlineStr">
        <is>
          <t>Mon</t>
        </is>
      </c>
      <c r="E5" s="16" t="inlineStr"/>
      <c r="F5" s="16" t="inlineStr">
        <is>
          <t>Main Ground</t>
        </is>
      </c>
      <c r="G5" s="15" t="inlineStr">
        <is>
          <t>Batting / Bowling (Cricket)</t>
        </is>
      </c>
      <c r="H5" s="16" t="inlineStr"/>
      <c r="I5" s="16" t="inlineStr"/>
      <c r="J5" s="26">
        <f>IFERROR(ROUND(I5/H5*100,1),"")</f>
        <v/>
      </c>
      <c r="K5" s="15" t="inlineStr"/>
    </row>
    <row r="6" ht="22" customHeight="1">
      <c r="B6" s="8" t="n">
        <v>2</v>
      </c>
      <c r="C6" s="10" t="inlineStr"/>
      <c r="D6" s="10" t="inlineStr">
        <is>
          <t>Tue</t>
        </is>
      </c>
      <c r="E6" s="10" t="inlineStr"/>
      <c r="F6" s="10" t="inlineStr">
        <is>
          <t>Main Ground</t>
        </is>
      </c>
      <c r="G6" s="9" t="inlineStr">
        <is>
          <t>Fielding / Ground</t>
        </is>
      </c>
      <c r="H6" s="10" t="inlineStr"/>
      <c r="I6" s="10" t="inlineStr"/>
      <c r="J6" s="36">
        <f>IFERROR(ROUND(I6/H6*100,1),"")</f>
        <v/>
      </c>
      <c r="K6" s="9" t="inlineStr"/>
    </row>
    <row r="7" ht="22" customHeight="1">
      <c r="B7" s="14" t="n">
        <v>3</v>
      </c>
      <c r="C7" s="16" t="inlineStr"/>
      <c r="D7" s="16" t="inlineStr">
        <is>
          <t>Wed</t>
        </is>
      </c>
      <c r="E7" s="16" t="inlineStr"/>
      <c r="F7" s="16" t="inlineStr">
        <is>
          <t>Main Ground</t>
        </is>
      </c>
      <c r="G7" s="15" t="inlineStr">
        <is>
          <t>Fitness &amp; Conditioning</t>
        </is>
      </c>
      <c r="H7" s="16" t="inlineStr"/>
      <c r="I7" s="16" t="inlineStr"/>
      <c r="J7" s="26">
        <f>IFERROR(ROUND(I7/H7*100,1),"")</f>
        <v/>
      </c>
      <c r="K7" s="15" t="inlineStr"/>
    </row>
    <row r="8" ht="22" customHeight="1">
      <c r="B8" s="8" t="n">
        <v>4</v>
      </c>
      <c r="C8" s="10" t="inlineStr"/>
      <c r="D8" s="10" t="inlineStr">
        <is>
          <t>Thu</t>
        </is>
      </c>
      <c r="E8" s="10" t="inlineStr"/>
      <c r="F8" s="10" t="inlineStr">
        <is>
          <t>Main Ground</t>
        </is>
      </c>
      <c r="G8" s="9" t="inlineStr">
        <is>
          <t>Tactical Drills</t>
        </is>
      </c>
      <c r="H8" s="10" t="inlineStr"/>
      <c r="I8" s="10" t="inlineStr"/>
      <c r="J8" s="36">
        <f>IFERROR(ROUND(I8/H8*100,1),"")</f>
        <v/>
      </c>
      <c r="K8" s="9" t="inlineStr"/>
    </row>
    <row r="9" ht="22" customHeight="1">
      <c r="B9" s="14" t="n">
        <v>5</v>
      </c>
      <c r="C9" s="16" t="inlineStr"/>
      <c r="D9" s="16" t="inlineStr">
        <is>
          <t>Fri</t>
        </is>
      </c>
      <c r="E9" s="16" t="inlineStr"/>
      <c r="F9" s="16" t="inlineStr">
        <is>
          <t>Main Ground</t>
        </is>
      </c>
      <c r="G9" s="15" t="inlineStr">
        <is>
          <t>Match Practice</t>
        </is>
      </c>
      <c r="H9" s="16" t="inlineStr"/>
      <c r="I9" s="16" t="inlineStr"/>
      <c r="J9" s="26">
        <f>IFERROR(ROUND(I9/H9*100,1),"")</f>
        <v/>
      </c>
      <c r="K9" s="15" t="inlineStr"/>
    </row>
    <row r="10" ht="22" customHeight="1">
      <c r="B10" s="8" t="n">
        <v>6</v>
      </c>
      <c r="C10" s="10" t="inlineStr"/>
      <c r="D10" s="10" t="inlineStr">
        <is>
          <t>Sat</t>
        </is>
      </c>
      <c r="E10" s="10" t="inlineStr"/>
      <c r="F10" s="10" t="inlineStr">
        <is>
          <t>Main Ground</t>
        </is>
      </c>
      <c r="G10" s="9" t="inlineStr">
        <is>
          <t>Serving &amp; Receiving (Volleyball)</t>
        </is>
      </c>
      <c r="H10" s="10" t="inlineStr"/>
      <c r="I10" s="10" t="inlineStr"/>
      <c r="J10" s="36">
        <f>IFERROR(ROUND(I10/H10*100,1),"")</f>
        <v/>
      </c>
      <c r="K10" s="9" t="inlineStr"/>
    </row>
    <row r="11" ht="22" customHeight="1">
      <c r="B11" s="14" t="n">
        <v>7</v>
      </c>
      <c r="C11" s="16" t="inlineStr"/>
      <c r="D11" s="16" t="inlineStr">
        <is>
          <t>Sun</t>
        </is>
      </c>
      <c r="E11" s="16" t="inlineStr"/>
      <c r="F11" s="16" t="inlineStr">
        <is>
          <t>Main Ground</t>
        </is>
      </c>
      <c r="G11" s="15" t="inlineStr">
        <is>
          <t>Dribbling &amp; Passing</t>
        </is>
      </c>
      <c r="H11" s="16" t="inlineStr"/>
      <c r="I11" s="16" t="inlineStr"/>
      <c r="J11" s="26">
        <f>IFERROR(ROUND(I11/H11*100,1),"")</f>
        <v/>
      </c>
      <c r="K11" s="15" t="inlineStr"/>
    </row>
    <row r="12" ht="22" customHeight="1">
      <c r="B12" s="8" t="n">
        <v>8</v>
      </c>
      <c r="C12" s="10" t="inlineStr"/>
      <c r="D12" s="10" t="inlineStr">
        <is>
          <t>Mon</t>
        </is>
      </c>
      <c r="E12" s="10" t="inlineStr"/>
      <c r="F12" s="10" t="inlineStr">
        <is>
          <t>Main Ground</t>
        </is>
      </c>
      <c r="G12" s="9" t="inlineStr">
        <is>
          <t>Shooting Practice</t>
        </is>
      </c>
      <c r="H12" s="10" t="inlineStr"/>
      <c r="I12" s="10" t="inlineStr"/>
      <c r="J12" s="36">
        <f>IFERROR(ROUND(I12/H12*100,1),"")</f>
        <v/>
      </c>
      <c r="K12" s="9" t="inlineStr"/>
    </row>
    <row r="13" ht="22" customHeight="1">
      <c r="B13" s="14" t="n">
        <v>9</v>
      </c>
      <c r="C13" s="16" t="inlineStr"/>
      <c r="D13" s="16" t="inlineStr">
        <is>
          <t>Tue</t>
        </is>
      </c>
      <c r="E13" s="16" t="inlineStr"/>
      <c r="F13" s="16" t="inlineStr">
        <is>
          <t>Main Ground</t>
        </is>
      </c>
      <c r="G13" s="15" t="inlineStr">
        <is>
          <t>Speed &amp; Agility</t>
        </is>
      </c>
      <c r="H13" s="16" t="inlineStr"/>
      <c r="I13" s="16" t="inlineStr"/>
      <c r="J13" s="26">
        <f>IFERROR(ROUND(I13/H13*100,1),"")</f>
        <v/>
      </c>
      <c r="K13" s="15" t="inlineStr"/>
    </row>
    <row r="14" ht="22" customHeight="1">
      <c r="B14" s="8" t="n">
        <v>10</v>
      </c>
      <c r="C14" s="10" t="inlineStr"/>
      <c r="D14" s="10" t="inlineStr">
        <is>
          <t>Wed</t>
        </is>
      </c>
      <c r="E14" s="10" t="inlineStr"/>
      <c r="F14" s="10" t="inlineStr">
        <is>
          <t>Main Ground</t>
        </is>
      </c>
      <c r="G14" s="9" t="inlineStr">
        <is>
          <t>Strength Training</t>
        </is>
      </c>
      <c r="H14" s="10" t="inlineStr"/>
      <c r="I14" s="10" t="inlineStr"/>
      <c r="J14" s="36">
        <f>IFERROR(ROUND(I14/H14*100,1),"")</f>
        <v/>
      </c>
      <c r="K14" s="9" t="inlineStr"/>
    </row>
    <row r="15" ht="22" customHeight="1">
      <c r="B15" s="14" t="n">
        <v>11</v>
      </c>
      <c r="C15" s="16" t="inlineStr"/>
      <c r="D15" s="16" t="inlineStr">
        <is>
          <t>Thu</t>
        </is>
      </c>
      <c r="E15" s="16" t="inlineStr"/>
      <c r="F15" s="16" t="inlineStr">
        <is>
          <t>Main Ground</t>
        </is>
      </c>
      <c r="G15" s="15" t="inlineStr">
        <is>
          <t>Flexibility &amp; Yoga</t>
        </is>
      </c>
      <c r="H15" s="16" t="inlineStr"/>
      <c r="I15" s="16" t="inlineStr"/>
      <c r="J15" s="26">
        <f>IFERROR(ROUND(I15/H15*100,1),"")</f>
        <v/>
      </c>
      <c r="K15" s="15" t="inlineStr"/>
    </row>
    <row r="16" ht="22" customHeight="1">
      <c r="B16" s="8" t="n">
        <v>12</v>
      </c>
      <c r="C16" s="10" t="inlineStr"/>
      <c r="D16" s="10" t="inlineStr">
        <is>
          <t>Fri</t>
        </is>
      </c>
      <c r="E16" s="10" t="inlineStr"/>
      <c r="F16" s="10" t="inlineStr">
        <is>
          <t>Main Ground</t>
        </is>
      </c>
      <c r="G16" s="9" t="inlineStr">
        <is>
          <t>Endurance Run</t>
        </is>
      </c>
      <c r="H16" s="10" t="inlineStr"/>
      <c r="I16" s="10" t="inlineStr"/>
      <c r="J16" s="36">
        <f>IFERROR(ROUND(I16/H16*100,1),"")</f>
        <v/>
      </c>
      <c r="K16" s="9" t="inlineStr"/>
    </row>
    <row r="17" ht="22" customHeight="1">
      <c r="B17" s="14" t="n">
        <v>13</v>
      </c>
      <c r="C17" s="16" t="inlineStr"/>
      <c r="D17" s="16" t="inlineStr">
        <is>
          <t>Sat</t>
        </is>
      </c>
      <c r="E17" s="16" t="inlineStr"/>
      <c r="F17" s="16" t="inlineStr">
        <is>
          <t>Main Ground</t>
        </is>
      </c>
      <c r="G17" s="15" t="inlineStr">
        <is>
          <t>Strategy &amp; Game Theory</t>
        </is>
      </c>
      <c r="H17" s="16" t="inlineStr"/>
      <c r="I17" s="16" t="inlineStr"/>
      <c r="J17" s="26">
        <f>IFERROR(ROUND(I17/H17*100,1),"")</f>
        <v/>
      </c>
      <c r="K17" s="15" t="inlineStr"/>
    </row>
    <row r="18" ht="22" customHeight="1">
      <c r="B18" s="8" t="n">
        <v>14</v>
      </c>
      <c r="C18" s="10" t="inlineStr"/>
      <c r="D18" s="10" t="inlineStr">
        <is>
          <t>Sun</t>
        </is>
      </c>
      <c r="E18" s="10" t="inlineStr"/>
      <c r="F18" s="10" t="inlineStr">
        <is>
          <t>Main Ground</t>
        </is>
      </c>
      <c r="G18" s="9" t="inlineStr">
        <is>
          <t>Recovery Session</t>
        </is>
      </c>
      <c r="H18" s="10" t="inlineStr"/>
      <c r="I18" s="10" t="inlineStr"/>
      <c r="J18" s="36">
        <f>IFERROR(ROUND(I18/H18*100,1),"")</f>
        <v/>
      </c>
      <c r="K18" s="9" t="inlineStr"/>
    </row>
    <row r="19" ht="22" customHeight="1">
      <c r="B19" s="14" t="n">
        <v>15</v>
      </c>
      <c r="C19" s="16" t="inlineStr"/>
      <c r="D19" s="16" t="inlineStr">
        <is>
          <t>Mon</t>
        </is>
      </c>
      <c r="E19" s="16" t="inlineStr"/>
      <c r="F19" s="16" t="inlineStr">
        <is>
          <t>Main Ground</t>
        </is>
      </c>
      <c r="G19" s="15" t="inlineStr">
        <is>
          <t>Video Analysis</t>
        </is>
      </c>
      <c r="H19" s="16" t="inlineStr"/>
      <c r="I19" s="16" t="inlineStr"/>
      <c r="J19" s="26">
        <f>IFERROR(ROUND(I19/H19*100,1),"")</f>
        <v/>
      </c>
      <c r="K19" s="15" t="inlineStr"/>
    </row>
    <row r="20" ht="22" customHeight="1">
      <c r="B20" s="8" t="n">
        <v>16</v>
      </c>
      <c r="C20" s="10" t="inlineStr"/>
      <c r="D20" s="10" t="inlineStr">
        <is>
          <t>Tue</t>
        </is>
      </c>
      <c r="E20" s="10" t="inlineStr"/>
      <c r="F20" s="10" t="inlineStr">
        <is>
          <t>Main Ground</t>
        </is>
      </c>
      <c r="G20" s="9" t="inlineStr">
        <is>
          <t>Scrimmage / Practice Match</t>
        </is>
      </c>
      <c r="H20" s="10" t="inlineStr"/>
      <c r="I20" s="10" t="inlineStr"/>
      <c r="J20" s="36">
        <f>IFERROR(ROUND(I20/H20*100,1),"")</f>
        <v/>
      </c>
      <c r="K20" s="9" t="inlineStr"/>
    </row>
    <row r="21" ht="22" customHeight="1">
      <c r="B21" s="14" t="n">
        <v>17</v>
      </c>
      <c r="C21" s="16" t="inlineStr"/>
      <c r="D21" s="16" t="inlineStr">
        <is>
          <t>Wed</t>
        </is>
      </c>
      <c r="E21" s="16" t="inlineStr"/>
      <c r="F21" s="16" t="inlineStr">
        <is>
          <t>Main Ground</t>
        </is>
      </c>
      <c r="G21" s="15" t="inlineStr">
        <is>
          <t>Batting / Bowling (Cricket)</t>
        </is>
      </c>
      <c r="H21" s="16" t="inlineStr"/>
      <c r="I21" s="16" t="inlineStr"/>
      <c r="J21" s="26">
        <f>IFERROR(ROUND(I21/H21*100,1),"")</f>
        <v/>
      </c>
      <c r="K21" s="15" t="inlineStr"/>
    </row>
    <row r="22" ht="22" customHeight="1">
      <c r="B22" s="8" t="n">
        <v>18</v>
      </c>
      <c r="C22" s="10" t="inlineStr"/>
      <c r="D22" s="10" t="inlineStr">
        <is>
          <t>Thu</t>
        </is>
      </c>
      <c r="E22" s="10" t="inlineStr"/>
      <c r="F22" s="10" t="inlineStr">
        <is>
          <t>Main Ground</t>
        </is>
      </c>
      <c r="G22" s="9" t="inlineStr">
        <is>
          <t>Fielding / Ground</t>
        </is>
      </c>
      <c r="H22" s="10" t="inlineStr"/>
      <c r="I22" s="10" t="inlineStr"/>
      <c r="J22" s="36">
        <f>IFERROR(ROUND(I22/H22*100,1),"")</f>
        <v/>
      </c>
      <c r="K22" s="9" t="inlineStr"/>
    </row>
    <row r="23" ht="22" customHeight="1">
      <c r="B23" s="14" t="n">
        <v>19</v>
      </c>
      <c r="C23" s="16" t="inlineStr"/>
      <c r="D23" s="16" t="inlineStr">
        <is>
          <t>Fri</t>
        </is>
      </c>
      <c r="E23" s="16" t="inlineStr"/>
      <c r="F23" s="16" t="inlineStr">
        <is>
          <t>Main Ground</t>
        </is>
      </c>
      <c r="G23" s="15" t="inlineStr">
        <is>
          <t>Fitness &amp; Conditioning</t>
        </is>
      </c>
      <c r="H23" s="16" t="inlineStr"/>
      <c r="I23" s="16" t="inlineStr"/>
      <c r="J23" s="26">
        <f>IFERROR(ROUND(I23/H23*100,1),"")</f>
        <v/>
      </c>
      <c r="K23" s="15" t="inlineStr"/>
    </row>
    <row r="24" ht="22" customHeight="1">
      <c r="B24" s="8" t="n">
        <v>20</v>
      </c>
      <c r="C24" s="10" t="inlineStr"/>
      <c r="D24" s="10" t="inlineStr">
        <is>
          <t>Sat</t>
        </is>
      </c>
      <c r="E24" s="10" t="inlineStr"/>
      <c r="F24" s="10" t="inlineStr">
        <is>
          <t>Main Ground</t>
        </is>
      </c>
      <c r="G24" s="9" t="inlineStr">
        <is>
          <t>Tactical Drills</t>
        </is>
      </c>
      <c r="H24" s="10" t="inlineStr"/>
      <c r="I24" s="10" t="inlineStr"/>
      <c r="J24" s="36">
        <f>IFERROR(ROUND(I24/H24*100,1),"")</f>
        <v/>
      </c>
      <c r="K24" s="9" t="inlineStr"/>
    </row>
    <row r="25" ht="22" customHeight="1">
      <c r="B25" s="14" t="n">
        <v>21</v>
      </c>
      <c r="C25" s="16" t="inlineStr"/>
      <c r="D25" s="16" t="inlineStr">
        <is>
          <t>Sun</t>
        </is>
      </c>
      <c r="E25" s="16" t="inlineStr"/>
      <c r="F25" s="16" t="inlineStr">
        <is>
          <t>Main Ground</t>
        </is>
      </c>
      <c r="G25" s="15" t="inlineStr">
        <is>
          <t>Match Practice</t>
        </is>
      </c>
      <c r="H25" s="16" t="inlineStr"/>
      <c r="I25" s="16" t="inlineStr"/>
      <c r="J25" s="26">
        <f>IFERROR(ROUND(I25/H25*100,1),"")</f>
        <v/>
      </c>
      <c r="K25" s="15" t="inlineStr"/>
    </row>
    <row r="26" ht="22" customHeight="1">
      <c r="B26" s="8" t="n">
        <v>22</v>
      </c>
      <c r="C26" s="10" t="inlineStr"/>
      <c r="D26" s="10" t="inlineStr">
        <is>
          <t>Mon</t>
        </is>
      </c>
      <c r="E26" s="10" t="inlineStr"/>
      <c r="F26" s="10" t="inlineStr">
        <is>
          <t>Main Ground</t>
        </is>
      </c>
      <c r="G26" s="9" t="inlineStr">
        <is>
          <t>Serving &amp; Receiving (Volleyball)</t>
        </is>
      </c>
      <c r="H26" s="10" t="inlineStr"/>
      <c r="I26" s="10" t="inlineStr"/>
      <c r="J26" s="36">
        <f>IFERROR(ROUND(I26/H26*100,1),"")</f>
        <v/>
      </c>
      <c r="K26" s="9" t="inlineStr"/>
    </row>
    <row r="27" ht="22" customHeight="1">
      <c r="B27" s="14" t="n">
        <v>23</v>
      </c>
      <c r="C27" s="16" t="inlineStr"/>
      <c r="D27" s="16" t="inlineStr">
        <is>
          <t>Tue</t>
        </is>
      </c>
      <c r="E27" s="16" t="inlineStr"/>
      <c r="F27" s="16" t="inlineStr">
        <is>
          <t>Main Ground</t>
        </is>
      </c>
      <c r="G27" s="15" t="inlineStr">
        <is>
          <t>Dribbling &amp; Passing</t>
        </is>
      </c>
      <c r="H27" s="16" t="inlineStr"/>
      <c r="I27" s="16" t="inlineStr"/>
      <c r="J27" s="26">
        <f>IFERROR(ROUND(I27/H27*100,1),"")</f>
        <v/>
      </c>
      <c r="K27" s="15" t="inlineStr"/>
    </row>
    <row r="28" ht="22" customHeight="1">
      <c r="B28" s="8" t="n">
        <v>24</v>
      </c>
      <c r="C28" s="10" t="inlineStr"/>
      <c r="D28" s="10" t="inlineStr">
        <is>
          <t>Wed</t>
        </is>
      </c>
      <c r="E28" s="10" t="inlineStr"/>
      <c r="F28" s="10" t="inlineStr">
        <is>
          <t>Main Ground</t>
        </is>
      </c>
      <c r="G28" s="9" t="inlineStr">
        <is>
          <t>Shooting Practice</t>
        </is>
      </c>
      <c r="H28" s="10" t="inlineStr"/>
      <c r="I28" s="10" t="inlineStr"/>
      <c r="J28" s="36">
        <f>IFERROR(ROUND(I28/H28*100,1),"")</f>
        <v/>
      </c>
      <c r="K28" s="9" t="inlineStr"/>
    </row>
    <row r="29" ht="22" customHeight="1">
      <c r="B29" s="14" t="n">
        <v>25</v>
      </c>
      <c r="C29" s="16" t="inlineStr"/>
      <c r="D29" s="16" t="inlineStr">
        <is>
          <t>Thu</t>
        </is>
      </c>
      <c r="E29" s="16" t="inlineStr"/>
      <c r="F29" s="16" t="inlineStr">
        <is>
          <t>Main Ground</t>
        </is>
      </c>
      <c r="G29" s="15" t="inlineStr">
        <is>
          <t>Speed &amp; Agility</t>
        </is>
      </c>
      <c r="H29" s="16" t="inlineStr"/>
      <c r="I29" s="16" t="inlineStr"/>
      <c r="J29" s="26">
        <f>IFERROR(ROUND(I29/H29*100,1),"")</f>
        <v/>
      </c>
      <c r="K29" s="15" t="inlineStr"/>
    </row>
    <row r="30" ht="22" customHeight="1">
      <c r="B30" s="8" t="n">
        <v>26</v>
      </c>
      <c r="C30" s="10" t="inlineStr"/>
      <c r="D30" s="10" t="inlineStr">
        <is>
          <t>Fri</t>
        </is>
      </c>
      <c r="E30" s="10" t="inlineStr"/>
      <c r="F30" s="10" t="inlineStr">
        <is>
          <t>Main Ground</t>
        </is>
      </c>
      <c r="G30" s="9" t="inlineStr">
        <is>
          <t>Strength Training</t>
        </is>
      </c>
      <c r="H30" s="10" t="inlineStr"/>
      <c r="I30" s="10" t="inlineStr"/>
      <c r="J30" s="36">
        <f>IFERROR(ROUND(I30/H30*100,1),"")</f>
        <v/>
      </c>
      <c r="K30" s="9" t="inlineStr"/>
    </row>
    <row r="31" ht="22" customHeight="1"/>
    <row r="32" ht="24" customHeight="1">
      <c r="B32" s="39" t="inlineStr">
        <is>
          <t>MONTHLY TRAINING SUMMARY</t>
        </is>
      </c>
    </row>
    <row r="33" ht="22" customHeight="1">
      <c r="B33" s="42" t="inlineStr">
        <is>
          <t>Month</t>
        </is>
      </c>
      <c r="C33" s="42" t="inlineStr">
        <is>
          <t>Sessions
Planned</t>
        </is>
      </c>
      <c r="D33" s="42" t="inlineStr">
        <is>
          <t>Sessions
Held</t>
        </is>
      </c>
      <c r="E33" s="42" t="inlineStr">
        <is>
          <t>Completion %</t>
        </is>
      </c>
      <c r="F33" s="42" t="inlineStr">
        <is>
          <t>Avg. Attendance
%</t>
        </is>
      </c>
      <c r="G33" s="42" t="inlineStr">
        <is>
          <t>Total Training
Hours</t>
        </is>
      </c>
      <c r="H33" s="42" t="inlineStr">
        <is>
          <t>Key
Focus Area</t>
        </is>
      </c>
    </row>
    <row r="34" ht="22" customHeight="1">
      <c r="B34" s="54" t="inlineStr">
        <is>
          <t>April</t>
        </is>
      </c>
      <c r="C34" s="44" t="inlineStr"/>
      <c r="D34" s="44" t="inlineStr"/>
      <c r="E34" s="44">
        <f>IFERROR(ROUND(D34/C34*100,1),"")</f>
        <v/>
      </c>
      <c r="F34" s="44" t="inlineStr"/>
      <c r="G34" s="44" t="inlineStr"/>
      <c r="H34" s="43" t="inlineStr"/>
      <c r="I34" s="45" t="n"/>
      <c r="J34" s="45" t="n"/>
      <c r="K34" s="45" t="n"/>
    </row>
    <row r="35" ht="22" customHeight="1">
      <c r="B35" s="8" t="inlineStr">
        <is>
          <t>May</t>
        </is>
      </c>
      <c r="C35" s="10" t="inlineStr"/>
      <c r="D35" s="10" t="inlineStr"/>
      <c r="E35" s="10">
        <f>IFERROR(ROUND(D35/C35*100,1),"")</f>
        <v/>
      </c>
      <c r="F35" s="10" t="inlineStr"/>
      <c r="G35" s="10" t="inlineStr"/>
      <c r="H35" s="9" t="inlineStr"/>
      <c r="I35" s="46" t="n"/>
      <c r="J35" s="46" t="n"/>
      <c r="K35" s="46" t="n"/>
    </row>
    <row r="36" ht="22" customHeight="1">
      <c r="B36" s="54" t="inlineStr">
        <is>
          <t>June</t>
        </is>
      </c>
      <c r="C36" s="44" t="inlineStr"/>
      <c r="D36" s="44" t="inlineStr"/>
      <c r="E36" s="44">
        <f>IFERROR(ROUND(D36/C36*100,1),"")</f>
        <v/>
      </c>
      <c r="F36" s="44" t="inlineStr"/>
      <c r="G36" s="44" t="inlineStr"/>
      <c r="H36" s="43" t="inlineStr"/>
      <c r="I36" s="45" t="n"/>
      <c r="J36" s="45" t="n"/>
      <c r="K36" s="45" t="n"/>
    </row>
    <row r="37" ht="22" customHeight="1">
      <c r="B37" s="8" t="inlineStr">
        <is>
          <t>July</t>
        </is>
      </c>
      <c r="C37" s="10" t="inlineStr"/>
      <c r="D37" s="10" t="inlineStr"/>
      <c r="E37" s="10">
        <f>IFERROR(ROUND(D37/C37*100,1),"")</f>
        <v/>
      </c>
      <c r="F37" s="10" t="inlineStr"/>
      <c r="G37" s="10" t="inlineStr"/>
      <c r="H37" s="9" t="inlineStr"/>
      <c r="I37" s="46" t="n"/>
      <c r="J37" s="46" t="n"/>
      <c r="K37" s="46" t="n"/>
    </row>
    <row r="38">
      <c r="B38" s="54" t="inlineStr">
        <is>
          <t>August</t>
        </is>
      </c>
      <c r="C38" s="44" t="inlineStr"/>
      <c r="D38" s="44" t="inlineStr"/>
      <c r="E38" s="44">
        <f>IFERROR(ROUND(D38/C38*100,1),"")</f>
        <v/>
      </c>
      <c r="F38" s="44" t="inlineStr"/>
      <c r="G38" s="44" t="inlineStr"/>
      <c r="H38" s="43" t="inlineStr"/>
      <c r="I38" s="45" t="n"/>
      <c r="J38" s="45" t="n"/>
      <c r="K38" s="45" t="n"/>
    </row>
    <row r="39">
      <c r="B39" s="8" t="inlineStr">
        <is>
          <t>September</t>
        </is>
      </c>
      <c r="C39" s="10" t="inlineStr"/>
      <c r="D39" s="10" t="inlineStr"/>
      <c r="E39" s="10">
        <f>IFERROR(ROUND(D39/C39*100,1),"")</f>
        <v/>
      </c>
      <c r="F39" s="10" t="inlineStr"/>
      <c r="G39" s="10" t="inlineStr"/>
      <c r="H39" s="9" t="inlineStr"/>
      <c r="I39" s="46" t="n"/>
      <c r="J39" s="46" t="n"/>
      <c r="K39" s="46" t="n"/>
    </row>
    <row r="40">
      <c r="B40" s="54" t="inlineStr">
        <is>
          <t>October</t>
        </is>
      </c>
      <c r="C40" s="44" t="inlineStr"/>
      <c r="D40" s="44" t="inlineStr"/>
      <c r="E40" s="44">
        <f>IFERROR(ROUND(D40/C40*100,1),"")</f>
        <v/>
      </c>
      <c r="F40" s="44" t="inlineStr"/>
      <c r="G40" s="44" t="inlineStr"/>
      <c r="H40" s="43" t="inlineStr"/>
      <c r="I40" s="45" t="n"/>
      <c r="J40" s="45" t="n"/>
      <c r="K40" s="45" t="n"/>
    </row>
    <row r="41">
      <c r="B41" s="8" t="inlineStr">
        <is>
          <t>November</t>
        </is>
      </c>
      <c r="C41" s="10" t="inlineStr"/>
      <c r="D41" s="10" t="inlineStr"/>
      <c r="E41" s="10">
        <f>IFERROR(ROUND(D41/C41*100,1),"")</f>
        <v/>
      </c>
      <c r="F41" s="10" t="inlineStr"/>
      <c r="G41" s="10" t="inlineStr"/>
      <c r="H41" s="9" t="inlineStr"/>
      <c r="I41" s="46" t="n"/>
      <c r="J41" s="46" t="n"/>
      <c r="K41" s="46" t="n"/>
    </row>
    <row r="42">
      <c r="B42" s="54" t="inlineStr">
        <is>
          <t>December</t>
        </is>
      </c>
      <c r="C42" s="44" t="inlineStr"/>
      <c r="D42" s="44" t="inlineStr"/>
      <c r="E42" s="44">
        <f>IFERROR(ROUND(D42/C42*100,1),"")</f>
        <v/>
      </c>
      <c r="F42" s="44" t="inlineStr"/>
      <c r="G42" s="44" t="inlineStr"/>
      <c r="H42" s="43" t="inlineStr"/>
      <c r="I42" s="45" t="n"/>
      <c r="J42" s="45" t="n"/>
      <c r="K42" s="45" t="n"/>
    </row>
    <row r="43">
      <c r="B43" s="8" t="inlineStr">
        <is>
          <t>January</t>
        </is>
      </c>
      <c r="C43" s="10" t="inlineStr"/>
      <c r="D43" s="10" t="inlineStr"/>
      <c r="E43" s="10">
        <f>IFERROR(ROUND(D43/C43*100,1),"")</f>
        <v/>
      </c>
      <c r="F43" s="10" t="inlineStr"/>
      <c r="G43" s="10" t="inlineStr"/>
      <c r="H43" s="9" t="inlineStr"/>
      <c r="I43" s="46" t="n"/>
      <c r="J43" s="46" t="n"/>
      <c r="K43" s="46" t="n"/>
    </row>
    <row r="44">
      <c r="B44" s="54" t="inlineStr">
        <is>
          <t>February</t>
        </is>
      </c>
      <c r="C44" s="44" t="inlineStr"/>
      <c r="D44" s="44" t="inlineStr"/>
      <c r="E44" s="44">
        <f>IFERROR(ROUND(D44/C44*100,1),"")</f>
        <v/>
      </c>
      <c r="F44" s="44" t="inlineStr"/>
      <c r="G44" s="44" t="inlineStr"/>
      <c r="H44" s="43" t="inlineStr"/>
      <c r="I44" s="45" t="n"/>
      <c r="J44" s="45" t="n"/>
      <c r="K44" s="45" t="n"/>
    </row>
    <row r="45">
      <c r="B45" s="8" t="inlineStr">
        <is>
          <t>March</t>
        </is>
      </c>
      <c r="C45" s="10" t="inlineStr"/>
      <c r="D45" s="10" t="inlineStr"/>
      <c r="E45" s="10">
        <f>IFERROR(ROUND(D45/C45*100,1),"")</f>
        <v/>
      </c>
      <c r="F45" s="10" t="inlineStr"/>
      <c r="G45" s="10" t="inlineStr"/>
      <c r="H45" s="9" t="inlineStr"/>
      <c r="I45" s="46" t="n"/>
      <c r="J45" s="46" t="n"/>
      <c r="K45" s="46" t="n"/>
    </row>
  </sheetData>
  <mergeCells count="3">
    <mergeCell ref="B32:K32"/>
    <mergeCell ref="B3:K3"/>
    <mergeCell ref="B2:K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SGC-16: SPORTS INJURY &amp; MEDICAL REGISTER</t>
        </is>
      </c>
    </row>
    <row r="3" ht="20" customHeight="1">
      <c r="B3" s="17" t="inlineStr">
        <is>
          <t>All injuries must be reported to Sports Director within 24 hours. Serious injuries — notify Principal, parents &amp; medical officer immediately. Medical clearance mandatory before resuming play.</t>
        </is>
      </c>
    </row>
    <row r="4" ht="25" customHeight="1">
      <c r="B4" s="55" t="inlineStr">
        <is>
          <t>Incident
Ref.</t>
        </is>
      </c>
      <c r="C4" s="55" t="inlineStr">
        <is>
          <t>Student Name
/ ID</t>
        </is>
      </c>
      <c r="D4" s="55" t="inlineStr">
        <is>
          <t>Sport /</t>
        </is>
      </c>
      <c r="E4" s="55" t="inlineStr">
        <is>
          <t>Date of
Incident</t>
        </is>
      </c>
      <c r="F4" s="55" t="inlineStr">
        <is>
          <t>Injury
Type</t>
        </is>
      </c>
      <c r="G4" s="55" t="inlineStr">
        <is>
          <t>Body Part
Affected</t>
        </is>
      </c>
      <c r="H4" s="55" t="inlineStr">
        <is>
          <t>First Aid
Given</t>
        </is>
      </c>
      <c r="I4" s="55" t="inlineStr">
        <is>
          <t>Referred To</t>
        </is>
      </c>
      <c r="J4" s="55" t="inlineStr">
        <is>
          <t>Return-to-Play
Clearance Date</t>
        </is>
      </c>
    </row>
    <row r="5" ht="24" customHeight="1">
      <c r="B5" s="56" t="inlineStr">
        <is>
          <t>INJ/2024/001</t>
        </is>
      </c>
      <c r="C5" s="57" t="inlineStr"/>
      <c r="D5" s="58" t="inlineStr"/>
      <c r="E5" s="58" t="inlineStr"/>
      <c r="F5" s="58" t="inlineStr">
        <is>
          <t>Sprain</t>
        </is>
      </c>
      <c r="G5" s="58" t="inlineStr"/>
      <c r="H5" s="58" t="inlineStr">
        <is>
          <t>Yes</t>
        </is>
      </c>
      <c r="I5" s="58" t="inlineStr">
        <is>
          <t>Campus Medical</t>
        </is>
      </c>
      <c r="J5" s="58" t="inlineStr"/>
    </row>
    <row r="6" ht="24" customHeight="1">
      <c r="B6" s="8" t="inlineStr">
        <is>
          <t>INJ/2024/002</t>
        </is>
      </c>
      <c r="C6" s="9" t="inlineStr"/>
      <c r="D6" s="10" t="inlineStr"/>
      <c r="E6" s="10" t="inlineStr"/>
      <c r="F6" s="10" t="inlineStr">
        <is>
          <t>Strain</t>
        </is>
      </c>
      <c r="G6" s="10" t="inlineStr"/>
      <c r="H6" s="10" t="inlineStr">
        <is>
          <t>Yes</t>
        </is>
      </c>
      <c r="I6" s="10" t="inlineStr">
        <is>
          <t>Campus Medical</t>
        </is>
      </c>
      <c r="J6" s="10" t="inlineStr"/>
    </row>
    <row r="7" ht="24" customHeight="1">
      <c r="B7" s="56" t="inlineStr">
        <is>
          <t>INJ/2024/003</t>
        </is>
      </c>
      <c r="C7" s="57" t="inlineStr"/>
      <c r="D7" s="58" t="inlineStr"/>
      <c r="E7" s="58" t="inlineStr"/>
      <c r="F7" s="58" t="inlineStr">
        <is>
          <t>Fracture</t>
        </is>
      </c>
      <c r="G7" s="58" t="inlineStr"/>
      <c r="H7" s="58" t="inlineStr">
        <is>
          <t>Yes</t>
        </is>
      </c>
      <c r="I7" s="58" t="inlineStr">
        <is>
          <t>Campus Medical</t>
        </is>
      </c>
      <c r="J7" s="58" t="inlineStr"/>
    </row>
    <row r="8" ht="24" customHeight="1">
      <c r="B8" s="8" t="inlineStr">
        <is>
          <t>INJ/2024/004</t>
        </is>
      </c>
      <c r="C8" s="9" t="inlineStr"/>
      <c r="D8" s="10" t="inlineStr"/>
      <c r="E8" s="10" t="inlineStr"/>
      <c r="F8" s="10" t="inlineStr">
        <is>
          <t>Contusion</t>
        </is>
      </c>
      <c r="G8" s="10" t="inlineStr"/>
      <c r="H8" s="10" t="inlineStr">
        <is>
          <t>Yes</t>
        </is>
      </c>
      <c r="I8" s="10" t="inlineStr">
        <is>
          <t>Campus Medical</t>
        </is>
      </c>
      <c r="J8" s="10" t="inlineStr"/>
    </row>
    <row r="9" ht="24" customHeight="1">
      <c r="B9" s="56" t="inlineStr">
        <is>
          <t>INJ/2024/005</t>
        </is>
      </c>
      <c r="C9" s="57" t="inlineStr"/>
      <c r="D9" s="58" t="inlineStr"/>
      <c r="E9" s="58" t="inlineStr"/>
      <c r="F9" s="58" t="inlineStr">
        <is>
          <t>Laceration</t>
        </is>
      </c>
      <c r="G9" s="58" t="inlineStr"/>
      <c r="H9" s="58" t="inlineStr">
        <is>
          <t>Yes</t>
        </is>
      </c>
      <c r="I9" s="58" t="inlineStr">
        <is>
          <t>Campus Medical</t>
        </is>
      </c>
      <c r="J9" s="58" t="inlineStr"/>
    </row>
    <row r="10" ht="24" customHeight="1">
      <c r="B10" s="8" t="inlineStr">
        <is>
          <t>INJ/2024/006</t>
        </is>
      </c>
      <c r="C10" s="9" t="inlineStr"/>
      <c r="D10" s="10" t="inlineStr"/>
      <c r="E10" s="10" t="inlineStr"/>
      <c r="F10" s="10" t="inlineStr">
        <is>
          <t>Concussion</t>
        </is>
      </c>
      <c r="G10" s="10" t="inlineStr"/>
      <c r="H10" s="10" t="inlineStr">
        <is>
          <t>Yes</t>
        </is>
      </c>
      <c r="I10" s="10" t="inlineStr">
        <is>
          <t>Campus Medical</t>
        </is>
      </c>
      <c r="J10" s="10" t="inlineStr"/>
    </row>
    <row r="11" ht="24" customHeight="1">
      <c r="B11" s="56" t="inlineStr">
        <is>
          <t>INJ/2024/007</t>
        </is>
      </c>
      <c r="C11" s="57" t="inlineStr"/>
      <c r="D11" s="58" t="inlineStr"/>
      <c r="E11" s="58" t="inlineStr"/>
      <c r="F11" s="58" t="inlineStr">
        <is>
          <t>Dislocation</t>
        </is>
      </c>
      <c r="G11" s="58" t="inlineStr"/>
      <c r="H11" s="58" t="inlineStr">
        <is>
          <t>Yes</t>
        </is>
      </c>
      <c r="I11" s="58" t="inlineStr">
        <is>
          <t>Campus Medical</t>
        </is>
      </c>
      <c r="J11" s="58" t="inlineStr"/>
    </row>
    <row r="12" ht="24" customHeight="1">
      <c r="B12" s="8" t="inlineStr">
        <is>
          <t>INJ/2024/008</t>
        </is>
      </c>
      <c r="C12" s="9" t="inlineStr"/>
      <c r="D12" s="10" t="inlineStr"/>
      <c r="E12" s="10" t="inlineStr"/>
      <c r="F12" s="10" t="inlineStr">
        <is>
          <t>Heat Exhaustion</t>
        </is>
      </c>
      <c r="G12" s="10" t="inlineStr"/>
      <c r="H12" s="10" t="inlineStr">
        <is>
          <t>Yes</t>
        </is>
      </c>
      <c r="I12" s="10" t="inlineStr">
        <is>
          <t>Campus Medical</t>
        </is>
      </c>
      <c r="J12" s="10" t="inlineStr"/>
    </row>
    <row r="13" ht="24" customHeight="1">
      <c r="B13" s="56" t="inlineStr">
        <is>
          <t>INJ/2024/009</t>
        </is>
      </c>
      <c r="C13" s="57" t="inlineStr"/>
      <c r="D13" s="58" t="inlineStr"/>
      <c r="E13" s="58" t="inlineStr"/>
      <c r="F13" s="58" t="inlineStr">
        <is>
          <t>Cramp</t>
        </is>
      </c>
      <c r="G13" s="58" t="inlineStr"/>
      <c r="H13" s="58" t="inlineStr">
        <is>
          <t>Yes</t>
        </is>
      </c>
      <c r="I13" s="58" t="inlineStr">
        <is>
          <t>Campus Medical</t>
        </is>
      </c>
      <c r="J13" s="58" t="inlineStr"/>
    </row>
    <row r="14" ht="24" customHeight="1">
      <c r="B14" s="8" t="inlineStr">
        <is>
          <t>INJ/2025/010</t>
        </is>
      </c>
      <c r="C14" s="9" t="inlineStr"/>
      <c r="D14" s="10" t="inlineStr"/>
      <c r="E14" s="10" t="inlineStr"/>
      <c r="F14" s="10" t="inlineStr">
        <is>
          <t>Overuse Injury</t>
        </is>
      </c>
      <c r="G14" s="10" t="inlineStr"/>
      <c r="H14" s="10" t="inlineStr">
        <is>
          <t>Yes</t>
        </is>
      </c>
      <c r="I14" s="10" t="inlineStr">
        <is>
          <t>Campus Medical</t>
        </is>
      </c>
      <c r="J14" s="10" t="inlineStr"/>
    </row>
    <row r="15" ht="24" customHeight="1">
      <c r="B15" s="56" t="inlineStr">
        <is>
          <t>INJ/2025/011</t>
        </is>
      </c>
      <c r="C15" s="57" t="inlineStr"/>
      <c r="D15" s="58" t="inlineStr"/>
      <c r="E15" s="58" t="inlineStr"/>
      <c r="F15" s="58" t="inlineStr">
        <is>
          <t>Other</t>
        </is>
      </c>
      <c r="G15" s="58" t="inlineStr"/>
      <c r="H15" s="58" t="inlineStr">
        <is>
          <t>Yes</t>
        </is>
      </c>
      <c r="I15" s="58" t="inlineStr">
        <is>
          <t>Campus Medical</t>
        </is>
      </c>
      <c r="J15" s="58" t="inlineStr"/>
    </row>
    <row r="16" ht="24" customHeight="1">
      <c r="B16" s="8" t="inlineStr">
        <is>
          <t>INJ/2025/012</t>
        </is>
      </c>
      <c r="C16" s="9" t="inlineStr"/>
      <c r="D16" s="10" t="inlineStr"/>
      <c r="E16" s="10" t="inlineStr"/>
      <c r="F16" s="10" t="inlineStr">
        <is>
          <t>Sprain</t>
        </is>
      </c>
      <c r="G16" s="10" t="inlineStr"/>
      <c r="H16" s="10" t="inlineStr">
        <is>
          <t>Yes</t>
        </is>
      </c>
      <c r="I16" s="10" t="inlineStr">
        <is>
          <t>Campus Medical</t>
        </is>
      </c>
      <c r="J16" s="10" t="inlineStr"/>
    </row>
    <row r="17" ht="24" customHeight="1">
      <c r="B17" s="56" t="inlineStr">
        <is>
          <t>INJ/2025/013</t>
        </is>
      </c>
      <c r="C17" s="57" t="inlineStr"/>
      <c r="D17" s="58" t="inlineStr"/>
      <c r="E17" s="58" t="inlineStr"/>
      <c r="F17" s="58" t="inlineStr">
        <is>
          <t>Strain</t>
        </is>
      </c>
      <c r="G17" s="58" t="inlineStr"/>
      <c r="H17" s="58" t="inlineStr">
        <is>
          <t>Yes</t>
        </is>
      </c>
      <c r="I17" s="58" t="inlineStr">
        <is>
          <t>Campus Medical</t>
        </is>
      </c>
      <c r="J17" s="58" t="inlineStr"/>
    </row>
    <row r="18" ht="24" customHeight="1">
      <c r="B18" s="8" t="inlineStr">
        <is>
          <t>INJ/2025/014</t>
        </is>
      </c>
      <c r="C18" s="9" t="inlineStr"/>
      <c r="D18" s="10" t="inlineStr"/>
      <c r="E18" s="10" t="inlineStr"/>
      <c r="F18" s="10" t="inlineStr">
        <is>
          <t>Fracture</t>
        </is>
      </c>
      <c r="G18" s="10" t="inlineStr"/>
      <c r="H18" s="10" t="inlineStr">
        <is>
          <t>Yes</t>
        </is>
      </c>
      <c r="I18" s="10" t="inlineStr">
        <is>
          <t>Campus Medical</t>
        </is>
      </c>
      <c r="J18" s="10" t="inlineStr"/>
    </row>
    <row r="19" ht="24" customHeight="1">
      <c r="B19" s="56" t="inlineStr">
        <is>
          <t>INJ/2025/015</t>
        </is>
      </c>
      <c r="C19" s="57" t="inlineStr"/>
      <c r="D19" s="58" t="inlineStr"/>
      <c r="E19" s="58" t="inlineStr"/>
      <c r="F19" s="58" t="inlineStr">
        <is>
          <t>Contusion</t>
        </is>
      </c>
      <c r="G19" s="58" t="inlineStr"/>
      <c r="H19" s="58" t="inlineStr">
        <is>
          <t>Yes</t>
        </is>
      </c>
      <c r="I19" s="58" t="inlineStr">
        <is>
          <t>Campus Medical</t>
        </is>
      </c>
      <c r="J19" s="58" t="inlineStr"/>
    </row>
    <row r="20" ht="24" customHeight="1">
      <c r="B20" s="8" t="inlineStr">
        <is>
          <t>INJ/2025/016</t>
        </is>
      </c>
      <c r="C20" s="9" t="inlineStr"/>
      <c r="D20" s="10" t="inlineStr"/>
      <c r="E20" s="10" t="inlineStr"/>
      <c r="F20" s="10" t="inlineStr">
        <is>
          <t>Laceration</t>
        </is>
      </c>
      <c r="G20" s="10" t="inlineStr"/>
      <c r="H20" s="10" t="inlineStr">
        <is>
          <t>Yes</t>
        </is>
      </c>
      <c r="I20" s="10" t="inlineStr">
        <is>
          <t>Campus Medical</t>
        </is>
      </c>
      <c r="J20" s="10" t="inlineStr"/>
    </row>
    <row r="21" ht="24" customHeight="1">
      <c r="B21" s="56" t="inlineStr">
        <is>
          <t>INJ/2025/017</t>
        </is>
      </c>
      <c r="C21" s="57" t="inlineStr"/>
      <c r="D21" s="58" t="inlineStr"/>
      <c r="E21" s="58" t="inlineStr"/>
      <c r="F21" s="58" t="inlineStr">
        <is>
          <t>Concussion</t>
        </is>
      </c>
      <c r="G21" s="58" t="inlineStr"/>
      <c r="H21" s="58" t="inlineStr">
        <is>
          <t>Yes</t>
        </is>
      </c>
      <c r="I21" s="58" t="inlineStr">
        <is>
          <t>Campus Medical</t>
        </is>
      </c>
      <c r="J21" s="58" t="inlineStr"/>
    </row>
    <row r="22" ht="24" customHeight="1">
      <c r="B22" s="8" t="inlineStr">
        <is>
          <t>INJ/2025/018</t>
        </is>
      </c>
      <c r="C22" s="9" t="inlineStr"/>
      <c r="D22" s="10" t="inlineStr"/>
      <c r="E22" s="10" t="inlineStr"/>
      <c r="F22" s="10" t="inlineStr">
        <is>
          <t>Dislocation</t>
        </is>
      </c>
      <c r="G22" s="10" t="inlineStr"/>
      <c r="H22" s="10" t="inlineStr">
        <is>
          <t>Yes</t>
        </is>
      </c>
      <c r="I22" s="10" t="inlineStr">
        <is>
          <t>Campus Medical</t>
        </is>
      </c>
      <c r="J22" s="10" t="inlineStr"/>
    </row>
    <row r="23" ht="24" customHeight="1"/>
    <row r="24" ht="24" customHeight="1">
      <c r="B24" s="59" t="inlineStr">
        <is>
          <t>INJURY STATISTICS</t>
        </is>
      </c>
    </row>
    <row r="25" ht="24" customHeight="1">
      <c r="B25" s="60" t="inlineStr">
        <is>
          <t>Total Injuries This Year</t>
        </is>
      </c>
      <c r="F25" s="26">
        <f>COUNTA(B5:B22)</f>
        <v/>
      </c>
    </row>
    <row r="26" ht="24" customHeight="1">
      <c r="B26" s="25" t="inlineStr">
        <is>
          <t>Sprains &amp; Strains</t>
        </is>
      </c>
      <c r="F26" s="36">
        <f>COUNTIF(F5:F22,"Sprain")</f>
        <v/>
      </c>
    </row>
    <row r="27" ht="24" customHeight="1">
      <c r="B27" s="60" t="inlineStr">
        <is>
          <t>Fractures</t>
        </is>
      </c>
      <c r="F27" s="26">
        <f>COUNTIF(F5:F22,"Fracture")</f>
        <v/>
      </c>
    </row>
    <row r="28" ht="24" customHeight="1">
      <c r="B28" s="25" t="inlineStr">
        <is>
          <t>Concussions</t>
        </is>
      </c>
      <c r="F28" s="36">
        <f>COUNTIF(F5:F22,"Concussion")</f>
        <v/>
      </c>
    </row>
    <row r="29" ht="24" customHeight="1">
      <c r="B29" s="60" t="inlineStr">
        <is>
          <t>Players Currently Injured</t>
        </is>
      </c>
      <c r="F29" s="26" t="inlineStr"/>
    </row>
    <row r="30">
      <c r="B30" s="25" t="inlineStr">
        <is>
          <t>Average Return-to-Play Days</t>
        </is>
      </c>
      <c r="F30" s="36" t="inlineStr"/>
    </row>
  </sheetData>
  <mergeCells count="15">
    <mergeCell ref="B26:E26"/>
    <mergeCell ref="B27:E27"/>
    <mergeCell ref="B3:J3"/>
    <mergeCell ref="F29:J29"/>
    <mergeCell ref="F30:J30"/>
    <mergeCell ref="F26:J26"/>
    <mergeCell ref="B30:E30"/>
    <mergeCell ref="F25:J25"/>
    <mergeCell ref="F27:J27"/>
    <mergeCell ref="B25:E25"/>
    <mergeCell ref="F28:J28"/>
    <mergeCell ref="B29:E29"/>
    <mergeCell ref="B28:E28"/>
    <mergeCell ref="B24:J24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K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SGC-17: INTRA-INSTITUTIONAL TOURNAMENT REGISTER</t>
        </is>
      </c>
    </row>
    <row r="3" ht="25" customHeight="1">
      <c r="B3" s="2" t="inlineStr">
        <is>
          <t>A.Y.: _______  Sports Director: ___________________</t>
        </is>
      </c>
    </row>
    <row r="4" ht="25" customHeight="1">
      <c r="B4" s="13" t="inlineStr">
        <is>
          <t>Tourn.
Ref.</t>
        </is>
      </c>
      <c r="C4" s="13" t="inlineStr">
        <is>
          <t>Tournament Title</t>
        </is>
      </c>
      <c r="D4" s="13" t="inlineStr">
        <is>
          <t>Sport</t>
        </is>
      </c>
      <c r="E4" s="13" t="inlineStr">
        <is>
          <t>Date(s)</t>
        </is>
      </c>
      <c r="F4" s="13" t="inlineStr">
        <is>
          <t>Format</t>
        </is>
      </c>
      <c r="G4" s="13" t="inlineStr">
        <is>
          <t>Depts. /
Teams</t>
        </is>
      </c>
      <c r="H4" s="13" t="inlineStr">
        <is>
          <t>Teams
Participating</t>
        </is>
      </c>
      <c r="I4" s="13" t="inlineStr">
        <is>
          <t>Students
Participating</t>
        </is>
      </c>
      <c r="J4" s="13" t="inlineStr">
        <is>
          <t>Winner</t>
        </is>
      </c>
      <c r="K4" s="13" t="inlineStr">
        <is>
          <t>Runner-up</t>
        </is>
      </c>
    </row>
    <row r="5" ht="22" customHeight="1">
      <c r="B5" s="14" t="inlineStr">
        <is>
          <t>INTRA/2024/001</t>
        </is>
      </c>
      <c r="C5" s="15" t="inlineStr"/>
      <c r="D5" s="16" t="inlineStr">
        <is>
          <t>Cricket</t>
        </is>
      </c>
      <c r="E5" s="16" t="inlineStr"/>
      <c r="F5" s="16" t="inlineStr">
        <is>
          <t>League + Knockout</t>
        </is>
      </c>
      <c r="G5" s="16" t="inlineStr">
        <is>
          <t>All Depts.</t>
        </is>
      </c>
      <c r="H5" s="16" t="inlineStr"/>
      <c r="I5" s="16" t="inlineStr"/>
      <c r="J5" s="16" t="inlineStr"/>
      <c r="K5" s="16" t="inlineStr"/>
    </row>
    <row r="6" ht="22" customHeight="1">
      <c r="B6" s="8" t="inlineStr">
        <is>
          <t>INTRA/2024/002</t>
        </is>
      </c>
      <c r="C6" s="9" t="inlineStr"/>
      <c r="D6" s="10" t="inlineStr">
        <is>
          <t>Football</t>
        </is>
      </c>
      <c r="E6" s="10" t="inlineStr"/>
      <c r="F6" s="10" t="inlineStr">
        <is>
          <t>Double League</t>
        </is>
      </c>
      <c r="G6" s="10" t="inlineStr">
        <is>
          <t>All Depts.</t>
        </is>
      </c>
      <c r="H6" s="10" t="inlineStr"/>
      <c r="I6" s="10" t="inlineStr"/>
      <c r="J6" s="10" t="inlineStr"/>
      <c r="K6" s="10" t="inlineStr"/>
    </row>
    <row r="7" ht="22" customHeight="1">
      <c r="B7" s="14" t="inlineStr">
        <is>
          <t>INTRA/2024/003</t>
        </is>
      </c>
      <c r="C7" s="15" t="inlineStr"/>
      <c r="D7" s="16" t="inlineStr">
        <is>
          <t>Volleyball</t>
        </is>
      </c>
      <c r="E7" s="16" t="inlineStr"/>
      <c r="F7" s="16" t="inlineStr">
        <is>
          <t>Round Robin</t>
        </is>
      </c>
      <c r="G7" s="16" t="inlineStr">
        <is>
          <t>All Depts.</t>
        </is>
      </c>
      <c r="H7" s="16" t="inlineStr"/>
      <c r="I7" s="16" t="inlineStr"/>
      <c r="J7" s="16" t="inlineStr"/>
      <c r="K7" s="16" t="inlineStr"/>
    </row>
    <row r="8" ht="22" customHeight="1">
      <c r="B8" s="8" t="inlineStr">
        <is>
          <t>INTRA/2024/004</t>
        </is>
      </c>
      <c r="C8" s="9" t="inlineStr"/>
      <c r="D8" s="10" t="inlineStr">
        <is>
          <t>Basketball</t>
        </is>
      </c>
      <c r="E8" s="10" t="inlineStr"/>
      <c r="F8" s="10" t="inlineStr">
        <is>
          <t>Knockout</t>
        </is>
      </c>
      <c r="G8" s="10" t="inlineStr">
        <is>
          <t>All Depts.</t>
        </is>
      </c>
      <c r="H8" s="10" t="inlineStr"/>
      <c r="I8" s="10" t="inlineStr"/>
      <c r="J8" s="10" t="inlineStr"/>
      <c r="K8" s="10" t="inlineStr"/>
    </row>
    <row r="9" ht="22" customHeight="1">
      <c r="B9" s="14" t="inlineStr">
        <is>
          <t>INTRA/2024/005</t>
        </is>
      </c>
      <c r="C9" s="15" t="inlineStr"/>
      <c r="D9" s="16" t="inlineStr">
        <is>
          <t>Badminton</t>
        </is>
      </c>
      <c r="E9" s="16" t="inlineStr"/>
      <c r="F9" s="16" t="inlineStr">
        <is>
          <t>Single League</t>
        </is>
      </c>
      <c r="G9" s="16" t="inlineStr">
        <is>
          <t>All Depts.</t>
        </is>
      </c>
      <c r="H9" s="16" t="inlineStr"/>
      <c r="I9" s="16" t="inlineStr"/>
      <c r="J9" s="16" t="inlineStr"/>
      <c r="K9" s="16" t="inlineStr"/>
    </row>
    <row r="10" ht="22" customHeight="1">
      <c r="B10" s="8" t="inlineStr">
        <is>
          <t>INTRA/2024/006</t>
        </is>
      </c>
      <c r="C10" s="9" t="inlineStr"/>
      <c r="D10" s="10" t="inlineStr">
        <is>
          <t>Table Tennis</t>
        </is>
      </c>
      <c r="E10" s="10" t="inlineStr"/>
      <c r="F10" s="10" t="inlineStr">
        <is>
          <t>Swiss System</t>
        </is>
      </c>
      <c r="G10" s="10" t="inlineStr">
        <is>
          <t>All Depts.</t>
        </is>
      </c>
      <c r="H10" s="10" t="inlineStr"/>
      <c r="I10" s="10" t="inlineStr"/>
      <c r="J10" s="10" t="inlineStr"/>
      <c r="K10" s="10" t="inlineStr"/>
    </row>
    <row r="11" ht="22" customHeight="1">
      <c r="B11" s="14" t="inlineStr">
        <is>
          <t>INTRA/2024/007</t>
        </is>
      </c>
      <c r="C11" s="15" t="inlineStr"/>
      <c r="D11" s="16" t="inlineStr">
        <is>
          <t>Athletics</t>
        </is>
      </c>
      <c r="E11" s="16" t="inlineStr"/>
      <c r="F11" s="16" t="inlineStr">
        <is>
          <t>League + Knockout</t>
        </is>
      </c>
      <c r="G11" s="16" t="inlineStr">
        <is>
          <t>All Depts.</t>
        </is>
      </c>
      <c r="H11" s="16" t="inlineStr"/>
      <c r="I11" s="16" t="inlineStr"/>
      <c r="J11" s="16" t="inlineStr"/>
      <c r="K11" s="16" t="inlineStr"/>
    </row>
    <row r="12" ht="22" customHeight="1">
      <c r="B12" s="8" t="inlineStr">
        <is>
          <t>INTRA/2024/008</t>
        </is>
      </c>
      <c r="C12" s="9" t="inlineStr"/>
      <c r="D12" s="10" t="inlineStr">
        <is>
          <t>Chess</t>
        </is>
      </c>
      <c r="E12" s="10" t="inlineStr"/>
      <c r="F12" s="10" t="inlineStr">
        <is>
          <t>Double League</t>
        </is>
      </c>
      <c r="G12" s="10" t="inlineStr">
        <is>
          <t>All Depts.</t>
        </is>
      </c>
      <c r="H12" s="10" t="inlineStr"/>
      <c r="I12" s="10" t="inlineStr"/>
      <c r="J12" s="10" t="inlineStr"/>
      <c r="K12" s="10" t="inlineStr"/>
    </row>
    <row r="13" ht="22" customHeight="1">
      <c r="B13" s="14" t="inlineStr">
        <is>
          <t>INTRA/2024/009</t>
        </is>
      </c>
      <c r="C13" s="15" t="inlineStr"/>
      <c r="D13" s="16" t="inlineStr">
        <is>
          <t>Kabaddi</t>
        </is>
      </c>
      <c r="E13" s="16" t="inlineStr"/>
      <c r="F13" s="16" t="inlineStr">
        <is>
          <t>Round Robin</t>
        </is>
      </c>
      <c r="G13" s="16" t="inlineStr">
        <is>
          <t>All Depts.</t>
        </is>
      </c>
      <c r="H13" s="16" t="inlineStr"/>
      <c r="I13" s="16" t="inlineStr"/>
      <c r="J13" s="16" t="inlineStr"/>
      <c r="K13" s="16" t="inlineStr"/>
    </row>
    <row r="14" ht="22" customHeight="1">
      <c r="B14" s="8" t="inlineStr">
        <is>
          <t>INTRA/2025/010</t>
        </is>
      </c>
      <c r="C14" s="9" t="inlineStr"/>
      <c r="D14" s="10" t="inlineStr">
        <is>
          <t>Kho-Kho</t>
        </is>
      </c>
      <c r="E14" s="10" t="inlineStr"/>
      <c r="F14" s="10" t="inlineStr">
        <is>
          <t>Knockout</t>
        </is>
      </c>
      <c r="G14" s="10" t="inlineStr">
        <is>
          <t>All Depts.</t>
        </is>
      </c>
      <c r="H14" s="10" t="inlineStr"/>
      <c r="I14" s="10" t="inlineStr"/>
      <c r="J14" s="10" t="inlineStr"/>
      <c r="K14" s="10" t="inlineStr"/>
    </row>
    <row r="15" ht="22" customHeight="1">
      <c r="B15" s="14" t="inlineStr">
        <is>
          <t>INTRA/2025/011</t>
        </is>
      </c>
      <c r="C15" s="15" t="inlineStr"/>
      <c r="D15" s="16" t="inlineStr">
        <is>
          <t>Swimming</t>
        </is>
      </c>
      <c r="E15" s="16" t="inlineStr"/>
      <c r="F15" s="16" t="inlineStr">
        <is>
          <t>Single League</t>
        </is>
      </c>
      <c r="G15" s="16" t="inlineStr">
        <is>
          <t>All Depts.</t>
        </is>
      </c>
      <c r="H15" s="16" t="inlineStr"/>
      <c r="I15" s="16" t="inlineStr"/>
      <c r="J15" s="16" t="inlineStr"/>
      <c r="K15" s="16" t="inlineStr"/>
    </row>
    <row r="16" ht="22" customHeight="1">
      <c r="B16" s="8" t="inlineStr">
        <is>
          <t>INTRA/2025/012</t>
        </is>
      </c>
      <c r="C16" s="9" t="inlineStr"/>
      <c r="D16" s="10" t="inlineStr">
        <is>
          <t>Boxing</t>
        </is>
      </c>
      <c r="E16" s="10" t="inlineStr"/>
      <c r="F16" s="10" t="inlineStr">
        <is>
          <t>Swiss System</t>
        </is>
      </c>
      <c r="G16" s="10" t="inlineStr">
        <is>
          <t>All Depts.</t>
        </is>
      </c>
      <c r="H16" s="10" t="inlineStr"/>
      <c r="I16" s="10" t="inlineStr"/>
      <c r="J16" s="10" t="inlineStr"/>
      <c r="K16" s="10" t="inlineStr"/>
    </row>
    <row r="17" ht="22" customHeight="1">
      <c r="B17" s="14" t="inlineStr">
        <is>
          <t>INTRA/2025/013</t>
        </is>
      </c>
      <c r="C17" s="15" t="inlineStr"/>
      <c r="D17" s="16" t="inlineStr">
        <is>
          <t>Wrestling</t>
        </is>
      </c>
      <c r="E17" s="16" t="inlineStr"/>
      <c r="F17" s="16" t="inlineStr">
        <is>
          <t>League + Knockout</t>
        </is>
      </c>
      <c r="G17" s="16" t="inlineStr">
        <is>
          <t>All Depts.</t>
        </is>
      </c>
      <c r="H17" s="16" t="inlineStr"/>
      <c r="I17" s="16" t="inlineStr"/>
      <c r="J17" s="16" t="inlineStr"/>
      <c r="K17" s="16" t="inlineStr"/>
    </row>
    <row r="18" ht="22" customHeight="1">
      <c r="B18" s="8" t="inlineStr">
        <is>
          <t>INTRA/2025/014</t>
        </is>
      </c>
      <c r="C18" s="9" t="inlineStr"/>
      <c r="D18" s="10" t="inlineStr">
        <is>
          <t>Judo</t>
        </is>
      </c>
      <c r="E18" s="10" t="inlineStr"/>
      <c r="F18" s="10" t="inlineStr">
        <is>
          <t>Double League</t>
        </is>
      </c>
      <c r="G18" s="10" t="inlineStr">
        <is>
          <t>All Depts.</t>
        </is>
      </c>
      <c r="H18" s="10" t="inlineStr"/>
      <c r="I18" s="10" t="inlineStr"/>
      <c r="J18" s="10" t="inlineStr"/>
      <c r="K18" s="10" t="inlineStr"/>
    </row>
    <row r="19" ht="22" customHeight="1">
      <c r="B19" s="14" t="inlineStr">
        <is>
          <t>INTRA/2025/015</t>
        </is>
      </c>
      <c r="C19" s="15" t="inlineStr"/>
      <c r="D19" s="16" t="inlineStr">
        <is>
          <t>Cycling</t>
        </is>
      </c>
      <c r="E19" s="16" t="inlineStr"/>
      <c r="F19" s="16" t="inlineStr">
        <is>
          <t>Round Robin</t>
        </is>
      </c>
      <c r="G19" s="16" t="inlineStr">
        <is>
          <t>All Depts.</t>
        </is>
      </c>
      <c r="H19" s="16" t="inlineStr"/>
      <c r="I19" s="16" t="inlineStr"/>
      <c r="J19" s="16" t="inlineStr"/>
      <c r="K19" s="16" t="inlineStr"/>
    </row>
    <row r="20" ht="22" customHeight="1">
      <c r="B20" s="8" t="inlineStr">
        <is>
          <t>INTRA/2025/016</t>
        </is>
      </c>
      <c r="C20" s="9" t="inlineStr"/>
      <c r="D20" s="10" t="inlineStr">
        <is>
          <t>Shooting</t>
        </is>
      </c>
      <c r="E20" s="10" t="inlineStr"/>
      <c r="F20" s="10" t="inlineStr">
        <is>
          <t>Knockout</t>
        </is>
      </c>
      <c r="G20" s="10" t="inlineStr">
        <is>
          <t>All Depts.</t>
        </is>
      </c>
      <c r="H20" s="10" t="inlineStr"/>
      <c r="I20" s="10" t="inlineStr"/>
      <c r="J20" s="10" t="inlineStr"/>
      <c r="K20" s="10" t="inlineStr"/>
    </row>
    <row r="21" ht="22" customHeight="1">
      <c r="B21" s="14" t="inlineStr">
        <is>
          <t>INTRA/2025/017</t>
        </is>
      </c>
      <c r="C21" s="15" t="inlineStr"/>
      <c r="D21" s="16" t="inlineStr">
        <is>
          <t>Cricket</t>
        </is>
      </c>
      <c r="E21" s="16" t="inlineStr"/>
      <c r="F21" s="16" t="inlineStr">
        <is>
          <t>Single League</t>
        </is>
      </c>
      <c r="G21" s="16" t="inlineStr">
        <is>
          <t>All Depts.</t>
        </is>
      </c>
      <c r="H21" s="16" t="inlineStr"/>
      <c r="I21" s="16" t="inlineStr"/>
      <c r="J21" s="16" t="inlineStr"/>
      <c r="K21" s="16" t="inlineStr"/>
    </row>
    <row r="22" ht="22" customHeight="1">
      <c r="B22" s="8" t="inlineStr">
        <is>
          <t>INTRA/2025/018</t>
        </is>
      </c>
      <c r="C22" s="9" t="inlineStr"/>
      <c r="D22" s="10" t="inlineStr">
        <is>
          <t>Football</t>
        </is>
      </c>
      <c r="E22" s="10" t="inlineStr"/>
      <c r="F22" s="10" t="inlineStr">
        <is>
          <t>Swiss System</t>
        </is>
      </c>
      <c r="G22" s="10" t="inlineStr">
        <is>
          <t>All Depts.</t>
        </is>
      </c>
      <c r="H22" s="10" t="inlineStr"/>
      <c r="I22" s="10" t="inlineStr"/>
      <c r="J22" s="10" t="inlineStr"/>
      <c r="K22" s="10" t="inlineStr"/>
    </row>
    <row r="23" ht="22" customHeight="1"/>
    <row r="24" ht="24" customHeight="1">
      <c r="B24" s="39" t="inlineStr">
        <is>
          <t>SPORT-WISE PARTICIPATION SUMMARY</t>
        </is>
      </c>
    </row>
    <row r="25" ht="22" customHeight="1">
      <c r="B25" s="42" t="inlineStr">
        <is>
          <t>Sport</t>
        </is>
      </c>
      <c r="C25" s="42" t="inlineStr">
        <is>
          <t>Tournaments
Held</t>
        </is>
      </c>
      <c r="D25" s="42" t="inlineStr">
        <is>
          <t>Total Teams</t>
        </is>
      </c>
      <c r="E25" s="42" t="inlineStr">
        <is>
          <t>Total Participants</t>
        </is>
      </c>
      <c r="F25" s="42" t="inlineStr">
        <is>
          <t>Male</t>
        </is>
      </c>
      <c r="G25" s="42" t="inlineStr">
        <is>
          <t>Female</t>
        </is>
      </c>
      <c r="H25" s="42" t="inlineStr">
        <is>
          <t>Avg. Teams
per Tournament</t>
        </is>
      </c>
      <c r="I25" s="42" t="inlineStr">
        <is>
          <t>Most Popular
Team / Dept.</t>
        </is>
      </c>
    </row>
    <row r="26" ht="22" customHeight="1">
      <c r="B26" s="43" t="inlineStr">
        <is>
          <t>Cricket</t>
        </is>
      </c>
      <c r="C26" s="44" t="inlineStr"/>
      <c r="D26" s="44" t="inlineStr"/>
      <c r="E26" s="44" t="inlineStr"/>
      <c r="F26" s="44" t="inlineStr"/>
      <c r="G26" s="44" t="inlineStr"/>
      <c r="H26" s="44">
        <f>IFERROR(ROUND(D26/C26,1),"")</f>
        <v/>
      </c>
      <c r="I26" s="43" t="inlineStr"/>
      <c r="J26" s="45" t="n"/>
      <c r="K26" s="45" t="n"/>
    </row>
    <row r="27" ht="22" customHeight="1">
      <c r="B27" s="9" t="inlineStr">
        <is>
          <t>Football</t>
        </is>
      </c>
      <c r="C27" s="10" t="inlineStr"/>
      <c r="D27" s="10" t="inlineStr"/>
      <c r="E27" s="10" t="inlineStr"/>
      <c r="F27" s="10" t="inlineStr"/>
      <c r="G27" s="10" t="inlineStr"/>
      <c r="H27" s="10">
        <f>IFERROR(ROUND(D27/C27,1),"")</f>
        <v/>
      </c>
      <c r="I27" s="9" t="inlineStr"/>
      <c r="J27" s="46" t="n"/>
      <c r="K27" s="46" t="n"/>
    </row>
    <row r="28" ht="22" customHeight="1">
      <c r="B28" s="43" t="inlineStr">
        <is>
          <t>Volleyball</t>
        </is>
      </c>
      <c r="C28" s="44" t="inlineStr"/>
      <c r="D28" s="44" t="inlineStr"/>
      <c r="E28" s="44" t="inlineStr"/>
      <c r="F28" s="44" t="inlineStr"/>
      <c r="G28" s="44" t="inlineStr"/>
      <c r="H28" s="44">
        <f>IFERROR(ROUND(D28/C28,1),"")</f>
        <v/>
      </c>
      <c r="I28" s="43" t="inlineStr"/>
      <c r="J28" s="45" t="n"/>
      <c r="K28" s="45" t="n"/>
    </row>
    <row r="29" ht="22" customHeight="1">
      <c r="B29" s="9" t="inlineStr">
        <is>
          <t>Basketball</t>
        </is>
      </c>
      <c r="C29" s="10" t="inlineStr"/>
      <c r="D29" s="10" t="inlineStr"/>
      <c r="E29" s="10" t="inlineStr"/>
      <c r="F29" s="10" t="inlineStr"/>
      <c r="G29" s="10" t="inlineStr"/>
      <c r="H29" s="10">
        <f>IFERROR(ROUND(D29/C29,1),"")</f>
        <v/>
      </c>
      <c r="I29" s="9" t="inlineStr"/>
      <c r="J29" s="46" t="n"/>
      <c r="K29" s="46" t="n"/>
    </row>
    <row r="30" ht="22" customHeight="1">
      <c r="B30" s="43" t="inlineStr">
        <is>
          <t>Badminton</t>
        </is>
      </c>
      <c r="C30" s="44" t="inlineStr"/>
      <c r="D30" s="44" t="inlineStr"/>
      <c r="E30" s="44" t="inlineStr"/>
      <c r="F30" s="44" t="inlineStr"/>
      <c r="G30" s="44" t="inlineStr"/>
      <c r="H30" s="44">
        <f>IFERROR(ROUND(D30/C30,1),"")</f>
        <v/>
      </c>
      <c r="I30" s="43" t="inlineStr"/>
      <c r="J30" s="45" t="n"/>
      <c r="K30" s="45" t="n"/>
    </row>
    <row r="31" ht="22" customHeight="1">
      <c r="B31" s="9" t="inlineStr">
        <is>
          <t>Table Tennis</t>
        </is>
      </c>
      <c r="C31" s="10" t="inlineStr"/>
      <c r="D31" s="10" t="inlineStr"/>
      <c r="E31" s="10" t="inlineStr"/>
      <c r="F31" s="10" t="inlineStr"/>
      <c r="G31" s="10" t="inlineStr"/>
      <c r="H31" s="10">
        <f>IFERROR(ROUND(D31/C31,1),"")</f>
        <v/>
      </c>
      <c r="I31" s="9" t="inlineStr"/>
      <c r="J31" s="46" t="n"/>
      <c r="K31" s="46" t="n"/>
    </row>
    <row r="32" ht="22" customHeight="1">
      <c r="B32" s="43" t="inlineStr">
        <is>
          <t>Athletics</t>
        </is>
      </c>
      <c r="C32" s="44" t="inlineStr"/>
      <c r="D32" s="44" t="inlineStr"/>
      <c r="E32" s="44" t="inlineStr"/>
      <c r="F32" s="44" t="inlineStr"/>
      <c r="G32" s="44" t="inlineStr"/>
      <c r="H32" s="44">
        <f>IFERROR(ROUND(D32/C32,1),"")</f>
        <v/>
      </c>
      <c r="I32" s="43" t="inlineStr"/>
      <c r="J32" s="45" t="n"/>
      <c r="K32" s="45" t="n"/>
    </row>
    <row r="33" ht="22" customHeight="1">
      <c r="B33" s="9" t="inlineStr">
        <is>
          <t>Chess</t>
        </is>
      </c>
      <c r="C33" s="10" t="inlineStr"/>
      <c r="D33" s="10" t="inlineStr"/>
      <c r="E33" s="10" t="inlineStr"/>
      <c r="F33" s="10" t="inlineStr"/>
      <c r="G33" s="10" t="inlineStr"/>
      <c r="H33" s="10">
        <f>IFERROR(ROUND(D33/C33,1),"")</f>
        <v/>
      </c>
      <c r="I33" s="9" t="inlineStr"/>
      <c r="J33" s="46" t="n"/>
      <c r="K33" s="46" t="n"/>
    </row>
    <row r="34" ht="22" customHeight="1">
      <c r="B34" s="43" t="inlineStr">
        <is>
          <t>Kabaddi</t>
        </is>
      </c>
      <c r="C34" s="44" t="inlineStr"/>
      <c r="D34" s="44" t="inlineStr"/>
      <c r="E34" s="44" t="inlineStr"/>
      <c r="F34" s="44" t="inlineStr"/>
      <c r="G34" s="44" t="inlineStr"/>
      <c r="H34" s="44">
        <f>IFERROR(ROUND(D34/C34,1),"")</f>
        <v/>
      </c>
      <c r="I34" s="43" t="inlineStr"/>
      <c r="J34" s="45" t="n"/>
      <c r="K34" s="45" t="n"/>
    </row>
    <row r="35" ht="22" customHeight="1">
      <c r="B35" s="9" t="inlineStr">
        <is>
          <t>Kho-Kho</t>
        </is>
      </c>
      <c r="C35" s="10" t="inlineStr"/>
      <c r="D35" s="10" t="inlineStr"/>
      <c r="E35" s="10" t="inlineStr"/>
      <c r="F35" s="10" t="inlineStr"/>
      <c r="G35" s="10" t="inlineStr"/>
      <c r="H35" s="10">
        <f>IFERROR(ROUND(D35/C35,1),"")</f>
        <v/>
      </c>
      <c r="I35" s="9" t="inlineStr"/>
      <c r="J35" s="46" t="n"/>
      <c r="K35" s="46" t="n"/>
    </row>
    <row r="36" ht="22" customHeight="1">
      <c r="B36" s="23" t="inlineStr">
        <is>
          <t>TOTAL</t>
        </is>
      </c>
      <c r="C36" s="47" t="inlineStr"/>
      <c r="D36" s="47" t="inlineStr"/>
      <c r="E36" s="47" t="inlineStr"/>
      <c r="F36" s="47" t="inlineStr"/>
      <c r="G36" s="47" t="inlineStr"/>
      <c r="H36" s="47">
        <f>IFERROR(ROUND(D36/C36,1),"")</f>
        <v/>
      </c>
      <c r="I36" s="23" t="inlineStr"/>
      <c r="J36" s="48" t="n"/>
      <c r="K36" s="48" t="n"/>
    </row>
    <row r="37" ht="22" customHeight="1"/>
    <row r="38" ht="22" customHeight="1"/>
    <row r="39" ht="22" customHeight="1"/>
  </sheetData>
  <mergeCells count="3">
    <mergeCell ref="B3:K3"/>
    <mergeCell ref="B24:K24"/>
    <mergeCell ref="B2:K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K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SGC-18: INTER-INSTITUTIONAL / UNIVERSITY / STATE / NATIONAL TOURNAMENT REGISTER</t>
        </is>
      </c>
    </row>
    <row r="3" ht="25" customHeight="1">
      <c r="B3" s="2" t="inlineStr">
        <is>
          <t>A.Y.: _______  Sports Director: ___________________  NAAC Ref.: Criterion V.3</t>
        </is>
      </c>
    </row>
    <row r="4" ht="25" customHeight="1">
      <c r="B4" s="13" t="inlineStr">
        <is>
          <t>Event
Ref.</t>
        </is>
      </c>
      <c r="C4" s="13" t="inlineStr">
        <is>
          <t>Tournament / Meet Title</t>
        </is>
      </c>
      <c r="D4" s="13" t="inlineStr">
        <is>
          <t>Sport</t>
        </is>
      </c>
      <c r="E4" s="13" t="inlineStr">
        <is>
          <t>Organiser</t>
        </is>
      </c>
      <c r="F4" s="13" t="inlineStr">
        <is>
          <t>Level</t>
        </is>
      </c>
      <c r="G4" s="13" t="inlineStr">
        <is>
          <t>Date(s)</t>
        </is>
      </c>
      <c r="H4" s="13" t="inlineStr">
        <is>
          <t>Venue</t>
        </is>
      </c>
      <c r="I4" s="13" t="inlineStr">
        <is>
          <t>Students
Sent</t>
        </is>
      </c>
      <c r="J4" s="13" t="inlineStr">
        <is>
          <t>Position
Achieved</t>
        </is>
      </c>
      <c r="K4" s="13" t="inlineStr">
        <is>
          <t>Awards /
Medals</t>
        </is>
      </c>
    </row>
    <row r="5" ht="22" customHeight="1">
      <c r="B5" s="14" t="inlineStr">
        <is>
          <t>EXT/2024/001</t>
        </is>
      </c>
      <c r="C5" s="15" t="inlineStr"/>
      <c r="D5" s="16" t="inlineStr">
        <is>
          <t>Cricket</t>
        </is>
      </c>
      <c r="E5" s="15" t="inlineStr"/>
      <c r="F5" s="16" t="inlineStr">
        <is>
          <t>Inter-College</t>
        </is>
      </c>
      <c r="G5" s="16" t="inlineStr"/>
      <c r="H5" s="15" t="inlineStr"/>
      <c r="I5" s="16" t="inlineStr"/>
      <c r="J5" s="16" t="inlineStr"/>
      <c r="K5" s="16" t="inlineStr"/>
    </row>
    <row r="6" ht="22" customHeight="1">
      <c r="B6" s="8" t="inlineStr">
        <is>
          <t>EXT/2024/002</t>
        </is>
      </c>
      <c r="C6" s="9" t="inlineStr"/>
      <c r="D6" s="10" t="inlineStr">
        <is>
          <t>Football</t>
        </is>
      </c>
      <c r="E6" s="9" t="inlineStr"/>
      <c r="F6" s="10" t="inlineStr">
        <is>
          <t>University Zone</t>
        </is>
      </c>
      <c r="G6" s="10" t="inlineStr"/>
      <c r="H6" s="9" t="inlineStr"/>
      <c r="I6" s="10" t="inlineStr"/>
      <c r="J6" s="10" t="inlineStr"/>
      <c r="K6" s="10" t="inlineStr"/>
    </row>
    <row r="7" ht="22" customHeight="1">
      <c r="B7" s="14" t="inlineStr">
        <is>
          <t>EXT/2024/003</t>
        </is>
      </c>
      <c r="C7" s="15" t="inlineStr"/>
      <c r="D7" s="16" t="inlineStr">
        <is>
          <t>Volleyball</t>
        </is>
      </c>
      <c r="E7" s="15" t="inlineStr"/>
      <c r="F7" s="16" t="inlineStr">
        <is>
          <t>Inter-University</t>
        </is>
      </c>
      <c r="G7" s="16" t="inlineStr"/>
      <c r="H7" s="15" t="inlineStr"/>
      <c r="I7" s="16" t="inlineStr"/>
      <c r="J7" s="16" t="inlineStr"/>
      <c r="K7" s="16" t="inlineStr"/>
    </row>
    <row r="8" ht="22" customHeight="1">
      <c r="B8" s="8" t="inlineStr">
        <is>
          <t>EXT/2024/004</t>
        </is>
      </c>
      <c r="C8" s="9" t="inlineStr"/>
      <c r="D8" s="10" t="inlineStr">
        <is>
          <t>Basketball</t>
        </is>
      </c>
      <c r="E8" s="9" t="inlineStr"/>
      <c r="F8" s="10" t="inlineStr">
        <is>
          <t>State</t>
        </is>
      </c>
      <c r="G8" s="10" t="inlineStr"/>
      <c r="H8" s="9" t="inlineStr"/>
      <c r="I8" s="10" t="inlineStr"/>
      <c r="J8" s="10" t="inlineStr"/>
      <c r="K8" s="10" t="inlineStr"/>
    </row>
    <row r="9" ht="22" customHeight="1">
      <c r="B9" s="14" t="inlineStr">
        <is>
          <t>EXT/2024/005</t>
        </is>
      </c>
      <c r="C9" s="15" t="inlineStr"/>
      <c r="D9" s="16" t="inlineStr">
        <is>
          <t>Badminton</t>
        </is>
      </c>
      <c r="E9" s="15" t="inlineStr"/>
      <c r="F9" s="16" t="inlineStr">
        <is>
          <t>National</t>
        </is>
      </c>
      <c r="G9" s="16" t="inlineStr"/>
      <c r="H9" s="15" t="inlineStr"/>
      <c r="I9" s="16" t="inlineStr"/>
      <c r="J9" s="16" t="inlineStr"/>
      <c r="K9" s="16" t="inlineStr"/>
    </row>
    <row r="10" ht="22" customHeight="1">
      <c r="B10" s="8" t="inlineStr">
        <is>
          <t>EXT/2024/006</t>
        </is>
      </c>
      <c r="C10" s="9" t="inlineStr"/>
      <c r="D10" s="10" t="inlineStr">
        <is>
          <t>Table Tennis</t>
        </is>
      </c>
      <c r="E10" s="9" t="inlineStr"/>
      <c r="F10" s="10" t="inlineStr">
        <is>
          <t>International</t>
        </is>
      </c>
      <c r="G10" s="10" t="inlineStr"/>
      <c r="H10" s="9" t="inlineStr"/>
      <c r="I10" s="10" t="inlineStr"/>
      <c r="J10" s="10" t="inlineStr"/>
      <c r="K10" s="10" t="inlineStr"/>
    </row>
    <row r="11" ht="22" customHeight="1">
      <c r="B11" s="14" t="inlineStr">
        <is>
          <t>EXT/2024/007</t>
        </is>
      </c>
      <c r="C11" s="15" t="inlineStr"/>
      <c r="D11" s="16" t="inlineStr">
        <is>
          <t>Athletics</t>
        </is>
      </c>
      <c r="E11" s="15" t="inlineStr"/>
      <c r="F11" s="16" t="inlineStr">
        <is>
          <t>All India University Games</t>
        </is>
      </c>
      <c r="G11" s="16" t="inlineStr"/>
      <c r="H11" s="15" t="inlineStr"/>
      <c r="I11" s="16" t="inlineStr"/>
      <c r="J11" s="16" t="inlineStr"/>
      <c r="K11" s="16" t="inlineStr"/>
    </row>
    <row r="12" ht="22" customHeight="1">
      <c r="B12" s="8" t="inlineStr">
        <is>
          <t>EXT/2024/008</t>
        </is>
      </c>
      <c r="C12" s="9" t="inlineStr"/>
      <c r="D12" s="10" t="inlineStr">
        <is>
          <t>Chess</t>
        </is>
      </c>
      <c r="E12" s="9" t="inlineStr"/>
      <c r="F12" s="10" t="inlineStr">
        <is>
          <t>Khelo India</t>
        </is>
      </c>
      <c r="G12" s="10" t="inlineStr"/>
      <c r="H12" s="9" t="inlineStr"/>
      <c r="I12" s="10" t="inlineStr"/>
      <c r="J12" s="10" t="inlineStr"/>
      <c r="K12" s="10" t="inlineStr"/>
    </row>
    <row r="13" ht="22" customHeight="1">
      <c r="B13" s="14" t="inlineStr">
        <is>
          <t>EXT/2024/009</t>
        </is>
      </c>
      <c r="C13" s="15" t="inlineStr"/>
      <c r="D13" s="16" t="inlineStr">
        <is>
          <t>Kabaddi</t>
        </is>
      </c>
      <c r="E13" s="15" t="inlineStr"/>
      <c r="F13" s="16" t="inlineStr">
        <is>
          <t>Inter-College</t>
        </is>
      </c>
      <c r="G13" s="16" t="inlineStr"/>
      <c r="H13" s="15" t="inlineStr"/>
      <c r="I13" s="16" t="inlineStr"/>
      <c r="J13" s="16" t="inlineStr"/>
      <c r="K13" s="16" t="inlineStr"/>
    </row>
    <row r="14" ht="22" customHeight="1">
      <c r="B14" s="8" t="inlineStr">
        <is>
          <t>EXT/2024/010</t>
        </is>
      </c>
      <c r="C14" s="9" t="inlineStr"/>
      <c r="D14" s="10" t="inlineStr">
        <is>
          <t>Kho-Kho</t>
        </is>
      </c>
      <c r="E14" s="9" t="inlineStr"/>
      <c r="F14" s="10" t="inlineStr">
        <is>
          <t>University Zone</t>
        </is>
      </c>
      <c r="G14" s="10" t="inlineStr"/>
      <c r="H14" s="9" t="inlineStr"/>
      <c r="I14" s="10" t="inlineStr"/>
      <c r="J14" s="10" t="inlineStr"/>
      <c r="K14" s="10" t="inlineStr"/>
    </row>
    <row r="15" ht="22" customHeight="1">
      <c r="B15" s="14" t="inlineStr">
        <is>
          <t>EXT/2024/011</t>
        </is>
      </c>
      <c r="C15" s="15" t="inlineStr"/>
      <c r="D15" s="16" t="inlineStr">
        <is>
          <t>Swimming</t>
        </is>
      </c>
      <c r="E15" s="15" t="inlineStr"/>
      <c r="F15" s="16" t="inlineStr">
        <is>
          <t>Inter-University</t>
        </is>
      </c>
      <c r="G15" s="16" t="inlineStr"/>
      <c r="H15" s="15" t="inlineStr"/>
      <c r="I15" s="16" t="inlineStr"/>
      <c r="J15" s="16" t="inlineStr"/>
      <c r="K15" s="16" t="inlineStr"/>
    </row>
    <row r="16" ht="22" customHeight="1">
      <c r="B16" s="8" t="inlineStr">
        <is>
          <t>EXT/2025/012</t>
        </is>
      </c>
      <c r="C16" s="9" t="inlineStr"/>
      <c r="D16" s="10" t="inlineStr">
        <is>
          <t>Boxing</t>
        </is>
      </c>
      <c r="E16" s="9" t="inlineStr"/>
      <c r="F16" s="10" t="inlineStr">
        <is>
          <t>State</t>
        </is>
      </c>
      <c r="G16" s="10" t="inlineStr"/>
      <c r="H16" s="9" t="inlineStr"/>
      <c r="I16" s="10" t="inlineStr"/>
      <c r="J16" s="10" t="inlineStr"/>
      <c r="K16" s="10" t="inlineStr"/>
    </row>
    <row r="17" ht="22" customHeight="1">
      <c r="B17" s="14" t="inlineStr">
        <is>
          <t>EXT/2025/013</t>
        </is>
      </c>
      <c r="C17" s="15" t="inlineStr"/>
      <c r="D17" s="16" t="inlineStr">
        <is>
          <t>Wrestling</t>
        </is>
      </c>
      <c r="E17" s="15" t="inlineStr"/>
      <c r="F17" s="16" t="inlineStr">
        <is>
          <t>National</t>
        </is>
      </c>
      <c r="G17" s="16" t="inlineStr"/>
      <c r="H17" s="15" t="inlineStr"/>
      <c r="I17" s="16" t="inlineStr"/>
      <c r="J17" s="16" t="inlineStr"/>
      <c r="K17" s="16" t="inlineStr"/>
    </row>
    <row r="18" ht="22" customHeight="1">
      <c r="B18" s="8" t="inlineStr">
        <is>
          <t>EXT/2025/014</t>
        </is>
      </c>
      <c r="C18" s="9" t="inlineStr"/>
      <c r="D18" s="10" t="inlineStr">
        <is>
          <t>Judo</t>
        </is>
      </c>
      <c r="E18" s="9" t="inlineStr"/>
      <c r="F18" s="10" t="inlineStr">
        <is>
          <t>International</t>
        </is>
      </c>
      <c r="G18" s="10" t="inlineStr"/>
      <c r="H18" s="9" t="inlineStr"/>
      <c r="I18" s="10" t="inlineStr"/>
      <c r="J18" s="10" t="inlineStr"/>
      <c r="K18" s="10" t="inlineStr"/>
    </row>
    <row r="19" ht="22" customHeight="1">
      <c r="B19" s="14" t="inlineStr">
        <is>
          <t>EXT/2025/015</t>
        </is>
      </c>
      <c r="C19" s="15" t="inlineStr"/>
      <c r="D19" s="16" t="inlineStr">
        <is>
          <t>Cycling</t>
        </is>
      </c>
      <c r="E19" s="15" t="inlineStr"/>
      <c r="F19" s="16" t="inlineStr">
        <is>
          <t>All India University Games</t>
        </is>
      </c>
      <c r="G19" s="16" t="inlineStr"/>
      <c r="H19" s="15" t="inlineStr"/>
      <c r="I19" s="16" t="inlineStr"/>
      <c r="J19" s="16" t="inlineStr"/>
      <c r="K19" s="16" t="inlineStr"/>
    </row>
    <row r="20" ht="22" customHeight="1">
      <c r="B20" s="8" t="inlineStr">
        <is>
          <t>EXT/2025/016</t>
        </is>
      </c>
      <c r="C20" s="9" t="inlineStr"/>
      <c r="D20" s="10" t="inlineStr">
        <is>
          <t>Shooting</t>
        </is>
      </c>
      <c r="E20" s="9" t="inlineStr"/>
      <c r="F20" s="10" t="inlineStr">
        <is>
          <t>Khelo India</t>
        </is>
      </c>
      <c r="G20" s="10" t="inlineStr"/>
      <c r="H20" s="9" t="inlineStr"/>
      <c r="I20" s="10" t="inlineStr"/>
      <c r="J20" s="10" t="inlineStr"/>
      <c r="K20" s="10" t="inlineStr"/>
    </row>
    <row r="21" ht="22" customHeight="1">
      <c r="B21" s="14" t="inlineStr">
        <is>
          <t>EXT/2025/017</t>
        </is>
      </c>
      <c r="C21" s="15" t="inlineStr"/>
      <c r="D21" s="16" t="inlineStr">
        <is>
          <t>Cricket</t>
        </is>
      </c>
      <c r="E21" s="15" t="inlineStr"/>
      <c r="F21" s="16" t="inlineStr">
        <is>
          <t>Inter-College</t>
        </is>
      </c>
      <c r="G21" s="16" t="inlineStr"/>
      <c r="H21" s="15" t="inlineStr"/>
      <c r="I21" s="16" t="inlineStr"/>
      <c r="J21" s="16" t="inlineStr"/>
      <c r="K21" s="16" t="inlineStr"/>
    </row>
    <row r="22" ht="22" customHeight="1">
      <c r="B22" s="8" t="inlineStr">
        <is>
          <t>EXT/2025/018</t>
        </is>
      </c>
      <c r="C22" s="9" t="inlineStr"/>
      <c r="D22" s="10" t="inlineStr">
        <is>
          <t>Football</t>
        </is>
      </c>
      <c r="E22" s="9" t="inlineStr"/>
      <c r="F22" s="10" t="inlineStr">
        <is>
          <t>University Zone</t>
        </is>
      </c>
      <c r="G22" s="10" t="inlineStr"/>
      <c r="H22" s="9" t="inlineStr"/>
      <c r="I22" s="10" t="inlineStr"/>
      <c r="J22" s="10" t="inlineStr"/>
      <c r="K22" s="10" t="inlineStr"/>
    </row>
    <row r="23" ht="22" customHeight="1">
      <c r="B23" s="14" t="inlineStr">
        <is>
          <t>EXT/2025/019</t>
        </is>
      </c>
      <c r="C23" s="15" t="inlineStr"/>
      <c r="D23" s="16" t="inlineStr">
        <is>
          <t>Volleyball</t>
        </is>
      </c>
      <c r="E23" s="15" t="inlineStr"/>
      <c r="F23" s="16" t="inlineStr">
        <is>
          <t>Inter-University</t>
        </is>
      </c>
      <c r="G23" s="16" t="inlineStr"/>
      <c r="H23" s="15" t="inlineStr"/>
      <c r="I23" s="16" t="inlineStr"/>
      <c r="J23" s="16" t="inlineStr"/>
      <c r="K23" s="16" t="inlineStr"/>
    </row>
    <row r="24" ht="22" customHeight="1">
      <c r="B24" s="8" t="inlineStr">
        <is>
          <t>EXT/2025/020</t>
        </is>
      </c>
      <c r="C24" s="9" t="inlineStr"/>
      <c r="D24" s="10" t="inlineStr">
        <is>
          <t>Basketball</t>
        </is>
      </c>
      <c r="E24" s="9" t="inlineStr"/>
      <c r="F24" s="10" t="inlineStr">
        <is>
          <t>State</t>
        </is>
      </c>
      <c r="G24" s="10" t="inlineStr"/>
      <c r="H24" s="9" t="inlineStr"/>
      <c r="I24" s="10" t="inlineStr"/>
      <c r="J24" s="10" t="inlineStr"/>
      <c r="K24" s="10" t="inlineStr"/>
    </row>
    <row r="25" ht="22" customHeight="1">
      <c r="B25" s="14" t="inlineStr">
        <is>
          <t>EXT/2025/021</t>
        </is>
      </c>
      <c r="C25" s="15" t="inlineStr"/>
      <c r="D25" s="16" t="inlineStr">
        <is>
          <t>Badminton</t>
        </is>
      </c>
      <c r="E25" s="15" t="inlineStr"/>
      <c r="F25" s="16" t="inlineStr">
        <is>
          <t>National</t>
        </is>
      </c>
      <c r="G25" s="16" t="inlineStr"/>
      <c r="H25" s="15" t="inlineStr"/>
      <c r="I25" s="16" t="inlineStr"/>
      <c r="J25" s="16" t="inlineStr"/>
      <c r="K25" s="16" t="inlineStr"/>
    </row>
    <row r="26" ht="22" customHeight="1">
      <c r="B26" s="8" t="inlineStr">
        <is>
          <t>EXT/2025/022</t>
        </is>
      </c>
      <c r="C26" s="9" t="inlineStr"/>
      <c r="D26" s="10" t="inlineStr">
        <is>
          <t>Table Tennis</t>
        </is>
      </c>
      <c r="E26" s="9" t="inlineStr"/>
      <c r="F26" s="10" t="inlineStr">
        <is>
          <t>International</t>
        </is>
      </c>
      <c r="G26" s="10" t="inlineStr"/>
      <c r="H26" s="9" t="inlineStr"/>
      <c r="I26" s="10" t="inlineStr"/>
      <c r="J26" s="10" t="inlineStr"/>
      <c r="K26" s="10" t="inlineStr"/>
    </row>
    <row r="27" ht="22" customHeight="1"/>
    <row r="28" ht="24" customHeight="1">
      <c r="B28" s="49" t="inlineStr">
        <is>
          <t>EXTERNAL PARTICIPATION SUMMARY</t>
        </is>
      </c>
    </row>
    <row r="29" ht="22" customHeight="1">
      <c r="B29" s="50" t="inlineStr">
        <is>
          <t>Level</t>
        </is>
      </c>
      <c r="C29" s="50" t="inlineStr">
        <is>
          <t>Events
Participated</t>
        </is>
      </c>
      <c r="D29" s="50" t="inlineStr">
        <is>
          <t>Students
Represented</t>
        </is>
      </c>
      <c r="E29" s="50" t="inlineStr">
        <is>
          <t>Gold</t>
        </is>
      </c>
      <c r="F29" s="50" t="inlineStr">
        <is>
          <t>Silver</t>
        </is>
      </c>
      <c r="G29" s="50" t="inlineStr">
        <is>
          <t>Bronze</t>
        </is>
      </c>
      <c r="H29" s="50" t="inlineStr">
        <is>
          <t>Positions
(Top 3)</t>
        </is>
      </c>
      <c r="I29" s="50" t="inlineStr">
        <is>
          <t>Other
Awards</t>
        </is>
      </c>
      <c r="J29" s="50" t="inlineStr">
        <is>
          <t>Total
Medals</t>
        </is>
      </c>
      <c r="K29" s="50" t="inlineStr">
        <is>
          <t>Best
Sport</t>
        </is>
      </c>
    </row>
    <row r="30" ht="22" customHeight="1">
      <c r="B30" s="52" t="inlineStr">
        <is>
          <t>Inter-College</t>
        </is>
      </c>
      <c r="C30" s="53" t="inlineStr"/>
      <c r="D30" s="53" t="inlineStr"/>
      <c r="E30" s="53" t="inlineStr"/>
      <c r="F30" s="53" t="inlineStr"/>
      <c r="G30" s="53" t="inlineStr"/>
      <c r="H30" s="53" t="inlineStr"/>
      <c r="I30" s="53" t="inlineStr"/>
      <c r="J30" s="53">
        <f>IFERROR(E30+F30+G30,"")</f>
        <v/>
      </c>
      <c r="K30" s="52" t="inlineStr"/>
    </row>
    <row r="31" ht="22" customHeight="1">
      <c r="B31" s="9" t="inlineStr">
        <is>
          <t>University</t>
        </is>
      </c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>
        <f>IFERROR(E31+F31+G31,"")</f>
        <v/>
      </c>
      <c r="K31" s="9" t="inlineStr"/>
    </row>
    <row r="32" ht="22" customHeight="1">
      <c r="B32" s="52" t="inlineStr">
        <is>
          <t>State</t>
        </is>
      </c>
      <c r="C32" s="53" t="inlineStr"/>
      <c r="D32" s="53" t="inlineStr"/>
      <c r="E32" s="53" t="inlineStr"/>
      <c r="F32" s="53" t="inlineStr"/>
      <c r="G32" s="53" t="inlineStr"/>
      <c r="H32" s="53" t="inlineStr"/>
      <c r="I32" s="53" t="inlineStr"/>
      <c r="J32" s="53">
        <f>IFERROR(E32+F32+G32,"")</f>
        <v/>
      </c>
      <c r="K32" s="52" t="inlineStr"/>
    </row>
    <row r="33" ht="22" customHeight="1">
      <c r="B33" s="9" t="inlineStr">
        <is>
          <t>National</t>
        </is>
      </c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>
        <f>IFERROR(E33+F33+G33,"")</f>
        <v/>
      </c>
      <c r="K33" s="9" t="inlineStr"/>
    </row>
    <row r="34" ht="22" customHeight="1">
      <c r="B34" s="52" t="inlineStr">
        <is>
          <t>International</t>
        </is>
      </c>
      <c r="C34" s="53" t="inlineStr"/>
      <c r="D34" s="53" t="inlineStr"/>
      <c r="E34" s="53" t="inlineStr"/>
      <c r="F34" s="53" t="inlineStr"/>
      <c r="G34" s="53" t="inlineStr"/>
      <c r="H34" s="53" t="inlineStr"/>
      <c r="I34" s="53" t="inlineStr"/>
      <c r="J34" s="53">
        <f>IFERROR(E34+F34+G34,"")</f>
        <v/>
      </c>
      <c r="K34" s="52" t="inlineStr"/>
    </row>
    <row r="35" ht="22" customHeight="1">
      <c r="B35" s="23" t="inlineStr">
        <is>
          <t>TOTAL</t>
        </is>
      </c>
      <c r="C35" s="47" t="inlineStr"/>
      <c r="D35" s="47" t="inlineStr"/>
      <c r="E35" s="47" t="inlineStr"/>
      <c r="F35" s="47" t="inlineStr"/>
      <c r="G35" s="47" t="inlineStr"/>
      <c r="H35" s="47" t="inlineStr"/>
      <c r="I35" s="47" t="inlineStr"/>
      <c r="J35" s="47">
        <f>IFERROR(E35+F35+G35,"")</f>
        <v/>
      </c>
      <c r="K35" s="23" t="inlineStr"/>
    </row>
  </sheetData>
  <mergeCells count="3">
    <mergeCell ref="B28:K28"/>
    <mergeCell ref="B3:K3"/>
    <mergeCell ref="B2:K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L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SGC-22: STUDENT SPORTS ACHIEVEMENT REGISTER</t>
        </is>
      </c>
    </row>
    <row r="3" ht="25" customHeight="1">
      <c r="B3" s="2" t="inlineStr">
        <is>
          <t>A.Y.: _______  Sports Director: ___________________  NAAC Ref.: Criterion V.3 / NIRF</t>
        </is>
      </c>
    </row>
    <row r="4" ht="25" customHeight="1">
      <c r="B4" s="13" t="inlineStr">
        <is>
          <t>Achievement
Ref.</t>
        </is>
      </c>
      <c r="C4" s="13" t="inlineStr">
        <is>
          <t>Student Name</t>
        </is>
      </c>
      <c r="D4" s="13" t="inlineStr">
        <is>
          <t>Roll No. /
Programme</t>
        </is>
      </c>
      <c r="E4" s="13" t="inlineStr">
        <is>
          <t>Sport</t>
        </is>
      </c>
      <c r="F4" s="13" t="inlineStr">
        <is>
          <t>Tournament /
Event</t>
        </is>
      </c>
      <c r="G4" s="13" t="inlineStr">
        <is>
          <t>Level</t>
        </is>
      </c>
      <c r="H4" s="13" t="inlineStr">
        <is>
          <t>Position /
Medal</t>
        </is>
      </c>
      <c r="I4" s="13" t="inlineStr">
        <is>
          <t>Date</t>
        </is>
      </c>
      <c r="J4" s="13" t="inlineStr">
        <is>
          <t>Organiser</t>
        </is>
      </c>
      <c r="K4" s="13" t="inlineStr">
        <is>
          <t>Certificate /</t>
        </is>
      </c>
      <c r="L4" s="13" t="inlineStr">
        <is>
          <t>Recognition Sought</t>
        </is>
      </c>
    </row>
    <row r="5" ht="22" customHeight="1">
      <c r="B5" s="14" t="inlineStr">
        <is>
          <t>ACH/2024/0001</t>
        </is>
      </c>
      <c r="C5" s="15" t="inlineStr"/>
      <c r="D5" s="16" t="inlineStr"/>
      <c r="E5" s="16" t="inlineStr">
        <is>
          <t>Cricket</t>
        </is>
      </c>
      <c r="F5" s="15" t="inlineStr"/>
      <c r="G5" s="16" t="inlineStr">
        <is>
          <t>Inter-College</t>
        </is>
      </c>
      <c r="H5" s="14" t="inlineStr">
        <is>
          <t>1st (Gold)</t>
        </is>
      </c>
      <c r="I5" s="16" t="inlineStr"/>
      <c r="J5" s="15" t="inlineStr"/>
      <c r="K5" s="16" t="inlineStr">
        <is>
          <t>Y</t>
        </is>
      </c>
      <c r="L5" s="16" t="inlineStr"/>
    </row>
    <row r="6" ht="22" customHeight="1">
      <c r="B6" s="8" t="inlineStr">
        <is>
          <t>ACH/2024/0002</t>
        </is>
      </c>
      <c r="C6" s="9" t="inlineStr"/>
      <c r="D6" s="10" t="inlineStr"/>
      <c r="E6" s="10" t="inlineStr">
        <is>
          <t>Football</t>
        </is>
      </c>
      <c r="F6" s="9" t="inlineStr"/>
      <c r="G6" s="10" t="inlineStr">
        <is>
          <t>University Zone</t>
        </is>
      </c>
      <c r="H6" s="8" t="inlineStr">
        <is>
          <t>2nd (Silver)</t>
        </is>
      </c>
      <c r="I6" s="10" t="inlineStr"/>
      <c r="J6" s="9" t="inlineStr"/>
      <c r="K6" s="10" t="inlineStr">
        <is>
          <t>Y</t>
        </is>
      </c>
      <c r="L6" s="10" t="inlineStr"/>
    </row>
    <row r="7" ht="22" customHeight="1">
      <c r="B7" s="14" t="inlineStr">
        <is>
          <t>ACH/2024/0003</t>
        </is>
      </c>
      <c r="C7" s="15" t="inlineStr"/>
      <c r="D7" s="16" t="inlineStr"/>
      <c r="E7" s="16" t="inlineStr">
        <is>
          <t>Volleyball</t>
        </is>
      </c>
      <c r="F7" s="15" t="inlineStr"/>
      <c r="G7" s="16" t="inlineStr">
        <is>
          <t>Inter-University</t>
        </is>
      </c>
      <c r="H7" s="14" t="inlineStr">
        <is>
          <t>3rd (Bronze)</t>
        </is>
      </c>
      <c r="I7" s="16" t="inlineStr"/>
      <c r="J7" s="15" t="inlineStr"/>
      <c r="K7" s="16" t="inlineStr">
        <is>
          <t>Y</t>
        </is>
      </c>
      <c r="L7" s="16" t="inlineStr"/>
    </row>
    <row r="8" ht="22" customHeight="1">
      <c r="B8" s="8" t="inlineStr">
        <is>
          <t>ACH/2024/0004</t>
        </is>
      </c>
      <c r="C8" s="9" t="inlineStr"/>
      <c r="D8" s="10" t="inlineStr"/>
      <c r="E8" s="10" t="inlineStr">
        <is>
          <t>Basketball</t>
        </is>
      </c>
      <c r="F8" s="9" t="inlineStr"/>
      <c r="G8" s="10" t="inlineStr">
        <is>
          <t>State</t>
        </is>
      </c>
      <c r="H8" s="8" t="inlineStr">
        <is>
          <t>4th Place</t>
        </is>
      </c>
      <c r="I8" s="10" t="inlineStr"/>
      <c r="J8" s="9" t="inlineStr"/>
      <c r="K8" s="10" t="inlineStr">
        <is>
          <t>Y</t>
        </is>
      </c>
      <c r="L8" s="10" t="inlineStr"/>
    </row>
    <row r="9" ht="22" customHeight="1">
      <c r="B9" s="14" t="inlineStr">
        <is>
          <t>ACH/2024/0005</t>
        </is>
      </c>
      <c r="C9" s="15" t="inlineStr"/>
      <c r="D9" s="16" t="inlineStr"/>
      <c r="E9" s="16" t="inlineStr">
        <is>
          <t>Badminton</t>
        </is>
      </c>
      <c r="F9" s="15" t="inlineStr"/>
      <c r="G9" s="16" t="inlineStr">
        <is>
          <t>National</t>
        </is>
      </c>
      <c r="H9" s="14" t="inlineStr">
        <is>
          <t>Finalist</t>
        </is>
      </c>
      <c r="I9" s="16" t="inlineStr"/>
      <c r="J9" s="15" t="inlineStr"/>
      <c r="K9" s="16" t="inlineStr">
        <is>
          <t>Y</t>
        </is>
      </c>
      <c r="L9" s="16" t="inlineStr"/>
    </row>
    <row r="10" ht="22" customHeight="1">
      <c r="B10" s="8" t="inlineStr">
        <is>
          <t>ACH/2024/0006</t>
        </is>
      </c>
      <c r="C10" s="9" t="inlineStr"/>
      <c r="D10" s="10" t="inlineStr"/>
      <c r="E10" s="10" t="inlineStr">
        <is>
          <t>Table Tennis</t>
        </is>
      </c>
      <c r="F10" s="9" t="inlineStr"/>
      <c r="G10" s="10" t="inlineStr">
        <is>
          <t>International</t>
        </is>
      </c>
      <c r="H10" s="8" t="inlineStr">
        <is>
          <t>Semi-Finalist</t>
        </is>
      </c>
      <c r="I10" s="10" t="inlineStr"/>
      <c r="J10" s="9" t="inlineStr"/>
      <c r="K10" s="10" t="inlineStr">
        <is>
          <t>Y</t>
        </is>
      </c>
      <c r="L10" s="10" t="inlineStr"/>
    </row>
    <row r="11" ht="22" customHeight="1">
      <c r="B11" s="14" t="inlineStr">
        <is>
          <t>ACH/2024/0007</t>
        </is>
      </c>
      <c r="C11" s="15" t="inlineStr"/>
      <c r="D11" s="16" t="inlineStr"/>
      <c r="E11" s="16" t="inlineStr">
        <is>
          <t>Athletics</t>
        </is>
      </c>
      <c r="F11" s="15" t="inlineStr"/>
      <c r="G11" s="16" t="inlineStr">
        <is>
          <t>All India University Games</t>
        </is>
      </c>
      <c r="H11" s="14" t="inlineStr">
        <is>
          <t>Best Player</t>
        </is>
      </c>
      <c r="I11" s="16" t="inlineStr"/>
      <c r="J11" s="15" t="inlineStr"/>
      <c r="K11" s="16" t="inlineStr">
        <is>
          <t>Y</t>
        </is>
      </c>
      <c r="L11" s="16" t="inlineStr"/>
    </row>
    <row r="12" ht="22" customHeight="1">
      <c r="B12" s="8" t="inlineStr">
        <is>
          <t>ACH/2024/0008</t>
        </is>
      </c>
      <c r="C12" s="9" t="inlineStr"/>
      <c r="D12" s="10" t="inlineStr"/>
      <c r="E12" s="10" t="inlineStr">
        <is>
          <t>Chess</t>
        </is>
      </c>
      <c r="F12" s="9" t="inlineStr"/>
      <c r="G12" s="10" t="inlineStr">
        <is>
          <t>Khelo India</t>
        </is>
      </c>
      <c r="H12" s="8" t="inlineStr">
        <is>
          <t>Best Bowler</t>
        </is>
      </c>
      <c r="I12" s="10" t="inlineStr"/>
      <c r="J12" s="9" t="inlineStr"/>
      <c r="K12" s="10" t="inlineStr">
        <is>
          <t>Y</t>
        </is>
      </c>
      <c r="L12" s="10" t="inlineStr"/>
    </row>
    <row r="13" ht="22" customHeight="1">
      <c r="B13" s="14" t="inlineStr">
        <is>
          <t>ACH/2024/0009</t>
        </is>
      </c>
      <c r="C13" s="15" t="inlineStr"/>
      <c r="D13" s="16" t="inlineStr"/>
      <c r="E13" s="16" t="inlineStr">
        <is>
          <t>Kabaddi</t>
        </is>
      </c>
      <c r="F13" s="15" t="inlineStr"/>
      <c r="G13" s="16" t="inlineStr">
        <is>
          <t>Inter-College</t>
        </is>
      </c>
      <c r="H13" s="14" t="inlineStr">
        <is>
          <t>Best Batsman</t>
        </is>
      </c>
      <c r="I13" s="16" t="inlineStr"/>
      <c r="J13" s="15" t="inlineStr"/>
      <c r="K13" s="16" t="inlineStr">
        <is>
          <t>Y</t>
        </is>
      </c>
      <c r="L13" s="16" t="inlineStr"/>
    </row>
    <row r="14" ht="22" customHeight="1">
      <c r="B14" s="8" t="inlineStr">
        <is>
          <t>ACH/2024/0010</t>
        </is>
      </c>
      <c r="C14" s="9" t="inlineStr"/>
      <c r="D14" s="10" t="inlineStr"/>
      <c r="E14" s="10" t="inlineStr">
        <is>
          <t>Kho-Kho</t>
        </is>
      </c>
      <c r="F14" s="9" t="inlineStr"/>
      <c r="G14" s="10" t="inlineStr">
        <is>
          <t>University Zone</t>
        </is>
      </c>
      <c r="H14" s="8" t="inlineStr">
        <is>
          <t>MVP</t>
        </is>
      </c>
      <c r="I14" s="10" t="inlineStr"/>
      <c r="J14" s="9" t="inlineStr"/>
      <c r="K14" s="10" t="inlineStr">
        <is>
          <t>Y</t>
        </is>
      </c>
      <c r="L14" s="10" t="inlineStr"/>
    </row>
    <row r="15" ht="22" customHeight="1">
      <c r="B15" s="14" t="inlineStr">
        <is>
          <t>ACH/2024/0011</t>
        </is>
      </c>
      <c r="C15" s="15" t="inlineStr"/>
      <c r="D15" s="16" t="inlineStr"/>
      <c r="E15" s="16" t="inlineStr">
        <is>
          <t>Swimming</t>
        </is>
      </c>
      <c r="F15" s="15" t="inlineStr"/>
      <c r="G15" s="16" t="inlineStr">
        <is>
          <t>Inter-University</t>
        </is>
      </c>
      <c r="H15" s="14" t="inlineStr">
        <is>
          <t>Champion</t>
        </is>
      </c>
      <c r="I15" s="16" t="inlineStr"/>
      <c r="J15" s="15" t="inlineStr"/>
      <c r="K15" s="16" t="inlineStr">
        <is>
          <t>Y</t>
        </is>
      </c>
      <c r="L15" s="16" t="inlineStr"/>
    </row>
    <row r="16" ht="22" customHeight="1">
      <c r="B16" s="8" t="inlineStr">
        <is>
          <t>ACH/2024/0012</t>
        </is>
      </c>
      <c r="C16" s="9" t="inlineStr"/>
      <c r="D16" s="10" t="inlineStr"/>
      <c r="E16" s="10" t="inlineStr">
        <is>
          <t>Boxing</t>
        </is>
      </c>
      <c r="F16" s="9" t="inlineStr"/>
      <c r="G16" s="10" t="inlineStr">
        <is>
          <t>State</t>
        </is>
      </c>
      <c r="H16" s="8" t="inlineStr">
        <is>
          <t>1st (Gold)</t>
        </is>
      </c>
      <c r="I16" s="10" t="inlineStr"/>
      <c r="J16" s="9" t="inlineStr"/>
      <c r="K16" s="10" t="inlineStr">
        <is>
          <t>Y</t>
        </is>
      </c>
      <c r="L16" s="10" t="inlineStr"/>
    </row>
    <row r="17" ht="22" customHeight="1">
      <c r="B17" s="14" t="inlineStr">
        <is>
          <t>ACH/2024/0013</t>
        </is>
      </c>
      <c r="C17" s="15" t="inlineStr"/>
      <c r="D17" s="16" t="inlineStr"/>
      <c r="E17" s="16" t="inlineStr">
        <is>
          <t>Wrestling</t>
        </is>
      </c>
      <c r="F17" s="15" t="inlineStr"/>
      <c r="G17" s="16" t="inlineStr">
        <is>
          <t>National</t>
        </is>
      </c>
      <c r="H17" s="14" t="inlineStr">
        <is>
          <t>2nd (Silver)</t>
        </is>
      </c>
      <c r="I17" s="16" t="inlineStr"/>
      <c r="J17" s="15" t="inlineStr"/>
      <c r="K17" s="16" t="inlineStr">
        <is>
          <t>Y</t>
        </is>
      </c>
      <c r="L17" s="16" t="inlineStr"/>
    </row>
    <row r="18" ht="22" customHeight="1">
      <c r="B18" s="8" t="inlineStr">
        <is>
          <t>ACH/2025/0014</t>
        </is>
      </c>
      <c r="C18" s="9" t="inlineStr"/>
      <c r="D18" s="10" t="inlineStr"/>
      <c r="E18" s="10" t="inlineStr">
        <is>
          <t>Judo</t>
        </is>
      </c>
      <c r="F18" s="9" t="inlineStr"/>
      <c r="G18" s="10" t="inlineStr">
        <is>
          <t>International</t>
        </is>
      </c>
      <c r="H18" s="8" t="inlineStr">
        <is>
          <t>3rd (Bronze)</t>
        </is>
      </c>
      <c r="I18" s="10" t="inlineStr"/>
      <c r="J18" s="9" t="inlineStr"/>
      <c r="K18" s="10" t="inlineStr">
        <is>
          <t>Y</t>
        </is>
      </c>
      <c r="L18" s="10" t="inlineStr"/>
    </row>
    <row r="19" ht="22" customHeight="1">
      <c r="B19" s="14" t="inlineStr">
        <is>
          <t>ACH/2025/0015</t>
        </is>
      </c>
      <c r="C19" s="15" t="inlineStr"/>
      <c r="D19" s="16" t="inlineStr"/>
      <c r="E19" s="16" t="inlineStr">
        <is>
          <t>Cycling</t>
        </is>
      </c>
      <c r="F19" s="15" t="inlineStr"/>
      <c r="G19" s="16" t="inlineStr">
        <is>
          <t>All India University Games</t>
        </is>
      </c>
      <c r="H19" s="14" t="inlineStr">
        <is>
          <t>4th Place</t>
        </is>
      </c>
      <c r="I19" s="16" t="inlineStr"/>
      <c r="J19" s="15" t="inlineStr"/>
      <c r="K19" s="16" t="inlineStr">
        <is>
          <t>Y</t>
        </is>
      </c>
      <c r="L19" s="16" t="inlineStr"/>
    </row>
    <row r="20" ht="22" customHeight="1">
      <c r="B20" s="8" t="inlineStr">
        <is>
          <t>ACH/2025/0016</t>
        </is>
      </c>
      <c r="C20" s="9" t="inlineStr"/>
      <c r="D20" s="10" t="inlineStr"/>
      <c r="E20" s="10" t="inlineStr">
        <is>
          <t>Shooting</t>
        </is>
      </c>
      <c r="F20" s="9" t="inlineStr"/>
      <c r="G20" s="10" t="inlineStr">
        <is>
          <t>Khelo India</t>
        </is>
      </c>
      <c r="H20" s="8" t="inlineStr">
        <is>
          <t>Finalist</t>
        </is>
      </c>
      <c r="I20" s="10" t="inlineStr"/>
      <c r="J20" s="9" t="inlineStr"/>
      <c r="K20" s="10" t="inlineStr">
        <is>
          <t>Y</t>
        </is>
      </c>
      <c r="L20" s="10" t="inlineStr"/>
    </row>
    <row r="21" ht="22" customHeight="1">
      <c r="B21" s="14" t="inlineStr">
        <is>
          <t>ACH/2025/0017</t>
        </is>
      </c>
      <c r="C21" s="15" t="inlineStr"/>
      <c r="D21" s="16" t="inlineStr"/>
      <c r="E21" s="16" t="inlineStr">
        <is>
          <t>Cricket</t>
        </is>
      </c>
      <c r="F21" s="15" t="inlineStr"/>
      <c r="G21" s="16" t="inlineStr">
        <is>
          <t>Inter-College</t>
        </is>
      </c>
      <c r="H21" s="14" t="inlineStr">
        <is>
          <t>Semi-Finalist</t>
        </is>
      </c>
      <c r="I21" s="16" t="inlineStr"/>
      <c r="J21" s="15" t="inlineStr"/>
      <c r="K21" s="16" t="inlineStr">
        <is>
          <t>Y</t>
        </is>
      </c>
      <c r="L21" s="16" t="inlineStr"/>
    </row>
    <row r="22" ht="22" customHeight="1">
      <c r="B22" s="8" t="inlineStr">
        <is>
          <t>ACH/2025/0018</t>
        </is>
      </c>
      <c r="C22" s="9" t="inlineStr"/>
      <c r="D22" s="10" t="inlineStr"/>
      <c r="E22" s="10" t="inlineStr">
        <is>
          <t>Football</t>
        </is>
      </c>
      <c r="F22" s="9" t="inlineStr"/>
      <c r="G22" s="10" t="inlineStr">
        <is>
          <t>University Zone</t>
        </is>
      </c>
      <c r="H22" s="8" t="inlineStr">
        <is>
          <t>Best Player</t>
        </is>
      </c>
      <c r="I22" s="10" t="inlineStr"/>
      <c r="J22" s="9" t="inlineStr"/>
      <c r="K22" s="10" t="inlineStr">
        <is>
          <t>Y</t>
        </is>
      </c>
      <c r="L22" s="10" t="inlineStr"/>
    </row>
    <row r="23" ht="22" customHeight="1">
      <c r="B23" s="14" t="inlineStr">
        <is>
          <t>ACH/2025/0019</t>
        </is>
      </c>
      <c r="C23" s="15" t="inlineStr"/>
      <c r="D23" s="16" t="inlineStr"/>
      <c r="E23" s="16" t="inlineStr">
        <is>
          <t>Volleyball</t>
        </is>
      </c>
      <c r="F23" s="15" t="inlineStr"/>
      <c r="G23" s="16" t="inlineStr">
        <is>
          <t>Inter-University</t>
        </is>
      </c>
      <c r="H23" s="14" t="inlineStr">
        <is>
          <t>Best Bowler</t>
        </is>
      </c>
      <c r="I23" s="16" t="inlineStr"/>
      <c r="J23" s="15" t="inlineStr"/>
      <c r="K23" s="16" t="inlineStr">
        <is>
          <t>Y</t>
        </is>
      </c>
      <c r="L23" s="16" t="inlineStr"/>
    </row>
    <row r="24" ht="22" customHeight="1">
      <c r="B24" s="8" t="inlineStr">
        <is>
          <t>ACH/2025/0020</t>
        </is>
      </c>
      <c r="C24" s="9" t="inlineStr"/>
      <c r="D24" s="10" t="inlineStr"/>
      <c r="E24" s="10" t="inlineStr">
        <is>
          <t>Basketball</t>
        </is>
      </c>
      <c r="F24" s="9" t="inlineStr"/>
      <c r="G24" s="10" t="inlineStr">
        <is>
          <t>State</t>
        </is>
      </c>
      <c r="H24" s="8" t="inlineStr">
        <is>
          <t>Best Batsman</t>
        </is>
      </c>
      <c r="I24" s="10" t="inlineStr"/>
      <c r="J24" s="9" t="inlineStr"/>
      <c r="K24" s="10" t="inlineStr">
        <is>
          <t>Y</t>
        </is>
      </c>
      <c r="L24" s="10" t="inlineStr"/>
    </row>
    <row r="25" ht="22" customHeight="1">
      <c r="B25" s="14" t="inlineStr">
        <is>
          <t>ACH/2025/0021</t>
        </is>
      </c>
      <c r="C25" s="15" t="inlineStr"/>
      <c r="D25" s="16" t="inlineStr"/>
      <c r="E25" s="16" t="inlineStr">
        <is>
          <t>Badminton</t>
        </is>
      </c>
      <c r="F25" s="15" t="inlineStr"/>
      <c r="G25" s="16" t="inlineStr">
        <is>
          <t>National</t>
        </is>
      </c>
      <c r="H25" s="14" t="inlineStr">
        <is>
          <t>MVP</t>
        </is>
      </c>
      <c r="I25" s="16" t="inlineStr"/>
      <c r="J25" s="15" t="inlineStr"/>
      <c r="K25" s="16" t="inlineStr">
        <is>
          <t>Y</t>
        </is>
      </c>
      <c r="L25" s="16" t="inlineStr"/>
    </row>
    <row r="26" ht="22" customHeight="1">
      <c r="B26" s="8" t="inlineStr">
        <is>
          <t>ACH/2025/0022</t>
        </is>
      </c>
      <c r="C26" s="9" t="inlineStr"/>
      <c r="D26" s="10" t="inlineStr"/>
      <c r="E26" s="10" t="inlineStr">
        <is>
          <t>Table Tennis</t>
        </is>
      </c>
      <c r="F26" s="9" t="inlineStr"/>
      <c r="G26" s="10" t="inlineStr">
        <is>
          <t>International</t>
        </is>
      </c>
      <c r="H26" s="8" t="inlineStr">
        <is>
          <t>Champion</t>
        </is>
      </c>
      <c r="I26" s="10" t="inlineStr"/>
      <c r="J26" s="9" t="inlineStr"/>
      <c r="K26" s="10" t="inlineStr">
        <is>
          <t>Y</t>
        </is>
      </c>
      <c r="L26" s="10" t="inlineStr"/>
    </row>
    <row r="27" ht="22" customHeight="1">
      <c r="B27" s="14" t="inlineStr">
        <is>
          <t>ACH/2025/0023</t>
        </is>
      </c>
      <c r="C27" s="15" t="inlineStr"/>
      <c r="D27" s="16" t="inlineStr"/>
      <c r="E27" s="16" t="inlineStr">
        <is>
          <t>Athletics</t>
        </is>
      </c>
      <c r="F27" s="15" t="inlineStr"/>
      <c r="G27" s="16" t="inlineStr">
        <is>
          <t>All India University Games</t>
        </is>
      </c>
      <c r="H27" s="14" t="inlineStr">
        <is>
          <t>1st (Gold)</t>
        </is>
      </c>
      <c r="I27" s="16" t="inlineStr"/>
      <c r="J27" s="15" t="inlineStr"/>
      <c r="K27" s="16" t="inlineStr">
        <is>
          <t>Y</t>
        </is>
      </c>
      <c r="L27" s="16" t="inlineStr"/>
    </row>
    <row r="28" ht="22" customHeight="1">
      <c r="B28" s="8" t="inlineStr">
        <is>
          <t>ACH/2025/0024</t>
        </is>
      </c>
      <c r="C28" s="9" t="inlineStr"/>
      <c r="D28" s="10" t="inlineStr"/>
      <c r="E28" s="10" t="inlineStr">
        <is>
          <t>Chess</t>
        </is>
      </c>
      <c r="F28" s="9" t="inlineStr"/>
      <c r="G28" s="10" t="inlineStr">
        <is>
          <t>Khelo India</t>
        </is>
      </c>
      <c r="H28" s="8" t="inlineStr">
        <is>
          <t>2nd (Silver)</t>
        </is>
      </c>
      <c r="I28" s="10" t="inlineStr"/>
      <c r="J28" s="9" t="inlineStr"/>
      <c r="K28" s="10" t="inlineStr">
        <is>
          <t>Y</t>
        </is>
      </c>
      <c r="L28" s="10" t="inlineStr"/>
    </row>
    <row r="29" ht="22" customHeight="1">
      <c r="B29" s="14" t="inlineStr">
        <is>
          <t>ACH/2025/0025</t>
        </is>
      </c>
      <c r="C29" s="15" t="inlineStr"/>
      <c r="D29" s="16" t="inlineStr"/>
      <c r="E29" s="16" t="inlineStr">
        <is>
          <t>Kabaddi</t>
        </is>
      </c>
      <c r="F29" s="15" t="inlineStr"/>
      <c r="G29" s="16" t="inlineStr">
        <is>
          <t>Inter-College</t>
        </is>
      </c>
      <c r="H29" s="14" t="inlineStr">
        <is>
          <t>3rd (Bronze)</t>
        </is>
      </c>
      <c r="I29" s="16" t="inlineStr"/>
      <c r="J29" s="15" t="inlineStr"/>
      <c r="K29" s="16" t="inlineStr">
        <is>
          <t>Y</t>
        </is>
      </c>
      <c r="L29" s="16" t="inlineStr"/>
    </row>
    <row r="30" ht="22" customHeight="1">
      <c r="B30" s="8" t="inlineStr">
        <is>
          <t>ACH/2025/0026</t>
        </is>
      </c>
      <c r="C30" s="9" t="inlineStr"/>
      <c r="D30" s="10" t="inlineStr"/>
      <c r="E30" s="10" t="inlineStr">
        <is>
          <t>Kho-Kho</t>
        </is>
      </c>
      <c r="F30" s="9" t="inlineStr"/>
      <c r="G30" s="10" t="inlineStr">
        <is>
          <t>University Zone</t>
        </is>
      </c>
      <c r="H30" s="8" t="inlineStr">
        <is>
          <t>4th Place</t>
        </is>
      </c>
      <c r="I30" s="10" t="inlineStr"/>
      <c r="J30" s="9" t="inlineStr"/>
      <c r="K30" s="10" t="inlineStr">
        <is>
          <t>Y</t>
        </is>
      </c>
      <c r="L30" s="10" t="inlineStr"/>
    </row>
    <row r="31" ht="22" customHeight="1"/>
    <row r="32" ht="24" customHeight="1">
      <c r="B32" s="49" t="inlineStr">
        <is>
          <t>ACHIEVEMENT SUMMARY — SPORT-WISE</t>
        </is>
      </c>
    </row>
    <row r="33" ht="22" customHeight="1">
      <c r="B33" s="50" t="inlineStr">
        <is>
          <t>Sport</t>
        </is>
      </c>
      <c r="C33" s="50" t="inlineStr">
        <is>
          <t>Gold</t>
        </is>
      </c>
      <c r="D33" s="50" t="inlineStr">
        <is>
          <t>Silver</t>
        </is>
      </c>
      <c r="E33" s="50" t="inlineStr">
        <is>
          <t>Bronze</t>
        </is>
      </c>
      <c r="F33" s="50" t="inlineStr">
        <is>
          <t>Total Medals</t>
        </is>
      </c>
      <c r="G33" s="50" t="inlineStr">
        <is>
          <t>Students
Recognised</t>
        </is>
      </c>
      <c r="H33" s="50" t="inlineStr">
        <is>
          <t>Highest
Level Achieved</t>
        </is>
      </c>
      <c r="I33" s="50" t="inlineStr">
        <is>
          <t>Best Performer</t>
        </is>
      </c>
    </row>
    <row r="34" ht="22" customHeight="1">
      <c r="B34" s="52" t="inlineStr">
        <is>
          <t>Cricket</t>
        </is>
      </c>
      <c r="C34" s="53" t="inlineStr"/>
      <c r="D34" s="53" t="inlineStr"/>
      <c r="E34" s="53" t="inlineStr"/>
      <c r="F34" s="53">
        <f>IFERROR(C34+D34+E34,"")</f>
        <v/>
      </c>
      <c r="G34" s="53" t="inlineStr"/>
      <c r="H34" s="53" t="inlineStr"/>
      <c r="I34" s="52" t="inlineStr"/>
      <c r="J34" s="61" t="n"/>
      <c r="K34" s="61" t="n"/>
      <c r="L34" s="61" t="n"/>
    </row>
    <row r="35" ht="22" customHeight="1">
      <c r="B35" s="9" t="inlineStr">
        <is>
          <t>Football</t>
        </is>
      </c>
      <c r="C35" s="10" t="inlineStr"/>
      <c r="D35" s="10" t="inlineStr"/>
      <c r="E35" s="10" t="inlineStr"/>
      <c r="F35" s="10">
        <f>IFERROR(C35+D35+E35,"")</f>
        <v/>
      </c>
      <c r="G35" s="10" t="inlineStr"/>
      <c r="H35" s="10" t="inlineStr"/>
      <c r="I35" s="9" t="inlineStr"/>
      <c r="J35" s="46" t="n"/>
      <c r="K35" s="46" t="n"/>
      <c r="L35" s="46" t="n"/>
    </row>
    <row r="36" ht="22" customHeight="1">
      <c r="B36" s="52" t="inlineStr">
        <is>
          <t>Volleyball</t>
        </is>
      </c>
      <c r="C36" s="53" t="inlineStr"/>
      <c r="D36" s="53" t="inlineStr"/>
      <c r="E36" s="53" t="inlineStr"/>
      <c r="F36" s="53">
        <f>IFERROR(C36+D36+E36,"")</f>
        <v/>
      </c>
      <c r="G36" s="53" t="inlineStr"/>
      <c r="H36" s="53" t="inlineStr"/>
      <c r="I36" s="52" t="inlineStr"/>
      <c r="J36" s="61" t="n"/>
      <c r="K36" s="61" t="n"/>
      <c r="L36" s="61" t="n"/>
    </row>
    <row r="37" ht="22" customHeight="1">
      <c r="B37" s="9" t="inlineStr">
        <is>
          <t>Basketball</t>
        </is>
      </c>
      <c r="C37" s="10" t="inlineStr"/>
      <c r="D37" s="10" t="inlineStr"/>
      <c r="E37" s="10" t="inlineStr"/>
      <c r="F37" s="10">
        <f>IFERROR(C37+D37+E37,"")</f>
        <v/>
      </c>
      <c r="G37" s="10" t="inlineStr"/>
      <c r="H37" s="10" t="inlineStr"/>
      <c r="I37" s="9" t="inlineStr"/>
      <c r="J37" s="46" t="n"/>
      <c r="K37" s="46" t="n"/>
      <c r="L37" s="46" t="n"/>
    </row>
    <row r="38">
      <c r="B38" s="52" t="inlineStr">
        <is>
          <t>Badminton</t>
        </is>
      </c>
      <c r="C38" s="53" t="inlineStr"/>
      <c r="D38" s="53" t="inlineStr"/>
      <c r="E38" s="53" t="inlineStr"/>
      <c r="F38" s="53">
        <f>IFERROR(C38+D38+E38,"")</f>
        <v/>
      </c>
      <c r="G38" s="53" t="inlineStr"/>
      <c r="H38" s="53" t="inlineStr"/>
      <c r="I38" s="52" t="inlineStr"/>
      <c r="J38" s="61" t="n"/>
      <c r="K38" s="61" t="n"/>
      <c r="L38" s="61" t="n"/>
    </row>
    <row r="39">
      <c r="B39" s="9" t="inlineStr">
        <is>
          <t>Table Tennis</t>
        </is>
      </c>
      <c r="C39" s="10" t="inlineStr"/>
      <c r="D39" s="10" t="inlineStr"/>
      <c r="E39" s="10" t="inlineStr"/>
      <c r="F39" s="10">
        <f>IFERROR(C39+D39+E39,"")</f>
        <v/>
      </c>
      <c r="G39" s="10" t="inlineStr"/>
      <c r="H39" s="10" t="inlineStr"/>
      <c r="I39" s="9" t="inlineStr"/>
      <c r="J39" s="46" t="n"/>
      <c r="K39" s="46" t="n"/>
      <c r="L39" s="46" t="n"/>
    </row>
    <row r="40">
      <c r="B40" s="52" t="inlineStr">
        <is>
          <t>Athletics</t>
        </is>
      </c>
      <c r="C40" s="53" t="inlineStr"/>
      <c r="D40" s="53" t="inlineStr"/>
      <c r="E40" s="53" t="inlineStr"/>
      <c r="F40" s="53">
        <f>IFERROR(C40+D40+E40,"")</f>
        <v/>
      </c>
      <c r="G40" s="53" t="inlineStr"/>
      <c r="H40" s="53" t="inlineStr"/>
      <c r="I40" s="52" t="inlineStr"/>
      <c r="J40" s="61" t="n"/>
      <c r="K40" s="61" t="n"/>
      <c r="L40" s="61" t="n"/>
    </row>
    <row r="41">
      <c r="B41" s="9" t="inlineStr">
        <is>
          <t>Chess</t>
        </is>
      </c>
      <c r="C41" s="10" t="inlineStr"/>
      <c r="D41" s="10" t="inlineStr"/>
      <c r="E41" s="10" t="inlineStr"/>
      <c r="F41" s="10">
        <f>IFERROR(C41+D41+E41,"")</f>
        <v/>
      </c>
      <c r="G41" s="10" t="inlineStr"/>
      <c r="H41" s="10" t="inlineStr"/>
      <c r="I41" s="9" t="inlineStr"/>
      <c r="J41" s="46" t="n"/>
      <c r="K41" s="46" t="n"/>
      <c r="L41" s="46" t="n"/>
    </row>
    <row r="42">
      <c r="B42" s="52" t="inlineStr">
        <is>
          <t>Kabaddi</t>
        </is>
      </c>
      <c r="C42" s="53" t="inlineStr"/>
      <c r="D42" s="53" t="inlineStr"/>
      <c r="E42" s="53" t="inlineStr"/>
      <c r="F42" s="53">
        <f>IFERROR(C42+D42+E42,"")</f>
        <v/>
      </c>
      <c r="G42" s="53" t="inlineStr"/>
      <c r="H42" s="53" t="inlineStr"/>
      <c r="I42" s="52" t="inlineStr"/>
      <c r="J42" s="61" t="n"/>
      <c r="K42" s="61" t="n"/>
      <c r="L42" s="61" t="n"/>
    </row>
    <row r="43">
      <c r="B43" s="9" t="inlineStr">
        <is>
          <t>Kho-Kho</t>
        </is>
      </c>
      <c r="C43" s="10" t="inlineStr"/>
      <c r="D43" s="10" t="inlineStr"/>
      <c r="E43" s="10" t="inlineStr"/>
      <c r="F43" s="10">
        <f>IFERROR(C43+D43+E43,"")</f>
        <v/>
      </c>
      <c r="G43" s="10" t="inlineStr"/>
      <c r="H43" s="10" t="inlineStr"/>
      <c r="I43" s="9" t="inlineStr"/>
      <c r="J43" s="46" t="n"/>
      <c r="K43" s="46" t="n"/>
      <c r="L43" s="46" t="n"/>
    </row>
    <row r="44">
      <c r="B44" s="23" t="inlineStr">
        <is>
          <t>TOTAL</t>
        </is>
      </c>
      <c r="C44" s="47" t="inlineStr"/>
      <c r="D44" s="47" t="inlineStr"/>
      <c r="E44" s="47" t="inlineStr"/>
      <c r="F44" s="47">
        <f>IFERROR(C44+D44+E44,"")</f>
        <v/>
      </c>
      <c r="G44" s="47" t="inlineStr"/>
      <c r="H44" s="47" t="inlineStr"/>
      <c r="I44" s="23" t="inlineStr"/>
      <c r="J44" s="48" t="n"/>
      <c r="K44" s="48" t="n"/>
      <c r="L44" s="48" t="n"/>
    </row>
  </sheetData>
  <mergeCells count="3">
    <mergeCell ref="B32:K32"/>
    <mergeCell ref="B3:K3"/>
    <mergeCell ref="B2:K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H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4" customWidth="1" min="3" max="3"/>
    <col width="18" customWidth="1" min="4" max="4"/>
    <col width="14" customWidth="1" min="5" max="5"/>
    <col width="12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SGC-19: TOURNAMENT / SPORTS EVENT PLANNING CHECKLIST</t>
        </is>
      </c>
    </row>
    <row r="3" ht="25" customHeight="1">
      <c r="B3" s="2" t="inlineStr">
        <is>
          <t>Event Name: ___________________  Sport: ___________________  Date(s): _______  Venue: ___________________  Sports Director: ___________________</t>
        </is>
      </c>
    </row>
    <row r="4" ht="25" customHeight="1">
      <c r="B4" s="13" t="inlineStr">
        <is>
          <t>Phase</t>
        </is>
      </c>
      <c r="C4" s="13" t="inlineStr">
        <is>
          <t>Task / Action Item</t>
        </is>
      </c>
      <c r="D4" s="13" t="inlineStr">
        <is>
          <t>Responsible</t>
        </is>
      </c>
      <c r="E4" s="13" t="inlineStr">
        <is>
          <t>Target Date</t>
        </is>
      </c>
      <c r="F4" s="13" t="inlineStr">
        <is>
          <t>Completed
(Y/N)</t>
        </is>
      </c>
      <c r="G4" s="13" t="inlineStr">
        <is>
          <t>Date Done</t>
        </is>
      </c>
      <c r="H4" s="13" t="inlineStr">
        <is>
          <t>Remarks</t>
        </is>
      </c>
    </row>
    <row r="5" ht="24" customHeight="1">
      <c r="B5" s="39" t="inlineStr">
        <is>
          <t>PRE-EVENT (4–6 Weeks Before)</t>
        </is>
      </c>
    </row>
    <row r="6" ht="24" customHeight="1">
      <c r="B6" s="54" t="n">
        <v>1</v>
      </c>
      <c r="C6" s="43" t="inlineStr">
        <is>
          <t>Fix tournament dates and get Principal approval</t>
        </is>
      </c>
      <c r="D6" s="44" t="inlineStr">
        <is>
          <t>Sports Director</t>
        </is>
      </c>
      <c r="E6" s="44" t="inlineStr"/>
      <c r="F6" s="44" t="inlineStr"/>
      <c r="G6" s="44" t="inlineStr"/>
      <c r="H6" s="43" t="inlineStr"/>
    </row>
    <row r="7" ht="24" customHeight="1">
      <c r="B7" s="8" t="n">
        <v>2</v>
      </c>
      <c r="C7" s="9" t="inlineStr">
        <is>
          <t>Issue circular / notification to all departments</t>
        </is>
      </c>
      <c r="D7" s="10" t="inlineStr">
        <is>
          <t>Sports Director</t>
        </is>
      </c>
      <c r="E7" s="10" t="inlineStr"/>
      <c r="F7" s="10" t="inlineStr"/>
      <c r="G7" s="10" t="inlineStr"/>
      <c r="H7" s="9" t="inlineStr"/>
    </row>
    <row r="8" ht="24" customHeight="1">
      <c r="B8" s="54" t="n">
        <v>3</v>
      </c>
      <c r="C8" s="43" t="inlineStr">
        <is>
          <t>Open online / offline team registration</t>
        </is>
      </c>
      <c r="D8" s="44" t="inlineStr">
        <is>
          <t>Sports Coordinator</t>
        </is>
      </c>
      <c r="E8" s="44" t="inlineStr"/>
      <c r="F8" s="44" t="inlineStr"/>
      <c r="G8" s="44" t="inlineStr"/>
      <c r="H8" s="43" t="inlineStr"/>
    </row>
    <row r="9" ht="24" customHeight="1">
      <c r="B9" s="8" t="n">
        <v>4</v>
      </c>
      <c r="C9" s="9" t="inlineStr">
        <is>
          <t>Form tournament technical committee / jury</t>
        </is>
      </c>
      <c r="D9" s="10" t="inlineStr">
        <is>
          <t>Sports Director</t>
        </is>
      </c>
      <c r="E9" s="10" t="inlineStr"/>
      <c r="F9" s="10" t="inlineStr"/>
      <c r="G9" s="10" t="inlineStr"/>
      <c r="H9" s="9" t="inlineStr"/>
    </row>
    <row r="10" ht="24" customHeight="1">
      <c r="B10" s="54" t="n">
        <v>5</v>
      </c>
      <c r="C10" s="43" t="inlineStr">
        <is>
          <t>Book venue and confirm availability</t>
        </is>
      </c>
      <c r="D10" s="44" t="inlineStr">
        <is>
          <t>Facility In-charge</t>
        </is>
      </c>
      <c r="E10" s="44" t="inlineStr"/>
      <c r="F10" s="44" t="inlineStr"/>
      <c r="G10" s="44" t="inlineStr"/>
      <c r="H10" s="43" t="inlineStr"/>
    </row>
    <row r="11" ht="24" customHeight="1">
      <c r="B11" s="8" t="n">
        <v>6</v>
      </c>
      <c r="C11" s="9" t="inlineStr">
        <is>
          <t>Arrange referees / umpires / officials</t>
        </is>
      </c>
      <c r="D11" s="10" t="inlineStr">
        <is>
          <t>Sports Director</t>
        </is>
      </c>
      <c r="E11" s="10" t="inlineStr"/>
      <c r="F11" s="10" t="inlineStr"/>
      <c r="G11" s="10" t="inlineStr"/>
      <c r="H11" s="9" t="inlineStr"/>
    </row>
    <row r="12" ht="24" customHeight="1">
      <c r="B12" s="54" t="n">
        <v>7</v>
      </c>
      <c r="C12" s="43" t="inlineStr">
        <is>
          <t>Arrange prizes, trophies, certificates</t>
        </is>
      </c>
      <c r="D12" s="44" t="inlineStr">
        <is>
          <t>SGC Coordinator</t>
        </is>
      </c>
      <c r="E12" s="44" t="inlineStr"/>
      <c r="F12" s="44" t="inlineStr"/>
      <c r="G12" s="44" t="inlineStr"/>
      <c r="H12" s="43" t="inlineStr"/>
    </row>
    <row r="13" ht="24" customHeight="1">
      <c r="B13" s="8" t="n">
        <v>8</v>
      </c>
      <c r="C13" s="9" t="inlineStr">
        <is>
          <t>Plan budget and seek financial approval</t>
        </is>
      </c>
      <c r="D13" s="10" t="inlineStr">
        <is>
          <t>Sports Director</t>
        </is>
      </c>
      <c r="E13" s="10" t="inlineStr"/>
      <c r="F13" s="10" t="inlineStr"/>
      <c r="G13" s="10" t="inlineStr"/>
      <c r="H13" s="9" t="inlineStr"/>
    </row>
    <row r="14" ht="24" customHeight="1">
      <c r="B14" s="54" t="n">
        <v>9</v>
      </c>
      <c r="C14" s="43" t="inlineStr">
        <is>
          <t>Arrange first aid / medical support</t>
        </is>
      </c>
      <c r="D14" s="44" t="inlineStr">
        <is>
          <t>Medical Officer</t>
        </is>
      </c>
      <c r="E14" s="44" t="inlineStr"/>
      <c r="F14" s="44" t="inlineStr"/>
      <c r="G14" s="44" t="inlineStr"/>
      <c r="H14" s="43" t="inlineStr"/>
    </row>
    <row r="15" ht="24" customHeight="1">
      <c r="B15" s="8" t="n">
        <v>10</v>
      </c>
      <c r="C15" s="9" t="inlineStr">
        <is>
          <t>Arrange refreshments / water supply</t>
        </is>
      </c>
      <c r="D15" s="10" t="inlineStr">
        <is>
          <t>Canteen / SGC</t>
        </is>
      </c>
      <c r="E15" s="10" t="inlineStr"/>
      <c r="F15" s="10" t="inlineStr"/>
      <c r="G15" s="10" t="inlineStr"/>
      <c r="H15" s="9" t="inlineStr"/>
    </row>
    <row r="16" ht="24" customHeight="1">
      <c r="B16" s="54" t="n">
        <v>11</v>
      </c>
      <c r="C16" s="43" t="inlineStr">
        <is>
          <t>Prepare fixture schedule / draw lots</t>
        </is>
      </c>
      <c r="D16" s="44" t="inlineStr">
        <is>
          <t>Technical Committee</t>
        </is>
      </c>
      <c r="E16" s="44" t="inlineStr"/>
      <c r="F16" s="44" t="inlineStr"/>
      <c r="G16" s="44" t="inlineStr"/>
      <c r="H16" s="43" t="inlineStr"/>
    </row>
    <row r="17" ht="24" customHeight="1">
      <c r="B17" s="8" t="n">
        <v>12</v>
      </c>
      <c r="C17" s="9" t="inlineStr">
        <is>
          <t>Arrange PA system, scoreboard, timing device</t>
        </is>
      </c>
      <c r="D17" s="10" t="inlineStr">
        <is>
          <t>Technical Committee</t>
        </is>
      </c>
      <c r="E17" s="10" t="inlineStr"/>
      <c r="F17" s="10" t="inlineStr"/>
      <c r="G17" s="10" t="inlineStr"/>
      <c r="H17" s="9" t="inlineStr"/>
    </row>
    <row r="18" ht="22" customHeight="1"/>
    <row r="19" ht="24" customHeight="1">
      <c r="B19" s="19" t="inlineStr">
        <is>
          <t>EVENT DAY</t>
        </is>
      </c>
    </row>
    <row r="20" ht="24" customHeight="1">
      <c r="B20" s="14" t="n">
        <v>1</v>
      </c>
      <c r="C20" s="15" t="inlineStr">
        <is>
          <t>Set up venue — markings, nets, equipment</t>
        </is>
      </c>
      <c r="D20" s="16" t="inlineStr">
        <is>
          <t>Facility Team</t>
        </is>
      </c>
      <c r="E20" s="16" t="inlineStr"/>
      <c r="F20" s="16" t="inlineStr"/>
      <c r="G20" s="16" t="inlineStr"/>
      <c r="H20" s="15" t="inlineStr"/>
    </row>
    <row r="21" ht="24" customHeight="1">
      <c r="B21" s="8" t="n">
        <v>2</v>
      </c>
      <c r="C21" s="9" t="inlineStr">
        <is>
          <t>Briefing of referees / officials</t>
        </is>
      </c>
      <c r="D21" s="10" t="inlineStr">
        <is>
          <t>Sports Director</t>
        </is>
      </c>
      <c r="E21" s="10" t="inlineStr"/>
      <c r="F21" s="10" t="inlineStr"/>
      <c r="G21" s="10" t="inlineStr"/>
      <c r="H21" s="9" t="inlineStr"/>
    </row>
    <row r="22" ht="24" customHeight="1">
      <c r="B22" s="14" t="n">
        <v>3</v>
      </c>
      <c r="C22" s="15" t="inlineStr">
        <is>
          <t>Player registration and ID verification</t>
        </is>
      </c>
      <c r="D22" s="16" t="inlineStr">
        <is>
          <t>SGC Team</t>
        </is>
      </c>
      <c r="E22" s="16" t="inlineStr"/>
      <c r="F22" s="16" t="inlineStr"/>
      <c r="G22" s="16" t="inlineStr"/>
      <c r="H22" s="15" t="inlineStr"/>
    </row>
    <row r="23" ht="24" customHeight="1">
      <c r="B23" s="8" t="n">
        <v>4</v>
      </c>
      <c r="C23" s="9" t="inlineStr">
        <is>
          <t>Opening ceremony / flag hoisting (if applicable)</t>
        </is>
      </c>
      <c r="D23" s="10" t="inlineStr">
        <is>
          <t>Principal / SGC</t>
        </is>
      </c>
      <c r="E23" s="10" t="inlineStr"/>
      <c r="F23" s="10" t="inlineStr"/>
      <c r="G23" s="10" t="inlineStr"/>
      <c r="H23" s="9" t="inlineStr"/>
    </row>
    <row r="24" ht="24" customHeight="1">
      <c r="B24" s="14" t="n">
        <v>5</v>
      </c>
      <c r="C24" s="15" t="inlineStr">
        <is>
          <t>Conduct matches as per fixture</t>
        </is>
      </c>
      <c r="D24" s="16" t="inlineStr">
        <is>
          <t>Referees / SGC</t>
        </is>
      </c>
      <c r="E24" s="16" t="inlineStr"/>
      <c r="F24" s="16" t="inlineStr"/>
      <c r="G24" s="16" t="inlineStr"/>
      <c r="H24" s="15" t="inlineStr"/>
    </row>
    <row r="25" ht="24" customHeight="1">
      <c r="B25" s="8" t="n">
        <v>6</v>
      </c>
      <c r="C25" s="9" t="inlineStr">
        <is>
          <t>Maintain match results in real-time</t>
        </is>
      </c>
      <c r="D25" s="10" t="inlineStr">
        <is>
          <t>Scorekeeper</t>
        </is>
      </c>
      <c r="E25" s="10" t="inlineStr"/>
      <c r="F25" s="10" t="inlineStr"/>
      <c r="G25" s="10" t="inlineStr"/>
      <c r="H25" s="9" t="inlineStr"/>
    </row>
    <row r="26" ht="24" customHeight="1">
      <c r="B26" s="14" t="n">
        <v>7</v>
      </c>
      <c r="C26" s="15" t="inlineStr">
        <is>
          <t>Ensure medical support is on standby</t>
        </is>
      </c>
      <c r="D26" s="16" t="inlineStr">
        <is>
          <t>Medical Officer</t>
        </is>
      </c>
      <c r="E26" s="16" t="inlineStr"/>
      <c r="F26" s="16" t="inlineStr"/>
      <c r="G26" s="16" t="inlineStr"/>
      <c r="H26" s="15" t="inlineStr"/>
    </row>
    <row r="27" ht="24" customHeight="1">
      <c r="B27" s="8" t="n">
        <v>8</v>
      </c>
      <c r="C27" s="9" t="inlineStr">
        <is>
          <t>Photography / videography for records</t>
        </is>
      </c>
      <c r="D27" s="10" t="inlineStr">
        <is>
          <t>PMPC / SGC</t>
        </is>
      </c>
      <c r="E27" s="10" t="inlineStr"/>
      <c r="F27" s="10" t="inlineStr"/>
      <c r="G27" s="10" t="inlineStr"/>
      <c r="H27" s="9" t="inlineStr"/>
    </row>
    <row r="28" ht="24" customHeight="1">
      <c r="B28" s="14" t="n">
        <v>9</v>
      </c>
      <c r="C28" s="15" t="inlineStr">
        <is>
          <t>Manage incidents / disputes promptly</t>
        </is>
      </c>
      <c r="D28" s="16" t="inlineStr">
        <is>
          <t>Technical Committee</t>
        </is>
      </c>
      <c r="E28" s="16" t="inlineStr"/>
      <c r="F28" s="16" t="inlineStr"/>
      <c r="G28" s="16" t="inlineStr"/>
      <c r="H28" s="15" t="inlineStr"/>
    </row>
    <row r="29" ht="22" customHeight="1"/>
    <row r="30" ht="24" customHeight="1">
      <c r="B30" s="49" t="inlineStr">
        <is>
          <t>POST-EVENT (Within 1 Week)</t>
        </is>
      </c>
    </row>
    <row r="31" ht="24" customHeight="1">
      <c r="B31" s="51" t="n">
        <v>1</v>
      </c>
      <c r="C31" s="52" t="inlineStr">
        <is>
          <t>Closing ceremony and prize distribution</t>
        </is>
      </c>
      <c r="D31" s="53" t="inlineStr">
        <is>
          <t>Principal / SGC</t>
        </is>
      </c>
      <c r="E31" s="53" t="inlineStr"/>
      <c r="F31" s="53" t="inlineStr"/>
      <c r="G31" s="53" t="inlineStr"/>
      <c r="H31" s="52" t="inlineStr"/>
    </row>
    <row r="32" ht="24" customHeight="1">
      <c r="B32" s="8" t="n">
        <v>2</v>
      </c>
      <c r="C32" s="9" t="inlineStr">
        <is>
          <t>Issue winner certificates and medals</t>
        </is>
      </c>
      <c r="D32" s="10" t="inlineStr">
        <is>
          <t>SGC Coordinator</t>
        </is>
      </c>
      <c r="E32" s="10" t="inlineStr"/>
      <c r="F32" s="10" t="inlineStr"/>
      <c r="G32" s="10" t="inlineStr"/>
      <c r="H32" s="9" t="inlineStr"/>
    </row>
    <row r="33" ht="24" customHeight="1">
      <c r="B33" s="51" t="n">
        <v>3</v>
      </c>
      <c r="C33" s="52" t="inlineStr">
        <is>
          <t>Collect all equipment and close inventory</t>
        </is>
      </c>
      <c r="D33" s="53" t="inlineStr">
        <is>
          <t>Equipment In-charge</t>
        </is>
      </c>
      <c r="E33" s="53" t="inlineStr"/>
      <c r="F33" s="53" t="inlineStr"/>
      <c r="G33" s="53" t="inlineStr"/>
      <c r="H33" s="52" t="inlineStr"/>
    </row>
    <row r="34" ht="24" customHeight="1">
      <c r="B34" s="8" t="n">
        <v>4</v>
      </c>
      <c r="C34" s="9" t="inlineStr">
        <is>
          <t>Compile final results and statistics</t>
        </is>
      </c>
      <c r="D34" s="10" t="inlineStr">
        <is>
          <t>SGC Coordinator</t>
        </is>
      </c>
      <c r="E34" s="10" t="inlineStr"/>
      <c r="F34" s="10" t="inlineStr"/>
      <c r="G34" s="10" t="inlineStr"/>
      <c r="H34" s="9" t="inlineStr"/>
    </row>
    <row r="35" ht="24" customHeight="1">
      <c r="B35" s="51" t="n">
        <v>5</v>
      </c>
      <c r="C35" s="52" t="inlineStr">
        <is>
          <t>Send results to NAAC / IQAC for records</t>
        </is>
      </c>
      <c r="D35" s="53" t="inlineStr">
        <is>
          <t>Sports Director</t>
        </is>
      </c>
      <c r="E35" s="53" t="inlineStr"/>
      <c r="F35" s="53" t="inlineStr"/>
      <c r="G35" s="53" t="inlineStr"/>
      <c r="H35" s="52" t="inlineStr"/>
    </row>
    <row r="36" ht="24" customHeight="1">
      <c r="B36" s="8" t="n">
        <v>6</v>
      </c>
      <c r="C36" s="9" t="inlineStr">
        <is>
          <t>Upload photos and report to PMPC / website</t>
        </is>
      </c>
      <c r="D36" s="10" t="inlineStr">
        <is>
          <t>Sports Director</t>
        </is>
      </c>
      <c r="E36" s="10" t="inlineStr"/>
      <c r="F36" s="10" t="inlineStr"/>
      <c r="G36" s="10" t="inlineStr"/>
      <c r="H36" s="9" t="inlineStr"/>
    </row>
    <row r="37" ht="24" customHeight="1">
      <c r="B37" s="51" t="n">
        <v>7</v>
      </c>
      <c r="C37" s="52" t="inlineStr">
        <is>
          <t>Collect feedback from participants</t>
        </is>
      </c>
      <c r="D37" s="53" t="inlineStr">
        <is>
          <t>SGC Team</t>
        </is>
      </c>
      <c r="E37" s="53" t="inlineStr"/>
      <c r="F37" s="53" t="inlineStr"/>
      <c r="G37" s="53" t="inlineStr"/>
      <c r="H37" s="52" t="inlineStr"/>
    </row>
    <row r="38" ht="24" customHeight="1">
      <c r="B38" s="8" t="n">
        <v>8</v>
      </c>
      <c r="C38" s="9" t="inlineStr">
        <is>
          <t>Prepare event report for SGC meeting</t>
        </is>
      </c>
      <c r="D38" s="10" t="inlineStr">
        <is>
          <t>Sports Director</t>
        </is>
      </c>
      <c r="E38" s="10" t="inlineStr"/>
      <c r="F38" s="10" t="inlineStr"/>
      <c r="G38" s="10" t="inlineStr"/>
      <c r="H38" s="9" t="inlineStr"/>
    </row>
    <row r="39" ht="24" customHeight="1">
      <c r="B39" s="51" t="n">
        <v>9</v>
      </c>
      <c r="C39" s="52" t="inlineStr">
        <is>
          <t>Settle all accounts / expenditure</t>
        </is>
      </c>
      <c r="D39" s="53" t="inlineStr">
        <is>
          <t>Finance Officer</t>
        </is>
      </c>
      <c r="E39" s="53" t="inlineStr"/>
      <c r="F39" s="53" t="inlineStr"/>
      <c r="G39" s="53" t="inlineStr"/>
      <c r="H39" s="52" t="inlineStr"/>
    </row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</sheetData>
  <mergeCells count="5">
    <mergeCell ref="B19:H19"/>
    <mergeCell ref="B30:H30"/>
    <mergeCell ref="B2:H2"/>
    <mergeCell ref="B3:H3"/>
    <mergeCell ref="B5:H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2" t="inlineStr">
        <is>
          <t>SGC-29: STUDENT SPORTS SATISFACTION SURVEY — CONSOLIDATED ANALYSIS</t>
        </is>
      </c>
    </row>
    <row r="3" ht="25" customHeight="1">
      <c r="B3" s="2" t="inlineStr">
        <is>
          <t>A.Y.: _______  Respondents: _______  Date: _______  Sports Director: ___________________</t>
        </is>
      </c>
    </row>
    <row r="4" ht="22" customHeight="1">
      <c r="B4" s="62" t="inlineStr">
        <is>
          <t>Rating Scale: 1 = Very Poor  |  2 = Poor  |  3 = Average  |  4 = Good  |  5 = Excellent</t>
        </is>
      </c>
    </row>
    <row r="5" ht="24" customHeight="1">
      <c r="B5" s="19" t="inlineStr">
        <is>
          <t>SECTION A — SPORTS FACILITIES</t>
        </is>
      </c>
    </row>
    <row r="6" ht="22" customHeight="1">
      <c r="B6" s="13" t="inlineStr">
        <is>
          <t>Q.</t>
        </is>
      </c>
      <c r="C6" s="13" t="inlineStr">
        <is>
          <t>Survey Statement</t>
        </is>
      </c>
      <c r="D6" s="13" t="inlineStr">
        <is>
          <t>Excellent
(5)</t>
        </is>
      </c>
      <c r="E6" s="13" t="inlineStr">
        <is>
          <t>Good
(4)</t>
        </is>
      </c>
      <c r="F6" s="13" t="inlineStr">
        <is>
          <t>Average
(3)</t>
        </is>
      </c>
      <c r="G6" s="13" t="inlineStr">
        <is>
          <t>Poor
(2)</t>
        </is>
      </c>
      <c r="H6" s="13" t="inlineStr">
        <is>
          <t>Very Poor
(1)</t>
        </is>
      </c>
      <c r="I6" s="13" t="inlineStr">
        <is>
          <t>Avg Score</t>
        </is>
      </c>
    </row>
    <row r="7" ht="22" customHeight="1">
      <c r="B7" s="14" t="inlineStr">
        <is>
          <t>Q1</t>
        </is>
      </c>
      <c r="C7" s="15" t="inlineStr">
        <is>
          <t>Quality and condition of sports grounds and courts</t>
        </is>
      </c>
      <c r="D7" s="16" t="inlineStr"/>
      <c r="E7" s="16" t="inlineStr"/>
      <c r="F7" s="16" t="inlineStr"/>
      <c r="G7" s="16" t="inlineStr"/>
      <c r="H7" s="16" t="inlineStr"/>
      <c r="I7" s="26">
        <f>IFERROR(ROUND((D7*5+E7*4+F7*3+G7*2+H7)/SUM(D7:H7),2),"")</f>
        <v/>
      </c>
    </row>
    <row r="8" ht="22" customHeight="1">
      <c r="B8" s="8" t="inlineStr">
        <is>
          <t>Q2</t>
        </is>
      </c>
      <c r="C8" s="9" t="inlineStr">
        <is>
          <t>Availability and maintenance of indoor sports facilities</t>
        </is>
      </c>
      <c r="D8" s="10" t="inlineStr"/>
      <c r="E8" s="10" t="inlineStr"/>
      <c r="F8" s="10" t="inlineStr"/>
      <c r="G8" s="10" t="inlineStr"/>
      <c r="H8" s="10" t="inlineStr"/>
      <c r="I8" s="36">
        <f>IFERROR(ROUND((D8*5+E8*4+F8*3+G8*2+H8)/SUM(D8:H8),2),"")</f>
        <v/>
      </c>
    </row>
    <row r="9" ht="22" customHeight="1">
      <c r="B9" s="14" t="inlineStr">
        <is>
          <t>Q3</t>
        </is>
      </c>
      <c r="C9" s="15" t="inlineStr">
        <is>
          <t>Adequacy of the gymnasium / fitness centre</t>
        </is>
      </c>
      <c r="D9" s="16" t="inlineStr"/>
      <c r="E9" s="16" t="inlineStr"/>
      <c r="F9" s="16" t="inlineStr"/>
      <c r="G9" s="16" t="inlineStr"/>
      <c r="H9" s="16" t="inlineStr"/>
      <c r="I9" s="26">
        <f>IFERROR(ROUND((D9*5+E9*4+F9*3+G9*2+H9)/SUM(D9:H9),2),"")</f>
        <v/>
      </c>
    </row>
    <row r="10" ht="22" customHeight="1">
      <c r="B10" s="8" t="inlineStr">
        <is>
          <t>Q4</t>
        </is>
      </c>
      <c r="C10" s="9" t="inlineStr">
        <is>
          <t>Availability and quality of sports equipment</t>
        </is>
      </c>
      <c r="D10" s="10" t="inlineStr"/>
      <c r="E10" s="10" t="inlineStr"/>
      <c r="F10" s="10" t="inlineStr"/>
      <c r="G10" s="10" t="inlineStr"/>
      <c r="H10" s="10" t="inlineStr"/>
      <c r="I10" s="36">
        <f>IFERROR(ROUND((D10*5+E10*4+F10*3+G10*2+H10)/SUM(D10:H10),2),"")</f>
        <v/>
      </c>
    </row>
    <row r="11" ht="22" customHeight="1">
      <c r="B11" s="14" t="inlineStr">
        <is>
          <t>Q5</t>
        </is>
      </c>
      <c r="C11" s="15" t="inlineStr">
        <is>
          <t>Lighting and safety of sports facilities</t>
        </is>
      </c>
      <c r="D11" s="16" t="inlineStr"/>
      <c r="E11" s="16" t="inlineStr"/>
      <c r="F11" s="16" t="inlineStr"/>
      <c r="G11" s="16" t="inlineStr"/>
      <c r="H11" s="16" t="inlineStr"/>
      <c r="I11" s="26">
        <f>IFERROR(ROUND((D11*5+E11*4+F11*3+G11*2+H11)/SUM(D11:H11),2),"")</f>
        <v/>
      </c>
    </row>
    <row r="12" ht="22" customHeight="1">
      <c r="B12" s="8" t="inlineStr">
        <is>
          <t>Q6</t>
        </is>
      </c>
      <c r="C12" s="9" t="inlineStr">
        <is>
          <t>Cleanliness and hygiene of sports venues</t>
        </is>
      </c>
      <c r="D12" s="10" t="inlineStr"/>
      <c r="E12" s="10" t="inlineStr"/>
      <c r="F12" s="10" t="inlineStr"/>
      <c r="G12" s="10" t="inlineStr"/>
      <c r="H12" s="10" t="inlineStr"/>
      <c r="I12" s="36">
        <f>IFERROR(ROUND((D12*5+E12*4+F12*3+G12*2+H12)/SUM(D12:H12),2),"")</f>
        <v/>
      </c>
    </row>
    <row r="13" ht="22" customHeight="1"/>
    <row r="14" ht="24" customHeight="1">
      <c r="B14" s="39" t="inlineStr">
        <is>
          <t>SECTION B — COACHING &amp; TRAINING</t>
        </is>
      </c>
    </row>
    <row r="15" ht="22" customHeight="1">
      <c r="B15" s="42" t="inlineStr">
        <is>
          <t>Q.</t>
        </is>
      </c>
      <c r="C15" s="42" t="inlineStr">
        <is>
          <t>Survey Statement</t>
        </is>
      </c>
      <c r="D15" s="42" t="inlineStr">
        <is>
          <t>Excellent
(5)</t>
        </is>
      </c>
      <c r="E15" s="42" t="inlineStr">
        <is>
          <t>Good
(4)</t>
        </is>
      </c>
      <c r="F15" s="42" t="inlineStr">
        <is>
          <t>Average
(3)</t>
        </is>
      </c>
      <c r="G15" s="42" t="inlineStr">
        <is>
          <t>Poor
(2)</t>
        </is>
      </c>
      <c r="H15" s="42" t="inlineStr">
        <is>
          <t>Very Poor
(1)</t>
        </is>
      </c>
      <c r="I15" s="42" t="inlineStr">
        <is>
          <t>Avg Score</t>
        </is>
      </c>
    </row>
    <row r="16" ht="22" customHeight="1">
      <c r="B16" s="54" t="inlineStr">
        <is>
          <t>Q7</t>
        </is>
      </c>
      <c r="C16" s="43" t="inlineStr">
        <is>
          <t>Quality and expertise of sports coaches</t>
        </is>
      </c>
      <c r="D16" s="44" t="inlineStr"/>
      <c r="E16" s="44" t="inlineStr"/>
      <c r="F16" s="44" t="inlineStr"/>
      <c r="G16" s="44" t="inlineStr"/>
      <c r="H16" s="44" t="inlineStr"/>
      <c r="I16" s="63">
        <f>IFERROR(ROUND((D16*5+E16*4+F16*3+G16*2+H16)/SUM(D16:H16),2),"")</f>
        <v/>
      </c>
    </row>
    <row r="17" ht="22" customHeight="1">
      <c r="B17" s="8" t="inlineStr">
        <is>
          <t>Q8</t>
        </is>
      </c>
      <c r="C17" s="9" t="inlineStr">
        <is>
          <t>Regularity and structure of training sessions</t>
        </is>
      </c>
      <c r="D17" s="10" t="inlineStr"/>
      <c r="E17" s="10" t="inlineStr"/>
      <c r="F17" s="10" t="inlineStr"/>
      <c r="G17" s="10" t="inlineStr"/>
      <c r="H17" s="10" t="inlineStr"/>
      <c r="I17" s="36">
        <f>IFERROR(ROUND((D17*5+E17*4+F17*3+G17*2+H17)/SUM(D17:H17),2),"")</f>
        <v/>
      </c>
    </row>
    <row r="18" ht="22" customHeight="1">
      <c r="B18" s="54" t="inlineStr">
        <is>
          <t>Q9</t>
        </is>
      </c>
      <c r="C18" s="43" t="inlineStr">
        <is>
          <t>Coaches' ability to improve individual skills</t>
        </is>
      </c>
      <c r="D18" s="44" t="inlineStr"/>
      <c r="E18" s="44" t="inlineStr"/>
      <c r="F18" s="44" t="inlineStr"/>
      <c r="G18" s="44" t="inlineStr"/>
      <c r="H18" s="44" t="inlineStr"/>
      <c r="I18" s="63">
        <f>IFERROR(ROUND((D18*5+E18*4+F18*3+G18*2+H18)/SUM(D18:H18),2),"")</f>
        <v/>
      </c>
    </row>
    <row r="19" ht="22" customHeight="1">
      <c r="B19" s="8" t="inlineStr">
        <is>
          <t>Q10</t>
        </is>
      </c>
      <c r="C19" s="9" t="inlineStr">
        <is>
          <t>Availability of coaching for multiple sports</t>
        </is>
      </c>
      <c r="D19" s="10" t="inlineStr"/>
      <c r="E19" s="10" t="inlineStr"/>
      <c r="F19" s="10" t="inlineStr"/>
      <c r="G19" s="10" t="inlineStr"/>
      <c r="H19" s="10" t="inlineStr"/>
      <c r="I19" s="36">
        <f>IFERROR(ROUND((D19*5+E19*4+F19*3+G19*2+H19)/SUM(D19:H19),2),"")</f>
        <v/>
      </c>
    </row>
    <row r="20" ht="22" customHeight="1">
      <c r="B20" s="54" t="inlineStr">
        <is>
          <t>Q11</t>
        </is>
      </c>
      <c r="C20" s="43" t="inlineStr">
        <is>
          <t>Support for fitness and conditioning</t>
        </is>
      </c>
      <c r="D20" s="44" t="inlineStr"/>
      <c r="E20" s="44" t="inlineStr"/>
      <c r="F20" s="44" t="inlineStr"/>
      <c r="G20" s="44" t="inlineStr"/>
      <c r="H20" s="44" t="inlineStr"/>
      <c r="I20" s="63">
        <f>IFERROR(ROUND((D20*5+E20*4+F20*3+G20*2+H20)/SUM(D20:H20),2),"")</f>
        <v/>
      </c>
    </row>
    <row r="21" ht="22" customHeight="1">
      <c r="B21" s="8" t="inlineStr">
        <is>
          <t>Q12</t>
        </is>
      </c>
      <c r="C21" s="9" t="inlineStr">
        <is>
          <t>Medical and physiotherapy support availability</t>
        </is>
      </c>
      <c r="D21" s="10" t="inlineStr"/>
      <c r="E21" s="10" t="inlineStr"/>
      <c r="F21" s="10" t="inlineStr"/>
      <c r="G21" s="10" t="inlineStr"/>
      <c r="H21" s="10" t="inlineStr"/>
      <c r="I21" s="36">
        <f>IFERROR(ROUND((D21*5+E21*4+F21*3+G21*2+H21)/SUM(D21:H21),2),"")</f>
        <v/>
      </c>
    </row>
    <row r="22" ht="22" customHeight="1"/>
    <row r="23" ht="24" customHeight="1">
      <c r="B23" s="49" t="inlineStr">
        <is>
          <t>SECTION C — TOURNAMENTS &amp; EVENTS</t>
        </is>
      </c>
    </row>
    <row r="24" ht="22" customHeight="1">
      <c r="B24" s="50" t="inlineStr">
        <is>
          <t>Q.</t>
        </is>
      </c>
      <c r="C24" s="50" t="inlineStr">
        <is>
          <t>Survey Statement</t>
        </is>
      </c>
      <c r="D24" s="50" t="inlineStr">
        <is>
          <t>Excellent
(5)</t>
        </is>
      </c>
      <c r="E24" s="50" t="inlineStr">
        <is>
          <t>Good
(4)</t>
        </is>
      </c>
      <c r="F24" s="50" t="inlineStr">
        <is>
          <t>Average
(3)</t>
        </is>
      </c>
      <c r="G24" s="50" t="inlineStr">
        <is>
          <t>Poor
(2)</t>
        </is>
      </c>
      <c r="H24" s="50" t="inlineStr">
        <is>
          <t>Very Poor
(1)</t>
        </is>
      </c>
      <c r="I24" s="50" t="inlineStr">
        <is>
          <t>Avg Score</t>
        </is>
      </c>
    </row>
    <row r="25" ht="22" customHeight="1">
      <c r="B25" s="51" t="inlineStr">
        <is>
          <t>Q13</t>
        </is>
      </c>
      <c r="C25" s="52" t="inlineStr">
        <is>
          <t>Number of intra-college tournaments organised</t>
        </is>
      </c>
      <c r="D25" s="53" t="inlineStr"/>
      <c r="E25" s="53" t="inlineStr"/>
      <c r="F25" s="53" t="inlineStr"/>
      <c r="G25" s="53" t="inlineStr"/>
      <c r="H25" s="53" t="inlineStr"/>
      <c r="I25" s="64">
        <f>IFERROR(ROUND((D25*5+E25*4+F25*3+G25*2+H25)/SUM(D25:H25),2),"")</f>
        <v/>
      </c>
    </row>
    <row r="26" ht="22" customHeight="1">
      <c r="B26" s="8" t="inlineStr">
        <is>
          <t>Q14</t>
        </is>
      </c>
      <c r="C26" s="9" t="inlineStr">
        <is>
          <t>Opportunities to represent institution externally</t>
        </is>
      </c>
      <c r="D26" s="10" t="inlineStr"/>
      <c r="E26" s="10" t="inlineStr"/>
      <c r="F26" s="10" t="inlineStr"/>
      <c r="G26" s="10" t="inlineStr"/>
      <c r="H26" s="10" t="inlineStr"/>
      <c r="I26" s="36">
        <f>IFERROR(ROUND((D26*5+E26*4+F26*3+G26*2+H26)/SUM(D26:H26),2),"")</f>
        <v/>
      </c>
    </row>
    <row r="27" ht="22" customHeight="1">
      <c r="B27" s="51" t="inlineStr">
        <is>
          <t>Q15</t>
        </is>
      </c>
      <c r="C27" s="52" t="inlineStr">
        <is>
          <t>Quality of tournament organisation and conduct</t>
        </is>
      </c>
      <c r="D27" s="53" t="inlineStr"/>
      <c r="E27" s="53" t="inlineStr"/>
      <c r="F27" s="53" t="inlineStr"/>
      <c r="G27" s="53" t="inlineStr"/>
      <c r="H27" s="53" t="inlineStr"/>
      <c r="I27" s="64">
        <f>IFERROR(ROUND((D27*5+E27*4+F27*3+G27*2+H27)/SUM(D27:H27),2),"")</f>
        <v/>
      </c>
    </row>
    <row r="28" ht="22" customHeight="1">
      <c r="B28" s="8" t="inlineStr">
        <is>
          <t>Q16</t>
        </is>
      </c>
      <c r="C28" s="9" t="inlineStr">
        <is>
          <t>Fairness of match scheduling and refereeing</t>
        </is>
      </c>
      <c r="D28" s="10" t="inlineStr"/>
      <c r="E28" s="10" t="inlineStr"/>
      <c r="F28" s="10" t="inlineStr"/>
      <c r="G28" s="10" t="inlineStr"/>
      <c r="H28" s="10" t="inlineStr"/>
      <c r="I28" s="36">
        <f>IFERROR(ROUND((D28*5+E28*4+F28*3+G28*2+H28)/SUM(D28:H28),2),"")</f>
        <v/>
      </c>
    </row>
    <row r="29" ht="22" customHeight="1">
      <c r="B29" s="51" t="inlineStr">
        <is>
          <t>Q17</t>
        </is>
      </c>
      <c r="C29" s="52" t="inlineStr">
        <is>
          <t>Recognition and felicitation of achievers</t>
        </is>
      </c>
      <c r="D29" s="53" t="inlineStr"/>
      <c r="E29" s="53" t="inlineStr"/>
      <c r="F29" s="53" t="inlineStr"/>
      <c r="G29" s="53" t="inlineStr"/>
      <c r="H29" s="53" t="inlineStr"/>
      <c r="I29" s="64">
        <f>IFERROR(ROUND((D29*5+E29*4+F29*3+G29*2+H29)/SUM(D29:H29),2),"")</f>
        <v/>
      </c>
    </row>
    <row r="30" ht="22" customHeight="1">
      <c r="B30" s="8" t="inlineStr">
        <is>
          <t>Q18</t>
        </is>
      </c>
      <c r="C30" s="9" t="inlineStr">
        <is>
          <t>Variety of sports offered</t>
        </is>
      </c>
      <c r="D30" s="10" t="inlineStr"/>
      <c r="E30" s="10" t="inlineStr"/>
      <c r="F30" s="10" t="inlineStr"/>
      <c r="G30" s="10" t="inlineStr"/>
      <c r="H30" s="10" t="inlineStr"/>
      <c r="I30" s="36">
        <f>IFERROR(ROUND((D30*5+E30*4+F30*3+G30*2+H30)/SUM(D30:H30),2),"")</f>
        <v/>
      </c>
    </row>
    <row r="31" ht="22" customHeight="1"/>
    <row r="32" ht="24" customHeight="1">
      <c r="B32" s="34" t="inlineStr">
        <is>
          <t>SECTION D — ADMINISTRATION &amp; SUPPORT</t>
        </is>
      </c>
    </row>
    <row r="33" ht="22" customHeight="1">
      <c r="B33" s="30" t="inlineStr">
        <is>
          <t>Q.</t>
        </is>
      </c>
      <c r="C33" s="30" t="inlineStr">
        <is>
          <t>Survey Statement</t>
        </is>
      </c>
      <c r="D33" s="30" t="inlineStr">
        <is>
          <t>Excellent
(5)</t>
        </is>
      </c>
      <c r="E33" s="30" t="inlineStr">
        <is>
          <t>Good
(4)</t>
        </is>
      </c>
      <c r="F33" s="30" t="inlineStr">
        <is>
          <t>Average
(3)</t>
        </is>
      </c>
      <c r="G33" s="30" t="inlineStr">
        <is>
          <t>Poor
(2)</t>
        </is>
      </c>
      <c r="H33" s="30" t="inlineStr">
        <is>
          <t>Very Poor
(1)</t>
        </is>
      </c>
      <c r="I33" s="30" t="inlineStr">
        <is>
          <t>Avg Score</t>
        </is>
      </c>
    </row>
    <row r="34" ht="22" customHeight="1">
      <c r="B34" s="31" t="inlineStr">
        <is>
          <t>Q19</t>
        </is>
      </c>
      <c r="C34" s="32" t="inlineStr">
        <is>
          <t>Sports scholarship / fee concession process</t>
        </is>
      </c>
      <c r="D34" s="33" t="inlineStr"/>
      <c r="E34" s="33" t="inlineStr"/>
      <c r="F34" s="33" t="inlineStr"/>
      <c r="G34" s="33" t="inlineStr"/>
      <c r="H34" s="33" t="inlineStr"/>
      <c r="I34" s="65">
        <f>IFERROR(ROUND((D34*5+E34*4+F34*3+G34*2+H34)/SUM(D34:H34),2),"")</f>
        <v/>
      </c>
    </row>
    <row r="35" ht="22" customHeight="1">
      <c r="B35" s="8" t="inlineStr">
        <is>
          <t>Q20</t>
        </is>
      </c>
      <c r="C35" s="9" t="inlineStr">
        <is>
          <t>Equipment availability and borrowing process</t>
        </is>
      </c>
      <c r="D35" s="10" t="inlineStr"/>
      <c r="E35" s="10" t="inlineStr"/>
      <c r="F35" s="10" t="inlineStr"/>
      <c r="G35" s="10" t="inlineStr"/>
      <c r="H35" s="10" t="inlineStr"/>
      <c r="I35" s="36">
        <f>IFERROR(ROUND((D35*5+E35*4+F35*3+G35*2+H35)/SUM(D35:H35),2),"")</f>
        <v/>
      </c>
    </row>
    <row r="36" ht="22" customHeight="1">
      <c r="B36" s="31" t="inlineStr">
        <is>
          <t>Q21</t>
        </is>
      </c>
      <c r="C36" s="32" t="inlineStr">
        <is>
          <t>Institutional support for external representation</t>
        </is>
      </c>
      <c r="D36" s="33" t="inlineStr"/>
      <c r="E36" s="33" t="inlineStr"/>
      <c r="F36" s="33" t="inlineStr"/>
      <c r="G36" s="33" t="inlineStr"/>
      <c r="H36" s="33" t="inlineStr"/>
      <c r="I36" s="65">
        <f>IFERROR(ROUND((D36*5+E36*4+F36*3+G36*2+H36)/SUM(D36:H36),2),"")</f>
        <v/>
      </c>
    </row>
    <row r="37" ht="22" customHeight="1">
      <c r="B37" s="8" t="inlineStr">
        <is>
          <t>Q22</t>
        </is>
      </c>
      <c r="C37" s="9" t="inlineStr">
        <is>
          <t>Sports Director / coaches' responsiveness</t>
        </is>
      </c>
      <c r="D37" s="10" t="inlineStr"/>
      <c r="E37" s="10" t="inlineStr"/>
      <c r="F37" s="10" t="inlineStr"/>
      <c r="G37" s="10" t="inlineStr"/>
      <c r="H37" s="10" t="inlineStr"/>
      <c r="I37" s="36">
        <f>IFERROR(ROUND((D37*5+E37*4+F37*3+G37*2+H37)/SUM(D37:H37),2),"")</f>
        <v/>
      </c>
    </row>
    <row r="38" ht="22" customHeight="1">
      <c r="B38" s="31" t="inlineStr">
        <is>
          <t>Q23</t>
        </is>
      </c>
      <c r="C38" s="32" t="inlineStr">
        <is>
          <t>Overall student welfare during sports activities</t>
        </is>
      </c>
      <c r="D38" s="33" t="inlineStr"/>
      <c r="E38" s="33" t="inlineStr"/>
      <c r="F38" s="33" t="inlineStr"/>
      <c r="G38" s="33" t="inlineStr"/>
      <c r="H38" s="33" t="inlineStr"/>
      <c r="I38" s="65">
        <f>IFERROR(ROUND((D38*5+E38*4+F38*3+G38*2+H38)/SUM(D38:H38),2),"")</f>
        <v/>
      </c>
    </row>
    <row r="39" ht="22" customHeight="1">
      <c r="B39" s="8" t="inlineStr">
        <is>
          <t>Q24</t>
        </is>
      </c>
      <c r="C39" s="9" t="inlineStr">
        <is>
          <t>Anti-doping and player safety awareness</t>
        </is>
      </c>
      <c r="D39" s="10" t="inlineStr"/>
      <c r="E39" s="10" t="inlineStr"/>
      <c r="F39" s="10" t="inlineStr"/>
      <c r="G39" s="10" t="inlineStr"/>
      <c r="H39" s="10" t="inlineStr"/>
      <c r="I39" s="36">
        <f>IFERROR(ROUND((D39*5+E39*4+F39*3+G39*2+H39)/SUM(D39:H39),2),"")</f>
        <v/>
      </c>
    </row>
    <row r="40" ht="22" customHeight="1"/>
    <row r="41" ht="24" customHeight="1">
      <c r="B41" s="66" t="inlineStr">
        <is>
          <t>SECTION E — OVERALL EXPERIENCE</t>
        </is>
      </c>
    </row>
    <row r="42" ht="22" customHeight="1">
      <c r="B42" s="67" t="inlineStr">
        <is>
          <t>Q.</t>
        </is>
      </c>
      <c r="C42" s="67" t="inlineStr">
        <is>
          <t>Survey Statement</t>
        </is>
      </c>
      <c r="D42" s="67" t="inlineStr">
        <is>
          <t>Excellent
(5)</t>
        </is>
      </c>
      <c r="E42" s="67" t="inlineStr">
        <is>
          <t>Good
(4)</t>
        </is>
      </c>
      <c r="F42" s="67" t="inlineStr">
        <is>
          <t>Average
(3)</t>
        </is>
      </c>
      <c r="G42" s="67" t="inlineStr">
        <is>
          <t>Poor
(2)</t>
        </is>
      </c>
      <c r="H42" s="67" t="inlineStr">
        <is>
          <t>Very Poor
(1)</t>
        </is>
      </c>
      <c r="I42" s="67" t="inlineStr">
        <is>
          <t>Avg Score</t>
        </is>
      </c>
    </row>
    <row r="43" ht="22" customHeight="1">
      <c r="B43" s="68" t="inlineStr">
        <is>
          <t>Q25</t>
        </is>
      </c>
      <c r="C43" s="69" t="inlineStr">
        <is>
          <t>Overall sports experience at the institution</t>
        </is>
      </c>
      <c r="D43" s="70" t="inlineStr"/>
      <c r="E43" s="70" t="inlineStr"/>
      <c r="F43" s="70" t="inlineStr"/>
      <c r="G43" s="70" t="inlineStr"/>
      <c r="H43" s="70" t="inlineStr"/>
      <c r="I43" s="71">
        <f>IFERROR(ROUND((D43*5+E43*4+F43*3+G43*2+H43)/SUM(D43:H43),2),"")</f>
        <v/>
      </c>
    </row>
    <row r="44" ht="22" customHeight="1">
      <c r="B44" s="8" t="inlineStr">
        <is>
          <t>Q26</t>
        </is>
      </c>
      <c r="C44" s="9" t="inlineStr">
        <is>
          <t>Balance between academics and sports</t>
        </is>
      </c>
      <c r="D44" s="10" t="inlineStr"/>
      <c r="E44" s="10" t="inlineStr"/>
      <c r="F44" s="10" t="inlineStr"/>
      <c r="G44" s="10" t="inlineStr"/>
      <c r="H44" s="10" t="inlineStr"/>
      <c r="I44" s="36">
        <f>IFERROR(ROUND((D44*5+E44*4+F44*3+G44*2+H44)/SUM(D44:H44),2),"")</f>
        <v/>
      </c>
    </row>
    <row r="45" ht="22" customHeight="1">
      <c r="B45" s="68" t="inlineStr">
        <is>
          <t>Q27</t>
        </is>
      </c>
      <c r="C45" s="69" t="inlineStr">
        <is>
          <t>Sports culture and competitive spirit on campus</t>
        </is>
      </c>
      <c r="D45" s="70" t="inlineStr"/>
      <c r="E45" s="70" t="inlineStr"/>
      <c r="F45" s="70" t="inlineStr"/>
      <c r="G45" s="70" t="inlineStr"/>
      <c r="H45" s="70" t="inlineStr"/>
      <c r="I45" s="71">
        <f>IFERROR(ROUND((D45*5+E45*4+F45*3+G45*2+H45)/SUM(D45:H45),2),"")</f>
        <v/>
      </c>
    </row>
    <row r="46" ht="22" customHeight="1">
      <c r="B46" s="8" t="inlineStr">
        <is>
          <t>Q28</t>
        </is>
      </c>
      <c r="C46" s="9" t="inlineStr">
        <is>
          <t>Institutional pride in sports achievements</t>
        </is>
      </c>
      <c r="D46" s="10" t="inlineStr"/>
      <c r="E46" s="10" t="inlineStr"/>
      <c r="F46" s="10" t="inlineStr"/>
      <c r="G46" s="10" t="inlineStr"/>
      <c r="H46" s="10" t="inlineStr"/>
      <c r="I46" s="36">
        <f>IFERROR(ROUND((D46*5+E46*4+F46*3+G46*2+H46)/SUM(D46:H46),2),"")</f>
        <v/>
      </c>
    </row>
    <row r="47" ht="22" customHeight="1"/>
    <row r="48" ht="24" customHeight="1">
      <c r="B48" s="27" t="inlineStr">
        <is>
          <t>SURVEY SUMMARY &amp; ACTION PLAN</t>
        </is>
      </c>
    </row>
    <row r="49" ht="22" customHeight="1">
      <c r="B49" s="28" t="inlineStr">
        <is>
          <t>Section</t>
        </is>
      </c>
      <c r="C49" s="28" t="inlineStr">
        <is>
          <t>Avg Score (/5)</t>
        </is>
      </c>
      <c r="D49" s="28" t="inlineStr">
        <is>
          <t>Satisfaction %</t>
        </is>
      </c>
      <c r="E49" s="28" t="inlineStr">
        <is>
          <t>Benchmark
(≥3.5)</t>
        </is>
      </c>
      <c r="F49" s="28" t="inlineStr">
        <is>
          <t>Gap</t>
        </is>
      </c>
      <c r="G49" s="28" t="inlineStr">
        <is>
          <t>Status</t>
        </is>
      </c>
      <c r="H49" s="28" t="inlineStr">
        <is>
          <t>Priority Action</t>
        </is>
      </c>
    </row>
    <row r="50" ht="22" customHeight="1">
      <c r="B50" s="72" t="inlineStr">
        <is>
          <t>SECTION A</t>
        </is>
      </c>
      <c r="C50" s="16" t="inlineStr"/>
      <c r="D50" s="16">
        <f>IFERROR(ROUND(C50/5*100,1),"")</f>
        <v/>
      </c>
      <c r="E50" s="16" t="n">
        <v>3.5</v>
      </c>
      <c r="F50" s="16">
        <f>IFERROR(ROUND(C50-E50,2),"")</f>
        <v/>
      </c>
      <c r="G50" s="16">
        <f>IFERROR(IF(C50&gt;=3.5,"Satisfactory","Needs Attention"),"")</f>
        <v/>
      </c>
      <c r="H50" s="15" t="inlineStr"/>
      <c r="I50" s="73" t="n"/>
    </row>
    <row r="51" ht="22" customHeight="1">
      <c r="B51" s="25" t="inlineStr">
        <is>
          <t>SECTION B</t>
        </is>
      </c>
      <c r="C51" s="10" t="inlineStr"/>
      <c r="D51" s="10">
        <f>IFERROR(ROUND(C51/5*100,1),"")</f>
        <v/>
      </c>
      <c r="E51" s="10" t="n">
        <v>3.5</v>
      </c>
      <c r="F51" s="10">
        <f>IFERROR(ROUND(C51-E51,2),"")</f>
        <v/>
      </c>
      <c r="G51" s="10">
        <f>IFERROR(IF(C51&gt;=3.5,"Satisfactory","Needs Attention"),"")</f>
        <v/>
      </c>
      <c r="H51" s="9" t="inlineStr"/>
      <c r="I51" s="46" t="n"/>
    </row>
    <row r="52" ht="22" customHeight="1">
      <c r="B52" s="72" t="inlineStr">
        <is>
          <t>SECTION C</t>
        </is>
      </c>
      <c r="C52" s="16" t="inlineStr"/>
      <c r="D52" s="16">
        <f>IFERROR(ROUND(C52/5*100,1),"")</f>
        <v/>
      </c>
      <c r="E52" s="16" t="n">
        <v>3.5</v>
      </c>
      <c r="F52" s="16">
        <f>IFERROR(ROUND(C52-E52,2),"")</f>
        <v/>
      </c>
      <c r="G52" s="16">
        <f>IFERROR(IF(C52&gt;=3.5,"Satisfactory","Needs Attention"),"")</f>
        <v/>
      </c>
      <c r="H52" s="15" t="inlineStr"/>
      <c r="I52" s="73" t="n"/>
    </row>
    <row r="53" ht="22" customHeight="1">
      <c r="B53" s="25" t="inlineStr">
        <is>
          <t>SECTION D</t>
        </is>
      </c>
      <c r="C53" s="10" t="inlineStr"/>
      <c r="D53" s="10">
        <f>IFERROR(ROUND(C53/5*100,1),"")</f>
        <v/>
      </c>
      <c r="E53" s="10" t="n">
        <v>3.5</v>
      </c>
      <c r="F53" s="10">
        <f>IFERROR(ROUND(C53-E53,2),"")</f>
        <v/>
      </c>
      <c r="G53" s="10">
        <f>IFERROR(IF(C53&gt;=3.5,"Satisfactory","Needs Attention"),"")</f>
        <v/>
      </c>
      <c r="H53" s="9" t="inlineStr"/>
      <c r="I53" s="46" t="n"/>
    </row>
    <row r="54" ht="22" customHeight="1">
      <c r="B54" s="72" t="inlineStr">
        <is>
          <t>SECTION E</t>
        </is>
      </c>
      <c r="C54" s="16" t="inlineStr"/>
      <c r="D54" s="16">
        <f>IFERROR(ROUND(C54/5*100,1),"")</f>
        <v/>
      </c>
      <c r="E54" s="16" t="n">
        <v>3.5</v>
      </c>
      <c r="F54" s="16">
        <f>IFERROR(ROUND(C54-E54,2),"")</f>
        <v/>
      </c>
      <c r="G54" s="16">
        <f>IFERROR(IF(C54&gt;=3.5,"Satisfactory","Needs Attention"),"")</f>
        <v/>
      </c>
      <c r="H54" s="15" t="inlineStr"/>
      <c r="I54" s="73" t="n"/>
    </row>
  </sheetData>
  <mergeCells count="9">
    <mergeCell ref="B48:I48"/>
    <mergeCell ref="B2:I2"/>
    <mergeCell ref="B3:I3"/>
    <mergeCell ref="B5:I5"/>
    <mergeCell ref="B14:I14"/>
    <mergeCell ref="B23:I23"/>
    <mergeCell ref="B41:I41"/>
    <mergeCell ref="B32:I32"/>
    <mergeCell ref="B4:I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SGC-30: SPORTS &amp; GAMES COMMITTEE KPI DASHBOARD</t>
        </is>
      </c>
    </row>
    <row r="3" ht="25" customHeight="1">
      <c r="B3" s="2" t="inlineStr">
        <is>
          <t>A.Y.: _______  Sports Director: ___________________  Reviewed by SGC on: _______</t>
        </is>
      </c>
    </row>
    <row r="4" ht="24" customHeight="1">
      <c r="B4" s="19" t="inlineStr">
        <is>
          <t>PARTICIPATION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Annual Target</t>
        </is>
      </c>
      <c r="F5" s="13" t="inlineStr">
        <is>
          <t>Prev. Year Actual</t>
        </is>
      </c>
      <c r="G5" s="13" t="inlineStr">
        <is>
          <t>Current Year 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Students registered for sports (% of enrolled)</t>
        </is>
      </c>
      <c r="D6" s="16" t="inlineStr">
        <is>
          <t>% of students</t>
        </is>
      </c>
      <c r="E6" s="16" t="inlineStr">
        <is>
          <t>≥50%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Sports participation rate (attending training)</t>
        </is>
      </c>
      <c r="D7" s="10" t="inlineStr">
        <is>
          <t>% of registered</t>
        </is>
      </c>
      <c r="E7" s="10" t="inlineStr">
        <is>
          <t>≥70%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Female athlete participation (% of total athletes)</t>
        </is>
      </c>
      <c r="D8" s="16" t="inlineStr">
        <is>
          <t>% female</t>
        </is>
      </c>
      <c r="E8" s="16" t="inlineStr">
        <is>
          <t>≥30%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Diversity — sports disciplines offered</t>
        </is>
      </c>
      <c r="D9" s="10" t="inlineStr">
        <is>
          <t>No. of sports</t>
        </is>
      </c>
      <c r="E9" s="10" t="inlineStr">
        <is>
          <t>≥10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Training sessions held per week (per sport)</t>
        </is>
      </c>
      <c r="D10" s="16" t="inlineStr">
        <is>
          <t>Sessions/week</t>
        </is>
      </c>
      <c r="E10" s="16" t="inlineStr">
        <is>
          <t>≥5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Average training attendance per session (%)</t>
        </is>
      </c>
      <c r="D11" s="10" t="inlineStr">
        <is>
          <t>% attending</t>
        </is>
      </c>
      <c r="E11" s="10" t="inlineStr">
        <is>
          <t>≥75%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/>
    <row r="13" ht="24" customHeight="1">
      <c r="B13" s="39" t="inlineStr">
        <is>
          <t>TOURNAMENT &amp; COMPETITION KPIs</t>
        </is>
      </c>
    </row>
    <row r="14" ht="22" customHeight="1">
      <c r="B14" s="42" t="inlineStr">
        <is>
          <t>Sl.</t>
        </is>
      </c>
      <c r="C14" s="42" t="inlineStr">
        <is>
          <t>Key Performance Indicator</t>
        </is>
      </c>
      <c r="D14" s="42" t="inlineStr">
        <is>
          <t>Unit</t>
        </is>
      </c>
      <c r="E14" s="42" t="inlineStr">
        <is>
          <t>Annual Target</t>
        </is>
      </c>
      <c r="F14" s="42" t="inlineStr">
        <is>
          <t>Prev. Year Actual</t>
        </is>
      </c>
      <c r="G14" s="42" t="inlineStr">
        <is>
          <t>Current Year Actual</t>
        </is>
      </c>
      <c r="H14" s="42" t="inlineStr">
        <is>
          <t>Status</t>
        </is>
      </c>
      <c r="I14" s="42" t="inlineStr">
        <is>
          <t>Action Required</t>
        </is>
      </c>
    </row>
    <row r="15" ht="22" customHeight="1">
      <c r="B15" s="54" t="n">
        <v>1</v>
      </c>
      <c r="C15" s="43" t="inlineStr">
        <is>
          <t>Intra-college tournaments conducted</t>
        </is>
      </c>
      <c r="D15" s="44" t="inlineStr">
        <is>
          <t>No. per year</t>
        </is>
      </c>
      <c r="E15" s="44" t="inlineStr">
        <is>
          <t>≥8</t>
        </is>
      </c>
      <c r="F15" s="44" t="inlineStr"/>
      <c r="G15" s="44" t="inlineStr"/>
      <c r="H15" s="44" t="inlineStr">
        <is>
          <t>On Track</t>
        </is>
      </c>
      <c r="I15" s="43" t="inlineStr"/>
    </row>
    <row r="16" ht="22" customHeight="1">
      <c r="B16" s="8" t="n">
        <v>2</v>
      </c>
      <c r="C16" s="9" t="inlineStr">
        <is>
          <t>External tournaments participated</t>
        </is>
      </c>
      <c r="D16" s="10" t="inlineStr">
        <is>
          <t>No. per year</t>
        </is>
      </c>
      <c r="E16" s="10" t="inlineStr">
        <is>
          <t>≥15</t>
        </is>
      </c>
      <c r="F16" s="10" t="inlineStr"/>
      <c r="G16" s="10" t="inlineStr"/>
      <c r="H16" s="10" t="inlineStr">
        <is>
          <t>On Track</t>
        </is>
      </c>
      <c r="I16" s="9" t="inlineStr"/>
    </row>
    <row r="17" ht="22" customHeight="1">
      <c r="B17" s="54" t="n">
        <v>3</v>
      </c>
      <c r="C17" s="43" t="inlineStr">
        <is>
          <t>Medals/positions at University level+</t>
        </is>
      </c>
      <c r="D17" s="44" t="inlineStr">
        <is>
          <t>No. per year</t>
        </is>
      </c>
      <c r="E17" s="44" t="inlineStr">
        <is>
          <t>≥5</t>
        </is>
      </c>
      <c r="F17" s="44" t="inlineStr"/>
      <c r="G17" s="44" t="inlineStr"/>
      <c r="H17" s="44" t="inlineStr">
        <is>
          <t>On Track</t>
        </is>
      </c>
      <c r="I17" s="43" t="inlineStr"/>
    </row>
    <row r="18" ht="22" customHeight="1">
      <c r="B18" s="8" t="n">
        <v>4</v>
      </c>
      <c r="C18" s="9" t="inlineStr">
        <is>
          <t>Students representing at State level+</t>
        </is>
      </c>
      <c r="D18" s="10" t="inlineStr">
        <is>
          <t>No. per year</t>
        </is>
      </c>
      <c r="E18" s="10" t="inlineStr">
        <is>
          <t>≥10</t>
        </is>
      </c>
      <c r="F18" s="10" t="inlineStr"/>
      <c r="G18" s="10" t="inlineStr"/>
      <c r="H18" s="10" t="inlineStr">
        <is>
          <t>On Track</t>
        </is>
      </c>
      <c r="I18" s="9" t="inlineStr"/>
    </row>
    <row r="19" ht="22" customHeight="1">
      <c r="B19" s="54" t="n">
        <v>5</v>
      </c>
      <c r="C19" s="43" t="inlineStr">
        <is>
          <t>Students at National level</t>
        </is>
      </c>
      <c r="D19" s="44" t="inlineStr">
        <is>
          <t>No. per year</t>
        </is>
      </c>
      <c r="E19" s="44" t="inlineStr">
        <is>
          <t>≥3</t>
        </is>
      </c>
      <c r="F19" s="44" t="inlineStr"/>
      <c r="G19" s="44" t="inlineStr"/>
      <c r="H19" s="44" t="inlineStr">
        <is>
          <t>On Track</t>
        </is>
      </c>
      <c r="I19" s="43" t="inlineStr"/>
    </row>
    <row r="20" ht="22" customHeight="1">
      <c r="B20" s="8" t="n">
        <v>6</v>
      </c>
      <c r="C20" s="9" t="inlineStr">
        <is>
          <t>Students at International level</t>
        </is>
      </c>
      <c r="D20" s="10" t="inlineStr">
        <is>
          <t>No. per year</t>
        </is>
      </c>
      <c r="E20" s="10" t="inlineStr">
        <is>
          <t>≥1</t>
        </is>
      </c>
      <c r="F20" s="10" t="inlineStr"/>
      <c r="G20" s="10" t="inlineStr"/>
      <c r="H20" s="10" t="inlineStr">
        <is>
          <t>On Track</t>
        </is>
      </c>
      <c r="I20" s="9" t="inlineStr"/>
    </row>
    <row r="21" ht="22" customHeight="1">
      <c r="B21" s="54" t="n">
        <v>7</v>
      </c>
      <c r="C21" s="43" t="inlineStr">
        <is>
          <t>Championship titles won (any level)</t>
        </is>
      </c>
      <c r="D21" s="44" t="inlineStr">
        <is>
          <t>No. per year</t>
        </is>
      </c>
      <c r="E21" s="44" t="inlineStr">
        <is>
          <t>≥2</t>
        </is>
      </c>
      <c r="F21" s="44" t="inlineStr"/>
      <c r="G21" s="44" t="inlineStr"/>
      <c r="H21" s="44" t="inlineStr">
        <is>
          <t>On Track</t>
        </is>
      </c>
      <c r="I21" s="43" t="inlineStr"/>
    </row>
    <row r="22" ht="22" customHeight="1"/>
    <row r="23" ht="24" customHeight="1">
      <c r="B23" s="49" t="inlineStr">
        <is>
          <t>INFRASTRUCTURE &amp; EQUIPMENT KPIs</t>
        </is>
      </c>
    </row>
    <row r="24" ht="22" customHeight="1">
      <c r="B24" s="50" t="inlineStr">
        <is>
          <t>Sl.</t>
        </is>
      </c>
      <c r="C24" s="50" t="inlineStr">
        <is>
          <t>Key Performance Indicator</t>
        </is>
      </c>
      <c r="D24" s="50" t="inlineStr">
        <is>
          <t>Unit</t>
        </is>
      </c>
      <c r="E24" s="50" t="inlineStr">
        <is>
          <t>Annual Target</t>
        </is>
      </c>
      <c r="F24" s="50" t="inlineStr">
        <is>
          <t>Prev. Year Actual</t>
        </is>
      </c>
      <c r="G24" s="50" t="inlineStr">
        <is>
          <t>Current Year Actual</t>
        </is>
      </c>
      <c r="H24" s="50" t="inlineStr">
        <is>
          <t>Status</t>
        </is>
      </c>
      <c r="I24" s="50" t="inlineStr">
        <is>
          <t>Action Required</t>
        </is>
      </c>
    </row>
    <row r="25" ht="22" customHeight="1">
      <c r="B25" s="51" t="n">
        <v>1</v>
      </c>
      <c r="C25" s="52" t="inlineStr">
        <is>
          <t>Sports facilities — functional (% of total)</t>
        </is>
      </c>
      <c r="D25" s="53" t="inlineStr">
        <is>
          <t>% functional</t>
        </is>
      </c>
      <c r="E25" s="53" t="inlineStr">
        <is>
          <t>≥90%</t>
        </is>
      </c>
      <c r="F25" s="53" t="inlineStr"/>
      <c r="G25" s="53" t="inlineStr"/>
      <c r="H25" s="53" t="inlineStr">
        <is>
          <t>On Track</t>
        </is>
      </c>
      <c r="I25" s="52" t="inlineStr"/>
    </row>
    <row r="26" ht="22" customHeight="1">
      <c r="B26" s="8" t="n">
        <v>2</v>
      </c>
      <c r="C26" s="9" t="inlineStr">
        <is>
          <t>Equipment adequacy (% requirements met)</t>
        </is>
      </c>
      <c r="D26" s="10" t="inlineStr">
        <is>
          <t>% adequate</t>
        </is>
      </c>
      <c r="E26" s="10" t="inlineStr">
        <is>
          <t>≥80%</t>
        </is>
      </c>
      <c r="F26" s="10" t="inlineStr"/>
      <c r="G26" s="10" t="inlineStr"/>
      <c r="H26" s="10" t="inlineStr">
        <is>
          <t>On Track</t>
        </is>
      </c>
      <c r="I26" s="9" t="inlineStr"/>
    </row>
    <row r="27" ht="22" customHeight="1">
      <c r="B27" s="51" t="n">
        <v>3</v>
      </c>
      <c r="C27" s="52" t="inlineStr">
        <is>
          <t>Equipment utilisation rate (% issued)</t>
        </is>
      </c>
      <c r="D27" s="53" t="inlineStr">
        <is>
          <t>% issued</t>
        </is>
      </c>
      <c r="E27" s="53" t="inlineStr">
        <is>
          <t>≥70%</t>
        </is>
      </c>
      <c r="F27" s="53" t="inlineStr"/>
      <c r="G27" s="53" t="inlineStr"/>
      <c r="H27" s="53" t="inlineStr">
        <is>
          <t>On Track</t>
        </is>
      </c>
      <c r="I27" s="52" t="inlineStr"/>
    </row>
    <row r="28" ht="22" customHeight="1">
      <c r="B28" s="8" t="n">
        <v>4</v>
      </c>
      <c r="C28" s="9" t="inlineStr">
        <is>
          <t>Facility booking utilisation (%)</t>
        </is>
      </c>
      <c r="D28" s="10" t="inlineStr">
        <is>
          <t>% slots used</t>
        </is>
      </c>
      <c r="E28" s="10" t="inlineStr">
        <is>
          <t>≥75%</t>
        </is>
      </c>
      <c r="F28" s="10" t="inlineStr"/>
      <c r="G28" s="10" t="inlineStr"/>
      <c r="H28" s="10" t="inlineStr">
        <is>
          <t>On Track</t>
        </is>
      </c>
      <c r="I28" s="9" t="inlineStr"/>
    </row>
    <row r="29" ht="22" customHeight="1">
      <c r="B29" s="51" t="n">
        <v>5</v>
      </c>
      <c r="C29" s="52" t="inlineStr">
        <is>
          <t>Maintenance work orders closed (%)</t>
        </is>
      </c>
      <c r="D29" s="53" t="inlineStr">
        <is>
          <t>% closed</t>
        </is>
      </c>
      <c r="E29" s="53" t="inlineStr">
        <is>
          <t>≥90%</t>
        </is>
      </c>
      <c r="F29" s="53" t="inlineStr"/>
      <c r="G29" s="53" t="inlineStr"/>
      <c r="H29" s="53" t="inlineStr">
        <is>
          <t>On Track</t>
        </is>
      </c>
      <c r="I29" s="52" t="inlineStr"/>
    </row>
    <row r="30" ht="22" customHeight="1"/>
    <row r="31" ht="24" customHeight="1">
      <c r="B31" s="59" t="inlineStr">
        <is>
          <t>WELFARE &amp; SAFETY KPIs</t>
        </is>
      </c>
    </row>
    <row r="32" ht="22" customHeight="1">
      <c r="B32" s="55" t="inlineStr">
        <is>
          <t>Sl.</t>
        </is>
      </c>
      <c r="C32" s="55" t="inlineStr">
        <is>
          <t>Key Performance Indicator</t>
        </is>
      </c>
      <c r="D32" s="55" t="inlineStr">
        <is>
          <t>Unit</t>
        </is>
      </c>
      <c r="E32" s="55" t="inlineStr">
        <is>
          <t>Annual Target</t>
        </is>
      </c>
      <c r="F32" s="55" t="inlineStr">
        <is>
          <t>Prev. Year Actual</t>
        </is>
      </c>
      <c r="G32" s="55" t="inlineStr">
        <is>
          <t>Current Year Actual</t>
        </is>
      </c>
      <c r="H32" s="55" t="inlineStr">
        <is>
          <t>Status</t>
        </is>
      </c>
      <c r="I32" s="55" t="inlineStr">
        <is>
          <t>Action Required</t>
        </is>
      </c>
    </row>
    <row r="33" ht="22" customHeight="1">
      <c r="B33" s="56" t="n">
        <v>1</v>
      </c>
      <c r="C33" s="57" t="inlineStr">
        <is>
          <t>Sports injury rate (per 100 athletes)</t>
        </is>
      </c>
      <c r="D33" s="58" t="inlineStr">
        <is>
          <t>No./100 athletes</t>
        </is>
      </c>
      <c r="E33" s="58" t="inlineStr">
        <is>
          <t>≤5</t>
        </is>
      </c>
      <c r="F33" s="58" t="inlineStr"/>
      <c r="G33" s="58" t="inlineStr"/>
      <c r="H33" s="58" t="inlineStr">
        <is>
          <t>On Track</t>
        </is>
      </c>
      <c r="I33" s="57" t="inlineStr"/>
    </row>
    <row r="34" ht="22" customHeight="1">
      <c r="B34" s="8" t="n">
        <v>2</v>
      </c>
      <c r="C34" s="9" t="inlineStr">
        <is>
          <t>Medical fitness clearances issued (%)</t>
        </is>
      </c>
      <c r="D34" s="10" t="inlineStr">
        <is>
          <t>% of athletes</t>
        </is>
      </c>
      <c r="E34" s="10" t="inlineStr">
        <is>
          <t>100%</t>
        </is>
      </c>
      <c r="F34" s="10" t="inlineStr"/>
      <c r="G34" s="10" t="inlineStr"/>
      <c r="H34" s="10" t="inlineStr">
        <is>
          <t>On Track</t>
        </is>
      </c>
      <c r="I34" s="9" t="inlineStr"/>
    </row>
    <row r="35" ht="22" customHeight="1">
      <c r="B35" s="56" t="n">
        <v>3</v>
      </c>
      <c r="C35" s="57" t="inlineStr">
        <is>
          <t>Sports scholarships awarded</t>
        </is>
      </c>
      <c r="D35" s="58" t="inlineStr">
        <is>
          <t>No. per year</t>
        </is>
      </c>
      <c r="E35" s="58" t="inlineStr">
        <is>
          <t>Increasing</t>
        </is>
      </c>
      <c r="F35" s="58" t="inlineStr"/>
      <c r="G35" s="58" t="inlineStr"/>
      <c r="H35" s="58" t="inlineStr">
        <is>
          <t>On Track</t>
        </is>
      </c>
      <c r="I35" s="57" t="inlineStr"/>
    </row>
    <row r="36" ht="22" customHeight="1">
      <c r="B36" s="8" t="n">
        <v>4</v>
      </c>
      <c r="C36" s="9" t="inlineStr">
        <is>
          <t>Anti-doping awareness sessions</t>
        </is>
      </c>
      <c r="D36" s="10" t="inlineStr">
        <is>
          <t>No. per year</t>
        </is>
      </c>
      <c r="E36" s="10" t="inlineStr">
        <is>
          <t>≥2</t>
        </is>
      </c>
      <c r="F36" s="10" t="inlineStr"/>
      <c r="G36" s="10" t="inlineStr"/>
      <c r="H36" s="10" t="inlineStr">
        <is>
          <t>On Track</t>
        </is>
      </c>
      <c r="I36" s="9" t="inlineStr"/>
    </row>
    <row r="37" ht="22" customHeight="1">
      <c r="B37" s="56" t="n">
        <v>5</v>
      </c>
      <c r="C37" s="57" t="inlineStr">
        <is>
          <t>Student satisfaction score (/5)</t>
        </is>
      </c>
      <c r="D37" s="58" t="inlineStr">
        <is>
          <t>Score</t>
        </is>
      </c>
      <c r="E37" s="58" t="inlineStr">
        <is>
          <t>≥3.5</t>
        </is>
      </c>
      <c r="F37" s="58" t="inlineStr"/>
      <c r="G37" s="58" t="inlineStr"/>
      <c r="H37" s="58" t="inlineStr">
        <is>
          <t>On Track</t>
        </is>
      </c>
      <c r="I37" s="57" t="inlineStr"/>
    </row>
    <row r="38" ht="22" customHeight="1"/>
    <row r="39" ht="24" customHeight="1">
      <c r="B39" s="74" t="inlineStr">
        <is>
          <t>ACCREDITATION &amp; REPORTING KPIs</t>
        </is>
      </c>
    </row>
    <row r="40" ht="22" customHeight="1">
      <c r="B40" s="75" t="inlineStr">
        <is>
          <t>Sl.</t>
        </is>
      </c>
      <c r="C40" s="75" t="inlineStr">
        <is>
          <t>Key Performance Indicator</t>
        </is>
      </c>
      <c r="D40" s="75" t="inlineStr">
        <is>
          <t>Unit</t>
        </is>
      </c>
      <c r="E40" s="75" t="inlineStr">
        <is>
          <t>Annual Target</t>
        </is>
      </c>
      <c r="F40" s="75" t="inlineStr">
        <is>
          <t>Prev. Year Actual</t>
        </is>
      </c>
      <c r="G40" s="75" t="inlineStr">
        <is>
          <t>Current Year Actual</t>
        </is>
      </c>
      <c r="H40" s="75" t="inlineStr">
        <is>
          <t>Status</t>
        </is>
      </c>
      <c r="I40" s="75" t="inlineStr">
        <is>
          <t>Action Required</t>
        </is>
      </c>
    </row>
    <row r="41" ht="22" customHeight="1">
      <c r="B41" s="76" t="n">
        <v>1</v>
      </c>
      <c r="C41" s="77" t="inlineStr">
        <is>
          <t>Sports data submitted to NAAC (AQAR)</t>
        </is>
      </c>
      <c r="D41" s="78" t="inlineStr">
        <is>
          <t>Y/N</t>
        </is>
      </c>
      <c r="E41" s="78" t="inlineStr">
        <is>
          <t>Yes by Jul 31</t>
        </is>
      </c>
      <c r="F41" s="78" t="inlineStr"/>
      <c r="G41" s="78" t="inlineStr"/>
      <c r="H41" s="78" t="inlineStr">
        <is>
          <t>On Track</t>
        </is>
      </c>
      <c r="I41" s="77" t="inlineStr"/>
    </row>
    <row r="42" ht="22" customHeight="1">
      <c r="B42" s="8" t="n">
        <v>2</v>
      </c>
      <c r="C42" s="9" t="inlineStr">
        <is>
          <t>Sports achievements documented for NIRF</t>
        </is>
      </c>
      <c r="D42" s="10" t="inlineStr">
        <is>
          <t>Y/N</t>
        </is>
      </c>
      <c r="E42" s="10" t="inlineStr">
        <is>
          <t>Yes annually</t>
        </is>
      </c>
      <c r="F42" s="10" t="inlineStr"/>
      <c r="G42" s="10" t="inlineStr"/>
      <c r="H42" s="10" t="inlineStr">
        <is>
          <t>On Track</t>
        </is>
      </c>
      <c r="I42" s="9" t="inlineStr"/>
    </row>
    <row r="43" ht="22" customHeight="1">
      <c r="B43" s="76" t="n">
        <v>3</v>
      </c>
      <c r="C43" s="77" t="inlineStr">
        <is>
          <t>Sports budget utilisation (%)</t>
        </is>
      </c>
      <c r="D43" s="78" t="inlineStr">
        <is>
          <t>% utilised</t>
        </is>
      </c>
      <c r="E43" s="78" t="inlineStr">
        <is>
          <t>85–100%</t>
        </is>
      </c>
      <c r="F43" s="78" t="inlineStr"/>
      <c r="G43" s="78" t="inlineStr"/>
      <c r="H43" s="78" t="inlineStr">
        <is>
          <t>On Track</t>
        </is>
      </c>
      <c r="I43" s="77" t="inlineStr"/>
    </row>
    <row r="44" ht="22" customHeight="1">
      <c r="B44" s="8" t="n">
        <v>4</v>
      </c>
      <c r="C44" s="9" t="inlineStr">
        <is>
          <t>Sports outreach events</t>
        </is>
      </c>
      <c r="D44" s="10" t="inlineStr">
        <is>
          <t>No. per year</t>
        </is>
      </c>
      <c r="E44" s="10" t="inlineStr">
        <is>
          <t>≥2</t>
        </is>
      </c>
      <c r="F44" s="10" t="inlineStr"/>
      <c r="G44" s="10" t="inlineStr"/>
      <c r="H44" s="10" t="inlineStr">
        <is>
          <t>On Track</t>
        </is>
      </c>
      <c r="I44" s="9" t="inlineStr"/>
    </row>
    <row r="45" ht="22" customHeight="1">
      <c r="B45" s="76" t="n">
        <v>5</v>
      </c>
      <c r="C45" s="77" t="inlineStr">
        <is>
          <t>Alumni sports engagement activities</t>
        </is>
      </c>
      <c r="D45" s="78" t="inlineStr">
        <is>
          <t>No. per year</t>
        </is>
      </c>
      <c r="E45" s="78" t="inlineStr">
        <is>
          <t>≥1</t>
        </is>
      </c>
      <c r="F45" s="78" t="inlineStr"/>
      <c r="G45" s="78" t="inlineStr"/>
      <c r="H45" s="78" t="inlineStr">
        <is>
          <t>On Track</t>
        </is>
      </c>
      <c r="I45" s="77" t="inlineStr"/>
    </row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7">
    <mergeCell ref="B13:I13"/>
    <mergeCell ref="B39:I39"/>
    <mergeCell ref="B2:I2"/>
    <mergeCell ref="B3:I3"/>
    <mergeCell ref="B31:I31"/>
    <mergeCell ref="B23:I23"/>
    <mergeCell ref="B4:I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H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SGC-31: SPORTS ANNUAL REPORT COMPILATION FORM</t>
        </is>
      </c>
    </row>
    <row r="3" ht="25" customHeight="1">
      <c r="B3" s="2" t="inlineStr">
        <is>
          <t>A.Y.: _______  Sports Director: ___________________  Submitted to: Management / IQAC / Governing Body  Date: _______</t>
        </is>
      </c>
    </row>
    <row r="4" ht="24" customHeight="1">
      <c r="B4" s="19" t="inlineStr">
        <is>
          <t>SECTION 1 — PARTICIPATION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Students registered for sports</t>
        </is>
      </c>
      <c r="D6" s="16" t="inlineStr">
        <is>
          <t>No.</t>
        </is>
      </c>
      <c r="E6" s="16" t="inlineStr"/>
      <c r="F6" s="16" t="inlineStr"/>
      <c r="G6" s="16">
        <f>IFERROR(ROUND((E6-F6)/F6*100,1),"")</f>
        <v/>
      </c>
      <c r="H6" s="16" t="inlineStr"/>
    </row>
    <row r="7" ht="22" customHeight="1">
      <c r="B7" s="8" t="n">
        <v>2</v>
      </c>
      <c r="C7" s="9" t="inlineStr">
        <is>
          <t>Total athletes (regular training)</t>
        </is>
      </c>
      <c r="D7" s="10" t="inlineStr">
        <is>
          <t>No.</t>
        </is>
      </c>
      <c r="E7" s="10" t="inlineStr"/>
      <c r="F7" s="10" t="inlineStr"/>
      <c r="G7" s="10">
        <f>IFERROR(ROUND((E7-F7)/F7*100,1),"")</f>
        <v/>
      </c>
      <c r="H7" s="10" t="inlineStr"/>
    </row>
    <row r="8" ht="22" customHeight="1">
      <c r="B8" s="14" t="n">
        <v>3</v>
      </c>
      <c r="C8" s="15" t="inlineStr">
        <is>
          <t>Female athletes</t>
        </is>
      </c>
      <c r="D8" s="16" t="inlineStr">
        <is>
          <t>No.</t>
        </is>
      </c>
      <c r="E8" s="16" t="inlineStr"/>
      <c r="F8" s="16" t="inlineStr"/>
      <c r="G8" s="16">
        <f>IFERROR(ROUND((E8-F8)/F8*100,1),"")</f>
        <v/>
      </c>
      <c r="H8" s="16" t="inlineStr"/>
    </row>
    <row r="9" ht="22" customHeight="1">
      <c r="B9" s="8" t="n">
        <v>4</v>
      </c>
      <c r="C9" s="9" t="inlineStr">
        <is>
          <t>Sports disciplines active</t>
        </is>
      </c>
      <c r="D9" s="10" t="inlineStr">
        <is>
          <t>No.</t>
        </is>
      </c>
      <c r="E9" s="10" t="inlineStr"/>
      <c r="F9" s="10" t="inlineStr"/>
      <c r="G9" s="10">
        <f>IFERROR(ROUND((E9-F9)/F9*100,1),"")</f>
        <v/>
      </c>
      <c r="H9" s="10" t="inlineStr"/>
    </row>
    <row r="10" ht="22" customHeight="1">
      <c r="B10" s="14" t="n">
        <v>5</v>
      </c>
      <c r="C10" s="15" t="inlineStr">
        <is>
          <t>Training sessions held (total)</t>
        </is>
      </c>
      <c r="D10" s="16" t="inlineStr">
        <is>
          <t>No.</t>
        </is>
      </c>
      <c r="E10" s="16" t="inlineStr"/>
      <c r="F10" s="16" t="inlineStr"/>
      <c r="G10" s="16">
        <f>IFERROR(ROUND((E10-F10)/F10*100,1),"")</f>
        <v/>
      </c>
      <c r="H10" s="16" t="inlineStr"/>
    </row>
    <row r="11" ht="22" customHeight="1">
      <c r="B11" s="8" t="n">
        <v>6</v>
      </c>
      <c r="C11" s="9" t="inlineStr">
        <is>
          <t>Average training attendance (%)</t>
        </is>
      </c>
      <c r="D11" s="10" t="inlineStr">
        <is>
          <t>% attending</t>
        </is>
      </c>
      <c r="E11" s="10" t="inlineStr"/>
      <c r="F11" s="10" t="inlineStr"/>
      <c r="G11" s="10">
        <f>IFERROR(ROUND((E11-F11)/F11*100,1),"")</f>
        <v/>
      </c>
      <c r="H11" s="10" t="inlineStr"/>
    </row>
    <row r="12" ht="22" customHeight="1"/>
    <row r="13" ht="24" customHeight="1">
      <c r="B13" s="39" t="inlineStr">
        <is>
          <t>SECTION 2 — TOURNAMENTS</t>
        </is>
      </c>
    </row>
    <row r="14" ht="22" customHeight="1">
      <c r="B14" s="42" t="inlineStr">
        <is>
          <t>Sl.</t>
        </is>
      </c>
      <c r="C14" s="42" t="inlineStr">
        <is>
          <t>Performance Metric</t>
        </is>
      </c>
      <c r="D14" s="42" t="inlineStr">
        <is>
          <t>Unit</t>
        </is>
      </c>
      <c r="E14" s="42" t="inlineStr">
        <is>
          <t>Current A.Y.</t>
        </is>
      </c>
      <c r="F14" s="42" t="inlineStr">
        <is>
          <t>Previous A.Y.</t>
        </is>
      </c>
      <c r="G14" s="42" t="inlineStr">
        <is>
          <t>Growth %</t>
        </is>
      </c>
      <c r="H14" s="42" t="inlineStr">
        <is>
          <t>Target Next Year</t>
        </is>
      </c>
    </row>
    <row r="15" ht="22" customHeight="1">
      <c r="B15" s="54" t="n">
        <v>1</v>
      </c>
      <c r="C15" s="43" t="inlineStr">
        <is>
          <t>Intra-college tournaments conducted</t>
        </is>
      </c>
      <c r="D15" s="44" t="inlineStr">
        <is>
          <t>No.</t>
        </is>
      </c>
      <c r="E15" s="44" t="inlineStr"/>
      <c r="F15" s="44" t="inlineStr"/>
      <c r="G15" s="44">
        <f>IFERROR(ROUND((E15-F15)/F15*100,1),"")</f>
        <v/>
      </c>
      <c r="H15" s="44" t="inlineStr"/>
    </row>
    <row r="16" ht="22" customHeight="1">
      <c r="B16" s="8" t="n">
        <v>2</v>
      </c>
      <c r="C16" s="9" t="inlineStr">
        <is>
          <t>External tournaments participated</t>
        </is>
      </c>
      <c r="D16" s="10" t="inlineStr">
        <is>
          <t>No.</t>
        </is>
      </c>
      <c r="E16" s="10" t="inlineStr"/>
      <c r="F16" s="10" t="inlineStr"/>
      <c r="G16" s="10">
        <f>IFERROR(ROUND((E16-F16)/F16*100,1),"")</f>
        <v/>
      </c>
      <c r="H16" s="10" t="inlineStr"/>
    </row>
    <row r="17" ht="22" customHeight="1">
      <c r="B17" s="54" t="n">
        <v>3</v>
      </c>
      <c r="C17" s="43" t="inlineStr">
        <is>
          <t>Students representing institution externally</t>
        </is>
      </c>
      <c r="D17" s="44" t="inlineStr">
        <is>
          <t>No.</t>
        </is>
      </c>
      <c r="E17" s="44" t="inlineStr"/>
      <c r="F17" s="44" t="inlineStr"/>
      <c r="G17" s="44">
        <f>IFERROR(ROUND((E17-F17)/F17*100,1),"")</f>
        <v/>
      </c>
      <c r="H17" s="44" t="inlineStr"/>
    </row>
    <row r="18" ht="22" customHeight="1">
      <c r="B18" s="8" t="n">
        <v>4</v>
      </c>
      <c r="C18" s="9" t="inlineStr">
        <is>
          <t>Gold medals won</t>
        </is>
      </c>
      <c r="D18" s="10" t="inlineStr">
        <is>
          <t>No.</t>
        </is>
      </c>
      <c r="E18" s="10" t="inlineStr"/>
      <c r="F18" s="10" t="inlineStr"/>
      <c r="G18" s="10">
        <f>IFERROR(ROUND((E18-F18)/F18*100,1),"")</f>
        <v/>
      </c>
      <c r="H18" s="10" t="inlineStr"/>
    </row>
    <row r="19" ht="22" customHeight="1">
      <c r="B19" s="54" t="n">
        <v>5</v>
      </c>
      <c r="C19" s="43" t="inlineStr">
        <is>
          <t>Silver medals won</t>
        </is>
      </c>
      <c r="D19" s="44" t="inlineStr">
        <is>
          <t>No.</t>
        </is>
      </c>
      <c r="E19" s="44" t="inlineStr"/>
      <c r="F19" s="44" t="inlineStr"/>
      <c r="G19" s="44">
        <f>IFERROR(ROUND((E19-F19)/F19*100,1),"")</f>
        <v/>
      </c>
      <c r="H19" s="44" t="inlineStr"/>
    </row>
    <row r="20" ht="22" customHeight="1">
      <c r="B20" s="8" t="n">
        <v>6</v>
      </c>
      <c r="C20" s="9" t="inlineStr">
        <is>
          <t>Bronze medals won</t>
        </is>
      </c>
      <c r="D20" s="10" t="inlineStr">
        <is>
          <t>No.</t>
        </is>
      </c>
      <c r="E20" s="10" t="inlineStr"/>
      <c r="F20" s="10" t="inlineStr"/>
      <c r="G20" s="10">
        <f>IFERROR(ROUND((E20-F20)/F20*100,1),"")</f>
        <v/>
      </c>
      <c r="H20" s="10" t="inlineStr"/>
    </row>
    <row r="21" ht="22" customHeight="1">
      <c r="B21" s="54" t="n">
        <v>7</v>
      </c>
      <c r="C21" s="43" t="inlineStr">
        <is>
          <t>Students at State level+</t>
        </is>
      </c>
      <c r="D21" s="44" t="inlineStr">
        <is>
          <t>No.</t>
        </is>
      </c>
      <c r="E21" s="44" t="inlineStr"/>
      <c r="F21" s="44" t="inlineStr"/>
      <c r="G21" s="44">
        <f>IFERROR(ROUND((E21-F21)/F21*100,1),"")</f>
        <v/>
      </c>
      <c r="H21" s="44" t="inlineStr"/>
    </row>
    <row r="22" ht="22" customHeight="1">
      <c r="B22" s="8" t="n">
        <v>8</v>
      </c>
      <c r="C22" s="9" t="inlineStr">
        <is>
          <t>Students at National level</t>
        </is>
      </c>
      <c r="D22" s="10" t="inlineStr">
        <is>
          <t>No.</t>
        </is>
      </c>
      <c r="E22" s="10" t="inlineStr"/>
      <c r="F22" s="10" t="inlineStr"/>
      <c r="G22" s="10">
        <f>IFERROR(ROUND((E22-F22)/F22*100,1),"")</f>
        <v/>
      </c>
      <c r="H22" s="10" t="inlineStr"/>
    </row>
    <row r="23" ht="22" customHeight="1"/>
    <row r="24" ht="24" customHeight="1">
      <c r="B24" s="49" t="inlineStr">
        <is>
          <t>SECTION 3 — INFRASTRUCTURE</t>
        </is>
      </c>
    </row>
    <row r="25" ht="22" customHeight="1">
      <c r="B25" s="50" t="inlineStr">
        <is>
          <t>Sl.</t>
        </is>
      </c>
      <c r="C25" s="50" t="inlineStr">
        <is>
          <t>Performance Metric</t>
        </is>
      </c>
      <c r="D25" s="50" t="inlineStr">
        <is>
          <t>Unit</t>
        </is>
      </c>
      <c r="E25" s="50" t="inlineStr">
        <is>
          <t>Current A.Y.</t>
        </is>
      </c>
      <c r="F25" s="50" t="inlineStr">
        <is>
          <t>Previous A.Y.</t>
        </is>
      </c>
      <c r="G25" s="50" t="inlineStr">
        <is>
          <t>Growth %</t>
        </is>
      </c>
      <c r="H25" s="50" t="inlineStr">
        <is>
          <t>Target Next Year</t>
        </is>
      </c>
    </row>
    <row r="26" ht="22" customHeight="1">
      <c r="B26" s="51" t="n">
        <v>1</v>
      </c>
      <c r="C26" s="52" t="inlineStr">
        <is>
          <t>Sports facilities available</t>
        </is>
      </c>
      <c r="D26" s="53" t="inlineStr">
        <is>
          <t>No.</t>
        </is>
      </c>
      <c r="E26" s="53" t="inlineStr"/>
      <c r="F26" s="53" t="inlineStr"/>
      <c r="G26" s="53">
        <f>IFERROR(ROUND((E26-F26)/F26*100,1),"")</f>
        <v/>
      </c>
      <c r="H26" s="53" t="inlineStr"/>
    </row>
    <row r="27" ht="22" customHeight="1">
      <c r="B27" s="8" t="n">
        <v>2</v>
      </c>
      <c r="C27" s="9" t="inlineStr">
        <is>
          <t>Facilities functional (%)</t>
        </is>
      </c>
      <c r="D27" s="10" t="inlineStr">
        <is>
          <t>% functional</t>
        </is>
      </c>
      <c r="E27" s="10" t="inlineStr"/>
      <c r="F27" s="10" t="inlineStr"/>
      <c r="G27" s="10">
        <f>IFERROR(ROUND((E27-F27)/F27*100,1),"")</f>
        <v/>
      </c>
      <c r="H27" s="10" t="inlineStr"/>
    </row>
    <row r="28" ht="22" customHeight="1">
      <c r="B28" s="51" t="n">
        <v>3</v>
      </c>
      <c r="C28" s="52" t="inlineStr">
        <is>
          <t>New equipment purchased (₹L)</t>
        </is>
      </c>
      <c r="D28" s="53" t="inlineStr">
        <is>
          <t>₹L</t>
        </is>
      </c>
      <c r="E28" s="53" t="inlineStr"/>
      <c r="F28" s="53" t="inlineStr"/>
      <c r="G28" s="53">
        <f>IFERROR(ROUND((E28-F28)/F28*100,1),"")</f>
        <v/>
      </c>
      <c r="H28" s="53" t="inlineStr"/>
    </row>
    <row r="29" ht="22" customHeight="1">
      <c r="B29" s="8" t="n">
        <v>4</v>
      </c>
      <c r="C29" s="9" t="inlineStr">
        <is>
          <t>Equipment utilisation rate (%)</t>
        </is>
      </c>
      <c r="D29" s="10" t="inlineStr">
        <is>
          <t>% issued</t>
        </is>
      </c>
      <c r="E29" s="10" t="inlineStr"/>
      <c r="F29" s="10" t="inlineStr"/>
      <c r="G29" s="10">
        <f>IFERROR(ROUND((E29-F29)/F29*100,1),"")</f>
        <v/>
      </c>
      <c r="H29" s="10" t="inlineStr"/>
    </row>
    <row r="30" ht="22" customHeight="1">
      <c r="B30" s="51" t="n">
        <v>5</v>
      </c>
      <c r="C30" s="52" t="inlineStr">
        <is>
          <t>Infrastructure improvements made</t>
        </is>
      </c>
      <c r="D30" s="53" t="inlineStr">
        <is>
          <t>No.</t>
        </is>
      </c>
      <c r="E30" s="53" t="inlineStr"/>
      <c r="F30" s="53" t="inlineStr"/>
      <c r="G30" s="53">
        <f>IFERROR(ROUND((E30-F30)/F30*100,1),"")</f>
        <v/>
      </c>
      <c r="H30" s="53" t="inlineStr"/>
    </row>
    <row r="31" ht="22" customHeight="1">
      <c r="B31" s="8" t="n">
        <v>6</v>
      </c>
      <c r="C31" s="9" t="inlineStr">
        <is>
          <t>Maintenance cost (₹L)</t>
        </is>
      </c>
      <c r="D31" s="10" t="inlineStr">
        <is>
          <t>₹L</t>
        </is>
      </c>
      <c r="E31" s="10" t="inlineStr"/>
      <c r="F31" s="10" t="inlineStr"/>
      <c r="G31" s="10">
        <f>IFERROR(ROUND((E31-F31)/F31*100,1),"")</f>
        <v/>
      </c>
      <c r="H31" s="10" t="inlineStr"/>
    </row>
    <row r="32" ht="22" customHeight="1"/>
    <row r="33" ht="24" customHeight="1">
      <c r="B33" s="59" t="inlineStr">
        <is>
          <t>SECTION 4 — WELFARE &amp; ACHIEVEMENTS</t>
        </is>
      </c>
    </row>
    <row r="34" ht="22" customHeight="1">
      <c r="B34" s="55" t="inlineStr">
        <is>
          <t>Sl.</t>
        </is>
      </c>
      <c r="C34" s="55" t="inlineStr">
        <is>
          <t>Performance Metric</t>
        </is>
      </c>
      <c r="D34" s="55" t="inlineStr">
        <is>
          <t>Unit</t>
        </is>
      </c>
      <c r="E34" s="55" t="inlineStr">
        <is>
          <t>Current A.Y.</t>
        </is>
      </c>
      <c r="F34" s="55" t="inlineStr">
        <is>
          <t>Previous A.Y.</t>
        </is>
      </c>
      <c r="G34" s="55" t="inlineStr">
        <is>
          <t>Growth %</t>
        </is>
      </c>
      <c r="H34" s="55" t="inlineStr">
        <is>
          <t>Target Next Year</t>
        </is>
      </c>
    </row>
    <row r="35" ht="22" customHeight="1">
      <c r="B35" s="56" t="n">
        <v>1</v>
      </c>
      <c r="C35" s="57" t="inlineStr">
        <is>
          <t>Sports scholarships awarded</t>
        </is>
      </c>
      <c r="D35" s="58" t="inlineStr">
        <is>
          <t>No.</t>
        </is>
      </c>
      <c r="E35" s="58" t="inlineStr"/>
      <c r="F35" s="58" t="inlineStr"/>
      <c r="G35" s="58">
        <f>IFERROR(ROUND((E35-F35)/F35*100,1),"")</f>
        <v/>
      </c>
      <c r="H35" s="58" t="inlineStr"/>
    </row>
    <row r="36" ht="22" customHeight="1">
      <c r="B36" s="8" t="n">
        <v>2</v>
      </c>
      <c r="C36" s="9" t="inlineStr">
        <is>
          <t>Total scholarship value (₹L)</t>
        </is>
      </c>
      <c r="D36" s="10" t="inlineStr">
        <is>
          <t>₹L</t>
        </is>
      </c>
      <c r="E36" s="10" t="inlineStr"/>
      <c r="F36" s="10" t="inlineStr"/>
      <c r="G36" s="10">
        <f>IFERROR(ROUND((E36-F36)/F36*100,1),"")</f>
        <v/>
      </c>
      <c r="H36" s="10" t="inlineStr"/>
    </row>
    <row r="37" ht="22" customHeight="1">
      <c r="B37" s="56" t="n">
        <v>3</v>
      </c>
      <c r="C37" s="57" t="inlineStr">
        <is>
          <t>Injuries reported</t>
        </is>
      </c>
      <c r="D37" s="58" t="inlineStr">
        <is>
          <t>No.</t>
        </is>
      </c>
      <c r="E37" s="58" t="inlineStr"/>
      <c r="F37" s="58" t="inlineStr"/>
      <c r="G37" s="58">
        <f>IFERROR(ROUND((E37-F37)/F37*100,1),"")</f>
        <v/>
      </c>
      <c r="H37" s="58" t="inlineStr"/>
    </row>
    <row r="38" ht="22" customHeight="1">
      <c r="B38" s="8" t="n">
        <v>4</v>
      </c>
      <c r="C38" s="9" t="inlineStr">
        <is>
          <t>Sports awards / felicitations</t>
        </is>
      </c>
      <c r="D38" s="10" t="inlineStr">
        <is>
          <t>No.</t>
        </is>
      </c>
      <c r="E38" s="10" t="inlineStr"/>
      <c r="F38" s="10" t="inlineStr"/>
      <c r="G38" s="10">
        <f>IFERROR(ROUND((E38-F38)/F38*100,1),"")</f>
        <v/>
      </c>
      <c r="H38" s="10" t="inlineStr"/>
    </row>
    <row r="39" ht="22" customHeight="1">
      <c r="B39" s="56" t="n">
        <v>5</v>
      </c>
      <c r="C39" s="57" t="inlineStr">
        <is>
          <t>Anti-doping sessions conducted</t>
        </is>
      </c>
      <c r="D39" s="58" t="inlineStr">
        <is>
          <t>No.</t>
        </is>
      </c>
      <c r="E39" s="58" t="inlineStr"/>
      <c r="F39" s="58" t="inlineStr"/>
      <c r="G39" s="58">
        <f>IFERROR(ROUND((E39-F39)/F39*100,1),"")</f>
        <v/>
      </c>
      <c r="H39" s="58" t="inlineStr"/>
    </row>
    <row r="40" ht="22" customHeight="1">
      <c r="B40" s="8" t="n">
        <v>6</v>
      </c>
      <c r="C40" s="9" t="inlineStr">
        <is>
          <t>Student satisfaction score (/5)</t>
        </is>
      </c>
      <c r="D40" s="10" t="inlineStr">
        <is>
          <t>Score</t>
        </is>
      </c>
      <c r="E40" s="10" t="inlineStr"/>
      <c r="F40" s="10" t="inlineStr"/>
      <c r="G40" s="10">
        <f>IFERROR(ROUND((E40-F40)/F40*100,1),"")</f>
        <v/>
      </c>
      <c r="H40" s="10" t="inlineStr"/>
    </row>
    <row r="41" ht="22" customHeight="1"/>
    <row r="42" ht="24" customHeight="1">
      <c r="B42" s="34" t="inlineStr">
        <is>
          <t>SECTION 5 — BUDGET &amp; OUTREACH</t>
        </is>
      </c>
    </row>
    <row r="43" ht="22" customHeight="1">
      <c r="B43" s="30" t="inlineStr">
        <is>
          <t>Sl.</t>
        </is>
      </c>
      <c r="C43" s="30" t="inlineStr">
        <is>
          <t>Performance Metric</t>
        </is>
      </c>
      <c r="D43" s="30" t="inlineStr">
        <is>
          <t>Unit</t>
        </is>
      </c>
      <c r="E43" s="30" t="inlineStr">
        <is>
          <t>Current A.Y.</t>
        </is>
      </c>
      <c r="F43" s="30" t="inlineStr">
        <is>
          <t>Previous A.Y.</t>
        </is>
      </c>
      <c r="G43" s="30" t="inlineStr">
        <is>
          <t>Growth %</t>
        </is>
      </c>
      <c r="H43" s="30" t="inlineStr">
        <is>
          <t>Target Next Year</t>
        </is>
      </c>
    </row>
    <row r="44" ht="22" customHeight="1">
      <c r="B44" s="31" t="n">
        <v>1</v>
      </c>
      <c r="C44" s="32" t="inlineStr">
        <is>
          <t>Total sports budget utilised (₹L)</t>
        </is>
      </c>
      <c r="D44" s="33" t="inlineStr">
        <is>
          <t>₹L</t>
        </is>
      </c>
      <c r="E44" s="33" t="inlineStr"/>
      <c r="F44" s="33" t="inlineStr"/>
      <c r="G44" s="33">
        <f>IFERROR(ROUND((E44-F44)/F44*100,1),"")</f>
        <v/>
      </c>
      <c r="H44" s="33" t="inlineStr"/>
    </row>
    <row r="45" ht="22" customHeight="1">
      <c r="B45" s="8" t="n">
        <v>2</v>
      </c>
      <c r="C45" s="9" t="inlineStr">
        <is>
          <t>Budget utilisation (%)</t>
        </is>
      </c>
      <c r="D45" s="10" t="inlineStr">
        <is>
          <t>% utilised</t>
        </is>
      </c>
      <c r="E45" s="10" t="inlineStr"/>
      <c r="F45" s="10" t="inlineStr"/>
      <c r="G45" s="10">
        <f>IFERROR(ROUND((E45-F45)/F45*100,1),"")</f>
        <v/>
      </c>
      <c r="H45" s="10" t="inlineStr"/>
    </row>
    <row r="46" ht="22" customHeight="1">
      <c r="B46" s="31" t="n">
        <v>3</v>
      </c>
      <c r="C46" s="32" t="inlineStr">
        <is>
          <t>Sports outreach events</t>
        </is>
      </c>
      <c r="D46" s="33" t="inlineStr">
        <is>
          <t>No.</t>
        </is>
      </c>
      <c r="E46" s="33" t="inlineStr"/>
      <c r="F46" s="33" t="inlineStr"/>
      <c r="G46" s="33">
        <f>IFERROR(ROUND((E46-F46)/F46*100,1),"")</f>
        <v/>
      </c>
      <c r="H46" s="33" t="inlineStr"/>
    </row>
    <row r="47" ht="22" customHeight="1">
      <c r="B47" s="8" t="n">
        <v>4</v>
      </c>
      <c r="C47" s="9" t="inlineStr">
        <is>
          <t>Community / school events</t>
        </is>
      </c>
      <c r="D47" s="10" t="inlineStr">
        <is>
          <t>No.</t>
        </is>
      </c>
      <c r="E47" s="10" t="inlineStr"/>
      <c r="F47" s="10" t="inlineStr"/>
      <c r="G47" s="10">
        <f>IFERROR(ROUND((E47-F47)/F47*100,1),"")</f>
        <v/>
      </c>
      <c r="H47" s="10" t="inlineStr"/>
    </row>
    <row r="48" ht="22" customHeight="1">
      <c r="B48" s="31" t="n">
        <v>5</v>
      </c>
      <c r="C48" s="32" t="inlineStr">
        <is>
          <t>Alumni sports activities</t>
        </is>
      </c>
      <c r="D48" s="33" t="inlineStr">
        <is>
          <t>No.</t>
        </is>
      </c>
      <c r="E48" s="33" t="inlineStr"/>
      <c r="F48" s="33" t="inlineStr"/>
      <c r="G48" s="33">
        <f>IFERROR(ROUND((E48-F48)/F48*100,1),"")</f>
        <v/>
      </c>
      <c r="H48" s="33" t="inlineStr"/>
    </row>
    <row r="49" ht="22" customHeight="1">
      <c r="B49" s="8" t="n">
        <v>6</v>
      </c>
      <c r="C49" s="9" t="inlineStr">
        <is>
          <t>External coaches engaged</t>
        </is>
      </c>
      <c r="D49" s="10" t="inlineStr">
        <is>
          <t>No.</t>
        </is>
      </c>
      <c r="E49" s="10" t="inlineStr"/>
      <c r="F49" s="10" t="inlineStr"/>
      <c r="G49" s="10">
        <f>IFERROR(ROUND((E49-F49)/F49*100,1),"")</f>
        <v/>
      </c>
      <c r="H49" s="10" t="inlineStr"/>
    </row>
    <row r="50" ht="22" customHeight="1"/>
    <row r="51" ht="20" customHeight="1">
      <c r="B51" s="17" t="inlineStr">
        <is>
          <t>Annual Report to be submitted to: Management, IQAC (AQAR Criterion V.3), NAAC SSR, NIRF (Graduation Outcomes — Sports), Governing Body and University. Submit by April 30 each year.</t>
        </is>
      </c>
    </row>
    <row r="52" ht="22" customHeight="1">
      <c r="B52" s="29" t="inlineStr">
        <is>
          <t>Sports Director: ___________________    SGC Chairperson: ___________________    IQAC Coordinator: ___________________    Date: ___________________</t>
        </is>
      </c>
    </row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</sheetData>
  <mergeCells count="9">
    <mergeCell ref="B13:H13"/>
    <mergeCell ref="B52:H52"/>
    <mergeCell ref="B4:H4"/>
    <mergeCell ref="B24:H24"/>
    <mergeCell ref="B2:H2"/>
    <mergeCell ref="B33:H33"/>
    <mergeCell ref="B42:H42"/>
    <mergeCell ref="B3:H3"/>
    <mergeCell ref="B51:H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2026-04-22T13:16:54Z</dcterms:created>
  <dcterms:modified xmlns:dcterms="http://purl.org/dc/terms/" xmlns:xsi="http://www.w3.org/2001/XMLSchema-instance" xsi:type="dcterms:W3CDTF">2026-04-22T13:16:55Z</dcterms:modified>
</cp:coreProperties>
</file>