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PMPC-00 Composition" sheetId="2" state="visible" r:id="rId2"/>
    <sheet xmlns:r="http://schemas.openxmlformats.org/officeDocument/2006/relationships" name="PMPC-NA Notice &amp; Agenda" sheetId="3" state="visible" r:id="rId3"/>
    <sheet xmlns:r="http://schemas.openxmlformats.org/officeDocument/2006/relationships" name="PMPC-AT Attendance" sheetId="4" state="visible" r:id="rId4"/>
    <sheet xmlns:r="http://schemas.openxmlformats.org/officeDocument/2006/relationships" name="PMPC-MM Minutes" sheetId="5" state="visible" r:id="rId5"/>
    <sheet xmlns:r="http://schemas.openxmlformats.org/officeDocument/2006/relationships" name="PMPC-ATR Action Report" sheetId="6" state="visible" r:id="rId6"/>
    <sheet xmlns:r="http://schemas.openxmlformats.org/officeDocument/2006/relationships" name="PMPC-02 Publications Calendar" sheetId="7" state="visible" r:id="rId7"/>
    <sheet xmlns:r="http://schemas.openxmlformats.org/officeDocument/2006/relationships" name="PMPC-03 Newsletter Register" sheetId="8" state="visible" r:id="rId8"/>
    <sheet xmlns:r="http://schemas.openxmlformats.org/officeDocument/2006/relationships" name="PMPC-09 Editorial Review Log" sheetId="9" state="visible" r:id="rId9"/>
    <sheet xmlns:r="http://schemas.openxmlformats.org/officeDocument/2006/relationships" name="PMPC-11 Media Contact DB" sheetId="10" state="visible" r:id="rId10"/>
    <sheet xmlns:r="http://schemas.openxmlformats.org/officeDocument/2006/relationships" name="PMPC-12 Press Release Register" sheetId="11" state="visible" r:id="rId11"/>
    <sheet xmlns:r="http://schemas.openxmlformats.org/officeDocument/2006/relationships" name="PMPC-13 Media Coverage" sheetId="12" state="visible" r:id="rId12"/>
    <sheet xmlns:r="http://schemas.openxmlformats.org/officeDocument/2006/relationships" name="PMPC-14 Press Conference" sheetId="13" state="visible" r:id="rId13"/>
    <sheet xmlns:r="http://schemas.openxmlformats.org/officeDocument/2006/relationships" name="PMPC-16 Media Monitoring" sheetId="14" state="visible" r:id="rId14"/>
    <sheet xmlns:r="http://schemas.openxmlformats.org/officeDocument/2006/relationships" name="PMPC-17 Social Media Register" sheetId="15" state="visible" r:id="rId15"/>
    <sheet xmlns:r="http://schemas.openxmlformats.org/officeDocument/2006/relationships" name="PMPC-18 Content Calendar" sheetId="16" state="visible" r:id="rId16"/>
    <sheet xmlns:r="http://schemas.openxmlformats.org/officeDocument/2006/relationships" name="PMPC-19 Social Analytics" sheetId="17" state="visible" r:id="rId17"/>
    <sheet xmlns:r="http://schemas.openxmlformats.org/officeDocument/2006/relationships" name="PMPC-21 Photo Video Register" sheetId="18" state="visible" r:id="rId18"/>
    <sheet xmlns:r="http://schemas.openxmlformats.org/officeDocument/2006/relationships" name="PMPC-25 Crisis Communication" sheetId="19" state="visible" r:id="rId19"/>
    <sheet xmlns:r="http://schemas.openxmlformats.org/officeDocument/2006/relationships" name="PMPC-26 Advertisement Register" sheetId="20" state="visible" r:id="rId20"/>
    <sheet xmlns:r="http://schemas.openxmlformats.org/officeDocument/2006/relationships" name="PMPC-28 Student Media Cell" sheetId="21" state="visible" r:id="rId21"/>
    <sheet xmlns:r="http://schemas.openxmlformats.org/officeDocument/2006/relationships" name="PMPC-33 KPI Dashboard" sheetId="22" state="visible" r:id="rId22"/>
    <sheet xmlns:r="http://schemas.openxmlformats.org/officeDocument/2006/relationships" name="PMPC-34 Annual Report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1E1B4B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3"/>
    </font>
    <font>
      <name val="Arial"/>
      <color rgb="003F2000"/>
      <sz val="9"/>
    </font>
    <font>
      <name val="Arial"/>
      <b val="1"/>
      <color rgb="00FFFFFF"/>
      <sz val="14"/>
    </font>
    <font>
      <name val="Arial"/>
      <b val="1"/>
      <color rgb="001E1B4B"/>
      <sz val="10"/>
    </font>
    <font>
      <name val="Arial"/>
      <b val="1"/>
      <color rgb="00334155"/>
      <sz val="10"/>
    </font>
    <font>
      <name val="Arial"/>
      <b val="1"/>
      <color rgb="00166534"/>
      <sz val="10"/>
    </font>
    <font>
      <name val="Arial"/>
      <color rgb="000F172A"/>
      <sz val="9"/>
    </font>
    <font>
      <name val="Arial"/>
      <b val="1"/>
      <color rgb="00991B1B"/>
      <sz val="10"/>
    </font>
    <font>
      <name val="Arial"/>
      <b val="1"/>
      <color rgb="003F2000"/>
      <sz val="10"/>
    </font>
  </fonts>
  <fills count="20">
    <fill>
      <patternFill/>
    </fill>
    <fill>
      <patternFill patternType="gray125"/>
    </fill>
    <fill>
      <patternFill patternType="solid">
        <fgColor rgb="000F0A1E"/>
      </patternFill>
    </fill>
    <fill>
      <patternFill patternType="solid">
        <fgColor rgb="00E0E7FF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1E1B4B"/>
      </patternFill>
    </fill>
    <fill>
      <patternFill patternType="solid">
        <fgColor rgb="00FEF3C7"/>
      </patternFill>
    </fill>
    <fill>
      <patternFill patternType="solid">
        <fgColor rgb="00B45309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991B1B"/>
      </patternFill>
    </fill>
    <fill>
      <patternFill patternType="solid">
        <fgColor rgb="00FEE2E2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16653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 wrapText="1"/>
    </xf>
    <xf numFmtId="0" fontId="0" fillId="16" borderId="1" pivotButton="0" quotePrefix="0" xfId="0"/>
    <xf numFmtId="0" fontId="0" fillId="7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14" borderId="1" pivotButton="0" quotePrefix="0" xfId="0"/>
    <xf numFmtId="0" fontId="5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5" fillId="16" borderId="1" applyAlignment="1" pivotButton="0" quotePrefix="0" xfId="0">
      <alignment horizontal="center" vertical="center" wrapText="1"/>
    </xf>
    <xf numFmtId="0" fontId="15" fillId="16" borderId="1" applyAlignment="1" pivotButton="0" quotePrefix="0" xfId="0">
      <alignment horizontal="left" vertical="center" wrapText="1"/>
    </xf>
    <xf numFmtId="0" fontId="14" fillId="16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16" fillId="9" borderId="1" applyAlignment="1" pivotButton="0" quotePrefix="0" xfId="0">
      <alignment horizontal="center" vertical="center" wrapText="1"/>
    </xf>
    <xf numFmtId="0" fontId="3" fillId="17" borderId="0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center" vertical="center" wrapText="1"/>
    </xf>
    <xf numFmtId="0" fontId="3" fillId="19" borderId="0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75" customHeight="1">
      <c r="B2" s="1" t="inlineStr">
        <is>
          <t>PRESS, MEDIA &amp; PUBLICATIONS COMMITTEE (PMPC)
Data Collection Formats — Master Workbook</t>
        </is>
      </c>
    </row>
    <row r="3" ht="28" customHeight="1">
      <c r="B3" s="2" t="inlineStr">
        <is>
          <t>Institution: _________________________  PMPC Coordinator: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PMPC-00</t>
        </is>
      </c>
      <c r="C6" s="6" t="inlineStr">
        <is>
          <t>Committee Composition &amp; Members Register</t>
        </is>
      </c>
      <c r="D6" s="6" t="inlineStr">
        <is>
          <t>Record members, editors, writers &amp; media team</t>
        </is>
      </c>
      <c r="E6" s="7" t="inlineStr">
        <is>
          <t>Annual</t>
        </is>
      </c>
    </row>
    <row r="7" ht="20" customHeight="1">
      <c r="B7" s="8" t="inlineStr">
        <is>
          <t>PMPC-NA</t>
        </is>
      </c>
      <c r="C7" s="9" t="inlineStr">
        <is>
          <t>Meeting Notice, Agenda &amp; Dispatch Record</t>
        </is>
      </c>
      <c r="D7" s="9" t="inlineStr">
        <is>
          <t>Formal notice and agenda for committee meetings</t>
        </is>
      </c>
      <c r="E7" s="10" t="inlineStr">
        <is>
          <t>Each Meeting</t>
        </is>
      </c>
    </row>
    <row r="8" ht="20" customHeight="1">
      <c r="B8" s="5" t="inlineStr">
        <is>
          <t>PMPC-AT</t>
        </is>
      </c>
      <c r="C8" s="6" t="inlineStr">
        <is>
          <t>Attendance &amp; Quorum Register</t>
        </is>
      </c>
      <c r="D8" s="6" t="inlineStr">
        <is>
          <t>Confirm attendance and quorum validity</t>
        </is>
      </c>
      <c r="E8" s="7" t="inlineStr">
        <is>
          <t>Each Meeting</t>
        </is>
      </c>
    </row>
    <row r="9" ht="20" customHeight="1">
      <c r="B9" s="8" t="inlineStr">
        <is>
          <t>PMPC-MM</t>
        </is>
      </c>
      <c r="C9" s="9" t="inlineStr">
        <is>
          <t>Meeting Minutes &amp; Resolutions</t>
        </is>
      </c>
      <c r="D9" s="9" t="inlineStr">
        <is>
          <t>Record discussions, decisions &amp; directives</t>
        </is>
      </c>
      <c r="E9" s="10" t="inlineStr">
        <is>
          <t>Each Meeting</t>
        </is>
      </c>
    </row>
    <row r="10" ht="20" customHeight="1">
      <c r="B10" s="5" t="inlineStr">
        <is>
          <t>PMPC-ATR</t>
        </is>
      </c>
      <c r="C10" s="6" t="inlineStr">
        <is>
          <t>Action Taken Report</t>
        </is>
      </c>
      <c r="D10" s="6" t="inlineStr">
        <is>
          <t>Track implementation of committee resolutions</t>
        </is>
      </c>
      <c r="E10" s="7" t="inlineStr">
        <is>
          <t>Each Meeting</t>
        </is>
      </c>
    </row>
    <row r="11" ht="20" customHeight="1">
      <c r="B11" s="4" t="inlineStr">
        <is>
          <t>── PUBLICATIONS ──</t>
        </is>
      </c>
    </row>
    <row r="12" ht="20" customHeight="1">
      <c r="B12" s="5" t="inlineStr">
        <is>
          <t>PMPC-01</t>
        </is>
      </c>
      <c r="C12" s="6" t="inlineStr">
        <is>
          <t>Publications Policy &amp; Editorial Guidelines</t>
        </is>
      </c>
      <c r="D12" s="6" t="inlineStr">
        <is>
          <t>Document editorial standards, review process &amp; ethics</t>
        </is>
      </c>
      <c r="E12" s="7" t="inlineStr">
        <is>
          <t>Annual</t>
        </is>
      </c>
    </row>
    <row r="13" ht="20" customHeight="1">
      <c r="B13" s="8" t="inlineStr">
        <is>
          <t>PMPC-02</t>
        </is>
      </c>
      <c r="C13" s="9" t="inlineStr">
        <is>
          <t>Annual Publications Calendar</t>
        </is>
      </c>
      <c r="D13" s="9" t="inlineStr">
        <is>
          <t>Plan all publications for the academic year</t>
        </is>
      </c>
      <c r="E13" s="10" t="inlineStr">
        <is>
          <t>Annual (Pre-Year)</t>
        </is>
      </c>
    </row>
    <row r="14" ht="20" customHeight="1">
      <c r="B14" s="5" t="inlineStr">
        <is>
          <t>PMPC-03</t>
        </is>
      </c>
      <c r="C14" s="6" t="inlineStr">
        <is>
          <t>Institutional Newsletter Register</t>
        </is>
      </c>
      <c r="D14" s="6" t="inlineStr">
        <is>
          <t>Manage newsletter editions — content, production, distribution</t>
        </is>
      </c>
      <c r="E14" s="7" t="inlineStr">
        <is>
          <t>Each Edition</t>
        </is>
      </c>
    </row>
    <row r="15" ht="20" customHeight="1">
      <c r="B15" s="8" t="inlineStr">
        <is>
          <t>PMPC-04</t>
        </is>
      </c>
      <c r="C15" s="9" t="inlineStr">
        <is>
          <t>Annual Magazine / Journal Register</t>
        </is>
      </c>
      <c r="D15" s="9" t="inlineStr">
        <is>
          <t>Manage institutional magazine / research journal</t>
        </is>
      </c>
      <c r="E15" s="10" t="inlineStr">
        <is>
          <t>Annual / Per Issue</t>
        </is>
      </c>
    </row>
    <row r="16" ht="20" customHeight="1">
      <c r="B16" s="5" t="inlineStr">
        <is>
          <t>PMPC-05</t>
        </is>
      </c>
      <c r="C16" s="6" t="inlineStr">
        <is>
          <t>Research Publication Support Register</t>
        </is>
      </c>
      <c r="D16" s="6" t="inlineStr">
        <is>
          <t>Track institutional support for faculty publications</t>
        </is>
      </c>
      <c r="E16" s="7" t="inlineStr">
        <is>
          <t>Continuous</t>
        </is>
      </c>
    </row>
    <row r="17" ht="20" customHeight="1">
      <c r="B17" s="8" t="inlineStr">
        <is>
          <t>PMPC-06</t>
        </is>
      </c>
      <c r="C17" s="9" t="inlineStr">
        <is>
          <t>Book / Monograph Publication Register</t>
        </is>
      </c>
      <c r="D17" s="9" t="inlineStr">
        <is>
          <t>Record faculty / student books and monographs published</t>
        </is>
      </c>
      <c r="E17" s="10" t="inlineStr">
        <is>
          <t>Continuous</t>
        </is>
      </c>
    </row>
    <row r="18" ht="20" customHeight="1">
      <c r="B18" s="5" t="inlineStr">
        <is>
          <t>PMPC-07</t>
        </is>
      </c>
      <c r="C18" s="6" t="inlineStr">
        <is>
          <t>Brochure &amp; Prospectus Production Register</t>
        </is>
      </c>
      <c r="D18" s="6" t="inlineStr">
        <is>
          <t>Track design, printing and distribution of brochures</t>
        </is>
      </c>
      <c r="E18" s="7" t="inlineStr">
        <is>
          <t>Annual / Per Event</t>
        </is>
      </c>
    </row>
    <row r="19" ht="20" customHeight="1">
      <c r="B19" s="8" t="inlineStr">
        <is>
          <t>PMPC-08</t>
        </is>
      </c>
      <c r="C19" s="9" t="inlineStr">
        <is>
          <t>e-Publications &amp; Digital Content Register</t>
        </is>
      </c>
      <c r="D19" s="9" t="inlineStr">
        <is>
          <t>Manage e-newsletters, blogs, digital reports, podcasts</t>
        </is>
      </c>
      <c r="E19" s="10" t="inlineStr">
        <is>
          <t>Continuous</t>
        </is>
      </c>
    </row>
    <row r="20" ht="20" customHeight="1">
      <c r="B20" s="5" t="inlineStr">
        <is>
          <t>PMPC-09</t>
        </is>
      </c>
      <c r="C20" s="6" t="inlineStr">
        <is>
          <t>Content Submission &amp; Editorial Review Log</t>
        </is>
      </c>
      <c r="D20" s="6" t="inlineStr">
        <is>
          <t>Log all content submissions, reviews and decisions</t>
        </is>
      </c>
      <c r="E20" s="7" t="inlineStr">
        <is>
          <t>Per Submission</t>
        </is>
      </c>
    </row>
    <row r="21" ht="20" customHeight="1">
      <c r="B21" s="8" t="inlineStr">
        <is>
          <t>PMPC-10</t>
        </is>
      </c>
      <c r="C21" s="9" t="inlineStr">
        <is>
          <t>Copyright, Plagiarism &amp; IPR Compliance Register</t>
        </is>
      </c>
      <c r="D21" s="9" t="inlineStr">
        <is>
          <t>Ensure all publications are IP-compliant and original</t>
        </is>
      </c>
      <c r="E21" s="10" t="inlineStr">
        <is>
          <t>Per Publication</t>
        </is>
      </c>
    </row>
    <row r="22" ht="20" customHeight="1">
      <c r="B22" s="4" t="inlineStr">
        <is>
          <t>── PRESS RELATIONS &amp; MEDIA ──</t>
        </is>
      </c>
    </row>
    <row r="23" ht="20" customHeight="1">
      <c r="B23" s="8" t="inlineStr">
        <is>
          <t>PMPC-11</t>
        </is>
      </c>
      <c r="C23" s="9" t="inlineStr">
        <is>
          <t>Media Contact Database</t>
        </is>
      </c>
      <c r="D23" s="9" t="inlineStr">
        <is>
          <t>Maintain database of journalists, editors &amp; media houses</t>
        </is>
      </c>
      <c r="E23" s="10" t="inlineStr">
        <is>
          <t>Annual / Continuous</t>
        </is>
      </c>
    </row>
    <row r="24" ht="20" customHeight="1">
      <c r="B24" s="5" t="inlineStr">
        <is>
          <t>PMPC-12</t>
        </is>
      </c>
      <c r="C24" s="6" t="inlineStr">
        <is>
          <t>Press Release Register</t>
        </is>
      </c>
      <c r="D24" s="6" t="inlineStr">
        <is>
          <t>Draft, approve, dispatch and track all press releases</t>
        </is>
      </c>
      <c r="E24" s="7" t="inlineStr">
        <is>
          <t>Per Release</t>
        </is>
      </c>
    </row>
    <row r="25" ht="20" customHeight="1">
      <c r="B25" s="8" t="inlineStr">
        <is>
          <t>PMPC-13</t>
        </is>
      </c>
      <c r="C25" s="9" t="inlineStr">
        <is>
          <t>Media Coverage Register</t>
        </is>
      </c>
      <c r="D25" s="9" t="inlineStr">
        <is>
          <t>Track all news coverage — print, digital, TV, radio</t>
        </is>
      </c>
      <c r="E25" s="10" t="inlineStr">
        <is>
          <t>Continuous</t>
        </is>
      </c>
    </row>
    <row r="26" ht="20" customHeight="1">
      <c r="B26" s="5" t="inlineStr">
        <is>
          <t>PMPC-14</t>
        </is>
      </c>
      <c r="C26" s="6" t="inlineStr">
        <is>
          <t>Press Conference / Media Briefing Register</t>
        </is>
      </c>
      <c r="D26" s="6" t="inlineStr">
        <is>
          <t>Plan and document press conferences and media meets</t>
        </is>
      </c>
      <c r="E26" s="7" t="inlineStr">
        <is>
          <t>Per Event</t>
        </is>
      </c>
    </row>
    <row r="27" ht="20" customHeight="1">
      <c r="B27" s="8" t="inlineStr">
        <is>
          <t>PMPC-15</t>
        </is>
      </c>
      <c r="C27" s="9" t="inlineStr">
        <is>
          <t>Interview Request &amp; Response Register</t>
        </is>
      </c>
      <c r="D27" s="9" t="inlineStr">
        <is>
          <t>Log media interview requests and responses given</t>
        </is>
      </c>
      <c r="E27" s="10" t="inlineStr">
        <is>
          <t>Per Request</t>
        </is>
      </c>
    </row>
    <row r="28" ht="20" customHeight="1">
      <c r="B28" s="5" t="inlineStr">
        <is>
          <t>PMPC-16</t>
        </is>
      </c>
      <c r="C28" s="6" t="inlineStr">
        <is>
          <t>Media Monitoring &amp; Sentiment Register</t>
        </is>
      </c>
      <c r="D28" s="6" t="inlineStr">
        <is>
          <t>Monitor press coverage tone, reach &amp; sentiment</t>
        </is>
      </c>
      <c r="E28" s="7" t="inlineStr">
        <is>
          <t>Monthly</t>
        </is>
      </c>
    </row>
    <row r="29" ht="20" customHeight="1">
      <c r="B29" s="4" t="inlineStr">
        <is>
          <t>── DIGITAL &amp; SOCIAL MEDIA ──</t>
        </is>
      </c>
    </row>
    <row r="30" ht="20" customHeight="1">
      <c r="B30" s="5" t="inlineStr">
        <is>
          <t>PMPC-17</t>
        </is>
      </c>
      <c r="C30" s="6" t="inlineStr">
        <is>
          <t>Social Media Platform Register</t>
        </is>
      </c>
      <c r="D30" s="6" t="inlineStr">
        <is>
          <t>Manage institutional social media accounts &amp; strategy</t>
        </is>
      </c>
      <c r="E30" s="7" t="inlineStr">
        <is>
          <t>Annual / Monthly</t>
        </is>
      </c>
    </row>
    <row r="31" ht="20" customHeight="1">
      <c r="B31" s="8" t="inlineStr">
        <is>
          <t>PMPC-18</t>
        </is>
      </c>
      <c r="C31" s="9" t="inlineStr">
        <is>
          <t>Social Media Content Calendar</t>
        </is>
      </c>
      <c r="D31" s="9" t="inlineStr">
        <is>
          <t>Plan weekly/monthly social media posts across platforms</t>
        </is>
      </c>
      <c r="E31" s="10" t="inlineStr">
        <is>
          <t>Monthly</t>
        </is>
      </c>
    </row>
    <row r="32" ht="20" customHeight="1">
      <c r="B32" s="5" t="inlineStr">
        <is>
          <t>PMPC-19</t>
        </is>
      </c>
      <c r="C32" s="6" t="inlineStr">
        <is>
          <t>Social Media Analytics &amp; Performance Register</t>
        </is>
      </c>
      <c r="D32" s="6" t="inlineStr">
        <is>
          <t>Track engagement, reach, followers &amp; performance</t>
        </is>
      </c>
      <c r="E32" s="7" t="inlineStr">
        <is>
          <t>Monthly</t>
        </is>
      </c>
    </row>
    <row r="33" ht="20" customHeight="1">
      <c r="B33" s="8" t="inlineStr">
        <is>
          <t>PMPC-20</t>
        </is>
      </c>
      <c r="C33" s="9" t="inlineStr">
        <is>
          <t>Website Content Update Register</t>
        </is>
      </c>
      <c r="D33" s="9" t="inlineStr">
        <is>
          <t>Track website news, events and content updates</t>
        </is>
      </c>
      <c r="E33" s="10" t="inlineStr">
        <is>
          <t>Continuous</t>
        </is>
      </c>
    </row>
    <row r="34" ht="20" customHeight="1">
      <c r="B34" s="5" t="inlineStr">
        <is>
          <t>PMPC-21</t>
        </is>
      </c>
      <c r="C34" s="6" t="inlineStr">
        <is>
          <t>Photography &amp; Videography Register</t>
        </is>
      </c>
      <c r="D34" s="6" t="inlineStr">
        <is>
          <t>Manage photography, video shoots and media assets</t>
        </is>
      </c>
      <c r="E34" s="7" t="inlineStr">
        <is>
          <t>Per Event</t>
        </is>
      </c>
    </row>
    <row r="35" ht="20" customHeight="1">
      <c r="B35" s="8" t="inlineStr">
        <is>
          <t>PMPC-22</t>
        </is>
      </c>
      <c r="C35" s="9" t="inlineStr">
        <is>
          <t>Institutional Brand &amp; Style Guide Register</t>
        </is>
      </c>
      <c r="D35" s="9" t="inlineStr">
        <is>
          <t>Maintain brand standards — logo, colours, typography</t>
        </is>
      </c>
      <c r="E35" s="10" t="inlineStr">
        <is>
          <t>Annual / On Change</t>
        </is>
      </c>
    </row>
    <row r="36" ht="20" customHeight="1">
      <c r="B36" s="4" t="inlineStr">
        <is>
          <t>── EVENTS COVERAGE &amp; DOCUMENTATION ──</t>
        </is>
      </c>
    </row>
    <row r="37" ht="20" customHeight="1">
      <c r="B37" s="8" t="inlineStr">
        <is>
          <t>PMPC-23</t>
        </is>
      </c>
      <c r="C37" s="9" t="inlineStr">
        <is>
          <t>Institutional Events Coverage Register</t>
        </is>
      </c>
      <c r="D37" s="9" t="inlineStr">
        <is>
          <t>Document coverage plan for all major institutional events</t>
        </is>
      </c>
      <c r="E37" s="10" t="inlineStr">
        <is>
          <t>Per Event</t>
        </is>
      </c>
    </row>
    <row r="38" ht="20" customHeight="1">
      <c r="B38" s="5" t="inlineStr">
        <is>
          <t>PMPC-24</t>
        </is>
      </c>
      <c r="C38" s="6" t="inlineStr">
        <is>
          <t>Achievement &amp; Award Documentation Register</t>
        </is>
      </c>
      <c r="D38" s="6" t="inlineStr">
        <is>
          <t>Record faculty, student and institutional awards covered</t>
        </is>
      </c>
      <c r="E38" s="7" t="inlineStr">
        <is>
          <t>Continuous</t>
        </is>
      </c>
    </row>
    <row r="39" ht="20" customHeight="1">
      <c r="B39" s="8" t="inlineStr">
        <is>
          <t>PMPC-25</t>
        </is>
      </c>
      <c r="C39" s="9" t="inlineStr">
        <is>
          <t>Crisis Communication Register</t>
        </is>
      </c>
      <c r="D39" s="9" t="inlineStr">
        <is>
          <t>Manage communication during sensitive / crisis situations</t>
        </is>
      </c>
      <c r="E39" s="10" t="inlineStr">
        <is>
          <t>As Required</t>
        </is>
      </c>
    </row>
    <row r="40" ht="20" customHeight="1">
      <c r="B40" s="4" t="inlineStr">
        <is>
          <t>── ADVERTISING &amp; EXTERNAL RELATIONS ──</t>
        </is>
      </c>
    </row>
    <row r="41" ht="20" customHeight="1">
      <c r="B41" s="8" t="inlineStr">
        <is>
          <t>PMPC-26</t>
        </is>
      </c>
      <c r="C41" s="9" t="inlineStr">
        <is>
          <t>Advertisement &amp; Paid Promotion Register</t>
        </is>
      </c>
      <c r="D41" s="9" t="inlineStr">
        <is>
          <t>Track paid advertisements — newspapers, digital, hoardings</t>
        </is>
      </c>
      <c r="E41" s="10" t="inlineStr">
        <is>
          <t>Continuous</t>
        </is>
      </c>
    </row>
    <row r="42" ht="20" customHeight="1">
      <c r="B42" s="5" t="inlineStr">
        <is>
          <t>PMPC-27</t>
        </is>
      </c>
      <c r="C42" s="6" t="inlineStr">
        <is>
          <t>Sponsorship &amp; Media Partnership Register</t>
        </is>
      </c>
      <c r="D42" s="6" t="inlineStr">
        <is>
          <t>Manage media sponsors and exchange partnerships</t>
        </is>
      </c>
      <c r="E42" s="7" t="inlineStr">
        <is>
          <t>Annual / Per Event</t>
        </is>
      </c>
    </row>
    <row r="43" ht="20" customHeight="1">
      <c r="B43" s="4" t="inlineStr">
        <is>
          <t>── STUDENT MEDIA ──</t>
        </is>
      </c>
    </row>
    <row r="44" ht="20" customHeight="1">
      <c r="B44" s="5" t="inlineStr">
        <is>
          <t>PMPC-28</t>
        </is>
      </c>
      <c r="C44" s="6" t="inlineStr">
        <is>
          <t>Student Media Cell Register</t>
        </is>
      </c>
      <c r="D44" s="6" t="inlineStr">
        <is>
          <t>Register and manage student media club / cell activities</t>
        </is>
      </c>
      <c r="E44" s="7" t="inlineStr">
        <is>
          <t>Annual</t>
        </is>
      </c>
    </row>
    <row r="45" ht="20" customHeight="1">
      <c r="B45" s="8" t="inlineStr">
        <is>
          <t>PMPC-29</t>
        </is>
      </c>
      <c r="C45" s="9" t="inlineStr">
        <is>
          <t>Student Publications Register</t>
        </is>
      </c>
      <c r="D45" s="9" t="inlineStr">
        <is>
          <t>Track student-authored articles, blogs &amp; creative writing</t>
        </is>
      </c>
      <c r="E45" s="10" t="inlineStr">
        <is>
          <t>Continuous</t>
        </is>
      </c>
    </row>
    <row r="46" ht="20" customHeight="1">
      <c r="B46" s="5" t="inlineStr">
        <is>
          <t>PMPC-30</t>
        </is>
      </c>
      <c r="C46" s="6" t="inlineStr">
        <is>
          <t>Journalism &amp; Media Skills Training Register</t>
        </is>
      </c>
      <c r="D46" s="6" t="inlineStr">
        <is>
          <t>Log media literacy and journalism training for students</t>
        </is>
      </c>
      <c r="E46" s="7" t="inlineStr">
        <is>
          <t>Annual</t>
        </is>
      </c>
    </row>
    <row r="47" ht="20" customHeight="1">
      <c r="B47" s="4" t="inlineStr">
        <is>
          <t>── ARCHIVES &amp; RECORDS ──</t>
        </is>
      </c>
    </row>
    <row r="48" ht="20" customHeight="1">
      <c r="B48" s="5" t="inlineStr">
        <is>
          <t>PMPC-31</t>
        </is>
      </c>
      <c r="C48" s="6" t="inlineStr">
        <is>
          <t>Publications Archive Register</t>
        </is>
      </c>
      <c r="D48" s="6" t="inlineStr">
        <is>
          <t>Catalogue all publications — physical and digital copies</t>
        </is>
      </c>
      <c r="E48" s="7" t="inlineStr">
        <is>
          <t>Annual</t>
        </is>
      </c>
    </row>
    <row r="49" ht="20" customHeight="1">
      <c r="B49" s="8" t="inlineStr">
        <is>
          <t>PMPC-32</t>
        </is>
      </c>
      <c r="C49" s="9" t="inlineStr">
        <is>
          <t>Media Clippings &amp; Coverage Archive</t>
        </is>
      </c>
      <c r="D49" s="9" t="inlineStr">
        <is>
          <t>Archive all press clippings and digital media coverage</t>
        </is>
      </c>
      <c r="E49" s="10" t="inlineStr">
        <is>
          <t>Continuous</t>
        </is>
      </c>
    </row>
    <row r="50" ht="20" customHeight="1">
      <c r="B50" s="4" t="inlineStr">
        <is>
          <t>── MONITORING &amp; REPORTING ──</t>
        </is>
      </c>
    </row>
    <row r="51" ht="20" customHeight="1">
      <c r="B51" s="8" t="inlineStr">
        <is>
          <t>PMPC-33</t>
        </is>
      </c>
      <c r="C51" s="9" t="inlineStr">
        <is>
          <t>PMPC KPI Dashboard</t>
        </is>
      </c>
      <c r="D51" s="9" t="inlineStr">
        <is>
          <t>Track all media, publications and digital KPIs</t>
        </is>
      </c>
      <c r="E51" s="10" t="inlineStr">
        <is>
          <t>Monthly / Quarterly</t>
        </is>
      </c>
    </row>
    <row r="52" ht="20" customHeight="1">
      <c r="B52" s="5" t="inlineStr">
        <is>
          <t>PMPC-34</t>
        </is>
      </c>
      <c r="C52" s="6" t="inlineStr">
        <is>
          <t>PMPC Annual Report Compilation Form</t>
        </is>
      </c>
      <c r="D52" s="6" t="inlineStr">
        <is>
          <t>Year-end report for management &amp; accreditation</t>
        </is>
      </c>
      <c r="E52" s="7" t="inlineStr">
        <is>
          <t>Annual</t>
        </is>
      </c>
    </row>
    <row r="108">
      <c r="B108" s="11" t="inlineStr">
        <is>
          <t>• PMPC manages all institutional communication — publications, press, social media, branding, events coverage and student media.</t>
        </is>
      </c>
    </row>
    <row r="109">
      <c r="B109" s="11" t="inlineStr">
        <is>
          <t>• All press releases must be approved by the Principal / Director before dispatch. No unofficial statements to media.</t>
        </is>
      </c>
    </row>
    <row r="110">
      <c r="B110" s="11" t="inlineStr">
        <is>
          <t>• Publications data (books, journals, newsletters) feeds into NAAC AQAR Criteria III (Research), V (Student), VI (Governance).</t>
        </is>
      </c>
    </row>
    <row r="111">
      <c r="B111" s="11" t="inlineStr">
        <is>
          <t>• Social media analytics to be reviewed monthly by PMPC; annual performance report submitted to management.</t>
        </is>
      </c>
    </row>
    <row r="112">
      <c r="B112" s="11" t="inlineStr">
        <is>
          <t>• Brand guidelines must be followed in all external communications — logo misuse or unauthorised statements to be flagged.</t>
        </is>
      </c>
    </row>
    <row r="113">
      <c r="B113" s="11" t="inlineStr">
        <is>
          <t>• Crisis communication protocol must be activated within 2 hours of any sensitive incident — Chairperson/Principal to be notified first.</t>
        </is>
      </c>
    </row>
    <row r="114">
      <c r="B114" s="11" t="inlineStr">
        <is>
          <t>• All published content (print and digital) must pass plagiarism / IP check before release.</t>
        </is>
      </c>
    </row>
    <row r="115">
      <c r="B115" s="11" t="inlineStr">
        <is>
          <t>• Media coverage archive is essential for NAAC, NIRF and ranking-related evidence of institutional visibility.</t>
        </is>
      </c>
    </row>
  </sheetData>
  <mergeCells count="19">
    <mergeCell ref="B108:E108"/>
    <mergeCell ref="B40:E40"/>
    <mergeCell ref="B5:E5"/>
    <mergeCell ref="B36:E36"/>
    <mergeCell ref="B114:E114"/>
    <mergeCell ref="B110:E110"/>
    <mergeCell ref="B50:E50"/>
    <mergeCell ref="B113:E113"/>
    <mergeCell ref="B109:E109"/>
    <mergeCell ref="B3:E3"/>
    <mergeCell ref="B47:E47"/>
    <mergeCell ref="B115:E115"/>
    <mergeCell ref="B22:E22"/>
    <mergeCell ref="B43:E43"/>
    <mergeCell ref="B11:E11"/>
    <mergeCell ref="B2:E2"/>
    <mergeCell ref="B111:E111"/>
    <mergeCell ref="B29:E29"/>
    <mergeCell ref="B112:E1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PMPC-00: PRESS, MEDIA &amp; PUBLICATIONS COMMITTEE — COMPOSITION REGISTER</t>
        </is>
      </c>
    </row>
    <row r="3" ht="25" customHeight="1">
      <c r="B3" s="2" t="inlineStr">
        <is>
          <t>Institution: _________________________  A.Y.: _______  Constituted on: _______  Order No.: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</t>
        </is>
      </c>
      <c r="E4" s="13" t="inlineStr">
        <is>
          <t>Role in PMPC</t>
        </is>
      </c>
      <c r="F4" s="13" t="inlineStr">
        <is>
          <t>Expertise / Domain</t>
        </is>
      </c>
      <c r="G4" s="13" t="inlineStr">
        <is>
          <t>Email / Phone</t>
        </is>
      </c>
      <c r="H4" s="13" t="inlineStr">
        <is>
          <t>Term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Principal / Director / Dean Comm.</t>
        </is>
      </c>
      <c r="E5" s="14" t="inlineStr">
        <is>
          <t>Chairperson</t>
        </is>
      </c>
      <c r="F5" s="16" t="inlineStr">
        <is>
          <t>Media Strategy &amp; Approvals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Faculty – Media / Communication</t>
        </is>
      </c>
      <c r="E6" s="8" t="inlineStr">
        <is>
          <t>PMPC Coordinator</t>
        </is>
      </c>
      <c r="F6" s="10" t="inlineStr">
        <is>
          <t>Committee Coordination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Senior Faculty / Librarian</t>
        </is>
      </c>
      <c r="E7" s="14" t="inlineStr">
        <is>
          <t>Editor-in-Chief</t>
        </is>
      </c>
      <c r="F7" s="16" t="inlineStr">
        <is>
          <t>Publications Oversight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Faculty / Admin. (Media Liaison)</t>
        </is>
      </c>
      <c r="E8" s="8" t="inlineStr">
        <is>
          <t>Press Relations Officer</t>
        </is>
      </c>
      <c r="F8" s="10" t="inlineStr">
        <is>
          <t>Press &amp; Journalist Relations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ICT / Marketing Faculty / Staff</t>
        </is>
      </c>
      <c r="E9" s="14" t="inlineStr">
        <is>
          <t>Digital Media Manager</t>
        </is>
      </c>
      <c r="F9" s="16" t="inlineStr">
        <is>
          <t>Social Media &amp; Digital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Faculty / Graphic Designer</t>
        </is>
      </c>
      <c r="E10" s="8" t="inlineStr">
        <is>
          <t>Creative &amp; Design Head</t>
        </is>
      </c>
      <c r="F10" s="10" t="inlineStr">
        <is>
          <t>Visual Communication &amp; Branding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Faculty / Senior Staff</t>
        </is>
      </c>
      <c r="E11" s="14" t="inlineStr">
        <is>
          <t>Newsletter Editor</t>
        </is>
      </c>
      <c r="F11" s="16" t="inlineStr">
        <is>
          <t>Newsletter &amp; e-Publications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Faculty / Student Coordinator</t>
        </is>
      </c>
      <c r="E12" s="8" t="inlineStr">
        <is>
          <t>Photography Coordinator</t>
        </is>
      </c>
      <c r="F12" s="10" t="inlineStr">
        <is>
          <t>Photography &amp; Videography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Student Council (Media / Publications)</t>
        </is>
      </c>
      <c r="E13" s="14" t="inlineStr">
        <is>
          <t>Student Editor-in-Chief</t>
        </is>
      </c>
      <c r="F13" s="16" t="inlineStr">
        <is>
          <t>Student Publications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Student – Digital Media Cell</t>
        </is>
      </c>
      <c r="E14" s="8" t="inlineStr">
        <is>
          <t>Student Social Media Lead</t>
        </is>
      </c>
      <c r="F14" s="10" t="inlineStr">
        <is>
          <t>Student Social Media Content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Journalist / Media Professional</t>
        </is>
      </c>
      <c r="E15" s="14" t="inlineStr">
        <is>
          <t>External Media Expert</t>
        </is>
      </c>
      <c r="F15" s="16" t="inlineStr">
        <is>
          <t>External Media Perspective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Alumnus/a – Journalism / PR / Comm.</t>
        </is>
      </c>
      <c r="E16" s="8" t="inlineStr">
        <is>
          <t>Alumni Media Professional</t>
        </is>
      </c>
      <c r="F16" s="10" t="inlineStr">
        <is>
          <t>Alumni Media Connect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IQAC In-charge</t>
        </is>
      </c>
      <c r="E17" s="14" t="inlineStr">
        <is>
          <t>IQAC Coordinator (Ex-off.)</t>
        </is>
      </c>
      <c r="F17" s="16" t="inlineStr">
        <is>
          <t>Quality &amp; Accreditation</t>
        </is>
      </c>
      <c r="G17" s="15" t="inlineStr"/>
      <c r="H17" s="16" t="inlineStr"/>
      <c r="I17" s="16" t="inlineStr"/>
    </row>
    <row r="18" ht="22" customHeight="1">
      <c r="B18" s="8" t="n">
        <v>14</v>
      </c>
      <c r="C18" s="9" t="inlineStr"/>
      <c r="D18" s="9" t="inlineStr">
        <is>
          <t>Finance Officer</t>
        </is>
      </c>
      <c r="E18" s="8" t="inlineStr">
        <is>
          <t>Finance Officer (Ex-off.)</t>
        </is>
      </c>
      <c r="F18" s="10" t="inlineStr">
        <is>
          <t>Publications Budget</t>
        </is>
      </c>
      <c r="G18" s="9" t="inlineStr"/>
      <c r="H18" s="10" t="inlineStr"/>
      <c r="I18" s="10" t="inlineStr"/>
    </row>
    <row r="19" ht="22" customHeight="1"/>
    <row r="20" ht="20" customHeight="1">
      <c r="B20" s="17" t="inlineStr">
        <is>
          <t>PMPC meets minimum once per month. All major communications — press releases, social media campaigns, publication launches — require committee review and Chairperson approval.</t>
        </is>
      </c>
    </row>
    <row r="21" ht="22" customHeight="1"/>
    <row r="22" ht="22" customHeight="1"/>
    <row r="23" ht="22" customHeight="1"/>
    <row r="24" ht="22" customHeight="1"/>
    <row r="25" ht="22" customHeight="1"/>
  </sheetData>
  <mergeCells count="3">
    <mergeCell ref="B3:I3"/>
    <mergeCell ref="B2:I2"/>
    <mergeCell ref="B20:I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8" t="inlineStr">
        <is>
          <t>PMPC: MEETING NOTICE &amp; AGENDA</t>
        </is>
      </c>
    </row>
    <row r="3" ht="22" customHeight="1">
      <c r="B3" s="19" t="inlineStr">
        <is>
          <t>Meeting No.:</t>
        </is>
      </c>
      <c r="C3" s="9" t="n"/>
    </row>
    <row r="4" ht="22" customHeight="1">
      <c r="B4" s="19" t="inlineStr">
        <is>
          <t>Academic Year:</t>
        </is>
      </c>
      <c r="C4" s="9" t="n"/>
    </row>
    <row r="5" ht="22" customHeight="1">
      <c r="B5" s="19" t="inlineStr">
        <is>
          <t>Date:</t>
        </is>
      </c>
      <c r="C5" s="9" t="n"/>
    </row>
    <row r="6" ht="22" customHeight="1">
      <c r="B6" s="19" t="inlineStr">
        <is>
          <t>Time:</t>
        </is>
      </c>
      <c r="C6" s="9" t="n"/>
    </row>
    <row r="7" ht="22" customHeight="1">
      <c r="B7" s="19" t="inlineStr">
        <is>
          <t>Venue:</t>
        </is>
      </c>
      <c r="C7" s="9" t="n"/>
    </row>
    <row r="8" ht="22" customHeight="1">
      <c r="B8" s="19" t="inlineStr">
        <is>
          <t>Mode:</t>
        </is>
      </c>
      <c r="C8" s="9" t="n"/>
    </row>
    <row r="9" ht="22" customHeight="1">
      <c r="B9" s="19" t="inlineStr">
        <is>
          <t>Notice by:</t>
        </is>
      </c>
      <c r="C9" s="9" t="n"/>
    </row>
    <row r="10" ht="22" customHeight="1">
      <c r="B10" s="19" t="inlineStr">
        <is>
          <t>Notice Date:</t>
        </is>
      </c>
      <c r="C10" s="9" t="n"/>
    </row>
    <row r="11" ht="24" customHeight="1">
      <c r="B11" s="20" t="inlineStr">
        <is>
          <t>AGENDA ITEMS</t>
        </is>
      </c>
    </row>
    <row r="12" ht="24" customHeight="1">
      <c r="B12" s="13" t="inlineStr">
        <is>
          <t>Item
No.</t>
        </is>
      </c>
      <c r="C12" s="13" t="inlineStr">
        <is>
          <t>Agenda Item / Discussion Topic</t>
        </is>
      </c>
      <c r="D12" s="13" t="inlineStr">
        <is>
          <t>Presenter / Lead</t>
        </is>
      </c>
      <c r="E12" s="13" t="inlineStr">
        <is>
          <t>Duration (Min)</t>
        </is>
      </c>
    </row>
    <row r="13" ht="24" customHeight="1">
      <c r="B13" s="14" t="n">
        <v>1</v>
      </c>
      <c r="C13" s="15" t="inlineStr">
        <is>
          <t>Confirmation of minutes of previous PMPC meeting</t>
        </is>
      </c>
      <c r="D13" s="16" t="inlineStr"/>
      <c r="E13" s="16" t="inlineStr"/>
    </row>
    <row r="14" ht="24" customHeight="1">
      <c r="B14" s="8" t="n">
        <v>2</v>
      </c>
      <c r="C14" s="9" t="inlineStr">
        <is>
          <t>Action Taken Report on previous resolutions</t>
        </is>
      </c>
      <c r="D14" s="10" t="inlineStr"/>
      <c r="E14" s="10" t="inlineStr"/>
    </row>
    <row r="15" ht="24" customHeight="1">
      <c r="B15" s="14" t="n">
        <v>3</v>
      </c>
      <c r="C15" s="15" t="inlineStr">
        <is>
          <t>Publications calendar — progress review and upcoming editions</t>
        </is>
      </c>
      <c r="D15" s="16" t="inlineStr"/>
      <c r="E15" s="16" t="inlineStr"/>
    </row>
    <row r="16" ht="24" customHeight="1">
      <c r="B16" s="8" t="n">
        <v>4</v>
      </c>
      <c r="C16" s="9" t="inlineStr">
        <is>
          <t>Newsletter / magazine — content status and release schedule</t>
        </is>
      </c>
      <c r="D16" s="10" t="inlineStr"/>
      <c r="E16" s="10" t="inlineStr"/>
    </row>
    <row r="17" ht="24" customHeight="1">
      <c r="B17" s="14" t="n">
        <v>5</v>
      </c>
      <c r="C17" s="15" t="inlineStr">
        <is>
          <t>Press releases — issued since last meeting (review &amp; feedback)</t>
        </is>
      </c>
      <c r="D17" s="16" t="inlineStr"/>
      <c r="E17" s="16" t="inlineStr"/>
    </row>
    <row r="18" ht="24" customHeight="1">
      <c r="B18" s="8" t="n">
        <v>6</v>
      </c>
      <c r="C18" s="9" t="inlineStr">
        <is>
          <t>Media coverage — monitoring report and sentiment analysis</t>
        </is>
      </c>
      <c r="D18" s="10" t="inlineStr"/>
      <c r="E18" s="10" t="inlineStr"/>
    </row>
    <row r="19" ht="24" customHeight="1">
      <c r="B19" s="14" t="n">
        <v>7</v>
      </c>
      <c r="C19" s="15" t="inlineStr">
        <is>
          <t>Social media performance — analytics and content calendar</t>
        </is>
      </c>
      <c r="D19" s="16" t="inlineStr"/>
      <c r="E19" s="16" t="inlineStr"/>
    </row>
    <row r="20" ht="24" customHeight="1">
      <c r="B20" s="8" t="n">
        <v>8</v>
      </c>
      <c r="C20" s="9" t="inlineStr">
        <is>
          <t>Website content updates — news, events, achievements</t>
        </is>
      </c>
      <c r="D20" s="10" t="inlineStr"/>
      <c r="E20" s="10" t="inlineStr"/>
    </row>
    <row r="21" ht="24" customHeight="1">
      <c r="B21" s="14" t="n">
        <v>9</v>
      </c>
      <c r="C21" s="15" t="inlineStr">
        <is>
          <t>Photography / videography — event coverage completed</t>
        </is>
      </c>
      <c r="D21" s="16" t="inlineStr"/>
      <c r="E21" s="16" t="inlineStr"/>
    </row>
    <row r="22" ht="24" customHeight="1">
      <c r="B22" s="8" t="n">
        <v>10</v>
      </c>
      <c r="C22" s="9" t="inlineStr">
        <is>
          <t>Brand compliance — any violations or concerns</t>
        </is>
      </c>
      <c r="D22" s="10" t="inlineStr"/>
      <c r="E22" s="10" t="inlineStr"/>
    </row>
    <row r="23" ht="24" customHeight="1">
      <c r="B23" s="14" t="n">
        <v>11</v>
      </c>
      <c r="C23" s="15" t="inlineStr">
        <is>
          <t>Student media cell — activities and publications update</t>
        </is>
      </c>
      <c r="D23" s="16" t="inlineStr"/>
      <c r="E23" s="16" t="inlineStr"/>
    </row>
    <row r="24" ht="24" customHeight="1">
      <c r="B24" s="8" t="n">
        <v>12</v>
      </c>
      <c r="C24" s="9" t="inlineStr">
        <is>
          <t>New achievement coverage — faculty, students, institution</t>
        </is>
      </c>
      <c r="D24" s="10" t="inlineStr"/>
      <c r="E24" s="10" t="inlineStr"/>
    </row>
    <row r="25" ht="24" customHeight="1">
      <c r="B25" s="14" t="n">
        <v>13</v>
      </c>
      <c r="C25" s="15" t="inlineStr">
        <is>
          <t>Advertising and sponsored content — review</t>
        </is>
      </c>
      <c r="D25" s="16" t="inlineStr"/>
      <c r="E25" s="16" t="inlineStr"/>
    </row>
    <row r="26" ht="24" customHeight="1">
      <c r="B26" s="8" t="n">
        <v>14</v>
      </c>
      <c r="C26" s="9" t="inlineStr">
        <is>
          <t>Crisis communication — any incidents or pending issues</t>
        </is>
      </c>
      <c r="D26" s="10" t="inlineStr"/>
      <c r="E26" s="10" t="inlineStr"/>
    </row>
    <row r="27" ht="24" customHeight="1">
      <c r="B27" s="14" t="n">
        <v>15</v>
      </c>
      <c r="C27" s="15" t="inlineStr">
        <is>
          <t>Budget review — publications and media spend</t>
        </is>
      </c>
      <c r="D27" s="16" t="inlineStr"/>
      <c r="E27" s="16" t="inlineStr"/>
    </row>
    <row r="28" ht="24" customHeight="1">
      <c r="B28" s="8" t="n">
        <v>16</v>
      </c>
      <c r="C28" s="9" t="inlineStr">
        <is>
          <t>NAAC / NIRF / ranking media data — compilation status</t>
        </is>
      </c>
      <c r="D28" s="10" t="inlineStr"/>
      <c r="E28" s="10" t="inlineStr"/>
    </row>
    <row r="29" ht="24" customHeight="1">
      <c r="B29" s="14" t="n">
        <v>17</v>
      </c>
      <c r="C29" s="15" t="inlineStr">
        <is>
          <t>Upcoming events — coverage plan and media coordination</t>
        </is>
      </c>
      <c r="D29" s="16" t="inlineStr"/>
      <c r="E29" s="16" t="inlineStr"/>
    </row>
    <row r="30" ht="24" customHeight="1">
      <c r="B30" s="8" t="n">
        <v>18</v>
      </c>
      <c r="C30" s="9" t="inlineStr">
        <is>
          <t>Any Other Matter with Permission of Chairperson (AOMPC)</t>
        </is>
      </c>
      <c r="D30" s="10" t="inlineStr"/>
      <c r="E30" s="10" t="inlineStr"/>
    </row>
    <row r="31" ht="24" customHeight="1"/>
    <row r="32" ht="24" customHeight="1">
      <c r="B32" s="21" t="inlineStr">
        <is>
          <t>DISPATCH RECORD</t>
        </is>
      </c>
    </row>
    <row r="33" ht="24" customHeight="1">
      <c r="B33" s="22" t="inlineStr">
        <is>
          <t>Sl.</t>
        </is>
      </c>
      <c r="C33" s="22" t="inlineStr">
        <is>
          <t>Member Name &amp; Role</t>
        </is>
      </c>
      <c r="D33" s="22" t="inlineStr">
        <is>
          <t>Mode of Dispatch</t>
        </is>
      </c>
      <c r="E33" s="22" t="inlineStr">
        <is>
          <t>Date &amp; Acknowledgement</t>
        </is>
      </c>
    </row>
    <row r="34" ht="22" customHeight="1">
      <c r="B34" s="23" t="n"/>
      <c r="C34" s="23" t="n"/>
      <c r="D34" s="23" t="n"/>
      <c r="E34" s="23" t="n"/>
    </row>
    <row r="35" ht="22" customHeight="1">
      <c r="B35" s="10" t="n"/>
      <c r="C35" s="10" t="n"/>
      <c r="D35" s="10" t="n"/>
      <c r="E35" s="10" t="n"/>
    </row>
    <row r="36" ht="22" customHeight="1">
      <c r="B36" s="23" t="n"/>
      <c r="C36" s="23" t="n"/>
      <c r="D36" s="23" t="n"/>
      <c r="E36" s="23" t="n"/>
    </row>
    <row r="37" ht="22" customHeight="1">
      <c r="B37" s="10" t="n"/>
      <c r="C37" s="10" t="n"/>
      <c r="D37" s="10" t="n"/>
      <c r="E37" s="10" t="n"/>
    </row>
  </sheetData>
  <mergeCells count="11">
    <mergeCell ref="C5:E5"/>
    <mergeCell ref="C8:E8"/>
    <mergeCell ref="C9:E9"/>
    <mergeCell ref="C4:E4"/>
    <mergeCell ref="B32:E32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8" t="inlineStr">
        <is>
          <t>PMPC: ATTENDANCE &amp; QUORUM REGISTER</t>
        </is>
      </c>
    </row>
    <row r="3" ht="25" customHeight="1">
      <c r="B3" s="2" t="inlineStr">
        <is>
          <t>Meeting No.: _______  Date: _______  Total Strength: _______  Quorum Required (50%):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Role</t>
        </is>
      </c>
      <c r="E4" s="13" t="inlineStr">
        <is>
          <t>Mode
(Physical/VC)</t>
        </is>
      </c>
      <c r="F4" s="13" t="inlineStr">
        <is>
          <t>Present
(P/A)</t>
        </is>
      </c>
      <c r="G4" s="13" t="inlineStr">
        <is>
          <t>Proxy
(Y/N)</t>
        </is>
      </c>
      <c r="H4" s="13" t="inlineStr">
        <is>
          <t>Proxy Holder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>
      <c r="B19" s="14" t="n">
        <v>15</v>
      </c>
      <c r="C19" s="15" t="inlineStr"/>
      <c r="D19" s="15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>
      <c r="B20" s="8" t="n">
        <v>16</v>
      </c>
      <c r="C20" s="9" t="inlineStr"/>
      <c r="D20" s="9" t="inlineStr"/>
      <c r="E20" s="10" t="inlineStr">
        <is>
          <t>Physical</t>
        </is>
      </c>
      <c r="F20" s="10" t="inlineStr"/>
      <c r="G20" s="10" t="inlineStr">
        <is>
          <t>N</t>
        </is>
      </c>
      <c r="H20" s="10" t="inlineStr"/>
      <c r="I20" s="10" t="inlineStr"/>
    </row>
    <row r="21" ht="22" customHeight="1"/>
    <row r="22" ht="24" customHeight="1">
      <c r="B22" s="21" t="inlineStr">
        <is>
          <t>QUORUM VERIFICATION</t>
        </is>
      </c>
    </row>
    <row r="23" ht="22" customHeight="1">
      <c r="B23" s="24" t="inlineStr">
        <is>
          <t>Total PMPC Members</t>
        </is>
      </c>
      <c r="G23" s="25" t="inlineStr"/>
    </row>
    <row r="24" ht="22" customHeight="1">
      <c r="B24" s="26" t="inlineStr">
        <is>
          <t>Present (Physical)</t>
        </is>
      </c>
      <c r="G24" s="25">
        <f>COUNTIF(F5:F20,"P")</f>
        <v/>
      </c>
    </row>
    <row r="25" ht="22" customHeight="1">
      <c r="B25" s="24" t="inlineStr">
        <is>
          <t>Present (VC)</t>
        </is>
      </c>
      <c r="G25" s="25" t="inlineStr"/>
    </row>
    <row r="26" ht="22" customHeight="1">
      <c r="B26" s="26" t="inlineStr">
        <is>
          <t>Total Effective</t>
        </is>
      </c>
      <c r="G26" s="25">
        <f>IFERROR(C24+C25,"")</f>
        <v/>
      </c>
    </row>
    <row r="27" ht="22" customHeight="1">
      <c r="B27" s="24" t="inlineStr">
        <is>
          <t>Quorum Required (50%)</t>
        </is>
      </c>
      <c r="G27" s="25" t="inlineStr"/>
    </row>
    <row r="28" ht="22" customHeight="1">
      <c r="B28" s="26" t="inlineStr">
        <is>
          <t>Quorum Achieved?</t>
        </is>
      </c>
      <c r="G28" s="27">
        <f>IFERROR(IF(C26&gt;=C27,"YES — Meeting Valid","NO — Adjourned"),"")</f>
        <v/>
      </c>
    </row>
    <row r="29" ht="22" customHeight="1"/>
  </sheetData>
  <mergeCells count="15">
    <mergeCell ref="G24:I24"/>
    <mergeCell ref="G28:I28"/>
    <mergeCell ref="B24:F24"/>
    <mergeCell ref="G27:I27"/>
    <mergeCell ref="B2:I2"/>
    <mergeCell ref="B25:F25"/>
    <mergeCell ref="G23:I23"/>
    <mergeCell ref="B28:F28"/>
    <mergeCell ref="B3:I3"/>
    <mergeCell ref="B22:I22"/>
    <mergeCell ref="B23:F23"/>
    <mergeCell ref="G26:I26"/>
    <mergeCell ref="B26:F26"/>
    <mergeCell ref="B27:F27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8" t="inlineStr">
        <is>
          <t>PMPC: MEETING MINUTES &amp; RESOLUTIONS</t>
        </is>
      </c>
    </row>
    <row r="3" ht="25" customHeight="1">
      <c r="B3" s="2" t="inlineStr">
        <is>
          <t>Meeting No.: _______  Date: _______  Venue: _______  Chairperson: ___________________</t>
        </is>
      </c>
    </row>
    <row r="4" ht="24" customHeight="1">
      <c r="B4" s="28" t="inlineStr">
        <is>
          <t>DISCUSSION &amp; RESOLUTIONS</t>
        </is>
      </c>
    </row>
    <row r="5" ht="30" customHeight="1">
      <c r="B5" s="29" t="inlineStr">
        <is>
          <t>Resolution
No.</t>
        </is>
      </c>
      <c r="C5" s="29" t="inlineStr">
        <is>
          <t>Discussion &amp; Resolution</t>
        </is>
      </c>
      <c r="D5" s="29" t="inlineStr">
        <is>
          <t>Responsible</t>
        </is>
      </c>
      <c r="E5" s="29" t="inlineStr">
        <is>
          <t>Voting</t>
        </is>
      </c>
      <c r="F5" s="29" t="inlineStr">
        <is>
          <t>Target
Date</t>
        </is>
      </c>
      <c r="G5" s="29" t="inlineStr">
        <is>
          <t>Status</t>
        </is>
      </c>
    </row>
    <row r="6" ht="30" customHeight="1">
      <c r="B6" s="14" t="inlineStr">
        <is>
          <t>PMPC/RES/001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0" customHeight="1">
      <c r="B7" s="8" t="inlineStr">
        <is>
          <t>PMPC/RES/002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0" customHeight="1">
      <c r="B8" s="14" t="inlineStr">
        <is>
          <t>PMPC/RES/003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0" customHeight="1">
      <c r="B9" s="8" t="inlineStr">
        <is>
          <t>PMPC/RES/004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0" customHeight="1">
      <c r="B10" s="14" t="inlineStr">
        <is>
          <t>PMPC/RES/005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0" customHeight="1">
      <c r="B11" s="8" t="inlineStr">
        <is>
          <t>PMPC/RES/006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0" customHeight="1">
      <c r="B12" s="14" t="inlineStr">
        <is>
          <t>PMPC/RES/007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0" customHeight="1">
      <c r="B13" s="8" t="inlineStr">
        <is>
          <t>PMPC/RES/008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0" customHeight="1">
      <c r="B14" s="14" t="inlineStr">
        <is>
          <t>PMPC/RES/009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0" customHeight="1">
      <c r="B15" s="8" t="inlineStr">
        <is>
          <t>PMPC/RES/010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0" customHeight="1">
      <c r="B16" s="14" t="inlineStr">
        <is>
          <t>PMPC/RES/011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0" customHeight="1">
      <c r="B17" s="8" t="inlineStr">
        <is>
          <t>PMPC/RES/012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0" customHeight="1">
      <c r="B18" s="14" t="inlineStr">
        <is>
          <t>PMPC/RES/013</t>
        </is>
      </c>
      <c r="C18" s="15" t="inlineStr"/>
      <c r="D18" s="16" t="inlineStr"/>
      <c r="E18" s="16" t="inlineStr"/>
      <c r="F18" s="16" t="inlineStr"/>
      <c r="G18" s="16" t="inlineStr">
        <is>
          <t>Pending</t>
        </is>
      </c>
    </row>
    <row r="19" ht="30" customHeight="1">
      <c r="B19" s="8" t="inlineStr">
        <is>
          <t>PMPC/RES/014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30" t="inlineStr">
        <is>
          <t>Next Meeting: _______    Chairperson: ___________________    PMPC Coordinator: ___________________</t>
        </is>
      </c>
    </row>
    <row r="22" ht="30" customHeight="1"/>
    <row r="23" ht="30" customHeight="1"/>
    <row r="24" ht="30" customHeight="1"/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8" t="inlineStr">
        <is>
          <t>PMPC: ACTION TAKEN REPORT (ATR)</t>
        </is>
      </c>
    </row>
    <row r="3" ht="25" customHeight="1">
      <c r="B3" s="2" t="inlineStr">
        <is>
          <t>Current Meeting No.: _______  Date: _______  Previous Meeting Ref.: _______</t>
        </is>
      </c>
    </row>
    <row r="4" ht="25" customHeight="1">
      <c r="B4" s="31" t="inlineStr">
        <is>
          <t>Resolution
No.</t>
        </is>
      </c>
      <c r="C4" s="31" t="inlineStr">
        <is>
          <t>Resolution / Decision</t>
        </is>
      </c>
      <c r="D4" s="31" t="inlineStr">
        <is>
          <t>Action Required</t>
        </is>
      </c>
      <c r="E4" s="31" t="inlineStr">
        <is>
          <t>Responsible</t>
        </is>
      </c>
      <c r="F4" s="31" t="inlineStr">
        <is>
          <t>Target
Date</t>
        </is>
      </c>
      <c r="G4" s="31" t="inlineStr">
        <is>
          <t>Completion
Date</t>
        </is>
      </c>
      <c r="H4" s="31" t="inlineStr">
        <is>
          <t>Status</t>
        </is>
      </c>
    </row>
    <row r="5" ht="26" customHeight="1">
      <c r="B5" s="32" t="inlineStr">
        <is>
          <t>PMPC/RES/001</t>
        </is>
      </c>
      <c r="C5" s="33" t="inlineStr"/>
      <c r="D5" s="33" t="inlineStr"/>
      <c r="E5" s="34" t="inlineStr"/>
      <c r="F5" s="34" t="inlineStr"/>
      <c r="G5" s="34" t="inlineStr"/>
      <c r="H5" s="33" t="inlineStr">
        <is>
          <t>In Progress</t>
        </is>
      </c>
    </row>
    <row r="6" ht="26" customHeight="1">
      <c r="B6" s="8" t="inlineStr">
        <is>
          <t>PMPC/RES/002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2" t="inlineStr">
        <is>
          <t>PMPC/RES/003</t>
        </is>
      </c>
      <c r="C7" s="33" t="inlineStr"/>
      <c r="D7" s="33" t="inlineStr"/>
      <c r="E7" s="34" t="inlineStr"/>
      <c r="F7" s="34" t="inlineStr"/>
      <c r="G7" s="34" t="inlineStr"/>
      <c r="H7" s="33" t="inlineStr">
        <is>
          <t>In Progress</t>
        </is>
      </c>
    </row>
    <row r="8" ht="26" customHeight="1">
      <c r="B8" s="8" t="inlineStr">
        <is>
          <t>PMPC/RES/004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32" t="inlineStr">
        <is>
          <t>PMPC/RES/005</t>
        </is>
      </c>
      <c r="C9" s="33" t="inlineStr"/>
      <c r="D9" s="33" t="inlineStr"/>
      <c r="E9" s="34" t="inlineStr"/>
      <c r="F9" s="34" t="inlineStr"/>
      <c r="G9" s="34" t="inlineStr"/>
      <c r="H9" s="33" t="inlineStr">
        <is>
          <t>In Progress</t>
        </is>
      </c>
    </row>
    <row r="10" ht="26" customHeight="1">
      <c r="B10" s="8" t="inlineStr">
        <is>
          <t>PMPC/RES/006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32" t="inlineStr">
        <is>
          <t>PMPC/RES/007</t>
        </is>
      </c>
      <c r="C11" s="33" t="inlineStr"/>
      <c r="D11" s="33" t="inlineStr"/>
      <c r="E11" s="34" t="inlineStr"/>
      <c r="F11" s="34" t="inlineStr"/>
      <c r="G11" s="34" t="inlineStr"/>
      <c r="H11" s="33" t="inlineStr">
        <is>
          <t>In Progress</t>
        </is>
      </c>
    </row>
    <row r="12" ht="26" customHeight="1">
      <c r="B12" s="8" t="inlineStr">
        <is>
          <t>PMPC/RES/008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32" t="inlineStr">
        <is>
          <t>PMPC/RES/009</t>
        </is>
      </c>
      <c r="C13" s="33" t="inlineStr"/>
      <c r="D13" s="33" t="inlineStr"/>
      <c r="E13" s="34" t="inlineStr"/>
      <c r="F13" s="34" t="inlineStr"/>
      <c r="G13" s="34" t="inlineStr"/>
      <c r="H13" s="33" t="inlineStr">
        <is>
          <t>In Progress</t>
        </is>
      </c>
    </row>
    <row r="14" ht="26" customHeight="1">
      <c r="B14" s="8" t="inlineStr">
        <is>
          <t>PMPC/RES/010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32" t="inlineStr">
        <is>
          <t>PMPC/RES/011</t>
        </is>
      </c>
      <c r="C15" s="33" t="inlineStr"/>
      <c r="D15" s="33" t="inlineStr"/>
      <c r="E15" s="34" t="inlineStr"/>
      <c r="F15" s="34" t="inlineStr"/>
      <c r="G15" s="34" t="inlineStr"/>
      <c r="H15" s="33" t="inlineStr">
        <is>
          <t>In Progress</t>
        </is>
      </c>
    </row>
    <row r="16" ht="26" customHeight="1">
      <c r="B16" s="8" t="inlineStr">
        <is>
          <t>PMPC/RES/012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32" t="inlineStr">
        <is>
          <t>PMPC/RES/013</t>
        </is>
      </c>
      <c r="C17" s="33" t="inlineStr"/>
      <c r="D17" s="33" t="inlineStr"/>
      <c r="E17" s="34" t="inlineStr"/>
      <c r="F17" s="34" t="inlineStr"/>
      <c r="G17" s="34" t="inlineStr"/>
      <c r="H17" s="33" t="inlineStr">
        <is>
          <t>In Progress</t>
        </is>
      </c>
    </row>
    <row r="18" ht="26" customHeight="1">
      <c r="B18" s="8" t="inlineStr">
        <is>
          <t>PMPC/RES/014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>
      <c r="B19" s="32" t="inlineStr">
        <is>
          <t>PMPC/RES/015</t>
        </is>
      </c>
      <c r="C19" s="33" t="inlineStr"/>
      <c r="D19" s="33" t="inlineStr"/>
      <c r="E19" s="34" t="inlineStr"/>
      <c r="F19" s="34" t="inlineStr"/>
      <c r="G19" s="34" t="inlineStr"/>
      <c r="H19" s="33" t="inlineStr">
        <is>
          <t>In Progress</t>
        </is>
      </c>
    </row>
    <row r="20" ht="26" customHeight="1"/>
    <row r="21" ht="24" customHeight="1">
      <c r="B21" s="35" t="inlineStr">
        <is>
          <t>ATR SUMMARY</t>
        </is>
      </c>
    </row>
    <row r="22" ht="26" customHeight="1">
      <c r="B22" s="36" t="inlineStr">
        <is>
          <t>Total Resolutions Under Review</t>
        </is>
      </c>
      <c r="F22" s="37">
        <f>COUNTA(B5:B19)</f>
        <v/>
      </c>
    </row>
    <row r="23" ht="26" customHeight="1">
      <c r="B23" s="26" t="inlineStr">
        <is>
          <t>Implemented</t>
        </is>
      </c>
      <c r="F23" s="38">
        <f>COUNTIF(H5:H19,"Implemented")</f>
        <v/>
      </c>
    </row>
    <row r="24" ht="26" customHeight="1">
      <c r="B24" s="36" t="inlineStr">
        <is>
          <t>In Progress</t>
        </is>
      </c>
      <c r="F24" s="37">
        <f>COUNTIF(H5:H19,"In Progress")</f>
        <v/>
      </c>
    </row>
    <row r="25" ht="26" customHeight="1">
      <c r="B25" s="26" t="inlineStr">
        <is>
          <t>Pending</t>
        </is>
      </c>
      <c r="F25" s="38">
        <f>COUNTIF(H5:H19,"Pending")</f>
        <v/>
      </c>
    </row>
    <row r="26" ht="26" customHeight="1">
      <c r="B26" s="36" t="inlineStr">
        <is>
          <t>Deferred</t>
        </is>
      </c>
      <c r="F26" s="37">
        <f>COUNTIF(H5:H19,"Deferred")</f>
        <v/>
      </c>
    </row>
    <row r="27" ht="26" customHeight="1">
      <c r="B27" s="26" t="inlineStr">
        <is>
          <t>Implementation Rate (%)</t>
        </is>
      </c>
      <c r="F27" s="38">
        <f>IFERROR(ROUND(C23/C22*100,1),"")</f>
        <v/>
      </c>
    </row>
  </sheetData>
  <mergeCells count="15">
    <mergeCell ref="F23:H23"/>
    <mergeCell ref="B23:E23"/>
    <mergeCell ref="B26:E26"/>
    <mergeCell ref="B27:E27"/>
    <mergeCell ref="F22:H22"/>
    <mergeCell ref="B21:H21"/>
    <mergeCell ref="F27:H27"/>
    <mergeCell ref="F26:H26"/>
    <mergeCell ref="B2:H2"/>
    <mergeCell ref="B25:E25"/>
    <mergeCell ref="B24:E24"/>
    <mergeCell ref="B3:H3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8" t="inlineStr">
        <is>
          <t>PMPC-02: ANNUAL PUBLICATIONS CALENDAR</t>
        </is>
      </c>
    </row>
    <row r="3" ht="25" customHeight="1">
      <c r="B3" s="2" t="inlineStr">
        <is>
          <t>A.Y.: _______  Editor-in-Chief: ___________________  Approved by: ___________________  Date: _______</t>
        </is>
      </c>
    </row>
    <row r="4" ht="25" customHeight="1">
      <c r="B4" s="13" t="inlineStr">
        <is>
          <t>Sl.</t>
        </is>
      </c>
      <c r="C4" s="13" t="inlineStr">
        <is>
          <t>Publication Title</t>
        </is>
      </c>
      <c r="D4" s="13" t="inlineStr">
        <is>
          <t>Type</t>
        </is>
      </c>
      <c r="E4" s="13" t="inlineStr">
        <is>
          <t>Frequency</t>
        </is>
      </c>
      <c r="F4" s="13" t="inlineStr">
        <is>
          <t>Target
Audience</t>
        </is>
      </c>
      <c r="G4" s="13" t="inlineStr">
        <is>
          <t>Draft
Deadline</t>
        </is>
      </c>
      <c r="H4" s="13" t="inlineStr">
        <is>
          <t>Review
Deadline</t>
        </is>
      </c>
      <c r="I4" s="13" t="inlineStr">
        <is>
          <t>Print /
Publish Date</t>
        </is>
      </c>
      <c r="J4" s="13" t="inlineStr">
        <is>
          <t>Budget
(₹)</t>
        </is>
      </c>
      <c r="K4" s="13" t="inlineStr">
        <is>
          <t>Status</t>
        </is>
      </c>
    </row>
    <row r="5" ht="22" customHeight="1">
      <c r="B5" s="14" t="n">
        <v>1</v>
      </c>
      <c r="C5" s="15" t="inlineStr">
        <is>
          <t>Institutional Newsletter</t>
        </is>
      </c>
      <c r="D5" s="16" t="inlineStr">
        <is>
          <t>Newsletter</t>
        </is>
      </c>
      <c r="E5" s="16" t="inlineStr">
        <is>
          <t>Quarterly</t>
        </is>
      </c>
      <c r="F5" s="16" t="inlineStr">
        <is>
          <t>All Stakeholders</t>
        </is>
      </c>
      <c r="G5" s="16" t="inlineStr"/>
      <c r="H5" s="16" t="inlineStr"/>
      <c r="I5" s="16" t="inlineStr"/>
      <c r="J5" s="16" t="inlineStr"/>
      <c r="K5" s="16" t="inlineStr">
        <is>
          <t>Planned</t>
        </is>
      </c>
    </row>
    <row r="6" ht="22" customHeight="1">
      <c r="B6" s="8" t="n">
        <v>2</v>
      </c>
      <c r="C6" s="9" t="inlineStr">
        <is>
          <t>Annual Magazine</t>
        </is>
      </c>
      <c r="D6" s="10" t="inlineStr">
        <is>
          <t>Magazine</t>
        </is>
      </c>
      <c r="E6" s="10" t="inlineStr">
        <is>
          <t>Annual</t>
        </is>
      </c>
      <c r="F6" s="10" t="inlineStr">
        <is>
          <t>Students, Alumni, Faculty</t>
        </is>
      </c>
      <c r="G6" s="10" t="inlineStr"/>
      <c r="H6" s="10" t="inlineStr"/>
      <c r="I6" s="10" t="inlineStr"/>
      <c r="J6" s="10" t="inlineStr"/>
      <c r="K6" s="10" t="inlineStr">
        <is>
          <t>Planned</t>
        </is>
      </c>
    </row>
    <row r="7" ht="22" customHeight="1">
      <c r="B7" s="14" t="n">
        <v>3</v>
      </c>
      <c r="C7" s="15" t="inlineStr">
        <is>
          <t>Research Journal / Proceedings</t>
        </is>
      </c>
      <c r="D7" s="16" t="inlineStr">
        <is>
          <t>Academic Journal</t>
        </is>
      </c>
      <c r="E7" s="16" t="inlineStr">
        <is>
          <t>Annual</t>
        </is>
      </c>
      <c r="F7" s="16" t="inlineStr">
        <is>
          <t>Researchers, Faculty</t>
        </is>
      </c>
      <c r="G7" s="16" t="inlineStr"/>
      <c r="H7" s="16" t="inlineStr"/>
      <c r="I7" s="16" t="inlineStr"/>
      <c r="J7" s="16" t="inlineStr"/>
      <c r="K7" s="16" t="inlineStr">
        <is>
          <t>Planned</t>
        </is>
      </c>
    </row>
    <row r="8" ht="22" customHeight="1">
      <c r="B8" s="8" t="n">
        <v>4</v>
      </c>
      <c r="C8" s="9" t="inlineStr">
        <is>
          <t>Student Literary Magazine</t>
        </is>
      </c>
      <c r="D8" s="10" t="inlineStr">
        <is>
          <t>Student Magazine</t>
        </is>
      </c>
      <c r="E8" s="10" t="inlineStr">
        <is>
          <t>Annual</t>
        </is>
      </c>
      <c r="F8" s="10" t="inlineStr">
        <is>
          <t>Students</t>
        </is>
      </c>
      <c r="G8" s="10" t="inlineStr"/>
      <c r="H8" s="10" t="inlineStr"/>
      <c r="I8" s="10" t="inlineStr"/>
      <c r="J8" s="10" t="inlineStr"/>
      <c r="K8" s="10" t="inlineStr">
        <is>
          <t>Planned</t>
        </is>
      </c>
    </row>
    <row r="9" ht="22" customHeight="1">
      <c r="B9" s="14" t="n">
        <v>5</v>
      </c>
      <c r="C9" s="15" t="inlineStr">
        <is>
          <t>Admission Brochure</t>
        </is>
      </c>
      <c r="D9" s="16" t="inlineStr">
        <is>
          <t>Brochure</t>
        </is>
      </c>
      <c r="E9" s="16" t="inlineStr">
        <is>
          <t>Annual</t>
        </is>
      </c>
      <c r="F9" s="16" t="inlineStr">
        <is>
          <t>Prospective Students</t>
        </is>
      </c>
      <c r="G9" s="16" t="inlineStr"/>
      <c r="H9" s="16" t="inlineStr"/>
      <c r="I9" s="16" t="inlineStr"/>
      <c r="J9" s="16" t="inlineStr"/>
      <c r="K9" s="16" t="inlineStr">
        <is>
          <t>Planned</t>
        </is>
      </c>
    </row>
    <row r="10" ht="22" customHeight="1">
      <c r="B10" s="8" t="n">
        <v>6</v>
      </c>
      <c r="C10" s="9" t="inlineStr">
        <is>
          <t>Placement Brochure</t>
        </is>
      </c>
      <c r="D10" s="10" t="inlineStr">
        <is>
          <t>Brochure</t>
        </is>
      </c>
      <c r="E10" s="10" t="inlineStr">
        <is>
          <t>Annual</t>
        </is>
      </c>
      <c r="F10" s="10" t="inlineStr">
        <is>
          <t>Industry Recruiters</t>
        </is>
      </c>
      <c r="G10" s="10" t="inlineStr"/>
      <c r="H10" s="10" t="inlineStr"/>
      <c r="I10" s="10" t="inlineStr"/>
      <c r="J10" s="10" t="inlineStr"/>
      <c r="K10" s="10" t="inlineStr">
        <is>
          <t>Planned</t>
        </is>
      </c>
    </row>
    <row r="11" ht="22" customHeight="1">
      <c r="B11" s="14" t="n">
        <v>7</v>
      </c>
      <c r="C11" s="15" t="inlineStr">
        <is>
          <t>Annual Report</t>
        </is>
      </c>
      <c r="D11" s="16" t="inlineStr">
        <is>
          <t>Report</t>
        </is>
      </c>
      <c r="E11" s="16" t="inlineStr">
        <is>
          <t>Annual</t>
        </is>
      </c>
      <c r="F11" s="16" t="inlineStr">
        <is>
          <t>Governing Body, IQAC</t>
        </is>
      </c>
      <c r="G11" s="16" t="inlineStr"/>
      <c r="H11" s="16" t="inlineStr"/>
      <c r="I11" s="16" t="inlineStr"/>
      <c r="J11" s="16" t="inlineStr"/>
      <c r="K11" s="16" t="inlineStr">
        <is>
          <t>Planned</t>
        </is>
      </c>
    </row>
    <row r="12" ht="22" customHeight="1">
      <c r="B12" s="8" t="n">
        <v>8</v>
      </c>
      <c r="C12" s="9" t="inlineStr">
        <is>
          <t>e-Newsletter (Digital)</t>
        </is>
      </c>
      <c r="D12" s="10" t="inlineStr">
        <is>
          <t>Digital Newsletter</t>
        </is>
      </c>
      <c r="E12" s="10" t="inlineStr">
        <is>
          <t>Monthly</t>
        </is>
      </c>
      <c r="F12" s="10" t="inlineStr">
        <is>
          <t>All Members</t>
        </is>
      </c>
      <c r="G12" s="10" t="inlineStr"/>
      <c r="H12" s="10" t="inlineStr"/>
      <c r="I12" s="10" t="inlineStr"/>
      <c r="J12" s="10" t="inlineStr"/>
      <c r="K12" s="10" t="inlineStr">
        <is>
          <t>Planned</t>
        </is>
      </c>
    </row>
    <row r="13" ht="22" customHeight="1">
      <c r="B13" s="14" t="n">
        <v>9</v>
      </c>
      <c r="C13" s="15" t="inlineStr">
        <is>
          <t>Department Newsletters</t>
        </is>
      </c>
      <c r="D13" s="16" t="inlineStr">
        <is>
          <t>Department Newsletter</t>
        </is>
      </c>
      <c r="E13" s="16" t="inlineStr">
        <is>
          <t>Semester</t>
        </is>
      </c>
      <c r="F13" s="16" t="inlineStr">
        <is>
          <t>Faculty, Students</t>
        </is>
      </c>
      <c r="G13" s="16" t="inlineStr"/>
      <c r="H13" s="16" t="inlineStr"/>
      <c r="I13" s="16" t="inlineStr"/>
      <c r="J13" s="16" t="inlineStr"/>
      <c r="K13" s="16" t="inlineStr">
        <is>
          <t>Planned</t>
        </is>
      </c>
    </row>
    <row r="14" ht="22" customHeight="1">
      <c r="B14" s="8" t="n">
        <v>10</v>
      </c>
      <c r="C14" s="9" t="inlineStr">
        <is>
          <t>Event Souvenir / Programme</t>
        </is>
      </c>
      <c r="D14" s="10" t="inlineStr">
        <is>
          <t>Souvenir</t>
        </is>
      </c>
      <c r="E14" s="10" t="inlineStr">
        <is>
          <t>Per Event</t>
        </is>
      </c>
      <c r="F14" s="10" t="inlineStr">
        <is>
          <t>Event Attendees</t>
        </is>
      </c>
      <c r="G14" s="10" t="inlineStr"/>
      <c r="H14" s="10" t="inlineStr"/>
      <c r="I14" s="10" t="inlineStr"/>
      <c r="J14" s="10" t="inlineStr"/>
      <c r="K14" s="10" t="inlineStr">
        <is>
          <t>Planned</t>
        </is>
      </c>
    </row>
    <row r="15" ht="22" customHeight="1">
      <c r="B15" s="14" t="n">
        <v>11</v>
      </c>
      <c r="C15" s="15" t="inlineStr">
        <is>
          <t>Alumni Magazine</t>
        </is>
      </c>
      <c r="D15" s="16" t="inlineStr">
        <is>
          <t>Alumni Publication</t>
        </is>
      </c>
      <c r="E15" s="16" t="inlineStr">
        <is>
          <t>Annual</t>
        </is>
      </c>
      <c r="F15" s="16" t="inlineStr">
        <is>
          <t>Alumni</t>
        </is>
      </c>
      <c r="G15" s="16" t="inlineStr"/>
      <c r="H15" s="16" t="inlineStr"/>
      <c r="I15" s="16" t="inlineStr"/>
      <c r="J15" s="16" t="inlineStr"/>
      <c r="K15" s="16" t="inlineStr">
        <is>
          <t>Planned</t>
        </is>
      </c>
    </row>
    <row r="16" ht="22" customHeight="1">
      <c r="B16" s="8" t="n">
        <v>12</v>
      </c>
      <c r="C16" s="9" t="inlineStr">
        <is>
          <t>Faculty Achievement Digest</t>
        </is>
      </c>
      <c r="D16" s="10" t="inlineStr">
        <is>
          <t>Faculty Publication</t>
        </is>
      </c>
      <c r="E16" s="10" t="inlineStr">
        <is>
          <t>Annual</t>
        </is>
      </c>
      <c r="F16" s="10" t="inlineStr">
        <is>
          <t>Internal &amp; External</t>
        </is>
      </c>
      <c r="G16" s="10" t="inlineStr"/>
      <c r="H16" s="10" t="inlineStr"/>
      <c r="I16" s="10" t="inlineStr"/>
      <c r="J16" s="10" t="inlineStr"/>
      <c r="K16" s="10" t="inlineStr">
        <is>
          <t>Planned</t>
        </is>
      </c>
    </row>
    <row r="17" ht="22" customHeight="1">
      <c r="B17" s="14" t="n">
        <v>13</v>
      </c>
      <c r="C17" s="15" t="inlineStr">
        <is>
          <t>Student Achievement Bulletin</t>
        </is>
      </c>
      <c r="D17" s="16" t="inlineStr">
        <is>
          <t>Achievement Bulletin</t>
        </is>
      </c>
      <c r="E17" s="16" t="inlineStr">
        <is>
          <t>Semester</t>
        </is>
      </c>
      <c r="F17" s="16" t="inlineStr">
        <is>
          <t>All Stakeholders</t>
        </is>
      </c>
      <c r="G17" s="16" t="inlineStr"/>
      <c r="H17" s="16" t="inlineStr"/>
      <c r="I17" s="16" t="inlineStr"/>
      <c r="J17" s="16" t="inlineStr"/>
      <c r="K17" s="16" t="inlineStr">
        <is>
          <t>Planned</t>
        </is>
      </c>
    </row>
    <row r="18" ht="22" customHeight="1"/>
    <row r="19" ht="24" customHeight="1">
      <c r="B19" s="35" t="inlineStr">
        <is>
          <t>MONTHLY PUBLICATIONS ACTIVITY PLANNER</t>
        </is>
      </c>
    </row>
    <row r="20" ht="22" customHeight="1">
      <c r="B20" s="31" t="inlineStr">
        <is>
          <t>Month</t>
        </is>
      </c>
      <c r="C20" s="31" t="inlineStr">
        <is>
          <t>Publication Activity</t>
        </is>
      </c>
      <c r="D20" s="31" t="inlineStr">
        <is>
          <t>Responsible</t>
        </is>
      </c>
      <c r="E20" s="31" t="inlineStr">
        <is>
          <t>Draft Due</t>
        </is>
      </c>
      <c r="F20" s="31" t="inlineStr">
        <is>
          <t>Review Due</t>
        </is>
      </c>
      <c r="G20" s="31" t="inlineStr">
        <is>
          <t>Release Date</t>
        </is>
      </c>
      <c r="H20" s="31" t="inlineStr">
        <is>
          <t>Approver</t>
        </is>
      </c>
      <c r="I20" s="31" t="inlineStr">
        <is>
          <t>Budget (₹)</t>
        </is>
      </c>
      <c r="J20" s="31" t="inlineStr">
        <is>
          <t>Status</t>
        </is>
      </c>
      <c r="K20" s="31" t="inlineStr">
        <is>
          <t>Remarks</t>
        </is>
      </c>
    </row>
    <row r="21" ht="22" customHeight="1">
      <c r="B21" s="32" t="inlineStr">
        <is>
          <t>April</t>
        </is>
      </c>
      <c r="C21" s="33" t="inlineStr"/>
      <c r="D21" s="34" t="inlineStr"/>
      <c r="E21" s="34" t="inlineStr"/>
      <c r="F21" s="34" t="inlineStr"/>
      <c r="G21" s="34" t="inlineStr"/>
      <c r="H21" s="34" t="inlineStr"/>
      <c r="I21" s="34" t="inlineStr"/>
      <c r="J21" s="34" t="inlineStr">
        <is>
          <t>Planned</t>
        </is>
      </c>
      <c r="K21" s="33" t="inlineStr"/>
    </row>
    <row r="22" ht="22" customHeight="1">
      <c r="B22" s="8" t="inlineStr">
        <is>
          <t>May</t>
        </is>
      </c>
      <c r="C22" s="9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>
        <is>
          <t>Planned</t>
        </is>
      </c>
      <c r="K22" s="9" t="inlineStr"/>
    </row>
    <row r="23" ht="22" customHeight="1">
      <c r="B23" s="32" t="inlineStr">
        <is>
          <t>June</t>
        </is>
      </c>
      <c r="C23" s="33" t="inlineStr"/>
      <c r="D23" s="34" t="inlineStr"/>
      <c r="E23" s="34" t="inlineStr"/>
      <c r="F23" s="34" t="inlineStr"/>
      <c r="G23" s="34" t="inlineStr"/>
      <c r="H23" s="34" t="inlineStr"/>
      <c r="I23" s="34" t="inlineStr"/>
      <c r="J23" s="34" t="inlineStr">
        <is>
          <t>Planned</t>
        </is>
      </c>
      <c r="K23" s="33" t="inlineStr"/>
    </row>
    <row r="24" ht="22" customHeight="1">
      <c r="B24" s="8" t="inlineStr">
        <is>
          <t>July</t>
        </is>
      </c>
      <c r="C24" s="9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>
        <is>
          <t>Planned</t>
        </is>
      </c>
      <c r="K24" s="9" t="inlineStr"/>
    </row>
    <row r="25" ht="22" customHeight="1">
      <c r="B25" s="32" t="inlineStr">
        <is>
          <t>August</t>
        </is>
      </c>
      <c r="C25" s="33" t="inlineStr"/>
      <c r="D25" s="34" t="inlineStr"/>
      <c r="E25" s="34" t="inlineStr"/>
      <c r="F25" s="34" t="inlineStr"/>
      <c r="G25" s="34" t="inlineStr"/>
      <c r="H25" s="34" t="inlineStr"/>
      <c r="I25" s="34" t="inlineStr"/>
      <c r="J25" s="34" t="inlineStr">
        <is>
          <t>Planned</t>
        </is>
      </c>
      <c r="K25" s="33" t="inlineStr"/>
    </row>
    <row r="26" ht="22" customHeight="1">
      <c r="B26" s="8" t="inlineStr">
        <is>
          <t>September</t>
        </is>
      </c>
      <c r="C26" s="9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>
        <is>
          <t>Planned</t>
        </is>
      </c>
      <c r="K26" s="9" t="inlineStr"/>
    </row>
    <row r="27" ht="22" customHeight="1">
      <c r="B27" s="32" t="inlineStr">
        <is>
          <t>October</t>
        </is>
      </c>
      <c r="C27" s="33" t="inlineStr"/>
      <c r="D27" s="34" t="inlineStr"/>
      <c r="E27" s="34" t="inlineStr"/>
      <c r="F27" s="34" t="inlineStr"/>
      <c r="G27" s="34" t="inlineStr"/>
      <c r="H27" s="34" t="inlineStr"/>
      <c r="I27" s="34" t="inlineStr"/>
      <c r="J27" s="34" t="inlineStr">
        <is>
          <t>Planned</t>
        </is>
      </c>
      <c r="K27" s="33" t="inlineStr"/>
    </row>
    <row r="28" ht="22" customHeight="1">
      <c r="B28" s="8" t="inlineStr">
        <is>
          <t>November</t>
        </is>
      </c>
      <c r="C28" s="9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>
        <is>
          <t>Planned</t>
        </is>
      </c>
      <c r="K28" s="9" t="inlineStr"/>
    </row>
    <row r="29" ht="22" customHeight="1">
      <c r="B29" s="32" t="inlineStr">
        <is>
          <t>December</t>
        </is>
      </c>
      <c r="C29" s="33" t="inlineStr"/>
      <c r="D29" s="34" t="inlineStr"/>
      <c r="E29" s="34" t="inlineStr"/>
      <c r="F29" s="34" t="inlineStr"/>
      <c r="G29" s="34" t="inlineStr"/>
      <c r="H29" s="34" t="inlineStr"/>
      <c r="I29" s="34" t="inlineStr"/>
      <c r="J29" s="34" t="inlineStr">
        <is>
          <t>Planned</t>
        </is>
      </c>
      <c r="K29" s="33" t="inlineStr"/>
    </row>
    <row r="30" ht="22" customHeight="1">
      <c r="B30" s="8" t="inlineStr">
        <is>
          <t>January</t>
        </is>
      </c>
      <c r="C30" s="9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>
        <is>
          <t>Planned</t>
        </is>
      </c>
      <c r="K30" s="9" t="inlineStr"/>
    </row>
    <row r="31" ht="22" customHeight="1">
      <c r="B31" s="32" t="inlineStr">
        <is>
          <t>February</t>
        </is>
      </c>
      <c r="C31" s="33" t="inlineStr"/>
      <c r="D31" s="34" t="inlineStr"/>
      <c r="E31" s="34" t="inlineStr"/>
      <c r="F31" s="34" t="inlineStr"/>
      <c r="G31" s="34" t="inlineStr"/>
      <c r="H31" s="34" t="inlineStr"/>
      <c r="I31" s="34" t="inlineStr"/>
      <c r="J31" s="34" t="inlineStr">
        <is>
          <t>Planned</t>
        </is>
      </c>
      <c r="K31" s="33" t="inlineStr"/>
    </row>
    <row r="32" ht="22" customHeight="1">
      <c r="B32" s="8" t="inlineStr">
        <is>
          <t>March</t>
        </is>
      </c>
      <c r="C32" s="9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>
        <is>
          <t>Planned</t>
        </is>
      </c>
      <c r="K32" s="9" t="inlineStr"/>
    </row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</sheetData>
  <mergeCells count="3">
    <mergeCell ref="B3:K3"/>
    <mergeCell ref="B19:K19"/>
    <mergeCell ref="B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K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8" t="inlineStr">
        <is>
          <t>PMPC-03: INSTITUTIONAL NEWSLETTER REGISTER</t>
        </is>
      </c>
    </row>
    <row r="3" ht="25" customHeight="1">
      <c r="B3" s="2" t="inlineStr">
        <is>
          <t>A.Y.: _______  Newsletter Editor: ___________________  PMPC Coordinator: ___________________</t>
        </is>
      </c>
    </row>
    <row r="4" ht="25" customHeight="1">
      <c r="B4" s="13" t="inlineStr">
        <is>
          <t>Issue
Ref.</t>
        </is>
      </c>
      <c r="C4" s="13" t="inlineStr">
        <is>
          <t>Newsletter Title</t>
        </is>
      </c>
      <c r="D4" s="13" t="inlineStr">
        <is>
          <t>Volume /
Issue No.</t>
        </is>
      </c>
      <c r="E4" s="13" t="inlineStr">
        <is>
          <t>Theme /
Focus</t>
        </is>
      </c>
      <c r="F4" s="13" t="inlineStr">
        <is>
          <t>Publication
Date</t>
        </is>
      </c>
      <c r="G4" s="13" t="inlineStr">
        <is>
          <t>Total
Pages</t>
        </is>
      </c>
      <c r="H4" s="13" t="inlineStr">
        <is>
          <t>Print
Copies</t>
        </is>
      </c>
      <c r="I4" s="13" t="inlineStr">
        <is>
          <t>Digital
Subscribers</t>
        </is>
      </c>
      <c r="J4" s="13" t="inlineStr">
        <is>
          <t>Feedback
Score (/5)</t>
        </is>
      </c>
      <c r="K4" s="13" t="inlineStr">
        <is>
          <t>Status</t>
        </is>
      </c>
    </row>
    <row r="5" ht="24" customHeight="1">
      <c r="B5" s="14" t="inlineStr">
        <is>
          <t>NL/2024/01</t>
        </is>
      </c>
      <c r="C5" s="15" t="inlineStr">
        <is>
          <t>Institutional Newsletter</t>
        </is>
      </c>
      <c r="D5" s="16" t="inlineStr">
        <is>
          <t>Vol.1 Issue 1</t>
        </is>
      </c>
      <c r="E5" s="15" t="inlineStr"/>
      <c r="F5" s="16" t="inlineStr"/>
      <c r="G5" s="16" t="inlineStr"/>
      <c r="H5" s="16" t="inlineStr"/>
      <c r="I5" s="16" t="inlineStr"/>
      <c r="J5" s="16" t="inlineStr"/>
      <c r="K5" s="16" t="inlineStr">
        <is>
          <t>Published</t>
        </is>
      </c>
    </row>
    <row r="6" ht="24" customHeight="1">
      <c r="B6" s="8" t="inlineStr">
        <is>
          <t>NL/2024/02</t>
        </is>
      </c>
      <c r="C6" s="9" t="inlineStr">
        <is>
          <t>Institutional Newsletter</t>
        </is>
      </c>
      <c r="D6" s="10" t="inlineStr">
        <is>
          <t>Vol.1 Issue 2</t>
        </is>
      </c>
      <c r="E6" s="9" t="inlineStr"/>
      <c r="F6" s="10" t="inlineStr"/>
      <c r="G6" s="10" t="inlineStr"/>
      <c r="H6" s="10" t="inlineStr"/>
      <c r="I6" s="10" t="inlineStr"/>
      <c r="J6" s="10" t="inlineStr"/>
      <c r="K6" s="10" t="inlineStr">
        <is>
          <t>Published</t>
        </is>
      </c>
    </row>
    <row r="7" ht="24" customHeight="1">
      <c r="B7" s="14" t="inlineStr">
        <is>
          <t>NL/2024/03</t>
        </is>
      </c>
      <c r="C7" s="15" t="inlineStr">
        <is>
          <t>Institutional Newsletter</t>
        </is>
      </c>
      <c r="D7" s="16" t="inlineStr">
        <is>
          <t>Vol.1 Issue 3</t>
        </is>
      </c>
      <c r="E7" s="15" t="inlineStr"/>
      <c r="F7" s="16" t="inlineStr"/>
      <c r="G7" s="16" t="inlineStr"/>
      <c r="H7" s="16" t="inlineStr"/>
      <c r="I7" s="16" t="inlineStr"/>
      <c r="J7" s="16" t="inlineStr"/>
      <c r="K7" s="16" t="inlineStr">
        <is>
          <t>Published</t>
        </is>
      </c>
    </row>
    <row r="8" ht="24" customHeight="1">
      <c r="B8" s="8" t="inlineStr">
        <is>
          <t>NL/2024/04</t>
        </is>
      </c>
      <c r="C8" s="9" t="inlineStr">
        <is>
          <t>Institutional Newsletter</t>
        </is>
      </c>
      <c r="D8" s="10" t="inlineStr">
        <is>
          <t>Vol.1 Issue 4</t>
        </is>
      </c>
      <c r="E8" s="9" t="inlineStr"/>
      <c r="F8" s="10" t="inlineStr"/>
      <c r="G8" s="10" t="inlineStr"/>
      <c r="H8" s="10" t="inlineStr"/>
      <c r="I8" s="10" t="inlineStr"/>
      <c r="J8" s="10" t="inlineStr"/>
      <c r="K8" s="10" t="inlineStr">
        <is>
          <t>Published</t>
        </is>
      </c>
    </row>
    <row r="9" ht="24" customHeight="1">
      <c r="B9" s="14" t="inlineStr">
        <is>
          <t>NL/2025/05</t>
        </is>
      </c>
      <c r="C9" s="15" t="inlineStr">
        <is>
          <t>Institutional Newsletter</t>
        </is>
      </c>
      <c r="D9" s="16" t="inlineStr">
        <is>
          <t>Vol.2 Issue 1</t>
        </is>
      </c>
      <c r="E9" s="15" t="inlineStr"/>
      <c r="F9" s="16" t="inlineStr"/>
      <c r="G9" s="16" t="inlineStr"/>
      <c r="H9" s="16" t="inlineStr"/>
      <c r="I9" s="16" t="inlineStr"/>
      <c r="J9" s="16" t="inlineStr"/>
      <c r="K9" s="16" t="inlineStr">
        <is>
          <t>Published</t>
        </is>
      </c>
    </row>
    <row r="10" ht="24" customHeight="1">
      <c r="B10" s="8" t="inlineStr">
        <is>
          <t>NL/2025/06</t>
        </is>
      </c>
      <c r="C10" s="9" t="inlineStr">
        <is>
          <t>Institutional Newsletter</t>
        </is>
      </c>
      <c r="D10" s="10" t="inlineStr">
        <is>
          <t>Vol.2 Issue 2</t>
        </is>
      </c>
      <c r="E10" s="9" t="inlineStr"/>
      <c r="F10" s="10" t="inlineStr"/>
      <c r="G10" s="10" t="inlineStr"/>
      <c r="H10" s="10" t="inlineStr"/>
      <c r="I10" s="10" t="inlineStr"/>
      <c r="J10" s="10" t="inlineStr"/>
      <c r="K10" s="10" t="inlineStr">
        <is>
          <t>Published</t>
        </is>
      </c>
    </row>
    <row r="11" ht="24" customHeight="1">
      <c r="B11" s="14" t="inlineStr">
        <is>
          <t>NL/2025/07</t>
        </is>
      </c>
      <c r="C11" s="15" t="inlineStr">
        <is>
          <t>Institutional Newsletter</t>
        </is>
      </c>
      <c r="D11" s="16" t="inlineStr">
        <is>
          <t>Vol.2 Issue 3</t>
        </is>
      </c>
      <c r="E11" s="15" t="inlineStr"/>
      <c r="F11" s="16" t="inlineStr"/>
      <c r="G11" s="16" t="inlineStr"/>
      <c r="H11" s="16" t="inlineStr"/>
      <c r="I11" s="16" t="inlineStr"/>
      <c r="J11" s="16" t="inlineStr"/>
      <c r="K11" s="16" t="inlineStr">
        <is>
          <t>Published</t>
        </is>
      </c>
    </row>
    <row r="12" ht="24" customHeight="1">
      <c r="B12" s="8" t="inlineStr">
        <is>
          <t>NL/2025/08</t>
        </is>
      </c>
      <c r="C12" s="9" t="inlineStr">
        <is>
          <t>Institutional Newsletter</t>
        </is>
      </c>
      <c r="D12" s="10" t="inlineStr">
        <is>
          <t>Vol.2 Issue 4</t>
        </is>
      </c>
      <c r="E12" s="9" t="inlineStr"/>
      <c r="F12" s="10" t="inlineStr"/>
      <c r="G12" s="10" t="inlineStr"/>
      <c r="H12" s="10" t="inlineStr"/>
      <c r="I12" s="10" t="inlineStr"/>
      <c r="J12" s="10" t="inlineStr"/>
      <c r="K12" s="10" t="inlineStr">
        <is>
          <t>Published</t>
        </is>
      </c>
    </row>
    <row r="13" ht="24" customHeight="1"/>
    <row r="14" ht="24" customHeight="1">
      <c r="B14" s="35" t="inlineStr">
        <is>
          <t>NEWSLETTER CONTENT PLANNING — PER EDITION</t>
        </is>
      </c>
    </row>
    <row r="15" ht="24" customHeight="1">
      <c r="B15" s="31" t="inlineStr">
        <is>
          <t>Section</t>
        </is>
      </c>
      <c r="C15" s="31" t="inlineStr">
        <is>
          <t>Section Title / Theme</t>
        </is>
      </c>
      <c r="D15" s="31" t="inlineStr">
        <is>
          <t>Content Type</t>
        </is>
      </c>
      <c r="E15" s="31" t="inlineStr">
        <is>
          <t>Author /
Contributor</t>
        </is>
      </c>
      <c r="F15" s="31" t="inlineStr">
        <is>
          <t>Dept. /
Unit</t>
        </is>
      </c>
      <c r="G15" s="31" t="inlineStr">
        <is>
          <t>Word
Count</t>
        </is>
      </c>
      <c r="H15" s="31" t="inlineStr">
        <is>
          <t>Photos /</t>
        </is>
      </c>
      <c r="I15" s="31" t="inlineStr">
        <is>
          <t>Draft
Received</t>
        </is>
      </c>
      <c r="J15" s="31" t="inlineStr">
        <is>
          <t>Reviewed</t>
        </is>
      </c>
      <c r="K15" s="31" t="inlineStr">
        <is>
          <t>Approved</t>
        </is>
      </c>
    </row>
    <row r="16" ht="24" customHeight="1">
      <c r="B16" s="36" t="inlineStr">
        <is>
          <t>From the Desk</t>
        </is>
      </c>
      <c r="C16" s="33" t="inlineStr">
        <is>
          <t>Message from Principal / Chairman</t>
        </is>
      </c>
      <c r="D16" s="34" t="inlineStr">
        <is>
          <t>Editorial</t>
        </is>
      </c>
      <c r="E16" s="34" t="inlineStr"/>
      <c r="F16" s="34" t="inlineStr"/>
      <c r="G16" s="34" t="inlineStr"/>
      <c r="H16" s="34" t="inlineStr"/>
      <c r="I16" s="34" t="inlineStr"/>
      <c r="J16" s="34" t="inlineStr"/>
      <c r="K16" s="34" t="inlineStr"/>
    </row>
    <row r="17" ht="24" customHeight="1">
      <c r="B17" s="26" t="inlineStr">
        <is>
          <t>Academic Excellence</t>
        </is>
      </c>
      <c r="C17" s="9" t="inlineStr">
        <is>
          <t>Faculty achievements, research news</t>
        </is>
      </c>
      <c r="D17" s="10" t="inlineStr">
        <is>
          <t>Feature</t>
        </is>
      </c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</row>
    <row r="18" ht="24" customHeight="1">
      <c r="B18" s="36" t="inlineStr">
        <is>
          <t>Student Stars</t>
        </is>
      </c>
      <c r="C18" s="33" t="inlineStr">
        <is>
          <t>Student awards, competitions, achievements</t>
        </is>
      </c>
      <c r="D18" s="34" t="inlineStr">
        <is>
          <t>Feature</t>
        </is>
      </c>
      <c r="E18" s="34" t="inlineStr"/>
      <c r="F18" s="34" t="inlineStr"/>
      <c r="G18" s="34" t="inlineStr"/>
      <c r="H18" s="34" t="inlineStr"/>
      <c r="I18" s="34" t="inlineStr"/>
      <c r="J18" s="34" t="inlineStr"/>
      <c r="K18" s="34" t="inlineStr"/>
    </row>
    <row r="19" ht="24" customHeight="1">
      <c r="B19" s="26" t="inlineStr">
        <is>
          <t>Campus Buzz</t>
        </is>
      </c>
      <c r="C19" s="9" t="inlineStr">
        <is>
          <t>Events, cultural activities, fests</t>
        </is>
      </c>
      <c r="D19" s="10" t="inlineStr">
        <is>
          <t>News</t>
        </is>
      </c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</row>
    <row r="20" ht="24" customHeight="1">
      <c r="B20" s="36" t="inlineStr">
        <is>
          <t>Alumni Spotlight</t>
        </is>
      </c>
      <c r="C20" s="33" t="inlineStr">
        <is>
          <t>Alumni success stories and interviews</t>
        </is>
      </c>
      <c r="D20" s="34" t="inlineStr">
        <is>
          <t>Feature</t>
        </is>
      </c>
      <c r="E20" s="34" t="inlineStr"/>
      <c r="F20" s="34" t="inlineStr"/>
      <c r="G20" s="34" t="inlineStr"/>
      <c r="H20" s="34" t="inlineStr"/>
      <c r="I20" s="34" t="inlineStr"/>
      <c r="J20" s="34" t="inlineStr"/>
      <c r="K20" s="34" t="inlineStr"/>
    </row>
    <row r="21" ht="24" customHeight="1">
      <c r="B21" s="26" t="inlineStr">
        <is>
          <t>Industry Connect</t>
        </is>
      </c>
      <c r="C21" s="9" t="inlineStr">
        <is>
          <t>Placement news, industry visits, MoUs</t>
        </is>
      </c>
      <c r="D21" s="10" t="inlineStr">
        <is>
          <t>News</t>
        </is>
      </c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</row>
    <row r="22" ht="24" customHeight="1">
      <c r="B22" s="36" t="inlineStr">
        <is>
          <t>Research Corner</t>
        </is>
      </c>
      <c r="C22" s="33" t="inlineStr">
        <is>
          <t>Publications, patents, projects</t>
        </is>
      </c>
      <c r="D22" s="34" t="inlineStr">
        <is>
          <t>Research Brief</t>
        </is>
      </c>
      <c r="E22" s="34" t="inlineStr"/>
      <c r="F22" s="34" t="inlineStr"/>
      <c r="G22" s="34" t="inlineStr"/>
      <c r="H22" s="34" t="inlineStr"/>
      <c r="I22" s="34" t="inlineStr"/>
      <c r="J22" s="34" t="inlineStr"/>
      <c r="K22" s="34" t="inlineStr"/>
    </row>
    <row r="23" ht="24" customHeight="1">
      <c r="B23" s="26" t="inlineStr">
        <is>
          <t>Sports &amp; Culture</t>
        </is>
      </c>
      <c r="C23" s="9" t="inlineStr">
        <is>
          <t>Sports achievements, cultural highlights</t>
        </is>
      </c>
      <c r="D23" s="10" t="inlineStr">
        <is>
          <t>News</t>
        </is>
      </c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</row>
    <row r="24" ht="24" customHeight="1">
      <c r="B24" s="36" t="inlineStr">
        <is>
          <t>Committee Updates</t>
        </is>
      </c>
      <c r="C24" s="33" t="inlineStr">
        <is>
          <t>ICC, IQAC, EDC, LAC etc. activities</t>
        </is>
      </c>
      <c r="D24" s="34" t="inlineStr">
        <is>
          <t>Update</t>
        </is>
      </c>
      <c r="E24" s="34" t="inlineStr"/>
      <c r="F24" s="34" t="inlineStr"/>
      <c r="G24" s="34" t="inlineStr"/>
      <c r="H24" s="34" t="inlineStr"/>
      <c r="I24" s="34" t="inlineStr"/>
      <c r="J24" s="34" t="inlineStr"/>
      <c r="K24" s="34" t="inlineStr"/>
    </row>
    <row r="25" ht="24" customHeight="1">
      <c r="B25" s="26" t="inlineStr">
        <is>
          <t>Photo Gallery</t>
        </is>
      </c>
      <c r="C25" s="9" t="inlineStr">
        <is>
          <t>Key events visual coverage</t>
        </is>
      </c>
      <c r="D25" s="10" t="inlineStr">
        <is>
          <t>Photos</t>
        </is>
      </c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</row>
    <row r="26" ht="24" customHeight="1">
      <c r="B26" s="36" t="inlineStr">
        <is>
          <t>Upcoming Events</t>
        </is>
      </c>
      <c r="C26" s="33" t="inlineStr">
        <is>
          <t>Events calendar for next quarter</t>
        </is>
      </c>
      <c r="D26" s="34" t="inlineStr">
        <is>
          <t>Calendar</t>
        </is>
      </c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</row>
    <row r="27" ht="24" customHeight="1">
      <c r="B27" s="26" t="inlineStr">
        <is>
          <t>Letters to Editor</t>
        </is>
      </c>
      <c r="C27" s="9" t="inlineStr">
        <is>
          <t>Feedback from students and faculty</t>
        </is>
      </c>
      <c r="D27" s="10" t="inlineStr">
        <is>
          <t>Letters</t>
        </is>
      </c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</row>
    <row r="28" ht="24" customHeight="1"/>
    <row r="29" ht="24" customHeight="1">
      <c r="B29" s="39" t="inlineStr">
        <is>
          <t>DISTRIBUTION RECORD</t>
        </is>
      </c>
    </row>
    <row r="30" ht="24" customHeight="1">
      <c r="B30" s="40" t="inlineStr">
        <is>
          <t>Channel</t>
        </is>
      </c>
      <c r="C30" s="40" t="inlineStr">
        <is>
          <t>Target Audience</t>
        </is>
      </c>
      <c r="D30" s="40" t="inlineStr">
        <is>
          <t>Quantity
/ Reach</t>
        </is>
      </c>
      <c r="E30" s="40" t="inlineStr">
        <is>
          <t>Date
Distributed</t>
        </is>
      </c>
      <c r="F30" s="40" t="inlineStr">
        <is>
          <t>Confirmed
Delivery</t>
        </is>
      </c>
      <c r="G30" s="40" t="inlineStr">
        <is>
          <t>Cost (₹)</t>
        </is>
      </c>
    </row>
    <row r="31" ht="24" customHeight="1">
      <c r="B31" s="41" t="inlineStr">
        <is>
          <t>Print — Internal (Students &amp; Faculty)</t>
        </is>
      </c>
      <c r="C31" s="42" t="inlineStr"/>
      <c r="D31" s="42" t="inlineStr"/>
      <c r="E31" s="42" t="inlineStr"/>
      <c r="F31" s="42" t="inlineStr"/>
      <c r="G31" s="42" t="inlineStr"/>
      <c r="H31" s="43" t="n"/>
      <c r="I31" s="43" t="n"/>
      <c r="J31" s="43" t="n"/>
      <c r="K31" s="43" t="n"/>
    </row>
    <row r="32" ht="24" customHeight="1">
      <c r="B32" s="26" t="inlineStr">
        <is>
          <t>Print — External (Alumni, Partners, Govt.)</t>
        </is>
      </c>
      <c r="C32" s="10" t="inlineStr"/>
      <c r="D32" s="10" t="inlineStr"/>
      <c r="E32" s="10" t="inlineStr"/>
      <c r="F32" s="10" t="inlineStr"/>
      <c r="G32" s="10" t="inlineStr"/>
      <c r="H32" s="44" t="n"/>
      <c r="I32" s="44" t="n"/>
      <c r="J32" s="44" t="n"/>
      <c r="K32" s="44" t="n"/>
    </row>
    <row r="33" ht="24" customHeight="1">
      <c r="B33" s="41" t="inlineStr">
        <is>
          <t>Email Newsletter</t>
        </is>
      </c>
      <c r="C33" s="42" t="inlineStr"/>
      <c r="D33" s="42" t="inlineStr"/>
      <c r="E33" s="42" t="inlineStr"/>
      <c r="F33" s="42" t="inlineStr"/>
      <c r="G33" s="42" t="inlineStr"/>
      <c r="H33" s="43" t="n"/>
      <c r="I33" s="43" t="n"/>
      <c r="J33" s="43" t="n"/>
      <c r="K33" s="43" t="n"/>
    </row>
    <row r="34" ht="24" customHeight="1">
      <c r="B34" s="26" t="inlineStr">
        <is>
          <t>WhatsApp Broadcast</t>
        </is>
      </c>
      <c r="C34" s="10" t="inlineStr"/>
      <c r="D34" s="10" t="inlineStr"/>
      <c r="E34" s="10" t="inlineStr"/>
      <c r="F34" s="10" t="inlineStr"/>
      <c r="G34" s="10" t="inlineStr"/>
      <c r="H34" s="44" t="n"/>
      <c r="I34" s="44" t="n"/>
      <c r="J34" s="44" t="n"/>
      <c r="K34" s="44" t="n"/>
    </row>
    <row r="35" ht="24" customHeight="1">
      <c r="B35" s="41" t="inlineStr">
        <is>
          <t>Website Upload</t>
        </is>
      </c>
      <c r="C35" s="42" t="inlineStr"/>
      <c r="D35" s="42" t="inlineStr"/>
      <c r="E35" s="42" t="inlineStr"/>
      <c r="F35" s="42" t="inlineStr"/>
      <c r="G35" s="42" t="inlineStr"/>
      <c r="H35" s="43" t="n"/>
      <c r="I35" s="43" t="n"/>
      <c r="J35" s="43" t="n"/>
      <c r="K35" s="43" t="n"/>
    </row>
    <row r="36" ht="24" customHeight="1">
      <c r="B36" s="26" t="inlineStr">
        <is>
          <t>Social Media Posts</t>
        </is>
      </c>
      <c r="C36" s="10" t="inlineStr"/>
      <c r="D36" s="10" t="inlineStr"/>
      <c r="E36" s="10" t="inlineStr"/>
      <c r="F36" s="10" t="inlineStr"/>
      <c r="G36" s="10" t="inlineStr"/>
      <c r="H36" s="44" t="n"/>
      <c r="I36" s="44" t="n"/>
      <c r="J36" s="44" t="n"/>
      <c r="K36" s="44" t="n"/>
    </row>
    <row r="37" ht="24" customHeight="1">
      <c r="B37" s="41" t="inlineStr">
        <is>
          <t>ISSUU / Flipboard (Digital)</t>
        </is>
      </c>
      <c r="C37" s="42" t="inlineStr"/>
      <c r="D37" s="42" t="inlineStr"/>
      <c r="E37" s="42" t="inlineStr"/>
      <c r="F37" s="42" t="inlineStr"/>
      <c r="G37" s="42" t="inlineStr"/>
      <c r="H37" s="43" t="n"/>
      <c r="I37" s="43" t="n"/>
      <c r="J37" s="43" t="n"/>
      <c r="K37" s="43" t="n"/>
    </row>
    <row r="38" ht="24" customHeight="1"/>
    <row r="39" ht="24" customHeight="1"/>
  </sheetData>
  <mergeCells count="4">
    <mergeCell ref="B29:K29"/>
    <mergeCell ref="B3:K3"/>
    <mergeCell ref="B14:K14"/>
    <mergeCell ref="B2:K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8" t="inlineStr">
        <is>
          <t>PMPC-09: CONTENT SUBMISSION &amp; EDITORIAL REVIEW LOG</t>
        </is>
      </c>
    </row>
    <row r="3" ht="25" customHeight="1">
      <c r="B3" s="2" t="inlineStr">
        <is>
          <t>A.Y.: _______  Editor-in-Chief: ___________________  Publication: ___________________</t>
        </is>
      </c>
    </row>
    <row r="4" ht="25" customHeight="1">
      <c r="B4" s="13" t="inlineStr">
        <is>
          <t>Sub.
Ref.</t>
        </is>
      </c>
      <c r="C4" s="13" t="inlineStr">
        <is>
          <t>Article / Content Title</t>
        </is>
      </c>
      <c r="D4" s="13" t="inlineStr">
        <is>
          <t>Author /
Contributor</t>
        </is>
      </c>
      <c r="E4" s="13" t="inlineStr">
        <is>
          <t>Dept. /
Category</t>
        </is>
      </c>
      <c r="F4" s="13" t="inlineStr">
        <is>
          <t>Date
Submitted</t>
        </is>
      </c>
      <c r="G4" s="13" t="inlineStr">
        <is>
          <t>Word
Count</t>
        </is>
      </c>
      <c r="H4" s="13" t="inlineStr">
        <is>
          <t>Plagiarism
Check %</t>
        </is>
      </c>
      <c r="I4" s="13" t="inlineStr">
        <is>
          <t>Editorial
Decision</t>
        </is>
      </c>
      <c r="J4" s="13" t="inlineStr">
        <is>
          <t>Publication
Issue</t>
        </is>
      </c>
    </row>
    <row r="5" ht="24" customHeight="1">
      <c r="B5" s="14" t="inlineStr">
        <is>
          <t>SUB/2024/001</t>
        </is>
      </c>
      <c r="C5" s="15" t="inlineStr"/>
      <c r="D5" s="15" t="inlineStr"/>
      <c r="E5" s="16" t="inlineStr">
        <is>
          <t>Feature Article</t>
        </is>
      </c>
      <c r="F5" s="16" t="inlineStr"/>
      <c r="G5" s="16" t="inlineStr"/>
      <c r="H5" s="16" t="inlineStr"/>
      <c r="I5" s="16" t="inlineStr">
        <is>
          <t>Accepted — No Changes</t>
        </is>
      </c>
      <c r="J5" s="16" t="inlineStr"/>
    </row>
    <row r="6" ht="24" customHeight="1">
      <c r="B6" s="8" t="inlineStr">
        <is>
          <t>SUB/2024/002</t>
        </is>
      </c>
      <c r="C6" s="9" t="inlineStr"/>
      <c r="D6" s="9" t="inlineStr"/>
      <c r="E6" s="10" t="inlineStr">
        <is>
          <t>Research Brief</t>
        </is>
      </c>
      <c r="F6" s="10" t="inlineStr"/>
      <c r="G6" s="10" t="inlineStr"/>
      <c r="H6" s="10" t="inlineStr"/>
      <c r="I6" s="10" t="inlineStr">
        <is>
          <t>Accepted — Minor Revision</t>
        </is>
      </c>
      <c r="J6" s="10" t="inlineStr"/>
    </row>
    <row r="7" ht="24" customHeight="1">
      <c r="B7" s="14" t="inlineStr">
        <is>
          <t>SUB/2024/003</t>
        </is>
      </c>
      <c r="C7" s="15" t="inlineStr"/>
      <c r="D7" s="15" t="inlineStr"/>
      <c r="E7" s="16" t="inlineStr">
        <is>
          <t>Student Article</t>
        </is>
      </c>
      <c r="F7" s="16" t="inlineStr"/>
      <c r="G7" s="16" t="inlineStr"/>
      <c r="H7" s="16" t="inlineStr"/>
      <c r="I7" s="16" t="inlineStr">
        <is>
          <t>Major Revision Required</t>
        </is>
      </c>
      <c r="J7" s="16" t="inlineStr"/>
    </row>
    <row r="8" ht="24" customHeight="1">
      <c r="B8" s="8" t="inlineStr">
        <is>
          <t>SUB/2024/004</t>
        </is>
      </c>
      <c r="C8" s="9" t="inlineStr"/>
      <c r="D8" s="9" t="inlineStr"/>
      <c r="E8" s="10" t="inlineStr">
        <is>
          <t>Faculty Achievement</t>
        </is>
      </c>
      <c r="F8" s="10" t="inlineStr"/>
      <c r="G8" s="10" t="inlineStr"/>
      <c r="H8" s="10" t="inlineStr"/>
      <c r="I8" s="10" t="inlineStr">
        <is>
          <t>Rejected — Explain to Author</t>
        </is>
      </c>
      <c r="J8" s="10" t="inlineStr"/>
    </row>
    <row r="9" ht="24" customHeight="1">
      <c r="B9" s="14" t="inlineStr">
        <is>
          <t>SUB/2024/005</t>
        </is>
      </c>
      <c r="C9" s="15" t="inlineStr"/>
      <c r="D9" s="15" t="inlineStr"/>
      <c r="E9" s="16" t="inlineStr">
        <is>
          <t>News Report</t>
        </is>
      </c>
      <c r="F9" s="16" t="inlineStr"/>
      <c r="G9" s="16" t="inlineStr"/>
      <c r="H9" s="16" t="inlineStr"/>
      <c r="I9" s="16" t="inlineStr">
        <is>
          <t>Deferred to Next Issue</t>
        </is>
      </c>
      <c r="J9" s="16" t="inlineStr"/>
    </row>
    <row r="10" ht="24" customHeight="1">
      <c r="B10" s="8" t="inlineStr">
        <is>
          <t>SUB/2024/006</t>
        </is>
      </c>
      <c r="C10" s="9" t="inlineStr"/>
      <c r="D10" s="9" t="inlineStr"/>
      <c r="E10" s="10" t="inlineStr">
        <is>
          <t>Opinion / Editorial</t>
        </is>
      </c>
      <c r="F10" s="10" t="inlineStr"/>
      <c r="G10" s="10" t="inlineStr"/>
      <c r="H10" s="10" t="inlineStr"/>
      <c r="I10" s="10" t="inlineStr">
        <is>
          <t>Sent for Peer Review</t>
        </is>
      </c>
      <c r="J10" s="10" t="inlineStr"/>
    </row>
    <row r="11" ht="24" customHeight="1">
      <c r="B11" s="14" t="inlineStr">
        <is>
          <t>SUB/2024/007</t>
        </is>
      </c>
      <c r="C11" s="15" t="inlineStr"/>
      <c r="D11" s="15" t="inlineStr"/>
      <c r="E11" s="16" t="inlineStr">
        <is>
          <t>Photo Essay</t>
        </is>
      </c>
      <c r="F11" s="16" t="inlineStr"/>
      <c r="G11" s="16" t="inlineStr"/>
      <c r="H11" s="16" t="inlineStr"/>
      <c r="I11" s="16" t="inlineStr">
        <is>
          <t>Accepted — No Changes</t>
        </is>
      </c>
      <c r="J11" s="16" t="inlineStr"/>
    </row>
    <row r="12" ht="24" customHeight="1">
      <c r="B12" s="8" t="inlineStr">
        <is>
          <t>SUB/2024/008</t>
        </is>
      </c>
      <c r="C12" s="9" t="inlineStr"/>
      <c r="D12" s="9" t="inlineStr"/>
      <c r="E12" s="10" t="inlineStr">
        <is>
          <t>Event Report</t>
        </is>
      </c>
      <c r="F12" s="10" t="inlineStr"/>
      <c r="G12" s="10" t="inlineStr"/>
      <c r="H12" s="10" t="inlineStr"/>
      <c r="I12" s="10" t="inlineStr">
        <is>
          <t>Accepted — Minor Revision</t>
        </is>
      </c>
      <c r="J12" s="10" t="inlineStr"/>
    </row>
    <row r="13" ht="24" customHeight="1">
      <c r="B13" s="14" t="inlineStr">
        <is>
          <t>SUB/2024/009</t>
        </is>
      </c>
      <c r="C13" s="15" t="inlineStr"/>
      <c r="D13" s="15" t="inlineStr"/>
      <c r="E13" s="16" t="inlineStr">
        <is>
          <t>Alumni Story</t>
        </is>
      </c>
      <c r="F13" s="16" t="inlineStr"/>
      <c r="G13" s="16" t="inlineStr"/>
      <c r="H13" s="16" t="inlineStr"/>
      <c r="I13" s="16" t="inlineStr">
        <is>
          <t>Major Revision Required</t>
        </is>
      </c>
      <c r="J13" s="16" t="inlineStr"/>
    </row>
    <row r="14" ht="24" customHeight="1">
      <c r="B14" s="8" t="inlineStr">
        <is>
          <t>SUB/2024/010</t>
        </is>
      </c>
      <c r="C14" s="9" t="inlineStr"/>
      <c r="D14" s="9" t="inlineStr"/>
      <c r="E14" s="10" t="inlineStr">
        <is>
          <t>Interview</t>
        </is>
      </c>
      <c r="F14" s="10" t="inlineStr"/>
      <c r="G14" s="10" t="inlineStr"/>
      <c r="H14" s="10" t="inlineStr"/>
      <c r="I14" s="10" t="inlineStr">
        <is>
          <t>Rejected — Explain to Author</t>
        </is>
      </c>
      <c r="J14" s="10" t="inlineStr"/>
    </row>
    <row r="15" ht="24" customHeight="1">
      <c r="B15" s="14" t="inlineStr">
        <is>
          <t>SUB/2024/011</t>
        </is>
      </c>
      <c r="C15" s="15" t="inlineStr"/>
      <c r="D15" s="15" t="inlineStr"/>
      <c r="E15" s="16" t="inlineStr">
        <is>
          <t>Feature Article</t>
        </is>
      </c>
      <c r="F15" s="16" t="inlineStr"/>
      <c r="G15" s="16" t="inlineStr"/>
      <c r="H15" s="16" t="inlineStr"/>
      <c r="I15" s="16" t="inlineStr">
        <is>
          <t>Deferred to Next Issue</t>
        </is>
      </c>
      <c r="J15" s="16" t="inlineStr"/>
    </row>
    <row r="16" ht="24" customHeight="1">
      <c r="B16" s="8" t="inlineStr">
        <is>
          <t>SUB/2025/012</t>
        </is>
      </c>
      <c r="C16" s="9" t="inlineStr"/>
      <c r="D16" s="9" t="inlineStr"/>
      <c r="E16" s="10" t="inlineStr">
        <is>
          <t>Research Brief</t>
        </is>
      </c>
      <c r="F16" s="10" t="inlineStr"/>
      <c r="G16" s="10" t="inlineStr"/>
      <c r="H16" s="10" t="inlineStr"/>
      <c r="I16" s="10" t="inlineStr">
        <is>
          <t>Sent for Peer Review</t>
        </is>
      </c>
      <c r="J16" s="10" t="inlineStr"/>
    </row>
    <row r="17" ht="24" customHeight="1">
      <c r="B17" s="14" t="inlineStr">
        <is>
          <t>SUB/2025/013</t>
        </is>
      </c>
      <c r="C17" s="15" t="inlineStr"/>
      <c r="D17" s="15" t="inlineStr"/>
      <c r="E17" s="16" t="inlineStr">
        <is>
          <t>Student Article</t>
        </is>
      </c>
      <c r="F17" s="16" t="inlineStr"/>
      <c r="G17" s="16" t="inlineStr"/>
      <c r="H17" s="16" t="inlineStr"/>
      <c r="I17" s="16" t="inlineStr">
        <is>
          <t>Accepted — No Changes</t>
        </is>
      </c>
      <c r="J17" s="16" t="inlineStr"/>
    </row>
    <row r="18" ht="24" customHeight="1">
      <c r="B18" s="8" t="inlineStr">
        <is>
          <t>SUB/2025/014</t>
        </is>
      </c>
      <c r="C18" s="9" t="inlineStr"/>
      <c r="D18" s="9" t="inlineStr"/>
      <c r="E18" s="10" t="inlineStr">
        <is>
          <t>Faculty Achievement</t>
        </is>
      </c>
      <c r="F18" s="10" t="inlineStr"/>
      <c r="G18" s="10" t="inlineStr"/>
      <c r="H18" s="10" t="inlineStr"/>
      <c r="I18" s="10" t="inlineStr">
        <is>
          <t>Accepted — Minor Revision</t>
        </is>
      </c>
      <c r="J18" s="10" t="inlineStr"/>
    </row>
    <row r="19" ht="24" customHeight="1">
      <c r="B19" s="14" t="inlineStr">
        <is>
          <t>SUB/2025/015</t>
        </is>
      </c>
      <c r="C19" s="15" t="inlineStr"/>
      <c r="D19" s="15" t="inlineStr"/>
      <c r="E19" s="16" t="inlineStr">
        <is>
          <t>News Report</t>
        </is>
      </c>
      <c r="F19" s="16" t="inlineStr"/>
      <c r="G19" s="16" t="inlineStr"/>
      <c r="H19" s="16" t="inlineStr"/>
      <c r="I19" s="16" t="inlineStr">
        <is>
          <t>Major Revision Required</t>
        </is>
      </c>
      <c r="J19" s="16" t="inlineStr"/>
    </row>
    <row r="20" ht="24" customHeight="1">
      <c r="B20" s="8" t="inlineStr">
        <is>
          <t>SUB/2025/016</t>
        </is>
      </c>
      <c r="C20" s="9" t="inlineStr"/>
      <c r="D20" s="9" t="inlineStr"/>
      <c r="E20" s="10" t="inlineStr">
        <is>
          <t>Opinion / Editorial</t>
        </is>
      </c>
      <c r="F20" s="10" t="inlineStr"/>
      <c r="G20" s="10" t="inlineStr"/>
      <c r="H20" s="10" t="inlineStr"/>
      <c r="I20" s="10" t="inlineStr">
        <is>
          <t>Rejected — Explain to Author</t>
        </is>
      </c>
      <c r="J20" s="10" t="inlineStr"/>
    </row>
    <row r="21" ht="24" customHeight="1">
      <c r="B21" s="14" t="inlineStr">
        <is>
          <t>SUB/2025/017</t>
        </is>
      </c>
      <c r="C21" s="15" t="inlineStr"/>
      <c r="D21" s="15" t="inlineStr"/>
      <c r="E21" s="16" t="inlineStr">
        <is>
          <t>Photo Essay</t>
        </is>
      </c>
      <c r="F21" s="16" t="inlineStr"/>
      <c r="G21" s="16" t="inlineStr"/>
      <c r="H21" s="16" t="inlineStr"/>
      <c r="I21" s="16" t="inlineStr">
        <is>
          <t>Deferred to Next Issue</t>
        </is>
      </c>
      <c r="J21" s="16" t="inlineStr"/>
    </row>
    <row r="22" ht="24" customHeight="1">
      <c r="B22" s="8" t="inlineStr">
        <is>
          <t>SUB/2025/018</t>
        </is>
      </c>
      <c r="C22" s="9" t="inlineStr"/>
      <c r="D22" s="9" t="inlineStr"/>
      <c r="E22" s="10" t="inlineStr">
        <is>
          <t>Event Report</t>
        </is>
      </c>
      <c r="F22" s="10" t="inlineStr"/>
      <c r="G22" s="10" t="inlineStr"/>
      <c r="H22" s="10" t="inlineStr"/>
      <c r="I22" s="10" t="inlineStr">
        <is>
          <t>Sent for Peer Review</t>
        </is>
      </c>
      <c r="J22" s="10" t="inlineStr"/>
    </row>
    <row r="23" ht="24" customHeight="1">
      <c r="B23" s="14" t="inlineStr">
        <is>
          <t>SUB/2025/019</t>
        </is>
      </c>
      <c r="C23" s="15" t="inlineStr"/>
      <c r="D23" s="15" t="inlineStr"/>
      <c r="E23" s="16" t="inlineStr">
        <is>
          <t>Alumni Story</t>
        </is>
      </c>
      <c r="F23" s="16" t="inlineStr"/>
      <c r="G23" s="16" t="inlineStr"/>
      <c r="H23" s="16" t="inlineStr"/>
      <c r="I23" s="16" t="inlineStr">
        <is>
          <t>Accepted — No Changes</t>
        </is>
      </c>
      <c r="J23" s="16" t="inlineStr"/>
    </row>
    <row r="24" ht="24" customHeight="1">
      <c r="B24" s="8" t="inlineStr">
        <is>
          <t>SUB/2025/020</t>
        </is>
      </c>
      <c r="C24" s="9" t="inlineStr"/>
      <c r="D24" s="9" t="inlineStr"/>
      <c r="E24" s="10" t="inlineStr">
        <is>
          <t>Interview</t>
        </is>
      </c>
      <c r="F24" s="10" t="inlineStr"/>
      <c r="G24" s="10" t="inlineStr"/>
      <c r="H24" s="10" t="inlineStr"/>
      <c r="I24" s="10" t="inlineStr">
        <is>
          <t>Accepted — Minor Revision</t>
        </is>
      </c>
      <c r="J24" s="10" t="inlineStr"/>
    </row>
    <row r="25" ht="24" customHeight="1">
      <c r="B25" s="14" t="inlineStr">
        <is>
          <t>SUB/2025/021</t>
        </is>
      </c>
      <c r="C25" s="15" t="inlineStr"/>
      <c r="D25" s="15" t="inlineStr"/>
      <c r="E25" s="16" t="inlineStr">
        <is>
          <t>Feature Article</t>
        </is>
      </c>
      <c r="F25" s="16" t="inlineStr"/>
      <c r="G25" s="16" t="inlineStr"/>
      <c r="H25" s="16" t="inlineStr"/>
      <c r="I25" s="16" t="inlineStr">
        <is>
          <t>Major Revision Required</t>
        </is>
      </c>
      <c r="J25" s="16" t="inlineStr"/>
    </row>
    <row r="26" ht="24" customHeight="1">
      <c r="B26" s="8" t="inlineStr">
        <is>
          <t>SUB/2025/022</t>
        </is>
      </c>
      <c r="C26" s="9" t="inlineStr"/>
      <c r="D26" s="9" t="inlineStr"/>
      <c r="E26" s="10" t="inlineStr">
        <is>
          <t>Research Brief</t>
        </is>
      </c>
      <c r="F26" s="10" t="inlineStr"/>
      <c r="G26" s="10" t="inlineStr"/>
      <c r="H26" s="10" t="inlineStr"/>
      <c r="I26" s="10" t="inlineStr">
        <is>
          <t>Rejected — Explain to Author</t>
        </is>
      </c>
      <c r="J26" s="10" t="inlineStr"/>
    </row>
    <row r="27" ht="24" customHeight="1"/>
    <row r="28" ht="24" customHeight="1">
      <c r="B28" s="35" t="inlineStr">
        <is>
          <t>EDITORIAL PIPELINE SUMMARY</t>
        </is>
      </c>
    </row>
    <row r="29" ht="24" customHeight="1">
      <c r="B29" s="45" t="inlineStr">
        <is>
          <t>Total Submissions Received</t>
        </is>
      </c>
      <c r="F29" s="37">
        <f>COUNTA(B5:B26)</f>
        <v/>
      </c>
    </row>
    <row r="30" ht="24" customHeight="1">
      <c r="B30" s="26" t="inlineStr">
        <is>
          <t>Accepted (No Changes)</t>
        </is>
      </c>
      <c r="F30" s="38">
        <f>COUNTIF(I5:I26,"Accepted — No Changes")</f>
        <v/>
      </c>
    </row>
    <row r="31" ht="24" customHeight="1">
      <c r="B31" s="45" t="inlineStr">
        <is>
          <t>Accepted (Revision)</t>
        </is>
      </c>
      <c r="F31" s="37">
        <f>COUNTIF(I5:I26,"Accepted — Minor Revision")</f>
        <v/>
      </c>
    </row>
    <row r="32" ht="24" customHeight="1">
      <c r="B32" s="26" t="inlineStr">
        <is>
          <t>Rejected</t>
        </is>
      </c>
      <c r="F32" s="38">
        <f>COUNTIF(I5:I26,"Rejected — Explain to Author")</f>
        <v/>
      </c>
    </row>
    <row r="33" ht="24" customHeight="1">
      <c r="B33" s="45" t="inlineStr">
        <is>
          <t>Pending Review</t>
        </is>
      </c>
      <c r="F33" s="37" t="inlineStr"/>
    </row>
    <row r="34" ht="24" customHeight="1">
      <c r="B34" s="26" t="inlineStr">
        <is>
          <t>Acceptance Rate (%)</t>
        </is>
      </c>
      <c r="F34" s="38">
        <f>IFERROR(ROUND((C30+C31)/C29*100,1),"")</f>
        <v/>
      </c>
    </row>
    <row r="35" ht="24" customHeight="1"/>
  </sheetData>
  <mergeCells count="15">
    <mergeCell ref="B31:E31"/>
    <mergeCell ref="F30:J30"/>
    <mergeCell ref="B3:J3"/>
    <mergeCell ref="F29:J29"/>
    <mergeCell ref="B28:J28"/>
    <mergeCell ref="F34:J34"/>
    <mergeCell ref="B30:E30"/>
    <mergeCell ref="B29:E29"/>
    <mergeCell ref="B33:E33"/>
    <mergeCell ref="F33:J33"/>
    <mergeCell ref="F31:J31"/>
    <mergeCell ref="B34:E34"/>
    <mergeCell ref="F32:J32"/>
    <mergeCell ref="B2:J2"/>
    <mergeCell ref="B32:E3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3" customWidth="1" min="11" max="11"/>
  </cols>
  <sheetData>
    <row r="1" ht="10" customHeight="1"/>
    <row r="2" ht="48" customHeight="1">
      <c r="B2" s="18" t="inlineStr">
        <is>
          <t>PMPC-11: MEDIA CONTACT DATABASE</t>
        </is>
      </c>
    </row>
    <row r="3" ht="25" customHeight="1">
      <c r="B3" s="2" t="inlineStr">
        <is>
          <t>A.Y.: _______  Press Relations Officer: ___________________  Last Updated: _______</t>
        </is>
      </c>
    </row>
    <row r="4" ht="25" customHeight="1">
      <c r="B4" s="13" t="inlineStr">
        <is>
          <t>Contact
Ref.</t>
        </is>
      </c>
      <c r="C4" s="13" t="inlineStr">
        <is>
          <t>Journalist / Editor Name</t>
        </is>
      </c>
      <c r="D4" s="13" t="inlineStr">
        <is>
          <t>Media House / Publication</t>
        </is>
      </c>
      <c r="E4" s="13" t="inlineStr">
        <is>
          <t>Beat / Coverage Area</t>
        </is>
      </c>
      <c r="F4" s="13" t="inlineStr">
        <is>
          <t>Type of
Media</t>
        </is>
      </c>
      <c r="G4" s="13" t="inlineStr">
        <is>
          <t>Email</t>
        </is>
      </c>
      <c r="H4" s="13" t="inlineStr">
        <is>
          <t>Mobile</t>
        </is>
      </c>
      <c r="I4" s="13" t="inlineStr">
        <is>
          <t>City</t>
        </is>
      </c>
      <c r="J4" s="13" t="inlineStr">
        <is>
          <t>Relationship
Level</t>
        </is>
      </c>
    </row>
    <row r="5" ht="22" customHeight="1">
      <c r="B5" s="14" t="inlineStr">
        <is>
          <t>MC/001</t>
        </is>
      </c>
      <c r="C5" s="15" t="inlineStr"/>
      <c r="D5" s="15" t="inlineStr"/>
      <c r="E5" s="16" t="inlineStr"/>
      <c r="F5" s="16" t="inlineStr">
        <is>
          <t>Daily Newspaper (National)</t>
        </is>
      </c>
      <c r="G5" s="15" t="inlineStr"/>
      <c r="H5" s="16" t="inlineStr"/>
      <c r="I5" s="16" t="inlineStr"/>
      <c r="J5" s="16" t="inlineStr">
        <is>
          <t>Primary — Regular Contact</t>
        </is>
      </c>
    </row>
    <row r="6" ht="22" customHeight="1">
      <c r="B6" s="8" t="inlineStr">
        <is>
          <t>MC/002</t>
        </is>
      </c>
      <c r="C6" s="9" t="inlineStr"/>
      <c r="D6" s="9" t="inlineStr"/>
      <c r="E6" s="10" t="inlineStr"/>
      <c r="F6" s="10" t="inlineStr">
        <is>
          <t>Daily Newspaper (Regional / State)</t>
        </is>
      </c>
      <c r="G6" s="9" t="inlineStr"/>
      <c r="H6" s="10" t="inlineStr"/>
      <c r="I6" s="10" t="inlineStr"/>
      <c r="J6" s="10" t="inlineStr">
        <is>
          <t>Secondary — Occasional Contact</t>
        </is>
      </c>
    </row>
    <row r="7" ht="22" customHeight="1">
      <c r="B7" s="14" t="inlineStr">
        <is>
          <t>MC/003</t>
        </is>
      </c>
      <c r="C7" s="15" t="inlineStr"/>
      <c r="D7" s="15" t="inlineStr"/>
      <c r="E7" s="16" t="inlineStr"/>
      <c r="F7" s="16" t="inlineStr">
        <is>
          <t>Online News Portal</t>
        </is>
      </c>
      <c r="G7" s="15" t="inlineStr"/>
      <c r="H7" s="16" t="inlineStr"/>
      <c r="I7" s="16" t="inlineStr"/>
      <c r="J7" s="16" t="inlineStr">
        <is>
          <t>New — Recently Added</t>
        </is>
      </c>
    </row>
    <row r="8" ht="22" customHeight="1">
      <c r="B8" s="8" t="inlineStr">
        <is>
          <t>MC/004</t>
        </is>
      </c>
      <c r="C8" s="9" t="inlineStr"/>
      <c r="D8" s="9" t="inlineStr"/>
      <c r="E8" s="10" t="inlineStr"/>
      <c r="F8" s="10" t="inlineStr">
        <is>
          <t>Education Magazine</t>
        </is>
      </c>
      <c r="G8" s="9" t="inlineStr"/>
      <c r="H8" s="10" t="inlineStr"/>
      <c r="I8" s="10" t="inlineStr"/>
      <c r="J8" s="10" t="inlineStr">
        <is>
          <t>Alumni Journalist</t>
        </is>
      </c>
    </row>
    <row r="9" ht="22" customHeight="1">
      <c r="B9" s="14" t="inlineStr">
        <is>
          <t>MC/005</t>
        </is>
      </c>
      <c r="C9" s="15" t="inlineStr"/>
      <c r="D9" s="15" t="inlineStr"/>
      <c r="E9" s="16" t="inlineStr"/>
      <c r="F9" s="16" t="inlineStr">
        <is>
          <t>TV Channel (News)</t>
        </is>
      </c>
      <c r="G9" s="15" t="inlineStr"/>
      <c r="H9" s="16" t="inlineStr"/>
      <c r="I9" s="16" t="inlineStr"/>
      <c r="J9" s="16" t="inlineStr">
        <is>
          <t>Former Media Partner</t>
        </is>
      </c>
    </row>
    <row r="10" ht="22" customHeight="1">
      <c r="B10" s="8" t="inlineStr">
        <is>
          <t>MC/006</t>
        </is>
      </c>
      <c r="C10" s="9" t="inlineStr"/>
      <c r="D10" s="9" t="inlineStr"/>
      <c r="E10" s="10" t="inlineStr"/>
      <c r="F10" s="10" t="inlineStr">
        <is>
          <t>TV Channel (Education)</t>
        </is>
      </c>
      <c r="G10" s="9" t="inlineStr"/>
      <c r="H10" s="10" t="inlineStr"/>
      <c r="I10" s="10" t="inlineStr"/>
      <c r="J10" s="10" t="inlineStr">
        <is>
          <t>Primary — Regular Contact</t>
        </is>
      </c>
    </row>
    <row r="11" ht="22" customHeight="1">
      <c r="B11" s="14" t="inlineStr">
        <is>
          <t>MC/007</t>
        </is>
      </c>
      <c r="C11" s="15" t="inlineStr"/>
      <c r="D11" s="15" t="inlineStr"/>
      <c r="E11" s="16" t="inlineStr"/>
      <c r="F11" s="16" t="inlineStr">
        <is>
          <t>Radio Station</t>
        </is>
      </c>
      <c r="G11" s="15" t="inlineStr"/>
      <c r="H11" s="16" t="inlineStr"/>
      <c r="I11" s="16" t="inlineStr"/>
      <c r="J11" s="16" t="inlineStr">
        <is>
          <t>Secondary — Occasional Contact</t>
        </is>
      </c>
    </row>
    <row r="12" ht="22" customHeight="1">
      <c r="B12" s="8" t="inlineStr">
        <is>
          <t>MC/008</t>
        </is>
      </c>
      <c r="C12" s="9" t="inlineStr"/>
      <c r="D12" s="9" t="inlineStr"/>
      <c r="E12" s="10" t="inlineStr"/>
      <c r="F12" s="10" t="inlineStr">
        <is>
          <t>Social Media Influencer</t>
        </is>
      </c>
      <c r="G12" s="9" t="inlineStr"/>
      <c r="H12" s="10" t="inlineStr"/>
      <c r="I12" s="10" t="inlineStr"/>
      <c r="J12" s="10" t="inlineStr">
        <is>
          <t>New — Recently Added</t>
        </is>
      </c>
    </row>
    <row r="13" ht="22" customHeight="1">
      <c r="B13" s="14" t="inlineStr">
        <is>
          <t>MC/009</t>
        </is>
      </c>
      <c r="C13" s="15" t="inlineStr"/>
      <c r="D13" s="15" t="inlineStr"/>
      <c r="E13" s="16" t="inlineStr"/>
      <c r="F13" s="16" t="inlineStr">
        <is>
          <t>YouTube Channel</t>
        </is>
      </c>
      <c r="G13" s="15" t="inlineStr"/>
      <c r="H13" s="16" t="inlineStr"/>
      <c r="I13" s="16" t="inlineStr"/>
      <c r="J13" s="16" t="inlineStr">
        <is>
          <t>Alumni Journalist</t>
        </is>
      </c>
    </row>
    <row r="14" ht="22" customHeight="1">
      <c r="B14" s="8" t="inlineStr">
        <is>
          <t>MC/010</t>
        </is>
      </c>
      <c r="C14" s="9" t="inlineStr"/>
      <c r="D14" s="9" t="inlineStr"/>
      <c r="E14" s="10" t="inlineStr"/>
      <c r="F14" s="10" t="inlineStr">
        <is>
          <t>News Agency (PTI/ANI/UNI)</t>
        </is>
      </c>
      <c r="G14" s="9" t="inlineStr"/>
      <c r="H14" s="10" t="inlineStr"/>
      <c r="I14" s="10" t="inlineStr"/>
      <c r="J14" s="10" t="inlineStr">
        <is>
          <t>Former Media Partner</t>
        </is>
      </c>
    </row>
    <row r="15" ht="22" customHeight="1">
      <c r="B15" s="14" t="inlineStr">
        <is>
          <t>MC/011</t>
        </is>
      </c>
      <c r="C15" s="15" t="inlineStr"/>
      <c r="D15" s="15" t="inlineStr"/>
      <c r="E15" s="16" t="inlineStr"/>
      <c r="F15" s="16" t="inlineStr">
        <is>
          <t>Wire Service</t>
        </is>
      </c>
      <c r="G15" s="15" t="inlineStr"/>
      <c r="H15" s="16" t="inlineStr"/>
      <c r="I15" s="16" t="inlineStr"/>
      <c r="J15" s="16" t="inlineStr">
        <is>
          <t>Primary — Regular Contact</t>
        </is>
      </c>
    </row>
    <row r="16" ht="22" customHeight="1">
      <c r="B16" s="8" t="inlineStr">
        <is>
          <t>MC/012</t>
        </is>
      </c>
      <c r="C16" s="9" t="inlineStr"/>
      <c r="D16" s="9" t="inlineStr"/>
      <c r="E16" s="10" t="inlineStr"/>
      <c r="F16" s="10" t="inlineStr">
        <is>
          <t>Freelance Journalist</t>
        </is>
      </c>
      <c r="G16" s="9" t="inlineStr"/>
      <c r="H16" s="10" t="inlineStr"/>
      <c r="I16" s="10" t="inlineStr"/>
      <c r="J16" s="10" t="inlineStr">
        <is>
          <t>Secondary — Occasional Contact</t>
        </is>
      </c>
    </row>
    <row r="17" ht="22" customHeight="1">
      <c r="B17" s="14" t="inlineStr">
        <is>
          <t>MC/013</t>
        </is>
      </c>
      <c r="C17" s="15" t="inlineStr"/>
      <c r="D17" s="15" t="inlineStr"/>
      <c r="E17" s="16" t="inlineStr"/>
      <c r="F17" s="16" t="inlineStr">
        <is>
          <t>Daily Newspaper (National)</t>
        </is>
      </c>
      <c r="G17" s="15" t="inlineStr"/>
      <c r="H17" s="16" t="inlineStr"/>
      <c r="I17" s="16" t="inlineStr"/>
      <c r="J17" s="16" t="inlineStr">
        <is>
          <t>New — Recently Added</t>
        </is>
      </c>
    </row>
    <row r="18" ht="22" customHeight="1">
      <c r="B18" s="8" t="inlineStr">
        <is>
          <t>MC/014</t>
        </is>
      </c>
      <c r="C18" s="9" t="inlineStr"/>
      <c r="D18" s="9" t="inlineStr"/>
      <c r="E18" s="10" t="inlineStr"/>
      <c r="F18" s="10" t="inlineStr">
        <is>
          <t>Daily Newspaper (Regional / State)</t>
        </is>
      </c>
      <c r="G18" s="9" t="inlineStr"/>
      <c r="H18" s="10" t="inlineStr"/>
      <c r="I18" s="10" t="inlineStr"/>
      <c r="J18" s="10" t="inlineStr">
        <is>
          <t>Alumni Journalist</t>
        </is>
      </c>
    </row>
    <row r="19" ht="22" customHeight="1">
      <c r="B19" s="14" t="inlineStr">
        <is>
          <t>MC/015</t>
        </is>
      </c>
      <c r="C19" s="15" t="inlineStr"/>
      <c r="D19" s="15" t="inlineStr"/>
      <c r="E19" s="16" t="inlineStr"/>
      <c r="F19" s="16" t="inlineStr">
        <is>
          <t>Online News Portal</t>
        </is>
      </c>
      <c r="G19" s="15" t="inlineStr"/>
      <c r="H19" s="16" t="inlineStr"/>
      <c r="I19" s="16" t="inlineStr"/>
      <c r="J19" s="16" t="inlineStr">
        <is>
          <t>Former Media Partner</t>
        </is>
      </c>
    </row>
    <row r="20" ht="22" customHeight="1">
      <c r="B20" s="8" t="inlineStr">
        <is>
          <t>MC/016</t>
        </is>
      </c>
      <c r="C20" s="9" t="inlineStr"/>
      <c r="D20" s="9" t="inlineStr"/>
      <c r="E20" s="10" t="inlineStr"/>
      <c r="F20" s="10" t="inlineStr">
        <is>
          <t>Education Magazine</t>
        </is>
      </c>
      <c r="G20" s="9" t="inlineStr"/>
      <c r="H20" s="10" t="inlineStr"/>
      <c r="I20" s="10" t="inlineStr"/>
      <c r="J20" s="10" t="inlineStr">
        <is>
          <t>Primary — Regular Contact</t>
        </is>
      </c>
    </row>
    <row r="21" ht="22" customHeight="1">
      <c r="B21" s="14" t="inlineStr">
        <is>
          <t>MC/017</t>
        </is>
      </c>
      <c r="C21" s="15" t="inlineStr"/>
      <c r="D21" s="15" t="inlineStr"/>
      <c r="E21" s="16" t="inlineStr"/>
      <c r="F21" s="16" t="inlineStr">
        <is>
          <t>TV Channel (News)</t>
        </is>
      </c>
      <c r="G21" s="15" t="inlineStr"/>
      <c r="H21" s="16" t="inlineStr"/>
      <c r="I21" s="16" t="inlineStr"/>
      <c r="J21" s="16" t="inlineStr">
        <is>
          <t>Secondary — Occasional Contact</t>
        </is>
      </c>
    </row>
    <row r="22" ht="22" customHeight="1">
      <c r="B22" s="8" t="inlineStr">
        <is>
          <t>MC/018</t>
        </is>
      </c>
      <c r="C22" s="9" t="inlineStr"/>
      <c r="D22" s="9" t="inlineStr"/>
      <c r="E22" s="10" t="inlineStr"/>
      <c r="F22" s="10" t="inlineStr">
        <is>
          <t>TV Channel (Education)</t>
        </is>
      </c>
      <c r="G22" s="9" t="inlineStr"/>
      <c r="H22" s="10" t="inlineStr"/>
      <c r="I22" s="10" t="inlineStr"/>
      <c r="J22" s="10" t="inlineStr">
        <is>
          <t>New — Recently Added</t>
        </is>
      </c>
    </row>
    <row r="23" ht="22" customHeight="1">
      <c r="B23" s="14" t="inlineStr">
        <is>
          <t>MC/019</t>
        </is>
      </c>
      <c r="C23" s="15" t="inlineStr"/>
      <c r="D23" s="15" t="inlineStr"/>
      <c r="E23" s="16" t="inlineStr"/>
      <c r="F23" s="16" t="inlineStr">
        <is>
          <t>Radio Station</t>
        </is>
      </c>
      <c r="G23" s="15" t="inlineStr"/>
      <c r="H23" s="16" t="inlineStr"/>
      <c r="I23" s="16" t="inlineStr"/>
      <c r="J23" s="16" t="inlineStr">
        <is>
          <t>Alumni Journalist</t>
        </is>
      </c>
    </row>
    <row r="24" ht="22" customHeight="1">
      <c r="B24" s="8" t="inlineStr">
        <is>
          <t>MC/020</t>
        </is>
      </c>
      <c r="C24" s="9" t="inlineStr"/>
      <c r="D24" s="9" t="inlineStr"/>
      <c r="E24" s="10" t="inlineStr"/>
      <c r="F24" s="10" t="inlineStr">
        <is>
          <t>Social Media Influencer</t>
        </is>
      </c>
      <c r="G24" s="9" t="inlineStr"/>
      <c r="H24" s="10" t="inlineStr"/>
      <c r="I24" s="10" t="inlineStr"/>
      <c r="J24" s="10" t="inlineStr">
        <is>
          <t>Former Media Partner</t>
        </is>
      </c>
    </row>
    <row r="25" ht="22" customHeight="1">
      <c r="B25" s="14" t="inlineStr">
        <is>
          <t>MC/021</t>
        </is>
      </c>
      <c r="C25" s="15" t="inlineStr"/>
      <c r="D25" s="15" t="inlineStr"/>
      <c r="E25" s="16" t="inlineStr"/>
      <c r="F25" s="16" t="inlineStr">
        <is>
          <t>YouTube Channel</t>
        </is>
      </c>
      <c r="G25" s="15" t="inlineStr"/>
      <c r="H25" s="16" t="inlineStr"/>
      <c r="I25" s="16" t="inlineStr"/>
      <c r="J25" s="16" t="inlineStr">
        <is>
          <t>Primary — Regular Contact</t>
        </is>
      </c>
    </row>
    <row r="26" ht="22" customHeight="1">
      <c r="B26" s="8" t="inlineStr">
        <is>
          <t>MC/022</t>
        </is>
      </c>
      <c r="C26" s="9" t="inlineStr"/>
      <c r="D26" s="9" t="inlineStr"/>
      <c r="E26" s="10" t="inlineStr"/>
      <c r="F26" s="10" t="inlineStr">
        <is>
          <t>News Agency (PTI/ANI/UNI)</t>
        </is>
      </c>
      <c r="G26" s="9" t="inlineStr"/>
      <c r="H26" s="10" t="inlineStr"/>
      <c r="I26" s="10" t="inlineStr"/>
      <c r="J26" s="10" t="inlineStr">
        <is>
          <t>Secondary — Occasional Contact</t>
        </is>
      </c>
    </row>
    <row r="27" ht="22" customHeight="1">
      <c r="B27" s="14" t="inlineStr">
        <is>
          <t>MC/023</t>
        </is>
      </c>
      <c r="C27" s="15" t="inlineStr"/>
      <c r="D27" s="15" t="inlineStr"/>
      <c r="E27" s="16" t="inlineStr"/>
      <c r="F27" s="16" t="inlineStr">
        <is>
          <t>Wire Service</t>
        </is>
      </c>
      <c r="G27" s="15" t="inlineStr"/>
      <c r="H27" s="16" t="inlineStr"/>
      <c r="I27" s="16" t="inlineStr"/>
      <c r="J27" s="16" t="inlineStr">
        <is>
          <t>New — Recently Added</t>
        </is>
      </c>
    </row>
    <row r="28" ht="22" customHeight="1">
      <c r="B28" s="8" t="inlineStr">
        <is>
          <t>MC/024</t>
        </is>
      </c>
      <c r="C28" s="9" t="inlineStr"/>
      <c r="D28" s="9" t="inlineStr"/>
      <c r="E28" s="10" t="inlineStr"/>
      <c r="F28" s="10" t="inlineStr">
        <is>
          <t>Freelance Journalist</t>
        </is>
      </c>
      <c r="G28" s="9" t="inlineStr"/>
      <c r="H28" s="10" t="inlineStr"/>
      <c r="I28" s="10" t="inlineStr"/>
      <c r="J28" s="10" t="inlineStr">
        <is>
          <t>Alumni Journalist</t>
        </is>
      </c>
    </row>
    <row r="29" ht="22" customHeight="1">
      <c r="B29" s="14" t="inlineStr">
        <is>
          <t>MC/025</t>
        </is>
      </c>
      <c r="C29" s="15" t="inlineStr"/>
      <c r="D29" s="15" t="inlineStr"/>
      <c r="E29" s="16" t="inlineStr"/>
      <c r="F29" s="16" t="inlineStr">
        <is>
          <t>Daily Newspaper (National)</t>
        </is>
      </c>
      <c r="G29" s="15" t="inlineStr"/>
      <c r="H29" s="16" t="inlineStr"/>
      <c r="I29" s="16" t="inlineStr"/>
      <c r="J29" s="16" t="inlineStr">
        <is>
          <t>Former Media Partner</t>
        </is>
      </c>
    </row>
    <row r="30" ht="22" customHeight="1">
      <c r="B30" s="8" t="inlineStr">
        <is>
          <t>MC/026</t>
        </is>
      </c>
      <c r="C30" s="9" t="inlineStr"/>
      <c r="D30" s="9" t="inlineStr"/>
      <c r="E30" s="10" t="inlineStr"/>
      <c r="F30" s="10" t="inlineStr">
        <is>
          <t>Daily Newspaper (Regional / State)</t>
        </is>
      </c>
      <c r="G30" s="9" t="inlineStr"/>
      <c r="H30" s="10" t="inlineStr"/>
      <c r="I30" s="10" t="inlineStr"/>
      <c r="J30" s="10" t="inlineStr">
        <is>
          <t>Primary — Regular Contact</t>
        </is>
      </c>
    </row>
    <row r="31" ht="22" customHeight="1"/>
    <row r="32" ht="24" customHeight="1">
      <c r="B32" s="35" t="inlineStr">
        <is>
          <t>MEDIA CONTACT SUMMARY BY TYPE</t>
        </is>
      </c>
    </row>
    <row r="33" ht="22" customHeight="1">
      <c r="B33" s="31" t="inlineStr">
        <is>
          <t>Media Type</t>
        </is>
      </c>
      <c r="C33" s="31" t="inlineStr">
        <is>
          <t>No. of Contacts</t>
        </is>
      </c>
      <c r="D33" s="31" t="inlineStr">
        <is>
          <t>Primary Contacts</t>
        </is>
      </c>
      <c r="E33" s="31" t="inlineStr">
        <is>
          <t>Recent Coverage</t>
        </is>
      </c>
      <c r="F33" s="31" t="inlineStr">
        <is>
          <t>Avg. Response Rate</t>
        </is>
      </c>
      <c r="G33" s="31" t="inlineStr">
        <is>
          <t>Best Contact</t>
        </is>
      </c>
    </row>
    <row r="34" ht="22" customHeight="1">
      <c r="B34" s="33" t="inlineStr">
        <is>
          <t>Print (National + Regional)</t>
        </is>
      </c>
      <c r="C34" s="34" t="inlineStr"/>
      <c r="D34" s="34" t="inlineStr"/>
      <c r="E34" s="34" t="inlineStr"/>
      <c r="F34" s="34" t="inlineStr"/>
      <c r="G34" s="33" t="inlineStr"/>
      <c r="H34" s="46" t="n"/>
      <c r="I34" s="46" t="n"/>
      <c r="J34" s="46" t="n"/>
    </row>
    <row r="35" ht="22" customHeight="1">
      <c r="B35" s="9" t="inlineStr">
        <is>
          <t>Online / Digital</t>
        </is>
      </c>
      <c r="C35" s="10" t="inlineStr"/>
      <c r="D35" s="10" t="inlineStr"/>
      <c r="E35" s="10" t="inlineStr"/>
      <c r="F35" s="10" t="inlineStr"/>
      <c r="G35" s="9" t="inlineStr"/>
      <c r="H35" s="44" t="n"/>
      <c r="I35" s="44" t="n"/>
      <c r="J35" s="44" t="n"/>
    </row>
    <row r="36" ht="22" customHeight="1">
      <c r="B36" s="33" t="inlineStr">
        <is>
          <t>TV &amp; Radio</t>
        </is>
      </c>
      <c r="C36" s="34" t="inlineStr"/>
      <c r="D36" s="34" t="inlineStr"/>
      <c r="E36" s="34" t="inlineStr"/>
      <c r="F36" s="34" t="inlineStr"/>
      <c r="G36" s="33" t="inlineStr"/>
      <c r="H36" s="46" t="n"/>
      <c r="I36" s="46" t="n"/>
      <c r="J36" s="46" t="n"/>
    </row>
    <row r="37" ht="22" customHeight="1">
      <c r="B37" s="9" t="inlineStr">
        <is>
          <t>Social Media / Influencer</t>
        </is>
      </c>
      <c r="C37" s="10" t="inlineStr"/>
      <c r="D37" s="10" t="inlineStr"/>
      <c r="E37" s="10" t="inlineStr"/>
      <c r="F37" s="10" t="inlineStr"/>
      <c r="G37" s="9" t="inlineStr"/>
      <c r="H37" s="44" t="n"/>
      <c r="I37" s="44" t="n"/>
      <c r="J37" s="44" t="n"/>
    </row>
    <row r="38" ht="22" customHeight="1">
      <c r="B38" s="33" t="inlineStr">
        <is>
          <t>News Agencies</t>
        </is>
      </c>
      <c r="C38" s="34" t="inlineStr"/>
      <c r="D38" s="34" t="inlineStr"/>
      <c r="E38" s="34" t="inlineStr"/>
      <c r="F38" s="34" t="inlineStr"/>
      <c r="G38" s="33" t="inlineStr"/>
      <c r="H38" s="46" t="n"/>
      <c r="I38" s="46" t="n"/>
      <c r="J38" s="46" t="n"/>
    </row>
    <row r="39" ht="22" customHeight="1">
      <c r="B39" s="24" t="inlineStr">
        <is>
          <t>TOTAL</t>
        </is>
      </c>
      <c r="C39" s="47" t="inlineStr"/>
      <c r="D39" s="47" t="inlineStr"/>
      <c r="E39" s="47" t="inlineStr"/>
      <c r="F39" s="47" t="inlineStr"/>
      <c r="G39" s="24" t="inlineStr"/>
      <c r="H39" s="48" t="n"/>
      <c r="I39" s="48" t="n"/>
      <c r="J39" s="48" t="n"/>
    </row>
  </sheetData>
  <mergeCells count="3">
    <mergeCell ref="B32:J32"/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8" t="inlineStr">
        <is>
          <t>PMPC-12: PRESS RELEASE REGISTER</t>
        </is>
      </c>
    </row>
    <row r="3" ht="20" customHeight="1">
      <c r="B3" s="17" t="inlineStr">
        <is>
          <t>All press releases must be approved by the Chairperson (Principal/Director) before dispatch. No statement to media without formal approval.</t>
        </is>
      </c>
    </row>
    <row r="4" ht="25" customHeight="1">
      <c r="B4" s="13" t="inlineStr">
        <is>
          <t>PR
Ref.</t>
        </is>
      </c>
      <c r="C4" s="13" t="inlineStr">
        <is>
          <t>Press Release Title / Subject</t>
        </is>
      </c>
      <c r="D4" s="13" t="inlineStr">
        <is>
          <t>Category</t>
        </is>
      </c>
      <c r="E4" s="13" t="inlineStr">
        <is>
          <t>Draft by</t>
        </is>
      </c>
      <c r="F4" s="13" t="inlineStr">
        <is>
          <t>Date
Drafted</t>
        </is>
      </c>
      <c r="G4" s="13" t="inlineStr">
        <is>
          <t>Approved
By</t>
        </is>
      </c>
      <c r="H4" s="13" t="inlineStr">
        <is>
          <t>Date
Dispatched</t>
        </is>
      </c>
      <c r="I4" s="13" t="inlineStr">
        <is>
          <t>Media Houses
Sent To</t>
        </is>
      </c>
      <c r="J4" s="13" t="inlineStr">
        <is>
          <t>Pickups
(No. Published</t>
        </is>
      </c>
    </row>
    <row r="5" ht="24" customHeight="1">
      <c r="B5" s="14" t="inlineStr">
        <is>
          <t>PR/2024/001</t>
        </is>
      </c>
      <c r="C5" s="15" t="inlineStr"/>
      <c r="D5" s="16" t="inlineStr">
        <is>
          <t>Academic Achievement</t>
        </is>
      </c>
      <c r="E5" s="16" t="inlineStr"/>
      <c r="F5" s="16" t="inlineStr"/>
      <c r="G5" s="16" t="inlineStr">
        <is>
          <t>Principal</t>
        </is>
      </c>
      <c r="H5" s="16" t="inlineStr"/>
      <c r="I5" s="16" t="inlineStr"/>
      <c r="J5" s="16" t="inlineStr"/>
    </row>
    <row r="6" ht="24" customHeight="1">
      <c r="B6" s="8" t="inlineStr">
        <is>
          <t>PR/2024/002</t>
        </is>
      </c>
      <c r="C6" s="9" t="inlineStr"/>
      <c r="D6" s="10" t="inlineStr">
        <is>
          <t>Research &amp; Innovation</t>
        </is>
      </c>
      <c r="E6" s="10" t="inlineStr"/>
      <c r="F6" s="10" t="inlineStr"/>
      <c r="G6" s="10" t="inlineStr">
        <is>
          <t>Principal</t>
        </is>
      </c>
      <c r="H6" s="10" t="inlineStr"/>
      <c r="I6" s="10" t="inlineStr"/>
      <c r="J6" s="10" t="inlineStr"/>
    </row>
    <row r="7" ht="24" customHeight="1">
      <c r="B7" s="14" t="inlineStr">
        <is>
          <t>PR/2024/003</t>
        </is>
      </c>
      <c r="C7" s="15" t="inlineStr"/>
      <c r="D7" s="16" t="inlineStr">
        <is>
          <t>Placement Record</t>
        </is>
      </c>
      <c r="E7" s="16" t="inlineStr"/>
      <c r="F7" s="16" t="inlineStr"/>
      <c r="G7" s="16" t="inlineStr">
        <is>
          <t>Principal</t>
        </is>
      </c>
      <c r="H7" s="16" t="inlineStr"/>
      <c r="I7" s="16" t="inlineStr"/>
      <c r="J7" s="16" t="inlineStr"/>
    </row>
    <row r="8" ht="24" customHeight="1">
      <c r="B8" s="8" t="inlineStr">
        <is>
          <t>PR/2024/004</t>
        </is>
      </c>
      <c r="C8" s="9" t="inlineStr"/>
      <c r="D8" s="10" t="inlineStr">
        <is>
          <t>Event Coverage</t>
        </is>
      </c>
      <c r="E8" s="10" t="inlineStr"/>
      <c r="F8" s="10" t="inlineStr"/>
      <c r="G8" s="10" t="inlineStr">
        <is>
          <t>Principal</t>
        </is>
      </c>
      <c r="H8" s="10" t="inlineStr"/>
      <c r="I8" s="10" t="inlineStr"/>
      <c r="J8" s="10" t="inlineStr"/>
    </row>
    <row r="9" ht="24" customHeight="1">
      <c r="B9" s="14" t="inlineStr">
        <is>
          <t>PR/2024/005</t>
        </is>
      </c>
      <c r="C9" s="15" t="inlineStr"/>
      <c r="D9" s="16" t="inlineStr">
        <is>
          <t>Institutional Award / Ranking</t>
        </is>
      </c>
      <c r="E9" s="16" t="inlineStr"/>
      <c r="F9" s="16" t="inlineStr"/>
      <c r="G9" s="16" t="inlineStr">
        <is>
          <t>Principal</t>
        </is>
      </c>
      <c r="H9" s="16" t="inlineStr"/>
      <c r="I9" s="16" t="inlineStr"/>
      <c r="J9" s="16" t="inlineStr"/>
    </row>
    <row r="10" ht="24" customHeight="1">
      <c r="B10" s="8" t="inlineStr">
        <is>
          <t>PR/2024/006</t>
        </is>
      </c>
      <c r="C10" s="9" t="inlineStr"/>
      <c r="D10" s="10" t="inlineStr">
        <is>
          <t>Faculty Achievement</t>
        </is>
      </c>
      <c r="E10" s="10" t="inlineStr"/>
      <c r="F10" s="10" t="inlineStr"/>
      <c r="G10" s="10" t="inlineStr">
        <is>
          <t>Principal</t>
        </is>
      </c>
      <c r="H10" s="10" t="inlineStr"/>
      <c r="I10" s="10" t="inlineStr"/>
      <c r="J10" s="10" t="inlineStr"/>
    </row>
    <row r="11" ht="24" customHeight="1">
      <c r="B11" s="14" t="inlineStr">
        <is>
          <t>PR/2024/007</t>
        </is>
      </c>
      <c r="C11" s="15" t="inlineStr"/>
      <c r="D11" s="16" t="inlineStr">
        <is>
          <t>Student Achievement</t>
        </is>
      </c>
      <c r="E11" s="16" t="inlineStr"/>
      <c r="F11" s="16" t="inlineStr"/>
      <c r="G11" s="16" t="inlineStr">
        <is>
          <t>Principal</t>
        </is>
      </c>
      <c r="H11" s="16" t="inlineStr"/>
      <c r="I11" s="16" t="inlineStr"/>
      <c r="J11" s="16" t="inlineStr"/>
    </row>
    <row r="12" ht="24" customHeight="1">
      <c r="B12" s="8" t="inlineStr">
        <is>
          <t>PR/2024/008</t>
        </is>
      </c>
      <c r="C12" s="9" t="inlineStr"/>
      <c r="D12" s="10" t="inlineStr">
        <is>
          <t>Community Service</t>
        </is>
      </c>
      <c r="E12" s="10" t="inlineStr"/>
      <c r="F12" s="10" t="inlineStr"/>
      <c r="G12" s="10" t="inlineStr">
        <is>
          <t>Principal</t>
        </is>
      </c>
      <c r="H12" s="10" t="inlineStr"/>
      <c r="I12" s="10" t="inlineStr"/>
      <c r="J12" s="10" t="inlineStr"/>
    </row>
    <row r="13" ht="24" customHeight="1">
      <c r="B13" s="14" t="inlineStr">
        <is>
          <t>PR/2024/009</t>
        </is>
      </c>
      <c r="C13" s="15" t="inlineStr"/>
      <c r="D13" s="16" t="inlineStr">
        <is>
          <t>Infrastructure Development</t>
        </is>
      </c>
      <c r="E13" s="16" t="inlineStr"/>
      <c r="F13" s="16" t="inlineStr"/>
      <c r="G13" s="16" t="inlineStr">
        <is>
          <t>Principal</t>
        </is>
      </c>
      <c r="H13" s="16" t="inlineStr"/>
      <c r="I13" s="16" t="inlineStr"/>
      <c r="J13" s="16" t="inlineStr"/>
    </row>
    <row r="14" ht="24" customHeight="1">
      <c r="B14" s="8" t="inlineStr">
        <is>
          <t>PR/2024/010</t>
        </is>
      </c>
      <c r="C14" s="9" t="inlineStr"/>
      <c r="D14" s="10" t="inlineStr">
        <is>
          <t>Industry Partnership</t>
        </is>
      </c>
      <c r="E14" s="10" t="inlineStr"/>
      <c r="F14" s="10" t="inlineStr"/>
      <c r="G14" s="10" t="inlineStr">
        <is>
          <t>Principal</t>
        </is>
      </c>
      <c r="H14" s="10" t="inlineStr"/>
      <c r="I14" s="10" t="inlineStr"/>
      <c r="J14" s="10" t="inlineStr"/>
    </row>
    <row r="15" ht="24" customHeight="1">
      <c r="B15" s="14" t="inlineStr">
        <is>
          <t>PR/2024/011</t>
        </is>
      </c>
      <c r="C15" s="15" t="inlineStr"/>
      <c r="D15" s="16" t="inlineStr">
        <is>
          <t>Government / Policy</t>
        </is>
      </c>
      <c r="E15" s="16" t="inlineStr"/>
      <c r="F15" s="16" t="inlineStr"/>
      <c r="G15" s="16" t="inlineStr">
        <is>
          <t>Principal</t>
        </is>
      </c>
      <c r="H15" s="16" t="inlineStr"/>
      <c r="I15" s="16" t="inlineStr"/>
      <c r="J15" s="16" t="inlineStr"/>
    </row>
    <row r="16" ht="24" customHeight="1">
      <c r="B16" s="8" t="inlineStr">
        <is>
          <t>PR/2025/012</t>
        </is>
      </c>
      <c r="C16" s="9" t="inlineStr"/>
      <c r="D16" s="10" t="inlineStr">
        <is>
          <t>Sports Achievement</t>
        </is>
      </c>
      <c r="E16" s="10" t="inlineStr"/>
      <c r="F16" s="10" t="inlineStr"/>
      <c r="G16" s="10" t="inlineStr">
        <is>
          <t>Principal</t>
        </is>
      </c>
      <c r="H16" s="10" t="inlineStr"/>
      <c r="I16" s="10" t="inlineStr"/>
      <c r="J16" s="10" t="inlineStr"/>
    </row>
    <row r="17" ht="24" customHeight="1">
      <c r="B17" s="14" t="inlineStr">
        <is>
          <t>PR/2025/013</t>
        </is>
      </c>
      <c r="C17" s="15" t="inlineStr"/>
      <c r="D17" s="16" t="inlineStr">
        <is>
          <t>Cultural Event</t>
        </is>
      </c>
      <c r="E17" s="16" t="inlineStr"/>
      <c r="F17" s="16" t="inlineStr"/>
      <c r="G17" s="16" t="inlineStr">
        <is>
          <t>Principal</t>
        </is>
      </c>
      <c r="H17" s="16" t="inlineStr"/>
      <c r="I17" s="16" t="inlineStr"/>
      <c r="J17" s="16" t="inlineStr"/>
    </row>
    <row r="18" ht="24" customHeight="1">
      <c r="B18" s="8" t="inlineStr">
        <is>
          <t>PR/2025/014</t>
        </is>
      </c>
      <c r="C18" s="9" t="inlineStr"/>
      <c r="D18" s="10" t="inlineStr">
        <is>
          <t>Admission Notice</t>
        </is>
      </c>
      <c r="E18" s="10" t="inlineStr"/>
      <c r="F18" s="10" t="inlineStr"/>
      <c r="G18" s="10" t="inlineStr">
        <is>
          <t>Principal</t>
        </is>
      </c>
      <c r="H18" s="10" t="inlineStr"/>
      <c r="I18" s="10" t="inlineStr"/>
      <c r="J18" s="10" t="inlineStr"/>
    </row>
    <row r="19" ht="24" customHeight="1">
      <c r="B19" s="14" t="inlineStr">
        <is>
          <t>PR/2025/015</t>
        </is>
      </c>
      <c r="C19" s="15" t="inlineStr"/>
      <c r="D19" s="16" t="inlineStr">
        <is>
          <t>Academic Achievement</t>
        </is>
      </c>
      <c r="E19" s="16" t="inlineStr"/>
      <c r="F19" s="16" t="inlineStr"/>
      <c r="G19" s="16" t="inlineStr">
        <is>
          <t>Principal</t>
        </is>
      </c>
      <c r="H19" s="16" t="inlineStr"/>
      <c r="I19" s="16" t="inlineStr"/>
      <c r="J19" s="16" t="inlineStr"/>
    </row>
    <row r="20" ht="24" customHeight="1">
      <c r="B20" s="8" t="inlineStr">
        <is>
          <t>PR/2025/016</t>
        </is>
      </c>
      <c r="C20" s="9" t="inlineStr"/>
      <c r="D20" s="10" t="inlineStr">
        <is>
          <t>Research &amp; Innovation</t>
        </is>
      </c>
      <c r="E20" s="10" t="inlineStr"/>
      <c r="F20" s="10" t="inlineStr"/>
      <c r="G20" s="10" t="inlineStr">
        <is>
          <t>Principal</t>
        </is>
      </c>
      <c r="H20" s="10" t="inlineStr"/>
      <c r="I20" s="10" t="inlineStr"/>
      <c r="J20" s="10" t="inlineStr"/>
    </row>
    <row r="21" ht="24" customHeight="1">
      <c r="B21" s="14" t="inlineStr">
        <is>
          <t>PR/2025/017</t>
        </is>
      </c>
      <c r="C21" s="15" t="inlineStr"/>
      <c r="D21" s="16" t="inlineStr">
        <is>
          <t>Placement Record</t>
        </is>
      </c>
      <c r="E21" s="16" t="inlineStr"/>
      <c r="F21" s="16" t="inlineStr"/>
      <c r="G21" s="16" t="inlineStr">
        <is>
          <t>Principal</t>
        </is>
      </c>
      <c r="H21" s="16" t="inlineStr"/>
      <c r="I21" s="16" t="inlineStr"/>
      <c r="J21" s="16" t="inlineStr"/>
    </row>
    <row r="22" ht="24" customHeight="1">
      <c r="B22" s="8" t="inlineStr">
        <is>
          <t>PR/2025/018</t>
        </is>
      </c>
      <c r="C22" s="9" t="inlineStr"/>
      <c r="D22" s="10" t="inlineStr">
        <is>
          <t>Event Coverage</t>
        </is>
      </c>
      <c r="E22" s="10" t="inlineStr"/>
      <c r="F22" s="10" t="inlineStr"/>
      <c r="G22" s="10" t="inlineStr">
        <is>
          <t>Principal</t>
        </is>
      </c>
      <c r="H22" s="10" t="inlineStr"/>
      <c r="I22" s="10" t="inlineStr"/>
      <c r="J22" s="10" t="inlineStr"/>
    </row>
    <row r="23" ht="24" customHeight="1">
      <c r="B23" s="14" t="inlineStr">
        <is>
          <t>PR/2025/019</t>
        </is>
      </c>
      <c r="C23" s="15" t="inlineStr"/>
      <c r="D23" s="16" t="inlineStr">
        <is>
          <t>Institutional Award / Ranking</t>
        </is>
      </c>
      <c r="E23" s="16" t="inlineStr"/>
      <c r="F23" s="16" t="inlineStr"/>
      <c r="G23" s="16" t="inlineStr">
        <is>
          <t>Principal</t>
        </is>
      </c>
      <c r="H23" s="16" t="inlineStr"/>
      <c r="I23" s="16" t="inlineStr"/>
      <c r="J23" s="16" t="inlineStr"/>
    </row>
    <row r="24" ht="24" customHeight="1">
      <c r="B24" s="8" t="inlineStr">
        <is>
          <t>PR/2025/020</t>
        </is>
      </c>
      <c r="C24" s="9" t="inlineStr"/>
      <c r="D24" s="10" t="inlineStr">
        <is>
          <t>Faculty Achievement</t>
        </is>
      </c>
      <c r="E24" s="10" t="inlineStr"/>
      <c r="F24" s="10" t="inlineStr"/>
      <c r="G24" s="10" t="inlineStr">
        <is>
          <t>Principal</t>
        </is>
      </c>
      <c r="H24" s="10" t="inlineStr"/>
      <c r="I24" s="10" t="inlineStr"/>
      <c r="J24" s="10" t="inlineStr"/>
    </row>
    <row r="25" ht="24" customHeight="1">
      <c r="B25" s="14" t="inlineStr">
        <is>
          <t>PR/2025/021</t>
        </is>
      </c>
      <c r="C25" s="15" t="inlineStr"/>
      <c r="D25" s="16" t="inlineStr">
        <is>
          <t>Student Achievement</t>
        </is>
      </c>
      <c r="E25" s="16" t="inlineStr"/>
      <c r="F25" s="16" t="inlineStr"/>
      <c r="G25" s="16" t="inlineStr">
        <is>
          <t>Principal</t>
        </is>
      </c>
      <c r="H25" s="16" t="inlineStr"/>
      <c r="I25" s="16" t="inlineStr"/>
      <c r="J25" s="16" t="inlineStr"/>
    </row>
    <row r="26" ht="24" customHeight="1">
      <c r="B26" s="8" t="inlineStr">
        <is>
          <t>PR/2025/022</t>
        </is>
      </c>
      <c r="C26" s="9" t="inlineStr"/>
      <c r="D26" s="10" t="inlineStr">
        <is>
          <t>Community Service</t>
        </is>
      </c>
      <c r="E26" s="10" t="inlineStr"/>
      <c r="F26" s="10" t="inlineStr"/>
      <c r="G26" s="10" t="inlineStr">
        <is>
          <t>Principal</t>
        </is>
      </c>
      <c r="H26" s="10" t="inlineStr"/>
      <c r="I26" s="10" t="inlineStr"/>
      <c r="J26" s="10" t="inlineStr"/>
    </row>
    <row r="27" ht="24" customHeight="1"/>
    <row r="28" ht="24" customHeight="1">
      <c r="B28" s="35" t="inlineStr">
        <is>
          <t>PRESS RELEASE EFFECTIVENESS SUMMARY</t>
        </is>
      </c>
    </row>
    <row r="29" ht="24" customHeight="1">
      <c r="B29" s="45" t="inlineStr">
        <is>
          <t>Total Press Releases Issued</t>
        </is>
      </c>
      <c r="F29" s="37">
        <f>COUNTA(B5:B26)</f>
        <v/>
      </c>
    </row>
    <row r="30" ht="24" customHeight="1">
      <c r="B30" s="26" t="inlineStr">
        <is>
          <t>Total Media Pickups</t>
        </is>
      </c>
      <c r="F30" s="38">
        <f>IFERROR(SUM(J5:J26),"")</f>
        <v/>
      </c>
    </row>
    <row r="31" ht="24" customHeight="1">
      <c r="B31" s="45" t="inlineStr">
        <is>
          <t>Average Pickups per Release</t>
        </is>
      </c>
      <c r="F31" s="37">
        <f>IFERROR(ROUND(C30/C29,1),"")</f>
        <v/>
      </c>
    </row>
    <row r="32" ht="24" customHeight="1">
      <c r="B32" s="26" t="inlineStr">
        <is>
          <t>Best Performing Category</t>
        </is>
      </c>
      <c r="F32" s="38" t="inlineStr"/>
    </row>
    <row r="33" ht="24" customHeight="1">
      <c r="B33" s="45" t="inlineStr">
        <is>
          <t>Releases with Zero Coverage</t>
        </is>
      </c>
      <c r="F33" s="37">
        <f>COUNTIF(J5:J26,0)</f>
        <v/>
      </c>
    </row>
    <row r="34" ht="24" customHeight="1">
      <c r="B34" s="26" t="inlineStr">
        <is>
          <t>Coverage Rate (% releases picked up)</t>
        </is>
      </c>
      <c r="F34" s="38">
        <f>IFERROR(ROUND((C29-C33)/C29*100,1),"")</f>
        <v/>
      </c>
    </row>
    <row r="35" ht="24" customHeight="1"/>
  </sheetData>
  <mergeCells count="15">
    <mergeCell ref="B31:E31"/>
    <mergeCell ref="F30:J30"/>
    <mergeCell ref="B3:J3"/>
    <mergeCell ref="F29:J29"/>
    <mergeCell ref="B28:J28"/>
    <mergeCell ref="F34:J34"/>
    <mergeCell ref="B30:E30"/>
    <mergeCell ref="B29:E29"/>
    <mergeCell ref="B33:E33"/>
    <mergeCell ref="F33:J33"/>
    <mergeCell ref="F31:J31"/>
    <mergeCell ref="B34:E34"/>
    <mergeCell ref="F32:J32"/>
    <mergeCell ref="B2:J2"/>
    <mergeCell ref="B32:E3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K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8" t="inlineStr">
        <is>
          <t>PMPC-13: MEDIA COVERAGE REGISTER</t>
        </is>
      </c>
    </row>
    <row r="3" ht="25" customHeight="1">
      <c r="B3" s="2" t="inlineStr">
        <is>
          <t>A.Y.: _______  Press Relations Officer: ___________________  NAAC / NIRF Evidence: Yes</t>
        </is>
      </c>
    </row>
    <row r="4" ht="25" customHeight="1">
      <c r="B4" s="13" t="inlineStr">
        <is>
          <t>Coverage
Ref.</t>
        </is>
      </c>
      <c r="C4" s="13" t="inlineStr">
        <is>
          <t>Headline / Topic Covered</t>
        </is>
      </c>
      <c r="D4" s="13" t="inlineStr">
        <is>
          <t>Media House</t>
        </is>
      </c>
      <c r="E4" s="13" t="inlineStr">
        <is>
          <t>Medium</t>
        </is>
      </c>
      <c r="F4" s="13" t="inlineStr">
        <is>
          <t>Date</t>
        </is>
      </c>
      <c r="G4" s="13" t="inlineStr">
        <is>
          <t>Page /
Slot</t>
        </is>
      </c>
      <c r="H4" s="13" t="inlineStr">
        <is>
          <t>Reach
(Circ. / Views)</t>
        </is>
      </c>
      <c r="I4" s="13" t="inlineStr">
        <is>
          <t>Sentiment
(P/N/Neu)</t>
        </is>
      </c>
      <c r="J4" s="13" t="inlineStr">
        <is>
          <t>Category</t>
        </is>
      </c>
      <c r="K4" s="13" t="inlineStr">
        <is>
          <t>Clipping /
URL Available</t>
        </is>
      </c>
    </row>
    <row r="5" ht="24" customHeight="1">
      <c r="B5" s="14" t="inlineStr">
        <is>
          <t>COV/2024/001</t>
        </is>
      </c>
      <c r="C5" s="15" t="inlineStr"/>
      <c r="D5" s="15" t="inlineStr"/>
      <c r="E5" s="16" t="inlineStr">
        <is>
          <t>Print — Newspaper</t>
        </is>
      </c>
      <c r="F5" s="16" t="inlineStr"/>
      <c r="G5" s="16" t="inlineStr"/>
      <c r="H5" s="16" t="inlineStr"/>
      <c r="I5" s="16" t="inlineStr">
        <is>
          <t>P</t>
        </is>
      </c>
      <c r="J5" s="16" t="inlineStr">
        <is>
          <t>Academic Achievement</t>
        </is>
      </c>
      <c r="K5" s="16" t="inlineStr">
        <is>
          <t>Y</t>
        </is>
      </c>
    </row>
    <row r="6" ht="24" customHeight="1">
      <c r="B6" s="8" t="inlineStr">
        <is>
          <t>COV/2024/002</t>
        </is>
      </c>
      <c r="C6" s="9" t="inlineStr"/>
      <c r="D6" s="9" t="inlineStr"/>
      <c r="E6" s="10" t="inlineStr">
        <is>
          <t>Online — News Portal</t>
        </is>
      </c>
      <c r="F6" s="10" t="inlineStr"/>
      <c r="G6" s="10" t="inlineStr"/>
      <c r="H6" s="10" t="inlineStr"/>
      <c r="I6" s="10" t="inlineStr">
        <is>
          <t>P</t>
        </is>
      </c>
      <c r="J6" s="10" t="inlineStr">
        <is>
          <t>Research &amp; Innovation</t>
        </is>
      </c>
      <c r="K6" s="10" t="inlineStr">
        <is>
          <t>Y</t>
        </is>
      </c>
    </row>
    <row r="7" ht="24" customHeight="1">
      <c r="B7" s="14" t="inlineStr">
        <is>
          <t>COV/2024/003</t>
        </is>
      </c>
      <c r="C7" s="15" t="inlineStr"/>
      <c r="D7" s="15" t="inlineStr"/>
      <c r="E7" s="16" t="inlineStr">
        <is>
          <t>TV — News Channel</t>
        </is>
      </c>
      <c r="F7" s="16" t="inlineStr"/>
      <c r="G7" s="16" t="inlineStr"/>
      <c r="H7" s="16" t="inlineStr"/>
      <c r="I7" s="16" t="inlineStr">
        <is>
          <t>P</t>
        </is>
      </c>
      <c r="J7" s="16" t="inlineStr">
        <is>
          <t>Placement Record</t>
        </is>
      </c>
      <c r="K7" s="16" t="inlineStr">
        <is>
          <t>Y</t>
        </is>
      </c>
    </row>
    <row r="8" ht="24" customHeight="1">
      <c r="B8" s="8" t="inlineStr">
        <is>
          <t>COV/2024/004</t>
        </is>
      </c>
      <c r="C8" s="9" t="inlineStr"/>
      <c r="D8" s="9" t="inlineStr"/>
      <c r="E8" s="10" t="inlineStr">
        <is>
          <t>Radio</t>
        </is>
      </c>
      <c r="F8" s="10" t="inlineStr"/>
      <c r="G8" s="10" t="inlineStr"/>
      <c r="H8" s="10" t="inlineStr"/>
      <c r="I8" s="10" t="inlineStr">
        <is>
          <t>Neu</t>
        </is>
      </c>
      <c r="J8" s="10" t="inlineStr">
        <is>
          <t>Event Coverage</t>
        </is>
      </c>
      <c r="K8" s="10" t="inlineStr">
        <is>
          <t>Y</t>
        </is>
      </c>
    </row>
    <row r="9" ht="24" customHeight="1">
      <c r="B9" s="14" t="inlineStr">
        <is>
          <t>COV/2024/005</t>
        </is>
      </c>
      <c r="C9" s="15" t="inlineStr"/>
      <c r="D9" s="15" t="inlineStr"/>
      <c r="E9" s="16" t="inlineStr">
        <is>
          <t>YouTube</t>
        </is>
      </c>
      <c r="F9" s="16" t="inlineStr"/>
      <c r="G9" s="16" t="inlineStr"/>
      <c r="H9" s="16" t="inlineStr"/>
      <c r="I9" s="16" t="inlineStr">
        <is>
          <t>N</t>
        </is>
      </c>
      <c r="J9" s="16" t="inlineStr">
        <is>
          <t>Institutional Award / Ranking</t>
        </is>
      </c>
      <c r="K9" s="16" t="inlineStr">
        <is>
          <t>Y</t>
        </is>
      </c>
    </row>
    <row r="10" ht="24" customHeight="1">
      <c r="B10" s="8" t="inlineStr">
        <is>
          <t>COV/2024/006</t>
        </is>
      </c>
      <c r="C10" s="9" t="inlineStr"/>
      <c r="D10" s="9" t="inlineStr"/>
      <c r="E10" s="10" t="inlineStr">
        <is>
          <t>Social Media</t>
        </is>
      </c>
      <c r="F10" s="10" t="inlineStr"/>
      <c r="G10" s="10" t="inlineStr"/>
      <c r="H10" s="10" t="inlineStr"/>
      <c r="I10" s="10" t="inlineStr">
        <is>
          <t>P</t>
        </is>
      </c>
      <c r="J10" s="10" t="inlineStr">
        <is>
          <t>Faculty Achievement</t>
        </is>
      </c>
      <c r="K10" s="10" t="inlineStr">
        <is>
          <t>Y</t>
        </is>
      </c>
    </row>
    <row r="11" ht="24" customHeight="1">
      <c r="B11" s="14" t="inlineStr">
        <is>
          <t>COV/2024/007</t>
        </is>
      </c>
      <c r="C11" s="15" t="inlineStr"/>
      <c r="D11" s="15" t="inlineStr"/>
      <c r="E11" s="16" t="inlineStr">
        <is>
          <t>Magazine</t>
        </is>
      </c>
      <c r="F11" s="16" t="inlineStr"/>
      <c r="G11" s="16" t="inlineStr"/>
      <c r="H11" s="16" t="inlineStr"/>
      <c r="I11" s="16" t="inlineStr">
        <is>
          <t>P</t>
        </is>
      </c>
      <c r="J11" s="16" t="inlineStr">
        <is>
          <t>Student Achievement</t>
        </is>
      </c>
      <c r="K11" s="16" t="inlineStr">
        <is>
          <t>Y</t>
        </is>
      </c>
    </row>
    <row r="12" ht="24" customHeight="1">
      <c r="B12" s="8" t="inlineStr">
        <is>
          <t>COV/2024/008</t>
        </is>
      </c>
      <c r="C12" s="9" t="inlineStr"/>
      <c r="D12" s="9" t="inlineStr"/>
      <c r="E12" s="10" t="inlineStr">
        <is>
          <t>Wire / Agency</t>
        </is>
      </c>
      <c r="F12" s="10" t="inlineStr"/>
      <c r="G12" s="10" t="inlineStr"/>
      <c r="H12" s="10" t="inlineStr"/>
      <c r="I12" s="10" t="inlineStr">
        <is>
          <t>P</t>
        </is>
      </c>
      <c r="J12" s="10" t="inlineStr">
        <is>
          <t>Community Service</t>
        </is>
      </c>
      <c r="K12" s="10" t="inlineStr">
        <is>
          <t>Y</t>
        </is>
      </c>
    </row>
    <row r="13" ht="24" customHeight="1">
      <c r="B13" s="14" t="inlineStr">
        <is>
          <t>COV/2024/009</t>
        </is>
      </c>
      <c r="C13" s="15" t="inlineStr"/>
      <c r="D13" s="15" t="inlineStr"/>
      <c r="E13" s="16" t="inlineStr">
        <is>
          <t>Print — Newspaper</t>
        </is>
      </c>
      <c r="F13" s="16" t="inlineStr"/>
      <c r="G13" s="16" t="inlineStr"/>
      <c r="H13" s="16" t="inlineStr"/>
      <c r="I13" s="16" t="inlineStr">
        <is>
          <t>Neu</t>
        </is>
      </c>
      <c r="J13" s="16" t="inlineStr">
        <is>
          <t>Infrastructure Development</t>
        </is>
      </c>
      <c r="K13" s="16" t="inlineStr">
        <is>
          <t>Y</t>
        </is>
      </c>
    </row>
    <row r="14" ht="24" customHeight="1">
      <c r="B14" s="8" t="inlineStr">
        <is>
          <t>COV/2024/010</t>
        </is>
      </c>
      <c r="C14" s="9" t="inlineStr"/>
      <c r="D14" s="9" t="inlineStr"/>
      <c r="E14" s="10" t="inlineStr">
        <is>
          <t>Online — News Portal</t>
        </is>
      </c>
      <c r="F14" s="10" t="inlineStr"/>
      <c r="G14" s="10" t="inlineStr"/>
      <c r="H14" s="10" t="inlineStr"/>
      <c r="I14" s="10" t="inlineStr">
        <is>
          <t>P</t>
        </is>
      </c>
      <c r="J14" s="10" t="inlineStr">
        <is>
          <t>Industry Partnership</t>
        </is>
      </c>
      <c r="K14" s="10" t="inlineStr">
        <is>
          <t>Y</t>
        </is>
      </c>
    </row>
    <row r="15" ht="24" customHeight="1">
      <c r="B15" s="14" t="inlineStr">
        <is>
          <t>COV/2024/011</t>
        </is>
      </c>
      <c r="C15" s="15" t="inlineStr"/>
      <c r="D15" s="15" t="inlineStr"/>
      <c r="E15" s="16" t="inlineStr">
        <is>
          <t>TV — News Channel</t>
        </is>
      </c>
      <c r="F15" s="16" t="inlineStr"/>
      <c r="G15" s="16" t="inlineStr"/>
      <c r="H15" s="16" t="inlineStr"/>
      <c r="I15" s="16" t="inlineStr">
        <is>
          <t>P</t>
        </is>
      </c>
      <c r="J15" s="16" t="inlineStr">
        <is>
          <t>Government / Policy</t>
        </is>
      </c>
      <c r="K15" s="16" t="inlineStr">
        <is>
          <t>Y</t>
        </is>
      </c>
    </row>
    <row r="16" ht="24" customHeight="1">
      <c r="B16" s="8" t="inlineStr">
        <is>
          <t>COV/2024/012</t>
        </is>
      </c>
      <c r="C16" s="9" t="inlineStr"/>
      <c r="D16" s="9" t="inlineStr"/>
      <c r="E16" s="10" t="inlineStr">
        <is>
          <t>Radio</t>
        </is>
      </c>
      <c r="F16" s="10" t="inlineStr"/>
      <c r="G16" s="10" t="inlineStr"/>
      <c r="H16" s="10" t="inlineStr"/>
      <c r="I16" s="10" t="inlineStr">
        <is>
          <t>P</t>
        </is>
      </c>
      <c r="J16" s="10" t="inlineStr">
        <is>
          <t>Sports Achievement</t>
        </is>
      </c>
      <c r="K16" s="10" t="inlineStr">
        <is>
          <t>Y</t>
        </is>
      </c>
    </row>
    <row r="17" ht="24" customHeight="1">
      <c r="B17" s="14" t="inlineStr">
        <is>
          <t>COV/2024/013</t>
        </is>
      </c>
      <c r="C17" s="15" t="inlineStr"/>
      <c r="D17" s="15" t="inlineStr"/>
      <c r="E17" s="16" t="inlineStr">
        <is>
          <t>YouTube</t>
        </is>
      </c>
      <c r="F17" s="16" t="inlineStr"/>
      <c r="G17" s="16" t="inlineStr"/>
      <c r="H17" s="16" t="inlineStr"/>
      <c r="I17" s="16" t="inlineStr">
        <is>
          <t>P</t>
        </is>
      </c>
      <c r="J17" s="16" t="inlineStr">
        <is>
          <t>Cultural Event</t>
        </is>
      </c>
      <c r="K17" s="16" t="inlineStr">
        <is>
          <t>Y</t>
        </is>
      </c>
    </row>
    <row r="18" ht="24" customHeight="1">
      <c r="B18" s="8" t="inlineStr">
        <is>
          <t>COV/2024/014</t>
        </is>
      </c>
      <c r="C18" s="9" t="inlineStr"/>
      <c r="D18" s="9" t="inlineStr"/>
      <c r="E18" s="10" t="inlineStr">
        <is>
          <t>Social Media</t>
        </is>
      </c>
      <c r="F18" s="10" t="inlineStr"/>
      <c r="G18" s="10" t="inlineStr"/>
      <c r="H18" s="10" t="inlineStr"/>
      <c r="I18" s="10" t="inlineStr">
        <is>
          <t>Neu</t>
        </is>
      </c>
      <c r="J18" s="10" t="inlineStr">
        <is>
          <t>Admission Notice</t>
        </is>
      </c>
      <c r="K18" s="10" t="inlineStr">
        <is>
          <t>Y</t>
        </is>
      </c>
    </row>
    <row r="19" ht="24" customHeight="1">
      <c r="B19" s="14" t="inlineStr">
        <is>
          <t>COV/2025/015</t>
        </is>
      </c>
      <c r="C19" s="15" t="inlineStr"/>
      <c r="D19" s="15" t="inlineStr"/>
      <c r="E19" s="16" t="inlineStr">
        <is>
          <t>Magazine</t>
        </is>
      </c>
      <c r="F19" s="16" t="inlineStr"/>
      <c r="G19" s="16" t="inlineStr"/>
      <c r="H19" s="16" t="inlineStr"/>
      <c r="I19" s="16" t="inlineStr">
        <is>
          <t>N</t>
        </is>
      </c>
      <c r="J19" s="16" t="inlineStr">
        <is>
          <t>Academic Achievement</t>
        </is>
      </c>
      <c r="K19" s="16" t="inlineStr">
        <is>
          <t>Y</t>
        </is>
      </c>
    </row>
    <row r="20" ht="24" customHeight="1">
      <c r="B20" s="8" t="inlineStr">
        <is>
          <t>COV/2025/016</t>
        </is>
      </c>
      <c r="C20" s="9" t="inlineStr"/>
      <c r="D20" s="9" t="inlineStr"/>
      <c r="E20" s="10" t="inlineStr">
        <is>
          <t>Wire / Agency</t>
        </is>
      </c>
      <c r="F20" s="10" t="inlineStr"/>
      <c r="G20" s="10" t="inlineStr"/>
      <c r="H20" s="10" t="inlineStr"/>
      <c r="I20" s="10" t="inlineStr">
        <is>
          <t>P</t>
        </is>
      </c>
      <c r="J20" s="10" t="inlineStr">
        <is>
          <t>Research &amp; Innovation</t>
        </is>
      </c>
      <c r="K20" s="10" t="inlineStr">
        <is>
          <t>Y</t>
        </is>
      </c>
    </row>
    <row r="21" ht="24" customHeight="1">
      <c r="B21" s="14" t="inlineStr">
        <is>
          <t>COV/2025/017</t>
        </is>
      </c>
      <c r="C21" s="15" t="inlineStr"/>
      <c r="D21" s="15" t="inlineStr"/>
      <c r="E21" s="16" t="inlineStr">
        <is>
          <t>Print — Newspaper</t>
        </is>
      </c>
      <c r="F21" s="16" t="inlineStr"/>
      <c r="G21" s="16" t="inlineStr"/>
      <c r="H21" s="16" t="inlineStr"/>
      <c r="I21" s="16" t="inlineStr">
        <is>
          <t>P</t>
        </is>
      </c>
      <c r="J21" s="16" t="inlineStr">
        <is>
          <t>Placement Record</t>
        </is>
      </c>
      <c r="K21" s="16" t="inlineStr">
        <is>
          <t>Y</t>
        </is>
      </c>
    </row>
    <row r="22" ht="24" customHeight="1">
      <c r="B22" s="8" t="inlineStr">
        <is>
          <t>COV/2025/018</t>
        </is>
      </c>
      <c r="C22" s="9" t="inlineStr"/>
      <c r="D22" s="9" t="inlineStr"/>
      <c r="E22" s="10" t="inlineStr">
        <is>
          <t>Online — News Portal</t>
        </is>
      </c>
      <c r="F22" s="10" t="inlineStr"/>
      <c r="G22" s="10" t="inlineStr"/>
      <c r="H22" s="10" t="inlineStr"/>
      <c r="I22" s="10" t="inlineStr">
        <is>
          <t>P</t>
        </is>
      </c>
      <c r="J22" s="10" t="inlineStr">
        <is>
          <t>Event Coverage</t>
        </is>
      </c>
      <c r="K22" s="10" t="inlineStr">
        <is>
          <t>Y</t>
        </is>
      </c>
    </row>
    <row r="23" ht="24" customHeight="1">
      <c r="B23" s="14" t="inlineStr">
        <is>
          <t>COV/2025/019</t>
        </is>
      </c>
      <c r="C23" s="15" t="inlineStr"/>
      <c r="D23" s="15" t="inlineStr"/>
      <c r="E23" s="16" t="inlineStr">
        <is>
          <t>TV — News Channel</t>
        </is>
      </c>
      <c r="F23" s="16" t="inlineStr"/>
      <c r="G23" s="16" t="inlineStr"/>
      <c r="H23" s="16" t="inlineStr"/>
      <c r="I23" s="16" t="inlineStr">
        <is>
          <t>Neu</t>
        </is>
      </c>
      <c r="J23" s="16" t="inlineStr">
        <is>
          <t>Institutional Award / Ranking</t>
        </is>
      </c>
      <c r="K23" s="16" t="inlineStr">
        <is>
          <t>Y</t>
        </is>
      </c>
    </row>
    <row r="24" ht="24" customHeight="1">
      <c r="B24" s="8" t="inlineStr">
        <is>
          <t>COV/2025/020</t>
        </is>
      </c>
      <c r="C24" s="9" t="inlineStr"/>
      <c r="D24" s="9" t="inlineStr"/>
      <c r="E24" s="10" t="inlineStr">
        <is>
          <t>Radio</t>
        </is>
      </c>
      <c r="F24" s="10" t="inlineStr"/>
      <c r="G24" s="10" t="inlineStr"/>
      <c r="H24" s="10" t="inlineStr"/>
      <c r="I24" s="10" t="inlineStr">
        <is>
          <t>P</t>
        </is>
      </c>
      <c r="J24" s="10" t="inlineStr">
        <is>
          <t>Faculty Achievement</t>
        </is>
      </c>
      <c r="K24" s="10" t="inlineStr">
        <is>
          <t>Y</t>
        </is>
      </c>
    </row>
    <row r="25" ht="24" customHeight="1">
      <c r="B25" s="14" t="inlineStr">
        <is>
          <t>COV/2025/021</t>
        </is>
      </c>
      <c r="C25" s="15" t="inlineStr"/>
      <c r="D25" s="15" t="inlineStr"/>
      <c r="E25" s="16" t="inlineStr">
        <is>
          <t>YouTube</t>
        </is>
      </c>
      <c r="F25" s="16" t="inlineStr"/>
      <c r="G25" s="16" t="inlineStr"/>
      <c r="H25" s="16" t="inlineStr"/>
      <c r="I25" s="16" t="inlineStr">
        <is>
          <t>P</t>
        </is>
      </c>
      <c r="J25" s="16" t="inlineStr">
        <is>
          <t>Student Achievement</t>
        </is>
      </c>
      <c r="K25" s="16" t="inlineStr">
        <is>
          <t>Y</t>
        </is>
      </c>
    </row>
    <row r="26" ht="24" customHeight="1">
      <c r="B26" s="8" t="inlineStr">
        <is>
          <t>COV/2025/022</t>
        </is>
      </c>
      <c r="C26" s="9" t="inlineStr"/>
      <c r="D26" s="9" t="inlineStr"/>
      <c r="E26" s="10" t="inlineStr">
        <is>
          <t>Social Media</t>
        </is>
      </c>
      <c r="F26" s="10" t="inlineStr"/>
      <c r="G26" s="10" t="inlineStr"/>
      <c r="H26" s="10" t="inlineStr"/>
      <c r="I26" s="10" t="inlineStr">
        <is>
          <t>P</t>
        </is>
      </c>
      <c r="J26" s="10" t="inlineStr">
        <is>
          <t>Community Service</t>
        </is>
      </c>
      <c r="K26" s="10" t="inlineStr">
        <is>
          <t>Y</t>
        </is>
      </c>
    </row>
    <row r="27" ht="24" customHeight="1">
      <c r="B27" s="14" t="inlineStr">
        <is>
          <t>COV/2025/023</t>
        </is>
      </c>
      <c r="C27" s="15" t="inlineStr"/>
      <c r="D27" s="15" t="inlineStr"/>
      <c r="E27" s="16" t="inlineStr">
        <is>
          <t>Magazine</t>
        </is>
      </c>
      <c r="F27" s="16" t="inlineStr"/>
      <c r="G27" s="16" t="inlineStr"/>
      <c r="H27" s="16" t="inlineStr"/>
      <c r="I27" s="16" t="inlineStr">
        <is>
          <t>P</t>
        </is>
      </c>
      <c r="J27" s="16" t="inlineStr">
        <is>
          <t>Infrastructure Development</t>
        </is>
      </c>
      <c r="K27" s="16" t="inlineStr">
        <is>
          <t>Y</t>
        </is>
      </c>
    </row>
    <row r="28" ht="24" customHeight="1">
      <c r="B28" s="8" t="inlineStr">
        <is>
          <t>COV/2025/024</t>
        </is>
      </c>
      <c r="C28" s="9" t="inlineStr"/>
      <c r="D28" s="9" t="inlineStr"/>
      <c r="E28" s="10" t="inlineStr">
        <is>
          <t>Wire / Agency</t>
        </is>
      </c>
      <c r="F28" s="10" t="inlineStr"/>
      <c r="G28" s="10" t="inlineStr"/>
      <c r="H28" s="10" t="inlineStr"/>
      <c r="I28" s="10" t="inlineStr">
        <is>
          <t>Neu</t>
        </is>
      </c>
      <c r="J28" s="10" t="inlineStr">
        <is>
          <t>Industry Partnership</t>
        </is>
      </c>
      <c r="K28" s="10" t="inlineStr">
        <is>
          <t>Y</t>
        </is>
      </c>
    </row>
    <row r="29" ht="24" customHeight="1">
      <c r="B29" s="14" t="inlineStr">
        <is>
          <t>COV/2025/025</t>
        </is>
      </c>
      <c r="C29" s="15" t="inlineStr"/>
      <c r="D29" s="15" t="inlineStr"/>
      <c r="E29" s="16" t="inlineStr">
        <is>
          <t>Print — Newspaper</t>
        </is>
      </c>
      <c r="F29" s="16" t="inlineStr"/>
      <c r="G29" s="16" t="inlineStr"/>
      <c r="H29" s="16" t="inlineStr"/>
      <c r="I29" s="16" t="inlineStr">
        <is>
          <t>N</t>
        </is>
      </c>
      <c r="J29" s="16" t="inlineStr">
        <is>
          <t>Government / Policy</t>
        </is>
      </c>
      <c r="K29" s="16" t="inlineStr">
        <is>
          <t>Y</t>
        </is>
      </c>
    </row>
    <row r="30" ht="24" customHeight="1">
      <c r="B30" s="8" t="inlineStr">
        <is>
          <t>COV/2025/026</t>
        </is>
      </c>
      <c r="C30" s="9" t="inlineStr"/>
      <c r="D30" s="9" t="inlineStr"/>
      <c r="E30" s="10" t="inlineStr">
        <is>
          <t>Online — News Portal</t>
        </is>
      </c>
      <c r="F30" s="10" t="inlineStr"/>
      <c r="G30" s="10" t="inlineStr"/>
      <c r="H30" s="10" t="inlineStr"/>
      <c r="I30" s="10" t="inlineStr">
        <is>
          <t>P</t>
        </is>
      </c>
      <c r="J30" s="10" t="inlineStr">
        <is>
          <t>Sports Achievement</t>
        </is>
      </c>
      <c r="K30" s="10" t="inlineStr">
        <is>
          <t>Y</t>
        </is>
      </c>
    </row>
    <row r="31" ht="24" customHeight="1">
      <c r="B31" s="14" t="inlineStr">
        <is>
          <t>COV/2025/027</t>
        </is>
      </c>
      <c r="C31" s="15" t="inlineStr"/>
      <c r="D31" s="15" t="inlineStr"/>
      <c r="E31" s="16" t="inlineStr">
        <is>
          <t>TV — News Channel</t>
        </is>
      </c>
      <c r="F31" s="16" t="inlineStr"/>
      <c r="G31" s="16" t="inlineStr"/>
      <c r="H31" s="16" t="inlineStr"/>
      <c r="I31" s="16" t="inlineStr">
        <is>
          <t>P</t>
        </is>
      </c>
      <c r="J31" s="16" t="inlineStr">
        <is>
          <t>Cultural Event</t>
        </is>
      </c>
      <c r="K31" s="16" t="inlineStr">
        <is>
          <t>Y</t>
        </is>
      </c>
    </row>
    <row r="32" ht="24" customHeight="1">
      <c r="B32" s="8" t="inlineStr">
        <is>
          <t>COV/2025/028</t>
        </is>
      </c>
      <c r="C32" s="9" t="inlineStr"/>
      <c r="D32" s="9" t="inlineStr"/>
      <c r="E32" s="10" t="inlineStr">
        <is>
          <t>Radio</t>
        </is>
      </c>
      <c r="F32" s="10" t="inlineStr"/>
      <c r="G32" s="10" t="inlineStr"/>
      <c r="H32" s="10" t="inlineStr"/>
      <c r="I32" s="10" t="inlineStr">
        <is>
          <t>P</t>
        </is>
      </c>
      <c r="J32" s="10" t="inlineStr">
        <is>
          <t>Admission Notice</t>
        </is>
      </c>
      <c r="K32" s="10" t="inlineStr">
        <is>
          <t>Y</t>
        </is>
      </c>
    </row>
    <row r="33" ht="24" customHeight="1"/>
    <row r="34" ht="24" customHeight="1">
      <c r="B34" s="35" t="inlineStr">
        <is>
          <t>COVERAGE ANALYTICS SUMMARY</t>
        </is>
      </c>
    </row>
    <row r="35" ht="24" customHeight="1">
      <c r="B35" s="31" t="inlineStr">
        <is>
          <t>Medium</t>
        </is>
      </c>
      <c r="C35" s="31" t="inlineStr">
        <is>
          <t>Total Coverage
Instances</t>
        </is>
      </c>
      <c r="D35" s="31" t="inlineStr">
        <is>
          <t>Positive</t>
        </is>
      </c>
      <c r="E35" s="31" t="inlineStr">
        <is>
          <t>Neutral</t>
        </is>
      </c>
      <c r="F35" s="31" t="inlineStr">
        <is>
          <t>Negative</t>
        </is>
      </c>
      <c r="G35" s="31" t="inlineStr">
        <is>
          <t>Avg. Reach
per Instance</t>
        </is>
      </c>
      <c r="H35" s="31" t="inlineStr">
        <is>
          <t>Best Story</t>
        </is>
      </c>
      <c r="I35" s="31" t="inlineStr">
        <is>
          <t>Sentiment
%</t>
        </is>
      </c>
    </row>
    <row r="36" ht="24" customHeight="1">
      <c r="B36" s="33" t="inlineStr">
        <is>
          <t>Print Newspapers</t>
        </is>
      </c>
      <c r="C36" s="34" t="inlineStr"/>
      <c r="D36" s="34" t="inlineStr"/>
      <c r="E36" s="34" t="inlineStr"/>
      <c r="F36" s="34" t="inlineStr"/>
      <c r="G36" s="34" t="inlineStr"/>
      <c r="H36" s="33" t="inlineStr"/>
      <c r="I36" s="34">
        <f>IFERROR(ROUND((D36/(C36)*100),1),"")</f>
        <v/>
      </c>
      <c r="J36" s="46" t="n"/>
      <c r="K36" s="46" t="n"/>
    </row>
    <row r="37" ht="24" customHeight="1">
      <c r="B37" s="9" t="inlineStr">
        <is>
          <t>Online Portals</t>
        </is>
      </c>
      <c r="C37" s="10" t="inlineStr"/>
      <c r="D37" s="10" t="inlineStr"/>
      <c r="E37" s="10" t="inlineStr"/>
      <c r="F37" s="10" t="inlineStr"/>
      <c r="G37" s="10" t="inlineStr"/>
      <c r="H37" s="9" t="inlineStr"/>
      <c r="I37" s="10">
        <f>IFERROR(ROUND((D37/(C37)*100),1),"")</f>
        <v/>
      </c>
      <c r="J37" s="44" t="n"/>
      <c r="K37" s="44" t="n"/>
    </row>
    <row r="38" ht="24" customHeight="1">
      <c r="B38" s="33" t="inlineStr">
        <is>
          <t>TV &amp; Radio</t>
        </is>
      </c>
      <c r="C38" s="34" t="inlineStr"/>
      <c r="D38" s="34" t="inlineStr"/>
      <c r="E38" s="34" t="inlineStr"/>
      <c r="F38" s="34" t="inlineStr"/>
      <c r="G38" s="34" t="inlineStr"/>
      <c r="H38" s="33" t="inlineStr"/>
      <c r="I38" s="34">
        <f>IFERROR(ROUND((D38/(C38)*100),1),"")</f>
        <v/>
      </c>
      <c r="J38" s="46" t="n"/>
      <c r="K38" s="46" t="n"/>
    </row>
    <row r="39" ht="24" customHeight="1">
      <c r="B39" s="9" t="inlineStr">
        <is>
          <t>Social Media</t>
        </is>
      </c>
      <c r="C39" s="10" t="inlineStr"/>
      <c r="D39" s="10" t="inlineStr"/>
      <c r="E39" s="10" t="inlineStr"/>
      <c r="F39" s="10" t="inlineStr"/>
      <c r="G39" s="10" t="inlineStr"/>
      <c r="H39" s="9" t="inlineStr"/>
      <c r="I39" s="10">
        <f>IFERROR(ROUND((D39/(C39)*100),1),"")</f>
        <v/>
      </c>
      <c r="J39" s="44" t="n"/>
      <c r="K39" s="44" t="n"/>
    </row>
    <row r="40">
      <c r="B40" s="33" t="inlineStr">
        <is>
          <t>Magazines</t>
        </is>
      </c>
      <c r="C40" s="34" t="inlineStr"/>
      <c r="D40" s="34" t="inlineStr"/>
      <c r="E40" s="34" t="inlineStr"/>
      <c r="F40" s="34" t="inlineStr"/>
      <c r="G40" s="34" t="inlineStr"/>
      <c r="H40" s="33" t="inlineStr"/>
      <c r="I40" s="34">
        <f>IFERROR(ROUND((D40/(C40)*100),1),"")</f>
        <v/>
      </c>
      <c r="J40" s="46" t="n"/>
      <c r="K40" s="46" t="n"/>
    </row>
    <row r="41">
      <c r="B41" s="24" t="inlineStr">
        <is>
          <t>TOTAL</t>
        </is>
      </c>
      <c r="C41" s="47" t="inlineStr"/>
      <c r="D41" s="47" t="inlineStr"/>
      <c r="E41" s="47" t="inlineStr"/>
      <c r="F41" s="47" t="inlineStr"/>
      <c r="G41" s="47" t="inlineStr"/>
      <c r="H41" s="24" t="inlineStr"/>
      <c r="I41" s="47">
        <f>IFERROR(ROUND((D41/(C41)*100),1),"")</f>
        <v/>
      </c>
      <c r="J41" s="48" t="n"/>
      <c r="K41" s="48" t="n"/>
    </row>
  </sheetData>
  <mergeCells count="3">
    <mergeCell ref="B34:K34"/>
    <mergeCell ref="B3:K3"/>
    <mergeCell ref="B2:K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8" t="inlineStr">
        <is>
          <t>PMPC-14: PRESS CONFERENCE &amp; MEDIA BRIEFING REGISTER</t>
        </is>
      </c>
    </row>
    <row r="3" ht="20" customHeight="1">
      <c r="B3" s="17" t="inlineStr">
        <is>
          <t>All press conferences require prior approval by Chairperson. Prepare briefing kit (press kit, key messages, FAQ, bio notes) before every event.</t>
        </is>
      </c>
    </row>
    <row r="4" ht="25" customHeight="1">
      <c r="B4" s="13" t="inlineStr">
        <is>
          <t>Event
Ref.</t>
        </is>
      </c>
      <c r="C4" s="13" t="inlineStr">
        <is>
          <t>Event Title / Subject</t>
        </is>
      </c>
      <c r="D4" s="13" t="inlineStr">
        <is>
          <t>Type</t>
        </is>
      </c>
      <c r="E4" s="13" t="inlineStr">
        <is>
          <t>Date &amp;
Time</t>
        </is>
      </c>
      <c r="F4" s="13" t="inlineStr">
        <is>
          <t>Venue /
Mode</t>
        </is>
      </c>
      <c r="G4" s="13" t="inlineStr">
        <is>
          <t>Spokesperson(s)</t>
        </is>
      </c>
      <c r="H4" s="13" t="inlineStr">
        <is>
          <t>Media Invited
(No.)</t>
        </is>
      </c>
      <c r="I4" s="13" t="inlineStr">
        <is>
          <t>Media Attended
(No.)</t>
        </is>
      </c>
      <c r="J4" s="13" t="inlineStr">
        <is>
          <t>Coverage
Obtained</t>
        </is>
      </c>
    </row>
    <row r="5" ht="24" customHeight="1">
      <c r="B5" s="14" t="inlineStr">
        <is>
          <t>PC/2024/01</t>
        </is>
      </c>
      <c r="C5" s="15" t="inlineStr"/>
      <c r="D5" s="16" t="inlineStr">
        <is>
          <t>Annual Results Press Conference</t>
        </is>
      </c>
      <c r="E5" s="16" t="inlineStr"/>
      <c r="F5" s="16" t="inlineStr"/>
      <c r="G5" s="15" t="inlineStr"/>
      <c r="H5" s="16" t="inlineStr"/>
      <c r="I5" s="16" t="inlineStr"/>
      <c r="J5" s="16" t="inlineStr"/>
    </row>
    <row r="6" ht="24" customHeight="1">
      <c r="B6" s="8" t="inlineStr">
        <is>
          <t>PC/2024/02</t>
        </is>
      </c>
      <c r="C6" s="9" t="inlineStr"/>
      <c r="D6" s="10" t="inlineStr">
        <is>
          <t>Ranking / Accreditation Announcement</t>
        </is>
      </c>
      <c r="E6" s="10" t="inlineStr"/>
      <c r="F6" s="10" t="inlineStr"/>
      <c r="G6" s="9" t="inlineStr"/>
      <c r="H6" s="10" t="inlineStr"/>
      <c r="I6" s="10" t="inlineStr"/>
      <c r="J6" s="10" t="inlineStr"/>
    </row>
    <row r="7" ht="24" customHeight="1">
      <c r="B7" s="14" t="inlineStr">
        <is>
          <t>PC/2024/03</t>
        </is>
      </c>
      <c r="C7" s="15" t="inlineStr"/>
      <c r="D7" s="16" t="inlineStr">
        <is>
          <t>Partnership MoU Signing</t>
        </is>
      </c>
      <c r="E7" s="16" t="inlineStr"/>
      <c r="F7" s="16" t="inlineStr"/>
      <c r="G7" s="15" t="inlineStr"/>
      <c r="H7" s="16" t="inlineStr"/>
      <c r="I7" s="16" t="inlineStr"/>
      <c r="J7" s="16" t="inlineStr"/>
    </row>
    <row r="8" ht="24" customHeight="1">
      <c r="B8" s="8" t="inlineStr">
        <is>
          <t>PC/2024/04</t>
        </is>
      </c>
      <c r="C8" s="9" t="inlineStr"/>
      <c r="D8" s="10" t="inlineStr">
        <is>
          <t>New Programme Launch</t>
        </is>
      </c>
      <c r="E8" s="10" t="inlineStr"/>
      <c r="F8" s="10" t="inlineStr"/>
      <c r="G8" s="9" t="inlineStr"/>
      <c r="H8" s="10" t="inlineStr"/>
      <c r="I8" s="10" t="inlineStr"/>
      <c r="J8" s="10" t="inlineStr"/>
    </row>
    <row r="9" ht="24" customHeight="1">
      <c r="B9" s="14" t="inlineStr">
        <is>
          <t>PC/2024/05</t>
        </is>
      </c>
      <c r="C9" s="15" t="inlineStr"/>
      <c r="D9" s="16" t="inlineStr">
        <is>
          <t>Achievement Announcement</t>
        </is>
      </c>
      <c r="E9" s="16" t="inlineStr"/>
      <c r="F9" s="16" t="inlineStr"/>
      <c r="G9" s="15" t="inlineStr"/>
      <c r="H9" s="16" t="inlineStr"/>
      <c r="I9" s="16" t="inlineStr"/>
      <c r="J9" s="16" t="inlineStr"/>
    </row>
    <row r="10" ht="24" customHeight="1">
      <c r="B10" s="8" t="inlineStr">
        <is>
          <t>PC/2025/06</t>
        </is>
      </c>
      <c r="C10" s="9" t="inlineStr"/>
      <c r="D10" s="10" t="inlineStr">
        <is>
          <t>Research / Innovation Launch</t>
        </is>
      </c>
      <c r="E10" s="10" t="inlineStr"/>
      <c r="F10" s="10" t="inlineStr"/>
      <c r="G10" s="9" t="inlineStr"/>
      <c r="H10" s="10" t="inlineStr"/>
      <c r="I10" s="10" t="inlineStr"/>
      <c r="J10" s="10" t="inlineStr"/>
    </row>
    <row r="11" ht="24" customHeight="1">
      <c r="B11" s="14" t="inlineStr">
        <is>
          <t>PC/2025/07</t>
        </is>
      </c>
      <c r="C11" s="15" t="inlineStr"/>
      <c r="D11" s="16" t="inlineStr">
        <is>
          <t>Event Preview</t>
        </is>
      </c>
      <c r="E11" s="16" t="inlineStr"/>
      <c r="F11" s="16" t="inlineStr"/>
      <c r="G11" s="15" t="inlineStr"/>
      <c r="H11" s="16" t="inlineStr"/>
      <c r="I11" s="16" t="inlineStr"/>
      <c r="J11" s="16" t="inlineStr"/>
    </row>
    <row r="12" ht="24" customHeight="1">
      <c r="B12" s="8" t="inlineStr">
        <is>
          <t>PC/2025/08</t>
        </is>
      </c>
      <c r="C12" s="9" t="inlineStr"/>
      <c r="D12" s="10" t="inlineStr">
        <is>
          <t>Crisis Briefing</t>
        </is>
      </c>
      <c r="E12" s="10" t="inlineStr"/>
      <c r="F12" s="10" t="inlineStr"/>
      <c r="G12" s="9" t="inlineStr"/>
      <c r="H12" s="10" t="inlineStr"/>
      <c r="I12" s="10" t="inlineStr"/>
      <c r="J12" s="10" t="inlineStr"/>
    </row>
    <row r="13" ht="24" customHeight="1">
      <c r="B13" s="14" t="inlineStr">
        <is>
          <t>PC/2025/09</t>
        </is>
      </c>
      <c r="C13" s="15" t="inlineStr"/>
      <c r="D13" s="16" t="inlineStr">
        <is>
          <t>Award Ceremony Coverage</t>
        </is>
      </c>
      <c r="E13" s="16" t="inlineStr"/>
      <c r="F13" s="16" t="inlineStr"/>
      <c r="G13" s="15" t="inlineStr"/>
      <c r="H13" s="16" t="inlineStr"/>
      <c r="I13" s="16" t="inlineStr"/>
      <c r="J13" s="16" t="inlineStr"/>
    </row>
    <row r="14" ht="24" customHeight="1">
      <c r="B14" s="8" t="inlineStr">
        <is>
          <t>PC/2025/10</t>
        </is>
      </c>
      <c r="C14" s="9" t="inlineStr"/>
      <c r="D14" s="10" t="inlineStr">
        <is>
          <t>Media Walk-through</t>
        </is>
      </c>
      <c r="E14" s="10" t="inlineStr"/>
      <c r="F14" s="10" t="inlineStr"/>
      <c r="G14" s="9" t="inlineStr"/>
      <c r="H14" s="10" t="inlineStr"/>
      <c r="I14" s="10" t="inlineStr"/>
      <c r="J14" s="10" t="inlineStr"/>
    </row>
    <row r="15" ht="24" customHeight="1"/>
    <row r="16" ht="24" customHeight="1">
      <c r="B16" s="39" t="inlineStr">
        <is>
          <t>PRESS KIT CHECKLIST — PER EVENT</t>
        </is>
      </c>
    </row>
    <row r="17" ht="24" customHeight="1">
      <c r="B17" s="40" t="inlineStr">
        <is>
          <t>Event Ref.</t>
        </is>
      </c>
      <c r="C17" s="40" t="inlineStr">
        <is>
          <t>Press Release</t>
        </is>
      </c>
      <c r="D17" s="40" t="inlineStr">
        <is>
          <t>Fact Sheet</t>
        </is>
      </c>
      <c r="E17" s="40" t="inlineStr">
        <is>
          <t>Photo / Logo</t>
        </is>
      </c>
      <c r="F17" s="40" t="inlineStr">
        <is>
          <t>Bio Notes</t>
        </is>
      </c>
      <c r="G17" s="40" t="inlineStr">
        <is>
          <t>Key Messages</t>
        </is>
      </c>
      <c r="H17" s="40" t="inlineStr">
        <is>
          <t>FAQ Sheet</t>
        </is>
      </c>
      <c r="I17" s="40" t="inlineStr">
        <is>
          <t>Media Contact List</t>
        </is>
      </c>
      <c r="J17" s="40" t="inlineStr">
        <is>
          <t>Souvenir / Report</t>
        </is>
      </c>
    </row>
    <row r="18" ht="24" customHeight="1">
      <c r="B18" s="49" t="inlineStr">
        <is>
          <t>PC/2024/01</t>
        </is>
      </c>
      <c r="C18" s="42" t="inlineStr">
        <is>
          <t>Y</t>
        </is>
      </c>
      <c r="D18" s="42" t="inlineStr">
        <is>
          <t>Y</t>
        </is>
      </c>
      <c r="E18" s="42" t="inlineStr">
        <is>
          <t>Y</t>
        </is>
      </c>
      <c r="F18" s="42" t="inlineStr">
        <is>
          <t>Y</t>
        </is>
      </c>
      <c r="G18" s="42" t="inlineStr">
        <is>
          <t>Y</t>
        </is>
      </c>
      <c r="H18" s="42" t="inlineStr">
        <is>
          <t>Y</t>
        </is>
      </c>
      <c r="I18" s="42" t="inlineStr">
        <is>
          <t>Y</t>
        </is>
      </c>
      <c r="J18" s="42" t="inlineStr">
        <is>
          <t>Y</t>
        </is>
      </c>
    </row>
    <row r="19" ht="24" customHeight="1">
      <c r="B19" s="8" t="inlineStr">
        <is>
          <t>PC/2024/02</t>
        </is>
      </c>
      <c r="C19" s="10" t="inlineStr">
        <is>
          <t>Y</t>
        </is>
      </c>
      <c r="D19" s="10" t="inlineStr">
        <is>
          <t>Y</t>
        </is>
      </c>
      <c r="E19" s="10" t="inlineStr">
        <is>
          <t>Y</t>
        </is>
      </c>
      <c r="F19" s="10" t="inlineStr">
        <is>
          <t>Y</t>
        </is>
      </c>
      <c r="G19" s="10" t="inlineStr">
        <is>
          <t>Y</t>
        </is>
      </c>
      <c r="H19" s="10" t="inlineStr">
        <is>
          <t>Y</t>
        </is>
      </c>
      <c r="I19" s="10" t="inlineStr">
        <is>
          <t>Y</t>
        </is>
      </c>
      <c r="J19" s="10" t="inlineStr">
        <is>
          <t>Y</t>
        </is>
      </c>
    </row>
    <row r="20" ht="24" customHeight="1">
      <c r="B20" s="49" t="inlineStr">
        <is>
          <t>PC/2024/03</t>
        </is>
      </c>
      <c r="C20" s="42" t="inlineStr">
        <is>
          <t>Y</t>
        </is>
      </c>
      <c r="D20" s="42" t="inlineStr">
        <is>
          <t>Y</t>
        </is>
      </c>
      <c r="E20" s="42" t="inlineStr">
        <is>
          <t>Y</t>
        </is>
      </c>
      <c r="F20" s="42" t="inlineStr">
        <is>
          <t>Y</t>
        </is>
      </c>
      <c r="G20" s="42" t="inlineStr">
        <is>
          <t>Y</t>
        </is>
      </c>
      <c r="H20" s="42" t="inlineStr">
        <is>
          <t>Y</t>
        </is>
      </c>
      <c r="I20" s="42" t="inlineStr">
        <is>
          <t>Y</t>
        </is>
      </c>
      <c r="J20" s="42" t="inlineStr">
        <is>
          <t>Y</t>
        </is>
      </c>
    </row>
    <row r="21" ht="24" customHeight="1">
      <c r="B21" s="8" t="inlineStr">
        <is>
          <t>PC/2024/04</t>
        </is>
      </c>
      <c r="C21" s="10" t="inlineStr">
        <is>
          <t>Y</t>
        </is>
      </c>
      <c r="D21" s="10" t="inlineStr">
        <is>
          <t>Y</t>
        </is>
      </c>
      <c r="E21" s="10" t="inlineStr">
        <is>
          <t>Y</t>
        </is>
      </c>
      <c r="F21" s="10" t="inlineStr">
        <is>
          <t>Y</t>
        </is>
      </c>
      <c r="G21" s="10" t="inlineStr">
        <is>
          <t>Y</t>
        </is>
      </c>
      <c r="H21" s="10" t="inlineStr">
        <is>
          <t>Y</t>
        </is>
      </c>
      <c r="I21" s="10" t="inlineStr">
        <is>
          <t>Y</t>
        </is>
      </c>
      <c r="J21" s="10" t="inlineStr">
        <is>
          <t>Y</t>
        </is>
      </c>
    </row>
    <row r="22" ht="24" customHeight="1">
      <c r="B22" s="49" t="inlineStr">
        <is>
          <t>PC/2025/05</t>
        </is>
      </c>
      <c r="C22" s="42" t="inlineStr">
        <is>
          <t>Y</t>
        </is>
      </c>
      <c r="D22" s="42" t="inlineStr">
        <is>
          <t>Y</t>
        </is>
      </c>
      <c r="E22" s="42" t="inlineStr">
        <is>
          <t>Y</t>
        </is>
      </c>
      <c r="F22" s="42" t="inlineStr">
        <is>
          <t>Y</t>
        </is>
      </c>
      <c r="G22" s="42" t="inlineStr">
        <is>
          <t>Y</t>
        </is>
      </c>
      <c r="H22" s="42" t="inlineStr">
        <is>
          <t>Y</t>
        </is>
      </c>
      <c r="I22" s="42" t="inlineStr">
        <is>
          <t>Y</t>
        </is>
      </c>
      <c r="J22" s="42" t="inlineStr">
        <is>
          <t>Y</t>
        </is>
      </c>
    </row>
    <row r="23" ht="24" customHeight="1">
      <c r="B23" s="8" t="inlineStr">
        <is>
          <t>PC/2025/06</t>
        </is>
      </c>
      <c r="C23" s="10" t="inlineStr">
        <is>
          <t>Y</t>
        </is>
      </c>
      <c r="D23" s="10" t="inlineStr">
        <is>
          <t>Y</t>
        </is>
      </c>
      <c r="E23" s="10" t="inlineStr">
        <is>
          <t>Y</t>
        </is>
      </c>
      <c r="F23" s="10" t="inlineStr">
        <is>
          <t>Y</t>
        </is>
      </c>
      <c r="G23" s="10" t="inlineStr">
        <is>
          <t>Y</t>
        </is>
      </c>
      <c r="H23" s="10" t="inlineStr">
        <is>
          <t>Y</t>
        </is>
      </c>
      <c r="I23" s="10" t="inlineStr">
        <is>
          <t>Y</t>
        </is>
      </c>
      <c r="J23" s="10" t="inlineStr">
        <is>
          <t>Y</t>
        </is>
      </c>
    </row>
    <row r="24" ht="24" customHeight="1">
      <c r="B24" s="49" t="inlineStr">
        <is>
          <t>PC/2025/07</t>
        </is>
      </c>
      <c r="C24" s="42" t="inlineStr">
        <is>
          <t>Y</t>
        </is>
      </c>
      <c r="D24" s="42" t="inlineStr">
        <is>
          <t>Y</t>
        </is>
      </c>
      <c r="E24" s="42" t="inlineStr">
        <is>
          <t>Y</t>
        </is>
      </c>
      <c r="F24" s="42" t="inlineStr">
        <is>
          <t>Y</t>
        </is>
      </c>
      <c r="G24" s="42" t="inlineStr">
        <is>
          <t>Y</t>
        </is>
      </c>
      <c r="H24" s="42" t="inlineStr">
        <is>
          <t>Y</t>
        </is>
      </c>
      <c r="I24" s="42" t="inlineStr">
        <is>
          <t>Y</t>
        </is>
      </c>
      <c r="J24" s="42" t="inlineStr">
        <is>
          <t>Y</t>
        </is>
      </c>
    </row>
    <row r="25" ht="24" customHeight="1">
      <c r="B25" s="8" t="inlineStr">
        <is>
          <t>PC/2025/08</t>
        </is>
      </c>
      <c r="C25" s="10" t="inlineStr">
        <is>
          <t>Y</t>
        </is>
      </c>
      <c r="D25" s="10" t="inlineStr">
        <is>
          <t>Y</t>
        </is>
      </c>
      <c r="E25" s="10" t="inlineStr">
        <is>
          <t>Y</t>
        </is>
      </c>
      <c r="F25" s="10" t="inlineStr">
        <is>
          <t>Y</t>
        </is>
      </c>
      <c r="G25" s="10" t="inlineStr">
        <is>
          <t>Y</t>
        </is>
      </c>
      <c r="H25" s="10" t="inlineStr">
        <is>
          <t>Y</t>
        </is>
      </c>
      <c r="I25" s="10" t="inlineStr">
        <is>
          <t>Y</t>
        </is>
      </c>
      <c r="J25" s="10" t="inlineStr">
        <is>
          <t>Y</t>
        </is>
      </c>
    </row>
    <row r="26" ht="24" customHeight="1"/>
    <row r="27" ht="24" customHeight="1"/>
    <row r="28" ht="24" customHeight="1"/>
    <row r="29" ht="24" customHeight="1"/>
    <row r="30" ht="24" customHeight="1"/>
    <row r="31" ht="24" customHeight="1"/>
  </sheetData>
  <mergeCells count="3">
    <mergeCell ref="B16:J16"/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K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8" t="inlineStr">
        <is>
          <t>PMPC-16: MEDIA MONITORING &amp; SENTIMENT ANALYSIS REGISTER</t>
        </is>
      </c>
    </row>
    <row r="3" ht="25" customHeight="1">
      <c r="B3" s="2" t="inlineStr">
        <is>
          <t>A.Y.: _______  Reporting Period: Monthly  Press Relations Officer: ___________________</t>
        </is>
      </c>
    </row>
    <row r="4" ht="25" customHeight="1">
      <c r="B4" s="13" t="inlineStr">
        <is>
          <t>Month</t>
        </is>
      </c>
      <c r="C4" s="13" t="inlineStr">
        <is>
          <t>Total Coverage
Instances</t>
        </is>
      </c>
      <c r="D4" s="13" t="inlineStr">
        <is>
          <t>Print
Coverage</t>
        </is>
      </c>
      <c r="E4" s="13" t="inlineStr">
        <is>
          <t>Digital /
Online</t>
        </is>
      </c>
      <c r="F4" s="13" t="inlineStr">
        <is>
          <t>TV /
Radio</t>
        </is>
      </c>
      <c r="G4" s="13" t="inlineStr">
        <is>
          <t>Social
Media</t>
        </is>
      </c>
      <c r="H4" s="13" t="inlineStr">
        <is>
          <t>Positive
(%)</t>
        </is>
      </c>
      <c r="I4" s="13" t="inlineStr">
        <is>
          <t>Neutral
(%)</t>
        </is>
      </c>
      <c r="J4" s="13" t="inlineStr">
        <is>
          <t>Negative
(%)</t>
        </is>
      </c>
      <c r="K4" s="13" t="inlineStr">
        <is>
          <t>Monthly
Sentiment Score</t>
        </is>
      </c>
    </row>
    <row r="5" ht="22" customHeight="1">
      <c r="B5" s="14" t="inlineStr">
        <is>
          <t>April</t>
        </is>
      </c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>
        <f>IFERROR(ROUND(H5-J5,1),"")</f>
        <v/>
      </c>
    </row>
    <row r="6" ht="22" customHeight="1">
      <c r="B6" s="8" t="inlineStr">
        <is>
          <t>May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>
        <f>IFERROR(ROUND(H6-J6,1),"")</f>
        <v/>
      </c>
    </row>
    <row r="7" ht="22" customHeight="1">
      <c r="B7" s="14" t="inlineStr">
        <is>
          <t>June</t>
        </is>
      </c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>
        <f>IFERROR(ROUND(H7-J7,1),"")</f>
        <v/>
      </c>
    </row>
    <row r="8" ht="22" customHeight="1">
      <c r="B8" s="8" t="inlineStr">
        <is>
          <t>July</t>
        </is>
      </c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>
        <f>IFERROR(ROUND(H8-J8,1),"")</f>
        <v/>
      </c>
    </row>
    <row r="9" ht="22" customHeight="1">
      <c r="B9" s="14" t="inlineStr">
        <is>
          <t>August</t>
        </is>
      </c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>
        <f>IFERROR(ROUND(H9-J9,1),"")</f>
        <v/>
      </c>
    </row>
    <row r="10" ht="22" customHeight="1">
      <c r="B10" s="8" t="inlineStr">
        <is>
          <t>September</t>
        </is>
      </c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>
        <f>IFERROR(ROUND(H10-J10,1),"")</f>
        <v/>
      </c>
    </row>
    <row r="11" ht="22" customHeight="1">
      <c r="B11" s="14" t="inlineStr">
        <is>
          <t>October</t>
        </is>
      </c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>
        <f>IFERROR(ROUND(H11-J11,1),"")</f>
        <v/>
      </c>
    </row>
    <row r="12" ht="22" customHeight="1">
      <c r="B12" s="8" t="inlineStr">
        <is>
          <t>November</t>
        </is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>
        <f>IFERROR(ROUND(H12-J12,1),"")</f>
        <v/>
      </c>
    </row>
    <row r="13" ht="22" customHeight="1">
      <c r="B13" s="14" t="inlineStr">
        <is>
          <t>December</t>
        </is>
      </c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>
        <f>IFERROR(ROUND(H13-J13,1),"")</f>
        <v/>
      </c>
    </row>
    <row r="14" ht="22" customHeight="1">
      <c r="B14" s="8" t="inlineStr">
        <is>
          <t>January</t>
        </is>
      </c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>
        <f>IFERROR(ROUND(H14-J14,1),"")</f>
        <v/>
      </c>
    </row>
    <row r="15" ht="22" customHeight="1">
      <c r="B15" s="14" t="inlineStr">
        <is>
          <t>February</t>
        </is>
      </c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>
        <f>IFERROR(ROUND(H15-J15,1),"")</f>
        <v/>
      </c>
    </row>
    <row r="16" ht="22" customHeight="1">
      <c r="B16" s="8" t="inlineStr">
        <is>
          <t>March</t>
        </is>
      </c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>
        <f>IFERROR(ROUND(H16-J16,1),"")</f>
        <v/>
      </c>
    </row>
    <row r="17" ht="22" customHeight="1"/>
    <row r="18" ht="24" customHeight="1">
      <c r="B18" s="35" t="inlineStr">
        <is>
          <t>ANNUAL MEDIA SENTIMENT SUMMARY</t>
        </is>
      </c>
    </row>
    <row r="19" ht="22" customHeight="1">
      <c r="B19" s="31" t="inlineStr">
        <is>
          <t>Metric</t>
        </is>
      </c>
      <c r="C19" s="31" t="inlineStr">
        <is>
          <t>Value</t>
        </is>
      </c>
      <c r="D19" s="31" t="inlineStr">
        <is>
          <t>Target</t>
        </is>
      </c>
      <c r="E19" s="31" t="inlineStr">
        <is>
          <t>vs. Target</t>
        </is>
      </c>
      <c r="F19" s="31" t="inlineStr">
        <is>
          <t>Top 3
Positive Stories</t>
        </is>
      </c>
      <c r="I19" s="31" t="inlineStr">
        <is>
          <t>Top
Negative</t>
        </is>
      </c>
    </row>
    <row r="20" ht="22" customHeight="1">
      <c r="B20" s="36" t="inlineStr">
        <is>
          <t>Total coverage instances (annual)</t>
        </is>
      </c>
      <c r="C20" s="34" t="inlineStr"/>
      <c r="D20" s="34" t="inlineStr">
        <is>
          <t>≥100</t>
        </is>
      </c>
      <c r="E20" s="34">
        <f>IFERROR(IF(C20&gt;=D20,"Met","Below Target"),"")</f>
        <v/>
      </c>
      <c r="F20" s="46" t="n"/>
      <c r="G20" s="46" t="n"/>
      <c r="H20" s="46" t="n"/>
      <c r="I20" s="46" t="n"/>
      <c r="J20" s="46" t="n"/>
      <c r="K20" s="46" t="n"/>
    </row>
    <row r="21" ht="22" customHeight="1">
      <c r="B21" s="26" t="inlineStr">
        <is>
          <t>Overall positive coverage (%)</t>
        </is>
      </c>
      <c r="C21" s="10" t="inlineStr"/>
      <c r="D21" s="10" t="inlineStr">
        <is>
          <t>≥75%</t>
        </is>
      </c>
      <c r="E21" s="10">
        <f>IFERROR(IF(C21&gt;=D21,"Met","Below Target"),"")</f>
        <v/>
      </c>
      <c r="F21" s="44" t="n"/>
      <c r="G21" s="44" t="n"/>
      <c r="H21" s="44" t="n"/>
      <c r="I21" s="44" t="n"/>
      <c r="J21" s="44" t="n"/>
      <c r="K21" s="44" t="n"/>
    </row>
    <row r="22" ht="22" customHeight="1">
      <c r="B22" s="36" t="inlineStr">
        <is>
          <t>Overall negative coverage (%)</t>
        </is>
      </c>
      <c r="C22" s="34" t="inlineStr"/>
      <c r="D22" s="34" t="inlineStr">
        <is>
          <t>≤5%</t>
        </is>
      </c>
      <c r="E22" s="34">
        <f>IFERROR(IF(C22&gt;=D22,"Met","Below Target"),"")</f>
        <v/>
      </c>
      <c r="F22" s="46" t="n"/>
      <c r="G22" s="46" t="n"/>
      <c r="H22" s="46" t="n"/>
      <c r="I22" s="46" t="n"/>
      <c r="J22" s="46" t="n"/>
      <c r="K22" s="46" t="n"/>
    </row>
    <row r="23" ht="22" customHeight="1">
      <c r="B23" s="26" t="inlineStr">
        <is>
          <t>Avg. monthly reach (digital views)</t>
        </is>
      </c>
      <c r="C23" s="10" t="inlineStr"/>
      <c r="D23" s="10" t="inlineStr">
        <is>
          <t>≥50,000</t>
        </is>
      </c>
      <c r="E23" s="10">
        <f>IFERROR(IF(C23&gt;=D23,"Met","Below Target"),"")</f>
        <v/>
      </c>
      <c r="F23" s="44" t="n"/>
      <c r="G23" s="44" t="n"/>
      <c r="H23" s="44" t="n"/>
      <c r="I23" s="44" t="n"/>
      <c r="J23" s="44" t="n"/>
      <c r="K23" s="44" t="n"/>
    </row>
    <row r="24" ht="22" customHeight="1">
      <c r="B24" s="36" t="inlineStr">
        <is>
          <t>Share of voice vs. peer institutions</t>
        </is>
      </c>
      <c r="C24" s="34" t="inlineStr"/>
      <c r="D24" s="34" t="inlineStr">
        <is>
          <t>Increasing</t>
        </is>
      </c>
      <c r="E24" s="34">
        <f>IFERROR(IF(C24&gt;=D24,"Met","Below Target"),"")</f>
        <v/>
      </c>
      <c r="F24" s="46" t="n"/>
      <c r="G24" s="46" t="n"/>
      <c r="H24" s="46" t="n"/>
      <c r="I24" s="46" t="n"/>
      <c r="J24" s="46" t="n"/>
      <c r="K24" s="46" t="n"/>
    </row>
    <row r="25" ht="22" customHeight="1">
      <c r="B25" s="26" t="inlineStr">
        <is>
          <t>Crisis incidents requiring response</t>
        </is>
      </c>
      <c r="C25" s="10" t="inlineStr"/>
      <c r="D25" s="10" t="inlineStr">
        <is>
          <t>0</t>
        </is>
      </c>
      <c r="E25" s="10">
        <f>IFERROR(IF(C25&gt;=D25,"Met","Below Target"),"")</f>
        <v/>
      </c>
      <c r="F25" s="44" t="n"/>
      <c r="G25" s="44" t="n"/>
      <c r="H25" s="44" t="n"/>
      <c r="I25" s="44" t="n"/>
      <c r="J25" s="44" t="n"/>
      <c r="K25" s="44" t="n"/>
    </row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</sheetData>
  <mergeCells count="3">
    <mergeCell ref="B18:K18"/>
    <mergeCell ref="B3:K3"/>
    <mergeCell ref="B2:K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K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8" t="inlineStr">
        <is>
          <t>PMPC-17: SOCIAL MEDIA PLATFORM REGISTER &amp; STRATEGY</t>
        </is>
      </c>
    </row>
    <row r="3" ht="25" customHeight="1">
      <c r="B3" s="2" t="inlineStr">
        <is>
          <t>A.Y.: _______  Digital Media Manager: ___________________  Social Media Policy Ref.: _______</t>
        </is>
      </c>
    </row>
    <row r="4" ht="25" customHeight="1">
      <c r="B4" s="13" t="inlineStr">
        <is>
          <t>Platform</t>
        </is>
      </c>
      <c r="C4" s="13" t="inlineStr">
        <is>
          <t>Handle / Page URL</t>
        </is>
      </c>
      <c r="D4" s="13" t="inlineStr">
        <is>
          <t>Account
Type</t>
        </is>
      </c>
      <c r="E4" s="13" t="inlineStr">
        <is>
          <t>Admin /
Manager</t>
        </is>
      </c>
      <c r="F4" s="13" t="inlineStr">
        <is>
          <t>Followers
(Start of Year)</t>
        </is>
      </c>
      <c r="G4" s="13" t="inlineStr">
        <is>
          <t>Followers
(Current)</t>
        </is>
      </c>
      <c r="H4" s="13" t="inlineStr">
        <is>
          <t>Growth
%</t>
        </is>
      </c>
      <c r="I4" s="13" t="inlineStr">
        <is>
          <t>Avg. Posts
per Week</t>
        </is>
      </c>
      <c r="J4" s="13" t="inlineStr">
        <is>
          <t>Engagement
Rate %</t>
        </is>
      </c>
      <c r="K4" s="13" t="inlineStr">
        <is>
          <t>Status</t>
        </is>
      </c>
    </row>
    <row r="5" ht="22" customHeight="1">
      <c r="B5" s="45" t="inlineStr">
        <is>
          <t>Facebook</t>
        </is>
      </c>
      <c r="C5" s="15" t="inlineStr"/>
      <c r="D5" s="16" t="inlineStr">
        <is>
          <t>Institutional Page</t>
        </is>
      </c>
      <c r="E5" s="16" t="inlineStr"/>
      <c r="F5" s="16" t="inlineStr"/>
      <c r="G5" s="16" t="inlineStr"/>
      <c r="H5" s="16">
        <f>IFERROR(ROUND((G5-F5)/F5*100,1),"")</f>
        <v/>
      </c>
      <c r="I5" s="16" t="inlineStr"/>
      <c r="J5" s="16" t="inlineStr"/>
      <c r="K5" s="16" t="inlineStr">
        <is>
          <t>Active</t>
        </is>
      </c>
    </row>
    <row r="6" ht="22" customHeight="1">
      <c r="B6" s="26" t="inlineStr">
        <is>
          <t>Instagram</t>
        </is>
      </c>
      <c r="C6" s="9" t="inlineStr"/>
      <c r="D6" s="10" t="inlineStr">
        <is>
          <t>Institutional Account</t>
        </is>
      </c>
      <c r="E6" s="10" t="inlineStr"/>
      <c r="F6" s="10" t="inlineStr"/>
      <c r="G6" s="10" t="inlineStr"/>
      <c r="H6" s="10">
        <f>IFERROR(ROUND((G6-F6)/F6*100,1),"")</f>
        <v/>
      </c>
      <c r="I6" s="10" t="inlineStr"/>
      <c r="J6" s="10" t="inlineStr"/>
      <c r="K6" s="10" t="inlineStr">
        <is>
          <t>Active</t>
        </is>
      </c>
    </row>
    <row r="7" ht="22" customHeight="1">
      <c r="B7" s="45" t="inlineStr">
        <is>
          <t>Twitter / X</t>
        </is>
      </c>
      <c r="C7" s="15" t="inlineStr"/>
      <c r="D7" s="16" t="inlineStr">
        <is>
          <t>Institutional Account</t>
        </is>
      </c>
      <c r="E7" s="16" t="inlineStr"/>
      <c r="F7" s="16" t="inlineStr"/>
      <c r="G7" s="16" t="inlineStr"/>
      <c r="H7" s="16">
        <f>IFERROR(ROUND((G7-F7)/F7*100,1),"")</f>
        <v/>
      </c>
      <c r="I7" s="16" t="inlineStr"/>
      <c r="J7" s="16" t="inlineStr"/>
      <c r="K7" s="16" t="inlineStr">
        <is>
          <t>Active</t>
        </is>
      </c>
    </row>
    <row r="8" ht="22" customHeight="1">
      <c r="B8" s="26" t="inlineStr">
        <is>
          <t>LinkedIn</t>
        </is>
      </c>
      <c r="C8" s="9" t="inlineStr"/>
      <c r="D8" s="10" t="inlineStr">
        <is>
          <t>Institutional Page</t>
        </is>
      </c>
      <c r="E8" s="10" t="inlineStr"/>
      <c r="F8" s="10" t="inlineStr"/>
      <c r="G8" s="10" t="inlineStr"/>
      <c r="H8" s="10">
        <f>IFERROR(ROUND((G8-F8)/F8*100,1),"")</f>
        <v/>
      </c>
      <c r="I8" s="10" t="inlineStr"/>
      <c r="J8" s="10" t="inlineStr"/>
      <c r="K8" s="10" t="inlineStr">
        <is>
          <t>Active</t>
        </is>
      </c>
    </row>
    <row r="9" ht="22" customHeight="1">
      <c r="B9" s="45" t="inlineStr">
        <is>
          <t>YouTube</t>
        </is>
      </c>
      <c r="C9" s="15" t="inlineStr"/>
      <c r="D9" s="16" t="inlineStr">
        <is>
          <t>Official Channel</t>
        </is>
      </c>
      <c r="E9" s="16" t="inlineStr"/>
      <c r="F9" s="16" t="inlineStr"/>
      <c r="G9" s="16" t="inlineStr"/>
      <c r="H9" s="16">
        <f>IFERROR(ROUND((G9-F9)/F9*100,1),"")</f>
        <v/>
      </c>
      <c r="I9" s="16" t="inlineStr"/>
      <c r="J9" s="16" t="inlineStr"/>
      <c r="K9" s="16" t="inlineStr">
        <is>
          <t>Active</t>
        </is>
      </c>
    </row>
    <row r="10" ht="22" customHeight="1">
      <c r="B10" s="26" t="inlineStr">
        <is>
          <t>WhatsApp Channel</t>
        </is>
      </c>
      <c r="C10" s="9" t="inlineStr"/>
      <c r="D10" s="10" t="inlineStr">
        <is>
          <t>Broadcast Channel</t>
        </is>
      </c>
      <c r="E10" s="10" t="inlineStr"/>
      <c r="F10" s="10" t="inlineStr"/>
      <c r="G10" s="10" t="inlineStr"/>
      <c r="H10" s="10">
        <f>IFERROR(ROUND((G10-F10)/F10*100,1),"")</f>
        <v/>
      </c>
      <c r="I10" s="10" t="inlineStr"/>
      <c r="J10" s="10" t="inlineStr"/>
      <c r="K10" s="10" t="inlineStr">
        <is>
          <t>Active</t>
        </is>
      </c>
    </row>
    <row r="11" ht="22" customHeight="1">
      <c r="B11" s="45" t="inlineStr">
        <is>
          <t>Telegram Channel</t>
        </is>
      </c>
      <c r="C11" s="15" t="inlineStr"/>
      <c r="D11" s="16" t="inlineStr">
        <is>
          <t>Information Channel</t>
        </is>
      </c>
      <c r="E11" s="16" t="inlineStr"/>
      <c r="F11" s="16" t="inlineStr"/>
      <c r="G11" s="16" t="inlineStr"/>
      <c r="H11" s="16">
        <f>IFERROR(ROUND((G11-F11)/F11*100,1),"")</f>
        <v/>
      </c>
      <c r="I11" s="16" t="inlineStr"/>
      <c r="J11" s="16" t="inlineStr"/>
      <c r="K11" s="16" t="inlineStr">
        <is>
          <t>Active</t>
        </is>
      </c>
    </row>
    <row r="12" ht="22" customHeight="1">
      <c r="B12" s="26" t="inlineStr">
        <is>
          <t>Koo</t>
        </is>
      </c>
      <c r="C12" s="9" t="inlineStr"/>
      <c r="D12" s="10" t="inlineStr">
        <is>
          <t>Institutional Account</t>
        </is>
      </c>
      <c r="E12" s="10" t="inlineStr"/>
      <c r="F12" s="10" t="inlineStr"/>
      <c r="G12" s="10" t="inlineStr"/>
      <c r="H12" s="10">
        <f>IFERROR(ROUND((G12-F12)/F12*100,1),"")</f>
        <v/>
      </c>
      <c r="I12" s="10" t="inlineStr"/>
      <c r="J12" s="10" t="inlineStr"/>
      <c r="K12" s="10" t="inlineStr">
        <is>
          <t>Active</t>
        </is>
      </c>
    </row>
    <row r="13" ht="22" customHeight="1">
      <c r="B13" s="45" t="inlineStr">
        <is>
          <t>ShareChat</t>
        </is>
      </c>
      <c r="C13" s="15" t="inlineStr"/>
      <c r="D13" s="16" t="inlineStr">
        <is>
          <t>Regional Language Account</t>
        </is>
      </c>
      <c r="E13" s="16" t="inlineStr"/>
      <c r="F13" s="16" t="inlineStr"/>
      <c r="G13" s="16" t="inlineStr"/>
      <c r="H13" s="16">
        <f>IFERROR(ROUND((G13-F13)/F13*100,1),"")</f>
        <v/>
      </c>
      <c r="I13" s="16" t="inlineStr"/>
      <c r="J13" s="16" t="inlineStr"/>
      <c r="K13" s="16" t="inlineStr">
        <is>
          <t>Active</t>
        </is>
      </c>
    </row>
    <row r="14" ht="22" customHeight="1">
      <c r="B14" s="26" t="inlineStr">
        <is>
          <t>Pinterest</t>
        </is>
      </c>
      <c r="C14" s="9" t="inlineStr"/>
      <c r="D14" s="10" t="inlineStr">
        <is>
          <t>Photo Board</t>
        </is>
      </c>
      <c r="E14" s="10" t="inlineStr"/>
      <c r="F14" s="10" t="inlineStr"/>
      <c r="G14" s="10" t="inlineStr"/>
      <c r="H14" s="10">
        <f>IFERROR(ROUND((G14-F14)/F14*100,1),"")</f>
        <v/>
      </c>
      <c r="I14" s="10" t="inlineStr"/>
      <c r="J14" s="10" t="inlineStr"/>
      <c r="K14" s="10" t="inlineStr">
        <is>
          <t>Active</t>
        </is>
      </c>
    </row>
    <row r="15" ht="22" customHeight="1">
      <c r="B15" s="45" t="inlineStr">
        <is>
          <t>Google Business Profile</t>
        </is>
      </c>
      <c r="C15" s="15" t="inlineStr"/>
      <c r="D15" s="16" t="inlineStr">
        <is>
          <t>Location Page</t>
        </is>
      </c>
      <c r="E15" s="16" t="inlineStr"/>
      <c r="F15" s="16" t="inlineStr"/>
      <c r="G15" s="16" t="inlineStr"/>
      <c r="H15" s="16">
        <f>IFERROR(ROUND((G15-F15)/F15*100,1),"")</f>
        <v/>
      </c>
      <c r="I15" s="16" t="inlineStr"/>
      <c r="J15" s="16" t="inlineStr"/>
      <c r="K15" s="16" t="inlineStr">
        <is>
          <t>Active</t>
        </is>
      </c>
    </row>
    <row r="16" ht="22" customHeight="1"/>
    <row r="17" ht="24" customHeight="1">
      <c r="B17" s="39" t="inlineStr">
        <is>
          <t>SOCIAL MEDIA CONTENT POLICY</t>
        </is>
      </c>
    </row>
    <row r="18" ht="22" customHeight="1">
      <c r="B18" s="50" t="inlineStr">
        <is>
          <t>Posting frequency — Facebook / Instagram</t>
        </is>
      </c>
      <c r="C18" s="51" t="inlineStr">
        <is>
          <t>3–4 posts per week</t>
        </is>
      </c>
    </row>
    <row r="19" ht="22" customHeight="1">
      <c r="B19" s="52" t="inlineStr">
        <is>
          <t>Posting frequency — Twitter / X</t>
        </is>
      </c>
      <c r="C19" s="53" t="inlineStr">
        <is>
          <t>Daily</t>
        </is>
      </c>
    </row>
    <row r="20" ht="22" customHeight="1">
      <c r="B20" s="50" t="inlineStr">
        <is>
          <t>Posting frequency — LinkedIn</t>
        </is>
      </c>
      <c r="C20" s="51" t="inlineStr">
        <is>
          <t>3 posts per week</t>
        </is>
      </c>
    </row>
    <row r="21" ht="22" customHeight="1">
      <c r="B21" s="52" t="inlineStr">
        <is>
          <t>Posting frequency — YouTube</t>
        </is>
      </c>
      <c r="C21" s="53" t="inlineStr">
        <is>
          <t>2 videos per month</t>
        </is>
      </c>
    </row>
    <row r="22" ht="22" customHeight="1">
      <c r="B22" s="50" t="inlineStr">
        <is>
          <t>Response time to comments / DMs</t>
        </is>
      </c>
      <c r="C22" s="51" t="inlineStr">
        <is>
          <t>Within 4 hours</t>
        </is>
      </c>
    </row>
    <row r="23" ht="22" customHeight="1">
      <c r="B23" s="52" t="inlineStr">
        <is>
          <t>Content approval required from</t>
        </is>
      </c>
      <c r="C23" s="53" t="inlineStr">
        <is>
          <t>PMPC Coordinator / Chairperson for major announcements</t>
        </is>
      </c>
    </row>
    <row r="24" ht="22" customHeight="1">
      <c r="B24" s="50" t="inlineStr">
        <is>
          <t>Prohibited content</t>
        </is>
      </c>
      <c r="C24" s="51" t="inlineStr">
        <is>
          <t>Political statements, personal opinions, unverified claims, copyright violations</t>
        </is>
      </c>
    </row>
    <row r="25" ht="22" customHeight="1">
      <c r="B25" s="52" t="inlineStr">
        <is>
          <t>Crisis escalation</t>
        </is>
      </c>
      <c r="C25" s="53" t="inlineStr">
        <is>
          <t>Notify Chairperson within 30 minutes of any negative viral post</t>
        </is>
      </c>
    </row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</sheetData>
  <mergeCells count="11">
    <mergeCell ref="C21:K21"/>
    <mergeCell ref="C24:K24"/>
    <mergeCell ref="C25:K25"/>
    <mergeCell ref="C19:K19"/>
    <mergeCell ref="B17:K17"/>
    <mergeCell ref="C22:K22"/>
    <mergeCell ref="C18:K18"/>
    <mergeCell ref="C23:K23"/>
    <mergeCell ref="B2:K2"/>
    <mergeCell ref="C20:K20"/>
    <mergeCell ref="B3:K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K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8" t="inlineStr">
        <is>
          <t>PMPC-18: SOCIAL MEDIA CONTENT CALENDAR</t>
        </is>
      </c>
    </row>
    <row r="3" ht="25" customHeight="1">
      <c r="B3" s="2" t="inlineStr">
        <is>
          <t>Month: _______  A.Y.: _______  Digital Media Manager: ___________________  Approved by: ___________________</t>
        </is>
      </c>
    </row>
    <row r="4" ht="25" customHeight="1">
      <c r="B4" s="13" t="inlineStr">
        <is>
          <t>Date</t>
        </is>
      </c>
      <c r="C4" s="13" t="inlineStr">
        <is>
          <t>Post Title / Topic</t>
        </is>
      </c>
      <c r="D4" s="13" t="inlineStr">
        <is>
          <t>Platform(s)</t>
        </is>
      </c>
      <c r="E4" s="13" t="inlineStr">
        <is>
          <t>Content Type</t>
        </is>
      </c>
      <c r="F4" s="13" t="inlineStr">
        <is>
          <t>Caption
(Draft)</t>
        </is>
      </c>
      <c r="G4" s="13" t="inlineStr">
        <is>
          <t>Visual /
Media</t>
        </is>
      </c>
      <c r="H4" s="13" t="inlineStr">
        <is>
          <t>Hashtags</t>
        </is>
      </c>
      <c r="I4" s="13" t="inlineStr">
        <is>
          <t>Scheduled
Time</t>
        </is>
      </c>
      <c r="J4" s="13" t="inlineStr">
        <is>
          <t>Posted
(Y/N)</t>
        </is>
      </c>
      <c r="K4" s="13" t="inlineStr">
        <is>
          <t>Engagement
(Likes/Views)</t>
        </is>
      </c>
    </row>
    <row r="5" ht="22" customHeight="1">
      <c r="B5" s="16" t="inlineStr"/>
      <c r="C5" s="15" t="inlineStr"/>
      <c r="D5" s="16" t="inlineStr"/>
      <c r="E5" s="16" t="inlineStr">
        <is>
          <t>Achievement Post</t>
        </is>
      </c>
      <c r="F5" s="15" t="inlineStr"/>
      <c r="G5" s="16" t="inlineStr"/>
      <c r="H5" s="15" t="inlineStr"/>
      <c r="I5" s="16" t="inlineStr"/>
      <c r="J5" s="16" t="inlineStr"/>
      <c r="K5" s="16" t="inlineStr"/>
    </row>
    <row r="6" ht="22" customHeight="1">
      <c r="B6" s="10" t="inlineStr"/>
      <c r="C6" s="9" t="inlineStr"/>
      <c r="D6" s="10" t="inlineStr"/>
      <c r="E6" s="10" t="inlineStr">
        <is>
          <t>Event Announcement</t>
        </is>
      </c>
      <c r="F6" s="9" t="inlineStr"/>
      <c r="G6" s="10" t="inlineStr"/>
      <c r="H6" s="9" t="inlineStr"/>
      <c r="I6" s="10" t="inlineStr"/>
      <c r="J6" s="10" t="inlineStr"/>
      <c r="K6" s="10" t="inlineStr"/>
    </row>
    <row r="7" ht="22" customHeight="1">
      <c r="B7" s="16" t="inlineStr"/>
      <c r="C7" s="15" t="inlineStr"/>
      <c r="D7" s="16" t="inlineStr"/>
      <c r="E7" s="16" t="inlineStr">
        <is>
          <t>Event Highlights</t>
        </is>
      </c>
      <c r="F7" s="15" t="inlineStr"/>
      <c r="G7" s="16" t="inlineStr"/>
      <c r="H7" s="15" t="inlineStr"/>
      <c r="I7" s="16" t="inlineStr"/>
      <c r="J7" s="16" t="inlineStr"/>
      <c r="K7" s="16" t="inlineStr"/>
    </row>
    <row r="8" ht="22" customHeight="1">
      <c r="B8" s="10" t="inlineStr"/>
      <c r="C8" s="9" t="inlineStr"/>
      <c r="D8" s="10" t="inlineStr"/>
      <c r="E8" s="10" t="inlineStr">
        <is>
          <t>Did You Know?</t>
        </is>
      </c>
      <c r="F8" s="9" t="inlineStr"/>
      <c r="G8" s="10" t="inlineStr"/>
      <c r="H8" s="9" t="inlineStr"/>
      <c r="I8" s="10" t="inlineStr"/>
      <c r="J8" s="10" t="inlineStr"/>
      <c r="K8" s="10" t="inlineStr"/>
    </row>
    <row r="9" ht="22" customHeight="1">
      <c r="B9" s="16" t="inlineStr"/>
      <c r="C9" s="15" t="inlineStr"/>
      <c r="D9" s="16" t="inlineStr"/>
      <c r="E9" s="16" t="inlineStr">
        <is>
          <t>Student Spotlight</t>
        </is>
      </c>
      <c r="F9" s="15" t="inlineStr"/>
      <c r="G9" s="16" t="inlineStr"/>
      <c r="H9" s="15" t="inlineStr"/>
      <c r="I9" s="16" t="inlineStr"/>
      <c r="J9" s="16" t="inlineStr"/>
      <c r="K9" s="16" t="inlineStr"/>
    </row>
    <row r="10" ht="22" customHeight="1">
      <c r="B10" s="10" t="inlineStr"/>
      <c r="C10" s="9" t="inlineStr"/>
      <c r="D10" s="10" t="inlineStr"/>
      <c r="E10" s="10" t="inlineStr">
        <is>
          <t>Faculty Achievement</t>
        </is>
      </c>
      <c r="F10" s="9" t="inlineStr"/>
      <c r="G10" s="10" t="inlineStr"/>
      <c r="H10" s="9" t="inlineStr"/>
      <c r="I10" s="10" t="inlineStr"/>
      <c r="J10" s="10" t="inlineStr"/>
      <c r="K10" s="10" t="inlineStr"/>
    </row>
    <row r="11" ht="22" customHeight="1">
      <c r="B11" s="16" t="inlineStr"/>
      <c r="C11" s="15" t="inlineStr"/>
      <c r="D11" s="16" t="inlineStr"/>
      <c r="E11" s="16" t="inlineStr">
        <is>
          <t>Quote / Inspiration</t>
        </is>
      </c>
      <c r="F11" s="15" t="inlineStr"/>
      <c r="G11" s="16" t="inlineStr"/>
      <c r="H11" s="15" t="inlineStr"/>
      <c r="I11" s="16" t="inlineStr"/>
      <c r="J11" s="16" t="inlineStr"/>
      <c r="K11" s="16" t="inlineStr"/>
    </row>
    <row r="12" ht="22" customHeight="1">
      <c r="B12" s="10" t="inlineStr"/>
      <c r="C12" s="9" t="inlineStr"/>
      <c r="D12" s="10" t="inlineStr"/>
      <c r="E12" s="10" t="inlineStr">
        <is>
          <t>Research News</t>
        </is>
      </c>
      <c r="F12" s="9" t="inlineStr"/>
      <c r="G12" s="10" t="inlineStr"/>
      <c r="H12" s="9" t="inlineStr"/>
      <c r="I12" s="10" t="inlineStr"/>
      <c r="J12" s="10" t="inlineStr"/>
      <c r="K12" s="10" t="inlineStr"/>
    </row>
    <row r="13" ht="22" customHeight="1">
      <c r="B13" s="16" t="inlineStr"/>
      <c r="C13" s="15" t="inlineStr"/>
      <c r="D13" s="16" t="inlineStr"/>
      <c r="E13" s="16" t="inlineStr">
        <is>
          <t>Placement Success</t>
        </is>
      </c>
      <c r="F13" s="15" t="inlineStr"/>
      <c r="G13" s="16" t="inlineStr"/>
      <c r="H13" s="15" t="inlineStr"/>
      <c r="I13" s="16" t="inlineStr"/>
      <c r="J13" s="16" t="inlineStr"/>
      <c r="K13" s="16" t="inlineStr"/>
    </row>
    <row r="14" ht="22" customHeight="1">
      <c r="B14" s="10" t="inlineStr"/>
      <c r="C14" s="9" t="inlineStr"/>
      <c r="D14" s="10" t="inlineStr"/>
      <c r="E14" s="10" t="inlineStr">
        <is>
          <t>Alumni Story</t>
        </is>
      </c>
      <c r="F14" s="9" t="inlineStr"/>
      <c r="G14" s="10" t="inlineStr"/>
      <c r="H14" s="9" t="inlineStr"/>
      <c r="I14" s="10" t="inlineStr"/>
      <c r="J14" s="10" t="inlineStr"/>
      <c r="K14" s="10" t="inlineStr"/>
    </row>
    <row r="15" ht="22" customHeight="1">
      <c r="B15" s="16" t="inlineStr"/>
      <c r="C15" s="15" t="inlineStr"/>
      <c r="D15" s="16" t="inlineStr"/>
      <c r="E15" s="16" t="inlineStr">
        <is>
          <t>Upcoming Event</t>
        </is>
      </c>
      <c r="F15" s="15" t="inlineStr"/>
      <c r="G15" s="16" t="inlineStr"/>
      <c r="H15" s="15" t="inlineStr"/>
      <c r="I15" s="16" t="inlineStr"/>
      <c r="J15" s="16" t="inlineStr"/>
      <c r="K15" s="16" t="inlineStr"/>
    </row>
    <row r="16" ht="22" customHeight="1">
      <c r="B16" s="10" t="inlineStr"/>
      <c r="C16" s="9" t="inlineStr"/>
      <c r="D16" s="10" t="inlineStr"/>
      <c r="E16" s="10" t="inlineStr">
        <is>
          <t>Contest / Poll</t>
        </is>
      </c>
      <c r="F16" s="9" t="inlineStr"/>
      <c r="G16" s="10" t="inlineStr"/>
      <c r="H16" s="9" t="inlineStr"/>
      <c r="I16" s="10" t="inlineStr"/>
      <c r="J16" s="10" t="inlineStr"/>
      <c r="K16" s="10" t="inlineStr"/>
    </row>
    <row r="17" ht="22" customHeight="1">
      <c r="B17" s="16" t="inlineStr"/>
      <c r="C17" s="15" t="inlineStr"/>
      <c r="D17" s="16" t="inlineStr"/>
      <c r="E17" s="16" t="inlineStr">
        <is>
          <t>Throwback</t>
        </is>
      </c>
      <c r="F17" s="15" t="inlineStr"/>
      <c r="G17" s="16" t="inlineStr"/>
      <c r="H17" s="15" t="inlineStr"/>
      <c r="I17" s="16" t="inlineStr"/>
      <c r="J17" s="16" t="inlineStr"/>
      <c r="K17" s="16" t="inlineStr"/>
    </row>
    <row r="18" ht="22" customHeight="1">
      <c r="B18" s="10" t="inlineStr"/>
      <c r="C18" s="9" t="inlineStr"/>
      <c r="D18" s="10" t="inlineStr"/>
      <c r="E18" s="10" t="inlineStr">
        <is>
          <t>Behind the Scenes</t>
        </is>
      </c>
      <c r="F18" s="9" t="inlineStr"/>
      <c r="G18" s="10" t="inlineStr"/>
      <c r="H18" s="9" t="inlineStr"/>
      <c r="I18" s="10" t="inlineStr"/>
      <c r="J18" s="10" t="inlineStr"/>
      <c r="K18" s="10" t="inlineStr"/>
    </row>
    <row r="19" ht="22" customHeight="1">
      <c r="B19" s="16" t="inlineStr"/>
      <c r="C19" s="15" t="inlineStr"/>
      <c r="D19" s="16" t="inlineStr"/>
      <c r="E19" s="16" t="inlineStr">
        <is>
          <t>Campaign Post</t>
        </is>
      </c>
      <c r="F19" s="15" t="inlineStr"/>
      <c r="G19" s="16" t="inlineStr"/>
      <c r="H19" s="15" t="inlineStr"/>
      <c r="I19" s="16" t="inlineStr"/>
      <c r="J19" s="16" t="inlineStr"/>
      <c r="K19" s="16" t="inlineStr"/>
    </row>
    <row r="20" ht="22" customHeight="1">
      <c r="B20" s="10" t="inlineStr"/>
      <c r="C20" s="9" t="inlineStr"/>
      <c r="D20" s="10" t="inlineStr"/>
      <c r="E20" s="10" t="inlineStr">
        <is>
          <t>Achievement Post</t>
        </is>
      </c>
      <c r="F20" s="9" t="inlineStr"/>
      <c r="G20" s="10" t="inlineStr"/>
      <c r="H20" s="9" t="inlineStr"/>
      <c r="I20" s="10" t="inlineStr"/>
      <c r="J20" s="10" t="inlineStr"/>
      <c r="K20" s="10" t="inlineStr"/>
    </row>
    <row r="21" ht="22" customHeight="1">
      <c r="B21" s="16" t="inlineStr"/>
      <c r="C21" s="15" t="inlineStr"/>
      <c r="D21" s="16" t="inlineStr"/>
      <c r="E21" s="16" t="inlineStr">
        <is>
          <t>Event Announcement</t>
        </is>
      </c>
      <c r="F21" s="15" t="inlineStr"/>
      <c r="G21" s="16" t="inlineStr"/>
      <c r="H21" s="15" t="inlineStr"/>
      <c r="I21" s="16" t="inlineStr"/>
      <c r="J21" s="16" t="inlineStr"/>
      <c r="K21" s="16" t="inlineStr"/>
    </row>
    <row r="22" ht="22" customHeight="1">
      <c r="B22" s="10" t="inlineStr"/>
      <c r="C22" s="9" t="inlineStr"/>
      <c r="D22" s="10" t="inlineStr"/>
      <c r="E22" s="10" t="inlineStr">
        <is>
          <t>Event Highlights</t>
        </is>
      </c>
      <c r="F22" s="9" t="inlineStr"/>
      <c r="G22" s="10" t="inlineStr"/>
      <c r="H22" s="9" t="inlineStr"/>
      <c r="I22" s="10" t="inlineStr"/>
      <c r="J22" s="10" t="inlineStr"/>
      <c r="K22" s="10" t="inlineStr"/>
    </row>
    <row r="23" ht="22" customHeight="1">
      <c r="B23" s="16" t="inlineStr"/>
      <c r="C23" s="15" t="inlineStr"/>
      <c r="D23" s="16" t="inlineStr"/>
      <c r="E23" s="16" t="inlineStr">
        <is>
          <t>Did You Know?</t>
        </is>
      </c>
      <c r="F23" s="15" t="inlineStr"/>
      <c r="G23" s="16" t="inlineStr"/>
      <c r="H23" s="15" t="inlineStr"/>
      <c r="I23" s="16" t="inlineStr"/>
      <c r="J23" s="16" t="inlineStr"/>
      <c r="K23" s="16" t="inlineStr"/>
    </row>
    <row r="24" ht="22" customHeight="1">
      <c r="B24" s="10" t="inlineStr"/>
      <c r="C24" s="9" t="inlineStr"/>
      <c r="D24" s="10" t="inlineStr"/>
      <c r="E24" s="10" t="inlineStr">
        <is>
          <t>Student Spotlight</t>
        </is>
      </c>
      <c r="F24" s="9" t="inlineStr"/>
      <c r="G24" s="10" t="inlineStr"/>
      <c r="H24" s="9" t="inlineStr"/>
      <c r="I24" s="10" t="inlineStr"/>
      <c r="J24" s="10" t="inlineStr"/>
      <c r="K24" s="10" t="inlineStr"/>
    </row>
    <row r="25" ht="22" customHeight="1">
      <c r="B25" s="16" t="inlineStr"/>
      <c r="C25" s="15" t="inlineStr"/>
      <c r="D25" s="16" t="inlineStr"/>
      <c r="E25" s="16" t="inlineStr">
        <is>
          <t>Faculty Achievement</t>
        </is>
      </c>
      <c r="F25" s="15" t="inlineStr"/>
      <c r="G25" s="16" t="inlineStr"/>
      <c r="H25" s="15" t="inlineStr"/>
      <c r="I25" s="16" t="inlineStr"/>
      <c r="J25" s="16" t="inlineStr"/>
      <c r="K25" s="16" t="inlineStr"/>
    </row>
    <row r="26" ht="22" customHeight="1">
      <c r="B26" s="10" t="inlineStr"/>
      <c r="C26" s="9" t="inlineStr"/>
      <c r="D26" s="10" t="inlineStr"/>
      <c r="E26" s="10" t="inlineStr">
        <is>
          <t>Quote / Inspiration</t>
        </is>
      </c>
      <c r="F26" s="9" t="inlineStr"/>
      <c r="G26" s="10" t="inlineStr"/>
      <c r="H26" s="9" t="inlineStr"/>
      <c r="I26" s="10" t="inlineStr"/>
      <c r="J26" s="10" t="inlineStr"/>
      <c r="K26" s="10" t="inlineStr"/>
    </row>
    <row r="27" ht="22" customHeight="1">
      <c r="B27" s="16" t="inlineStr"/>
      <c r="C27" s="15" t="inlineStr"/>
      <c r="D27" s="16" t="inlineStr"/>
      <c r="E27" s="16" t="inlineStr">
        <is>
          <t>Research News</t>
        </is>
      </c>
      <c r="F27" s="15" t="inlineStr"/>
      <c r="G27" s="16" t="inlineStr"/>
      <c r="H27" s="15" t="inlineStr"/>
      <c r="I27" s="16" t="inlineStr"/>
      <c r="J27" s="16" t="inlineStr"/>
      <c r="K27" s="16" t="inlineStr"/>
    </row>
    <row r="28" ht="22" customHeight="1">
      <c r="B28" s="10" t="inlineStr"/>
      <c r="C28" s="9" t="inlineStr"/>
      <c r="D28" s="10" t="inlineStr"/>
      <c r="E28" s="10" t="inlineStr">
        <is>
          <t>Placement Success</t>
        </is>
      </c>
      <c r="F28" s="9" t="inlineStr"/>
      <c r="G28" s="10" t="inlineStr"/>
      <c r="H28" s="9" t="inlineStr"/>
      <c r="I28" s="10" t="inlineStr"/>
      <c r="J28" s="10" t="inlineStr"/>
      <c r="K28" s="10" t="inlineStr"/>
    </row>
    <row r="29" ht="22" customHeight="1">
      <c r="B29" s="16" t="inlineStr"/>
      <c r="C29" s="15" t="inlineStr"/>
      <c r="D29" s="16" t="inlineStr"/>
      <c r="E29" s="16" t="inlineStr">
        <is>
          <t>Alumni Story</t>
        </is>
      </c>
      <c r="F29" s="15" t="inlineStr"/>
      <c r="G29" s="16" t="inlineStr"/>
      <c r="H29" s="15" t="inlineStr"/>
      <c r="I29" s="16" t="inlineStr"/>
      <c r="J29" s="16" t="inlineStr"/>
      <c r="K29" s="16" t="inlineStr"/>
    </row>
    <row r="30" ht="22" customHeight="1">
      <c r="B30" s="10" t="inlineStr"/>
      <c r="C30" s="9" t="inlineStr"/>
      <c r="D30" s="10" t="inlineStr"/>
      <c r="E30" s="10" t="inlineStr">
        <is>
          <t>Upcoming Event</t>
        </is>
      </c>
      <c r="F30" s="9" t="inlineStr"/>
      <c r="G30" s="10" t="inlineStr"/>
      <c r="H30" s="9" t="inlineStr"/>
      <c r="I30" s="10" t="inlineStr"/>
      <c r="J30" s="10" t="inlineStr"/>
      <c r="K30" s="10" t="inlineStr"/>
    </row>
    <row r="31" ht="22" customHeight="1">
      <c r="B31" s="16" t="inlineStr"/>
      <c r="C31" s="15" t="inlineStr"/>
      <c r="D31" s="16" t="inlineStr"/>
      <c r="E31" s="16" t="inlineStr">
        <is>
          <t>Contest / Poll</t>
        </is>
      </c>
      <c r="F31" s="15" t="inlineStr"/>
      <c r="G31" s="16" t="inlineStr"/>
      <c r="H31" s="15" t="inlineStr"/>
      <c r="I31" s="16" t="inlineStr"/>
      <c r="J31" s="16" t="inlineStr"/>
      <c r="K31" s="16" t="inlineStr"/>
    </row>
    <row r="32" ht="22" customHeight="1">
      <c r="B32" s="10" t="inlineStr"/>
      <c r="C32" s="9" t="inlineStr"/>
      <c r="D32" s="10" t="inlineStr"/>
      <c r="E32" s="10" t="inlineStr">
        <is>
          <t>Throwback</t>
        </is>
      </c>
      <c r="F32" s="9" t="inlineStr"/>
      <c r="G32" s="10" t="inlineStr"/>
      <c r="H32" s="9" t="inlineStr"/>
      <c r="I32" s="10" t="inlineStr"/>
      <c r="J32" s="10" t="inlineStr"/>
      <c r="K32" s="10" t="inlineStr"/>
    </row>
    <row r="33" ht="22" customHeight="1"/>
    <row r="34" ht="24" customHeight="1">
      <c r="B34" s="35" t="inlineStr">
        <is>
          <t>WEEKLY POSTING SCHEDULE</t>
        </is>
      </c>
    </row>
    <row r="35" ht="22" customHeight="1">
      <c r="B35" s="31" t="inlineStr">
        <is>
          <t>Week</t>
        </is>
      </c>
      <c r="C35" s="31" t="inlineStr">
        <is>
          <t>Monday</t>
        </is>
      </c>
      <c r="D35" s="31" t="inlineStr">
        <is>
          <t>Tuesday</t>
        </is>
      </c>
      <c r="E35" s="31" t="inlineStr">
        <is>
          <t>Wednesday</t>
        </is>
      </c>
      <c r="F35" s="31" t="inlineStr">
        <is>
          <t>Thursday</t>
        </is>
      </c>
      <c r="G35" s="31" t="inlineStr">
        <is>
          <t>Friday</t>
        </is>
      </c>
      <c r="H35" s="31" t="inlineStr">
        <is>
          <t>Saturday</t>
        </is>
      </c>
      <c r="I35" s="31" t="inlineStr">
        <is>
          <t>Sunday</t>
        </is>
      </c>
      <c r="J35" s="31" t="inlineStr">
        <is>
          <t>Total Posts</t>
        </is>
      </c>
      <c r="K35" s="31" t="inlineStr">
        <is>
          <t>Notes</t>
        </is>
      </c>
    </row>
    <row r="36" ht="22" customHeight="1">
      <c r="B36" s="32" t="inlineStr">
        <is>
          <t>Week 1</t>
        </is>
      </c>
      <c r="C36" s="33" t="inlineStr"/>
      <c r="D36" s="33" t="inlineStr"/>
      <c r="E36" s="33" t="inlineStr"/>
      <c r="F36" s="33" t="inlineStr"/>
      <c r="G36" s="33" t="inlineStr"/>
      <c r="H36" s="33" t="inlineStr"/>
      <c r="I36" s="33" t="inlineStr"/>
      <c r="J36" s="34">
        <f>IFERROR(COUNTA(C36:I36),"")</f>
        <v/>
      </c>
      <c r="K36" s="33" t="inlineStr"/>
    </row>
    <row r="37" ht="22" customHeight="1">
      <c r="B37" s="8" t="inlineStr">
        <is>
          <t>Week 2</t>
        </is>
      </c>
      <c r="C37" s="9" t="inlineStr"/>
      <c r="D37" s="9" t="inlineStr"/>
      <c r="E37" s="9" t="inlineStr"/>
      <c r="F37" s="9" t="inlineStr"/>
      <c r="G37" s="9" t="inlineStr"/>
      <c r="H37" s="9" t="inlineStr"/>
      <c r="I37" s="9" t="inlineStr"/>
      <c r="J37" s="10">
        <f>IFERROR(COUNTA(C37:I37),"")</f>
        <v/>
      </c>
      <c r="K37" s="9" t="inlineStr"/>
    </row>
    <row r="38" ht="22" customHeight="1">
      <c r="B38" s="32" t="inlineStr">
        <is>
          <t>Week 3</t>
        </is>
      </c>
      <c r="C38" s="33" t="inlineStr"/>
      <c r="D38" s="33" t="inlineStr"/>
      <c r="E38" s="33" t="inlineStr"/>
      <c r="F38" s="33" t="inlineStr"/>
      <c r="G38" s="33" t="inlineStr"/>
      <c r="H38" s="33" t="inlineStr"/>
      <c r="I38" s="33" t="inlineStr"/>
      <c r="J38" s="34">
        <f>IFERROR(COUNTA(C38:I38),"")</f>
        <v/>
      </c>
      <c r="K38" s="33" t="inlineStr"/>
    </row>
    <row r="39" ht="22" customHeight="1">
      <c r="B39" s="8" t="inlineStr">
        <is>
          <t>Week 4</t>
        </is>
      </c>
      <c r="C39" s="9" t="inlineStr"/>
      <c r="D39" s="9" t="inlineStr"/>
      <c r="E39" s="9" t="inlineStr"/>
      <c r="F39" s="9" t="inlineStr"/>
      <c r="G39" s="9" t="inlineStr"/>
      <c r="H39" s="9" t="inlineStr"/>
      <c r="I39" s="9" t="inlineStr"/>
      <c r="J39" s="10">
        <f>IFERROR(COUNTA(C39:I39),"")</f>
        <v/>
      </c>
      <c r="K39" s="9" t="inlineStr"/>
    </row>
    <row r="40">
      <c r="B40" s="32" t="inlineStr">
        <is>
          <t>Week 5</t>
        </is>
      </c>
      <c r="C40" s="33" t="inlineStr"/>
      <c r="D40" s="33" t="inlineStr"/>
      <c r="E40" s="33" t="inlineStr"/>
      <c r="F40" s="33" t="inlineStr"/>
      <c r="G40" s="33" t="inlineStr"/>
      <c r="H40" s="33" t="inlineStr"/>
      <c r="I40" s="33" t="inlineStr"/>
      <c r="J40" s="34">
        <f>IFERROR(COUNTA(C40:I40),"")</f>
        <v/>
      </c>
      <c r="K40" s="33" t="inlineStr"/>
    </row>
  </sheetData>
  <mergeCells count="3">
    <mergeCell ref="B34:K34"/>
    <mergeCell ref="B3:K3"/>
    <mergeCell ref="B2:K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K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8" t="inlineStr">
        <is>
          <t>PMPC-19: SOCIAL MEDIA ANALYTICS &amp; PERFORMANCE REGISTER</t>
        </is>
      </c>
    </row>
    <row r="3" ht="25" customHeight="1">
      <c r="B3" s="2" t="inlineStr">
        <is>
          <t>A.Y.: _______  Reporting Period: Monthly  Digital Media Manager: ___________________</t>
        </is>
      </c>
    </row>
    <row r="4" ht="25" customHeight="1">
      <c r="B4" s="13" t="inlineStr">
        <is>
          <t>Platform</t>
        </is>
      </c>
      <c r="C4" s="13" t="inlineStr">
        <is>
          <t>Followers
Start</t>
        </is>
      </c>
      <c r="D4" s="13" t="inlineStr">
        <is>
          <t>Followers
End</t>
        </is>
      </c>
      <c r="E4" s="13" t="inlineStr">
        <is>
          <t>Net Growth</t>
        </is>
      </c>
      <c r="F4" s="13" t="inlineStr">
        <is>
          <t>Posts
Published</t>
        </is>
      </c>
      <c r="G4" s="13" t="inlineStr">
        <is>
          <t>Total
Reach</t>
        </is>
      </c>
      <c r="H4" s="13" t="inlineStr">
        <is>
          <t>Total
Engagements</t>
        </is>
      </c>
      <c r="I4" s="13" t="inlineStr">
        <is>
          <t>Engagement
Rate %</t>
        </is>
      </c>
      <c r="J4" s="13" t="inlineStr">
        <is>
          <t>Top
Performing Post</t>
        </is>
      </c>
      <c r="K4" s="13" t="inlineStr">
        <is>
          <t>Remarks</t>
        </is>
      </c>
    </row>
    <row r="5" ht="22" customHeight="1">
      <c r="B5" s="45" t="inlineStr">
        <is>
          <t>Facebook</t>
        </is>
      </c>
      <c r="C5" s="16" t="inlineStr"/>
      <c r="D5" s="16" t="inlineStr"/>
      <c r="E5" s="16">
        <f>IFERROR(D5-C5,"")</f>
        <v/>
      </c>
      <c r="F5" s="16" t="inlineStr"/>
      <c r="G5" s="16" t="inlineStr"/>
      <c r="H5" s="16" t="inlineStr"/>
      <c r="I5" s="54">
        <f>IFERROR(ROUND(H5/G5*100,2),"")</f>
        <v/>
      </c>
      <c r="J5" s="15" t="inlineStr"/>
      <c r="K5" s="15" t="inlineStr"/>
    </row>
    <row r="6" ht="22" customHeight="1">
      <c r="B6" s="26" t="inlineStr">
        <is>
          <t>Instagram</t>
        </is>
      </c>
      <c r="C6" s="10" t="inlineStr"/>
      <c r="D6" s="10" t="inlineStr"/>
      <c r="E6" s="10">
        <f>IFERROR(D6-C6,"")</f>
        <v/>
      </c>
      <c r="F6" s="10" t="inlineStr"/>
      <c r="G6" s="10" t="inlineStr"/>
      <c r="H6" s="10" t="inlineStr"/>
      <c r="I6" s="38">
        <f>IFERROR(ROUND(H6/G6*100,2),"")</f>
        <v/>
      </c>
      <c r="J6" s="9" t="inlineStr"/>
      <c r="K6" s="9" t="inlineStr"/>
    </row>
    <row r="7" ht="22" customHeight="1">
      <c r="B7" s="45" t="inlineStr">
        <is>
          <t>Twitter / X</t>
        </is>
      </c>
      <c r="C7" s="16" t="inlineStr"/>
      <c r="D7" s="16" t="inlineStr"/>
      <c r="E7" s="16">
        <f>IFERROR(D7-C7,"")</f>
        <v/>
      </c>
      <c r="F7" s="16" t="inlineStr"/>
      <c r="G7" s="16" t="inlineStr"/>
      <c r="H7" s="16" t="inlineStr"/>
      <c r="I7" s="54">
        <f>IFERROR(ROUND(H7/G7*100,2),"")</f>
        <v/>
      </c>
      <c r="J7" s="15" t="inlineStr"/>
      <c r="K7" s="15" t="inlineStr"/>
    </row>
    <row r="8" ht="22" customHeight="1">
      <c r="B8" s="26" t="inlineStr">
        <is>
          <t>LinkedIn</t>
        </is>
      </c>
      <c r="C8" s="10" t="inlineStr"/>
      <c r="D8" s="10" t="inlineStr"/>
      <c r="E8" s="10">
        <f>IFERROR(D8-C8,"")</f>
        <v/>
      </c>
      <c r="F8" s="10" t="inlineStr"/>
      <c r="G8" s="10" t="inlineStr"/>
      <c r="H8" s="10" t="inlineStr"/>
      <c r="I8" s="38">
        <f>IFERROR(ROUND(H8/G8*100,2),"")</f>
        <v/>
      </c>
      <c r="J8" s="9" t="inlineStr"/>
      <c r="K8" s="9" t="inlineStr"/>
    </row>
    <row r="9" ht="22" customHeight="1">
      <c r="B9" s="45" t="inlineStr">
        <is>
          <t>YouTube</t>
        </is>
      </c>
      <c r="C9" s="16" t="inlineStr"/>
      <c r="D9" s="16" t="inlineStr"/>
      <c r="E9" s="16">
        <f>IFERROR(D9-C9,"")</f>
        <v/>
      </c>
      <c r="F9" s="16" t="inlineStr"/>
      <c r="G9" s="16" t="inlineStr"/>
      <c r="H9" s="16" t="inlineStr"/>
      <c r="I9" s="54">
        <f>IFERROR(ROUND(H9/G9*100,2),"")</f>
        <v/>
      </c>
      <c r="J9" s="15" t="inlineStr"/>
      <c r="K9" s="15" t="inlineStr"/>
    </row>
    <row r="10" ht="22" customHeight="1">
      <c r="B10" s="26" t="inlineStr">
        <is>
          <t>WhatsApp Channel</t>
        </is>
      </c>
      <c r="C10" s="10" t="inlineStr"/>
      <c r="D10" s="10" t="inlineStr"/>
      <c r="E10" s="10">
        <f>IFERROR(D10-C10,"")</f>
        <v/>
      </c>
      <c r="F10" s="10" t="inlineStr"/>
      <c r="G10" s="10" t="inlineStr"/>
      <c r="H10" s="10" t="inlineStr"/>
      <c r="I10" s="38">
        <f>IFERROR(ROUND(H10/G10*100,2),"")</f>
        <v/>
      </c>
      <c r="J10" s="9" t="inlineStr"/>
      <c r="K10" s="9" t="inlineStr"/>
    </row>
    <row r="11" ht="22" customHeight="1">
      <c r="B11" s="45" t="inlineStr">
        <is>
          <t>Telegram</t>
        </is>
      </c>
      <c r="C11" s="16" t="inlineStr"/>
      <c r="D11" s="16" t="inlineStr"/>
      <c r="E11" s="16">
        <f>IFERROR(D11-C11,"")</f>
        <v/>
      </c>
      <c r="F11" s="16" t="inlineStr"/>
      <c r="G11" s="16" t="inlineStr"/>
      <c r="H11" s="16" t="inlineStr"/>
      <c r="I11" s="54">
        <f>IFERROR(ROUND(H11/G11*100,2),"")</f>
        <v/>
      </c>
      <c r="J11" s="15" t="inlineStr"/>
      <c r="K11" s="15" t="inlineStr"/>
    </row>
    <row r="12" ht="22" customHeight="1"/>
    <row r="13" ht="24" customHeight="1">
      <c r="B13" s="35" t="inlineStr">
        <is>
          <t>MONTHLY ANALYTICS TREND</t>
        </is>
      </c>
    </row>
    <row r="14" ht="22" customHeight="1">
      <c r="B14" s="31" t="inlineStr">
        <is>
          <t>Month</t>
        </is>
      </c>
      <c r="C14" s="31" t="inlineStr">
        <is>
          <t>Total
Followers
(All Platforms)</t>
        </is>
      </c>
      <c r="D14" s="31" t="inlineStr">
        <is>
          <t>Net
Follower Growth</t>
        </is>
      </c>
      <c r="E14" s="31" t="inlineStr">
        <is>
          <t>Total Posts</t>
        </is>
      </c>
      <c r="F14" s="31" t="inlineStr">
        <is>
          <t>Total Reach</t>
        </is>
      </c>
      <c r="G14" s="31" t="inlineStr">
        <is>
          <t>Total
Engagements</t>
        </is>
      </c>
      <c r="H14" s="31" t="inlineStr">
        <is>
          <t>Avg. Engagement
Rate %</t>
        </is>
      </c>
      <c r="I14" s="31" t="inlineStr">
        <is>
          <t>Best Platform</t>
        </is>
      </c>
      <c r="J14" s="31" t="inlineStr">
        <is>
          <t>Best Content
Type</t>
        </is>
      </c>
      <c r="K14" s="31" t="inlineStr">
        <is>
          <t>Notes</t>
        </is>
      </c>
    </row>
    <row r="15" ht="22" customHeight="1">
      <c r="B15" s="32" t="inlineStr">
        <is>
          <t>April</t>
        </is>
      </c>
      <c r="C15" s="34" t="inlineStr"/>
      <c r="D15" s="34" t="inlineStr"/>
      <c r="E15" s="34" t="inlineStr"/>
      <c r="F15" s="34" t="inlineStr"/>
      <c r="G15" s="34" t="inlineStr"/>
      <c r="H15" s="34" t="inlineStr"/>
      <c r="I15" s="33" t="inlineStr"/>
      <c r="J15" s="33" t="inlineStr"/>
      <c r="K15" s="33" t="inlineStr"/>
    </row>
    <row r="16" ht="22" customHeight="1">
      <c r="B16" s="8" t="inlineStr">
        <is>
          <t>May</t>
        </is>
      </c>
      <c r="C16" s="10" t="inlineStr"/>
      <c r="D16" s="10" t="inlineStr"/>
      <c r="E16" s="10" t="inlineStr"/>
      <c r="F16" s="10" t="inlineStr"/>
      <c r="G16" s="10" t="inlineStr"/>
      <c r="H16" s="10" t="inlineStr"/>
      <c r="I16" s="9" t="inlineStr"/>
      <c r="J16" s="9" t="inlineStr"/>
      <c r="K16" s="9" t="inlineStr"/>
    </row>
    <row r="17" ht="22" customHeight="1">
      <c r="B17" s="32" t="inlineStr">
        <is>
          <t>June</t>
        </is>
      </c>
      <c r="C17" s="34" t="inlineStr"/>
      <c r="D17" s="34" t="inlineStr"/>
      <c r="E17" s="34" t="inlineStr"/>
      <c r="F17" s="34" t="inlineStr"/>
      <c r="G17" s="34" t="inlineStr"/>
      <c r="H17" s="34" t="inlineStr"/>
      <c r="I17" s="33" t="inlineStr"/>
      <c r="J17" s="33" t="inlineStr"/>
      <c r="K17" s="33" t="inlineStr"/>
    </row>
    <row r="18" ht="22" customHeight="1">
      <c r="B18" s="8" t="inlineStr">
        <is>
          <t>July</t>
        </is>
      </c>
      <c r="C18" s="10" t="inlineStr"/>
      <c r="D18" s="10" t="inlineStr"/>
      <c r="E18" s="10" t="inlineStr"/>
      <c r="F18" s="10" t="inlineStr"/>
      <c r="G18" s="10" t="inlineStr"/>
      <c r="H18" s="10" t="inlineStr"/>
      <c r="I18" s="9" t="inlineStr"/>
      <c r="J18" s="9" t="inlineStr"/>
      <c r="K18" s="9" t="inlineStr"/>
    </row>
    <row r="19" ht="22" customHeight="1">
      <c r="B19" s="32" t="inlineStr">
        <is>
          <t>August</t>
        </is>
      </c>
      <c r="C19" s="34" t="inlineStr"/>
      <c r="D19" s="34" t="inlineStr"/>
      <c r="E19" s="34" t="inlineStr"/>
      <c r="F19" s="34" t="inlineStr"/>
      <c r="G19" s="34" t="inlineStr"/>
      <c r="H19" s="34" t="inlineStr"/>
      <c r="I19" s="33" t="inlineStr"/>
      <c r="J19" s="33" t="inlineStr"/>
      <c r="K19" s="33" t="inlineStr"/>
    </row>
    <row r="20" ht="22" customHeight="1">
      <c r="B20" s="8" t="inlineStr">
        <is>
          <t>September</t>
        </is>
      </c>
      <c r="C20" s="10" t="inlineStr"/>
      <c r="D20" s="10" t="inlineStr"/>
      <c r="E20" s="10" t="inlineStr"/>
      <c r="F20" s="10" t="inlineStr"/>
      <c r="G20" s="10" t="inlineStr"/>
      <c r="H20" s="10" t="inlineStr"/>
      <c r="I20" s="9" t="inlineStr"/>
      <c r="J20" s="9" t="inlineStr"/>
      <c r="K20" s="9" t="inlineStr"/>
    </row>
    <row r="21" ht="22" customHeight="1">
      <c r="B21" s="32" t="inlineStr">
        <is>
          <t>October</t>
        </is>
      </c>
      <c r="C21" s="34" t="inlineStr"/>
      <c r="D21" s="34" t="inlineStr"/>
      <c r="E21" s="34" t="inlineStr"/>
      <c r="F21" s="34" t="inlineStr"/>
      <c r="G21" s="34" t="inlineStr"/>
      <c r="H21" s="34" t="inlineStr"/>
      <c r="I21" s="33" t="inlineStr"/>
      <c r="J21" s="33" t="inlineStr"/>
      <c r="K21" s="33" t="inlineStr"/>
    </row>
    <row r="22" ht="22" customHeight="1">
      <c r="B22" s="8" t="inlineStr">
        <is>
          <t>November</t>
        </is>
      </c>
      <c r="C22" s="10" t="inlineStr"/>
      <c r="D22" s="10" t="inlineStr"/>
      <c r="E22" s="10" t="inlineStr"/>
      <c r="F22" s="10" t="inlineStr"/>
      <c r="G22" s="10" t="inlineStr"/>
      <c r="H22" s="10" t="inlineStr"/>
      <c r="I22" s="9" t="inlineStr"/>
      <c r="J22" s="9" t="inlineStr"/>
      <c r="K22" s="9" t="inlineStr"/>
    </row>
    <row r="23" ht="22" customHeight="1">
      <c r="B23" s="32" t="inlineStr">
        <is>
          <t>December</t>
        </is>
      </c>
      <c r="C23" s="34" t="inlineStr"/>
      <c r="D23" s="34" t="inlineStr"/>
      <c r="E23" s="34" t="inlineStr"/>
      <c r="F23" s="34" t="inlineStr"/>
      <c r="G23" s="34" t="inlineStr"/>
      <c r="H23" s="34" t="inlineStr"/>
      <c r="I23" s="33" t="inlineStr"/>
      <c r="J23" s="33" t="inlineStr"/>
      <c r="K23" s="33" t="inlineStr"/>
    </row>
    <row r="24" ht="22" customHeight="1">
      <c r="B24" s="8" t="inlineStr">
        <is>
          <t>January</t>
        </is>
      </c>
      <c r="C24" s="10" t="inlineStr"/>
      <c r="D24" s="10" t="inlineStr"/>
      <c r="E24" s="10" t="inlineStr"/>
      <c r="F24" s="10" t="inlineStr"/>
      <c r="G24" s="10" t="inlineStr"/>
      <c r="H24" s="10" t="inlineStr"/>
      <c r="I24" s="9" t="inlineStr"/>
      <c r="J24" s="9" t="inlineStr"/>
      <c r="K24" s="9" t="inlineStr"/>
    </row>
    <row r="25" ht="22" customHeight="1">
      <c r="B25" s="32" t="inlineStr">
        <is>
          <t>February</t>
        </is>
      </c>
      <c r="C25" s="34" t="inlineStr"/>
      <c r="D25" s="34" t="inlineStr"/>
      <c r="E25" s="34" t="inlineStr"/>
      <c r="F25" s="34" t="inlineStr"/>
      <c r="G25" s="34" t="inlineStr"/>
      <c r="H25" s="34" t="inlineStr"/>
      <c r="I25" s="33" t="inlineStr"/>
      <c r="J25" s="33" t="inlineStr"/>
      <c r="K25" s="33" t="inlineStr"/>
    </row>
    <row r="26" ht="22" customHeight="1">
      <c r="B26" s="8" t="inlineStr">
        <is>
          <t>March</t>
        </is>
      </c>
      <c r="C26" s="10" t="inlineStr"/>
      <c r="D26" s="10" t="inlineStr"/>
      <c r="E26" s="10" t="inlineStr"/>
      <c r="F26" s="10" t="inlineStr"/>
      <c r="G26" s="10" t="inlineStr"/>
      <c r="H26" s="10" t="inlineStr"/>
      <c r="I26" s="9" t="inlineStr"/>
      <c r="J26" s="9" t="inlineStr"/>
      <c r="K26" s="9" t="inlineStr"/>
    </row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</sheetData>
  <mergeCells count="3">
    <mergeCell ref="B13:K13"/>
    <mergeCell ref="B3:K3"/>
    <mergeCell ref="B2:K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K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8" t="inlineStr">
        <is>
          <t>PMPC-21: PHOTOGRAPHY &amp; VIDEOGRAPHY REGISTER</t>
        </is>
      </c>
    </row>
    <row r="3" ht="25" customHeight="1">
      <c r="B3" s="2" t="inlineStr">
        <is>
          <t>A.Y.: _______  Photography Coordinator: ___________________  Videography Coordinator: ___________________</t>
        </is>
      </c>
    </row>
    <row r="4" ht="25" customHeight="1">
      <c r="B4" s="13" t="inlineStr">
        <is>
          <t>Shoot
Ref.</t>
        </is>
      </c>
      <c r="C4" s="13" t="inlineStr">
        <is>
          <t>Event / Subject</t>
        </is>
      </c>
      <c r="D4" s="13" t="inlineStr">
        <is>
          <t>Date</t>
        </is>
      </c>
      <c r="E4" s="13" t="inlineStr">
        <is>
          <t>Type</t>
        </is>
      </c>
      <c r="F4" s="13" t="inlineStr">
        <is>
          <t>Photographer
/ Videographer</t>
        </is>
      </c>
      <c r="G4" s="13" t="inlineStr">
        <is>
          <t>Photos
Taken</t>
        </is>
      </c>
      <c r="H4" s="13" t="inlineStr">
        <is>
          <t>Videos
Shot</t>
        </is>
      </c>
      <c r="I4" s="13" t="inlineStr">
        <is>
          <t>Edited
&amp; Archived</t>
        </is>
      </c>
      <c r="J4" s="13" t="inlineStr">
        <is>
          <t>Used In</t>
        </is>
      </c>
      <c r="K4" s="13" t="inlineStr">
        <is>
          <t>Storage
Location</t>
        </is>
      </c>
    </row>
    <row r="5" ht="22" customHeight="1">
      <c r="B5" s="14" t="inlineStr">
        <is>
          <t>SHOOT/001</t>
        </is>
      </c>
      <c r="C5" s="15" t="inlineStr"/>
      <c r="D5" s="16" t="inlineStr"/>
      <c r="E5" s="16" t="inlineStr">
        <is>
          <t>Event Photography</t>
        </is>
      </c>
      <c r="F5" s="16" t="inlineStr"/>
      <c r="G5" s="16" t="inlineStr"/>
      <c r="H5" s="16" t="inlineStr"/>
      <c r="I5" s="16" t="inlineStr">
        <is>
          <t>Y</t>
        </is>
      </c>
      <c r="J5" s="16" t="inlineStr">
        <is>
          <t>Newsletter</t>
        </is>
      </c>
      <c r="K5" s="16" t="inlineStr">
        <is>
          <t>Google Drive / NAS</t>
        </is>
      </c>
    </row>
    <row r="6" ht="22" customHeight="1">
      <c r="B6" s="8" t="inlineStr">
        <is>
          <t>SHOOT/002</t>
        </is>
      </c>
      <c r="C6" s="9" t="inlineStr"/>
      <c r="D6" s="10" t="inlineStr"/>
      <c r="E6" s="10" t="inlineStr">
        <is>
          <t>Convocation</t>
        </is>
      </c>
      <c r="F6" s="10" t="inlineStr"/>
      <c r="G6" s="10" t="inlineStr"/>
      <c r="H6" s="10" t="inlineStr"/>
      <c r="I6" s="10" t="inlineStr">
        <is>
          <t>Y</t>
        </is>
      </c>
      <c r="J6" s="10" t="inlineStr">
        <is>
          <t>Social Media</t>
        </is>
      </c>
      <c r="K6" s="10" t="inlineStr">
        <is>
          <t>Google Drive / NAS</t>
        </is>
      </c>
    </row>
    <row r="7" ht="22" customHeight="1">
      <c r="B7" s="14" t="inlineStr">
        <is>
          <t>SHOOT/003</t>
        </is>
      </c>
      <c r="C7" s="15" t="inlineStr"/>
      <c r="D7" s="16" t="inlineStr"/>
      <c r="E7" s="16" t="inlineStr">
        <is>
          <t>Academic Function</t>
        </is>
      </c>
      <c r="F7" s="16" t="inlineStr"/>
      <c r="G7" s="16" t="inlineStr"/>
      <c r="H7" s="16" t="inlineStr"/>
      <c r="I7" s="16" t="inlineStr">
        <is>
          <t>Y</t>
        </is>
      </c>
      <c r="J7" s="16" t="inlineStr">
        <is>
          <t>Website</t>
        </is>
      </c>
      <c r="K7" s="16" t="inlineStr">
        <is>
          <t>Google Drive / NAS</t>
        </is>
      </c>
    </row>
    <row r="8" ht="22" customHeight="1">
      <c r="B8" s="8" t="inlineStr">
        <is>
          <t>SHOOT/004</t>
        </is>
      </c>
      <c r="C8" s="9" t="inlineStr"/>
      <c r="D8" s="10" t="inlineStr"/>
      <c r="E8" s="10" t="inlineStr">
        <is>
          <t>Sports Event</t>
        </is>
      </c>
      <c r="F8" s="10" t="inlineStr"/>
      <c r="G8" s="10" t="inlineStr"/>
      <c r="H8" s="10" t="inlineStr"/>
      <c r="I8" s="10" t="inlineStr">
        <is>
          <t>Y</t>
        </is>
      </c>
      <c r="J8" s="10" t="inlineStr">
        <is>
          <t>Annual Report</t>
        </is>
      </c>
      <c r="K8" s="10" t="inlineStr">
        <is>
          <t>Google Drive / NAS</t>
        </is>
      </c>
    </row>
    <row r="9" ht="22" customHeight="1">
      <c r="B9" s="14" t="inlineStr">
        <is>
          <t>SHOOT/005</t>
        </is>
      </c>
      <c r="C9" s="15" t="inlineStr"/>
      <c r="D9" s="16" t="inlineStr"/>
      <c r="E9" s="16" t="inlineStr">
        <is>
          <t>Cultural Event</t>
        </is>
      </c>
      <c r="F9" s="16" t="inlineStr"/>
      <c r="G9" s="16" t="inlineStr"/>
      <c r="H9" s="16" t="inlineStr"/>
      <c r="I9" s="16" t="inlineStr">
        <is>
          <t>Y</t>
        </is>
      </c>
      <c r="J9" s="16" t="inlineStr">
        <is>
          <t>Press Kit</t>
        </is>
      </c>
      <c r="K9" s="16" t="inlineStr">
        <is>
          <t>Google Drive / NAS</t>
        </is>
      </c>
    </row>
    <row r="10" ht="22" customHeight="1">
      <c r="B10" s="8" t="inlineStr">
        <is>
          <t>SHOOT/006</t>
        </is>
      </c>
      <c r="C10" s="9" t="inlineStr"/>
      <c r="D10" s="10" t="inlineStr"/>
      <c r="E10" s="10" t="inlineStr">
        <is>
          <t>Institutional Milestone</t>
        </is>
      </c>
      <c r="F10" s="10" t="inlineStr"/>
      <c r="G10" s="10" t="inlineStr"/>
      <c r="H10" s="10" t="inlineStr"/>
      <c r="I10" s="10" t="inlineStr">
        <is>
          <t>Y</t>
        </is>
      </c>
      <c r="J10" s="10" t="inlineStr">
        <is>
          <t>Brochure</t>
        </is>
      </c>
      <c r="K10" s="10" t="inlineStr">
        <is>
          <t>Google Drive / NAS</t>
        </is>
      </c>
    </row>
    <row r="11" ht="22" customHeight="1">
      <c r="B11" s="14" t="inlineStr">
        <is>
          <t>SHOOT/007</t>
        </is>
      </c>
      <c r="C11" s="15" t="inlineStr"/>
      <c r="D11" s="16" t="inlineStr"/>
      <c r="E11" s="16" t="inlineStr">
        <is>
          <t>Campus Life</t>
        </is>
      </c>
      <c r="F11" s="16" t="inlineStr"/>
      <c r="G11" s="16" t="inlineStr"/>
      <c r="H11" s="16" t="inlineStr"/>
      <c r="I11" s="16" t="inlineStr">
        <is>
          <t>Y</t>
        </is>
      </c>
      <c r="J11" s="16" t="inlineStr">
        <is>
          <t>Newsletter</t>
        </is>
      </c>
      <c r="K11" s="16" t="inlineStr">
        <is>
          <t>Google Drive / NAS</t>
        </is>
      </c>
    </row>
    <row r="12" ht="22" customHeight="1">
      <c r="B12" s="8" t="inlineStr">
        <is>
          <t>SHOOT/008</t>
        </is>
      </c>
      <c r="C12" s="9" t="inlineStr"/>
      <c r="D12" s="10" t="inlineStr"/>
      <c r="E12" s="10" t="inlineStr">
        <is>
          <t>Research Documentation</t>
        </is>
      </c>
      <c r="F12" s="10" t="inlineStr"/>
      <c r="G12" s="10" t="inlineStr"/>
      <c r="H12" s="10" t="inlineStr"/>
      <c r="I12" s="10" t="inlineStr">
        <is>
          <t>Y</t>
        </is>
      </c>
      <c r="J12" s="10" t="inlineStr">
        <is>
          <t>Social Media</t>
        </is>
      </c>
      <c r="K12" s="10" t="inlineStr">
        <is>
          <t>Google Drive / NAS</t>
        </is>
      </c>
    </row>
    <row r="13" ht="22" customHeight="1">
      <c r="B13" s="14" t="inlineStr">
        <is>
          <t>SHOOT/009</t>
        </is>
      </c>
      <c r="C13" s="15" t="inlineStr"/>
      <c r="D13" s="16" t="inlineStr"/>
      <c r="E13" s="16" t="inlineStr">
        <is>
          <t>Infrastructure Shoot</t>
        </is>
      </c>
      <c r="F13" s="16" t="inlineStr"/>
      <c r="G13" s="16" t="inlineStr"/>
      <c r="H13" s="16" t="inlineStr"/>
      <c r="I13" s="16" t="inlineStr">
        <is>
          <t>Y</t>
        </is>
      </c>
      <c r="J13" s="16" t="inlineStr">
        <is>
          <t>Website</t>
        </is>
      </c>
      <c r="K13" s="16" t="inlineStr">
        <is>
          <t>Google Drive / NAS</t>
        </is>
      </c>
    </row>
    <row r="14" ht="22" customHeight="1">
      <c r="B14" s="8" t="inlineStr">
        <is>
          <t>SHOOT/010</t>
        </is>
      </c>
      <c r="C14" s="9" t="inlineStr"/>
      <c r="D14" s="10" t="inlineStr"/>
      <c r="E14" s="10" t="inlineStr">
        <is>
          <t>Faculty Portrait</t>
        </is>
      </c>
      <c r="F14" s="10" t="inlineStr"/>
      <c r="G14" s="10" t="inlineStr"/>
      <c r="H14" s="10" t="inlineStr"/>
      <c r="I14" s="10" t="inlineStr">
        <is>
          <t>Y</t>
        </is>
      </c>
      <c r="J14" s="10" t="inlineStr">
        <is>
          <t>Annual Report</t>
        </is>
      </c>
      <c r="K14" s="10" t="inlineStr">
        <is>
          <t>Google Drive / NAS</t>
        </is>
      </c>
    </row>
    <row r="15" ht="22" customHeight="1">
      <c r="B15" s="14" t="inlineStr">
        <is>
          <t>SHOOT/011</t>
        </is>
      </c>
      <c r="C15" s="15" t="inlineStr"/>
      <c r="D15" s="16" t="inlineStr"/>
      <c r="E15" s="16" t="inlineStr">
        <is>
          <t>Student Achievement</t>
        </is>
      </c>
      <c r="F15" s="16" t="inlineStr"/>
      <c r="G15" s="16" t="inlineStr"/>
      <c r="H15" s="16" t="inlineStr"/>
      <c r="I15" s="16" t="inlineStr">
        <is>
          <t>Y</t>
        </is>
      </c>
      <c r="J15" s="16" t="inlineStr">
        <is>
          <t>Press Kit</t>
        </is>
      </c>
      <c r="K15" s="16" t="inlineStr">
        <is>
          <t>Google Drive / NAS</t>
        </is>
      </c>
    </row>
    <row r="16" ht="22" customHeight="1">
      <c r="B16" s="8" t="inlineStr">
        <is>
          <t>SHOOT/012</t>
        </is>
      </c>
      <c r="C16" s="9" t="inlineStr"/>
      <c r="D16" s="10" t="inlineStr"/>
      <c r="E16" s="10" t="inlineStr">
        <is>
          <t>Video Documentary</t>
        </is>
      </c>
      <c r="F16" s="10" t="inlineStr"/>
      <c r="G16" s="10" t="inlineStr"/>
      <c r="H16" s="10" t="inlineStr"/>
      <c r="I16" s="10" t="inlineStr">
        <is>
          <t>Y</t>
        </is>
      </c>
      <c r="J16" s="10" t="inlineStr">
        <is>
          <t>Brochure</t>
        </is>
      </c>
      <c r="K16" s="10" t="inlineStr">
        <is>
          <t>Google Drive / NAS</t>
        </is>
      </c>
    </row>
    <row r="17" ht="22" customHeight="1">
      <c r="B17" s="14" t="inlineStr">
        <is>
          <t>SHOOT/013</t>
        </is>
      </c>
      <c r="C17" s="15" t="inlineStr"/>
      <c r="D17" s="16" t="inlineStr"/>
      <c r="E17" s="16" t="inlineStr">
        <is>
          <t>Promotional Video</t>
        </is>
      </c>
      <c r="F17" s="16" t="inlineStr"/>
      <c r="G17" s="16" t="inlineStr"/>
      <c r="H17" s="16" t="inlineStr"/>
      <c r="I17" s="16" t="inlineStr">
        <is>
          <t>Y</t>
        </is>
      </c>
      <c r="J17" s="16" t="inlineStr">
        <is>
          <t>Newsletter</t>
        </is>
      </c>
      <c r="K17" s="16" t="inlineStr">
        <is>
          <t>Google Drive / NAS</t>
        </is>
      </c>
    </row>
    <row r="18" ht="22" customHeight="1">
      <c r="B18" s="8" t="inlineStr">
        <is>
          <t>SHOOT/014</t>
        </is>
      </c>
      <c r="C18" s="9" t="inlineStr"/>
      <c r="D18" s="10" t="inlineStr"/>
      <c r="E18" s="10" t="inlineStr">
        <is>
          <t>Social Media Reel</t>
        </is>
      </c>
      <c r="F18" s="10" t="inlineStr"/>
      <c r="G18" s="10" t="inlineStr"/>
      <c r="H18" s="10" t="inlineStr"/>
      <c r="I18" s="10" t="inlineStr">
        <is>
          <t>Y</t>
        </is>
      </c>
      <c r="J18" s="10" t="inlineStr">
        <is>
          <t>Social Media</t>
        </is>
      </c>
      <c r="K18" s="10" t="inlineStr">
        <is>
          <t>Google Drive / NAS</t>
        </is>
      </c>
    </row>
    <row r="19" ht="22" customHeight="1">
      <c r="B19" s="14" t="inlineStr">
        <is>
          <t>SHOOT/015</t>
        </is>
      </c>
      <c r="C19" s="15" t="inlineStr"/>
      <c r="D19" s="16" t="inlineStr"/>
      <c r="E19" s="16" t="inlineStr">
        <is>
          <t>Website Shoot</t>
        </is>
      </c>
      <c r="F19" s="16" t="inlineStr"/>
      <c r="G19" s="16" t="inlineStr"/>
      <c r="H19" s="16" t="inlineStr"/>
      <c r="I19" s="16" t="inlineStr">
        <is>
          <t>Y</t>
        </is>
      </c>
      <c r="J19" s="16" t="inlineStr">
        <is>
          <t>Website</t>
        </is>
      </c>
      <c r="K19" s="16" t="inlineStr">
        <is>
          <t>Google Drive / NAS</t>
        </is>
      </c>
    </row>
    <row r="20" ht="22" customHeight="1">
      <c r="B20" s="8" t="inlineStr">
        <is>
          <t>SHOOT/016</t>
        </is>
      </c>
      <c r="C20" s="9" t="inlineStr"/>
      <c r="D20" s="10" t="inlineStr"/>
      <c r="E20" s="10" t="inlineStr">
        <is>
          <t>Event Photography</t>
        </is>
      </c>
      <c r="F20" s="10" t="inlineStr"/>
      <c r="G20" s="10" t="inlineStr"/>
      <c r="H20" s="10" t="inlineStr"/>
      <c r="I20" s="10" t="inlineStr">
        <is>
          <t>Y</t>
        </is>
      </c>
      <c r="J20" s="10" t="inlineStr">
        <is>
          <t>Annual Report</t>
        </is>
      </c>
      <c r="K20" s="10" t="inlineStr">
        <is>
          <t>Google Drive / NAS</t>
        </is>
      </c>
    </row>
    <row r="21" ht="22" customHeight="1">
      <c r="B21" s="14" t="inlineStr">
        <is>
          <t>SHOOT/017</t>
        </is>
      </c>
      <c r="C21" s="15" t="inlineStr"/>
      <c r="D21" s="16" t="inlineStr"/>
      <c r="E21" s="16" t="inlineStr">
        <is>
          <t>Convocation</t>
        </is>
      </c>
      <c r="F21" s="16" t="inlineStr"/>
      <c r="G21" s="16" t="inlineStr"/>
      <c r="H21" s="16" t="inlineStr"/>
      <c r="I21" s="16" t="inlineStr">
        <is>
          <t>Y</t>
        </is>
      </c>
      <c r="J21" s="16" t="inlineStr">
        <is>
          <t>Press Kit</t>
        </is>
      </c>
      <c r="K21" s="16" t="inlineStr">
        <is>
          <t>Google Drive / NAS</t>
        </is>
      </c>
    </row>
    <row r="22" ht="22" customHeight="1">
      <c r="B22" s="8" t="inlineStr">
        <is>
          <t>SHOOT/018</t>
        </is>
      </c>
      <c r="C22" s="9" t="inlineStr"/>
      <c r="D22" s="10" t="inlineStr"/>
      <c r="E22" s="10" t="inlineStr">
        <is>
          <t>Academic Function</t>
        </is>
      </c>
      <c r="F22" s="10" t="inlineStr"/>
      <c r="G22" s="10" t="inlineStr"/>
      <c r="H22" s="10" t="inlineStr"/>
      <c r="I22" s="10" t="inlineStr">
        <is>
          <t>Y</t>
        </is>
      </c>
      <c r="J22" s="10" t="inlineStr">
        <is>
          <t>Brochure</t>
        </is>
      </c>
      <c r="K22" s="10" t="inlineStr">
        <is>
          <t>Google Drive / NAS</t>
        </is>
      </c>
    </row>
    <row r="23" ht="22" customHeight="1">
      <c r="B23" s="14" t="inlineStr">
        <is>
          <t>SHOOT/019</t>
        </is>
      </c>
      <c r="C23" s="15" t="inlineStr"/>
      <c r="D23" s="16" t="inlineStr"/>
      <c r="E23" s="16" t="inlineStr">
        <is>
          <t>Sports Event</t>
        </is>
      </c>
      <c r="F23" s="16" t="inlineStr"/>
      <c r="G23" s="16" t="inlineStr"/>
      <c r="H23" s="16" t="inlineStr"/>
      <c r="I23" s="16" t="inlineStr">
        <is>
          <t>Y</t>
        </is>
      </c>
      <c r="J23" s="16" t="inlineStr">
        <is>
          <t>Newsletter</t>
        </is>
      </c>
      <c r="K23" s="16" t="inlineStr">
        <is>
          <t>Google Drive / NAS</t>
        </is>
      </c>
    </row>
    <row r="24" ht="22" customHeight="1">
      <c r="B24" s="8" t="inlineStr">
        <is>
          <t>SHOOT/020</t>
        </is>
      </c>
      <c r="C24" s="9" t="inlineStr"/>
      <c r="D24" s="10" t="inlineStr"/>
      <c r="E24" s="10" t="inlineStr">
        <is>
          <t>Cultural Event</t>
        </is>
      </c>
      <c r="F24" s="10" t="inlineStr"/>
      <c r="G24" s="10" t="inlineStr"/>
      <c r="H24" s="10" t="inlineStr"/>
      <c r="I24" s="10" t="inlineStr">
        <is>
          <t>Y</t>
        </is>
      </c>
      <c r="J24" s="10" t="inlineStr">
        <is>
          <t>Social Media</t>
        </is>
      </c>
      <c r="K24" s="10" t="inlineStr">
        <is>
          <t>Google Drive / NAS</t>
        </is>
      </c>
    </row>
    <row r="25" ht="22" customHeight="1">
      <c r="B25" s="14" t="inlineStr">
        <is>
          <t>SHOOT/021</t>
        </is>
      </c>
      <c r="C25" s="15" t="inlineStr"/>
      <c r="D25" s="16" t="inlineStr"/>
      <c r="E25" s="16" t="inlineStr">
        <is>
          <t>Institutional Milestone</t>
        </is>
      </c>
      <c r="F25" s="16" t="inlineStr"/>
      <c r="G25" s="16" t="inlineStr"/>
      <c r="H25" s="16" t="inlineStr"/>
      <c r="I25" s="16" t="inlineStr">
        <is>
          <t>Y</t>
        </is>
      </c>
      <c r="J25" s="16" t="inlineStr">
        <is>
          <t>Website</t>
        </is>
      </c>
      <c r="K25" s="16" t="inlineStr">
        <is>
          <t>Google Drive / NAS</t>
        </is>
      </c>
    </row>
    <row r="26" ht="22" customHeight="1">
      <c r="B26" s="8" t="inlineStr">
        <is>
          <t>SHOOT/022</t>
        </is>
      </c>
      <c r="C26" s="9" t="inlineStr"/>
      <c r="D26" s="10" t="inlineStr"/>
      <c r="E26" s="10" t="inlineStr">
        <is>
          <t>Campus Life</t>
        </is>
      </c>
      <c r="F26" s="10" t="inlineStr"/>
      <c r="G26" s="10" t="inlineStr"/>
      <c r="H26" s="10" t="inlineStr"/>
      <c r="I26" s="10" t="inlineStr">
        <is>
          <t>Y</t>
        </is>
      </c>
      <c r="J26" s="10" t="inlineStr">
        <is>
          <t>Annual Report</t>
        </is>
      </c>
      <c r="K26" s="10" t="inlineStr">
        <is>
          <t>Google Drive / NAS</t>
        </is>
      </c>
    </row>
    <row r="27" ht="22" customHeight="1"/>
    <row r="28" ht="24" customHeight="1">
      <c r="B28" s="35" t="inlineStr">
        <is>
          <t>MEDIA ASSET LIBRARY SUMMARY</t>
        </is>
      </c>
    </row>
    <row r="29" ht="22" customHeight="1">
      <c r="B29" s="31" t="inlineStr">
        <is>
          <t>Asset Type</t>
        </is>
      </c>
      <c r="C29" s="31" t="inlineStr">
        <is>
          <t>Total Assets</t>
        </is>
      </c>
      <c r="D29" s="31" t="inlineStr">
        <is>
          <t>This Year</t>
        </is>
      </c>
      <c r="E29" s="31" t="inlineStr">
        <is>
          <t>Archived</t>
        </is>
      </c>
      <c r="F29" s="31" t="inlineStr">
        <is>
          <t>Used in Publications</t>
        </is>
      </c>
      <c r="G29" s="31" t="inlineStr">
        <is>
          <t>Storage Used (GB)</t>
        </is>
      </c>
      <c r="H29" s="31" t="inlineStr">
        <is>
          <t>Access Level</t>
        </is>
      </c>
    </row>
    <row r="30" ht="22" customHeight="1">
      <c r="B30" s="36" t="inlineStr">
        <is>
          <t>Photographs</t>
        </is>
      </c>
      <c r="C30" s="34" t="inlineStr"/>
      <c r="D30" s="34" t="inlineStr"/>
      <c r="E30" s="34" t="inlineStr"/>
      <c r="F30" s="34" t="inlineStr"/>
      <c r="G30" s="34" t="inlineStr"/>
      <c r="H30" s="34" t="inlineStr">
        <is>
          <t>Internal</t>
        </is>
      </c>
      <c r="I30" s="46" t="n"/>
      <c r="J30" s="46" t="n"/>
      <c r="K30" s="46" t="n"/>
    </row>
    <row r="31" ht="22" customHeight="1">
      <c r="B31" s="26" t="inlineStr">
        <is>
          <t>Event Videos</t>
        </is>
      </c>
      <c r="C31" s="10" t="inlineStr"/>
      <c r="D31" s="10" t="inlineStr"/>
      <c r="E31" s="10" t="inlineStr"/>
      <c r="F31" s="10" t="inlineStr"/>
      <c r="G31" s="10" t="inlineStr"/>
      <c r="H31" s="10" t="inlineStr">
        <is>
          <t>Internal</t>
        </is>
      </c>
      <c r="I31" s="44" t="n"/>
      <c r="J31" s="44" t="n"/>
      <c r="K31" s="44" t="n"/>
    </row>
    <row r="32" ht="22" customHeight="1">
      <c r="B32" s="36" t="inlineStr">
        <is>
          <t>Promotional Videos</t>
        </is>
      </c>
      <c r="C32" s="34" t="inlineStr"/>
      <c r="D32" s="34" t="inlineStr"/>
      <c r="E32" s="34" t="inlineStr"/>
      <c r="F32" s="34" t="inlineStr"/>
      <c r="G32" s="34" t="inlineStr"/>
      <c r="H32" s="34" t="inlineStr">
        <is>
          <t>Internal</t>
        </is>
      </c>
      <c r="I32" s="46" t="n"/>
      <c r="J32" s="46" t="n"/>
      <c r="K32" s="46" t="n"/>
    </row>
    <row r="33" ht="22" customHeight="1">
      <c r="B33" s="26" t="inlineStr">
        <is>
          <t>Reels / Shorts</t>
        </is>
      </c>
      <c r="C33" s="10" t="inlineStr"/>
      <c r="D33" s="10" t="inlineStr"/>
      <c r="E33" s="10" t="inlineStr"/>
      <c r="F33" s="10" t="inlineStr"/>
      <c r="G33" s="10" t="inlineStr"/>
      <c r="H33" s="10" t="inlineStr">
        <is>
          <t>Internal</t>
        </is>
      </c>
      <c r="I33" s="44" t="n"/>
      <c r="J33" s="44" t="n"/>
      <c r="K33" s="44" t="n"/>
    </row>
    <row r="34" ht="22" customHeight="1">
      <c r="B34" s="36" t="inlineStr">
        <is>
          <t>Infographics / Posters</t>
        </is>
      </c>
      <c r="C34" s="34" t="inlineStr"/>
      <c r="D34" s="34" t="inlineStr"/>
      <c r="E34" s="34" t="inlineStr"/>
      <c r="F34" s="34" t="inlineStr"/>
      <c r="G34" s="34" t="inlineStr"/>
      <c r="H34" s="34" t="inlineStr">
        <is>
          <t>Internal</t>
        </is>
      </c>
      <c r="I34" s="46" t="n"/>
      <c r="J34" s="46" t="n"/>
      <c r="K34" s="46" t="n"/>
    </row>
    <row r="35" ht="22" customHeight="1">
      <c r="B35" s="26" t="inlineStr">
        <is>
          <t>Logos &amp; Brand Assets</t>
        </is>
      </c>
      <c r="C35" s="10" t="inlineStr"/>
      <c r="D35" s="10" t="inlineStr"/>
      <c r="E35" s="10" t="inlineStr"/>
      <c r="F35" s="10" t="inlineStr"/>
      <c r="G35" s="10" t="inlineStr"/>
      <c r="H35" s="10" t="inlineStr">
        <is>
          <t>Internal</t>
        </is>
      </c>
      <c r="I35" s="44" t="n"/>
      <c r="J35" s="44" t="n"/>
      <c r="K35" s="44" t="n"/>
    </row>
    <row r="36">
      <c r="B36" s="36" t="inlineStr">
        <is>
          <t>Archive (Pre 2020)</t>
        </is>
      </c>
      <c r="C36" s="34" t="inlineStr"/>
      <c r="D36" s="34" t="inlineStr"/>
      <c r="E36" s="34" t="inlineStr"/>
      <c r="F36" s="34" t="inlineStr"/>
      <c r="G36" s="34" t="inlineStr"/>
      <c r="H36" s="34" t="inlineStr">
        <is>
          <t>Internal</t>
        </is>
      </c>
      <c r="I36" s="46" t="n"/>
      <c r="J36" s="46" t="n"/>
      <c r="K36" s="46" t="n"/>
    </row>
  </sheetData>
  <mergeCells count="3">
    <mergeCell ref="B28:K28"/>
    <mergeCell ref="B3:K3"/>
    <mergeCell ref="B2:K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I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6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8" t="inlineStr">
        <is>
          <t>PMPC-25: CRISIS COMMUNICATION REGISTER</t>
        </is>
      </c>
    </row>
    <row r="3" ht="20" customHeight="1">
      <c r="B3" s="17" t="inlineStr">
        <is>
          <t>RESTRICTED ACCESS — Activate crisis protocol within 2 hours. Chairperson (Principal) must be the only authorised spokesperson. No staff to communicate with media without approval.</t>
        </is>
      </c>
    </row>
    <row r="4" ht="25" customHeight="1">
      <c r="B4" s="40" t="inlineStr">
        <is>
          <t>Incident
Ref.</t>
        </is>
      </c>
      <c r="C4" s="40" t="inlineStr">
        <is>
          <t>Nature of Incident / Crisis</t>
        </is>
      </c>
      <c r="D4" s="40" t="inlineStr">
        <is>
          <t>Date /
Time Occurred</t>
        </is>
      </c>
      <c r="E4" s="40" t="inlineStr">
        <is>
          <t>First
Response Time</t>
        </is>
      </c>
      <c r="F4" s="40" t="inlineStr">
        <is>
          <t>Spokesperson</t>
        </is>
      </c>
      <c r="G4" s="40" t="inlineStr">
        <is>
          <t>Media
Inquiries</t>
        </is>
      </c>
      <c r="H4" s="40" t="inlineStr">
        <is>
          <t>Communication
Issued</t>
        </is>
      </c>
      <c r="I4" s="40" t="inlineStr">
        <is>
          <t>Resolution
Status</t>
        </is>
      </c>
    </row>
    <row r="5" ht="26" customHeight="1">
      <c r="B5" s="49" t="inlineStr">
        <is>
          <t>CRISIS/2024/001</t>
        </is>
      </c>
      <c r="C5" s="55" t="inlineStr">
        <is>
          <t>Negative media story</t>
        </is>
      </c>
      <c r="D5" s="42" t="inlineStr"/>
      <c r="E5" s="42" t="inlineStr"/>
      <c r="F5" s="42" t="inlineStr">
        <is>
          <t>Principal</t>
        </is>
      </c>
      <c r="G5" s="42" t="inlineStr"/>
      <c r="H5" s="42" t="inlineStr"/>
      <c r="I5" s="42" t="inlineStr">
        <is>
          <t>Resolved</t>
        </is>
      </c>
    </row>
    <row r="6" ht="26" customHeight="1">
      <c r="B6" s="8" t="inlineStr">
        <is>
          <t>CRISIS/2024/002</t>
        </is>
      </c>
      <c r="C6" s="9" t="inlineStr">
        <is>
          <t>Social media viral post (negative)</t>
        </is>
      </c>
      <c r="D6" s="10" t="inlineStr"/>
      <c r="E6" s="10" t="inlineStr"/>
      <c r="F6" s="10" t="inlineStr">
        <is>
          <t>Principal</t>
        </is>
      </c>
      <c r="G6" s="10" t="inlineStr"/>
      <c r="H6" s="10" t="inlineStr"/>
      <c r="I6" s="10" t="inlineStr">
        <is>
          <t>Resolved</t>
        </is>
      </c>
    </row>
    <row r="7" ht="26" customHeight="1">
      <c r="B7" s="49" t="inlineStr">
        <is>
          <t>CRISIS/2024/003</t>
        </is>
      </c>
      <c r="C7" s="55" t="inlineStr">
        <is>
          <t>Student incident (publicly reported)</t>
        </is>
      </c>
      <c r="D7" s="42" t="inlineStr"/>
      <c r="E7" s="42" t="inlineStr"/>
      <c r="F7" s="42" t="inlineStr">
        <is>
          <t>Principal</t>
        </is>
      </c>
      <c r="G7" s="42" t="inlineStr"/>
      <c r="H7" s="42" t="inlineStr"/>
      <c r="I7" s="42" t="inlineStr">
        <is>
          <t>Resolved</t>
        </is>
      </c>
    </row>
    <row r="8" ht="26" customHeight="1">
      <c r="B8" s="8" t="inlineStr">
        <is>
          <t>CRISIS/2024/004</t>
        </is>
      </c>
      <c r="C8" s="9" t="inlineStr">
        <is>
          <t>Faculty controversy</t>
        </is>
      </c>
      <c r="D8" s="10" t="inlineStr"/>
      <c r="E8" s="10" t="inlineStr"/>
      <c r="F8" s="10" t="inlineStr">
        <is>
          <t>Principal</t>
        </is>
      </c>
      <c r="G8" s="10" t="inlineStr"/>
      <c r="H8" s="10" t="inlineStr"/>
      <c r="I8" s="10" t="inlineStr">
        <is>
          <t>Resolved</t>
        </is>
      </c>
    </row>
    <row r="9" ht="26" customHeight="1">
      <c r="B9" s="49" t="inlineStr">
        <is>
          <t>CRISIS/2024/005</t>
        </is>
      </c>
      <c r="C9" s="55" t="inlineStr">
        <is>
          <t>Exam / result dispute (media)</t>
        </is>
      </c>
      <c r="D9" s="42" t="inlineStr"/>
      <c r="E9" s="42" t="inlineStr"/>
      <c r="F9" s="42" t="inlineStr">
        <is>
          <t>Principal</t>
        </is>
      </c>
      <c r="G9" s="42" t="inlineStr"/>
      <c r="H9" s="42" t="inlineStr"/>
      <c r="I9" s="42" t="inlineStr">
        <is>
          <t>Resolved</t>
        </is>
      </c>
    </row>
    <row r="10" ht="26" customHeight="1">
      <c r="B10" s="8" t="inlineStr">
        <is>
          <t>CRISIS/2025/006</t>
        </is>
      </c>
      <c r="C10" s="9" t="inlineStr">
        <is>
          <t>Infrastructure failure (reported)</t>
        </is>
      </c>
      <c r="D10" s="10" t="inlineStr"/>
      <c r="E10" s="10" t="inlineStr"/>
      <c r="F10" s="10" t="inlineStr">
        <is>
          <t>Principal</t>
        </is>
      </c>
      <c r="G10" s="10" t="inlineStr"/>
      <c r="H10" s="10" t="inlineStr"/>
      <c r="I10" s="10" t="inlineStr">
        <is>
          <t>Resolved</t>
        </is>
      </c>
    </row>
    <row r="11" ht="26" customHeight="1">
      <c r="B11" s="49" t="inlineStr">
        <is>
          <t>CRISIS/2025/007</t>
        </is>
      </c>
      <c r="C11" s="55" t="inlineStr">
        <is>
          <t>Accreditation concern (media)</t>
        </is>
      </c>
      <c r="D11" s="42" t="inlineStr"/>
      <c r="E11" s="42" t="inlineStr"/>
      <c r="F11" s="42" t="inlineStr">
        <is>
          <t>Principal</t>
        </is>
      </c>
      <c r="G11" s="42" t="inlineStr"/>
      <c r="H11" s="42" t="inlineStr"/>
      <c r="I11" s="42" t="inlineStr">
        <is>
          <t>Resolved</t>
        </is>
      </c>
    </row>
    <row r="12" ht="26" customHeight="1">
      <c r="B12" s="8" t="inlineStr">
        <is>
          <t>CRISIS/2025/008</t>
        </is>
      </c>
      <c r="C12" s="9" t="inlineStr">
        <is>
          <t>Staff dispute (publicly reported)</t>
        </is>
      </c>
      <c r="D12" s="10" t="inlineStr"/>
      <c r="E12" s="10" t="inlineStr"/>
      <c r="F12" s="10" t="inlineStr">
        <is>
          <t>Principal</t>
        </is>
      </c>
      <c r="G12" s="10" t="inlineStr"/>
      <c r="H12" s="10" t="inlineStr"/>
      <c r="I12" s="10" t="inlineStr">
        <is>
          <t>Resolved</t>
        </is>
      </c>
    </row>
    <row r="13" ht="26" customHeight="1">
      <c r="B13" s="49" t="inlineStr">
        <is>
          <t>CRISIS/2025/009</t>
        </is>
      </c>
      <c r="C13" s="55" t="inlineStr">
        <is>
          <t>Financial irregularity claim</t>
        </is>
      </c>
      <c r="D13" s="42" t="inlineStr"/>
      <c r="E13" s="42" t="inlineStr"/>
      <c r="F13" s="42" t="inlineStr">
        <is>
          <t>Principal</t>
        </is>
      </c>
      <c r="G13" s="42" t="inlineStr"/>
      <c r="H13" s="42" t="inlineStr"/>
      <c r="I13" s="42" t="inlineStr">
        <is>
          <t>Resolved</t>
        </is>
      </c>
    </row>
    <row r="14" ht="26" customHeight="1">
      <c r="B14" s="8" t="inlineStr">
        <is>
          <t>CRISIS/2025/010</t>
        </is>
      </c>
      <c r="C14" s="9" t="inlineStr">
        <is>
          <t>Other external attack</t>
        </is>
      </c>
      <c r="D14" s="10" t="inlineStr"/>
      <c r="E14" s="10" t="inlineStr"/>
      <c r="F14" s="10" t="inlineStr">
        <is>
          <t>Principal</t>
        </is>
      </c>
      <c r="G14" s="10" t="inlineStr"/>
      <c r="H14" s="10" t="inlineStr"/>
      <c r="I14" s="10" t="inlineStr">
        <is>
          <t>Resolved</t>
        </is>
      </c>
    </row>
    <row r="15" ht="26" customHeight="1"/>
    <row r="16" ht="24" customHeight="1">
      <c r="B16" s="39" t="inlineStr">
        <is>
          <t>CRISIS COMMUNICATION PROTOCOL CHECKLIST</t>
        </is>
      </c>
    </row>
    <row r="17" ht="26" customHeight="1">
      <c r="B17" s="40" t="inlineStr">
        <is>
          <t>Step</t>
        </is>
      </c>
      <c r="C17" s="40" t="inlineStr">
        <is>
          <t>Action Required</t>
        </is>
      </c>
      <c r="D17" s="40" t="inlineStr">
        <is>
          <t>Timeline</t>
        </is>
      </c>
      <c r="E17" s="40" t="inlineStr">
        <is>
          <t>Responsible</t>
        </is>
      </c>
      <c r="F17" s="40" t="inlineStr">
        <is>
          <t>Completed
(Y/N)</t>
        </is>
      </c>
      <c r="G17" s="40" t="inlineStr">
        <is>
          <t>Date Done</t>
        </is>
      </c>
      <c r="H17" s="40" t="inlineStr">
        <is>
          <t>Notes</t>
        </is>
      </c>
    </row>
    <row r="18" ht="26" customHeight="1">
      <c r="B18" s="49" t="n">
        <v>1</v>
      </c>
      <c r="C18" s="55" t="inlineStr">
        <is>
          <t>Incident detected / reported</t>
        </is>
      </c>
      <c r="D18" s="42" t="inlineStr">
        <is>
          <t>Within 30 min</t>
        </is>
      </c>
      <c r="E18" s="42" t="inlineStr">
        <is>
          <t>Alert Chairperson immediately</t>
        </is>
      </c>
      <c r="F18" s="42" t="inlineStr"/>
      <c r="G18" s="42" t="inlineStr"/>
      <c r="H18" s="55" t="inlineStr"/>
      <c r="I18" s="43" t="n"/>
    </row>
    <row r="19" ht="26" customHeight="1">
      <c r="B19" s="8" t="n">
        <v>2</v>
      </c>
      <c r="C19" s="9" t="inlineStr">
        <is>
          <t>PMPC Chairperson briefed</t>
        </is>
      </c>
      <c r="D19" s="10" t="inlineStr">
        <is>
          <t>Within 2 hours</t>
        </is>
      </c>
      <c r="E19" s="10" t="inlineStr">
        <is>
          <t>Assemble crisis team</t>
        </is>
      </c>
      <c r="F19" s="10" t="inlineStr"/>
      <c r="G19" s="10" t="inlineStr"/>
      <c r="H19" s="9" t="inlineStr"/>
      <c r="I19" s="44" t="n"/>
    </row>
    <row r="20" ht="26" customHeight="1">
      <c r="B20" s="49" t="n">
        <v>3</v>
      </c>
      <c r="C20" s="55" t="inlineStr">
        <is>
          <t>Internal fact-finding</t>
        </is>
      </c>
      <c r="D20" s="42" t="inlineStr">
        <is>
          <t>Within 4 hours</t>
        </is>
      </c>
      <c r="E20" s="42" t="inlineStr">
        <is>
          <t>Principal reviews facts</t>
        </is>
      </c>
      <c r="F20" s="42" t="inlineStr"/>
      <c r="G20" s="42" t="inlineStr"/>
      <c r="H20" s="55" t="inlineStr"/>
      <c r="I20" s="43" t="n"/>
    </row>
    <row r="21" ht="26" customHeight="1">
      <c r="B21" s="8" t="n">
        <v>4</v>
      </c>
      <c r="C21" s="9" t="inlineStr">
        <is>
          <t>Official statement drafted</t>
        </is>
      </c>
      <c r="D21" s="10" t="inlineStr">
        <is>
          <t>Within 6 hours</t>
        </is>
      </c>
      <c r="E21" s="10" t="inlineStr">
        <is>
          <t>Legal review if needed</t>
        </is>
      </c>
      <c r="F21" s="10" t="inlineStr"/>
      <c r="G21" s="10" t="inlineStr"/>
      <c r="H21" s="9" t="inlineStr"/>
      <c r="I21" s="44" t="n"/>
    </row>
    <row r="22" ht="26" customHeight="1">
      <c r="B22" s="49" t="n">
        <v>5</v>
      </c>
      <c r="C22" s="55" t="inlineStr">
        <is>
          <t>Statement approved</t>
        </is>
      </c>
      <c r="D22" s="42" t="inlineStr">
        <is>
          <t>Before release</t>
        </is>
      </c>
      <c r="E22" s="42" t="inlineStr">
        <is>
          <t>Chairperson signs off</t>
        </is>
      </c>
      <c r="F22" s="42" t="inlineStr"/>
      <c r="G22" s="42" t="inlineStr"/>
      <c r="H22" s="55" t="inlineStr"/>
      <c r="I22" s="43" t="n"/>
    </row>
    <row r="23" ht="26" customHeight="1">
      <c r="B23" s="8" t="n">
        <v>6</v>
      </c>
      <c r="C23" s="9" t="inlineStr">
        <is>
          <t>Media communication issued</t>
        </is>
      </c>
      <c r="D23" s="10" t="inlineStr">
        <is>
          <t>As decided</t>
        </is>
      </c>
      <c r="E23" s="10" t="inlineStr">
        <is>
          <t>Single spokesperson only</t>
        </is>
      </c>
      <c r="F23" s="10" t="inlineStr"/>
      <c r="G23" s="10" t="inlineStr"/>
      <c r="H23" s="9" t="inlineStr"/>
      <c r="I23" s="44" t="n"/>
    </row>
    <row r="24" ht="26" customHeight="1">
      <c r="B24" s="49" t="n">
        <v>7</v>
      </c>
      <c r="C24" s="55" t="inlineStr">
        <is>
          <t>Social media monitoring</t>
        </is>
      </c>
      <c r="D24" s="42" t="inlineStr">
        <is>
          <t>Real-time</t>
        </is>
      </c>
      <c r="E24" s="42" t="inlineStr">
        <is>
          <t>Digital team tracks response</t>
        </is>
      </c>
      <c r="F24" s="42" t="inlineStr"/>
      <c r="G24" s="42" t="inlineStr"/>
      <c r="H24" s="55" t="inlineStr"/>
      <c r="I24" s="43" t="n"/>
    </row>
    <row r="25" ht="26" customHeight="1">
      <c r="B25" s="8" t="n">
        <v>8</v>
      </c>
      <c r="C25" s="9" t="inlineStr">
        <is>
          <t>Follow-up communication</t>
        </is>
      </c>
      <c r="D25" s="10" t="inlineStr">
        <is>
          <t>As required</t>
        </is>
      </c>
      <c r="E25" s="10" t="inlineStr">
        <is>
          <t>Update stakeholders</t>
        </is>
      </c>
      <c r="F25" s="10" t="inlineStr"/>
      <c r="G25" s="10" t="inlineStr"/>
      <c r="H25" s="9" t="inlineStr"/>
      <c r="I25" s="44" t="n"/>
    </row>
    <row r="26" ht="26" customHeight="1">
      <c r="B26" s="49" t="n">
        <v>9</v>
      </c>
      <c r="C26" s="55" t="inlineStr">
        <is>
          <t>Post-crisis debrief</t>
        </is>
      </c>
      <c r="D26" s="42" t="inlineStr">
        <is>
          <t>Within 1 week</t>
        </is>
      </c>
      <c r="E26" s="42" t="inlineStr">
        <is>
          <t>Document lessons learned</t>
        </is>
      </c>
      <c r="F26" s="42" t="inlineStr"/>
      <c r="G26" s="42" t="inlineStr"/>
      <c r="H26" s="55" t="inlineStr"/>
      <c r="I26" s="43" t="n"/>
    </row>
    <row r="27" ht="26" customHeight="1"/>
    <row r="28" ht="26" customHeight="1"/>
    <row r="29" ht="26" customHeight="1"/>
  </sheetData>
  <mergeCells count="3">
    <mergeCell ref="B16:I16"/>
    <mergeCell ref="B3:I3"/>
    <mergeCell ref="B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K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8" t="inlineStr">
        <is>
          <t>PMPC-26: ADVERTISEMENT &amp; PAID PROMOTION REGISTER (₹)</t>
        </is>
      </c>
    </row>
    <row r="3" ht="25" customHeight="1">
      <c r="B3" s="2" t="inlineStr">
        <is>
          <t>A.Y.: _______  PMPC Coordinator: ___________________  Finance Officer: ___________________  Budget: ₹_______</t>
        </is>
      </c>
    </row>
    <row r="4" ht="25" customHeight="1">
      <c r="B4" s="13" t="inlineStr">
        <is>
          <t>Ad.
Ref.</t>
        </is>
      </c>
      <c r="C4" s="13" t="inlineStr">
        <is>
          <t>Campaign / Advertisement Title</t>
        </is>
      </c>
      <c r="D4" s="13" t="inlineStr">
        <is>
          <t>Purpose</t>
        </is>
      </c>
      <c r="E4" s="13" t="inlineStr">
        <is>
          <t>Medium</t>
        </is>
      </c>
      <c r="F4" s="13" t="inlineStr">
        <is>
          <t>Publication /
Channel</t>
        </is>
      </c>
      <c r="G4" s="13" t="inlineStr">
        <is>
          <t>Date(s)</t>
        </is>
      </c>
      <c r="H4" s="13" t="inlineStr">
        <is>
          <t>Ad Size /
Duration</t>
        </is>
      </c>
      <c r="I4" s="13" t="inlineStr">
        <is>
          <t>Cost
(₹)</t>
        </is>
      </c>
      <c r="J4" s="13" t="inlineStr">
        <is>
          <t>Reach
(Estimated)</t>
        </is>
      </c>
      <c r="K4" s="13" t="inlineStr">
        <is>
          <t>Effectiveness
Rating</t>
        </is>
      </c>
    </row>
    <row r="5" ht="22" customHeight="1">
      <c r="B5" s="14" t="inlineStr">
        <is>
          <t>AD/2024/001</t>
        </is>
      </c>
      <c r="C5" s="15" t="inlineStr"/>
      <c r="D5" s="16" t="inlineStr">
        <is>
          <t>Admission Announcement</t>
        </is>
      </c>
      <c r="E5" s="16" t="inlineStr">
        <is>
          <t>Newspaper (Print)</t>
        </is>
      </c>
      <c r="F5" s="15" t="inlineStr"/>
      <c r="G5" s="16" t="inlineStr"/>
      <c r="H5" s="16" t="inlineStr"/>
      <c r="I5" s="16" t="inlineStr"/>
      <c r="J5" s="16" t="inlineStr"/>
      <c r="K5" s="16" t="inlineStr"/>
    </row>
    <row r="6" ht="22" customHeight="1">
      <c r="B6" s="8" t="inlineStr">
        <is>
          <t>AD/2024/002</t>
        </is>
      </c>
      <c r="C6" s="9" t="inlineStr"/>
      <c r="D6" s="10" t="inlineStr">
        <is>
          <t>Programme Awareness</t>
        </is>
      </c>
      <c r="E6" s="10" t="inlineStr">
        <is>
          <t>Online Portal</t>
        </is>
      </c>
      <c r="F6" s="9" t="inlineStr"/>
      <c r="G6" s="10" t="inlineStr"/>
      <c r="H6" s="10" t="inlineStr"/>
      <c r="I6" s="10" t="inlineStr"/>
      <c r="J6" s="10" t="inlineStr"/>
      <c r="K6" s="10" t="inlineStr"/>
    </row>
    <row r="7" ht="22" customHeight="1">
      <c r="B7" s="14" t="inlineStr">
        <is>
          <t>AD/2024/003</t>
        </is>
      </c>
      <c r="C7" s="15" t="inlineStr"/>
      <c r="D7" s="16" t="inlineStr">
        <is>
          <t>Achievement Coverage</t>
        </is>
      </c>
      <c r="E7" s="16" t="inlineStr">
        <is>
          <t>Google Ads</t>
        </is>
      </c>
      <c r="F7" s="15" t="inlineStr"/>
      <c r="G7" s="16" t="inlineStr"/>
      <c r="H7" s="16" t="inlineStr"/>
      <c r="I7" s="16" t="inlineStr"/>
      <c r="J7" s="16" t="inlineStr"/>
      <c r="K7" s="16" t="inlineStr"/>
    </row>
    <row r="8" ht="22" customHeight="1">
      <c r="B8" s="8" t="inlineStr">
        <is>
          <t>AD/2024/004</t>
        </is>
      </c>
      <c r="C8" s="9" t="inlineStr"/>
      <c r="D8" s="10" t="inlineStr">
        <is>
          <t>Event Promotion</t>
        </is>
      </c>
      <c r="E8" s="10" t="inlineStr">
        <is>
          <t>Social Media (Paid)</t>
        </is>
      </c>
      <c r="F8" s="9" t="inlineStr"/>
      <c r="G8" s="10" t="inlineStr"/>
      <c r="H8" s="10" t="inlineStr"/>
      <c r="I8" s="10" t="inlineStr"/>
      <c r="J8" s="10" t="inlineStr"/>
      <c r="K8" s="10" t="inlineStr"/>
    </row>
    <row r="9" ht="22" customHeight="1">
      <c r="B9" s="14" t="inlineStr">
        <is>
          <t>AD/2024/005</t>
        </is>
      </c>
      <c r="C9" s="15" t="inlineStr"/>
      <c r="D9" s="16" t="inlineStr">
        <is>
          <t>Ranking / Accreditation</t>
        </is>
      </c>
      <c r="E9" s="16" t="inlineStr">
        <is>
          <t>Hoarding / Outdoor</t>
        </is>
      </c>
      <c r="F9" s="15" t="inlineStr"/>
      <c r="G9" s="16" t="inlineStr"/>
      <c r="H9" s="16" t="inlineStr"/>
      <c r="I9" s="16" t="inlineStr"/>
      <c r="J9" s="16" t="inlineStr"/>
      <c r="K9" s="16" t="inlineStr"/>
    </row>
    <row r="10" ht="22" customHeight="1">
      <c r="B10" s="8" t="inlineStr">
        <is>
          <t>AD/2024/006</t>
        </is>
      </c>
      <c r="C10" s="9" t="inlineStr"/>
      <c r="D10" s="10" t="inlineStr">
        <is>
          <t>Brand Building</t>
        </is>
      </c>
      <c r="E10" s="10" t="inlineStr">
        <is>
          <t>Radio Spot</t>
        </is>
      </c>
      <c r="F10" s="9" t="inlineStr"/>
      <c r="G10" s="10" t="inlineStr"/>
      <c r="H10" s="10" t="inlineStr"/>
      <c r="I10" s="10" t="inlineStr"/>
      <c r="J10" s="10" t="inlineStr"/>
      <c r="K10" s="10" t="inlineStr"/>
    </row>
    <row r="11" ht="22" customHeight="1">
      <c r="B11" s="14" t="inlineStr">
        <is>
          <t>AD/2024/007</t>
        </is>
      </c>
      <c r="C11" s="15" t="inlineStr"/>
      <c r="D11" s="16" t="inlineStr">
        <is>
          <t>Research Publication</t>
        </is>
      </c>
      <c r="E11" s="16" t="inlineStr">
        <is>
          <t>TV Commercial</t>
        </is>
      </c>
      <c r="F11" s="15" t="inlineStr"/>
      <c r="G11" s="16" t="inlineStr"/>
      <c r="H11" s="16" t="inlineStr"/>
      <c r="I11" s="16" t="inlineStr"/>
      <c r="J11" s="16" t="inlineStr"/>
      <c r="K11" s="16" t="inlineStr"/>
    </row>
    <row r="12" ht="22" customHeight="1">
      <c r="B12" s="8" t="inlineStr">
        <is>
          <t>AD/2024/008</t>
        </is>
      </c>
      <c r="C12" s="9" t="inlineStr"/>
      <c r="D12" s="10" t="inlineStr">
        <is>
          <t>Alumni Event</t>
        </is>
      </c>
      <c r="E12" s="10" t="inlineStr">
        <is>
          <t>Magazine Insert</t>
        </is>
      </c>
      <c r="F12" s="9" t="inlineStr"/>
      <c r="G12" s="10" t="inlineStr"/>
      <c r="H12" s="10" t="inlineStr"/>
      <c r="I12" s="10" t="inlineStr"/>
      <c r="J12" s="10" t="inlineStr"/>
      <c r="K12" s="10" t="inlineStr"/>
    </row>
    <row r="13" ht="22" customHeight="1">
      <c r="B13" s="14" t="inlineStr">
        <is>
          <t>AD/2024/009</t>
        </is>
      </c>
      <c r="C13" s="15" t="inlineStr"/>
      <c r="D13" s="16" t="inlineStr">
        <is>
          <t>Placement</t>
        </is>
      </c>
      <c r="E13" s="16" t="inlineStr">
        <is>
          <t>SMS Campaign</t>
        </is>
      </c>
      <c r="F13" s="15" t="inlineStr"/>
      <c r="G13" s="16" t="inlineStr"/>
      <c r="H13" s="16" t="inlineStr"/>
      <c r="I13" s="16" t="inlineStr"/>
      <c r="J13" s="16" t="inlineStr"/>
      <c r="K13" s="16" t="inlineStr"/>
    </row>
    <row r="14" ht="22" customHeight="1">
      <c r="B14" s="8" t="inlineStr">
        <is>
          <t>AD/2024/010</t>
        </is>
      </c>
      <c r="C14" s="9" t="inlineStr"/>
      <c r="D14" s="10" t="inlineStr">
        <is>
          <t>CSR</t>
        </is>
      </c>
      <c r="E14" s="10" t="inlineStr">
        <is>
          <t>WhatsApp Ads</t>
        </is>
      </c>
      <c r="F14" s="9" t="inlineStr"/>
      <c r="G14" s="10" t="inlineStr"/>
      <c r="H14" s="10" t="inlineStr"/>
      <c r="I14" s="10" t="inlineStr"/>
      <c r="J14" s="10" t="inlineStr"/>
      <c r="K14" s="10" t="inlineStr"/>
    </row>
    <row r="15" ht="22" customHeight="1">
      <c r="B15" s="14" t="inlineStr">
        <is>
          <t>AD/2025/011</t>
        </is>
      </c>
      <c r="C15" s="15" t="inlineStr"/>
      <c r="D15" s="16" t="inlineStr">
        <is>
          <t>Admission Announcement</t>
        </is>
      </c>
      <c r="E15" s="16" t="inlineStr">
        <is>
          <t>Newspaper (Print)</t>
        </is>
      </c>
      <c r="F15" s="15" t="inlineStr"/>
      <c r="G15" s="16" t="inlineStr"/>
      <c r="H15" s="16" t="inlineStr"/>
      <c r="I15" s="16" t="inlineStr"/>
      <c r="J15" s="16" t="inlineStr"/>
      <c r="K15" s="16" t="inlineStr"/>
    </row>
    <row r="16" ht="22" customHeight="1">
      <c r="B16" s="8" t="inlineStr">
        <is>
          <t>AD/2025/012</t>
        </is>
      </c>
      <c r="C16" s="9" t="inlineStr"/>
      <c r="D16" s="10" t="inlineStr">
        <is>
          <t>Programme Awareness</t>
        </is>
      </c>
      <c r="E16" s="10" t="inlineStr">
        <is>
          <t>Online Portal</t>
        </is>
      </c>
      <c r="F16" s="9" t="inlineStr"/>
      <c r="G16" s="10" t="inlineStr"/>
      <c r="H16" s="10" t="inlineStr"/>
      <c r="I16" s="10" t="inlineStr"/>
      <c r="J16" s="10" t="inlineStr"/>
      <c r="K16" s="10" t="inlineStr"/>
    </row>
    <row r="17" ht="22" customHeight="1">
      <c r="B17" s="14" t="inlineStr">
        <is>
          <t>AD/2025/013</t>
        </is>
      </c>
      <c r="C17" s="15" t="inlineStr"/>
      <c r="D17" s="16" t="inlineStr">
        <is>
          <t>Achievement Coverage</t>
        </is>
      </c>
      <c r="E17" s="16" t="inlineStr">
        <is>
          <t>Google Ads</t>
        </is>
      </c>
      <c r="F17" s="15" t="inlineStr"/>
      <c r="G17" s="16" t="inlineStr"/>
      <c r="H17" s="16" t="inlineStr"/>
      <c r="I17" s="16" t="inlineStr"/>
      <c r="J17" s="16" t="inlineStr"/>
      <c r="K17" s="16" t="inlineStr"/>
    </row>
    <row r="18" ht="22" customHeight="1">
      <c r="B18" s="8" t="inlineStr">
        <is>
          <t>AD/2025/014</t>
        </is>
      </c>
      <c r="C18" s="9" t="inlineStr"/>
      <c r="D18" s="10" t="inlineStr">
        <is>
          <t>Event Promotion</t>
        </is>
      </c>
      <c r="E18" s="10" t="inlineStr">
        <is>
          <t>Social Media (Paid)</t>
        </is>
      </c>
      <c r="F18" s="9" t="inlineStr"/>
      <c r="G18" s="10" t="inlineStr"/>
      <c r="H18" s="10" t="inlineStr"/>
      <c r="I18" s="10" t="inlineStr"/>
      <c r="J18" s="10" t="inlineStr"/>
      <c r="K18" s="10" t="inlineStr"/>
    </row>
    <row r="19" ht="22" customHeight="1">
      <c r="B19" s="14" t="inlineStr">
        <is>
          <t>AD/2025/015</t>
        </is>
      </c>
      <c r="C19" s="15" t="inlineStr"/>
      <c r="D19" s="16" t="inlineStr">
        <is>
          <t>Ranking / Accreditation</t>
        </is>
      </c>
      <c r="E19" s="16" t="inlineStr">
        <is>
          <t>Hoarding / Outdoor</t>
        </is>
      </c>
      <c r="F19" s="15" t="inlineStr"/>
      <c r="G19" s="16" t="inlineStr"/>
      <c r="H19" s="16" t="inlineStr"/>
      <c r="I19" s="16" t="inlineStr"/>
      <c r="J19" s="16" t="inlineStr"/>
      <c r="K19" s="16" t="inlineStr"/>
    </row>
    <row r="20" ht="22" customHeight="1">
      <c r="B20" s="8" t="inlineStr">
        <is>
          <t>AD/2025/016</t>
        </is>
      </c>
      <c r="C20" s="9" t="inlineStr"/>
      <c r="D20" s="10" t="inlineStr">
        <is>
          <t>Brand Building</t>
        </is>
      </c>
      <c r="E20" s="10" t="inlineStr">
        <is>
          <t>Radio Spot</t>
        </is>
      </c>
      <c r="F20" s="9" t="inlineStr"/>
      <c r="G20" s="10" t="inlineStr"/>
      <c r="H20" s="10" t="inlineStr"/>
      <c r="I20" s="10" t="inlineStr"/>
      <c r="J20" s="10" t="inlineStr"/>
      <c r="K20" s="10" t="inlineStr"/>
    </row>
    <row r="21" ht="22" customHeight="1">
      <c r="B21" s="14" t="inlineStr">
        <is>
          <t>AD/2025/017</t>
        </is>
      </c>
      <c r="C21" s="15" t="inlineStr"/>
      <c r="D21" s="16" t="inlineStr">
        <is>
          <t>Research Publication</t>
        </is>
      </c>
      <c r="E21" s="16" t="inlineStr">
        <is>
          <t>TV Commercial</t>
        </is>
      </c>
      <c r="F21" s="15" t="inlineStr"/>
      <c r="G21" s="16" t="inlineStr"/>
      <c r="H21" s="16" t="inlineStr"/>
      <c r="I21" s="16" t="inlineStr"/>
      <c r="J21" s="16" t="inlineStr"/>
      <c r="K21" s="16" t="inlineStr"/>
    </row>
    <row r="22" ht="22" customHeight="1">
      <c r="B22" s="8" t="inlineStr">
        <is>
          <t>AD/2025/018</t>
        </is>
      </c>
      <c r="C22" s="9" t="inlineStr"/>
      <c r="D22" s="10" t="inlineStr">
        <is>
          <t>Alumni Event</t>
        </is>
      </c>
      <c r="E22" s="10" t="inlineStr">
        <is>
          <t>Magazine Insert</t>
        </is>
      </c>
      <c r="F22" s="9" t="inlineStr"/>
      <c r="G22" s="10" t="inlineStr"/>
      <c r="H22" s="10" t="inlineStr"/>
      <c r="I22" s="10" t="inlineStr"/>
      <c r="J22" s="10" t="inlineStr"/>
      <c r="K22" s="10" t="inlineStr"/>
    </row>
    <row r="23" ht="22" customHeight="1">
      <c r="B23" s="14" t="inlineStr">
        <is>
          <t>AD/2025/019</t>
        </is>
      </c>
      <c r="C23" s="15" t="inlineStr"/>
      <c r="D23" s="16" t="inlineStr">
        <is>
          <t>Placement</t>
        </is>
      </c>
      <c r="E23" s="16" t="inlineStr">
        <is>
          <t>SMS Campaign</t>
        </is>
      </c>
      <c r="F23" s="15" t="inlineStr"/>
      <c r="G23" s="16" t="inlineStr"/>
      <c r="H23" s="16" t="inlineStr"/>
      <c r="I23" s="16" t="inlineStr"/>
      <c r="J23" s="16" t="inlineStr"/>
      <c r="K23" s="16" t="inlineStr"/>
    </row>
    <row r="24" ht="22" customHeight="1">
      <c r="B24" s="8" t="inlineStr">
        <is>
          <t>AD/2025/020</t>
        </is>
      </c>
      <c r="C24" s="9" t="inlineStr"/>
      <c r="D24" s="10" t="inlineStr">
        <is>
          <t>CSR</t>
        </is>
      </c>
      <c r="E24" s="10" t="inlineStr">
        <is>
          <t>WhatsApp Ads</t>
        </is>
      </c>
      <c r="F24" s="9" t="inlineStr"/>
      <c r="G24" s="10" t="inlineStr"/>
      <c r="H24" s="10" t="inlineStr"/>
      <c r="I24" s="10" t="inlineStr"/>
      <c r="J24" s="10" t="inlineStr"/>
      <c r="K24" s="10" t="inlineStr"/>
    </row>
    <row r="25" ht="22" customHeight="1"/>
    <row r="26" ht="22" customHeight="1">
      <c r="B26" s="56" t="inlineStr">
        <is>
          <t>TOTAL AD SPEND</t>
        </is>
      </c>
      <c r="C26" s="57" t="n"/>
      <c r="D26" s="57" t="n"/>
      <c r="E26" s="57" t="n"/>
      <c r="F26" s="57" t="n"/>
      <c r="G26" s="57" t="n"/>
      <c r="H26" s="57" t="n"/>
      <c r="I26" s="58">
        <f>IFERROR(SUM(I5:I24),"")</f>
        <v/>
      </c>
      <c r="J26" s="48" t="n"/>
      <c r="K26" s="48" t="n"/>
    </row>
    <row r="27" ht="22" customHeight="1"/>
    <row r="28" ht="24" customHeight="1">
      <c r="B28" s="35" t="inlineStr">
        <is>
          <t>AD SPEND BY MEDIUM</t>
        </is>
      </c>
    </row>
    <row r="29" ht="22" customHeight="1">
      <c r="B29" s="31" t="inlineStr">
        <is>
          <t>Medium</t>
        </is>
      </c>
      <c r="C29" s="31" t="inlineStr">
        <is>
          <t>No. of Ads</t>
        </is>
      </c>
      <c r="D29" s="31" t="inlineStr">
        <is>
          <t>Total Cost (₹)</t>
        </is>
      </c>
      <c r="E29" s="31" t="inlineStr">
        <is>
          <t>% of Ad Budget</t>
        </is>
      </c>
      <c r="F29" s="31" t="inlineStr">
        <is>
          <t>Estimated Reach</t>
        </is>
      </c>
      <c r="G29" s="31" t="inlineStr">
        <is>
          <t>Cost per
1000 Reach (₹)</t>
        </is>
      </c>
    </row>
    <row r="30" ht="22" customHeight="1">
      <c r="B30" s="33" t="inlineStr">
        <is>
          <t>Print Media</t>
        </is>
      </c>
      <c r="C30" s="34" t="inlineStr"/>
      <c r="D30" s="34" t="inlineStr"/>
      <c r="E30" s="34" t="inlineStr"/>
      <c r="F30" s="34" t="inlineStr"/>
      <c r="G30" s="34">
        <f>IFERROR(ROUND(D30/F30*1000,2),"")</f>
        <v/>
      </c>
      <c r="H30" s="46" t="n"/>
      <c r="I30" s="46" t="n"/>
      <c r="J30" s="46" t="n"/>
      <c r="K30" s="46" t="n"/>
    </row>
    <row r="31" ht="22" customHeight="1">
      <c r="B31" s="9" t="inlineStr">
        <is>
          <t>Digital / Online</t>
        </is>
      </c>
      <c r="C31" s="10" t="inlineStr"/>
      <c r="D31" s="10" t="inlineStr"/>
      <c r="E31" s="10" t="inlineStr"/>
      <c r="F31" s="10" t="inlineStr"/>
      <c r="G31" s="10">
        <f>IFERROR(ROUND(D31/F31*1000,2),"")</f>
        <v/>
      </c>
      <c r="H31" s="44" t="n"/>
      <c r="I31" s="44" t="n"/>
      <c r="J31" s="44" t="n"/>
      <c r="K31" s="44" t="n"/>
    </row>
    <row r="32" ht="22" customHeight="1">
      <c r="B32" s="33" t="inlineStr">
        <is>
          <t>Social Media Paid</t>
        </is>
      </c>
      <c r="C32" s="34" t="inlineStr"/>
      <c r="D32" s="34" t="inlineStr"/>
      <c r="E32" s="34" t="inlineStr"/>
      <c r="F32" s="34" t="inlineStr"/>
      <c r="G32" s="34">
        <f>IFERROR(ROUND(D32/F32*1000,2),"")</f>
        <v/>
      </c>
      <c r="H32" s="46" t="n"/>
      <c r="I32" s="46" t="n"/>
      <c r="J32" s="46" t="n"/>
      <c r="K32" s="46" t="n"/>
    </row>
    <row r="33" ht="22" customHeight="1">
      <c r="B33" s="9" t="inlineStr">
        <is>
          <t>Outdoor / Hoarding</t>
        </is>
      </c>
      <c r="C33" s="10" t="inlineStr"/>
      <c r="D33" s="10" t="inlineStr"/>
      <c r="E33" s="10" t="inlineStr"/>
      <c r="F33" s="10" t="inlineStr"/>
      <c r="G33" s="10">
        <f>IFERROR(ROUND(D33/F33*1000,2),"")</f>
        <v/>
      </c>
      <c r="H33" s="44" t="n"/>
      <c r="I33" s="44" t="n"/>
      <c r="J33" s="44" t="n"/>
      <c r="K33" s="44" t="n"/>
    </row>
    <row r="34" ht="22" customHeight="1">
      <c r="B34" s="33" t="inlineStr">
        <is>
          <t>Electronic (TV/Radio)</t>
        </is>
      </c>
      <c r="C34" s="34" t="inlineStr"/>
      <c r="D34" s="34" t="inlineStr"/>
      <c r="E34" s="34" t="inlineStr"/>
      <c r="F34" s="34" t="inlineStr"/>
      <c r="G34" s="34">
        <f>IFERROR(ROUND(D34/F34*1000,2),"")</f>
        <v/>
      </c>
      <c r="H34" s="46" t="n"/>
      <c r="I34" s="46" t="n"/>
      <c r="J34" s="46" t="n"/>
      <c r="K34" s="46" t="n"/>
    </row>
    <row r="35" ht="22" customHeight="1">
      <c r="B35" s="24" t="inlineStr">
        <is>
          <t>TOTAL</t>
        </is>
      </c>
      <c r="C35" s="47" t="inlineStr"/>
      <c r="D35" s="47" t="inlineStr"/>
      <c r="E35" s="47" t="inlineStr"/>
      <c r="F35" s="47" t="inlineStr"/>
      <c r="G35" s="47">
        <f>IFERROR(ROUND(D35/F35*1000,2),"")</f>
        <v/>
      </c>
      <c r="H35" s="48" t="n"/>
      <c r="I35" s="48" t="n"/>
      <c r="J35" s="48" t="n"/>
      <c r="K35" s="48" t="n"/>
    </row>
  </sheetData>
  <mergeCells count="3">
    <mergeCell ref="B28:K28"/>
    <mergeCell ref="B3:K3"/>
    <mergeCell ref="B2:K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8" t="inlineStr">
        <is>
          <t>PMPC-28: STUDENT MEDIA CELL REGISTER</t>
        </is>
      </c>
    </row>
    <row r="3" ht="25" customHeight="1">
      <c r="B3" s="2" t="inlineStr">
        <is>
          <t>A.Y.: _______  Faculty Advisor: ___________________  Student Editor-in-Chief: ___________________</t>
        </is>
      </c>
    </row>
    <row r="4" ht="24" customHeight="1">
      <c r="B4" s="20" t="inlineStr">
        <is>
          <t>STUDENT MEDIA CELL — CORE TEAM</t>
        </is>
      </c>
    </row>
    <row r="5" ht="22" customHeight="1">
      <c r="B5" s="13" t="inlineStr">
        <is>
          <t>Sl.</t>
        </is>
      </c>
      <c r="C5" s="13" t="inlineStr">
        <is>
          <t>Student Name</t>
        </is>
      </c>
      <c r="D5" s="13" t="inlineStr">
        <is>
          <t>Roll No.</t>
        </is>
      </c>
      <c r="E5" s="13" t="inlineStr">
        <is>
          <t>Programme
&amp; Year</t>
        </is>
      </c>
      <c r="F5" s="13" t="inlineStr">
        <is>
          <t>Role in Cell</t>
        </is>
      </c>
      <c r="G5" s="13" t="inlineStr">
        <is>
          <t>Portfolio</t>
        </is>
      </c>
      <c r="H5" s="13" t="inlineStr">
        <is>
          <t>Contact</t>
        </is>
      </c>
      <c r="I5" s="13" t="inlineStr">
        <is>
          <t>Email</t>
        </is>
      </c>
      <c r="J5" s="13" t="inlineStr">
        <is>
          <t>Key Contribution</t>
        </is>
      </c>
      <c r="K5" s="13" t="inlineStr">
        <is>
          <t>Status</t>
        </is>
      </c>
    </row>
    <row r="6" ht="22" customHeight="1">
      <c r="B6" s="14" t="n">
        <v>1</v>
      </c>
      <c r="C6" s="15" t="inlineStr"/>
      <c r="D6" s="16" t="inlineStr"/>
      <c r="E6" s="16" t="inlineStr"/>
      <c r="F6" s="14" t="inlineStr">
        <is>
          <t>Editor-in-Chief</t>
        </is>
      </c>
      <c r="G6" s="16" t="inlineStr"/>
      <c r="H6" s="16" t="inlineStr"/>
      <c r="I6" s="15" t="inlineStr"/>
      <c r="J6" s="15" t="inlineStr"/>
      <c r="K6" s="16" t="inlineStr">
        <is>
          <t>Active</t>
        </is>
      </c>
    </row>
    <row r="7" ht="22" customHeight="1">
      <c r="B7" s="8" t="n">
        <v>2</v>
      </c>
      <c r="C7" s="9" t="inlineStr"/>
      <c r="D7" s="10" t="inlineStr"/>
      <c r="E7" s="10" t="inlineStr"/>
      <c r="F7" s="8" t="inlineStr">
        <is>
          <t>Deputy Editor</t>
        </is>
      </c>
      <c r="G7" s="10" t="inlineStr"/>
      <c r="H7" s="10" t="inlineStr"/>
      <c r="I7" s="9" t="inlineStr"/>
      <c r="J7" s="9" t="inlineStr"/>
      <c r="K7" s="10" t="inlineStr">
        <is>
          <t>Active</t>
        </is>
      </c>
    </row>
    <row r="8" ht="22" customHeight="1">
      <c r="B8" s="14" t="n">
        <v>3</v>
      </c>
      <c r="C8" s="15" t="inlineStr"/>
      <c r="D8" s="16" t="inlineStr"/>
      <c r="E8" s="16" t="inlineStr"/>
      <c r="F8" s="14" t="inlineStr">
        <is>
          <t>Senior Writer</t>
        </is>
      </c>
      <c r="G8" s="16" t="inlineStr"/>
      <c r="H8" s="16" t="inlineStr"/>
      <c r="I8" s="15" t="inlineStr"/>
      <c r="J8" s="15" t="inlineStr"/>
      <c r="K8" s="16" t="inlineStr">
        <is>
          <t>Active</t>
        </is>
      </c>
    </row>
    <row r="9" ht="22" customHeight="1">
      <c r="B9" s="8" t="n">
        <v>4</v>
      </c>
      <c r="C9" s="9" t="inlineStr"/>
      <c r="D9" s="10" t="inlineStr"/>
      <c r="E9" s="10" t="inlineStr"/>
      <c r="F9" s="8" t="inlineStr">
        <is>
          <t>Photographer</t>
        </is>
      </c>
      <c r="G9" s="10" t="inlineStr"/>
      <c r="H9" s="10" t="inlineStr"/>
      <c r="I9" s="9" t="inlineStr"/>
      <c r="J9" s="9" t="inlineStr"/>
      <c r="K9" s="10" t="inlineStr">
        <is>
          <t>Active</t>
        </is>
      </c>
    </row>
    <row r="10" ht="22" customHeight="1">
      <c r="B10" s="14" t="n">
        <v>5</v>
      </c>
      <c r="C10" s="15" t="inlineStr"/>
      <c r="D10" s="16" t="inlineStr"/>
      <c r="E10" s="16" t="inlineStr"/>
      <c r="F10" s="14" t="inlineStr">
        <is>
          <t>Videographer</t>
        </is>
      </c>
      <c r="G10" s="16" t="inlineStr"/>
      <c r="H10" s="16" t="inlineStr"/>
      <c r="I10" s="15" t="inlineStr"/>
      <c r="J10" s="15" t="inlineStr"/>
      <c r="K10" s="16" t="inlineStr">
        <is>
          <t>Active</t>
        </is>
      </c>
    </row>
    <row r="11" ht="22" customHeight="1">
      <c r="B11" s="8" t="n">
        <v>6</v>
      </c>
      <c r="C11" s="9" t="inlineStr"/>
      <c r="D11" s="10" t="inlineStr"/>
      <c r="E11" s="10" t="inlineStr"/>
      <c r="F11" s="8" t="inlineStr">
        <is>
          <t>Social Media Manager</t>
        </is>
      </c>
      <c r="G11" s="10" t="inlineStr"/>
      <c r="H11" s="10" t="inlineStr"/>
      <c r="I11" s="9" t="inlineStr"/>
      <c r="J11" s="9" t="inlineStr"/>
      <c r="K11" s="10" t="inlineStr">
        <is>
          <t>Active</t>
        </is>
      </c>
    </row>
    <row r="12" ht="22" customHeight="1">
      <c r="B12" s="14" t="n">
        <v>7</v>
      </c>
      <c r="C12" s="15" t="inlineStr"/>
      <c r="D12" s="16" t="inlineStr"/>
      <c r="E12" s="16" t="inlineStr"/>
      <c r="F12" s="14" t="inlineStr">
        <is>
          <t>Graphic Designer</t>
        </is>
      </c>
      <c r="G12" s="16" t="inlineStr"/>
      <c r="H12" s="16" t="inlineStr"/>
      <c r="I12" s="15" t="inlineStr"/>
      <c r="J12" s="15" t="inlineStr"/>
      <c r="K12" s="16" t="inlineStr">
        <is>
          <t>Active</t>
        </is>
      </c>
    </row>
    <row r="13" ht="22" customHeight="1">
      <c r="B13" s="8" t="n">
        <v>8</v>
      </c>
      <c r="C13" s="9" t="inlineStr"/>
      <c r="D13" s="10" t="inlineStr"/>
      <c r="E13" s="10" t="inlineStr"/>
      <c r="F13" s="8" t="inlineStr">
        <is>
          <t>Reporter</t>
        </is>
      </c>
      <c r="G13" s="10" t="inlineStr"/>
      <c r="H13" s="10" t="inlineStr"/>
      <c r="I13" s="9" t="inlineStr"/>
      <c r="J13" s="9" t="inlineStr"/>
      <c r="K13" s="10" t="inlineStr">
        <is>
          <t>Active</t>
        </is>
      </c>
    </row>
    <row r="14" ht="22" customHeight="1">
      <c r="B14" s="14" t="n">
        <v>9</v>
      </c>
      <c r="C14" s="15" t="inlineStr"/>
      <c r="D14" s="16" t="inlineStr"/>
      <c r="E14" s="16" t="inlineStr"/>
      <c r="F14" s="14" t="inlineStr">
        <is>
          <t>Copy Editor</t>
        </is>
      </c>
      <c r="G14" s="16" t="inlineStr"/>
      <c r="H14" s="16" t="inlineStr"/>
      <c r="I14" s="15" t="inlineStr"/>
      <c r="J14" s="15" t="inlineStr"/>
      <c r="K14" s="16" t="inlineStr">
        <is>
          <t>Active</t>
        </is>
      </c>
    </row>
    <row r="15" ht="22" customHeight="1">
      <c r="B15" s="8" t="n">
        <v>10</v>
      </c>
      <c r="C15" s="9" t="inlineStr"/>
      <c r="D15" s="10" t="inlineStr"/>
      <c r="E15" s="10" t="inlineStr"/>
      <c r="F15" s="8" t="inlineStr">
        <is>
          <t>Events Correspondent</t>
        </is>
      </c>
      <c r="G15" s="10" t="inlineStr"/>
      <c r="H15" s="10" t="inlineStr"/>
      <c r="I15" s="9" t="inlineStr"/>
      <c r="J15" s="9" t="inlineStr"/>
      <c r="K15" s="10" t="inlineStr">
        <is>
          <t>Active</t>
        </is>
      </c>
    </row>
    <row r="16" ht="22" customHeight="1">
      <c r="B16" s="14" t="n">
        <v>11</v>
      </c>
      <c r="C16" s="15" t="inlineStr"/>
      <c r="D16" s="16" t="inlineStr"/>
      <c r="E16" s="16" t="inlineStr"/>
      <c r="F16" s="14" t="inlineStr">
        <is>
          <t>Editor-in-Chief</t>
        </is>
      </c>
      <c r="G16" s="16" t="inlineStr"/>
      <c r="H16" s="16" t="inlineStr"/>
      <c r="I16" s="15" t="inlineStr"/>
      <c r="J16" s="15" t="inlineStr"/>
      <c r="K16" s="16" t="inlineStr">
        <is>
          <t>Active</t>
        </is>
      </c>
    </row>
    <row r="17" ht="22" customHeight="1">
      <c r="B17" s="8" t="n">
        <v>12</v>
      </c>
      <c r="C17" s="9" t="inlineStr"/>
      <c r="D17" s="10" t="inlineStr"/>
      <c r="E17" s="10" t="inlineStr"/>
      <c r="F17" s="8" t="inlineStr">
        <is>
          <t>Deputy Editor</t>
        </is>
      </c>
      <c r="G17" s="10" t="inlineStr"/>
      <c r="H17" s="10" t="inlineStr"/>
      <c r="I17" s="9" t="inlineStr"/>
      <c r="J17" s="9" t="inlineStr"/>
      <c r="K17" s="10" t="inlineStr">
        <is>
          <t>Active</t>
        </is>
      </c>
    </row>
    <row r="18" ht="22" customHeight="1"/>
    <row r="19" ht="24" customHeight="1">
      <c r="B19" s="35" t="inlineStr">
        <is>
          <t>STUDENT MEDIA CELL ACTIVITIES</t>
        </is>
      </c>
    </row>
    <row r="20" ht="22" customHeight="1">
      <c r="B20" s="31" t="inlineStr">
        <is>
          <t>Sl.</t>
        </is>
      </c>
      <c r="C20" s="31" t="inlineStr">
        <is>
          <t>Activity Title</t>
        </is>
      </c>
      <c r="D20" s="31" t="inlineStr">
        <is>
          <t>Type</t>
        </is>
      </c>
      <c r="E20" s="31" t="inlineStr">
        <is>
          <t>Date</t>
        </is>
      </c>
      <c r="F20" s="31" t="inlineStr">
        <is>
          <t>Lead Student</t>
        </is>
      </c>
      <c r="G20" s="31" t="inlineStr">
        <is>
          <t>Outcome</t>
        </is>
      </c>
      <c r="H20" s="31" t="inlineStr">
        <is>
          <t>No. Students
Involved</t>
        </is>
      </c>
      <c r="I20" s="31" t="inlineStr">
        <is>
          <t>Published
/ Released</t>
        </is>
      </c>
      <c r="J20" s="31" t="inlineStr">
        <is>
          <t>Recognition
Received</t>
        </is>
      </c>
      <c r="K20" s="31" t="inlineStr">
        <is>
          <t>Remarks</t>
        </is>
      </c>
    </row>
    <row r="21" ht="22" customHeight="1">
      <c r="B21" s="32" t="n">
        <v>1</v>
      </c>
      <c r="C21" s="33" t="inlineStr">
        <is>
          <t>Student Newsletter Issue</t>
        </is>
      </c>
      <c r="D21" s="34" t="inlineStr"/>
      <c r="E21" s="34" t="inlineStr"/>
      <c r="F21" s="33" t="inlineStr"/>
      <c r="G21" s="33" t="inlineStr"/>
      <c r="H21" s="34" t="inlineStr"/>
      <c r="I21" s="34" t="inlineStr">
        <is>
          <t>Y</t>
        </is>
      </c>
      <c r="J21" s="33" t="inlineStr"/>
      <c r="K21" s="33" t="inlineStr"/>
    </row>
    <row r="22" ht="22" customHeight="1">
      <c r="B22" s="8" t="n">
        <v>2</v>
      </c>
      <c r="C22" s="9" t="inlineStr">
        <is>
          <t>Student Blog Post Series</t>
        </is>
      </c>
      <c r="D22" s="10" t="inlineStr"/>
      <c r="E22" s="10" t="inlineStr"/>
      <c r="F22" s="9" t="inlineStr"/>
      <c r="G22" s="9" t="inlineStr"/>
      <c r="H22" s="10" t="inlineStr"/>
      <c r="I22" s="10" t="inlineStr">
        <is>
          <t>Y</t>
        </is>
      </c>
      <c r="J22" s="9" t="inlineStr"/>
      <c r="K22" s="9" t="inlineStr"/>
    </row>
    <row r="23" ht="22" customHeight="1">
      <c r="B23" s="32" t="n">
        <v>3</v>
      </c>
      <c r="C23" s="33" t="inlineStr">
        <is>
          <t>Campus Radio Episode</t>
        </is>
      </c>
      <c r="D23" s="34" t="inlineStr"/>
      <c r="E23" s="34" t="inlineStr"/>
      <c r="F23" s="33" t="inlineStr"/>
      <c r="G23" s="33" t="inlineStr"/>
      <c r="H23" s="34" t="inlineStr"/>
      <c r="I23" s="34" t="inlineStr">
        <is>
          <t>Y</t>
        </is>
      </c>
      <c r="J23" s="33" t="inlineStr"/>
      <c r="K23" s="33" t="inlineStr"/>
    </row>
    <row r="24" ht="22" customHeight="1">
      <c r="B24" s="8" t="n">
        <v>4</v>
      </c>
      <c r="C24" s="9" t="inlineStr">
        <is>
          <t>Student Film / Documentary</t>
        </is>
      </c>
      <c r="D24" s="10" t="inlineStr"/>
      <c r="E24" s="10" t="inlineStr"/>
      <c r="F24" s="9" t="inlineStr"/>
      <c r="G24" s="9" t="inlineStr"/>
      <c r="H24" s="10" t="inlineStr"/>
      <c r="I24" s="10" t="inlineStr">
        <is>
          <t>Y</t>
        </is>
      </c>
      <c r="J24" s="9" t="inlineStr"/>
      <c r="K24" s="9" t="inlineStr"/>
    </row>
    <row r="25" ht="22" customHeight="1">
      <c r="B25" s="32" t="n">
        <v>5</v>
      </c>
      <c r="C25" s="33" t="inlineStr">
        <is>
          <t>Photography Exhibition</t>
        </is>
      </c>
      <c r="D25" s="34" t="inlineStr"/>
      <c r="E25" s="34" t="inlineStr"/>
      <c r="F25" s="33" t="inlineStr"/>
      <c r="G25" s="33" t="inlineStr"/>
      <c r="H25" s="34" t="inlineStr"/>
      <c r="I25" s="34" t="inlineStr">
        <is>
          <t>Y</t>
        </is>
      </c>
      <c r="J25" s="33" t="inlineStr"/>
      <c r="K25" s="33" t="inlineStr"/>
    </row>
    <row r="26" ht="22" customHeight="1">
      <c r="B26" s="8" t="n">
        <v>6</v>
      </c>
      <c r="C26" s="9" t="inlineStr">
        <is>
          <t>Student Journalism Workshop</t>
        </is>
      </c>
      <c r="D26" s="10" t="inlineStr"/>
      <c r="E26" s="10" t="inlineStr"/>
      <c r="F26" s="9" t="inlineStr"/>
      <c r="G26" s="9" t="inlineStr"/>
      <c r="H26" s="10" t="inlineStr"/>
      <c r="I26" s="10" t="inlineStr">
        <is>
          <t>Y</t>
        </is>
      </c>
      <c r="J26" s="9" t="inlineStr"/>
      <c r="K26" s="9" t="inlineStr"/>
    </row>
    <row r="27" ht="22" customHeight="1">
      <c r="B27" s="32" t="n">
        <v>7</v>
      </c>
      <c r="C27" s="33" t="inlineStr">
        <is>
          <t>Social Media Campaign</t>
        </is>
      </c>
      <c r="D27" s="34" t="inlineStr"/>
      <c r="E27" s="34" t="inlineStr"/>
      <c r="F27" s="33" t="inlineStr"/>
      <c r="G27" s="33" t="inlineStr"/>
      <c r="H27" s="34" t="inlineStr"/>
      <c r="I27" s="34" t="inlineStr">
        <is>
          <t>Y</t>
        </is>
      </c>
      <c r="J27" s="33" t="inlineStr"/>
      <c r="K27" s="33" t="inlineStr"/>
    </row>
    <row r="28" ht="22" customHeight="1">
      <c r="B28" s="8" t="n">
        <v>8</v>
      </c>
      <c r="C28" s="9" t="inlineStr">
        <is>
          <t>Podcast Episode</t>
        </is>
      </c>
      <c r="D28" s="10" t="inlineStr"/>
      <c r="E28" s="10" t="inlineStr"/>
      <c r="F28" s="9" t="inlineStr"/>
      <c r="G28" s="9" t="inlineStr"/>
      <c r="H28" s="10" t="inlineStr"/>
      <c r="I28" s="10" t="inlineStr">
        <is>
          <t>Y</t>
        </is>
      </c>
      <c r="J28" s="9" t="inlineStr"/>
      <c r="K28" s="9" t="inlineStr"/>
    </row>
    <row r="29" ht="22" customHeight="1">
      <c r="B29" s="32" t="n">
        <v>9</v>
      </c>
      <c r="C29" s="33" t="inlineStr">
        <is>
          <t>Creative Writing Contest</t>
        </is>
      </c>
      <c r="D29" s="34" t="inlineStr"/>
      <c r="E29" s="34" t="inlineStr"/>
      <c r="F29" s="33" t="inlineStr"/>
      <c r="G29" s="33" t="inlineStr"/>
      <c r="H29" s="34" t="inlineStr"/>
      <c r="I29" s="34" t="inlineStr">
        <is>
          <t>Y</t>
        </is>
      </c>
      <c r="J29" s="33" t="inlineStr"/>
      <c r="K29" s="33" t="inlineStr"/>
    </row>
    <row r="30" ht="22" customHeight="1">
      <c r="B30" s="8" t="n">
        <v>10</v>
      </c>
      <c r="C30" s="9" t="inlineStr">
        <is>
          <t>Media Literacy Session</t>
        </is>
      </c>
      <c r="D30" s="10" t="inlineStr"/>
      <c r="E30" s="10" t="inlineStr"/>
      <c r="F30" s="9" t="inlineStr"/>
      <c r="G30" s="9" t="inlineStr"/>
      <c r="H30" s="10" t="inlineStr"/>
      <c r="I30" s="10" t="inlineStr">
        <is>
          <t>Y</t>
        </is>
      </c>
      <c r="J30" s="9" t="inlineStr"/>
      <c r="K30" s="9" t="inlineStr"/>
    </row>
    <row r="31" ht="22" customHeight="1">
      <c r="B31" s="32" t="n">
        <v>11</v>
      </c>
      <c r="C31" s="33" t="inlineStr">
        <is>
          <t>Press Club Debate</t>
        </is>
      </c>
      <c r="D31" s="34" t="inlineStr"/>
      <c r="E31" s="34" t="inlineStr"/>
      <c r="F31" s="33" t="inlineStr"/>
      <c r="G31" s="33" t="inlineStr"/>
      <c r="H31" s="34" t="inlineStr"/>
      <c r="I31" s="34" t="inlineStr">
        <is>
          <t>Y</t>
        </is>
      </c>
      <c r="J31" s="33" t="inlineStr"/>
      <c r="K31" s="33" t="inlineStr"/>
    </row>
    <row r="32" ht="22" customHeight="1">
      <c r="B32" s="8" t="n">
        <v>12</v>
      </c>
      <c r="C32" s="9" t="inlineStr">
        <is>
          <t>Digital Magazine Issue</t>
        </is>
      </c>
      <c r="D32" s="10" t="inlineStr"/>
      <c r="E32" s="10" t="inlineStr"/>
      <c r="F32" s="9" t="inlineStr"/>
      <c r="G32" s="9" t="inlineStr"/>
      <c r="H32" s="10" t="inlineStr"/>
      <c r="I32" s="10" t="inlineStr">
        <is>
          <t>Y</t>
        </is>
      </c>
      <c r="J32" s="9" t="inlineStr"/>
      <c r="K32" s="9" t="inlineStr"/>
    </row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</sheetData>
  <mergeCells count="4">
    <mergeCell ref="B4:K4"/>
    <mergeCell ref="B3:K3"/>
    <mergeCell ref="B19:K19"/>
    <mergeCell ref="B2:K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I5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8" t="inlineStr">
        <is>
          <t>PMPC-33: PRESS, MEDIA &amp; PUBLICATIONS COMMITTEE KPI DASHBOARD</t>
        </is>
      </c>
    </row>
    <row r="3" ht="25" customHeight="1">
      <c r="B3" s="2" t="inlineStr">
        <is>
          <t>A.Y.: _______  Quarter: Q1/Q2/Q3/Q4  PMPC Coordinator: ___________________  Date: _______</t>
        </is>
      </c>
    </row>
    <row r="4" ht="24" customHeight="1">
      <c r="B4" s="20" t="inlineStr">
        <is>
          <t>PUBLICATIONS KPIs</t>
        </is>
      </c>
    </row>
    <row r="5" ht="22" customHeight="1">
      <c r="B5" s="13" t="inlineStr">
        <is>
          <t>Sl.</t>
        </is>
      </c>
      <c r="C5" s="13" t="inlineStr">
        <is>
          <t>Key Performance Indicator</t>
        </is>
      </c>
      <c r="D5" s="13" t="inlineStr">
        <is>
          <t>Unit</t>
        </is>
      </c>
      <c r="E5" s="13" t="inlineStr">
        <is>
          <t>Annual
Target</t>
        </is>
      </c>
      <c r="F5" s="13" t="inlineStr">
        <is>
          <t>Prev. Year
Actual</t>
        </is>
      </c>
      <c r="G5" s="13" t="inlineStr">
        <is>
          <t>Q-to-Date
Actual</t>
        </is>
      </c>
      <c r="H5" s="13" t="inlineStr">
        <is>
          <t>Status</t>
        </is>
      </c>
      <c r="I5" s="13" t="inlineStr">
        <is>
          <t>Action Required</t>
        </is>
      </c>
    </row>
    <row r="6" ht="22" customHeight="1">
      <c r="B6" s="14" t="n">
        <v>1</v>
      </c>
      <c r="C6" s="15" t="inlineStr">
        <is>
          <t>Newsletters / magazines published</t>
        </is>
      </c>
      <c r="D6" s="16" t="inlineStr">
        <is>
          <t>No. per year</t>
        </is>
      </c>
      <c r="E6" s="16" t="inlineStr">
        <is>
          <t>≥4</t>
        </is>
      </c>
      <c r="F6" s="16" t="inlineStr"/>
      <c r="G6" s="16" t="inlineStr"/>
      <c r="H6" s="16" t="inlineStr">
        <is>
          <t>On Track</t>
        </is>
      </c>
      <c r="I6" s="15" t="inlineStr"/>
    </row>
    <row r="7" ht="22" customHeight="1">
      <c r="B7" s="8" t="n">
        <v>2</v>
      </c>
      <c r="C7" s="9" t="inlineStr">
        <is>
          <t>Total content pieces published (all formats)</t>
        </is>
      </c>
      <c r="D7" s="10" t="inlineStr">
        <is>
          <t>No.</t>
        </is>
      </c>
      <c r="E7" s="10" t="inlineStr">
        <is>
          <t>≥100</t>
        </is>
      </c>
      <c r="F7" s="10" t="inlineStr"/>
      <c r="G7" s="10" t="inlineStr"/>
      <c r="H7" s="10" t="inlineStr">
        <is>
          <t>On Track</t>
        </is>
      </c>
      <c r="I7" s="9" t="inlineStr"/>
    </row>
    <row r="8" ht="22" customHeight="1">
      <c r="B8" s="14" t="n">
        <v>3</v>
      </c>
      <c r="C8" s="15" t="inlineStr">
        <is>
          <t>e-Publications / digital content released</t>
        </is>
      </c>
      <c r="D8" s="16" t="inlineStr">
        <is>
          <t>No.</t>
        </is>
      </c>
      <c r="E8" s="16" t="inlineStr">
        <is>
          <t>≥12</t>
        </is>
      </c>
      <c r="F8" s="16" t="inlineStr"/>
      <c r="G8" s="16" t="inlineStr"/>
      <c r="H8" s="16" t="inlineStr">
        <is>
          <t>On Track</t>
        </is>
      </c>
      <c r="I8" s="15" t="inlineStr"/>
    </row>
    <row r="9" ht="22" customHeight="1">
      <c r="B9" s="8" t="n">
        <v>4</v>
      </c>
      <c r="C9" s="9" t="inlineStr">
        <is>
          <t>Research / academic publications supported</t>
        </is>
      </c>
      <c r="D9" s="10" t="inlineStr">
        <is>
          <t>No.</t>
        </is>
      </c>
      <c r="E9" s="10" t="inlineStr">
        <is>
          <t>≥5</t>
        </is>
      </c>
      <c r="F9" s="10" t="inlineStr"/>
      <c r="G9" s="10" t="inlineStr"/>
      <c r="H9" s="10" t="inlineStr">
        <is>
          <t>On Track</t>
        </is>
      </c>
      <c r="I9" s="9" t="inlineStr"/>
    </row>
    <row r="10" ht="22" customHeight="1">
      <c r="B10" s="14" t="n">
        <v>5</v>
      </c>
      <c r="C10" s="15" t="inlineStr">
        <is>
          <t>Books / monographs published</t>
        </is>
      </c>
      <c r="D10" s="16" t="inlineStr">
        <is>
          <t>No.</t>
        </is>
      </c>
      <c r="E10" s="16" t="inlineStr">
        <is>
          <t>≥3</t>
        </is>
      </c>
      <c r="F10" s="16" t="inlineStr"/>
      <c r="G10" s="16" t="inlineStr"/>
      <c r="H10" s="16" t="inlineStr">
        <is>
          <t>On Track</t>
        </is>
      </c>
      <c r="I10" s="15" t="inlineStr"/>
    </row>
    <row r="11" ht="22" customHeight="1">
      <c r="B11" s="8" t="n">
        <v>6</v>
      </c>
      <c r="C11" s="9" t="inlineStr">
        <is>
          <t>Faculty / students featured in publications</t>
        </is>
      </c>
      <c r="D11" s="10" t="inlineStr">
        <is>
          <t>No.</t>
        </is>
      </c>
      <c r="E11" s="10" t="inlineStr">
        <is>
          <t>≥50</t>
        </is>
      </c>
      <c r="F11" s="10" t="inlineStr"/>
      <c r="G11" s="10" t="inlineStr"/>
      <c r="H11" s="10" t="inlineStr">
        <is>
          <t>On Track</t>
        </is>
      </c>
      <c r="I11" s="9" t="inlineStr"/>
    </row>
    <row r="12" ht="22" customHeight="1">
      <c r="B12" s="14" t="n">
        <v>7</v>
      </c>
      <c r="C12" s="15" t="inlineStr">
        <is>
          <t>Editorial review turnaround time</t>
        </is>
      </c>
      <c r="D12" s="16" t="inlineStr">
        <is>
          <t>Days</t>
        </is>
      </c>
      <c r="E12" s="16" t="inlineStr">
        <is>
          <t>≤14 days</t>
        </is>
      </c>
      <c r="F12" s="16" t="inlineStr"/>
      <c r="G12" s="16" t="inlineStr"/>
      <c r="H12" s="16" t="inlineStr">
        <is>
          <t>On Track</t>
        </is>
      </c>
      <c r="I12" s="15" t="inlineStr"/>
    </row>
    <row r="13" ht="22" customHeight="1">
      <c r="B13" s="8" t="n">
        <v>8</v>
      </c>
      <c r="C13" s="9" t="inlineStr">
        <is>
          <t>Plagiarism compliance (% content checked)</t>
        </is>
      </c>
      <c r="D13" s="10" t="inlineStr">
        <is>
          <t>% of content</t>
        </is>
      </c>
      <c r="E13" s="10" t="inlineStr">
        <is>
          <t>100%</t>
        </is>
      </c>
      <c r="F13" s="10" t="inlineStr"/>
      <c r="G13" s="10" t="inlineStr"/>
      <c r="H13" s="10" t="inlineStr">
        <is>
          <t>On Track</t>
        </is>
      </c>
      <c r="I13" s="9" t="inlineStr"/>
    </row>
    <row r="14" ht="22" customHeight="1"/>
    <row r="15" ht="24" customHeight="1">
      <c r="B15" s="39" t="inlineStr">
        <is>
          <t>PRESS &amp; MEDIA KPIs</t>
        </is>
      </c>
    </row>
    <row r="16" ht="22" customHeight="1">
      <c r="B16" s="40" t="inlineStr">
        <is>
          <t>Sl.</t>
        </is>
      </c>
      <c r="C16" s="40" t="inlineStr">
        <is>
          <t>Key Performance Indicator</t>
        </is>
      </c>
      <c r="D16" s="40" t="inlineStr">
        <is>
          <t>Unit</t>
        </is>
      </c>
      <c r="E16" s="40" t="inlineStr">
        <is>
          <t>Annual
Target</t>
        </is>
      </c>
      <c r="F16" s="40" t="inlineStr">
        <is>
          <t>Prev. Year
Actual</t>
        </is>
      </c>
      <c r="G16" s="40" t="inlineStr">
        <is>
          <t>Q-to-Date
Actual</t>
        </is>
      </c>
      <c r="H16" s="40" t="inlineStr">
        <is>
          <t>Status</t>
        </is>
      </c>
      <c r="I16" s="40" t="inlineStr">
        <is>
          <t>Action Required</t>
        </is>
      </c>
    </row>
    <row r="17" ht="22" customHeight="1">
      <c r="B17" s="49" t="n">
        <v>1</v>
      </c>
      <c r="C17" s="55" t="inlineStr">
        <is>
          <t>Press releases issued</t>
        </is>
      </c>
      <c r="D17" s="42" t="inlineStr">
        <is>
          <t>No. per year</t>
        </is>
      </c>
      <c r="E17" s="42" t="inlineStr">
        <is>
          <t>≥24</t>
        </is>
      </c>
      <c r="F17" s="42" t="inlineStr"/>
      <c r="G17" s="42" t="inlineStr"/>
      <c r="H17" s="42" t="inlineStr">
        <is>
          <t>On Track</t>
        </is>
      </c>
      <c r="I17" s="55" t="inlineStr"/>
    </row>
    <row r="18" ht="22" customHeight="1">
      <c r="B18" s="8" t="n">
        <v>2</v>
      </c>
      <c r="C18" s="9" t="inlineStr">
        <is>
          <t>Media pickups per press release</t>
        </is>
      </c>
      <c r="D18" s="10" t="inlineStr">
        <is>
          <t>Avg. no.</t>
        </is>
      </c>
      <c r="E18" s="10" t="inlineStr">
        <is>
          <t>≥5</t>
        </is>
      </c>
      <c r="F18" s="10" t="inlineStr"/>
      <c r="G18" s="10" t="inlineStr"/>
      <c r="H18" s="10" t="inlineStr">
        <is>
          <t>On Track</t>
        </is>
      </c>
      <c r="I18" s="9" t="inlineStr"/>
    </row>
    <row r="19" ht="22" customHeight="1">
      <c r="B19" s="49" t="n">
        <v>3</v>
      </c>
      <c r="C19" s="55" t="inlineStr">
        <is>
          <t>Total media coverage instances</t>
        </is>
      </c>
      <c r="D19" s="42" t="inlineStr">
        <is>
          <t>No. per year</t>
        </is>
      </c>
      <c r="E19" s="42" t="inlineStr">
        <is>
          <t>≥100</t>
        </is>
      </c>
      <c r="F19" s="42" t="inlineStr"/>
      <c r="G19" s="42" t="inlineStr"/>
      <c r="H19" s="42" t="inlineStr">
        <is>
          <t>On Track</t>
        </is>
      </c>
      <c r="I19" s="55" t="inlineStr"/>
    </row>
    <row r="20" ht="22" customHeight="1">
      <c r="B20" s="8" t="n">
        <v>4</v>
      </c>
      <c r="C20" s="9" t="inlineStr">
        <is>
          <t>Positive coverage (% of total)</t>
        </is>
      </c>
      <c r="D20" s="10" t="inlineStr">
        <is>
          <t>% positive</t>
        </is>
      </c>
      <c r="E20" s="10" t="inlineStr">
        <is>
          <t>≥75%</t>
        </is>
      </c>
      <c r="F20" s="10" t="inlineStr"/>
      <c r="G20" s="10" t="inlineStr"/>
      <c r="H20" s="10" t="inlineStr">
        <is>
          <t>On Track</t>
        </is>
      </c>
      <c r="I20" s="9" t="inlineStr"/>
    </row>
    <row r="21" ht="22" customHeight="1">
      <c r="B21" s="49" t="n">
        <v>5</v>
      </c>
      <c r="C21" s="55" t="inlineStr">
        <is>
          <t>Negative coverage (%)</t>
        </is>
      </c>
      <c r="D21" s="42" t="inlineStr">
        <is>
          <t>% negative</t>
        </is>
      </c>
      <c r="E21" s="42" t="inlineStr">
        <is>
          <t>≤5%</t>
        </is>
      </c>
      <c r="F21" s="42" t="inlineStr"/>
      <c r="G21" s="42" t="inlineStr"/>
      <c r="H21" s="42" t="inlineStr">
        <is>
          <t>On Track</t>
        </is>
      </c>
      <c r="I21" s="55" t="inlineStr"/>
    </row>
    <row r="22" ht="22" customHeight="1">
      <c r="B22" s="8" t="n">
        <v>6</v>
      </c>
      <c r="C22" s="9" t="inlineStr">
        <is>
          <t>Press conferences held</t>
        </is>
      </c>
      <c r="D22" s="10" t="inlineStr">
        <is>
          <t>No. per year</t>
        </is>
      </c>
      <c r="E22" s="10" t="inlineStr">
        <is>
          <t>≥4</t>
        </is>
      </c>
      <c r="F22" s="10" t="inlineStr"/>
      <c r="G22" s="10" t="inlineStr"/>
      <c r="H22" s="10" t="inlineStr">
        <is>
          <t>On Track</t>
        </is>
      </c>
      <c r="I22" s="9" t="inlineStr"/>
    </row>
    <row r="23" ht="22" customHeight="1">
      <c r="B23" s="49" t="n">
        <v>7</v>
      </c>
      <c r="C23" s="55" t="inlineStr">
        <is>
          <t>Crisis incidents handled</t>
        </is>
      </c>
      <c r="D23" s="42" t="inlineStr">
        <is>
          <t>No.</t>
        </is>
      </c>
      <c r="E23" s="42" t="inlineStr">
        <is>
          <t>0 unmanaged</t>
        </is>
      </c>
      <c r="F23" s="42" t="inlineStr"/>
      <c r="G23" s="42" t="inlineStr"/>
      <c r="H23" s="42" t="inlineStr">
        <is>
          <t>On Track</t>
        </is>
      </c>
      <c r="I23" s="55" t="inlineStr"/>
    </row>
    <row r="24" ht="22" customHeight="1">
      <c r="B24" s="8" t="n">
        <v>8</v>
      </c>
      <c r="C24" s="9" t="inlineStr">
        <is>
          <t>Media response time</t>
        </is>
      </c>
      <c r="D24" s="10" t="inlineStr">
        <is>
          <t>Hours</t>
        </is>
      </c>
      <c r="E24" s="10" t="inlineStr">
        <is>
          <t>≤4 hours</t>
        </is>
      </c>
      <c r="F24" s="10" t="inlineStr"/>
      <c r="G24" s="10" t="inlineStr"/>
      <c r="H24" s="10" t="inlineStr">
        <is>
          <t>On Track</t>
        </is>
      </c>
      <c r="I24" s="9" t="inlineStr"/>
    </row>
    <row r="25" ht="22" customHeight="1"/>
    <row r="26" ht="24" customHeight="1">
      <c r="B26" s="35" t="inlineStr">
        <is>
          <t>SOCIAL MEDIA KPIs</t>
        </is>
      </c>
    </row>
    <row r="27" ht="22" customHeight="1">
      <c r="B27" s="31" t="inlineStr">
        <is>
          <t>Sl.</t>
        </is>
      </c>
      <c r="C27" s="31" t="inlineStr">
        <is>
          <t>Key Performance Indicator</t>
        </is>
      </c>
      <c r="D27" s="31" t="inlineStr">
        <is>
          <t>Unit</t>
        </is>
      </c>
      <c r="E27" s="31" t="inlineStr">
        <is>
          <t>Annual
Target</t>
        </is>
      </c>
      <c r="F27" s="31" t="inlineStr">
        <is>
          <t>Prev. Year
Actual</t>
        </is>
      </c>
      <c r="G27" s="31" t="inlineStr">
        <is>
          <t>Q-to-Date
Actual</t>
        </is>
      </c>
      <c r="H27" s="31" t="inlineStr">
        <is>
          <t>Status</t>
        </is>
      </c>
      <c r="I27" s="31" t="inlineStr">
        <is>
          <t>Action Required</t>
        </is>
      </c>
    </row>
    <row r="28" ht="22" customHeight="1">
      <c r="B28" s="32" t="n">
        <v>1</v>
      </c>
      <c r="C28" s="33" t="inlineStr">
        <is>
          <t>Total social media followers (all platforms)</t>
        </is>
      </c>
      <c r="D28" s="34" t="inlineStr">
        <is>
          <t>No.</t>
        </is>
      </c>
      <c r="E28" s="34" t="inlineStr">
        <is>
          <t>Increasing</t>
        </is>
      </c>
      <c r="F28" s="34" t="inlineStr"/>
      <c r="G28" s="34" t="inlineStr"/>
      <c r="H28" s="34" t="inlineStr">
        <is>
          <t>On Track</t>
        </is>
      </c>
      <c r="I28" s="33" t="inlineStr"/>
    </row>
    <row r="29" ht="22" customHeight="1">
      <c r="B29" s="8" t="n">
        <v>2</v>
      </c>
      <c r="C29" s="9" t="inlineStr">
        <is>
          <t>Follower growth rate (% per year)</t>
        </is>
      </c>
      <c r="D29" s="10" t="inlineStr">
        <is>
          <t>% growth</t>
        </is>
      </c>
      <c r="E29" s="10" t="inlineStr">
        <is>
          <t>≥20%</t>
        </is>
      </c>
      <c r="F29" s="10" t="inlineStr"/>
      <c r="G29" s="10" t="inlineStr"/>
      <c r="H29" s="10" t="inlineStr">
        <is>
          <t>On Track</t>
        </is>
      </c>
      <c r="I29" s="9" t="inlineStr"/>
    </row>
    <row r="30" ht="22" customHeight="1">
      <c r="B30" s="32" t="n">
        <v>3</v>
      </c>
      <c r="C30" s="33" t="inlineStr">
        <is>
          <t>Average engagement rate</t>
        </is>
      </c>
      <c r="D30" s="34" t="inlineStr">
        <is>
          <t>% engagement</t>
        </is>
      </c>
      <c r="E30" s="34" t="inlineStr">
        <is>
          <t>≥3%</t>
        </is>
      </c>
      <c r="F30" s="34" t="inlineStr"/>
      <c r="G30" s="34" t="inlineStr"/>
      <c r="H30" s="34" t="inlineStr">
        <is>
          <t>On Track</t>
        </is>
      </c>
      <c r="I30" s="33" t="inlineStr"/>
    </row>
    <row r="31" ht="22" customHeight="1">
      <c r="B31" s="8" t="n">
        <v>4</v>
      </c>
      <c r="C31" s="9" t="inlineStr">
        <is>
          <t>Posts published per month (all platforms)</t>
        </is>
      </c>
      <c r="D31" s="10" t="inlineStr">
        <is>
          <t>No.</t>
        </is>
      </c>
      <c r="E31" s="10" t="inlineStr">
        <is>
          <t>≥30</t>
        </is>
      </c>
      <c r="F31" s="10" t="inlineStr"/>
      <c r="G31" s="10" t="inlineStr"/>
      <c r="H31" s="10" t="inlineStr">
        <is>
          <t>On Track</t>
        </is>
      </c>
      <c r="I31" s="9" t="inlineStr"/>
    </row>
    <row r="32" ht="22" customHeight="1">
      <c r="B32" s="32" t="n">
        <v>5</v>
      </c>
      <c r="C32" s="33" t="inlineStr">
        <is>
          <t>Top post reach (monthly best)</t>
        </is>
      </c>
      <c r="D32" s="34" t="inlineStr">
        <is>
          <t>No. of views</t>
        </is>
      </c>
      <c r="E32" s="34" t="inlineStr">
        <is>
          <t>Increasing</t>
        </is>
      </c>
      <c r="F32" s="34" t="inlineStr"/>
      <c r="G32" s="34" t="inlineStr"/>
      <c r="H32" s="34" t="inlineStr">
        <is>
          <t>On Track</t>
        </is>
      </c>
      <c r="I32" s="33" t="inlineStr"/>
    </row>
    <row r="33" ht="22" customHeight="1">
      <c r="B33" s="8" t="n">
        <v>6</v>
      </c>
      <c r="C33" s="9" t="inlineStr">
        <is>
          <t>Social media response time</t>
        </is>
      </c>
      <c r="D33" s="10" t="inlineStr">
        <is>
          <t>Hours</t>
        </is>
      </c>
      <c r="E33" s="10" t="inlineStr">
        <is>
          <t>≤4 hours</t>
        </is>
      </c>
      <c r="F33" s="10" t="inlineStr"/>
      <c r="G33" s="10" t="inlineStr"/>
      <c r="H33" s="10" t="inlineStr">
        <is>
          <t>On Track</t>
        </is>
      </c>
      <c r="I33" s="9" t="inlineStr"/>
    </row>
    <row r="34" ht="22" customHeight="1">
      <c r="B34" s="32" t="n">
        <v>7</v>
      </c>
      <c r="C34" s="33" t="inlineStr">
        <is>
          <t>Brand mentions tracked</t>
        </is>
      </c>
      <c r="D34" s="34" t="inlineStr">
        <is>
          <t>No. monitored</t>
        </is>
      </c>
      <c r="E34" s="34" t="inlineStr">
        <is>
          <t>All</t>
        </is>
      </c>
      <c r="F34" s="34" t="inlineStr"/>
      <c r="G34" s="34" t="inlineStr"/>
      <c r="H34" s="34" t="inlineStr">
        <is>
          <t>On Track</t>
        </is>
      </c>
      <c r="I34" s="33" t="inlineStr"/>
    </row>
    <row r="35" ht="22" customHeight="1"/>
    <row r="36" ht="24" customHeight="1">
      <c r="B36" s="59" t="inlineStr">
        <is>
          <t>DIGITAL CONTENT KPIs</t>
        </is>
      </c>
    </row>
    <row r="37" ht="22" customHeight="1">
      <c r="B37" s="60" t="inlineStr">
        <is>
          <t>Sl.</t>
        </is>
      </c>
      <c r="C37" s="60" t="inlineStr">
        <is>
          <t>Key Performance Indicator</t>
        </is>
      </c>
      <c r="D37" s="60" t="inlineStr">
        <is>
          <t>Unit</t>
        </is>
      </c>
      <c r="E37" s="60" t="inlineStr">
        <is>
          <t>Annual
Target</t>
        </is>
      </c>
      <c r="F37" s="60" t="inlineStr">
        <is>
          <t>Prev. Year
Actual</t>
        </is>
      </c>
      <c r="G37" s="60" t="inlineStr">
        <is>
          <t>Q-to-Date
Actual</t>
        </is>
      </c>
      <c r="H37" s="60" t="inlineStr">
        <is>
          <t>Status</t>
        </is>
      </c>
      <c r="I37" s="60" t="inlineStr">
        <is>
          <t>Action Required</t>
        </is>
      </c>
    </row>
    <row r="38" ht="22" customHeight="1">
      <c r="B38" s="61" t="n">
        <v>1</v>
      </c>
      <c r="C38" s="62" t="inlineStr">
        <is>
          <t>Website news / events updates</t>
        </is>
      </c>
      <c r="D38" s="63" t="inlineStr">
        <is>
          <t>No. per month</t>
        </is>
      </c>
      <c r="E38" s="63" t="inlineStr">
        <is>
          <t>≥8</t>
        </is>
      </c>
      <c r="F38" s="63" t="inlineStr"/>
      <c r="G38" s="63" t="inlineStr"/>
      <c r="H38" s="63" t="inlineStr">
        <is>
          <t>On Track</t>
        </is>
      </c>
      <c r="I38" s="62" t="inlineStr"/>
    </row>
    <row r="39" ht="22" customHeight="1">
      <c r="B39" s="8" t="n">
        <v>2</v>
      </c>
      <c r="C39" s="9" t="inlineStr">
        <is>
          <t>YouTube videos published</t>
        </is>
      </c>
      <c r="D39" s="10" t="inlineStr">
        <is>
          <t>No. per year</t>
        </is>
      </c>
      <c r="E39" s="10" t="inlineStr">
        <is>
          <t>≥12</t>
        </is>
      </c>
      <c r="F39" s="10" t="inlineStr"/>
      <c r="G39" s="10" t="inlineStr"/>
      <c r="H39" s="10" t="inlineStr">
        <is>
          <t>On Track</t>
        </is>
      </c>
      <c r="I39" s="9" t="inlineStr"/>
    </row>
    <row r="40" ht="22" customHeight="1">
      <c r="B40" s="61" t="n">
        <v>3</v>
      </c>
      <c r="C40" s="62" t="inlineStr">
        <is>
          <t>Reels / shorts created</t>
        </is>
      </c>
      <c r="D40" s="63" t="inlineStr">
        <is>
          <t>No. per month</t>
        </is>
      </c>
      <c r="E40" s="63" t="inlineStr">
        <is>
          <t>≥4</t>
        </is>
      </c>
      <c r="F40" s="63" t="inlineStr"/>
      <c r="G40" s="63" t="inlineStr"/>
      <c r="H40" s="63" t="inlineStr">
        <is>
          <t>On Track</t>
        </is>
      </c>
      <c r="I40" s="62" t="inlineStr"/>
    </row>
    <row r="41" ht="22" customHeight="1">
      <c r="B41" s="8" t="n">
        <v>4</v>
      </c>
      <c r="C41" s="9" t="inlineStr">
        <is>
          <t>Digital media asset library size</t>
        </is>
      </c>
      <c r="D41" s="10" t="inlineStr">
        <is>
          <t>Total assets</t>
        </is>
      </c>
      <c r="E41" s="10" t="inlineStr">
        <is>
          <t>Growing</t>
        </is>
      </c>
      <c r="F41" s="10" t="inlineStr"/>
      <c r="G41" s="10" t="inlineStr"/>
      <c r="H41" s="10" t="inlineStr">
        <is>
          <t>On Track</t>
        </is>
      </c>
      <c r="I41" s="9" t="inlineStr"/>
    </row>
    <row r="42" ht="22" customHeight="1">
      <c r="B42" s="61" t="n">
        <v>5</v>
      </c>
      <c r="C42" s="62" t="inlineStr">
        <is>
          <t>Photography shoots conducted</t>
        </is>
      </c>
      <c r="D42" s="63" t="inlineStr">
        <is>
          <t>No. per year</t>
        </is>
      </c>
      <c r="E42" s="63" t="inlineStr">
        <is>
          <t>≥24</t>
        </is>
      </c>
      <c r="F42" s="63" t="inlineStr"/>
      <c r="G42" s="63" t="inlineStr"/>
      <c r="H42" s="63" t="inlineStr">
        <is>
          <t>On Track</t>
        </is>
      </c>
      <c r="I42" s="62" t="inlineStr"/>
    </row>
    <row r="43" ht="22" customHeight="1"/>
    <row r="44" ht="24" customHeight="1">
      <c r="B44" s="64" t="inlineStr">
        <is>
          <t>STUDENT MEDIA KPIs</t>
        </is>
      </c>
    </row>
    <row r="45" ht="22" customHeight="1">
      <c r="B45" s="65" t="inlineStr">
        <is>
          <t>Sl.</t>
        </is>
      </c>
      <c r="C45" s="65" t="inlineStr">
        <is>
          <t>Key Performance Indicator</t>
        </is>
      </c>
      <c r="D45" s="65" t="inlineStr">
        <is>
          <t>Unit</t>
        </is>
      </c>
      <c r="E45" s="65" t="inlineStr">
        <is>
          <t>Annual
Target</t>
        </is>
      </c>
      <c r="F45" s="65" t="inlineStr">
        <is>
          <t>Prev. Year
Actual</t>
        </is>
      </c>
      <c r="G45" s="65" t="inlineStr">
        <is>
          <t>Q-to-Date
Actual</t>
        </is>
      </c>
      <c r="H45" s="65" t="inlineStr">
        <is>
          <t>Status</t>
        </is>
      </c>
      <c r="I45" s="65" t="inlineStr">
        <is>
          <t>Action Required</t>
        </is>
      </c>
    </row>
    <row r="46" ht="22" customHeight="1">
      <c r="B46" s="66" t="n">
        <v>1</v>
      </c>
      <c r="C46" s="67" t="inlineStr">
        <is>
          <t>Student media cell active members</t>
        </is>
      </c>
      <c r="D46" s="68" t="inlineStr">
        <is>
          <t>No.</t>
        </is>
      </c>
      <c r="E46" s="68" t="inlineStr">
        <is>
          <t>≥15</t>
        </is>
      </c>
      <c r="F46" s="68" t="inlineStr"/>
      <c r="G46" s="68" t="inlineStr"/>
      <c r="H46" s="68" t="inlineStr">
        <is>
          <t>On Track</t>
        </is>
      </c>
      <c r="I46" s="67" t="inlineStr"/>
    </row>
    <row r="47" ht="22" customHeight="1">
      <c r="B47" s="8" t="n">
        <v>2</v>
      </c>
      <c r="C47" s="9" t="inlineStr">
        <is>
          <t>Student publications / articles released</t>
        </is>
      </c>
      <c r="D47" s="10" t="inlineStr">
        <is>
          <t>No. per year</t>
        </is>
      </c>
      <c r="E47" s="10" t="inlineStr">
        <is>
          <t>≥20</t>
        </is>
      </c>
      <c r="F47" s="10" t="inlineStr"/>
      <c r="G47" s="10" t="inlineStr"/>
      <c r="H47" s="10" t="inlineStr">
        <is>
          <t>On Track</t>
        </is>
      </c>
      <c r="I47" s="9" t="inlineStr"/>
    </row>
    <row r="48" ht="22" customHeight="1">
      <c r="B48" s="66" t="n">
        <v>3</v>
      </c>
      <c r="C48" s="67" t="inlineStr">
        <is>
          <t>Students trained in journalism / media</t>
        </is>
      </c>
      <c r="D48" s="68" t="inlineStr">
        <is>
          <t>No.</t>
        </is>
      </c>
      <c r="E48" s="68" t="inlineStr">
        <is>
          <t>≥30</t>
        </is>
      </c>
      <c r="F48" s="68" t="inlineStr"/>
      <c r="G48" s="68" t="inlineStr"/>
      <c r="H48" s="68" t="inlineStr">
        <is>
          <t>On Track</t>
        </is>
      </c>
      <c r="I48" s="67" t="inlineStr"/>
    </row>
    <row r="49" ht="22" customHeight="1">
      <c r="B49" s="8" t="n">
        <v>4</v>
      </c>
      <c r="C49" s="9" t="inlineStr">
        <is>
          <t>Student media awards / recognition</t>
        </is>
      </c>
      <c r="D49" s="10" t="inlineStr">
        <is>
          <t>No.</t>
        </is>
      </c>
      <c r="E49" s="10" t="inlineStr">
        <is>
          <t>≥2</t>
        </is>
      </c>
      <c r="F49" s="10" t="inlineStr"/>
      <c r="G49" s="10" t="inlineStr"/>
      <c r="H49" s="10" t="inlineStr">
        <is>
          <t>On Track</t>
        </is>
      </c>
      <c r="I49" s="9" t="inlineStr"/>
    </row>
    <row r="50" ht="22" customHeight="1">
      <c r="B50" s="66" t="n">
        <v>5</v>
      </c>
      <c r="C50" s="67" t="inlineStr">
        <is>
          <t>Student social media campaign launches</t>
        </is>
      </c>
      <c r="D50" s="68" t="inlineStr">
        <is>
          <t>No.</t>
        </is>
      </c>
      <c r="E50" s="68" t="inlineStr">
        <is>
          <t>≥4</t>
        </is>
      </c>
      <c r="F50" s="68" t="inlineStr"/>
      <c r="G50" s="68" t="inlineStr"/>
      <c r="H50" s="68" t="inlineStr">
        <is>
          <t>On Track</t>
        </is>
      </c>
      <c r="I50" s="67" t="inlineStr"/>
    </row>
    <row r="51" ht="22" customHeight="1"/>
    <row r="52" ht="24" customHeight="1">
      <c r="B52" s="21" t="inlineStr">
        <is>
          <t>BUDGET &amp; ACCREDITATION KPIs</t>
        </is>
      </c>
    </row>
    <row r="53" ht="22" customHeight="1">
      <c r="B53" s="22" t="inlineStr">
        <is>
          <t>Sl.</t>
        </is>
      </c>
      <c r="C53" s="22" t="inlineStr">
        <is>
          <t>Key Performance Indicator</t>
        </is>
      </c>
      <c r="D53" s="22" t="inlineStr">
        <is>
          <t>Unit</t>
        </is>
      </c>
      <c r="E53" s="22" t="inlineStr">
        <is>
          <t>Annual
Target</t>
        </is>
      </c>
      <c r="F53" s="22" t="inlineStr">
        <is>
          <t>Prev. Year
Actual</t>
        </is>
      </c>
      <c r="G53" s="22" t="inlineStr">
        <is>
          <t>Q-to-Date
Actual</t>
        </is>
      </c>
      <c r="H53" s="22" t="inlineStr">
        <is>
          <t>Status</t>
        </is>
      </c>
      <c r="I53" s="22" t="inlineStr">
        <is>
          <t>Action Required</t>
        </is>
      </c>
    </row>
    <row r="54" ht="22" customHeight="1">
      <c r="B54" s="47" t="n">
        <v>1</v>
      </c>
      <c r="C54" s="69" t="inlineStr">
        <is>
          <t>Publications budget utilisation (%)</t>
        </is>
      </c>
      <c r="D54" s="23" t="inlineStr">
        <is>
          <t>% utilised</t>
        </is>
      </c>
      <c r="E54" s="23" t="inlineStr">
        <is>
          <t>85–100%</t>
        </is>
      </c>
      <c r="F54" s="23" t="inlineStr"/>
      <c r="G54" s="23" t="inlineStr"/>
      <c r="H54" s="23" t="inlineStr">
        <is>
          <t>On Track</t>
        </is>
      </c>
      <c r="I54" s="69" t="inlineStr"/>
    </row>
    <row r="55" ht="22" customHeight="1">
      <c r="B55" s="8" t="n">
        <v>2</v>
      </c>
      <c r="C55" s="9" t="inlineStr">
        <is>
          <t>Media coverage archive completeness</t>
        </is>
      </c>
      <c r="D55" s="10" t="inlineStr">
        <is>
          <t>% archived</t>
        </is>
      </c>
      <c r="E55" s="10" t="inlineStr">
        <is>
          <t>100%</t>
        </is>
      </c>
      <c r="F55" s="10" t="inlineStr"/>
      <c r="G55" s="10" t="inlineStr"/>
      <c r="H55" s="10" t="inlineStr">
        <is>
          <t>On Track</t>
        </is>
      </c>
      <c r="I55" s="9" t="inlineStr"/>
    </row>
    <row r="56" ht="22" customHeight="1">
      <c r="B56" s="47" t="n">
        <v>3</v>
      </c>
      <c r="C56" s="69" t="inlineStr">
        <is>
          <t>NAAC / NIRF media evidence compiled</t>
        </is>
      </c>
      <c r="D56" s="23" t="inlineStr">
        <is>
          <t>Y/N</t>
        </is>
      </c>
      <c r="E56" s="23" t="inlineStr">
        <is>
          <t>Yes annually</t>
        </is>
      </c>
      <c r="F56" s="23" t="inlineStr"/>
      <c r="G56" s="23" t="inlineStr"/>
      <c r="H56" s="23" t="inlineStr">
        <is>
          <t>On Track</t>
        </is>
      </c>
      <c r="I56" s="69" t="inlineStr"/>
    </row>
    <row r="57" ht="22" customHeight="1">
      <c r="B57" s="8" t="n">
        <v>4</v>
      </c>
      <c r="C57" s="9" t="inlineStr">
        <is>
          <t>Brand guideline compliance rate</t>
        </is>
      </c>
      <c r="D57" s="10" t="inlineStr">
        <is>
          <t>% compliant</t>
        </is>
      </c>
      <c r="E57" s="10" t="inlineStr">
        <is>
          <t>100%</t>
        </is>
      </c>
      <c r="F57" s="10" t="inlineStr"/>
      <c r="G57" s="10" t="inlineStr"/>
      <c r="H57" s="10" t="inlineStr">
        <is>
          <t>On Track</t>
        </is>
      </c>
      <c r="I57" s="9" t="inlineStr"/>
    </row>
    <row r="58" ht="22" customHeight="1">
      <c r="B58" s="47" t="n">
        <v>5</v>
      </c>
      <c r="C58" s="69" t="inlineStr">
        <is>
          <t>Ad campaign ROI (reach per ₹1000)</t>
        </is>
      </c>
      <c r="D58" s="23" t="inlineStr">
        <is>
          <t>Reach / ₹1000</t>
        </is>
      </c>
      <c r="E58" s="23" t="inlineStr">
        <is>
          <t>Improving</t>
        </is>
      </c>
      <c r="F58" s="23" t="inlineStr"/>
      <c r="G58" s="23" t="inlineStr"/>
      <c r="H58" s="23" t="inlineStr">
        <is>
          <t>On Track</t>
        </is>
      </c>
      <c r="I58" s="69" t="inlineStr"/>
    </row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</sheetData>
  <mergeCells count="8">
    <mergeCell ref="B52:I52"/>
    <mergeCell ref="B44:I44"/>
    <mergeCell ref="B15:I15"/>
    <mergeCell ref="B2:I2"/>
    <mergeCell ref="B3:I3"/>
    <mergeCell ref="B36:I36"/>
    <mergeCell ref="B4:I4"/>
    <mergeCell ref="B26:I2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8" t="inlineStr">
        <is>
          <t>PMPC-34: PMPC ANNUAL REPORT COMPILATION FORM</t>
        </is>
      </c>
    </row>
    <row r="3" ht="25" customHeight="1">
      <c r="B3" s="2" t="inlineStr">
        <is>
          <t>A.Y.: _______  PMPC Coordinator: ___________________  Submitted to: Management / IQAC  Date: _______</t>
        </is>
      </c>
    </row>
    <row r="4" ht="24" customHeight="1">
      <c r="B4" s="20" t="inlineStr">
        <is>
          <t>SECTION 1 — PUBLICATIONS</t>
        </is>
      </c>
    </row>
    <row r="5" ht="22" customHeight="1">
      <c r="B5" s="13" t="inlineStr">
        <is>
          <t>Sl.</t>
        </is>
      </c>
      <c r="C5" s="13" t="inlineStr">
        <is>
          <t>Performance Metric</t>
        </is>
      </c>
      <c r="D5" s="13" t="inlineStr">
        <is>
          <t>Unit</t>
        </is>
      </c>
      <c r="E5" s="13" t="inlineStr">
        <is>
          <t>Current A.Y.</t>
        </is>
      </c>
      <c r="F5" s="13" t="inlineStr">
        <is>
          <t>Previous A.Y.</t>
        </is>
      </c>
      <c r="G5" s="13" t="inlineStr">
        <is>
          <t>Growth %</t>
        </is>
      </c>
      <c r="H5" s="13" t="inlineStr">
        <is>
          <t>Target Next Year</t>
        </is>
      </c>
    </row>
    <row r="6" ht="22" customHeight="1">
      <c r="B6" s="14" t="n">
        <v>1</v>
      </c>
      <c r="C6" s="15" t="inlineStr">
        <is>
          <t>Newsletter issues published</t>
        </is>
      </c>
      <c r="D6" s="16" t="inlineStr">
        <is>
          <t>No.</t>
        </is>
      </c>
      <c r="E6" s="16" t="inlineStr"/>
      <c r="F6" s="16" t="inlineStr"/>
      <c r="G6" s="16">
        <f>IFERROR(ROUND((E6-F6)/F6*100,1),"")</f>
        <v/>
      </c>
      <c r="H6" s="16" t="inlineStr"/>
    </row>
    <row r="7" ht="22" customHeight="1">
      <c r="B7" s="8" t="n">
        <v>2</v>
      </c>
      <c r="C7" s="9" t="inlineStr">
        <is>
          <t>Magazine / annual editions</t>
        </is>
      </c>
      <c r="D7" s="10" t="inlineStr">
        <is>
          <t>No.</t>
        </is>
      </c>
      <c r="E7" s="10" t="inlineStr"/>
      <c r="F7" s="10" t="inlineStr"/>
      <c r="G7" s="10">
        <f>IFERROR(ROUND((E7-F7)/F7*100,1),"")</f>
        <v/>
      </c>
      <c r="H7" s="10" t="inlineStr"/>
    </row>
    <row r="8" ht="22" customHeight="1">
      <c r="B8" s="14" t="n">
        <v>3</v>
      </c>
      <c r="C8" s="15" t="inlineStr">
        <is>
          <t>e-Newsletters / digital publications</t>
        </is>
      </c>
      <c r="D8" s="16" t="inlineStr">
        <is>
          <t>No.</t>
        </is>
      </c>
      <c r="E8" s="16" t="inlineStr"/>
      <c r="F8" s="16" t="inlineStr"/>
      <c r="G8" s="16">
        <f>IFERROR(ROUND((E8-F8)/F8*100,1),"")</f>
        <v/>
      </c>
      <c r="H8" s="16" t="inlineStr"/>
    </row>
    <row r="9" ht="22" customHeight="1">
      <c r="B9" s="8" t="n">
        <v>4</v>
      </c>
      <c r="C9" s="9" t="inlineStr">
        <is>
          <t>Faculty books / research supported</t>
        </is>
      </c>
      <c r="D9" s="10" t="inlineStr">
        <is>
          <t>No.</t>
        </is>
      </c>
      <c r="E9" s="10" t="inlineStr"/>
      <c r="F9" s="10" t="inlineStr"/>
      <c r="G9" s="10">
        <f>IFERROR(ROUND((E9-F9)/F9*100,1),"")</f>
        <v/>
      </c>
      <c r="H9" s="10" t="inlineStr"/>
    </row>
    <row r="10" ht="22" customHeight="1">
      <c r="B10" s="14" t="n">
        <v>5</v>
      </c>
      <c r="C10" s="15" t="inlineStr">
        <is>
          <t>Total content pieces published</t>
        </is>
      </c>
      <c r="D10" s="16" t="inlineStr">
        <is>
          <t>No.</t>
        </is>
      </c>
      <c r="E10" s="16" t="inlineStr"/>
      <c r="F10" s="16" t="inlineStr"/>
      <c r="G10" s="16">
        <f>IFERROR(ROUND((E10-F10)/F10*100,1),"")</f>
        <v/>
      </c>
      <c r="H10" s="16" t="inlineStr"/>
    </row>
    <row r="11" ht="22" customHeight="1">
      <c r="B11" s="8" t="n">
        <v>6</v>
      </c>
      <c r="C11" s="9" t="inlineStr">
        <is>
          <t>New subscribers / distribution reach</t>
        </is>
      </c>
      <c r="D11" s="10" t="inlineStr">
        <is>
          <t>No.</t>
        </is>
      </c>
      <c r="E11" s="10" t="inlineStr"/>
      <c r="F11" s="10" t="inlineStr"/>
      <c r="G11" s="10">
        <f>IFERROR(ROUND((E11-F11)/F11*100,1),"")</f>
        <v/>
      </c>
      <c r="H11" s="10" t="inlineStr"/>
    </row>
    <row r="12" ht="22" customHeight="1"/>
    <row r="13" ht="24" customHeight="1">
      <c r="B13" s="39" t="inlineStr">
        <is>
          <t>SECTION 2 — PRESS &amp; MEDIA</t>
        </is>
      </c>
    </row>
    <row r="14" ht="22" customHeight="1">
      <c r="B14" s="40" t="inlineStr">
        <is>
          <t>Sl.</t>
        </is>
      </c>
      <c r="C14" s="40" t="inlineStr">
        <is>
          <t>Performance Metric</t>
        </is>
      </c>
      <c r="D14" s="40" t="inlineStr">
        <is>
          <t>Unit</t>
        </is>
      </c>
      <c r="E14" s="40" t="inlineStr">
        <is>
          <t>Current A.Y.</t>
        </is>
      </c>
      <c r="F14" s="40" t="inlineStr">
        <is>
          <t>Previous A.Y.</t>
        </is>
      </c>
      <c r="G14" s="40" t="inlineStr">
        <is>
          <t>Growth %</t>
        </is>
      </c>
      <c r="H14" s="40" t="inlineStr">
        <is>
          <t>Target Next Year</t>
        </is>
      </c>
    </row>
    <row r="15" ht="22" customHeight="1">
      <c r="B15" s="49" t="n">
        <v>1</v>
      </c>
      <c r="C15" s="55" t="inlineStr">
        <is>
          <t>Press releases issued</t>
        </is>
      </c>
      <c r="D15" s="42" t="inlineStr">
        <is>
          <t>No.</t>
        </is>
      </c>
      <c r="E15" s="42" t="inlineStr"/>
      <c r="F15" s="42" t="inlineStr"/>
      <c r="G15" s="42">
        <f>IFERROR(ROUND((E15-F15)/F15*100,1),"")</f>
        <v/>
      </c>
      <c r="H15" s="42" t="inlineStr"/>
    </row>
    <row r="16" ht="22" customHeight="1">
      <c r="B16" s="8" t="n">
        <v>2</v>
      </c>
      <c r="C16" s="9" t="inlineStr">
        <is>
          <t>Average media pickups per release</t>
        </is>
      </c>
      <c r="D16" s="10" t="inlineStr">
        <is>
          <t>No.</t>
        </is>
      </c>
      <c r="E16" s="10" t="inlineStr"/>
      <c r="F16" s="10" t="inlineStr"/>
      <c r="G16" s="10">
        <f>IFERROR(ROUND((E16-F16)/F16*100,1),"")</f>
        <v/>
      </c>
      <c r="H16" s="10" t="inlineStr"/>
    </row>
    <row r="17" ht="22" customHeight="1">
      <c r="B17" s="49" t="n">
        <v>3</v>
      </c>
      <c r="C17" s="55" t="inlineStr">
        <is>
          <t>Total media coverage instances</t>
        </is>
      </c>
      <c r="D17" s="42" t="inlineStr">
        <is>
          <t>No.</t>
        </is>
      </c>
      <c r="E17" s="42" t="inlineStr"/>
      <c r="F17" s="42" t="inlineStr"/>
      <c r="G17" s="42">
        <f>IFERROR(ROUND((E17-F17)/F17*100,1),"")</f>
        <v/>
      </c>
      <c r="H17" s="42" t="inlineStr"/>
    </row>
    <row r="18" ht="22" customHeight="1">
      <c r="B18" s="8" t="n">
        <v>4</v>
      </c>
      <c r="C18" s="9" t="inlineStr">
        <is>
          <t>Positive coverage (%)</t>
        </is>
      </c>
      <c r="D18" s="10" t="inlineStr">
        <is>
          <t>% of total</t>
        </is>
      </c>
      <c r="E18" s="10" t="inlineStr"/>
      <c r="F18" s="10" t="inlineStr"/>
      <c r="G18" s="10">
        <f>IFERROR(ROUND((E18-F18)/F18*100,1),"")</f>
        <v/>
      </c>
      <c r="H18" s="10" t="inlineStr"/>
    </row>
    <row r="19" ht="22" customHeight="1">
      <c r="B19" s="49" t="n">
        <v>5</v>
      </c>
      <c r="C19" s="55" t="inlineStr">
        <is>
          <t>Press conferences held</t>
        </is>
      </c>
      <c r="D19" s="42" t="inlineStr">
        <is>
          <t>No.</t>
        </is>
      </c>
      <c r="E19" s="42" t="inlineStr"/>
      <c r="F19" s="42" t="inlineStr"/>
      <c r="G19" s="42">
        <f>IFERROR(ROUND((E19-F19)/F19*100,1),"")</f>
        <v/>
      </c>
      <c r="H19" s="42" t="inlineStr"/>
    </row>
    <row r="20" ht="22" customHeight="1">
      <c r="B20" s="8" t="n">
        <v>6</v>
      </c>
      <c r="C20" s="9" t="inlineStr">
        <is>
          <t>Crisis incidents managed</t>
        </is>
      </c>
      <c r="D20" s="10" t="inlineStr">
        <is>
          <t>No.</t>
        </is>
      </c>
      <c r="E20" s="10" t="inlineStr"/>
      <c r="F20" s="10" t="inlineStr"/>
      <c r="G20" s="10">
        <f>IFERROR(ROUND((E20-F20)/F20*100,1),"")</f>
        <v/>
      </c>
      <c r="H20" s="10" t="inlineStr"/>
    </row>
    <row r="21" ht="22" customHeight="1"/>
    <row r="22" ht="24" customHeight="1">
      <c r="B22" s="35" t="inlineStr">
        <is>
          <t>SECTION 3 — SOCIAL MEDIA</t>
        </is>
      </c>
    </row>
    <row r="23" ht="22" customHeight="1">
      <c r="B23" s="31" t="inlineStr">
        <is>
          <t>Sl.</t>
        </is>
      </c>
      <c r="C23" s="31" t="inlineStr">
        <is>
          <t>Performance Metric</t>
        </is>
      </c>
      <c r="D23" s="31" t="inlineStr">
        <is>
          <t>Unit</t>
        </is>
      </c>
      <c r="E23" s="31" t="inlineStr">
        <is>
          <t>Current A.Y.</t>
        </is>
      </c>
      <c r="F23" s="31" t="inlineStr">
        <is>
          <t>Previous A.Y.</t>
        </is>
      </c>
      <c r="G23" s="31" t="inlineStr">
        <is>
          <t>Growth %</t>
        </is>
      </c>
      <c r="H23" s="31" t="inlineStr">
        <is>
          <t>Target Next Year</t>
        </is>
      </c>
    </row>
    <row r="24" ht="22" customHeight="1">
      <c r="B24" s="32" t="n">
        <v>1</v>
      </c>
      <c r="C24" s="33" t="inlineStr">
        <is>
          <t>Total followers (all platforms, year-end)</t>
        </is>
      </c>
      <c r="D24" s="34" t="inlineStr">
        <is>
          <t>No.</t>
        </is>
      </c>
      <c r="E24" s="34" t="inlineStr"/>
      <c r="F24" s="34" t="inlineStr"/>
      <c r="G24" s="34">
        <f>IFERROR(ROUND((E24-F24)/F24*100,1),"")</f>
        <v/>
      </c>
      <c r="H24" s="34" t="inlineStr"/>
    </row>
    <row r="25" ht="22" customHeight="1">
      <c r="B25" s="8" t="n">
        <v>2</v>
      </c>
      <c r="C25" s="9" t="inlineStr">
        <is>
          <t>Net follower growth</t>
        </is>
      </c>
      <c r="D25" s="10" t="inlineStr">
        <is>
          <t>No. / %</t>
        </is>
      </c>
      <c r="E25" s="10" t="inlineStr"/>
      <c r="F25" s="10" t="inlineStr"/>
      <c r="G25" s="10">
        <f>IFERROR(ROUND((E25-F25)/F25*100,1),"")</f>
        <v/>
      </c>
      <c r="H25" s="10" t="inlineStr"/>
    </row>
    <row r="26" ht="22" customHeight="1">
      <c r="B26" s="32" t="n">
        <v>3</v>
      </c>
      <c r="C26" s="33" t="inlineStr">
        <is>
          <t>Total posts published</t>
        </is>
      </c>
      <c r="D26" s="34" t="inlineStr">
        <is>
          <t>No.</t>
        </is>
      </c>
      <c r="E26" s="34" t="inlineStr"/>
      <c r="F26" s="34" t="inlineStr"/>
      <c r="G26" s="34">
        <f>IFERROR(ROUND((E26-F26)/F26*100,1),"")</f>
        <v/>
      </c>
      <c r="H26" s="34" t="inlineStr"/>
    </row>
    <row r="27" ht="22" customHeight="1">
      <c r="B27" s="8" t="n">
        <v>4</v>
      </c>
      <c r="C27" s="9" t="inlineStr">
        <is>
          <t>Average engagement rate (%)</t>
        </is>
      </c>
      <c r="D27" s="10" t="inlineStr">
        <is>
          <t>% engagement</t>
        </is>
      </c>
      <c r="E27" s="10" t="inlineStr"/>
      <c r="F27" s="10" t="inlineStr"/>
      <c r="G27" s="10">
        <f>IFERROR(ROUND((E27-F27)/F27*100,1),"")</f>
        <v/>
      </c>
      <c r="H27" s="10" t="inlineStr"/>
    </row>
    <row r="28" ht="22" customHeight="1">
      <c r="B28" s="32" t="n">
        <v>5</v>
      </c>
      <c r="C28" s="33" t="inlineStr">
        <is>
          <t>Total reach (annual, all platforms)</t>
        </is>
      </c>
      <c r="D28" s="34" t="inlineStr">
        <is>
          <t>No.</t>
        </is>
      </c>
      <c r="E28" s="34" t="inlineStr"/>
      <c r="F28" s="34" t="inlineStr"/>
      <c r="G28" s="34">
        <f>IFERROR(ROUND((E28-F28)/F28*100,1),"")</f>
        <v/>
      </c>
      <c r="H28" s="34" t="inlineStr"/>
    </row>
    <row r="29" ht="22" customHeight="1">
      <c r="B29" s="8" t="n">
        <v>6</v>
      </c>
      <c r="C29" s="9" t="inlineStr">
        <is>
          <t>Best performing post reach</t>
        </is>
      </c>
      <c r="D29" s="10" t="inlineStr">
        <is>
          <t>No. views</t>
        </is>
      </c>
      <c r="E29" s="10" t="inlineStr"/>
      <c r="F29" s="10" t="inlineStr"/>
      <c r="G29" s="10">
        <f>IFERROR(ROUND((E29-F29)/F29*100,1),"")</f>
        <v/>
      </c>
      <c r="H29" s="10" t="inlineStr"/>
    </row>
    <row r="30" ht="22" customHeight="1"/>
    <row r="31" ht="24" customHeight="1">
      <c r="B31" s="59" t="inlineStr">
        <is>
          <t>SECTION 4 — DIGITAL CONTENT</t>
        </is>
      </c>
    </row>
    <row r="32" ht="22" customHeight="1">
      <c r="B32" s="60" t="inlineStr">
        <is>
          <t>Sl.</t>
        </is>
      </c>
      <c r="C32" s="60" t="inlineStr">
        <is>
          <t>Performance Metric</t>
        </is>
      </c>
      <c r="D32" s="60" t="inlineStr">
        <is>
          <t>Unit</t>
        </is>
      </c>
      <c r="E32" s="60" t="inlineStr">
        <is>
          <t>Current A.Y.</t>
        </is>
      </c>
      <c r="F32" s="60" t="inlineStr">
        <is>
          <t>Previous A.Y.</t>
        </is>
      </c>
      <c r="G32" s="60" t="inlineStr">
        <is>
          <t>Growth %</t>
        </is>
      </c>
      <c r="H32" s="60" t="inlineStr">
        <is>
          <t>Target Next Year</t>
        </is>
      </c>
    </row>
    <row r="33" ht="22" customHeight="1">
      <c r="B33" s="61" t="n">
        <v>1</v>
      </c>
      <c r="C33" s="62" t="inlineStr">
        <is>
          <t>Photography shoots</t>
        </is>
      </c>
      <c r="D33" s="63" t="inlineStr">
        <is>
          <t>No.</t>
        </is>
      </c>
      <c r="E33" s="63" t="inlineStr"/>
      <c r="F33" s="63" t="inlineStr"/>
      <c r="G33" s="63">
        <f>IFERROR(ROUND((E33-F33)/F33*100,1),"")</f>
        <v/>
      </c>
      <c r="H33" s="63" t="inlineStr"/>
    </row>
    <row r="34" ht="22" customHeight="1">
      <c r="B34" s="8" t="n">
        <v>2</v>
      </c>
      <c r="C34" s="9" t="inlineStr">
        <is>
          <t>Photos archived (new this year)</t>
        </is>
      </c>
      <c r="D34" s="10" t="inlineStr">
        <is>
          <t>No.</t>
        </is>
      </c>
      <c r="E34" s="10" t="inlineStr"/>
      <c r="F34" s="10" t="inlineStr"/>
      <c r="G34" s="10">
        <f>IFERROR(ROUND((E34-F34)/F34*100,1),"")</f>
        <v/>
      </c>
      <c r="H34" s="10" t="inlineStr"/>
    </row>
    <row r="35" ht="22" customHeight="1">
      <c r="B35" s="61" t="n">
        <v>3</v>
      </c>
      <c r="C35" s="62" t="inlineStr">
        <is>
          <t>Videos produced</t>
        </is>
      </c>
      <c r="D35" s="63" t="inlineStr">
        <is>
          <t>No.</t>
        </is>
      </c>
      <c r="E35" s="63" t="inlineStr"/>
      <c r="F35" s="63" t="inlineStr"/>
      <c r="G35" s="63">
        <f>IFERROR(ROUND((E35-F35)/F35*100,1),"")</f>
        <v/>
      </c>
      <c r="H35" s="63" t="inlineStr"/>
    </row>
    <row r="36" ht="22" customHeight="1">
      <c r="B36" s="8" t="n">
        <v>4</v>
      </c>
      <c r="C36" s="9" t="inlineStr">
        <is>
          <t>Website content updates</t>
        </is>
      </c>
      <c r="D36" s="10" t="inlineStr">
        <is>
          <t>No.</t>
        </is>
      </c>
      <c r="E36" s="10" t="inlineStr"/>
      <c r="F36" s="10" t="inlineStr"/>
      <c r="G36" s="10">
        <f>IFERROR(ROUND((E36-F36)/F36*100,1),"")</f>
        <v/>
      </c>
      <c r="H36" s="10" t="inlineStr"/>
    </row>
    <row r="37" ht="22" customHeight="1">
      <c r="B37" s="61" t="n">
        <v>5</v>
      </c>
      <c r="C37" s="62" t="inlineStr">
        <is>
          <t>Media asset library total</t>
        </is>
      </c>
      <c r="D37" s="63" t="inlineStr">
        <is>
          <t>No. assets</t>
        </is>
      </c>
      <c r="E37" s="63" t="inlineStr"/>
      <c r="F37" s="63" t="inlineStr"/>
      <c r="G37" s="63">
        <f>IFERROR(ROUND((E37-F37)/F37*100,1),"")</f>
        <v/>
      </c>
      <c r="H37" s="63" t="inlineStr"/>
    </row>
    <row r="38" ht="22" customHeight="1">
      <c r="B38" s="8" t="n">
        <v>6</v>
      </c>
      <c r="C38" s="9" t="inlineStr">
        <is>
          <t>e-Resource downloads / views</t>
        </is>
      </c>
      <c r="D38" s="10" t="inlineStr">
        <is>
          <t>No.</t>
        </is>
      </c>
      <c r="E38" s="10" t="inlineStr"/>
      <c r="F38" s="10" t="inlineStr"/>
      <c r="G38" s="10">
        <f>IFERROR(ROUND((E38-F38)/F38*100,1),"")</f>
        <v/>
      </c>
      <c r="H38" s="10" t="inlineStr"/>
    </row>
    <row r="39" ht="22" customHeight="1"/>
    <row r="40" ht="24" customHeight="1">
      <c r="B40" s="64" t="inlineStr">
        <is>
          <t>SECTION 5 — STUDENT MEDIA &amp; BUDGET</t>
        </is>
      </c>
    </row>
    <row r="41" ht="22" customHeight="1">
      <c r="B41" s="65" t="inlineStr">
        <is>
          <t>Sl.</t>
        </is>
      </c>
      <c r="C41" s="65" t="inlineStr">
        <is>
          <t>Performance Metric</t>
        </is>
      </c>
      <c r="D41" s="65" t="inlineStr">
        <is>
          <t>Unit</t>
        </is>
      </c>
      <c r="E41" s="65" t="inlineStr">
        <is>
          <t>Current A.Y.</t>
        </is>
      </c>
      <c r="F41" s="65" t="inlineStr">
        <is>
          <t>Previous A.Y.</t>
        </is>
      </c>
      <c r="G41" s="65" t="inlineStr">
        <is>
          <t>Growth %</t>
        </is>
      </c>
      <c r="H41" s="65" t="inlineStr">
        <is>
          <t>Target Next Year</t>
        </is>
      </c>
    </row>
    <row r="42" ht="22" customHeight="1">
      <c r="B42" s="66" t="n">
        <v>1</v>
      </c>
      <c r="C42" s="67" t="inlineStr">
        <is>
          <t>Student media cell members</t>
        </is>
      </c>
      <c r="D42" s="68" t="inlineStr">
        <is>
          <t>No.</t>
        </is>
      </c>
      <c r="E42" s="68" t="inlineStr"/>
      <c r="F42" s="68" t="inlineStr"/>
      <c r="G42" s="68">
        <f>IFERROR(ROUND((E42-F42)/F42*100,1),"")</f>
        <v/>
      </c>
      <c r="H42" s="68" t="inlineStr"/>
    </row>
    <row r="43" ht="22" customHeight="1">
      <c r="B43" s="8" t="n">
        <v>2</v>
      </c>
      <c r="C43" s="9" t="inlineStr">
        <is>
          <t>Student publications / articles</t>
        </is>
      </c>
      <c r="D43" s="10" t="inlineStr">
        <is>
          <t>No.</t>
        </is>
      </c>
      <c r="E43" s="10" t="inlineStr"/>
      <c r="F43" s="10" t="inlineStr"/>
      <c r="G43" s="10">
        <f>IFERROR(ROUND((E43-F43)/F43*100,1),"")</f>
        <v/>
      </c>
      <c r="H43" s="10" t="inlineStr"/>
    </row>
    <row r="44" ht="22" customHeight="1">
      <c r="B44" s="66" t="n">
        <v>3</v>
      </c>
      <c r="C44" s="67" t="inlineStr">
        <is>
          <t>Students trained in media skills</t>
        </is>
      </c>
      <c r="D44" s="68" t="inlineStr">
        <is>
          <t>No.</t>
        </is>
      </c>
      <c r="E44" s="68" t="inlineStr"/>
      <c r="F44" s="68" t="inlineStr"/>
      <c r="G44" s="68">
        <f>IFERROR(ROUND((E44-F44)/F44*100,1),"")</f>
        <v/>
      </c>
      <c r="H44" s="68" t="inlineStr"/>
    </row>
    <row r="45" ht="22" customHeight="1">
      <c r="B45" s="8" t="n">
        <v>4</v>
      </c>
      <c r="C45" s="9" t="inlineStr">
        <is>
          <t>Total publications budget used (₹)</t>
        </is>
      </c>
      <c r="D45" s="10" t="inlineStr">
        <is>
          <t>₹</t>
        </is>
      </c>
      <c r="E45" s="10" t="inlineStr"/>
      <c r="F45" s="10" t="inlineStr"/>
      <c r="G45" s="10">
        <f>IFERROR(ROUND((E45-F45)/F45*100,1),"")</f>
        <v/>
      </c>
      <c r="H45" s="10" t="inlineStr"/>
    </row>
    <row r="46" ht="22" customHeight="1">
      <c r="B46" s="66" t="n">
        <v>5</v>
      </c>
      <c r="C46" s="67" t="inlineStr">
        <is>
          <t>Total advertising spend (₹)</t>
        </is>
      </c>
      <c r="D46" s="68" t="inlineStr">
        <is>
          <t>₹</t>
        </is>
      </c>
      <c r="E46" s="68" t="inlineStr"/>
      <c r="F46" s="68" t="inlineStr"/>
      <c r="G46" s="68">
        <f>IFERROR(ROUND((E46-F46)/F46*100,1),"")</f>
        <v/>
      </c>
      <c r="H46" s="68" t="inlineStr"/>
    </row>
    <row r="47" ht="22" customHeight="1">
      <c r="B47" s="8" t="n">
        <v>6</v>
      </c>
      <c r="C47" s="9" t="inlineStr">
        <is>
          <t>Budget utilisation (%)</t>
        </is>
      </c>
      <c r="D47" s="10" t="inlineStr">
        <is>
          <t>% utilised</t>
        </is>
      </c>
      <c r="E47" s="10" t="inlineStr"/>
      <c r="F47" s="10" t="inlineStr"/>
      <c r="G47" s="10">
        <f>IFERROR(ROUND((E47-F47)/F47*100,1),"")</f>
        <v/>
      </c>
      <c r="H47" s="10" t="inlineStr"/>
    </row>
    <row r="48" ht="22" customHeight="1"/>
    <row r="49" ht="20" customHeight="1">
      <c r="B49" s="17" t="inlineStr">
        <is>
          <t>Annual Report submitted to: Management, IQAC (AQAR Criteria III, V, VI), NAAC SSR, NIRF and Governing Body. Media coverage archive (PMPC-32) attached as evidence for institutional visibility and rankings.</t>
        </is>
      </c>
    </row>
    <row r="50" ht="22" customHeight="1">
      <c r="B50" s="30" t="inlineStr">
        <is>
          <t>PMPC Coordinator: ___________________    Editor-in-Chief: ___________________    Chairperson: ___________________    IQAC Coordinator: ___________________    Date: ___________________</t>
        </is>
      </c>
    </row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</sheetData>
  <mergeCells count="9">
    <mergeCell ref="B22:H22"/>
    <mergeCell ref="B50:H50"/>
    <mergeCell ref="B40:H40"/>
    <mergeCell ref="B13:H13"/>
    <mergeCell ref="B49:H49"/>
    <mergeCell ref="B4:H4"/>
    <mergeCell ref="B2:H2"/>
    <mergeCell ref="B3:H3"/>
    <mergeCell ref="B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2026-04-21T08:55:14Z</dcterms:created>
  <dcterms:modified xmlns:dcterms="http://purl.org/dc/terms/" xmlns:xsi="http://www.w3.org/2001/XMLSchema-instance" xsi:type="dcterms:W3CDTF">2026-04-21T08:55:15Z</dcterms:modified>
</cp:coreProperties>
</file>