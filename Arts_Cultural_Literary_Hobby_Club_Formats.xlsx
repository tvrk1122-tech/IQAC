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CLHC-00 Composition" sheetId="2" state="visible" r:id="rId2"/>
    <sheet xmlns:r="http://schemas.openxmlformats.org/officeDocument/2006/relationships" name="ACLHC-NA Notice &amp; Agenda" sheetId="3" state="visible" r:id="rId3"/>
    <sheet xmlns:r="http://schemas.openxmlformats.org/officeDocument/2006/relationships" name="ACLHC-AT Attendance" sheetId="4" state="visible" r:id="rId4"/>
    <sheet xmlns:r="http://schemas.openxmlformats.org/officeDocument/2006/relationships" name="ACLHC-MM Minutes" sheetId="5" state="visible" r:id="rId5"/>
    <sheet xmlns:r="http://schemas.openxmlformats.org/officeDocument/2006/relationships" name="ACLHC-ATR Action Report" sheetId="6" state="visible" r:id="rId6"/>
    <sheet xmlns:r="http://schemas.openxmlformats.org/officeDocument/2006/relationships" name="CLUB-02 Club Master Register" sheetId="7" state="visible" r:id="rId7"/>
    <sheet xmlns:r="http://schemas.openxmlformats.org/officeDocument/2006/relationships" name="CLUB-03 Membership Register" sheetId="8" state="visible" r:id="rId8"/>
    <sheet xmlns:r="http://schemas.openxmlformats.org/officeDocument/2006/relationships" name="CLUB-07 Rehearsal Log" sheetId="9" state="visible" r:id="rId9"/>
    <sheet xmlns:r="http://schemas.openxmlformats.org/officeDocument/2006/relationships" name="EVT-01 Event Planning Form" sheetId="10" state="visible" r:id="rId10"/>
    <sheet xmlns:r="http://schemas.openxmlformats.org/officeDocument/2006/relationships" name="EVT-03 External Competitions" sheetId="11" state="visible" r:id="rId11"/>
    <sheet xmlns:r="http://schemas.openxmlformats.org/officeDocument/2006/relationships" name="EVT-04 Intra Fest Register" sheetId="12" state="visible" r:id="rId12"/>
    <sheet xmlns:r="http://schemas.openxmlformats.org/officeDocument/2006/relationships" name="EVT-07 Event Budget" sheetId="13" state="visible" r:id="rId13"/>
    <sheet xmlns:r="http://schemas.openxmlformats.org/officeDocument/2006/relationships" name="EVT-09 Event Post Report" sheetId="14" state="visible" r:id="rId14"/>
    <sheet xmlns:r="http://schemas.openxmlformats.org/officeDocument/2006/relationships" name="ARTS-01-11 Club Activity Log" sheetId="15" state="visible" r:id="rId15"/>
    <sheet xmlns:r="http://schemas.openxmlformats.org/officeDocument/2006/relationships" name="ACH-01 Achievement Register" sheetId="16" state="visible" r:id="rId16"/>
    <sheet xmlns:r="http://schemas.openxmlformats.org/officeDocument/2006/relationships" name="TRN-01 Training Register" sheetId="17" state="visible" r:id="rId17"/>
    <sheet xmlns:r="http://schemas.openxmlformats.org/officeDocument/2006/relationships" name="ACLHC-20 Satisfaction Survey" sheetId="18" state="visible" r:id="rId18"/>
    <sheet xmlns:r="http://schemas.openxmlformats.org/officeDocument/2006/relationships" name="ACLHC-30 KPI Dashboard" sheetId="19" state="visible" r:id="rId19"/>
    <sheet xmlns:r="http://schemas.openxmlformats.org/officeDocument/2006/relationships" name="ACLHC-31 Annual Repor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B21B6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3"/>
    </font>
    <font>
      <name val="Arial"/>
      <color rgb="003F2000"/>
      <sz val="9"/>
    </font>
    <font>
      <name val="Arial"/>
      <b val="1"/>
      <color rgb="00FFFFFF"/>
      <sz val="14"/>
    </font>
    <font>
      <name val="Arial"/>
      <b val="1"/>
      <color rgb="005B21B6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1A0A2E"/>
      <sz val="10"/>
    </font>
    <font>
      <name val="Arial"/>
      <b val="1"/>
      <color rgb="000D9488"/>
      <sz val="10"/>
    </font>
    <font>
      <name val="Arial"/>
      <b val="1"/>
      <color rgb="00451A03"/>
      <sz val="10"/>
    </font>
    <font>
      <name val="Arial"/>
      <b val="1"/>
      <color rgb="003B0A1F"/>
      <sz val="10"/>
    </font>
    <font>
      <name val="Arial"/>
      <b val="1"/>
      <color rgb="003F2000"/>
      <sz val="10"/>
    </font>
    <font>
      <name val="Arial"/>
      <b val="1"/>
      <color rgb="003F2000"/>
      <sz val="12"/>
    </font>
    <font>
      <name val="Arial"/>
      <b val="1"/>
      <color rgb="00BE123C"/>
      <sz val="10"/>
    </font>
    <font>
      <name val="Arial"/>
      <b val="1"/>
      <color rgb="005B21B6"/>
      <sz val="9"/>
    </font>
  </fonts>
  <fills count="20">
    <fill>
      <patternFill/>
    </fill>
    <fill>
      <patternFill patternType="gray125"/>
    </fill>
    <fill>
      <patternFill patternType="solid">
        <fgColor rgb="001A0A2E"/>
      </patternFill>
    </fill>
    <fill>
      <patternFill patternType="solid">
        <fgColor rgb="00EDE9FE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5B21B6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BE123C"/>
      </patternFill>
    </fill>
    <fill>
      <patternFill patternType="solid">
        <fgColor rgb="00FFE4E6"/>
      </patternFill>
    </fill>
    <fill>
      <patternFill patternType="solid">
        <fgColor rgb="00166534"/>
      </patternFill>
    </fill>
    <fill>
      <patternFill patternType="solid">
        <fgColor rgb="004338CA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0" fillId="7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left" vertical="center" wrapText="1"/>
    </xf>
    <xf numFmtId="0" fontId="3" fillId="17" borderId="0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4" fillId="17" borderId="1" applyAlignment="1" pivotButton="0" quotePrefix="0" xfId="0">
      <alignment horizontal="left" vertical="center" wrapText="1"/>
    </xf>
    <xf numFmtId="0" fontId="0" fillId="17" borderId="1" pivotButton="0" quotePrefix="0" xfId="0"/>
    <xf numFmtId="0" fontId="19" fillId="9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0" fillId="16" borderId="1" pivotButton="0" quotePrefix="0" xfId="0"/>
    <xf numFmtId="0" fontId="4" fillId="15" borderId="1" applyAlignment="1" pivotButton="0" quotePrefix="0" xfId="0">
      <alignment horizontal="left" vertical="center" wrapText="1"/>
    </xf>
    <xf numFmtId="0" fontId="0" fillId="15" borderId="1" pivotButton="0" quotePrefix="0" xfId="0"/>
    <xf numFmtId="0" fontId="20" fillId="9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2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80" customHeight="1">
      <c r="B2" s="1" t="inlineStr">
        <is>
          <t>ARTS, CULTURAL, LITERARY &amp; HOBBY CLUBS COMMITTEE (ACLHC)
Data Collection Formats — Master Workbook</t>
        </is>
      </c>
    </row>
    <row r="3" ht="28" customHeight="1">
      <c r="B3" s="2" t="inlineStr">
        <is>
          <t>Institution: _________________________  ACLHC Coordinator: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ACLHC-00</t>
        </is>
      </c>
      <c r="C6" s="6" t="inlineStr">
        <is>
          <t>Committee Composition &amp; Members Register</t>
        </is>
      </c>
      <c r="D6" s="6" t="inlineStr">
        <is>
          <t>Record committee members, club heads &amp; student leads</t>
        </is>
      </c>
      <c r="E6" s="7" t="inlineStr">
        <is>
          <t>Annual</t>
        </is>
      </c>
    </row>
    <row r="7" ht="20" customHeight="1">
      <c r="B7" s="8" t="inlineStr">
        <is>
          <t>ACLHC-NA</t>
        </is>
      </c>
      <c r="C7" s="9" t="inlineStr">
        <is>
          <t>Meeting Notice, Agenda &amp; Dispatch Record</t>
        </is>
      </c>
      <c r="D7" s="9" t="inlineStr">
        <is>
          <t>Formal notice and agenda for committee meetings</t>
        </is>
      </c>
      <c r="E7" s="10" t="inlineStr">
        <is>
          <t>Each Meeting</t>
        </is>
      </c>
    </row>
    <row r="8" ht="20" customHeight="1">
      <c r="B8" s="5" t="inlineStr">
        <is>
          <t>ACLHC-AT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ACLHC-MM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ACLHC-ATR</t>
        </is>
      </c>
      <c r="C10" s="6" t="inlineStr">
        <is>
          <t>Action Taken Report</t>
        </is>
      </c>
      <c r="D10" s="6" t="inlineStr">
        <is>
          <t>Track implementation of committee resolutions</t>
        </is>
      </c>
      <c r="E10" s="7" t="inlineStr">
        <is>
          <t>Each Meeting</t>
        </is>
      </c>
    </row>
    <row r="11" ht="20" customHeight="1">
      <c r="B11" s="4" t="inlineStr">
        <is>
          <t>── POLICY &amp; PLANNING ──</t>
        </is>
      </c>
    </row>
    <row r="12" ht="20" customHeight="1">
      <c r="B12" s="5" t="inlineStr">
        <is>
          <t>ACLHC-01</t>
        </is>
      </c>
      <c r="C12" s="6" t="inlineStr">
        <is>
          <t>Arts &amp; Cultural Policy &amp; Framework</t>
        </is>
      </c>
      <c r="D12" s="6" t="inlineStr">
        <is>
          <t>Document institutional arts/cultural vision &amp; policies</t>
        </is>
      </c>
      <c r="E12" s="7" t="inlineStr">
        <is>
          <t>Annual</t>
        </is>
      </c>
    </row>
    <row r="13" ht="20" customHeight="1">
      <c r="B13" s="8" t="inlineStr">
        <is>
          <t>ACLHC-02</t>
        </is>
      </c>
      <c r="C13" s="9" t="inlineStr">
        <is>
          <t>Annual Arts &amp; Cultural Calendar</t>
        </is>
      </c>
      <c r="D13" s="9" t="inlineStr">
        <is>
          <t>Plan all events, fests, competitions &amp; club activities</t>
        </is>
      </c>
      <c r="E13" s="10" t="inlineStr">
        <is>
          <t>Annual (Pre-Year)</t>
        </is>
      </c>
    </row>
    <row r="14" ht="20" customHeight="1">
      <c r="B14" s="5" t="inlineStr">
        <is>
          <t>ACLHC-03</t>
        </is>
      </c>
      <c r="C14" s="6" t="inlineStr">
        <is>
          <t>ACLHC Budget &amp; Resource Plan</t>
        </is>
      </c>
      <c r="D14" s="6" t="inlineStr">
        <is>
          <t>Plan and track budget for all arts/cultural activities</t>
        </is>
      </c>
      <c r="E14" s="7" t="inlineStr">
        <is>
          <t>Annual</t>
        </is>
      </c>
    </row>
    <row r="15" ht="20" customHeight="1">
      <c r="B15" s="4" t="inlineStr">
        <is>
          <t>── CLUB REGISTRATION &amp; MANAGEMENT ──</t>
        </is>
      </c>
    </row>
    <row r="16" ht="20" customHeight="1">
      <c r="B16" s="5" t="inlineStr">
        <is>
          <t>CLUB-01</t>
        </is>
      </c>
      <c r="C16" s="6" t="inlineStr">
        <is>
          <t>Club Registration &amp; Recognition Form</t>
        </is>
      </c>
      <c r="D16" s="6" t="inlineStr">
        <is>
          <t>Formally register new or annual clubs with the committee</t>
        </is>
      </c>
      <c r="E16" s="7" t="inlineStr">
        <is>
          <t>Annual</t>
        </is>
      </c>
    </row>
    <row r="17" ht="20" customHeight="1">
      <c r="B17" s="8" t="inlineStr">
        <is>
          <t>CLUB-02</t>
        </is>
      </c>
      <c r="C17" s="9" t="inlineStr">
        <is>
          <t>Club Master Register</t>
        </is>
      </c>
      <c r="D17" s="9" t="inlineStr">
        <is>
          <t>Consolidated register of all active clubs</t>
        </is>
      </c>
      <c r="E17" s="10" t="inlineStr">
        <is>
          <t>Annual</t>
        </is>
      </c>
    </row>
    <row r="18" ht="20" customHeight="1">
      <c r="B18" s="5" t="inlineStr">
        <is>
          <t>CLUB-03</t>
        </is>
      </c>
      <c r="C18" s="6" t="inlineStr">
        <is>
          <t>Club Membership Register</t>
        </is>
      </c>
      <c r="D18" s="6" t="inlineStr">
        <is>
          <t>Track members in each club with roles</t>
        </is>
      </c>
      <c r="E18" s="7" t="inlineStr">
        <is>
          <t>Annual / Per Club</t>
        </is>
      </c>
    </row>
    <row r="19" ht="20" customHeight="1">
      <c r="B19" s="8" t="inlineStr">
        <is>
          <t>CLUB-04</t>
        </is>
      </c>
      <c r="C19" s="9" t="inlineStr">
        <is>
          <t>Club Core Team &amp; Office Bearers Register</t>
        </is>
      </c>
      <c r="D19" s="9" t="inlineStr">
        <is>
          <t>Record club president, secretary and key roles</t>
        </is>
      </c>
      <c r="E19" s="10" t="inlineStr">
        <is>
          <t>Annual</t>
        </is>
      </c>
    </row>
    <row r="20" ht="20" customHeight="1">
      <c r="B20" s="5" t="inlineStr">
        <is>
          <t>CLUB-05</t>
        </is>
      </c>
      <c r="C20" s="6" t="inlineStr">
        <is>
          <t>Club Activity Plan Register</t>
        </is>
      </c>
      <c r="D20" s="6" t="inlineStr">
        <is>
          <t>Record annual activity plan for each club</t>
        </is>
      </c>
      <c r="E20" s="7" t="inlineStr">
        <is>
          <t>Annual</t>
        </is>
      </c>
    </row>
    <row r="21" ht="20" customHeight="1">
      <c r="B21" s="8" t="inlineStr">
        <is>
          <t>CLUB-06</t>
        </is>
      </c>
      <c r="C21" s="9" t="inlineStr">
        <is>
          <t>Club Resource &amp; Equipment Register</t>
        </is>
      </c>
      <c r="D21" s="9" t="inlineStr">
        <is>
          <t>Track equipment, instruments, props given to clubs</t>
        </is>
      </c>
      <c r="E21" s="10" t="inlineStr">
        <is>
          <t>Annual</t>
        </is>
      </c>
    </row>
    <row r="22" ht="20" customHeight="1">
      <c r="B22" s="5" t="inlineStr">
        <is>
          <t>CLUB-07</t>
        </is>
      </c>
      <c r="C22" s="6" t="inlineStr">
        <is>
          <t>Club Attendance &amp; Rehearsal Log</t>
        </is>
      </c>
      <c r="D22" s="6" t="inlineStr">
        <is>
          <t>Track attendance in club meetings/rehearsals/sessions</t>
        </is>
      </c>
      <c r="E22" s="7" t="inlineStr">
        <is>
          <t>Per Session</t>
        </is>
      </c>
    </row>
    <row r="23" ht="20" customHeight="1">
      <c r="B23" s="4" t="inlineStr">
        <is>
          <t>── EVENTS &amp; ACTIVITIES ──</t>
        </is>
      </c>
    </row>
    <row r="24" ht="20" customHeight="1">
      <c r="B24" s="5" t="inlineStr">
        <is>
          <t>EVT-01</t>
        </is>
      </c>
      <c r="C24" s="6" t="inlineStr">
        <is>
          <t>Event / Programme Planning Form</t>
        </is>
      </c>
      <c r="D24" s="6" t="inlineStr">
        <is>
          <t>Plan each event — logistics, resources, team, budget</t>
        </is>
      </c>
      <c r="E24" s="7" t="inlineStr">
        <is>
          <t>Per Event</t>
        </is>
      </c>
    </row>
    <row r="25" ht="20" customHeight="1">
      <c r="B25" s="8" t="inlineStr">
        <is>
          <t>EVT-02</t>
        </is>
      </c>
      <c r="C25" s="9" t="inlineStr">
        <is>
          <t>Event Permission &amp; Approval Register</t>
        </is>
      </c>
      <c r="D25" s="9" t="inlineStr">
        <is>
          <t>Formal approval for events from Principal</t>
        </is>
      </c>
      <c r="E25" s="10" t="inlineStr">
        <is>
          <t>Per Event</t>
        </is>
      </c>
    </row>
    <row r="26" ht="20" customHeight="1">
      <c r="B26" s="5" t="inlineStr">
        <is>
          <t>EVT-03</t>
        </is>
      </c>
      <c r="C26" s="6" t="inlineStr">
        <is>
          <t>Intercollegiate / External Competition Register</t>
        </is>
      </c>
      <c r="D26" s="6" t="inlineStr">
        <is>
          <t>Track participation in external competitions</t>
        </is>
      </c>
      <c r="E26" s="7" t="inlineStr">
        <is>
          <t>Per Competition</t>
        </is>
      </c>
    </row>
    <row r="27" ht="20" customHeight="1">
      <c r="B27" s="8" t="inlineStr">
        <is>
          <t>EVT-04</t>
        </is>
      </c>
      <c r="C27" s="9" t="inlineStr">
        <is>
          <t>Intra-Institutional Competition / Fest Register</t>
        </is>
      </c>
      <c r="D27" s="9" t="inlineStr">
        <is>
          <t>Manage internal cultural fests and competitions</t>
        </is>
      </c>
      <c r="E27" s="10" t="inlineStr">
        <is>
          <t>Per Event</t>
        </is>
      </c>
    </row>
    <row r="28" ht="20" customHeight="1">
      <c r="B28" s="5" t="inlineStr">
        <is>
          <t>EVT-05</t>
        </is>
      </c>
      <c r="C28" s="6" t="inlineStr">
        <is>
          <t>Annual Cultural Fest (Culturals) Register</t>
        </is>
      </c>
      <c r="D28" s="6" t="inlineStr">
        <is>
          <t>End-to-end planning and execution of annual cultural fest</t>
        </is>
      </c>
      <c r="E28" s="7" t="inlineStr">
        <is>
          <t>Annual</t>
        </is>
      </c>
    </row>
    <row r="29" ht="20" customHeight="1">
      <c r="B29" s="8" t="inlineStr">
        <is>
          <t>EVT-06</t>
        </is>
      </c>
      <c r="C29" s="9" t="inlineStr">
        <is>
          <t>Guest Artist / Performer Invitation Register</t>
        </is>
      </c>
      <c r="D29" s="9" t="inlineStr">
        <is>
          <t>Manage invitations to external artists and performers</t>
        </is>
      </c>
      <c r="E29" s="10" t="inlineStr">
        <is>
          <t>Per Event</t>
        </is>
      </c>
    </row>
    <row r="30" ht="20" customHeight="1">
      <c r="B30" s="5" t="inlineStr">
        <is>
          <t>EVT-07</t>
        </is>
      </c>
      <c r="C30" s="6" t="inlineStr">
        <is>
          <t>Event Budget &amp; Expenditure Register</t>
        </is>
      </c>
      <c r="D30" s="6" t="inlineStr">
        <is>
          <t>Track event-level income, expenses and surplus/deficit</t>
        </is>
      </c>
      <c r="E30" s="7" t="inlineStr">
        <is>
          <t>Per Event</t>
        </is>
      </c>
    </row>
    <row r="31" ht="20" customHeight="1">
      <c r="B31" s="8" t="inlineStr">
        <is>
          <t>EVT-08</t>
        </is>
      </c>
      <c r="C31" s="9" t="inlineStr">
        <is>
          <t>Event Sponsorship &amp; Branding Register</t>
        </is>
      </c>
      <c r="D31" s="9" t="inlineStr">
        <is>
          <t>Track sponsors, in-kind support and brand agreements</t>
        </is>
      </c>
      <c r="E31" s="10" t="inlineStr">
        <is>
          <t>Per Event</t>
        </is>
      </c>
    </row>
    <row r="32" ht="20" customHeight="1">
      <c r="B32" s="5" t="inlineStr">
        <is>
          <t>EVT-09</t>
        </is>
      </c>
      <c r="C32" s="6" t="inlineStr">
        <is>
          <t>Event Post-Report &amp; Documentation Form</t>
        </is>
      </c>
      <c r="D32" s="6" t="inlineStr">
        <is>
          <t>Capture event outcomes, photos, media and highlights</t>
        </is>
      </c>
      <c r="E32" s="7" t="inlineStr">
        <is>
          <t>Post-Event</t>
        </is>
      </c>
    </row>
    <row r="33" ht="20" customHeight="1">
      <c r="B33" s="4" t="inlineStr">
        <is>
          <t>── ARTS-SPECIFIC REGISTERS ──</t>
        </is>
      </c>
    </row>
    <row r="34" ht="20" customHeight="1">
      <c r="B34" s="5" t="inlineStr">
        <is>
          <t>ARTS-01</t>
        </is>
      </c>
      <c r="C34" s="6" t="inlineStr">
        <is>
          <t>Fine Arts &amp; Painting Club Register</t>
        </is>
      </c>
      <c r="D34" s="6" t="inlineStr">
        <is>
          <t>Track fine arts club activities, exhibitions, competitions</t>
        </is>
      </c>
      <c r="E34" s="7" t="inlineStr">
        <is>
          <t>Annual / Continuous</t>
        </is>
      </c>
    </row>
    <row r="35" ht="20" customHeight="1">
      <c r="B35" s="8" t="inlineStr">
        <is>
          <t>ARTS-02</t>
        </is>
      </c>
      <c r="C35" s="9" t="inlineStr">
        <is>
          <t>Photography Club Register</t>
        </is>
      </c>
      <c r="D35" s="9" t="inlineStr">
        <is>
          <t>Track photo club activities, exhibitions, competitions</t>
        </is>
      </c>
      <c r="E35" s="10" t="inlineStr">
        <is>
          <t>Annual / Continuous</t>
        </is>
      </c>
    </row>
    <row r="36" ht="20" customHeight="1">
      <c r="B36" s="5" t="inlineStr">
        <is>
          <t>ARTS-03</t>
        </is>
      </c>
      <c r="C36" s="6" t="inlineStr">
        <is>
          <t>Theatre &amp; Drama Club Register</t>
        </is>
      </c>
      <c r="D36" s="6" t="inlineStr">
        <is>
          <t>Track drama club rehearsals, plays and performances</t>
        </is>
      </c>
      <c r="E36" s="7" t="inlineStr">
        <is>
          <t>Annual / Continuous</t>
        </is>
      </c>
    </row>
    <row r="37" ht="20" customHeight="1">
      <c r="B37" s="8" t="inlineStr">
        <is>
          <t>ARTS-04</t>
        </is>
      </c>
      <c r="C37" s="9" t="inlineStr">
        <is>
          <t>Music Club Register</t>
        </is>
      </c>
      <c r="D37" s="9" t="inlineStr">
        <is>
          <t>Track music club — vocal, instrumental, band activities</t>
        </is>
      </c>
      <c r="E37" s="10" t="inlineStr">
        <is>
          <t>Annual / Continuous</t>
        </is>
      </c>
    </row>
    <row r="38" ht="20" customHeight="1">
      <c r="B38" s="5" t="inlineStr">
        <is>
          <t>ARTS-05</t>
        </is>
      </c>
      <c r="C38" s="6" t="inlineStr">
        <is>
          <t>Dance Club Register</t>
        </is>
      </c>
      <c r="D38" s="6" t="inlineStr">
        <is>
          <t>Track dance club — classical, folk, contemporary activities</t>
        </is>
      </c>
      <c r="E38" s="7" t="inlineStr">
        <is>
          <t>Annual / Continuous</t>
        </is>
      </c>
    </row>
    <row r="39" ht="20" customHeight="1">
      <c r="B39" s="8" t="inlineStr">
        <is>
          <t>ARTS-06</t>
        </is>
      </c>
      <c r="C39" s="9" t="inlineStr">
        <is>
          <t>Debate &amp; Elocution Club Register</t>
        </is>
      </c>
      <c r="D39" s="9" t="inlineStr">
        <is>
          <t>Track debate, elocution, Model UN activities</t>
        </is>
      </c>
      <c r="E39" s="10" t="inlineStr">
        <is>
          <t>Annual / Continuous</t>
        </is>
      </c>
    </row>
    <row r="40" ht="20" customHeight="1">
      <c r="B40" s="5" t="inlineStr">
        <is>
          <t>ARTS-07</t>
        </is>
      </c>
      <c r="C40" s="6" t="inlineStr">
        <is>
          <t>Literary &amp; Creative Writing Club Register</t>
        </is>
      </c>
      <c r="D40" s="6" t="inlineStr">
        <is>
          <t>Track literary club — magazine, poetry, prose activities</t>
        </is>
      </c>
      <c r="E40" s="7" t="inlineStr">
        <is>
          <t>Annual / Continuous</t>
        </is>
      </c>
    </row>
    <row r="41" ht="20" customHeight="1">
      <c r="B41" s="8" t="inlineStr">
        <is>
          <t>ARTS-08</t>
        </is>
      </c>
      <c r="C41" s="9" t="inlineStr">
        <is>
          <t>Quiz Club Register</t>
        </is>
      </c>
      <c r="D41" s="9" t="inlineStr">
        <is>
          <t>Track quiz club activities, competitions, results</t>
        </is>
      </c>
      <c r="E41" s="10" t="inlineStr">
        <is>
          <t>Annual / Continuous</t>
        </is>
      </c>
    </row>
    <row r="42" ht="20" customHeight="1">
      <c r="B42" s="5" t="inlineStr">
        <is>
          <t>ARTS-09</t>
        </is>
      </c>
      <c r="C42" s="6" t="inlineStr">
        <is>
          <t>Craft &amp; Design Hobby Club Register</t>
        </is>
      </c>
      <c r="D42" s="6" t="inlineStr">
        <is>
          <t>Track craft, origami, pottery, design club activities</t>
        </is>
      </c>
      <c r="E42" s="7" t="inlineStr">
        <is>
          <t>Annual / Continuous</t>
        </is>
      </c>
    </row>
    <row r="43" ht="20" customHeight="1">
      <c r="B43" s="8" t="inlineStr">
        <is>
          <t>ARTS-10</t>
        </is>
      </c>
      <c r="C43" s="9" t="inlineStr">
        <is>
          <t>Film &amp; Media Club Register</t>
        </is>
      </c>
      <c r="D43" s="9" t="inlineStr">
        <is>
          <t>Track film club — screening, filmmaking, media activities</t>
        </is>
      </c>
      <c r="E43" s="10" t="inlineStr">
        <is>
          <t>Annual / Continuous</t>
        </is>
      </c>
    </row>
    <row r="44" ht="20" customHeight="1">
      <c r="B44" s="5" t="inlineStr">
        <is>
          <t>ARTS-11</t>
        </is>
      </c>
      <c r="C44" s="6" t="inlineStr">
        <is>
          <t>Language &amp; Cultural Heritage Club Register</t>
        </is>
      </c>
      <c r="D44" s="6" t="inlineStr">
        <is>
          <t>Track language clubs, folk arts, heritage awareness</t>
        </is>
      </c>
      <c r="E44" s="7" t="inlineStr">
        <is>
          <t>Annual / Continuous</t>
        </is>
      </c>
    </row>
    <row r="45" ht="20" customHeight="1">
      <c r="B45" s="4" t="inlineStr">
        <is>
          <t>── ACHIEVEMENTS &amp; RECOGNITION ──</t>
        </is>
      </c>
    </row>
    <row r="46" ht="20" customHeight="1">
      <c r="B46" s="5" t="inlineStr">
        <is>
          <t>ACH-01</t>
        </is>
      </c>
      <c r="C46" s="6" t="inlineStr">
        <is>
          <t>Student Arts &amp; Cultural Achievement Register</t>
        </is>
      </c>
      <c r="D46" s="6" t="inlineStr">
        <is>
          <t>Record individual student awards and recognitions</t>
        </is>
      </c>
      <c r="E46" s="7" t="inlineStr">
        <is>
          <t>Continuous</t>
        </is>
      </c>
    </row>
    <row r="47" ht="20" customHeight="1">
      <c r="B47" s="8" t="inlineStr">
        <is>
          <t>ACH-02</t>
        </is>
      </c>
      <c r="C47" s="9" t="inlineStr">
        <is>
          <t>Club &amp; Institutional Award Register</t>
        </is>
      </c>
      <c r="D47" s="9" t="inlineStr">
        <is>
          <t>Record club-level and institutional cultural awards</t>
        </is>
      </c>
      <c r="E47" s="10" t="inlineStr">
        <is>
          <t>Annual</t>
        </is>
      </c>
    </row>
    <row r="48" ht="20" customHeight="1">
      <c r="B48" s="5" t="inlineStr">
        <is>
          <t>ACH-03</t>
        </is>
      </c>
      <c r="C48" s="6" t="inlineStr">
        <is>
          <t>Student Cultural Scholarship Register</t>
        </is>
      </c>
      <c r="D48" s="6" t="inlineStr">
        <is>
          <t>Track scholarships given for arts/cultural excellence</t>
        </is>
      </c>
      <c r="E48" s="7" t="inlineStr">
        <is>
          <t>Annual</t>
        </is>
      </c>
    </row>
    <row r="49" ht="20" customHeight="1">
      <c r="B49" s="4" t="inlineStr">
        <is>
          <t>── ALUMNI &amp; INDUSTRY CONNECT ──</t>
        </is>
      </c>
    </row>
    <row r="50" ht="20" customHeight="1">
      <c r="B50" s="5" t="inlineStr">
        <is>
          <t>ALM-01</t>
        </is>
      </c>
      <c r="C50" s="6" t="inlineStr">
        <is>
          <t>Alumni Artist / Performer Connect Register</t>
        </is>
      </c>
      <c r="D50" s="6" t="inlineStr">
        <is>
          <t>Track alumni active in arts/culture — mentors, performers</t>
        </is>
      </c>
      <c r="E50" s="7" t="inlineStr">
        <is>
          <t>Annual</t>
        </is>
      </c>
    </row>
    <row r="51" ht="20" customHeight="1">
      <c r="B51" s="4" t="inlineStr">
        <is>
          <t>── TRAINING &amp; WORKSHOPS ──</t>
        </is>
      </c>
    </row>
    <row r="52" ht="20" customHeight="1">
      <c r="B52" s="5" t="inlineStr">
        <is>
          <t>TRN-01</t>
        </is>
      </c>
      <c r="C52" s="6" t="inlineStr">
        <is>
          <t>Cultural Training &amp; Workshop Register</t>
        </is>
      </c>
      <c r="D52" s="6" t="inlineStr">
        <is>
          <t>Track workshops, masterclasses, training events for students</t>
        </is>
      </c>
      <c r="E52" s="7" t="inlineStr">
        <is>
          <t>Continuous</t>
        </is>
      </c>
    </row>
    <row r="53" ht="20" customHeight="1">
      <c r="B53" s="8" t="inlineStr">
        <is>
          <t>TRN-02</t>
        </is>
      </c>
      <c r="C53" s="9" t="inlineStr">
        <is>
          <t>External Trainer / Resource Person Register</t>
        </is>
      </c>
      <c r="D53" s="9" t="inlineStr">
        <is>
          <t>Manage external trainers, artists, coaches</t>
        </is>
      </c>
      <c r="E53" s="10" t="inlineStr">
        <is>
          <t>Per Workshop</t>
        </is>
      </c>
    </row>
    <row r="54" ht="20" customHeight="1">
      <c r="B54" s="4" t="inlineStr">
        <is>
          <t>── FEEDBACK &amp; QUALITY ──</t>
        </is>
      </c>
    </row>
    <row r="55" ht="20" customHeight="1">
      <c r="B55" s="8" t="inlineStr">
        <is>
          <t>ACLHC-20</t>
        </is>
      </c>
      <c r="C55" s="9" t="inlineStr">
        <is>
          <t>Student Arts &amp; Culture Satisfaction Survey</t>
        </is>
      </c>
      <c r="D55" s="9" t="inlineStr">
        <is>
          <t>Annual survey on arts/cultural life quality and access</t>
        </is>
      </c>
      <c r="E55" s="10" t="inlineStr">
        <is>
          <t>Annual</t>
        </is>
      </c>
    </row>
    <row r="56" ht="20" customHeight="1">
      <c r="B56" s="4" t="inlineStr">
        <is>
          <t>── MONITORING &amp; REPORTING ──</t>
        </is>
      </c>
    </row>
    <row r="57" ht="20" customHeight="1">
      <c r="B57" s="8" t="inlineStr">
        <is>
          <t>ACLHC-30</t>
        </is>
      </c>
      <c r="C57" s="9" t="inlineStr">
        <is>
          <t>ACLHC KPI Dashboard</t>
        </is>
      </c>
      <c r="D57" s="9" t="inlineStr">
        <is>
          <t>Track all arts, cultural, literary and hobby club KPIs</t>
        </is>
      </c>
      <c r="E57" s="10" t="inlineStr">
        <is>
          <t>Quarterly / Annual</t>
        </is>
      </c>
    </row>
    <row r="58" ht="20" customHeight="1">
      <c r="B58" s="5" t="inlineStr">
        <is>
          <t>ACLHC-31</t>
        </is>
      </c>
      <c r="C58" s="6" t="inlineStr">
        <is>
          <t>ACLHC Annual Report Compilation Form</t>
        </is>
      </c>
      <c r="D58" s="6" t="inlineStr">
        <is>
          <t>Year-end report for management, NAAC and accreditation</t>
        </is>
      </c>
      <c r="E58" s="7" t="inlineStr">
        <is>
          <t>Annual</t>
        </is>
      </c>
    </row>
    <row r="59" ht="21" customHeight="1"/>
    <row r="60" ht="21" customHeight="1"/>
    <row r="61" ht="21" customHeight="1"/>
    <row r="62" ht="21" customHeight="1"/>
    <row r="63" ht="21" customHeight="1"/>
    <row r="64" ht="21" customHeight="1"/>
    <row r="120">
      <c r="B120" s="11" t="inlineStr">
        <is>
          <t>• ACLHC covers: Fine Arts, Photography, Theatre, Music, Dance, Debate, Literary, Quiz, Craft, Film, Language Clubs &amp; Hobby Groups.</t>
        </is>
      </c>
    </row>
    <row r="121">
      <c r="B121" s="11" t="inlineStr">
        <is>
          <t>• Each club must be formally registered annually; constitution, activity plan and core team list must be submitted.</t>
        </is>
      </c>
    </row>
    <row r="122">
      <c r="B122" s="11" t="inlineStr">
        <is>
          <t>• All events require prior written approval from Principal (through ACLHC Coordinator) before execution.</t>
        </is>
      </c>
    </row>
    <row r="123">
      <c r="B123" s="11" t="inlineStr">
        <is>
          <t>• External competitions: students must carry official permission letter + institutional ID card.</t>
        </is>
      </c>
    </row>
    <row r="124">
      <c r="B124" s="11" t="inlineStr">
        <is>
          <t>• ACLHC data feeds into: NAAC AQAR Criterion V.3 (Student Activities), NIRF, NBA SAR, Governing Body reports.</t>
        </is>
      </c>
    </row>
    <row r="125">
      <c r="B125" s="11" t="inlineStr">
        <is>
          <t>• Sponsorship agreements must be routed through Finance Committee — no cash transactions outside institutional channel.</t>
        </is>
      </c>
    </row>
    <row r="126">
      <c r="B126" s="11" t="inlineStr">
        <is>
          <t>• All performances / events at external venues must have written parental consent for outstation travel.</t>
        </is>
      </c>
    </row>
    <row r="127">
      <c r="B127" s="11" t="inlineStr">
        <is>
          <t>• Student achievements in arts/culture are eligible for co-curricular credit / marks as per institutional policy.</t>
        </is>
      </c>
    </row>
    <row r="128">
      <c r="B128" s="11" t="inlineStr">
        <is>
          <t>• Maintain photo, video and report documentation for every event — essential for NAAC peer team visit evidence.</t>
        </is>
      </c>
    </row>
  </sheetData>
  <mergeCells count="21">
    <mergeCell ref="B49:E49"/>
    <mergeCell ref="B127:E127"/>
    <mergeCell ref="B15:E15"/>
    <mergeCell ref="B33:E33"/>
    <mergeCell ref="B124:E124"/>
    <mergeCell ref="B5:E5"/>
    <mergeCell ref="B51:E51"/>
    <mergeCell ref="B123:E123"/>
    <mergeCell ref="B45:E45"/>
    <mergeCell ref="B126:E126"/>
    <mergeCell ref="B54:E54"/>
    <mergeCell ref="B3:E3"/>
    <mergeCell ref="B125:E125"/>
    <mergeCell ref="B121:E121"/>
    <mergeCell ref="B122:E122"/>
    <mergeCell ref="B56:E56"/>
    <mergeCell ref="B11:E11"/>
    <mergeCell ref="B120:E120"/>
    <mergeCell ref="B2:E2"/>
    <mergeCell ref="B23:E23"/>
    <mergeCell ref="B128:E1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ACLHC-00: ARTS, CULTURAL, LITERARY &amp; HOBBY CLUBS COMMITTEE — COMPOSITION</t>
        </is>
      </c>
    </row>
    <row r="3" ht="25" customHeight="1">
      <c r="B3" s="2" t="inlineStr">
        <is>
          <t>Institution: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ACLHC</t>
        </is>
      </c>
      <c r="F4" s="13" t="inlineStr">
        <is>
          <t>Domain / Club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Dean Student Affairs</t>
        </is>
      </c>
      <c r="E5" s="14" t="inlineStr">
        <is>
          <t>Chairperson</t>
        </is>
      </c>
      <c r="F5" s="16" t="inlineStr">
        <is>
          <t>ACLHC Leadership &amp; Oversight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Faculty In-charge — Cultural Activities</t>
        </is>
      </c>
      <c r="E6" s="8" t="inlineStr">
        <is>
          <t>ACLHC Coordinator</t>
        </is>
      </c>
      <c r="F6" s="10" t="inlineStr">
        <is>
          <t>Overall Coordination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Faculty / Fine Arts Expert</t>
        </is>
      </c>
      <c r="E7" s="14" t="inlineStr">
        <is>
          <t>Arts Coordinator</t>
        </is>
      </c>
      <c r="F7" s="16" t="inlineStr">
        <is>
          <t>Fine Arts, Craft, Photography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Faculty / Music Expert</t>
        </is>
      </c>
      <c r="E8" s="8" t="inlineStr">
        <is>
          <t>Music Coordinator</t>
        </is>
      </c>
      <c r="F8" s="10" t="inlineStr">
        <is>
          <t>Music &amp; Vocal Arts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Faculty / Dance Expert</t>
        </is>
      </c>
      <c r="E9" s="14" t="inlineStr">
        <is>
          <t>Dance Coordinator</t>
        </is>
      </c>
      <c r="F9" s="16" t="inlineStr">
        <is>
          <t>Classical, Folk &amp; Contemporary Dance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Faculty / Drama Expert</t>
        </is>
      </c>
      <c r="E10" s="8" t="inlineStr">
        <is>
          <t>Theatre Coordinator</t>
        </is>
      </c>
      <c r="F10" s="10" t="inlineStr">
        <is>
          <t>Drama, Theatre &amp; Street Play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Faculty — English / Languages</t>
        </is>
      </c>
      <c r="E11" s="14" t="inlineStr">
        <is>
          <t>Literary Coordinator</t>
        </is>
      </c>
      <c r="F11" s="16" t="inlineStr">
        <is>
          <t>Debate, Literary, Quiz, Writing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Faculty — Media / IT</t>
        </is>
      </c>
      <c r="E12" s="8" t="inlineStr">
        <is>
          <t>Technical Events Coord.</t>
        </is>
      </c>
      <c r="F12" s="10" t="inlineStr">
        <is>
          <t>Film, Media, Digital Arts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Student Council — Cultural Secretary (Male)</t>
        </is>
      </c>
      <c r="E13" s="14" t="inlineStr">
        <is>
          <t>Student Cultural Secretary</t>
        </is>
      </c>
      <c r="F13" s="16" t="inlineStr">
        <is>
          <t>Male Student Cultural Representation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Student Council — Cultural Secretary (Female)</t>
        </is>
      </c>
      <c r="E14" s="8" t="inlineStr">
        <is>
          <t>Student Cultural Secretary</t>
        </is>
      </c>
      <c r="F14" s="10" t="inlineStr">
        <is>
          <t>Female Student Cultural Representation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Student — Music Club Head</t>
        </is>
      </c>
      <c r="E15" s="14" t="inlineStr">
        <is>
          <t>Club President — Music</t>
        </is>
      </c>
      <c r="F15" s="16" t="inlineStr">
        <is>
          <t>Music Club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Student — Dance Club Head</t>
        </is>
      </c>
      <c r="E16" s="8" t="inlineStr">
        <is>
          <t>Club President — Dance</t>
        </is>
      </c>
      <c r="F16" s="10" t="inlineStr">
        <is>
          <t>Dance Club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Student — Drama Club Head</t>
        </is>
      </c>
      <c r="E17" s="14" t="inlineStr">
        <is>
          <t>Club President — Drama</t>
        </is>
      </c>
      <c r="F17" s="16" t="inlineStr">
        <is>
          <t>Theatre Club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Student — Literary Club Head</t>
        </is>
      </c>
      <c r="E18" s="8" t="inlineStr">
        <is>
          <t>Club President — Literary</t>
        </is>
      </c>
      <c r="F18" s="10" t="inlineStr">
        <is>
          <t>Literary &amp; Debate Club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Student — Fine Arts Club Head</t>
        </is>
      </c>
      <c r="E19" s="14" t="inlineStr">
        <is>
          <t>Club President — Arts</t>
        </is>
      </c>
      <c r="F19" s="16" t="inlineStr">
        <is>
          <t>Fine Arts &amp; Craft Club</t>
        </is>
      </c>
      <c r="G19" s="15" t="inlineStr"/>
      <c r="H19" s="16" t="inlineStr"/>
      <c r="I19" s="16" t="inlineStr"/>
    </row>
    <row r="20" ht="22" customHeight="1">
      <c r="B20" s="8" t="n">
        <v>16</v>
      </c>
      <c r="C20" s="9" t="inlineStr"/>
      <c r="D20" s="9" t="inlineStr">
        <is>
          <t>Alumnus/a in Performing / Fine Arts</t>
        </is>
      </c>
      <c r="E20" s="8" t="inlineStr">
        <is>
          <t>Alumni Cultural Expert</t>
        </is>
      </c>
      <c r="F20" s="10" t="inlineStr">
        <is>
          <t>Alumni Cultural Connect</t>
        </is>
      </c>
      <c r="G20" s="9" t="inlineStr"/>
      <c r="H20" s="10" t="inlineStr"/>
      <c r="I20" s="10" t="inlineStr"/>
    </row>
    <row r="21" ht="22" customHeight="1">
      <c r="B21" s="14" t="n">
        <v>17</v>
      </c>
      <c r="C21" s="15" t="inlineStr"/>
      <c r="D21" s="15" t="inlineStr">
        <is>
          <t>Artist / Performer / Cultural Personality</t>
        </is>
      </c>
      <c r="E21" s="14" t="inlineStr">
        <is>
          <t>External Cultural Expert</t>
        </is>
      </c>
      <c r="F21" s="16" t="inlineStr">
        <is>
          <t>External Advisory</t>
        </is>
      </c>
      <c r="G21" s="15" t="inlineStr"/>
      <c r="H21" s="16" t="inlineStr"/>
      <c r="I21" s="16" t="inlineStr"/>
    </row>
    <row r="22" ht="22" customHeight="1">
      <c r="B22" s="8" t="n">
        <v>18</v>
      </c>
      <c r="C22" s="9" t="inlineStr"/>
      <c r="D22" s="9" t="inlineStr">
        <is>
          <t>IQAC In-charge</t>
        </is>
      </c>
      <c r="E22" s="8" t="inlineStr">
        <is>
          <t>IQAC Coordinator (Ex-off.)</t>
        </is>
      </c>
      <c r="F22" s="10" t="inlineStr">
        <is>
          <t>Quality &amp; Accreditation</t>
        </is>
      </c>
      <c r="G22" s="9" t="inlineStr"/>
      <c r="H22" s="10" t="inlineStr"/>
      <c r="I22" s="10" t="inlineStr"/>
    </row>
    <row r="23" ht="22" customHeight="1">
      <c r="B23" s="14" t="n">
        <v>19</v>
      </c>
      <c r="C23" s="15" t="inlineStr"/>
      <c r="D23" s="15" t="inlineStr">
        <is>
          <t>Finance Officer</t>
        </is>
      </c>
      <c r="E23" s="14" t="inlineStr">
        <is>
          <t>Finance Officer (Ex-off.)</t>
        </is>
      </c>
      <c r="F23" s="16" t="inlineStr">
        <is>
          <t>Budget &amp; Sponsorship</t>
        </is>
      </c>
      <c r="G23" s="15" t="inlineStr"/>
      <c r="H23" s="16" t="inlineStr"/>
      <c r="I23" s="16" t="inlineStr"/>
    </row>
    <row r="24" ht="22" customHeight="1"/>
    <row r="25" ht="20" customHeight="1">
      <c r="B25" s="17" t="inlineStr">
        <is>
          <t>ACLHC meets monthly. Student club presidents attend as active voices. All 'clubs' — including small hobby groups — must be registered annually with ACLHC before receiving institutional support.</t>
        </is>
      </c>
    </row>
    <row r="26" ht="22" customHeight="1"/>
    <row r="27" ht="22" customHeight="1"/>
    <row r="28" ht="22" customHeight="1"/>
    <row r="29" ht="22" customHeight="1"/>
  </sheetData>
  <mergeCells count="3">
    <mergeCell ref="B25:I25"/>
    <mergeCell ref="B3:I3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8" t="inlineStr">
        <is>
          <t>ACLHC: MEETING NOTICE &amp; AGENDA</t>
        </is>
      </c>
    </row>
    <row r="3" ht="22" customHeight="1">
      <c r="B3" s="19" t="inlineStr">
        <is>
          <t>Meeting No.:</t>
        </is>
      </c>
      <c r="C3" s="9" t="n"/>
    </row>
    <row r="4" ht="22" customHeight="1">
      <c r="B4" s="19" t="inlineStr">
        <is>
          <t>Academic Year:</t>
        </is>
      </c>
      <c r="C4" s="9" t="n"/>
    </row>
    <row r="5" ht="22" customHeight="1">
      <c r="B5" s="19" t="inlineStr">
        <is>
          <t>Date:</t>
        </is>
      </c>
      <c r="C5" s="9" t="n"/>
    </row>
    <row r="6" ht="22" customHeight="1">
      <c r="B6" s="19" t="inlineStr">
        <is>
          <t>Time:</t>
        </is>
      </c>
      <c r="C6" s="9" t="n"/>
    </row>
    <row r="7" ht="22" customHeight="1">
      <c r="B7" s="19" t="inlineStr">
        <is>
          <t>Venue:</t>
        </is>
      </c>
      <c r="C7" s="9" t="n"/>
    </row>
    <row r="8" ht="22" customHeight="1">
      <c r="B8" s="19" t="inlineStr">
        <is>
          <t>Mode:</t>
        </is>
      </c>
      <c r="C8" s="9" t="n"/>
    </row>
    <row r="9" ht="22" customHeight="1">
      <c r="B9" s="19" t="inlineStr">
        <is>
          <t>Notice by:</t>
        </is>
      </c>
      <c r="C9" s="9" t="n"/>
    </row>
    <row r="10" ht="22" customHeight="1">
      <c r="B10" s="19" t="inlineStr">
        <is>
          <t>Notice Date:</t>
        </is>
      </c>
      <c r="C10" s="9" t="n"/>
    </row>
    <row r="11" ht="24" customHeight="1">
      <c r="B11" s="20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</t>
        </is>
      </c>
      <c r="D12" s="13" t="inlineStr">
        <is>
          <t>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ACLHC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Club registrations — new clubs and annual renewals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Annual cultural calendar — upcoming events and scheduling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Event planning updates — logistical readiness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Club activity reports — each club head's brief update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Intercollegiate competitions — participation proposals and results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Annual cultural fest — planning status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External competitions and invitations received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Guest artist / workshop invitations — proposals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Student achievements in arts/culture — recognition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Training and workshops — upcoming schedule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Sponsorship proposals — review and approval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Budget review — expenditure vs. allocation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Equipment and resources — requirements and procurement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Photography / documentation — event coverage status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NAAC / NIRF cultural data — compilation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Any Other Matter with Permission of Chairperson (AOMPC)</t>
        </is>
      </c>
      <c r="D30" s="10" t="inlineStr"/>
      <c r="E30" s="10" t="inlineStr"/>
    </row>
    <row r="31" ht="24" customHeight="1"/>
    <row r="32" ht="24" customHeight="1">
      <c r="B32" s="21" t="inlineStr">
        <is>
          <t>DISPATCH RECORD</t>
        </is>
      </c>
    </row>
    <row r="33" ht="24" customHeight="1">
      <c r="B33" s="22" t="inlineStr">
        <is>
          <t>Sl.</t>
        </is>
      </c>
      <c r="C33" s="22" t="inlineStr">
        <is>
          <t>Member Name &amp; Role</t>
        </is>
      </c>
      <c r="D33" s="22" t="inlineStr">
        <is>
          <t>Mode</t>
        </is>
      </c>
      <c r="E33" s="22" t="inlineStr">
        <is>
          <t>Date &amp; Acknowledgement</t>
        </is>
      </c>
    </row>
    <row r="34" ht="22" customHeight="1">
      <c r="B34" s="23" t="n"/>
      <c r="C34" s="23" t="n"/>
      <c r="D34" s="23" t="n"/>
      <c r="E34" s="23" t="n"/>
    </row>
    <row r="35" ht="22" customHeight="1">
      <c r="B35" s="10" t="n"/>
      <c r="C35" s="10" t="n"/>
      <c r="D35" s="10" t="n"/>
      <c r="E35" s="10" t="n"/>
    </row>
    <row r="36" ht="22" customHeight="1">
      <c r="B36" s="23" t="n"/>
      <c r="C36" s="23" t="n"/>
      <c r="D36" s="23" t="n"/>
      <c r="E36" s="23" t="n"/>
    </row>
    <row r="37" ht="22" customHeight="1">
      <c r="B37" s="10" t="n"/>
      <c r="C37" s="10" t="n"/>
      <c r="D37" s="10" t="n"/>
      <c r="E37" s="10" t="n"/>
    </row>
  </sheetData>
  <mergeCells count="11">
    <mergeCell ref="C5:E5"/>
    <mergeCell ref="C8:E8"/>
    <mergeCell ref="C9:E9"/>
    <mergeCell ref="C4:E4"/>
    <mergeCell ref="B32:E32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ACLHC: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>
      <c r="B21" s="14" t="n">
        <v>17</v>
      </c>
      <c r="C21" s="15" t="inlineStr"/>
      <c r="D21" s="15" t="inlineStr"/>
      <c r="E21" s="16" t="inlineStr">
        <is>
          <t>Physical</t>
        </is>
      </c>
      <c r="F21" s="16" t="inlineStr"/>
      <c r="G21" s="16" t="inlineStr">
        <is>
          <t>N</t>
        </is>
      </c>
      <c r="H21" s="16" t="inlineStr"/>
      <c r="I21" s="16" t="inlineStr"/>
    </row>
    <row r="22" ht="22" customHeight="1">
      <c r="B22" s="8" t="n">
        <v>18</v>
      </c>
      <c r="C22" s="9" t="inlineStr"/>
      <c r="D22" s="9" t="inlineStr"/>
      <c r="E22" s="10" t="inlineStr">
        <is>
          <t>Physical</t>
        </is>
      </c>
      <c r="F22" s="10" t="inlineStr"/>
      <c r="G22" s="10" t="inlineStr">
        <is>
          <t>N</t>
        </is>
      </c>
      <c r="H22" s="10" t="inlineStr"/>
      <c r="I22" s="10" t="inlineStr"/>
    </row>
    <row r="23" ht="22" customHeight="1">
      <c r="B23" s="14" t="n">
        <v>19</v>
      </c>
      <c r="C23" s="15" t="inlineStr"/>
      <c r="D23" s="15" t="inlineStr"/>
      <c r="E23" s="16" t="inlineStr">
        <is>
          <t>Physical</t>
        </is>
      </c>
      <c r="F23" s="16" t="inlineStr"/>
      <c r="G23" s="16" t="inlineStr">
        <is>
          <t>N</t>
        </is>
      </c>
      <c r="H23" s="16" t="inlineStr"/>
      <c r="I23" s="16" t="inlineStr"/>
    </row>
    <row r="24" ht="22" customHeight="1">
      <c r="B24" s="8" t="n">
        <v>20</v>
      </c>
      <c r="C24" s="9" t="inlineStr"/>
      <c r="D24" s="9" t="inlineStr"/>
      <c r="E24" s="10" t="inlineStr">
        <is>
          <t>Physical</t>
        </is>
      </c>
      <c r="F24" s="10" t="inlineStr"/>
      <c r="G24" s="10" t="inlineStr">
        <is>
          <t>N</t>
        </is>
      </c>
      <c r="H24" s="10" t="inlineStr"/>
      <c r="I24" s="10" t="inlineStr"/>
    </row>
    <row r="25" ht="22" customHeight="1">
      <c r="B25" s="14" t="n">
        <v>21</v>
      </c>
      <c r="C25" s="15" t="inlineStr"/>
      <c r="D25" s="15" t="inlineStr"/>
      <c r="E25" s="16" t="inlineStr">
        <is>
          <t>Physical</t>
        </is>
      </c>
      <c r="F25" s="16" t="inlineStr"/>
      <c r="G25" s="16" t="inlineStr">
        <is>
          <t>N</t>
        </is>
      </c>
      <c r="H25" s="16" t="inlineStr"/>
      <c r="I25" s="16" t="inlineStr"/>
    </row>
    <row r="26" ht="22" customHeight="1"/>
    <row r="27" ht="24" customHeight="1">
      <c r="B27" s="21" t="inlineStr">
        <is>
          <t>QUORUM VERIFICATION</t>
        </is>
      </c>
    </row>
    <row r="28" ht="22" customHeight="1">
      <c r="B28" s="24" t="inlineStr">
        <is>
          <t>Total ACLHC Members</t>
        </is>
      </c>
      <c r="G28" s="25" t="inlineStr"/>
    </row>
    <row r="29" ht="22" customHeight="1">
      <c r="B29" s="26" t="inlineStr">
        <is>
          <t>Present (Physical)</t>
        </is>
      </c>
      <c r="G29" s="25">
        <f>COUNTIF(F5:F25,"P")</f>
        <v/>
      </c>
    </row>
    <row r="30" ht="22" customHeight="1">
      <c r="B30" s="24" t="inlineStr">
        <is>
          <t>Present (VC)</t>
        </is>
      </c>
      <c r="G30" s="25" t="inlineStr"/>
    </row>
    <row r="31" ht="22" customHeight="1">
      <c r="B31" s="26" t="inlineStr">
        <is>
          <t>Total Effective</t>
        </is>
      </c>
      <c r="G31" s="25">
        <f>IFERROR(C29+C30,"")</f>
        <v/>
      </c>
    </row>
    <row r="32">
      <c r="B32" s="24" t="inlineStr">
        <is>
          <t>Quorum Required (50%)</t>
        </is>
      </c>
      <c r="G32" s="25" t="inlineStr"/>
    </row>
    <row r="33">
      <c r="B33" s="26" t="inlineStr">
        <is>
          <t>Quorum Achieved?</t>
        </is>
      </c>
      <c r="G33" s="27">
        <f>IFERROR(IF(C31&gt;=C32,"YES — Meeting Valid","NO — Adjourned"),"")</f>
        <v/>
      </c>
    </row>
  </sheetData>
  <mergeCells count="15">
    <mergeCell ref="B30:F30"/>
    <mergeCell ref="B29:F29"/>
    <mergeCell ref="G32:I32"/>
    <mergeCell ref="G28:I28"/>
    <mergeCell ref="B33:F33"/>
    <mergeCell ref="B2:I2"/>
    <mergeCell ref="B28:F28"/>
    <mergeCell ref="G31:I31"/>
    <mergeCell ref="B3:I3"/>
    <mergeCell ref="B31:F31"/>
    <mergeCell ref="G29:I29"/>
    <mergeCell ref="B32:F32"/>
    <mergeCell ref="B27:I27"/>
    <mergeCell ref="G30:I30"/>
    <mergeCell ref="G33:I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8" t="inlineStr">
        <is>
          <t>ACLHC: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8" t="inlineStr">
        <is>
          <t>DISCUSSION &amp; RESOLUTIONS</t>
        </is>
      </c>
    </row>
    <row r="5" ht="30" customHeight="1">
      <c r="B5" s="29" t="inlineStr">
        <is>
          <t>Resolution
No.</t>
        </is>
      </c>
      <c r="C5" s="29" t="inlineStr">
        <is>
          <t>Discussion &amp; Resolution</t>
        </is>
      </c>
      <c r="D5" s="29" t="inlineStr">
        <is>
          <t>Responsible</t>
        </is>
      </c>
      <c r="E5" s="29" t="inlineStr">
        <is>
          <t>Voting</t>
        </is>
      </c>
      <c r="F5" s="29" t="inlineStr">
        <is>
          <t>Target
Date</t>
        </is>
      </c>
      <c r="G5" s="29" t="inlineStr">
        <is>
          <t>Status</t>
        </is>
      </c>
    </row>
    <row r="6" ht="30" customHeight="1">
      <c r="B6" s="14" t="inlineStr">
        <is>
          <t>ACLHC/RES/001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ACLHC/RES/002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ACLHC/RES/003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ACLHC/RES/004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ACLHC/RES/005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ACLHC/RES/006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ACLHC/RES/007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ACLHC/RES/008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ACLHC/RES/009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ACLHC/RES/010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ACLHC/RES/011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ACLHC/RES/012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ACLHC/RES/013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ACLHC/RES/014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30" t="inlineStr">
        <is>
          <t>Next Meeting: _______    Chairperson: ___________________    ACLHC Coordinator: ___________________</t>
        </is>
      </c>
    </row>
    <row r="22" ht="30" customHeight="1"/>
    <row r="23" ht="30" customHeight="1"/>
    <row r="24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8" t="inlineStr">
        <is>
          <t>ACLHC: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1" t="inlineStr">
        <is>
          <t>Resolution
No.</t>
        </is>
      </c>
      <c r="C4" s="31" t="inlineStr">
        <is>
          <t>Resolution / Decision</t>
        </is>
      </c>
      <c r="D4" s="31" t="inlineStr">
        <is>
          <t>Action Required</t>
        </is>
      </c>
      <c r="E4" s="31" t="inlineStr">
        <is>
          <t>Responsible</t>
        </is>
      </c>
      <c r="F4" s="31" t="inlineStr">
        <is>
          <t>Target
Date</t>
        </is>
      </c>
      <c r="G4" s="31" t="inlineStr">
        <is>
          <t>Completion
Date</t>
        </is>
      </c>
      <c r="H4" s="31" t="inlineStr">
        <is>
          <t>Status</t>
        </is>
      </c>
    </row>
    <row r="5" ht="26" customHeight="1">
      <c r="B5" s="32" t="inlineStr">
        <is>
          <t>ACLHC/RES/001</t>
        </is>
      </c>
      <c r="C5" s="33" t="inlineStr"/>
      <c r="D5" s="33" t="inlineStr"/>
      <c r="E5" s="34" t="inlineStr"/>
      <c r="F5" s="34" t="inlineStr"/>
      <c r="G5" s="34" t="inlineStr"/>
      <c r="H5" s="33" t="inlineStr">
        <is>
          <t>In Progress</t>
        </is>
      </c>
    </row>
    <row r="6" ht="26" customHeight="1">
      <c r="B6" s="8" t="inlineStr">
        <is>
          <t>ACLHC/RES/002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2" t="inlineStr">
        <is>
          <t>ACLHC/RES/003</t>
        </is>
      </c>
      <c r="C7" s="33" t="inlineStr"/>
      <c r="D7" s="33" t="inlineStr"/>
      <c r="E7" s="34" t="inlineStr"/>
      <c r="F7" s="34" t="inlineStr"/>
      <c r="G7" s="34" t="inlineStr"/>
      <c r="H7" s="33" t="inlineStr">
        <is>
          <t>In Progress</t>
        </is>
      </c>
    </row>
    <row r="8" ht="26" customHeight="1">
      <c r="B8" s="8" t="inlineStr">
        <is>
          <t>ACLHC/RES/004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2" t="inlineStr">
        <is>
          <t>ACLHC/RES/005</t>
        </is>
      </c>
      <c r="C9" s="33" t="inlineStr"/>
      <c r="D9" s="33" t="inlineStr"/>
      <c r="E9" s="34" t="inlineStr"/>
      <c r="F9" s="34" t="inlineStr"/>
      <c r="G9" s="34" t="inlineStr"/>
      <c r="H9" s="33" t="inlineStr">
        <is>
          <t>In Progress</t>
        </is>
      </c>
    </row>
    <row r="10" ht="26" customHeight="1">
      <c r="B10" s="8" t="inlineStr">
        <is>
          <t>ACLHC/RES/006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2" t="inlineStr">
        <is>
          <t>ACLHC/RES/007</t>
        </is>
      </c>
      <c r="C11" s="33" t="inlineStr"/>
      <c r="D11" s="33" t="inlineStr"/>
      <c r="E11" s="34" t="inlineStr"/>
      <c r="F11" s="34" t="inlineStr"/>
      <c r="G11" s="34" t="inlineStr"/>
      <c r="H11" s="33" t="inlineStr">
        <is>
          <t>In Progress</t>
        </is>
      </c>
    </row>
    <row r="12" ht="26" customHeight="1">
      <c r="B12" s="8" t="inlineStr">
        <is>
          <t>ACLHC/RES/008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2" t="inlineStr">
        <is>
          <t>ACLHC/RES/009</t>
        </is>
      </c>
      <c r="C13" s="33" t="inlineStr"/>
      <c r="D13" s="33" t="inlineStr"/>
      <c r="E13" s="34" t="inlineStr"/>
      <c r="F13" s="34" t="inlineStr"/>
      <c r="G13" s="34" t="inlineStr"/>
      <c r="H13" s="33" t="inlineStr">
        <is>
          <t>In Progress</t>
        </is>
      </c>
    </row>
    <row r="14" ht="26" customHeight="1">
      <c r="B14" s="8" t="inlineStr">
        <is>
          <t>ACLHC/RES/010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2" t="inlineStr">
        <is>
          <t>ACLHC/RES/011</t>
        </is>
      </c>
      <c r="C15" s="33" t="inlineStr"/>
      <c r="D15" s="33" t="inlineStr"/>
      <c r="E15" s="34" t="inlineStr"/>
      <c r="F15" s="34" t="inlineStr"/>
      <c r="G15" s="34" t="inlineStr"/>
      <c r="H15" s="33" t="inlineStr">
        <is>
          <t>In Progress</t>
        </is>
      </c>
    </row>
    <row r="16" ht="26" customHeight="1">
      <c r="B16" s="8" t="inlineStr">
        <is>
          <t>ACLHC/RES/012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2" t="inlineStr">
        <is>
          <t>ACLHC/RES/013</t>
        </is>
      </c>
      <c r="C17" s="33" t="inlineStr"/>
      <c r="D17" s="33" t="inlineStr"/>
      <c r="E17" s="34" t="inlineStr"/>
      <c r="F17" s="34" t="inlineStr"/>
      <c r="G17" s="34" t="inlineStr"/>
      <c r="H17" s="33" t="inlineStr">
        <is>
          <t>In Progress</t>
        </is>
      </c>
    </row>
    <row r="18" ht="26" customHeight="1">
      <c r="B18" s="8" t="inlineStr">
        <is>
          <t>ACLHC/RES/014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32" t="inlineStr">
        <is>
          <t>ACLHC/RES/015</t>
        </is>
      </c>
      <c r="C19" s="33" t="inlineStr"/>
      <c r="D19" s="33" t="inlineStr"/>
      <c r="E19" s="34" t="inlineStr"/>
      <c r="F19" s="34" t="inlineStr"/>
      <c r="G19" s="34" t="inlineStr"/>
      <c r="H19" s="33" t="inlineStr">
        <is>
          <t>In Progress</t>
        </is>
      </c>
    </row>
    <row r="20" ht="26" customHeight="1"/>
    <row r="21" ht="24" customHeight="1">
      <c r="B21" s="35" t="inlineStr">
        <is>
          <t>ATR SUMMARY</t>
        </is>
      </c>
    </row>
    <row r="22" ht="26" customHeight="1">
      <c r="B22" s="36" t="inlineStr">
        <is>
          <t>Total Resolutions Under Review</t>
        </is>
      </c>
      <c r="F22" s="37">
        <f>COUNTA(B5:B19)</f>
        <v/>
      </c>
    </row>
    <row r="23" ht="26" customHeight="1">
      <c r="B23" s="26" t="inlineStr">
        <is>
          <t>Implemented</t>
        </is>
      </c>
      <c r="F23" s="38">
        <f>COUNTIF(H5:H19,"Implemented")</f>
        <v/>
      </c>
    </row>
    <row r="24" ht="26" customHeight="1">
      <c r="B24" s="36" t="inlineStr">
        <is>
          <t>In Progress</t>
        </is>
      </c>
      <c r="F24" s="37">
        <f>COUNTIF(H5:H19,"In Progress")</f>
        <v/>
      </c>
    </row>
    <row r="25" ht="26" customHeight="1">
      <c r="B25" s="26" t="inlineStr">
        <is>
          <t>Pending</t>
        </is>
      </c>
      <c r="F25" s="38">
        <f>COUNTIF(H5:H19,"Pending")</f>
        <v/>
      </c>
    </row>
    <row r="26" ht="26" customHeight="1">
      <c r="B26" s="36" t="inlineStr">
        <is>
          <t>Deferred</t>
        </is>
      </c>
      <c r="F26" s="37">
        <f>COUNTIF(H5:H19,"Deferred")</f>
        <v/>
      </c>
    </row>
    <row r="27" ht="26" customHeight="1">
      <c r="B27" s="26" t="inlineStr">
        <is>
          <t>Implementation Rate (%)</t>
        </is>
      </c>
      <c r="F27" s="38">
        <f>IFERROR(ROUND(C23/C22*100,1),"")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CLUB-02: CLUB MASTER REGISTER — ALL ACTIVE CLUBS</t>
        </is>
      </c>
    </row>
    <row r="3" ht="25" customHeight="1">
      <c r="B3" s="2" t="inlineStr">
        <is>
          <t>A.Y.: _______  ACLHC Coordinator: ___________________  Total Active Clubs: _______</t>
        </is>
      </c>
    </row>
    <row r="4" ht="25" customHeight="1">
      <c r="B4" s="13" t="inlineStr">
        <is>
          <t>Club
Ref.</t>
        </is>
      </c>
      <c r="C4" s="13" t="inlineStr">
        <is>
          <t>Club Name</t>
        </is>
      </c>
      <c r="D4" s="13" t="inlineStr">
        <is>
          <t>Category</t>
        </is>
      </c>
      <c r="E4" s="13" t="inlineStr">
        <is>
          <t>Faculty
Advisor</t>
        </is>
      </c>
      <c r="F4" s="13" t="inlineStr">
        <is>
          <t>Student
President</t>
        </is>
      </c>
      <c r="G4" s="13" t="inlineStr">
        <is>
          <t>Members
Enrolled</t>
        </is>
      </c>
      <c r="H4" s="13" t="inlineStr">
        <is>
          <t>Recognition
Date</t>
        </is>
      </c>
      <c r="I4" s="13" t="inlineStr">
        <is>
          <t>Activities
Planned</t>
        </is>
      </c>
      <c r="J4" s="13" t="inlineStr">
        <is>
          <t>Activities
Completed</t>
        </is>
      </c>
      <c r="K4" s="13" t="inlineStr">
        <is>
          <t>Status</t>
        </is>
      </c>
    </row>
    <row r="5" ht="22" customHeight="1">
      <c r="B5" s="14" t="inlineStr">
        <is>
          <t>CLUB/001</t>
        </is>
      </c>
      <c r="C5" s="15" t="inlineStr">
        <is>
          <t>Fine Arts &amp; Painting Club</t>
        </is>
      </c>
      <c r="D5" s="16" t="inlineStr">
        <is>
          <t>Fine Arts</t>
        </is>
      </c>
      <c r="E5" s="15" t="inlineStr"/>
      <c r="F5" s="15" t="inlineStr"/>
      <c r="G5" s="16" t="inlineStr"/>
      <c r="H5" s="16" t="inlineStr"/>
      <c r="I5" s="16" t="inlineStr"/>
      <c r="J5" s="16" t="inlineStr"/>
      <c r="K5" s="16" t="inlineStr">
        <is>
          <t>Active</t>
        </is>
      </c>
    </row>
    <row r="6" ht="22" customHeight="1">
      <c r="B6" s="8" t="inlineStr">
        <is>
          <t>CLUB/002</t>
        </is>
      </c>
      <c r="C6" s="9" t="inlineStr">
        <is>
          <t>Photography &amp; Cinematography Club</t>
        </is>
      </c>
      <c r="D6" s="10" t="inlineStr">
        <is>
          <t>Photography</t>
        </is>
      </c>
      <c r="E6" s="9" t="inlineStr"/>
      <c r="F6" s="9" t="inlineStr"/>
      <c r="G6" s="10" t="inlineStr"/>
      <c r="H6" s="10" t="inlineStr"/>
      <c r="I6" s="10" t="inlineStr"/>
      <c r="J6" s="10" t="inlineStr"/>
      <c r="K6" s="10" t="inlineStr">
        <is>
          <t>Active</t>
        </is>
      </c>
    </row>
    <row r="7" ht="22" customHeight="1">
      <c r="B7" s="14" t="inlineStr">
        <is>
          <t>CLUB/003</t>
        </is>
      </c>
      <c r="C7" s="15" t="inlineStr">
        <is>
          <t>Music Club (Vocal &amp; Instrumental)</t>
        </is>
      </c>
      <c r="D7" s="16" t="inlineStr">
        <is>
          <t>Music</t>
        </is>
      </c>
      <c r="E7" s="15" t="inlineStr"/>
      <c r="F7" s="15" t="inlineStr"/>
      <c r="G7" s="16" t="inlineStr"/>
      <c r="H7" s="16" t="inlineStr"/>
      <c r="I7" s="16" t="inlineStr"/>
      <c r="J7" s="16" t="inlineStr"/>
      <c r="K7" s="16" t="inlineStr">
        <is>
          <t>Active</t>
        </is>
      </c>
    </row>
    <row r="8" ht="22" customHeight="1">
      <c r="B8" s="8" t="inlineStr">
        <is>
          <t>CLUB/004</t>
        </is>
      </c>
      <c r="C8" s="9" t="inlineStr">
        <is>
          <t>Western Music / Band Club</t>
        </is>
      </c>
      <c r="D8" s="10" t="inlineStr">
        <is>
          <t>Music</t>
        </is>
      </c>
      <c r="E8" s="9" t="inlineStr"/>
      <c r="F8" s="9" t="inlineStr"/>
      <c r="G8" s="10" t="inlineStr"/>
      <c r="H8" s="10" t="inlineStr"/>
      <c r="I8" s="10" t="inlineStr"/>
      <c r="J8" s="10" t="inlineStr"/>
      <c r="K8" s="10" t="inlineStr">
        <is>
          <t>Active</t>
        </is>
      </c>
    </row>
    <row r="9" ht="22" customHeight="1">
      <c r="B9" s="14" t="inlineStr">
        <is>
          <t>CLUB/005</t>
        </is>
      </c>
      <c r="C9" s="15" t="inlineStr">
        <is>
          <t>Classical Dance Club</t>
        </is>
      </c>
      <c r="D9" s="16" t="inlineStr">
        <is>
          <t>Dance</t>
        </is>
      </c>
      <c r="E9" s="15" t="inlineStr"/>
      <c r="F9" s="15" t="inlineStr"/>
      <c r="G9" s="16" t="inlineStr"/>
      <c r="H9" s="16" t="inlineStr"/>
      <c r="I9" s="16" t="inlineStr"/>
      <c r="J9" s="16" t="inlineStr"/>
      <c r="K9" s="16" t="inlineStr">
        <is>
          <t>Active</t>
        </is>
      </c>
    </row>
    <row r="10" ht="22" customHeight="1">
      <c r="B10" s="8" t="inlineStr">
        <is>
          <t>CLUB/006</t>
        </is>
      </c>
      <c r="C10" s="9" t="inlineStr">
        <is>
          <t>Folk &amp; Contemporary Dance Club</t>
        </is>
      </c>
      <c r="D10" s="10" t="inlineStr">
        <is>
          <t>Dance</t>
        </is>
      </c>
      <c r="E10" s="9" t="inlineStr"/>
      <c r="F10" s="9" t="inlineStr"/>
      <c r="G10" s="10" t="inlineStr"/>
      <c r="H10" s="10" t="inlineStr"/>
      <c r="I10" s="10" t="inlineStr"/>
      <c r="J10" s="10" t="inlineStr"/>
      <c r="K10" s="10" t="inlineStr">
        <is>
          <t>Active</t>
        </is>
      </c>
    </row>
    <row r="11" ht="22" customHeight="1">
      <c r="B11" s="14" t="inlineStr">
        <is>
          <t>CLUB/007</t>
        </is>
      </c>
      <c r="C11" s="15" t="inlineStr">
        <is>
          <t>Theatre &amp; Drama Club</t>
        </is>
      </c>
      <c r="D11" s="16" t="inlineStr">
        <is>
          <t>Theatre &amp; Drama</t>
        </is>
      </c>
      <c r="E11" s="15" t="inlineStr"/>
      <c r="F11" s="15" t="inlineStr"/>
      <c r="G11" s="16" t="inlineStr"/>
      <c r="H11" s="16" t="inlineStr"/>
      <c r="I11" s="16" t="inlineStr"/>
      <c r="J11" s="16" t="inlineStr"/>
      <c r="K11" s="16" t="inlineStr">
        <is>
          <t>Active</t>
        </is>
      </c>
    </row>
    <row r="12" ht="22" customHeight="1">
      <c r="B12" s="8" t="inlineStr">
        <is>
          <t>CLUB/008</t>
        </is>
      </c>
      <c r="C12" s="9" t="inlineStr">
        <is>
          <t>Street Play Club</t>
        </is>
      </c>
      <c r="D12" s="10" t="inlineStr">
        <is>
          <t>Theatre &amp; Drama</t>
        </is>
      </c>
      <c r="E12" s="9" t="inlineStr"/>
      <c r="F12" s="9" t="inlineStr"/>
      <c r="G12" s="10" t="inlineStr"/>
      <c r="H12" s="10" t="inlineStr"/>
      <c r="I12" s="10" t="inlineStr"/>
      <c r="J12" s="10" t="inlineStr"/>
      <c r="K12" s="10" t="inlineStr">
        <is>
          <t>Active</t>
        </is>
      </c>
    </row>
    <row r="13" ht="22" customHeight="1">
      <c r="B13" s="14" t="inlineStr">
        <is>
          <t>CLUB/009</t>
        </is>
      </c>
      <c r="C13" s="15" t="inlineStr">
        <is>
          <t>Debate &amp; Elocution Club</t>
        </is>
      </c>
      <c r="D13" s="16" t="inlineStr">
        <is>
          <t>Literary &amp; Debate</t>
        </is>
      </c>
      <c r="E13" s="15" t="inlineStr"/>
      <c r="F13" s="15" t="inlineStr"/>
      <c r="G13" s="16" t="inlineStr"/>
      <c r="H13" s="16" t="inlineStr"/>
      <c r="I13" s="16" t="inlineStr"/>
      <c r="J13" s="16" t="inlineStr"/>
      <c r="K13" s="16" t="inlineStr">
        <is>
          <t>Active</t>
        </is>
      </c>
    </row>
    <row r="14" ht="22" customHeight="1">
      <c r="B14" s="8" t="inlineStr">
        <is>
          <t>CLUB/010</t>
        </is>
      </c>
      <c r="C14" s="9" t="inlineStr">
        <is>
          <t>Model United Nations (MUN) Club</t>
        </is>
      </c>
      <c r="D14" s="10" t="inlineStr">
        <is>
          <t>Literary &amp; Debate</t>
        </is>
      </c>
      <c r="E14" s="9" t="inlineStr"/>
      <c r="F14" s="9" t="inlineStr"/>
      <c r="G14" s="10" t="inlineStr"/>
      <c r="H14" s="10" t="inlineStr"/>
      <c r="I14" s="10" t="inlineStr"/>
      <c r="J14" s="10" t="inlineStr"/>
      <c r="K14" s="10" t="inlineStr">
        <is>
          <t>Active</t>
        </is>
      </c>
    </row>
    <row r="15" ht="22" customHeight="1">
      <c r="B15" s="14" t="inlineStr">
        <is>
          <t>CLUB/011</t>
        </is>
      </c>
      <c r="C15" s="15" t="inlineStr">
        <is>
          <t>Quiz Club</t>
        </is>
      </c>
      <c r="D15" s="16" t="inlineStr">
        <is>
          <t>Quiz</t>
        </is>
      </c>
      <c r="E15" s="15" t="inlineStr"/>
      <c r="F15" s="15" t="inlineStr"/>
      <c r="G15" s="16" t="inlineStr"/>
      <c r="H15" s="16" t="inlineStr"/>
      <c r="I15" s="16" t="inlineStr"/>
      <c r="J15" s="16" t="inlineStr"/>
      <c r="K15" s="16" t="inlineStr">
        <is>
          <t>Active</t>
        </is>
      </c>
    </row>
    <row r="16" ht="22" customHeight="1">
      <c r="B16" s="8" t="inlineStr">
        <is>
          <t>CLUB/012</t>
        </is>
      </c>
      <c r="C16" s="9" t="inlineStr">
        <is>
          <t>Creative Writing &amp; Poetry Club</t>
        </is>
      </c>
      <c r="D16" s="10" t="inlineStr">
        <is>
          <t>Literary &amp; Debate</t>
        </is>
      </c>
      <c r="E16" s="9" t="inlineStr"/>
      <c r="F16" s="9" t="inlineStr"/>
      <c r="G16" s="10" t="inlineStr"/>
      <c r="H16" s="10" t="inlineStr"/>
      <c r="I16" s="10" t="inlineStr"/>
      <c r="J16" s="10" t="inlineStr"/>
      <c r="K16" s="10" t="inlineStr">
        <is>
          <t>Active</t>
        </is>
      </c>
    </row>
    <row r="17" ht="22" customHeight="1">
      <c r="B17" s="14" t="inlineStr">
        <is>
          <t>CLUB/013</t>
        </is>
      </c>
      <c r="C17" s="15" t="inlineStr">
        <is>
          <t>Literary Magazine Club</t>
        </is>
      </c>
      <c r="D17" s="16" t="inlineStr">
        <is>
          <t>Literary &amp; Debate</t>
        </is>
      </c>
      <c r="E17" s="15" t="inlineStr"/>
      <c r="F17" s="15" t="inlineStr"/>
      <c r="G17" s="16" t="inlineStr"/>
      <c r="H17" s="16" t="inlineStr"/>
      <c r="I17" s="16" t="inlineStr"/>
      <c r="J17" s="16" t="inlineStr"/>
      <c r="K17" s="16" t="inlineStr">
        <is>
          <t>Active</t>
        </is>
      </c>
    </row>
    <row r="18" ht="22" customHeight="1">
      <c r="B18" s="8" t="inlineStr">
        <is>
          <t>CLUB/014</t>
        </is>
      </c>
      <c r="C18" s="9" t="inlineStr">
        <is>
          <t>Film Making &amp; Screening Club</t>
        </is>
      </c>
      <c r="D18" s="10" t="inlineStr">
        <is>
          <t>Film &amp; Media</t>
        </is>
      </c>
      <c r="E18" s="9" t="inlineStr"/>
      <c r="F18" s="9" t="inlineStr"/>
      <c r="G18" s="10" t="inlineStr"/>
      <c r="H18" s="10" t="inlineStr"/>
      <c r="I18" s="10" t="inlineStr"/>
      <c r="J18" s="10" t="inlineStr"/>
      <c r="K18" s="10" t="inlineStr">
        <is>
          <t>Active</t>
        </is>
      </c>
    </row>
    <row r="19" ht="22" customHeight="1">
      <c r="B19" s="14" t="inlineStr">
        <is>
          <t>CLUB/015</t>
        </is>
      </c>
      <c r="C19" s="15" t="inlineStr">
        <is>
          <t>Craft, Origami &amp; Pottery Club</t>
        </is>
      </c>
      <c r="D19" s="16" t="inlineStr">
        <is>
          <t>Craft &amp; Design</t>
        </is>
      </c>
      <c r="E19" s="15" t="inlineStr"/>
      <c r="F19" s="15" t="inlineStr"/>
      <c r="G19" s="16" t="inlineStr"/>
      <c r="H19" s="16" t="inlineStr"/>
      <c r="I19" s="16" t="inlineStr"/>
      <c r="J19" s="16" t="inlineStr"/>
      <c r="K19" s="16" t="inlineStr">
        <is>
          <t>Active</t>
        </is>
      </c>
    </row>
    <row r="20" ht="22" customHeight="1">
      <c r="B20" s="8" t="inlineStr">
        <is>
          <t>CLUB/016</t>
        </is>
      </c>
      <c r="C20" s="9" t="inlineStr">
        <is>
          <t>Graphic Design &amp; Digital Arts Club</t>
        </is>
      </c>
      <c r="D20" s="10" t="inlineStr">
        <is>
          <t>Craft &amp; Design</t>
        </is>
      </c>
      <c r="E20" s="9" t="inlineStr"/>
      <c r="F20" s="9" t="inlineStr"/>
      <c r="G20" s="10" t="inlineStr"/>
      <c r="H20" s="10" t="inlineStr"/>
      <c r="I20" s="10" t="inlineStr"/>
      <c r="J20" s="10" t="inlineStr"/>
      <c r="K20" s="10" t="inlineStr">
        <is>
          <t>Active</t>
        </is>
      </c>
    </row>
    <row r="21" ht="22" customHeight="1">
      <c r="B21" s="14" t="inlineStr">
        <is>
          <t>CLUB/017</t>
        </is>
      </c>
      <c r="C21" s="15" t="inlineStr">
        <is>
          <t>Language Club (Hindi / Regional)</t>
        </is>
      </c>
      <c r="D21" s="16" t="inlineStr">
        <is>
          <t>Language &amp; Heritage</t>
        </is>
      </c>
      <c r="E21" s="15" t="inlineStr"/>
      <c r="F21" s="15" t="inlineStr"/>
      <c r="G21" s="16" t="inlineStr"/>
      <c r="H21" s="16" t="inlineStr"/>
      <c r="I21" s="16" t="inlineStr"/>
      <c r="J21" s="16" t="inlineStr"/>
      <c r="K21" s="16" t="inlineStr">
        <is>
          <t>Active</t>
        </is>
      </c>
    </row>
    <row r="22" ht="22" customHeight="1">
      <c r="B22" s="8" t="inlineStr">
        <is>
          <t>CLUB/018</t>
        </is>
      </c>
      <c r="C22" s="9" t="inlineStr">
        <is>
          <t>Folk Heritage &amp; Culture Club</t>
        </is>
      </c>
      <c r="D22" s="10" t="inlineStr">
        <is>
          <t>Language &amp; Heritage</t>
        </is>
      </c>
      <c r="E22" s="9" t="inlineStr"/>
      <c r="F22" s="9" t="inlineStr"/>
      <c r="G22" s="10" t="inlineStr"/>
      <c r="H22" s="10" t="inlineStr"/>
      <c r="I22" s="10" t="inlineStr"/>
      <c r="J22" s="10" t="inlineStr"/>
      <c r="K22" s="10" t="inlineStr">
        <is>
          <t>Active</t>
        </is>
      </c>
    </row>
    <row r="23" ht="22" customHeight="1">
      <c r="B23" s="14" t="inlineStr">
        <is>
          <t>CLUB/019</t>
        </is>
      </c>
      <c r="C23" s="15" t="inlineStr">
        <is>
          <t>Science Fiction &amp; Hobby Club</t>
        </is>
      </c>
      <c r="D23" s="16" t="inlineStr">
        <is>
          <t>Science Hobby</t>
        </is>
      </c>
      <c r="E23" s="15" t="inlineStr"/>
      <c r="F23" s="15" t="inlineStr"/>
      <c r="G23" s="16" t="inlineStr"/>
      <c r="H23" s="16" t="inlineStr"/>
      <c r="I23" s="16" t="inlineStr"/>
      <c r="J23" s="16" t="inlineStr"/>
      <c r="K23" s="16" t="inlineStr">
        <is>
          <t>Active</t>
        </is>
      </c>
    </row>
    <row r="24" ht="22" customHeight="1">
      <c r="B24" s="8" t="inlineStr">
        <is>
          <t>CLUB/020</t>
        </is>
      </c>
      <c r="C24" s="9" t="inlineStr">
        <is>
          <t>Robotics &amp; Tech Hobby Club</t>
        </is>
      </c>
      <c r="D24" s="10" t="inlineStr">
        <is>
          <t>Tech Hobby</t>
        </is>
      </c>
      <c r="E24" s="9" t="inlineStr"/>
      <c r="F24" s="9" t="inlineStr"/>
      <c r="G24" s="10" t="inlineStr"/>
      <c r="H24" s="10" t="inlineStr"/>
      <c r="I24" s="10" t="inlineStr"/>
      <c r="J24" s="10" t="inlineStr"/>
      <c r="K24" s="10" t="inlineStr">
        <is>
          <t>Active</t>
        </is>
      </c>
    </row>
    <row r="25" ht="22" customHeight="1">
      <c r="B25" s="14" t="inlineStr">
        <is>
          <t>CLUB/021</t>
        </is>
      </c>
      <c r="C25" s="15" t="inlineStr">
        <is>
          <t>Nature &amp; Environment Club</t>
        </is>
      </c>
      <c r="D25" s="16" t="inlineStr">
        <is>
          <t>Environmental</t>
        </is>
      </c>
      <c r="E25" s="15" t="inlineStr"/>
      <c r="F25" s="15" t="inlineStr"/>
      <c r="G25" s="16" t="inlineStr"/>
      <c r="H25" s="16" t="inlineStr"/>
      <c r="I25" s="16" t="inlineStr"/>
      <c r="J25" s="16" t="inlineStr"/>
      <c r="K25" s="16" t="inlineStr">
        <is>
          <t>Active</t>
        </is>
      </c>
    </row>
    <row r="26" ht="22" customHeight="1">
      <c r="B26" s="8" t="inlineStr">
        <is>
          <t>CLUB/022</t>
        </is>
      </c>
      <c r="C26" s="9" t="inlineStr">
        <is>
          <t>Social Responsibility Club</t>
        </is>
      </c>
      <c r="D26" s="10" t="inlineStr">
        <is>
          <t>Social Service</t>
        </is>
      </c>
      <c r="E26" s="9" t="inlineStr"/>
      <c r="F26" s="9" t="inlineStr"/>
      <c r="G26" s="10" t="inlineStr"/>
      <c r="H26" s="10" t="inlineStr"/>
      <c r="I26" s="10" t="inlineStr"/>
      <c r="J26" s="10" t="inlineStr"/>
      <c r="K26" s="10" t="inlineStr">
        <is>
          <t>Active</t>
        </is>
      </c>
    </row>
    <row r="27" ht="22" customHeight="1"/>
    <row r="28" ht="24" customHeight="1">
      <c r="B28" s="35" t="inlineStr">
        <is>
          <t>CLUB ECOSYSTEM SUMMARY</t>
        </is>
      </c>
    </row>
    <row r="29" ht="22" customHeight="1">
      <c r="B29" s="31" t="inlineStr">
        <is>
          <t>Category</t>
        </is>
      </c>
      <c r="C29" s="31" t="inlineStr">
        <is>
          <t>No. of
Clubs</t>
        </is>
      </c>
      <c r="D29" s="31" t="inlineStr">
        <is>
          <t>Total
Members</t>
        </is>
      </c>
      <c r="E29" s="31" t="inlineStr">
        <is>
          <t>Activities
Completed</t>
        </is>
      </c>
      <c r="F29" s="31" t="inlineStr">
        <is>
          <t>Events
Organised</t>
        </is>
      </c>
      <c r="G29" s="31" t="inlineStr">
        <is>
          <t>Awards
Won</t>
        </is>
      </c>
      <c r="H29" s="31" t="inlineStr">
        <is>
          <t>Best
Performing Club</t>
        </is>
      </c>
    </row>
    <row r="30" ht="22" customHeight="1">
      <c r="B30" s="33" t="inlineStr">
        <is>
          <t>Fine Arts &amp; Photography</t>
        </is>
      </c>
      <c r="C30" s="34" t="inlineStr"/>
      <c r="D30" s="34" t="inlineStr"/>
      <c r="E30" s="34" t="inlineStr"/>
      <c r="F30" s="34" t="inlineStr"/>
      <c r="G30" s="34" t="inlineStr"/>
      <c r="H30" s="33" t="inlineStr"/>
      <c r="I30" s="39" t="n"/>
      <c r="J30" s="39" t="n"/>
      <c r="K30" s="39" t="n"/>
    </row>
    <row r="31" ht="22" customHeight="1">
      <c r="B31" s="9" t="inlineStr">
        <is>
          <t>Music &amp; Dance</t>
        </is>
      </c>
      <c r="C31" s="10" t="inlineStr"/>
      <c r="D31" s="10" t="inlineStr"/>
      <c r="E31" s="10" t="inlineStr"/>
      <c r="F31" s="10" t="inlineStr"/>
      <c r="G31" s="10" t="inlineStr"/>
      <c r="H31" s="9" t="inlineStr"/>
      <c r="I31" s="40" t="n"/>
      <c r="J31" s="40" t="n"/>
      <c r="K31" s="40" t="n"/>
    </row>
    <row r="32" ht="22" customHeight="1">
      <c r="B32" s="33" t="inlineStr">
        <is>
          <t>Theatre &amp; Drama</t>
        </is>
      </c>
      <c r="C32" s="34" t="inlineStr"/>
      <c r="D32" s="34" t="inlineStr"/>
      <c r="E32" s="34" t="inlineStr"/>
      <c r="F32" s="34" t="inlineStr"/>
      <c r="G32" s="34" t="inlineStr"/>
      <c r="H32" s="33" t="inlineStr"/>
      <c r="I32" s="39" t="n"/>
      <c r="J32" s="39" t="n"/>
      <c r="K32" s="39" t="n"/>
    </row>
    <row r="33" ht="22" customHeight="1">
      <c r="B33" s="9" t="inlineStr">
        <is>
          <t>Literary &amp; Debate</t>
        </is>
      </c>
      <c r="C33" s="10" t="inlineStr"/>
      <c r="D33" s="10" t="inlineStr"/>
      <c r="E33" s="10" t="inlineStr"/>
      <c r="F33" s="10" t="inlineStr"/>
      <c r="G33" s="10" t="inlineStr"/>
      <c r="H33" s="9" t="inlineStr"/>
      <c r="I33" s="40" t="n"/>
      <c r="J33" s="40" t="n"/>
      <c r="K33" s="40" t="n"/>
    </row>
    <row r="34" ht="22" customHeight="1">
      <c r="B34" s="33" t="inlineStr">
        <is>
          <t>Quiz &amp; Media</t>
        </is>
      </c>
      <c r="C34" s="34" t="inlineStr"/>
      <c r="D34" s="34" t="inlineStr"/>
      <c r="E34" s="34" t="inlineStr"/>
      <c r="F34" s="34" t="inlineStr"/>
      <c r="G34" s="34" t="inlineStr"/>
      <c r="H34" s="33" t="inlineStr"/>
      <c r="I34" s="39" t="n"/>
      <c r="J34" s="39" t="n"/>
      <c r="K34" s="39" t="n"/>
    </row>
    <row r="35" ht="22" customHeight="1">
      <c r="B35" s="9" t="inlineStr">
        <is>
          <t>Craft &amp; Design</t>
        </is>
      </c>
      <c r="C35" s="10" t="inlineStr"/>
      <c r="D35" s="10" t="inlineStr"/>
      <c r="E35" s="10" t="inlineStr"/>
      <c r="F35" s="10" t="inlineStr"/>
      <c r="G35" s="10" t="inlineStr"/>
      <c r="H35" s="9" t="inlineStr"/>
      <c r="I35" s="40" t="n"/>
      <c r="J35" s="40" t="n"/>
      <c r="K35" s="40" t="n"/>
    </row>
    <row r="36">
      <c r="B36" s="33" t="inlineStr">
        <is>
          <t>Language &amp; Heritage</t>
        </is>
      </c>
      <c r="C36" s="34" t="inlineStr"/>
      <c r="D36" s="34" t="inlineStr"/>
      <c r="E36" s="34" t="inlineStr"/>
      <c r="F36" s="34" t="inlineStr"/>
      <c r="G36" s="34" t="inlineStr"/>
      <c r="H36" s="33" t="inlineStr"/>
      <c r="I36" s="39" t="n"/>
      <c r="J36" s="39" t="n"/>
      <c r="K36" s="39" t="n"/>
    </row>
    <row r="37">
      <c r="B37" s="9" t="inlineStr">
        <is>
          <t>Other Hobby Clubs</t>
        </is>
      </c>
      <c r="C37" s="10" t="inlineStr"/>
      <c r="D37" s="10" t="inlineStr"/>
      <c r="E37" s="10" t="inlineStr"/>
      <c r="F37" s="10" t="inlineStr"/>
      <c r="G37" s="10" t="inlineStr"/>
      <c r="H37" s="9" t="inlineStr"/>
      <c r="I37" s="40" t="n"/>
      <c r="J37" s="40" t="n"/>
      <c r="K37" s="40" t="n"/>
    </row>
    <row r="38">
      <c r="B38" s="24" t="inlineStr">
        <is>
          <t>TOTAL</t>
        </is>
      </c>
      <c r="C38" s="41" t="inlineStr"/>
      <c r="D38" s="41" t="inlineStr"/>
      <c r="E38" s="41" t="inlineStr"/>
      <c r="F38" s="41" t="inlineStr"/>
      <c r="G38" s="41" t="inlineStr"/>
      <c r="H38" s="24" t="inlineStr"/>
      <c r="I38" s="42" t="n"/>
      <c r="J38" s="42" t="n"/>
      <c r="K38" s="42" t="n"/>
    </row>
  </sheetData>
  <mergeCells count="3">
    <mergeCell ref="B28:K28"/>
    <mergeCell ref="B3:K3"/>
    <mergeCell ref="B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CLUB-03: CLUB MEMBERSHIP REGISTER</t>
        </is>
      </c>
    </row>
    <row r="3" ht="25" customHeight="1">
      <c r="B3" s="2" t="inlineStr">
        <is>
          <t>Club Name: _______  Club Ref.: _______  Faculty Advisor: ___________________  A.Y.: _______</t>
        </is>
      </c>
    </row>
    <row r="4" ht="25" customHeight="1">
      <c r="B4" s="13" t="inlineStr">
        <is>
          <t>Member
Ref.</t>
        </is>
      </c>
      <c r="C4" s="13" t="inlineStr">
        <is>
          <t>Student Name</t>
        </is>
      </c>
      <c r="D4" s="13" t="inlineStr">
        <is>
          <t>Roll No.</t>
        </is>
      </c>
      <c r="E4" s="13" t="inlineStr">
        <is>
          <t>Programme
&amp; Year</t>
        </is>
      </c>
      <c r="F4" s="13" t="inlineStr">
        <is>
          <t>Dept.</t>
        </is>
      </c>
      <c r="G4" s="13" t="inlineStr">
        <is>
          <t>Contact
No.</t>
        </is>
      </c>
      <c r="H4" s="13" t="inlineStr">
        <is>
          <t>Role in
Club</t>
        </is>
      </c>
      <c r="I4" s="13" t="inlineStr">
        <is>
          <t>Date of
Joining</t>
        </is>
      </c>
      <c r="J4" s="13" t="inlineStr">
        <is>
          <t>Status</t>
        </is>
      </c>
    </row>
    <row r="5" ht="22" customHeight="1">
      <c r="B5" s="14" t="inlineStr">
        <is>
          <t>MEM/0001</t>
        </is>
      </c>
      <c r="C5" s="15" t="inlineStr"/>
      <c r="D5" s="16" t="inlineStr"/>
      <c r="E5" s="16" t="inlineStr"/>
      <c r="F5" s="16" t="inlineStr"/>
      <c r="G5" s="16" t="inlineStr"/>
      <c r="H5" s="16" t="inlineStr">
        <is>
          <t>President</t>
        </is>
      </c>
      <c r="I5" s="16" t="inlineStr"/>
      <c r="J5" s="16" t="inlineStr">
        <is>
          <t>Active</t>
        </is>
      </c>
    </row>
    <row r="6" ht="22" customHeight="1">
      <c r="B6" s="8" t="inlineStr">
        <is>
          <t>MEM/0002</t>
        </is>
      </c>
      <c r="C6" s="9" t="inlineStr"/>
      <c r="D6" s="10" t="inlineStr"/>
      <c r="E6" s="10" t="inlineStr"/>
      <c r="F6" s="10" t="inlineStr"/>
      <c r="G6" s="10" t="inlineStr"/>
      <c r="H6" s="10" t="inlineStr">
        <is>
          <t>Vice-President</t>
        </is>
      </c>
      <c r="I6" s="10" t="inlineStr"/>
      <c r="J6" s="10" t="inlineStr">
        <is>
          <t>Active</t>
        </is>
      </c>
    </row>
    <row r="7" ht="22" customHeight="1">
      <c r="B7" s="14" t="inlineStr">
        <is>
          <t>MEM/0003</t>
        </is>
      </c>
      <c r="C7" s="15" t="inlineStr"/>
      <c r="D7" s="16" t="inlineStr"/>
      <c r="E7" s="16" t="inlineStr"/>
      <c r="F7" s="16" t="inlineStr"/>
      <c r="G7" s="16" t="inlineStr"/>
      <c r="H7" s="16" t="inlineStr">
        <is>
          <t>Secretary</t>
        </is>
      </c>
      <c r="I7" s="16" t="inlineStr"/>
      <c r="J7" s="16" t="inlineStr">
        <is>
          <t>Active</t>
        </is>
      </c>
    </row>
    <row r="8" ht="22" customHeight="1">
      <c r="B8" s="8" t="inlineStr">
        <is>
          <t>MEM/0004</t>
        </is>
      </c>
      <c r="C8" s="9" t="inlineStr"/>
      <c r="D8" s="10" t="inlineStr"/>
      <c r="E8" s="10" t="inlineStr"/>
      <c r="F8" s="10" t="inlineStr"/>
      <c r="G8" s="10" t="inlineStr"/>
      <c r="H8" s="10" t="inlineStr">
        <is>
          <t>Treasurer</t>
        </is>
      </c>
      <c r="I8" s="10" t="inlineStr"/>
      <c r="J8" s="10" t="inlineStr">
        <is>
          <t>Active</t>
        </is>
      </c>
    </row>
    <row r="9" ht="22" customHeight="1">
      <c r="B9" s="14" t="inlineStr">
        <is>
          <t>MEM/0005</t>
        </is>
      </c>
      <c r="C9" s="15" t="inlineStr"/>
      <c r="D9" s="16" t="inlineStr"/>
      <c r="E9" s="16" t="inlineStr"/>
      <c r="F9" s="16" t="inlineStr"/>
      <c r="G9" s="16" t="inlineStr"/>
      <c r="H9" s="16" t="inlineStr">
        <is>
          <t>Event Coordinator</t>
        </is>
      </c>
      <c r="I9" s="16" t="inlineStr"/>
      <c r="J9" s="16" t="inlineStr">
        <is>
          <t>Active</t>
        </is>
      </c>
    </row>
    <row r="10" ht="22" customHeight="1">
      <c r="B10" s="8" t="inlineStr">
        <is>
          <t>MEM/0006</t>
        </is>
      </c>
      <c r="C10" s="9" t="inlineStr"/>
      <c r="D10" s="10" t="inlineStr"/>
      <c r="E10" s="10" t="inlineStr"/>
      <c r="F10" s="10" t="inlineStr"/>
      <c r="G10" s="10" t="inlineStr"/>
      <c r="H10" s="10" t="inlineStr">
        <is>
          <t>Creative Head</t>
        </is>
      </c>
      <c r="I10" s="10" t="inlineStr"/>
      <c r="J10" s="10" t="inlineStr">
        <is>
          <t>Active</t>
        </is>
      </c>
    </row>
    <row r="11" ht="22" customHeight="1">
      <c r="B11" s="14" t="inlineStr">
        <is>
          <t>MEM/0007</t>
        </is>
      </c>
      <c r="C11" s="15" t="inlineStr"/>
      <c r="D11" s="16" t="inlineStr"/>
      <c r="E11" s="16" t="inlineStr"/>
      <c r="F11" s="16" t="inlineStr"/>
      <c r="G11" s="16" t="inlineStr"/>
      <c r="H11" s="16" t="inlineStr">
        <is>
          <t>Technical Head</t>
        </is>
      </c>
      <c r="I11" s="16" t="inlineStr"/>
      <c r="J11" s="16" t="inlineStr">
        <is>
          <t>Active</t>
        </is>
      </c>
    </row>
    <row r="12" ht="22" customHeight="1">
      <c r="B12" s="8" t="inlineStr">
        <is>
          <t>MEM/0008</t>
        </is>
      </c>
      <c r="C12" s="9" t="inlineStr"/>
      <c r="D12" s="10" t="inlineStr"/>
      <c r="E12" s="10" t="inlineStr"/>
      <c r="F12" s="10" t="inlineStr"/>
      <c r="G12" s="10" t="inlineStr"/>
      <c r="H12" s="10" t="inlineStr">
        <is>
          <t>Media Manager</t>
        </is>
      </c>
      <c r="I12" s="10" t="inlineStr"/>
      <c r="J12" s="10" t="inlineStr">
        <is>
          <t>Active</t>
        </is>
      </c>
    </row>
    <row r="13" ht="22" customHeight="1">
      <c r="B13" s="14" t="inlineStr">
        <is>
          <t>MEM/0009</t>
        </is>
      </c>
      <c r="C13" s="15" t="inlineStr"/>
      <c r="D13" s="16" t="inlineStr"/>
      <c r="E13" s="16" t="inlineStr"/>
      <c r="F13" s="16" t="inlineStr"/>
      <c r="G13" s="16" t="inlineStr"/>
      <c r="H13" s="16" t="inlineStr">
        <is>
          <t>Member</t>
        </is>
      </c>
      <c r="I13" s="16" t="inlineStr"/>
      <c r="J13" s="16" t="inlineStr">
        <is>
          <t>Active</t>
        </is>
      </c>
    </row>
    <row r="14" ht="22" customHeight="1">
      <c r="B14" s="8" t="inlineStr">
        <is>
          <t>MEM/0010</t>
        </is>
      </c>
      <c r="C14" s="9" t="inlineStr"/>
      <c r="D14" s="10" t="inlineStr"/>
      <c r="E14" s="10" t="inlineStr"/>
      <c r="F14" s="10" t="inlineStr"/>
      <c r="G14" s="10" t="inlineStr"/>
      <c r="H14" s="10" t="inlineStr">
        <is>
          <t>Probationary Member</t>
        </is>
      </c>
      <c r="I14" s="10" t="inlineStr"/>
      <c r="J14" s="10" t="inlineStr">
        <is>
          <t>Active</t>
        </is>
      </c>
    </row>
    <row r="15" ht="22" customHeight="1">
      <c r="B15" s="14" t="inlineStr">
        <is>
          <t>MEM/0011</t>
        </is>
      </c>
      <c r="C15" s="15" t="inlineStr"/>
      <c r="D15" s="16" t="inlineStr"/>
      <c r="E15" s="16" t="inlineStr"/>
      <c r="F15" s="16" t="inlineStr"/>
      <c r="G15" s="16" t="inlineStr"/>
      <c r="H15" s="16" t="inlineStr">
        <is>
          <t>President</t>
        </is>
      </c>
      <c r="I15" s="16" t="inlineStr"/>
      <c r="J15" s="16" t="inlineStr">
        <is>
          <t>Active</t>
        </is>
      </c>
    </row>
    <row r="16" ht="22" customHeight="1">
      <c r="B16" s="8" t="inlineStr">
        <is>
          <t>MEM/0012</t>
        </is>
      </c>
      <c r="C16" s="9" t="inlineStr"/>
      <c r="D16" s="10" t="inlineStr"/>
      <c r="E16" s="10" t="inlineStr"/>
      <c r="F16" s="10" t="inlineStr"/>
      <c r="G16" s="10" t="inlineStr"/>
      <c r="H16" s="10" t="inlineStr">
        <is>
          <t>Vice-President</t>
        </is>
      </c>
      <c r="I16" s="10" t="inlineStr"/>
      <c r="J16" s="10" t="inlineStr">
        <is>
          <t>Active</t>
        </is>
      </c>
    </row>
    <row r="17" ht="22" customHeight="1">
      <c r="B17" s="14" t="inlineStr">
        <is>
          <t>MEM/0013</t>
        </is>
      </c>
      <c r="C17" s="15" t="inlineStr"/>
      <c r="D17" s="16" t="inlineStr"/>
      <c r="E17" s="16" t="inlineStr"/>
      <c r="F17" s="16" t="inlineStr"/>
      <c r="G17" s="16" t="inlineStr"/>
      <c r="H17" s="16" t="inlineStr">
        <is>
          <t>Secretary</t>
        </is>
      </c>
      <c r="I17" s="16" t="inlineStr"/>
      <c r="J17" s="16" t="inlineStr">
        <is>
          <t>Active</t>
        </is>
      </c>
    </row>
    <row r="18" ht="22" customHeight="1">
      <c r="B18" s="8" t="inlineStr">
        <is>
          <t>MEM/0014</t>
        </is>
      </c>
      <c r="C18" s="9" t="inlineStr"/>
      <c r="D18" s="10" t="inlineStr"/>
      <c r="E18" s="10" t="inlineStr"/>
      <c r="F18" s="10" t="inlineStr"/>
      <c r="G18" s="10" t="inlineStr"/>
      <c r="H18" s="10" t="inlineStr">
        <is>
          <t>Treasurer</t>
        </is>
      </c>
      <c r="I18" s="10" t="inlineStr"/>
      <c r="J18" s="10" t="inlineStr">
        <is>
          <t>Active</t>
        </is>
      </c>
    </row>
    <row r="19" ht="22" customHeight="1">
      <c r="B19" s="14" t="inlineStr">
        <is>
          <t>MEM/0015</t>
        </is>
      </c>
      <c r="C19" s="15" t="inlineStr"/>
      <c r="D19" s="16" t="inlineStr"/>
      <c r="E19" s="16" t="inlineStr"/>
      <c r="F19" s="16" t="inlineStr"/>
      <c r="G19" s="16" t="inlineStr"/>
      <c r="H19" s="16" t="inlineStr">
        <is>
          <t>Event Coordinator</t>
        </is>
      </c>
      <c r="I19" s="16" t="inlineStr"/>
      <c r="J19" s="16" t="inlineStr">
        <is>
          <t>Active</t>
        </is>
      </c>
    </row>
    <row r="20" ht="22" customHeight="1">
      <c r="B20" s="8" t="inlineStr">
        <is>
          <t>MEM/0016</t>
        </is>
      </c>
      <c r="C20" s="9" t="inlineStr"/>
      <c r="D20" s="10" t="inlineStr"/>
      <c r="E20" s="10" t="inlineStr"/>
      <c r="F20" s="10" t="inlineStr"/>
      <c r="G20" s="10" t="inlineStr"/>
      <c r="H20" s="10" t="inlineStr">
        <is>
          <t>Creative Head</t>
        </is>
      </c>
      <c r="I20" s="10" t="inlineStr"/>
      <c r="J20" s="10" t="inlineStr">
        <is>
          <t>Active</t>
        </is>
      </c>
    </row>
    <row r="21" ht="22" customHeight="1">
      <c r="B21" s="14" t="inlineStr">
        <is>
          <t>MEM/0017</t>
        </is>
      </c>
      <c r="C21" s="15" t="inlineStr"/>
      <c r="D21" s="16" t="inlineStr"/>
      <c r="E21" s="16" t="inlineStr"/>
      <c r="F21" s="16" t="inlineStr"/>
      <c r="G21" s="16" t="inlineStr"/>
      <c r="H21" s="16" t="inlineStr">
        <is>
          <t>Technical Head</t>
        </is>
      </c>
      <c r="I21" s="16" t="inlineStr"/>
      <c r="J21" s="16" t="inlineStr">
        <is>
          <t>Active</t>
        </is>
      </c>
    </row>
    <row r="22" ht="22" customHeight="1">
      <c r="B22" s="8" t="inlineStr">
        <is>
          <t>MEM/0018</t>
        </is>
      </c>
      <c r="C22" s="9" t="inlineStr"/>
      <c r="D22" s="10" t="inlineStr"/>
      <c r="E22" s="10" t="inlineStr"/>
      <c r="F22" s="10" t="inlineStr"/>
      <c r="G22" s="10" t="inlineStr"/>
      <c r="H22" s="10" t="inlineStr">
        <is>
          <t>Media Manager</t>
        </is>
      </c>
      <c r="I22" s="10" t="inlineStr"/>
      <c r="J22" s="10" t="inlineStr">
        <is>
          <t>Active</t>
        </is>
      </c>
    </row>
    <row r="23" ht="22" customHeight="1">
      <c r="B23" s="14" t="inlineStr">
        <is>
          <t>MEM/0019</t>
        </is>
      </c>
      <c r="C23" s="15" t="inlineStr"/>
      <c r="D23" s="16" t="inlineStr"/>
      <c r="E23" s="16" t="inlineStr"/>
      <c r="F23" s="16" t="inlineStr"/>
      <c r="G23" s="16" t="inlineStr"/>
      <c r="H23" s="16" t="inlineStr">
        <is>
          <t>Member</t>
        </is>
      </c>
      <c r="I23" s="16" t="inlineStr"/>
      <c r="J23" s="16" t="inlineStr">
        <is>
          <t>Active</t>
        </is>
      </c>
    </row>
    <row r="24" ht="22" customHeight="1">
      <c r="B24" s="8" t="inlineStr">
        <is>
          <t>MEM/0020</t>
        </is>
      </c>
      <c r="C24" s="9" t="inlineStr"/>
      <c r="D24" s="10" t="inlineStr"/>
      <c r="E24" s="10" t="inlineStr"/>
      <c r="F24" s="10" t="inlineStr"/>
      <c r="G24" s="10" t="inlineStr"/>
      <c r="H24" s="10" t="inlineStr">
        <is>
          <t>Probationary Member</t>
        </is>
      </c>
      <c r="I24" s="10" t="inlineStr"/>
      <c r="J24" s="10" t="inlineStr">
        <is>
          <t>Active</t>
        </is>
      </c>
    </row>
    <row r="25" ht="22" customHeight="1">
      <c r="B25" s="14" t="inlineStr">
        <is>
          <t>MEM/0021</t>
        </is>
      </c>
      <c r="C25" s="15" t="inlineStr"/>
      <c r="D25" s="16" t="inlineStr"/>
      <c r="E25" s="16" t="inlineStr"/>
      <c r="F25" s="16" t="inlineStr"/>
      <c r="G25" s="16" t="inlineStr"/>
      <c r="H25" s="16" t="inlineStr">
        <is>
          <t>President</t>
        </is>
      </c>
      <c r="I25" s="16" t="inlineStr"/>
      <c r="J25" s="16" t="inlineStr">
        <is>
          <t>Active</t>
        </is>
      </c>
    </row>
    <row r="26" ht="22" customHeight="1">
      <c r="B26" s="8" t="inlineStr">
        <is>
          <t>MEM/0022</t>
        </is>
      </c>
      <c r="C26" s="9" t="inlineStr"/>
      <c r="D26" s="10" t="inlineStr"/>
      <c r="E26" s="10" t="inlineStr"/>
      <c r="F26" s="10" t="inlineStr"/>
      <c r="G26" s="10" t="inlineStr"/>
      <c r="H26" s="10" t="inlineStr">
        <is>
          <t>Vice-President</t>
        </is>
      </c>
      <c r="I26" s="10" t="inlineStr"/>
      <c r="J26" s="10" t="inlineStr">
        <is>
          <t>Active</t>
        </is>
      </c>
    </row>
    <row r="27" ht="22" customHeight="1">
      <c r="B27" s="14" t="inlineStr">
        <is>
          <t>MEM/0023</t>
        </is>
      </c>
      <c r="C27" s="15" t="inlineStr"/>
      <c r="D27" s="16" t="inlineStr"/>
      <c r="E27" s="16" t="inlineStr"/>
      <c r="F27" s="16" t="inlineStr"/>
      <c r="G27" s="16" t="inlineStr"/>
      <c r="H27" s="16" t="inlineStr">
        <is>
          <t>Secretary</t>
        </is>
      </c>
      <c r="I27" s="16" t="inlineStr"/>
      <c r="J27" s="16" t="inlineStr">
        <is>
          <t>Active</t>
        </is>
      </c>
    </row>
    <row r="28" ht="22" customHeight="1">
      <c r="B28" s="8" t="inlineStr">
        <is>
          <t>MEM/0024</t>
        </is>
      </c>
      <c r="C28" s="9" t="inlineStr"/>
      <c r="D28" s="10" t="inlineStr"/>
      <c r="E28" s="10" t="inlineStr"/>
      <c r="F28" s="10" t="inlineStr"/>
      <c r="G28" s="10" t="inlineStr"/>
      <c r="H28" s="10" t="inlineStr">
        <is>
          <t>Treasurer</t>
        </is>
      </c>
      <c r="I28" s="10" t="inlineStr"/>
      <c r="J28" s="10" t="inlineStr">
        <is>
          <t>Active</t>
        </is>
      </c>
    </row>
    <row r="29" ht="22" customHeight="1">
      <c r="B29" s="14" t="inlineStr">
        <is>
          <t>MEM/0025</t>
        </is>
      </c>
      <c r="C29" s="15" t="inlineStr"/>
      <c r="D29" s="16" t="inlineStr"/>
      <c r="E29" s="16" t="inlineStr"/>
      <c r="F29" s="16" t="inlineStr"/>
      <c r="G29" s="16" t="inlineStr"/>
      <c r="H29" s="16" t="inlineStr">
        <is>
          <t>Event Coordinator</t>
        </is>
      </c>
      <c r="I29" s="16" t="inlineStr"/>
      <c r="J29" s="16" t="inlineStr">
        <is>
          <t>Active</t>
        </is>
      </c>
    </row>
    <row r="30" ht="22" customHeight="1">
      <c r="B30" s="8" t="inlineStr">
        <is>
          <t>MEM/0026</t>
        </is>
      </c>
      <c r="C30" s="9" t="inlineStr"/>
      <c r="D30" s="10" t="inlineStr"/>
      <c r="E30" s="10" t="inlineStr"/>
      <c r="F30" s="10" t="inlineStr"/>
      <c r="G30" s="10" t="inlineStr"/>
      <c r="H30" s="10" t="inlineStr">
        <is>
          <t>Creative Head</t>
        </is>
      </c>
      <c r="I30" s="10" t="inlineStr"/>
      <c r="J30" s="10" t="inlineStr">
        <is>
          <t>Active</t>
        </is>
      </c>
    </row>
    <row r="31" ht="22" customHeight="1">
      <c r="B31" s="14" t="inlineStr">
        <is>
          <t>MEM/0027</t>
        </is>
      </c>
      <c r="C31" s="15" t="inlineStr"/>
      <c r="D31" s="16" t="inlineStr"/>
      <c r="E31" s="16" t="inlineStr"/>
      <c r="F31" s="16" t="inlineStr"/>
      <c r="G31" s="16" t="inlineStr"/>
      <c r="H31" s="16" t="inlineStr">
        <is>
          <t>Technical Head</t>
        </is>
      </c>
      <c r="I31" s="16" t="inlineStr"/>
      <c r="J31" s="16" t="inlineStr">
        <is>
          <t>Active</t>
        </is>
      </c>
    </row>
    <row r="32" ht="22" customHeight="1">
      <c r="B32" s="8" t="inlineStr">
        <is>
          <t>MEM/0028</t>
        </is>
      </c>
      <c r="C32" s="9" t="inlineStr"/>
      <c r="D32" s="10" t="inlineStr"/>
      <c r="E32" s="10" t="inlineStr"/>
      <c r="F32" s="10" t="inlineStr"/>
      <c r="G32" s="10" t="inlineStr"/>
      <c r="H32" s="10" t="inlineStr">
        <is>
          <t>Media Manager</t>
        </is>
      </c>
      <c r="I32" s="10" t="inlineStr"/>
      <c r="J32" s="10" t="inlineStr">
        <is>
          <t>Active</t>
        </is>
      </c>
    </row>
    <row r="33" ht="22" customHeight="1">
      <c r="B33" s="14" t="inlineStr">
        <is>
          <t>MEM/0029</t>
        </is>
      </c>
      <c r="C33" s="15" t="inlineStr"/>
      <c r="D33" s="16" t="inlineStr"/>
      <c r="E33" s="16" t="inlineStr"/>
      <c r="F33" s="16" t="inlineStr"/>
      <c r="G33" s="16" t="inlineStr"/>
      <c r="H33" s="16" t="inlineStr">
        <is>
          <t>Member</t>
        </is>
      </c>
      <c r="I33" s="16" t="inlineStr"/>
      <c r="J33" s="16" t="inlineStr">
        <is>
          <t>Active</t>
        </is>
      </c>
    </row>
    <row r="34" ht="22" customHeight="1">
      <c r="B34" s="8" t="inlineStr">
        <is>
          <t>MEM/0030</t>
        </is>
      </c>
      <c r="C34" s="9" t="inlineStr"/>
      <c r="D34" s="10" t="inlineStr"/>
      <c r="E34" s="10" t="inlineStr"/>
      <c r="F34" s="10" t="inlineStr"/>
      <c r="G34" s="10" t="inlineStr"/>
      <c r="H34" s="10" t="inlineStr">
        <is>
          <t>Probationary Member</t>
        </is>
      </c>
      <c r="I34" s="10" t="inlineStr"/>
      <c r="J34" s="10" t="inlineStr">
        <is>
          <t>Active</t>
        </is>
      </c>
    </row>
    <row r="35" ht="22" customHeight="1"/>
    <row r="36" ht="24" customHeight="1">
      <c r="B36" s="35" t="inlineStr">
        <is>
          <t>MEMBERSHIP SUMMARY</t>
        </is>
      </c>
    </row>
    <row r="37" ht="22" customHeight="1">
      <c r="B37" s="43" t="inlineStr">
        <is>
          <t>Total Members</t>
        </is>
      </c>
      <c r="F37" s="37">
        <f>COUNTA(B5:B34)</f>
        <v/>
      </c>
    </row>
    <row r="38" ht="22" customHeight="1">
      <c r="B38" s="26" t="inlineStr">
        <is>
          <t>Active Members</t>
        </is>
      </c>
      <c r="F38" s="38">
        <f>COUNTIF(J5:J34,"Active")</f>
        <v/>
      </c>
    </row>
    <row r="39" ht="22" customHeight="1">
      <c r="B39" s="43" t="inlineStr">
        <is>
          <t>Male Members</t>
        </is>
      </c>
      <c r="F39" s="37" t="inlineStr"/>
    </row>
    <row r="40">
      <c r="B40" s="26" t="inlineStr">
        <is>
          <t>Female Members</t>
        </is>
      </c>
      <c r="F40" s="38" t="inlineStr"/>
    </row>
    <row r="41">
      <c r="B41" s="43" t="inlineStr">
        <is>
          <t>Year-wise (I Year)</t>
        </is>
      </c>
      <c r="F41" s="37" t="inlineStr"/>
    </row>
    <row r="42">
      <c r="B42" s="26" t="inlineStr">
        <is>
          <t>Committee Roles (Officers)</t>
        </is>
      </c>
      <c r="F42" s="38" t="inlineStr"/>
    </row>
  </sheetData>
  <mergeCells count="15">
    <mergeCell ref="B40:E40"/>
    <mergeCell ref="B41:E41"/>
    <mergeCell ref="B3:J3"/>
    <mergeCell ref="F37:J37"/>
    <mergeCell ref="F39:J39"/>
    <mergeCell ref="B36:J36"/>
    <mergeCell ref="F38:J38"/>
    <mergeCell ref="B38:E38"/>
    <mergeCell ref="F42:J42"/>
    <mergeCell ref="B39:E39"/>
    <mergeCell ref="B37:E37"/>
    <mergeCell ref="F41:J41"/>
    <mergeCell ref="B42:E42"/>
    <mergeCell ref="F40:J40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CLUB-07: CLUB ATTENDANCE &amp; REHEARSAL / SESSION LOG</t>
        </is>
      </c>
    </row>
    <row r="3" ht="25" customHeight="1">
      <c r="B3" s="2" t="inlineStr">
        <is>
          <t>Club: _______  Faculty Advisor: ___________________  Month: _______  A.Y.: _______</t>
        </is>
      </c>
    </row>
    <row r="4" ht="25" customHeight="1">
      <c r="B4" s="13" t="inlineStr">
        <is>
          <t>Session
No.</t>
        </is>
      </c>
      <c r="C4" s="13" t="inlineStr">
        <is>
          <t>Date</t>
        </is>
      </c>
      <c r="D4" s="13" t="inlineStr">
        <is>
          <t>Session
Type</t>
        </is>
      </c>
      <c r="E4" s="13" t="inlineStr">
        <is>
          <t>Venue</t>
        </is>
      </c>
      <c r="F4" s="13" t="inlineStr">
        <is>
          <t>Topic /
Activity</t>
        </is>
      </c>
      <c r="G4" s="13" t="inlineStr">
        <is>
          <t>Duration
(hrs)</t>
        </is>
      </c>
      <c r="H4" s="13" t="inlineStr">
        <is>
          <t>Members
Present</t>
        </is>
      </c>
      <c r="I4" s="13" t="inlineStr">
        <is>
          <t>Members
Absent</t>
        </is>
      </c>
      <c r="J4" s="13" t="inlineStr">
        <is>
          <t>Attendance
%</t>
        </is>
      </c>
      <c r="K4" s="13" t="inlineStr">
        <is>
          <t>Session
Notes</t>
        </is>
      </c>
    </row>
    <row r="5" ht="22" customHeight="1">
      <c r="B5" s="14" t="n">
        <v>1</v>
      </c>
      <c r="C5" s="16" t="inlineStr"/>
      <c r="D5" s="16" t="inlineStr">
        <is>
          <t>Rehearsal</t>
        </is>
      </c>
      <c r="E5" s="16" t="inlineStr"/>
      <c r="F5" s="15" t="inlineStr"/>
      <c r="G5" s="16" t="inlineStr"/>
      <c r="H5" s="16" t="inlineStr"/>
      <c r="I5" s="16" t="inlineStr"/>
      <c r="J5" s="44">
        <f>IFERROR(ROUND(H5/(H5+I5)*100,1),"")</f>
        <v/>
      </c>
      <c r="K5" s="15" t="inlineStr"/>
    </row>
    <row r="6" ht="22" customHeight="1">
      <c r="B6" s="8" t="n">
        <v>2</v>
      </c>
      <c r="C6" s="10" t="inlineStr"/>
      <c r="D6" s="10" t="inlineStr">
        <is>
          <t>Practice Session</t>
        </is>
      </c>
      <c r="E6" s="10" t="inlineStr"/>
      <c r="F6" s="9" t="inlineStr"/>
      <c r="G6" s="10" t="inlineStr"/>
      <c r="H6" s="10" t="inlineStr"/>
      <c r="I6" s="10" t="inlineStr"/>
      <c r="J6" s="38">
        <f>IFERROR(ROUND(H6/(H6+I6)*100,1),"")</f>
        <v/>
      </c>
      <c r="K6" s="9" t="inlineStr"/>
    </row>
    <row r="7" ht="22" customHeight="1">
      <c r="B7" s="14" t="n">
        <v>3</v>
      </c>
      <c r="C7" s="16" t="inlineStr"/>
      <c r="D7" s="16" t="inlineStr">
        <is>
          <t>Workshop</t>
        </is>
      </c>
      <c r="E7" s="16" t="inlineStr"/>
      <c r="F7" s="15" t="inlineStr"/>
      <c r="G7" s="16" t="inlineStr"/>
      <c r="H7" s="16" t="inlineStr"/>
      <c r="I7" s="16" t="inlineStr"/>
      <c r="J7" s="44">
        <f>IFERROR(ROUND(H7/(H7+I7)*100,1),"")</f>
        <v/>
      </c>
      <c r="K7" s="15" t="inlineStr"/>
    </row>
    <row r="8" ht="22" customHeight="1">
      <c r="B8" s="8" t="n">
        <v>4</v>
      </c>
      <c r="C8" s="10" t="inlineStr"/>
      <c r="D8" s="10" t="inlineStr">
        <is>
          <t>Competition Prep</t>
        </is>
      </c>
      <c r="E8" s="10" t="inlineStr"/>
      <c r="F8" s="9" t="inlineStr"/>
      <c r="G8" s="10" t="inlineStr"/>
      <c r="H8" s="10" t="inlineStr"/>
      <c r="I8" s="10" t="inlineStr"/>
      <c r="J8" s="38">
        <f>IFERROR(ROUND(H8/(H8+I8)*100,1),"")</f>
        <v/>
      </c>
      <c r="K8" s="9" t="inlineStr"/>
    </row>
    <row r="9" ht="22" customHeight="1">
      <c r="B9" s="14" t="n">
        <v>5</v>
      </c>
      <c r="C9" s="16" t="inlineStr"/>
      <c r="D9" s="16" t="inlineStr">
        <is>
          <t>Audition</t>
        </is>
      </c>
      <c r="E9" s="16" t="inlineStr"/>
      <c r="F9" s="15" t="inlineStr"/>
      <c r="G9" s="16" t="inlineStr"/>
      <c r="H9" s="16" t="inlineStr"/>
      <c r="I9" s="16" t="inlineStr"/>
      <c r="J9" s="44">
        <f>IFERROR(ROUND(H9/(H9+I9)*100,1),"")</f>
        <v/>
      </c>
      <c r="K9" s="15" t="inlineStr"/>
    </row>
    <row r="10" ht="22" customHeight="1">
      <c r="B10" s="8" t="n">
        <v>6</v>
      </c>
      <c r="C10" s="10" t="inlineStr"/>
      <c r="D10" s="10" t="inlineStr">
        <is>
          <t>Performance</t>
        </is>
      </c>
      <c r="E10" s="10" t="inlineStr"/>
      <c r="F10" s="9" t="inlineStr"/>
      <c r="G10" s="10" t="inlineStr"/>
      <c r="H10" s="10" t="inlineStr"/>
      <c r="I10" s="10" t="inlineStr"/>
      <c r="J10" s="38">
        <f>IFERROR(ROUND(H10/(H10+I10)*100,1),"")</f>
        <v/>
      </c>
      <c r="K10" s="9" t="inlineStr"/>
    </row>
    <row r="11" ht="22" customHeight="1">
      <c r="B11" s="14" t="n">
        <v>7</v>
      </c>
      <c r="C11" s="16" t="inlineStr"/>
      <c r="D11" s="16" t="inlineStr">
        <is>
          <t>Exhibition Prep</t>
        </is>
      </c>
      <c r="E11" s="16" t="inlineStr"/>
      <c r="F11" s="15" t="inlineStr"/>
      <c r="G11" s="16" t="inlineStr"/>
      <c r="H11" s="16" t="inlineStr"/>
      <c r="I11" s="16" t="inlineStr"/>
      <c r="J11" s="44">
        <f>IFERROR(ROUND(H11/(H11+I11)*100,1),"")</f>
        <v/>
      </c>
      <c r="K11" s="15" t="inlineStr"/>
    </row>
    <row r="12" ht="22" customHeight="1">
      <c r="B12" s="8" t="n">
        <v>8</v>
      </c>
      <c r="C12" s="10" t="inlineStr"/>
      <c r="D12" s="10" t="inlineStr">
        <is>
          <t>Meeting</t>
        </is>
      </c>
      <c r="E12" s="10" t="inlineStr"/>
      <c r="F12" s="9" t="inlineStr"/>
      <c r="G12" s="10" t="inlineStr"/>
      <c r="H12" s="10" t="inlineStr"/>
      <c r="I12" s="10" t="inlineStr"/>
      <c r="J12" s="38">
        <f>IFERROR(ROUND(H12/(H12+I12)*100,1),"")</f>
        <v/>
      </c>
      <c r="K12" s="9" t="inlineStr"/>
    </row>
    <row r="13" ht="22" customHeight="1">
      <c r="B13" s="14" t="n">
        <v>9</v>
      </c>
      <c r="C13" s="16" t="inlineStr"/>
      <c r="D13" s="16" t="inlineStr">
        <is>
          <t>Guest Lecture</t>
        </is>
      </c>
      <c r="E13" s="16" t="inlineStr"/>
      <c r="F13" s="15" t="inlineStr"/>
      <c r="G13" s="16" t="inlineStr"/>
      <c r="H13" s="16" t="inlineStr"/>
      <c r="I13" s="16" t="inlineStr"/>
      <c r="J13" s="44">
        <f>IFERROR(ROUND(H13/(H13+I13)*100,1),"")</f>
        <v/>
      </c>
      <c r="K13" s="15" t="inlineStr"/>
    </row>
    <row r="14" ht="22" customHeight="1">
      <c r="B14" s="8" t="n">
        <v>10</v>
      </c>
      <c r="C14" s="10" t="inlineStr"/>
      <c r="D14" s="10" t="inlineStr">
        <is>
          <t>Recording Session</t>
        </is>
      </c>
      <c r="E14" s="10" t="inlineStr"/>
      <c r="F14" s="9" t="inlineStr"/>
      <c r="G14" s="10" t="inlineStr"/>
      <c r="H14" s="10" t="inlineStr"/>
      <c r="I14" s="10" t="inlineStr"/>
      <c r="J14" s="38">
        <f>IFERROR(ROUND(H14/(H14+I14)*100,1),"")</f>
        <v/>
      </c>
      <c r="K14" s="9" t="inlineStr"/>
    </row>
    <row r="15" ht="22" customHeight="1">
      <c r="B15" s="14" t="n">
        <v>11</v>
      </c>
      <c r="C15" s="16" t="inlineStr"/>
      <c r="D15" s="16" t="inlineStr">
        <is>
          <t>Film Shoot</t>
        </is>
      </c>
      <c r="E15" s="16" t="inlineStr"/>
      <c r="F15" s="15" t="inlineStr"/>
      <c r="G15" s="16" t="inlineStr"/>
      <c r="H15" s="16" t="inlineStr"/>
      <c r="I15" s="16" t="inlineStr"/>
      <c r="J15" s="44">
        <f>IFERROR(ROUND(H15/(H15+I15)*100,1),"")</f>
        <v/>
      </c>
      <c r="K15" s="15" t="inlineStr"/>
    </row>
    <row r="16" ht="22" customHeight="1">
      <c r="B16" s="8" t="n">
        <v>12</v>
      </c>
      <c r="C16" s="10" t="inlineStr"/>
      <c r="D16" s="10" t="inlineStr">
        <is>
          <t>Critique Session</t>
        </is>
      </c>
      <c r="E16" s="10" t="inlineStr"/>
      <c r="F16" s="9" t="inlineStr"/>
      <c r="G16" s="10" t="inlineStr"/>
      <c r="H16" s="10" t="inlineStr"/>
      <c r="I16" s="10" t="inlineStr"/>
      <c r="J16" s="38">
        <f>IFERROR(ROUND(H16/(H16+I16)*100,1),"")</f>
        <v/>
      </c>
      <c r="K16" s="9" t="inlineStr"/>
    </row>
    <row r="17" ht="22" customHeight="1">
      <c r="B17" s="14" t="n">
        <v>13</v>
      </c>
      <c r="C17" s="16" t="inlineStr"/>
      <c r="D17" s="16" t="inlineStr">
        <is>
          <t>Rehearsal</t>
        </is>
      </c>
      <c r="E17" s="16" t="inlineStr"/>
      <c r="F17" s="15" t="inlineStr"/>
      <c r="G17" s="16" t="inlineStr"/>
      <c r="H17" s="16" t="inlineStr"/>
      <c r="I17" s="16" t="inlineStr"/>
      <c r="J17" s="44">
        <f>IFERROR(ROUND(H17/(H17+I17)*100,1),"")</f>
        <v/>
      </c>
      <c r="K17" s="15" t="inlineStr"/>
    </row>
    <row r="18" ht="22" customHeight="1">
      <c r="B18" s="8" t="n">
        <v>14</v>
      </c>
      <c r="C18" s="10" t="inlineStr"/>
      <c r="D18" s="10" t="inlineStr">
        <is>
          <t>Practice Session</t>
        </is>
      </c>
      <c r="E18" s="10" t="inlineStr"/>
      <c r="F18" s="9" t="inlineStr"/>
      <c r="G18" s="10" t="inlineStr"/>
      <c r="H18" s="10" t="inlineStr"/>
      <c r="I18" s="10" t="inlineStr"/>
      <c r="J18" s="38">
        <f>IFERROR(ROUND(H18/(H18+I18)*100,1),"")</f>
        <v/>
      </c>
      <c r="K18" s="9" t="inlineStr"/>
    </row>
    <row r="19" ht="22" customHeight="1">
      <c r="B19" s="14" t="n">
        <v>15</v>
      </c>
      <c r="C19" s="16" t="inlineStr"/>
      <c r="D19" s="16" t="inlineStr">
        <is>
          <t>Workshop</t>
        </is>
      </c>
      <c r="E19" s="16" t="inlineStr"/>
      <c r="F19" s="15" t="inlineStr"/>
      <c r="G19" s="16" t="inlineStr"/>
      <c r="H19" s="16" t="inlineStr"/>
      <c r="I19" s="16" t="inlineStr"/>
      <c r="J19" s="44">
        <f>IFERROR(ROUND(H19/(H19+I19)*100,1),"")</f>
        <v/>
      </c>
      <c r="K19" s="15" t="inlineStr"/>
    </row>
    <row r="20" ht="22" customHeight="1">
      <c r="B20" s="8" t="n">
        <v>16</v>
      </c>
      <c r="C20" s="10" t="inlineStr"/>
      <c r="D20" s="10" t="inlineStr">
        <is>
          <t>Competition Prep</t>
        </is>
      </c>
      <c r="E20" s="10" t="inlineStr"/>
      <c r="F20" s="9" t="inlineStr"/>
      <c r="G20" s="10" t="inlineStr"/>
      <c r="H20" s="10" t="inlineStr"/>
      <c r="I20" s="10" t="inlineStr"/>
      <c r="J20" s="38">
        <f>IFERROR(ROUND(H20/(H20+I20)*100,1),"")</f>
        <v/>
      </c>
      <c r="K20" s="9" t="inlineStr"/>
    </row>
    <row r="21" ht="22" customHeight="1">
      <c r="B21" s="14" t="n">
        <v>17</v>
      </c>
      <c r="C21" s="16" t="inlineStr"/>
      <c r="D21" s="16" t="inlineStr">
        <is>
          <t>Audition</t>
        </is>
      </c>
      <c r="E21" s="16" t="inlineStr"/>
      <c r="F21" s="15" t="inlineStr"/>
      <c r="G21" s="16" t="inlineStr"/>
      <c r="H21" s="16" t="inlineStr"/>
      <c r="I21" s="16" t="inlineStr"/>
      <c r="J21" s="44">
        <f>IFERROR(ROUND(H21/(H21+I21)*100,1),"")</f>
        <v/>
      </c>
      <c r="K21" s="15" t="inlineStr"/>
    </row>
    <row r="22" ht="22" customHeight="1">
      <c r="B22" s="8" t="n">
        <v>18</v>
      </c>
      <c r="C22" s="10" t="inlineStr"/>
      <c r="D22" s="10" t="inlineStr">
        <is>
          <t>Performance</t>
        </is>
      </c>
      <c r="E22" s="10" t="inlineStr"/>
      <c r="F22" s="9" t="inlineStr"/>
      <c r="G22" s="10" t="inlineStr"/>
      <c r="H22" s="10" t="inlineStr"/>
      <c r="I22" s="10" t="inlineStr"/>
      <c r="J22" s="38">
        <f>IFERROR(ROUND(H22/(H22+I22)*100,1),"")</f>
        <v/>
      </c>
      <c r="K22" s="9" t="inlineStr"/>
    </row>
    <row r="23" ht="22" customHeight="1">
      <c r="B23" s="14" t="n">
        <v>19</v>
      </c>
      <c r="C23" s="16" t="inlineStr"/>
      <c r="D23" s="16" t="inlineStr">
        <is>
          <t>Exhibition Prep</t>
        </is>
      </c>
      <c r="E23" s="16" t="inlineStr"/>
      <c r="F23" s="15" t="inlineStr"/>
      <c r="G23" s="16" t="inlineStr"/>
      <c r="H23" s="16" t="inlineStr"/>
      <c r="I23" s="16" t="inlineStr"/>
      <c r="J23" s="44">
        <f>IFERROR(ROUND(H23/(H23+I23)*100,1),"")</f>
        <v/>
      </c>
      <c r="K23" s="15" t="inlineStr"/>
    </row>
    <row r="24" ht="22" customHeight="1">
      <c r="B24" s="8" t="n">
        <v>20</v>
      </c>
      <c r="C24" s="10" t="inlineStr"/>
      <c r="D24" s="10" t="inlineStr">
        <is>
          <t>Meeting</t>
        </is>
      </c>
      <c r="E24" s="10" t="inlineStr"/>
      <c r="F24" s="9" t="inlineStr"/>
      <c r="G24" s="10" t="inlineStr"/>
      <c r="H24" s="10" t="inlineStr"/>
      <c r="I24" s="10" t="inlineStr"/>
      <c r="J24" s="38">
        <f>IFERROR(ROUND(H24/(H24+I24)*100,1),"")</f>
        <v/>
      </c>
      <c r="K24" s="9" t="inlineStr"/>
    </row>
    <row r="25" ht="22" customHeight="1">
      <c r="B25" s="14" t="n">
        <v>21</v>
      </c>
      <c r="C25" s="16" t="inlineStr"/>
      <c r="D25" s="16" t="inlineStr">
        <is>
          <t>Guest Lecture</t>
        </is>
      </c>
      <c r="E25" s="16" t="inlineStr"/>
      <c r="F25" s="15" t="inlineStr"/>
      <c r="G25" s="16" t="inlineStr"/>
      <c r="H25" s="16" t="inlineStr"/>
      <c r="I25" s="16" t="inlineStr"/>
      <c r="J25" s="44">
        <f>IFERROR(ROUND(H25/(H25+I25)*100,1),"")</f>
        <v/>
      </c>
      <c r="K25" s="15" t="inlineStr"/>
    </row>
    <row r="26" ht="22" customHeight="1">
      <c r="B26" s="8" t="n">
        <v>22</v>
      </c>
      <c r="C26" s="10" t="inlineStr"/>
      <c r="D26" s="10" t="inlineStr">
        <is>
          <t>Recording Session</t>
        </is>
      </c>
      <c r="E26" s="10" t="inlineStr"/>
      <c r="F26" s="9" t="inlineStr"/>
      <c r="G26" s="10" t="inlineStr"/>
      <c r="H26" s="10" t="inlineStr"/>
      <c r="I26" s="10" t="inlineStr"/>
      <c r="J26" s="38">
        <f>IFERROR(ROUND(H26/(H26+I26)*100,1),"")</f>
        <v/>
      </c>
      <c r="K26" s="9" t="inlineStr"/>
    </row>
    <row r="27" ht="22" customHeight="1">
      <c r="B27" s="14" t="n">
        <v>23</v>
      </c>
      <c r="C27" s="16" t="inlineStr"/>
      <c r="D27" s="16" t="inlineStr">
        <is>
          <t>Film Shoot</t>
        </is>
      </c>
      <c r="E27" s="16" t="inlineStr"/>
      <c r="F27" s="15" t="inlineStr"/>
      <c r="G27" s="16" t="inlineStr"/>
      <c r="H27" s="16" t="inlineStr"/>
      <c r="I27" s="16" t="inlineStr"/>
      <c r="J27" s="44">
        <f>IFERROR(ROUND(H27/(H27+I27)*100,1),"")</f>
        <v/>
      </c>
      <c r="K27" s="15" t="inlineStr"/>
    </row>
    <row r="28" ht="22" customHeight="1">
      <c r="B28" s="8" t="n">
        <v>24</v>
      </c>
      <c r="C28" s="10" t="inlineStr"/>
      <c r="D28" s="10" t="inlineStr">
        <is>
          <t>Critique Session</t>
        </is>
      </c>
      <c r="E28" s="10" t="inlineStr"/>
      <c r="F28" s="9" t="inlineStr"/>
      <c r="G28" s="10" t="inlineStr"/>
      <c r="H28" s="10" t="inlineStr"/>
      <c r="I28" s="10" t="inlineStr"/>
      <c r="J28" s="38">
        <f>IFERROR(ROUND(H28/(H28+I28)*100,1),"")</f>
        <v/>
      </c>
      <c r="K28" s="9" t="inlineStr"/>
    </row>
    <row r="29" ht="22" customHeight="1">
      <c r="B29" s="14" t="n">
        <v>25</v>
      </c>
      <c r="C29" s="16" t="inlineStr"/>
      <c r="D29" s="16" t="inlineStr">
        <is>
          <t>Rehearsal</t>
        </is>
      </c>
      <c r="E29" s="16" t="inlineStr"/>
      <c r="F29" s="15" t="inlineStr"/>
      <c r="G29" s="16" t="inlineStr"/>
      <c r="H29" s="16" t="inlineStr"/>
      <c r="I29" s="16" t="inlineStr"/>
      <c r="J29" s="44">
        <f>IFERROR(ROUND(H29/(H29+I29)*100,1),"")</f>
        <v/>
      </c>
      <c r="K29" s="15" t="inlineStr"/>
    </row>
    <row r="30" ht="22" customHeight="1">
      <c r="B30" s="8" t="n">
        <v>26</v>
      </c>
      <c r="C30" s="10" t="inlineStr"/>
      <c r="D30" s="10" t="inlineStr">
        <is>
          <t>Practice Session</t>
        </is>
      </c>
      <c r="E30" s="10" t="inlineStr"/>
      <c r="F30" s="9" t="inlineStr"/>
      <c r="G30" s="10" t="inlineStr"/>
      <c r="H30" s="10" t="inlineStr"/>
      <c r="I30" s="10" t="inlineStr"/>
      <c r="J30" s="38">
        <f>IFERROR(ROUND(H30/(H30+I30)*100,1),"")</f>
        <v/>
      </c>
      <c r="K30" s="9" t="inlineStr"/>
    </row>
    <row r="31" ht="22" customHeight="1"/>
    <row r="32" ht="24" customHeight="1">
      <c r="B32" s="35" t="inlineStr">
        <is>
          <t>SESSION SUMMARY</t>
        </is>
      </c>
    </row>
    <row r="33" ht="22" customHeight="1">
      <c r="B33" s="43" t="inlineStr">
        <is>
          <t>Total Sessions Held</t>
        </is>
      </c>
      <c r="F33" s="37">
        <f>COUNTA(B5:B30)</f>
        <v/>
      </c>
    </row>
    <row r="34" ht="22" customHeight="1">
      <c r="B34" s="26" t="inlineStr">
        <is>
          <t>Total Hours of Practice</t>
        </is>
      </c>
      <c r="F34" s="38">
        <f>IFERROR(SUM(G5:G30),"")</f>
        <v/>
      </c>
    </row>
    <row r="35" ht="22" customHeight="1">
      <c r="B35" s="43" t="inlineStr">
        <is>
          <t>Average Attendance (%)</t>
        </is>
      </c>
      <c r="F35" s="37">
        <f>IFERROR(ROUND(AVERAGE(J5:J30),1),"")</f>
        <v/>
      </c>
    </row>
    <row r="36" ht="22" customHeight="1">
      <c r="B36" s="26" t="inlineStr">
        <is>
          <t>Best Attended Session</t>
        </is>
      </c>
      <c r="F36" s="38" t="inlineStr"/>
    </row>
    <row r="37" ht="22" customHeight="1">
      <c r="B37" s="43" t="inlineStr">
        <is>
          <t>Least Attended Session</t>
        </is>
      </c>
      <c r="F37" s="37" t="inlineStr"/>
    </row>
    <row r="38">
      <c r="B38" s="26" t="inlineStr">
        <is>
          <t>Sessions Before Major Event</t>
        </is>
      </c>
      <c r="F38" s="38" t="inlineStr"/>
    </row>
  </sheetData>
  <mergeCells count="15">
    <mergeCell ref="F37:K37"/>
    <mergeCell ref="B36:E36"/>
    <mergeCell ref="F34:K34"/>
    <mergeCell ref="F38:K38"/>
    <mergeCell ref="F33:K33"/>
    <mergeCell ref="B32:K32"/>
    <mergeCell ref="B35:E35"/>
    <mergeCell ref="F36:K36"/>
    <mergeCell ref="B37:E37"/>
    <mergeCell ref="B38:E38"/>
    <mergeCell ref="B33:E33"/>
    <mergeCell ref="F35:K35"/>
    <mergeCell ref="B2:K2"/>
    <mergeCell ref="B3:K3"/>
    <mergeCell ref="B34:E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8" t="inlineStr">
        <is>
          <t>EVT-01: EVENT / PROGRAMME PLANNING FORM</t>
        </is>
      </c>
    </row>
    <row r="3" ht="25" customHeight="1">
      <c r="B3" s="2" t="inlineStr">
        <is>
          <t>Event Ref.: ACLHC/EVT/______/______   Submitted by: _______   Date: _______</t>
        </is>
      </c>
    </row>
    <row r="4" ht="24" customHeight="1">
      <c r="B4" s="20" t="inlineStr">
        <is>
          <t>SECTION A — EVENT DETAILS</t>
        </is>
      </c>
    </row>
    <row r="5" ht="26" customHeight="1">
      <c r="B5" s="45" t="inlineStr">
        <is>
          <t>Event / Programme Title:</t>
        </is>
      </c>
      <c r="C5" s="9" t="n"/>
    </row>
    <row r="6" ht="26" customHeight="1">
      <c r="B6" s="45" t="inlineStr">
        <is>
          <t>Organising Club / Committee:</t>
        </is>
      </c>
      <c r="C6" s="9" t="n"/>
    </row>
    <row r="7" ht="26" customHeight="1">
      <c r="B7" s="45" t="inlineStr">
        <is>
          <t>Type of Event:</t>
        </is>
      </c>
      <c r="C7" s="46" t="inlineStr">
        <is>
          <t>[ ] Competition  [ ] Performance  [ ] Exhibition  [ ] Workshop  [ ] Fest  [ ] Celebration  [ ] Other</t>
        </is>
      </c>
    </row>
    <row r="8" ht="26" customHeight="1">
      <c r="B8" s="45" t="inlineStr">
        <is>
          <t>Proposed Date(s):</t>
        </is>
      </c>
      <c r="C8" s="9" t="n"/>
    </row>
    <row r="9" ht="26" customHeight="1">
      <c r="B9" s="45" t="inlineStr">
        <is>
          <t>Proposed Venue:</t>
        </is>
      </c>
      <c r="C9" s="46" t="inlineStr">
        <is>
          <t>[ ] On Campus: _______   [ ] Off Campus: _______</t>
        </is>
      </c>
    </row>
    <row r="10" ht="26" customHeight="1">
      <c r="B10" s="45" t="inlineStr">
        <is>
          <t>Estimated Duration:</t>
        </is>
      </c>
      <c r="C10" s="46" t="inlineStr">
        <is>
          <t>[ ] Half Day  [ ] Full Day  [ ] Multi-Day: _______</t>
        </is>
      </c>
    </row>
    <row r="11" ht="26" customHeight="1">
      <c r="B11" s="45" t="inlineStr">
        <is>
          <t>Target Audience:</t>
        </is>
      </c>
      <c r="C11" s="46" t="inlineStr">
        <is>
          <t>[ ] Students only  [ ] Faculty + Students  [ ] External  [ ] Open to all</t>
        </is>
      </c>
    </row>
    <row r="12" ht="26" customHeight="1">
      <c r="B12" s="45" t="inlineStr">
        <is>
          <t>Expected Footfall / Participants:</t>
        </is>
      </c>
      <c r="C12" s="9" t="n"/>
    </row>
    <row r="13" ht="26" customHeight="1">
      <c r="B13" s="45" t="inlineStr">
        <is>
          <t>Is entry ticketed?</t>
        </is>
      </c>
      <c r="C13" s="46" t="inlineStr">
        <is>
          <t>[ ] Yes — Price: ₹ _______   [ ] No — Free Entry</t>
        </is>
      </c>
    </row>
    <row r="14" ht="28" customHeight="1"/>
    <row r="15" ht="24" customHeight="1">
      <c r="B15" s="35" t="inlineStr">
        <is>
          <t>SECTION B — RESOURCE REQUIREMENTS</t>
        </is>
      </c>
    </row>
    <row r="16" ht="26" customHeight="1">
      <c r="B16" s="47" t="inlineStr">
        <is>
          <t>Venue / Hall Required:</t>
        </is>
      </c>
      <c r="C16" s="46" t="inlineStr">
        <is>
          <t>[ ] Auditorium  [ ] Open Stage  [ ] Classroom  [ ] Outdoor Ground  [ ] External Venue</t>
        </is>
      </c>
    </row>
    <row r="17" ht="26" customHeight="1">
      <c r="B17" s="47" t="inlineStr">
        <is>
          <t>Sound System Required:</t>
        </is>
      </c>
      <c r="C17" s="46" t="inlineStr">
        <is>
          <t>[ ] Yes — Spec: _______   [ ] No</t>
        </is>
      </c>
    </row>
    <row r="18" ht="26" customHeight="1">
      <c r="B18" s="47" t="inlineStr">
        <is>
          <t>Lighting / Stage Lighting:</t>
        </is>
      </c>
      <c r="C18" s="46" t="inlineStr">
        <is>
          <t>[ ] Yes — Spec: _______   [ ] No</t>
        </is>
      </c>
    </row>
    <row r="19" ht="26" customHeight="1">
      <c r="B19" s="47" t="inlineStr">
        <is>
          <t>Projector / LED Screen:</t>
        </is>
      </c>
      <c r="C19" s="46" t="inlineStr">
        <is>
          <t>[ ] Yes   [ ] No</t>
        </is>
      </c>
    </row>
    <row r="20" ht="26" customHeight="1">
      <c r="B20" s="47" t="inlineStr">
        <is>
          <t>Instruments / Props Required:</t>
        </is>
      </c>
      <c r="C20" s="46" t="inlineStr">
        <is>
          <t>List: _______</t>
        </is>
      </c>
    </row>
    <row r="21" ht="26" customHeight="1">
      <c r="B21" s="47" t="inlineStr">
        <is>
          <t>Photography / Videography:</t>
        </is>
      </c>
      <c r="C21" s="46" t="inlineStr">
        <is>
          <t>[ ] College Team  [ ] External  [ ] Not Required</t>
        </is>
      </c>
    </row>
    <row r="22" ht="26" customHeight="1">
      <c r="B22" s="47" t="inlineStr">
        <is>
          <t>Decoration / Set Design:</t>
        </is>
      </c>
      <c r="C22" s="46" t="inlineStr">
        <is>
          <t>[ ] Yes   [ ] No   Description: _______</t>
        </is>
      </c>
    </row>
    <row r="23" ht="26" customHeight="1">
      <c r="B23" s="47" t="inlineStr">
        <is>
          <t>Helpers / Volunteers Required:</t>
        </is>
      </c>
      <c r="C23" s="46" t="inlineStr">
        <is>
          <t>No. required: _______   From: [ ] ACLHC Clubs  [ ] NSS / NCC  [ ] General Volunteers</t>
        </is>
      </c>
    </row>
    <row r="24" ht="28" customHeight="1"/>
    <row r="25" ht="24" customHeight="1">
      <c r="B25" s="21" t="inlineStr">
        <is>
          <t>SECTION C — BUDGET ESTIMATE</t>
        </is>
      </c>
    </row>
    <row r="26" ht="26" customHeight="1">
      <c r="B26" s="48" t="inlineStr">
        <is>
          <t>Estimated Total Expenditure (₹):</t>
        </is>
      </c>
      <c r="C26" s="9" t="n"/>
    </row>
    <row r="27" ht="26" customHeight="1">
      <c r="B27" s="48" t="inlineStr">
        <is>
          <t>Expected Revenue (Ticket / Sponsorship) (₹):</t>
        </is>
      </c>
      <c r="C27" s="9" t="n"/>
    </row>
    <row r="28" ht="26" customHeight="1">
      <c r="B28" s="48" t="inlineStr">
        <is>
          <t>Net Budget Required from Institution (₹):</t>
        </is>
      </c>
      <c r="C28" s="9" t="n"/>
    </row>
    <row r="29" ht="26" customHeight="1">
      <c r="B29" s="48" t="inlineStr">
        <is>
          <t>Sponsorship Being Sought?</t>
        </is>
      </c>
      <c r="C29" s="46" t="inlineStr">
        <is>
          <t>[ ] Yes — Amount: ₹ _______   [ ] No</t>
        </is>
      </c>
    </row>
    <row r="30" ht="26" customHeight="1">
      <c r="B30" s="48" t="inlineStr">
        <is>
          <t>Budget Approved by Finance Officer:</t>
        </is>
      </c>
      <c r="C30" s="46" t="inlineStr">
        <is>
          <t>[ ] Yes — Order Ref.: _______   [ ] Pending</t>
        </is>
      </c>
    </row>
    <row r="31" ht="28" customHeight="1"/>
    <row r="32" ht="24" customHeight="1">
      <c r="B32" s="49" t="inlineStr">
        <is>
          <t>SECTION D — APPROVAL</t>
        </is>
      </c>
    </row>
    <row r="33" ht="26" customHeight="1">
      <c r="B33" s="50" t="inlineStr">
        <is>
          <t>ACLHC Coordinator Approval:</t>
        </is>
      </c>
      <c r="C33" s="46" t="inlineStr">
        <is>
          <t>[ ] Approved   [ ] Modifications Required   [ ] Rejected</t>
        </is>
      </c>
    </row>
    <row r="34" ht="26" customHeight="1">
      <c r="B34" s="50" t="inlineStr">
        <is>
          <t>Principal Approval:</t>
        </is>
      </c>
      <c r="C34" s="46" t="inlineStr">
        <is>
          <t>[ ] Approved   [ ] Approved with Conditions: _______   [ ] Rejected</t>
        </is>
      </c>
    </row>
    <row r="35" ht="26" customHeight="1">
      <c r="B35" s="50" t="inlineStr">
        <is>
          <t>Finance Officer Approval (if budget):</t>
        </is>
      </c>
      <c r="C35" s="46" t="inlineStr">
        <is>
          <t>[ ] Approved   [ ] Pending</t>
        </is>
      </c>
    </row>
    <row r="36" ht="26" customHeight="1">
      <c r="B36" s="50" t="inlineStr">
        <is>
          <t>Date of Final Approval:</t>
        </is>
      </c>
      <c r="C36" s="9" t="n"/>
    </row>
    <row r="37" ht="28" customHeight="1"/>
    <row r="38" ht="28" customHeight="1">
      <c r="B38" s="30" t="inlineStr">
        <is>
          <t>Club Head: ___________________    ACLHC Coordinator: ___________________    Principal: ___________________    Date: ___________________</t>
        </is>
      </c>
    </row>
    <row r="39" ht="28" customHeight="1"/>
    <row r="40" ht="28" customHeight="1"/>
    <row r="41" ht="28" customHeight="1"/>
    <row r="42" ht="28" customHeight="1"/>
    <row r="43" ht="28" customHeight="1"/>
    <row r="44" ht="28" customHeight="1"/>
    <row r="45" ht="28" customHeight="1"/>
    <row r="46" ht="28" customHeight="1"/>
    <row r="47" ht="28" customHeight="1"/>
    <row r="48" ht="28" customHeight="1"/>
    <row r="49" ht="28" customHeight="1"/>
    <row r="50" ht="28" customHeight="1"/>
    <row r="51" ht="28" customHeight="1"/>
    <row r="52" ht="28" customHeight="1"/>
    <row r="53" ht="28" customHeight="1"/>
    <row r="54" ht="28" customHeight="1"/>
  </sheetData>
  <mergeCells count="33">
    <mergeCell ref="C16:E16"/>
    <mergeCell ref="C22:E22"/>
    <mergeCell ref="C9:E9"/>
    <mergeCell ref="B15:E15"/>
    <mergeCell ref="C21:E21"/>
    <mergeCell ref="C12:E12"/>
    <mergeCell ref="B32:E32"/>
    <mergeCell ref="C36:E36"/>
    <mergeCell ref="C11:E11"/>
    <mergeCell ref="C27:E27"/>
    <mergeCell ref="B4:E4"/>
    <mergeCell ref="C23:E23"/>
    <mergeCell ref="C8:E8"/>
    <mergeCell ref="C17:E17"/>
    <mergeCell ref="B25:E25"/>
    <mergeCell ref="B3:E3"/>
    <mergeCell ref="C7:E7"/>
    <mergeCell ref="C28:E28"/>
    <mergeCell ref="C13:E13"/>
    <mergeCell ref="C19:E19"/>
    <mergeCell ref="C18:E18"/>
    <mergeCell ref="B2:E2"/>
    <mergeCell ref="C30:E30"/>
    <mergeCell ref="C34:E34"/>
    <mergeCell ref="C6:E6"/>
    <mergeCell ref="C33:E33"/>
    <mergeCell ref="C5:E5"/>
    <mergeCell ref="B38:E38"/>
    <mergeCell ref="C26:E26"/>
    <mergeCell ref="C29:E29"/>
    <mergeCell ref="C20:E20"/>
    <mergeCell ref="C35:E35"/>
    <mergeCell ref="C10:E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K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EVT-03: INTERCOLLEGIATE / EXTERNAL COMPETITION REGISTER</t>
        </is>
      </c>
    </row>
    <row r="3" ht="25" customHeight="1">
      <c r="B3" s="2" t="inlineStr">
        <is>
          <t>A.Y.: _______  ACLHC Coordinator: ___________________  NAAC Ref.: Criterion V.3</t>
        </is>
      </c>
    </row>
    <row r="4" ht="25" customHeight="1">
      <c r="B4" s="13" t="inlineStr">
        <is>
          <t>Comp.
Ref.</t>
        </is>
      </c>
      <c r="C4" s="13" t="inlineStr">
        <is>
          <t>Competition / Event Title</t>
        </is>
      </c>
      <c r="D4" s="13" t="inlineStr">
        <is>
          <t>Organising
Institution</t>
        </is>
      </c>
      <c r="E4" s="13" t="inlineStr">
        <is>
          <t>Category</t>
        </is>
      </c>
      <c r="F4" s="13" t="inlineStr">
        <is>
          <t>Date(s)</t>
        </is>
      </c>
      <c r="G4" s="13" t="inlineStr">
        <is>
          <t>Venue</t>
        </is>
      </c>
      <c r="H4" s="13" t="inlineStr">
        <is>
          <t>Students
Participated</t>
        </is>
      </c>
      <c r="I4" s="13" t="inlineStr">
        <is>
          <t>Position /
Award</t>
        </is>
      </c>
      <c r="J4" s="13" t="inlineStr">
        <is>
          <t>Certificate
Received</t>
        </is>
      </c>
      <c r="K4" s="13" t="inlineStr">
        <is>
          <t>Remarks</t>
        </is>
      </c>
    </row>
    <row r="5" ht="22" customHeight="1">
      <c r="B5" s="14" t="inlineStr">
        <is>
          <t>EXT/2024/001</t>
        </is>
      </c>
      <c r="C5" s="15" t="inlineStr"/>
      <c r="D5" s="15" t="inlineStr"/>
      <c r="E5" s="16" t="inlineStr">
        <is>
          <t>Fine Arts — Painting</t>
        </is>
      </c>
      <c r="F5" s="16" t="inlineStr"/>
      <c r="G5" s="15" t="inlineStr"/>
      <c r="H5" s="16" t="inlineStr"/>
      <c r="I5" s="14" t="inlineStr">
        <is>
          <t>1st Prize</t>
        </is>
      </c>
      <c r="J5" s="16" t="inlineStr">
        <is>
          <t>Y</t>
        </is>
      </c>
      <c r="K5" s="15" t="inlineStr"/>
    </row>
    <row r="6" ht="22" customHeight="1">
      <c r="B6" s="8" t="inlineStr">
        <is>
          <t>EXT/2024/002</t>
        </is>
      </c>
      <c r="C6" s="9" t="inlineStr"/>
      <c r="D6" s="9" t="inlineStr"/>
      <c r="E6" s="10" t="inlineStr">
        <is>
          <t>Photography</t>
        </is>
      </c>
      <c r="F6" s="10" t="inlineStr"/>
      <c r="G6" s="9" t="inlineStr"/>
      <c r="H6" s="10" t="inlineStr"/>
      <c r="I6" s="8" t="inlineStr">
        <is>
          <t>2nd Prize</t>
        </is>
      </c>
      <c r="J6" s="10" t="inlineStr">
        <is>
          <t>Y</t>
        </is>
      </c>
      <c r="K6" s="9" t="inlineStr"/>
    </row>
    <row r="7" ht="22" customHeight="1">
      <c r="B7" s="14" t="inlineStr">
        <is>
          <t>EXT/2024/003</t>
        </is>
      </c>
      <c r="C7" s="15" t="inlineStr"/>
      <c r="D7" s="15" t="inlineStr"/>
      <c r="E7" s="16" t="inlineStr">
        <is>
          <t>Singing (Solo)</t>
        </is>
      </c>
      <c r="F7" s="16" t="inlineStr"/>
      <c r="G7" s="15" t="inlineStr"/>
      <c r="H7" s="16" t="inlineStr"/>
      <c r="I7" s="14" t="inlineStr">
        <is>
          <t>3rd Prize</t>
        </is>
      </c>
      <c r="J7" s="16" t="inlineStr">
        <is>
          <t>Y</t>
        </is>
      </c>
      <c r="K7" s="15" t="inlineStr"/>
    </row>
    <row r="8" ht="22" customHeight="1">
      <c r="B8" s="8" t="inlineStr">
        <is>
          <t>EXT/2024/004</t>
        </is>
      </c>
      <c r="C8" s="9" t="inlineStr"/>
      <c r="D8" s="9" t="inlineStr"/>
      <c r="E8" s="10" t="inlineStr">
        <is>
          <t>Singing (Group)</t>
        </is>
      </c>
      <c r="F8" s="10" t="inlineStr"/>
      <c r="G8" s="9" t="inlineStr"/>
      <c r="H8" s="10" t="inlineStr"/>
      <c r="I8" s="8" t="inlineStr">
        <is>
          <t>Consolation Prize</t>
        </is>
      </c>
      <c r="J8" s="10" t="inlineStr">
        <is>
          <t>Y</t>
        </is>
      </c>
      <c r="K8" s="9" t="inlineStr"/>
    </row>
    <row r="9" ht="22" customHeight="1">
      <c r="B9" s="14" t="inlineStr">
        <is>
          <t>EXT/2024/005</t>
        </is>
      </c>
      <c r="C9" s="15" t="inlineStr"/>
      <c r="D9" s="15" t="inlineStr"/>
      <c r="E9" s="16" t="inlineStr">
        <is>
          <t>Dance (Solo)</t>
        </is>
      </c>
      <c r="F9" s="16" t="inlineStr"/>
      <c r="G9" s="15" t="inlineStr"/>
      <c r="H9" s="16" t="inlineStr"/>
      <c r="I9" s="14" t="inlineStr">
        <is>
          <t>Finalist</t>
        </is>
      </c>
      <c r="J9" s="16" t="inlineStr">
        <is>
          <t>Y</t>
        </is>
      </c>
      <c r="K9" s="15" t="inlineStr"/>
    </row>
    <row r="10" ht="22" customHeight="1">
      <c r="B10" s="8" t="inlineStr">
        <is>
          <t>EXT/2024/006</t>
        </is>
      </c>
      <c r="C10" s="9" t="inlineStr"/>
      <c r="D10" s="9" t="inlineStr"/>
      <c r="E10" s="10" t="inlineStr">
        <is>
          <t>Dance (Group)</t>
        </is>
      </c>
      <c r="F10" s="10" t="inlineStr"/>
      <c r="G10" s="9" t="inlineStr"/>
      <c r="H10" s="10" t="inlineStr"/>
      <c r="I10" s="8" t="inlineStr">
        <is>
          <t>Semi-Finalist</t>
        </is>
      </c>
      <c r="J10" s="10" t="inlineStr">
        <is>
          <t>Y</t>
        </is>
      </c>
      <c r="K10" s="9" t="inlineStr"/>
    </row>
    <row r="11" ht="22" customHeight="1">
      <c r="B11" s="14" t="inlineStr">
        <is>
          <t>EXT/2024/007</t>
        </is>
      </c>
      <c r="C11" s="15" t="inlineStr"/>
      <c r="D11" s="15" t="inlineStr"/>
      <c r="E11" s="16" t="inlineStr">
        <is>
          <t>Theatre / Skit</t>
        </is>
      </c>
      <c r="F11" s="16" t="inlineStr"/>
      <c r="G11" s="15" t="inlineStr"/>
      <c r="H11" s="16" t="inlineStr"/>
      <c r="I11" s="14" t="inlineStr">
        <is>
          <t>Participation</t>
        </is>
      </c>
      <c r="J11" s="16" t="inlineStr">
        <is>
          <t>Y</t>
        </is>
      </c>
      <c r="K11" s="15" t="inlineStr"/>
    </row>
    <row r="12" ht="22" customHeight="1">
      <c r="B12" s="8" t="inlineStr">
        <is>
          <t>EXT/2024/008</t>
        </is>
      </c>
      <c r="C12" s="9" t="inlineStr"/>
      <c r="D12" s="9" t="inlineStr"/>
      <c r="E12" s="10" t="inlineStr">
        <is>
          <t>Debate</t>
        </is>
      </c>
      <c r="F12" s="10" t="inlineStr"/>
      <c r="G12" s="9" t="inlineStr"/>
      <c r="H12" s="10" t="inlineStr"/>
      <c r="I12" s="8" t="inlineStr">
        <is>
          <t>Best Performer</t>
        </is>
      </c>
      <c r="J12" s="10" t="inlineStr">
        <is>
          <t>Y</t>
        </is>
      </c>
      <c r="K12" s="9" t="inlineStr"/>
    </row>
    <row r="13" ht="22" customHeight="1">
      <c r="B13" s="14" t="inlineStr">
        <is>
          <t>EXT/2024/009</t>
        </is>
      </c>
      <c r="C13" s="15" t="inlineStr"/>
      <c r="D13" s="15" t="inlineStr"/>
      <c r="E13" s="16" t="inlineStr">
        <is>
          <t>Elocution</t>
        </is>
      </c>
      <c r="F13" s="16" t="inlineStr"/>
      <c r="G13" s="15" t="inlineStr"/>
      <c r="H13" s="16" t="inlineStr"/>
      <c r="I13" s="14" t="inlineStr">
        <is>
          <t>Best Dressed</t>
        </is>
      </c>
      <c r="J13" s="16" t="inlineStr">
        <is>
          <t>Y</t>
        </is>
      </c>
      <c r="K13" s="15" t="inlineStr"/>
    </row>
    <row r="14" ht="22" customHeight="1">
      <c r="B14" s="8" t="inlineStr">
        <is>
          <t>EXT/2024/010</t>
        </is>
      </c>
      <c r="C14" s="9" t="inlineStr"/>
      <c r="D14" s="9" t="inlineStr"/>
      <c r="E14" s="10" t="inlineStr">
        <is>
          <t>Creative Writing</t>
        </is>
      </c>
      <c r="F14" s="10" t="inlineStr"/>
      <c r="G14" s="9" t="inlineStr"/>
      <c r="H14" s="10" t="inlineStr"/>
      <c r="I14" s="8" t="inlineStr">
        <is>
          <t>Special Award</t>
        </is>
      </c>
      <c r="J14" s="10" t="inlineStr">
        <is>
          <t>Y</t>
        </is>
      </c>
      <c r="K14" s="9" t="inlineStr"/>
    </row>
    <row r="15" ht="22" customHeight="1">
      <c r="B15" s="14" t="inlineStr">
        <is>
          <t>EXT/2024/011</t>
        </is>
      </c>
      <c r="C15" s="15" t="inlineStr"/>
      <c r="D15" s="15" t="inlineStr"/>
      <c r="E15" s="16" t="inlineStr">
        <is>
          <t>Quiz</t>
        </is>
      </c>
      <c r="F15" s="16" t="inlineStr"/>
      <c r="G15" s="15" t="inlineStr"/>
      <c r="H15" s="16" t="inlineStr"/>
      <c r="I15" s="14" t="inlineStr">
        <is>
          <t>1st Prize</t>
        </is>
      </c>
      <c r="J15" s="16" t="inlineStr">
        <is>
          <t>Y</t>
        </is>
      </c>
      <c r="K15" s="15" t="inlineStr"/>
    </row>
    <row r="16" ht="22" customHeight="1">
      <c r="B16" s="8" t="inlineStr">
        <is>
          <t>EXT/2024/012</t>
        </is>
      </c>
      <c r="C16" s="9" t="inlineStr"/>
      <c r="D16" s="9" t="inlineStr"/>
      <c r="E16" s="10" t="inlineStr">
        <is>
          <t>Film Making</t>
        </is>
      </c>
      <c r="F16" s="10" t="inlineStr"/>
      <c r="G16" s="9" t="inlineStr"/>
      <c r="H16" s="10" t="inlineStr"/>
      <c r="I16" s="8" t="inlineStr">
        <is>
          <t>2nd Prize</t>
        </is>
      </c>
      <c r="J16" s="10" t="inlineStr">
        <is>
          <t>Y</t>
        </is>
      </c>
      <c r="K16" s="9" t="inlineStr"/>
    </row>
    <row r="17" ht="22" customHeight="1">
      <c r="B17" s="14" t="inlineStr">
        <is>
          <t>EXT/2024/013</t>
        </is>
      </c>
      <c r="C17" s="15" t="inlineStr"/>
      <c r="D17" s="15" t="inlineStr"/>
      <c r="E17" s="16" t="inlineStr">
        <is>
          <t>Craft / Design</t>
        </is>
      </c>
      <c r="F17" s="16" t="inlineStr"/>
      <c r="G17" s="15" t="inlineStr"/>
      <c r="H17" s="16" t="inlineStr"/>
      <c r="I17" s="14" t="inlineStr">
        <is>
          <t>3rd Prize</t>
        </is>
      </c>
      <c r="J17" s="16" t="inlineStr">
        <is>
          <t>Y</t>
        </is>
      </c>
      <c r="K17" s="15" t="inlineStr"/>
    </row>
    <row r="18" ht="22" customHeight="1">
      <c r="B18" s="8" t="inlineStr">
        <is>
          <t>EXT/2024/014</t>
        </is>
      </c>
      <c r="C18" s="9" t="inlineStr"/>
      <c r="D18" s="9" t="inlineStr"/>
      <c r="E18" s="10" t="inlineStr">
        <is>
          <t>Fashion Show</t>
        </is>
      </c>
      <c r="F18" s="10" t="inlineStr"/>
      <c r="G18" s="9" t="inlineStr"/>
      <c r="H18" s="10" t="inlineStr"/>
      <c r="I18" s="8" t="inlineStr">
        <is>
          <t>Consolation Prize</t>
        </is>
      </c>
      <c r="J18" s="10" t="inlineStr">
        <is>
          <t>Y</t>
        </is>
      </c>
      <c r="K18" s="9" t="inlineStr"/>
    </row>
    <row r="19" ht="22" customHeight="1">
      <c r="B19" s="14" t="inlineStr">
        <is>
          <t>EXT/2025/015</t>
        </is>
      </c>
      <c r="C19" s="15" t="inlineStr"/>
      <c r="D19" s="15" t="inlineStr"/>
      <c r="E19" s="16" t="inlineStr">
        <is>
          <t>Stand-up Comedy</t>
        </is>
      </c>
      <c r="F19" s="16" t="inlineStr"/>
      <c r="G19" s="15" t="inlineStr"/>
      <c r="H19" s="16" t="inlineStr"/>
      <c r="I19" s="14" t="inlineStr">
        <is>
          <t>Finalist</t>
        </is>
      </c>
      <c r="J19" s="16" t="inlineStr">
        <is>
          <t>Y</t>
        </is>
      </c>
      <c r="K19" s="15" t="inlineStr"/>
    </row>
    <row r="20" ht="22" customHeight="1">
      <c r="B20" s="8" t="inlineStr">
        <is>
          <t>EXT/2025/016</t>
        </is>
      </c>
      <c r="C20" s="9" t="inlineStr"/>
      <c r="D20" s="9" t="inlineStr"/>
      <c r="E20" s="10" t="inlineStr">
        <is>
          <t>Photography Contest</t>
        </is>
      </c>
      <c r="F20" s="10" t="inlineStr"/>
      <c r="G20" s="9" t="inlineStr"/>
      <c r="H20" s="10" t="inlineStr"/>
      <c r="I20" s="8" t="inlineStr">
        <is>
          <t>Semi-Finalist</t>
        </is>
      </c>
      <c r="J20" s="10" t="inlineStr">
        <is>
          <t>Y</t>
        </is>
      </c>
      <c r="K20" s="9" t="inlineStr"/>
    </row>
    <row r="21" ht="22" customHeight="1">
      <c r="B21" s="14" t="inlineStr">
        <is>
          <t>EXT/2025/017</t>
        </is>
      </c>
      <c r="C21" s="15" t="inlineStr"/>
      <c r="D21" s="15" t="inlineStr"/>
      <c r="E21" s="16" t="inlineStr">
        <is>
          <t>Cultural Fest</t>
        </is>
      </c>
      <c r="F21" s="16" t="inlineStr"/>
      <c r="G21" s="15" t="inlineStr"/>
      <c r="H21" s="16" t="inlineStr"/>
      <c r="I21" s="14" t="inlineStr">
        <is>
          <t>Participation</t>
        </is>
      </c>
      <c r="J21" s="16" t="inlineStr">
        <is>
          <t>Y</t>
        </is>
      </c>
      <c r="K21" s="15" t="inlineStr"/>
    </row>
    <row r="22" ht="22" customHeight="1">
      <c r="B22" s="8" t="inlineStr">
        <is>
          <t>EXT/2025/018</t>
        </is>
      </c>
      <c r="C22" s="9" t="inlineStr"/>
      <c r="D22" s="9" t="inlineStr"/>
      <c r="E22" s="10" t="inlineStr">
        <is>
          <t>Open Mic</t>
        </is>
      </c>
      <c r="F22" s="10" t="inlineStr"/>
      <c r="G22" s="9" t="inlineStr"/>
      <c r="H22" s="10" t="inlineStr"/>
      <c r="I22" s="8" t="inlineStr">
        <is>
          <t>Best Performer</t>
        </is>
      </c>
      <c r="J22" s="10" t="inlineStr">
        <is>
          <t>Y</t>
        </is>
      </c>
      <c r="K22" s="9" t="inlineStr"/>
    </row>
    <row r="23" ht="22" customHeight="1">
      <c r="B23" s="14" t="inlineStr">
        <is>
          <t>EXT/2025/019</t>
        </is>
      </c>
      <c r="C23" s="15" t="inlineStr"/>
      <c r="D23" s="15" t="inlineStr"/>
      <c r="E23" s="16" t="inlineStr">
        <is>
          <t>Model UN</t>
        </is>
      </c>
      <c r="F23" s="16" t="inlineStr"/>
      <c r="G23" s="15" t="inlineStr"/>
      <c r="H23" s="16" t="inlineStr"/>
      <c r="I23" s="14" t="inlineStr">
        <is>
          <t>Best Dressed</t>
        </is>
      </c>
      <c r="J23" s="16" t="inlineStr">
        <is>
          <t>Y</t>
        </is>
      </c>
      <c r="K23" s="15" t="inlineStr"/>
    </row>
    <row r="24" ht="22" customHeight="1">
      <c r="B24" s="8" t="inlineStr">
        <is>
          <t>EXT/2025/020</t>
        </is>
      </c>
      <c r="C24" s="9" t="inlineStr"/>
      <c r="D24" s="9" t="inlineStr"/>
      <c r="E24" s="10" t="inlineStr">
        <is>
          <t>Other</t>
        </is>
      </c>
      <c r="F24" s="10" t="inlineStr"/>
      <c r="G24" s="9" t="inlineStr"/>
      <c r="H24" s="10" t="inlineStr"/>
      <c r="I24" s="8" t="inlineStr">
        <is>
          <t>Special Award</t>
        </is>
      </c>
      <c r="J24" s="10" t="inlineStr">
        <is>
          <t>Y</t>
        </is>
      </c>
      <c r="K24" s="9" t="inlineStr"/>
    </row>
    <row r="25" ht="22" customHeight="1">
      <c r="B25" s="14" t="inlineStr">
        <is>
          <t>EXT/2025/021</t>
        </is>
      </c>
      <c r="C25" s="15" t="inlineStr"/>
      <c r="D25" s="15" t="inlineStr"/>
      <c r="E25" s="16" t="inlineStr">
        <is>
          <t>Fine Arts — Painting</t>
        </is>
      </c>
      <c r="F25" s="16" t="inlineStr"/>
      <c r="G25" s="15" t="inlineStr"/>
      <c r="H25" s="16" t="inlineStr"/>
      <c r="I25" s="14" t="inlineStr">
        <is>
          <t>1st Prize</t>
        </is>
      </c>
      <c r="J25" s="16" t="inlineStr">
        <is>
          <t>Y</t>
        </is>
      </c>
      <c r="K25" s="15" t="inlineStr"/>
    </row>
    <row r="26" ht="22" customHeight="1">
      <c r="B26" s="8" t="inlineStr">
        <is>
          <t>EXT/2025/022</t>
        </is>
      </c>
      <c r="C26" s="9" t="inlineStr"/>
      <c r="D26" s="9" t="inlineStr"/>
      <c r="E26" s="10" t="inlineStr">
        <is>
          <t>Photography</t>
        </is>
      </c>
      <c r="F26" s="10" t="inlineStr"/>
      <c r="G26" s="9" t="inlineStr"/>
      <c r="H26" s="10" t="inlineStr"/>
      <c r="I26" s="8" t="inlineStr">
        <is>
          <t>2nd Prize</t>
        </is>
      </c>
      <c r="J26" s="10" t="inlineStr">
        <is>
          <t>Y</t>
        </is>
      </c>
      <c r="K26" s="9" t="inlineStr"/>
    </row>
    <row r="27" ht="22" customHeight="1">
      <c r="B27" s="14" t="inlineStr">
        <is>
          <t>EXT/2025/023</t>
        </is>
      </c>
      <c r="C27" s="15" t="inlineStr"/>
      <c r="D27" s="15" t="inlineStr"/>
      <c r="E27" s="16" t="inlineStr">
        <is>
          <t>Singing (Solo)</t>
        </is>
      </c>
      <c r="F27" s="16" t="inlineStr"/>
      <c r="G27" s="15" t="inlineStr"/>
      <c r="H27" s="16" t="inlineStr"/>
      <c r="I27" s="14" t="inlineStr">
        <is>
          <t>3rd Prize</t>
        </is>
      </c>
      <c r="J27" s="16" t="inlineStr">
        <is>
          <t>Y</t>
        </is>
      </c>
      <c r="K27" s="15" t="inlineStr"/>
    </row>
    <row r="28" ht="22" customHeight="1">
      <c r="B28" s="8" t="inlineStr">
        <is>
          <t>EXT/2025/024</t>
        </is>
      </c>
      <c r="C28" s="9" t="inlineStr"/>
      <c r="D28" s="9" t="inlineStr"/>
      <c r="E28" s="10" t="inlineStr">
        <is>
          <t>Singing (Group)</t>
        </is>
      </c>
      <c r="F28" s="10" t="inlineStr"/>
      <c r="G28" s="9" t="inlineStr"/>
      <c r="H28" s="10" t="inlineStr"/>
      <c r="I28" s="8" t="inlineStr">
        <is>
          <t>Consolation Prize</t>
        </is>
      </c>
      <c r="J28" s="10" t="inlineStr">
        <is>
          <t>Y</t>
        </is>
      </c>
      <c r="K28" s="9" t="inlineStr"/>
    </row>
    <row r="29" ht="22" customHeight="1">
      <c r="B29" s="14" t="inlineStr">
        <is>
          <t>EXT/2025/025</t>
        </is>
      </c>
      <c r="C29" s="15" t="inlineStr"/>
      <c r="D29" s="15" t="inlineStr"/>
      <c r="E29" s="16" t="inlineStr">
        <is>
          <t>Dance (Solo)</t>
        </is>
      </c>
      <c r="F29" s="16" t="inlineStr"/>
      <c r="G29" s="15" t="inlineStr"/>
      <c r="H29" s="16" t="inlineStr"/>
      <c r="I29" s="14" t="inlineStr">
        <is>
          <t>Finalist</t>
        </is>
      </c>
      <c r="J29" s="16" t="inlineStr">
        <is>
          <t>Y</t>
        </is>
      </c>
      <c r="K29" s="15" t="inlineStr"/>
    </row>
    <row r="30" ht="22" customHeight="1">
      <c r="B30" s="8" t="inlineStr">
        <is>
          <t>EXT/2025/026</t>
        </is>
      </c>
      <c r="C30" s="9" t="inlineStr"/>
      <c r="D30" s="9" t="inlineStr"/>
      <c r="E30" s="10" t="inlineStr">
        <is>
          <t>Dance (Group)</t>
        </is>
      </c>
      <c r="F30" s="10" t="inlineStr"/>
      <c r="G30" s="9" t="inlineStr"/>
      <c r="H30" s="10" t="inlineStr"/>
      <c r="I30" s="8" t="inlineStr">
        <is>
          <t>Semi-Finalist</t>
        </is>
      </c>
      <c r="J30" s="10" t="inlineStr">
        <is>
          <t>Y</t>
        </is>
      </c>
      <c r="K30" s="9" t="inlineStr"/>
    </row>
    <row r="31" ht="22" customHeight="1">
      <c r="B31" s="14" t="inlineStr">
        <is>
          <t>EXT/2025/027</t>
        </is>
      </c>
      <c r="C31" s="15" t="inlineStr"/>
      <c r="D31" s="15" t="inlineStr"/>
      <c r="E31" s="16" t="inlineStr">
        <is>
          <t>Theatre / Skit</t>
        </is>
      </c>
      <c r="F31" s="16" t="inlineStr"/>
      <c r="G31" s="15" t="inlineStr"/>
      <c r="H31" s="16" t="inlineStr"/>
      <c r="I31" s="14" t="inlineStr">
        <is>
          <t>Participation</t>
        </is>
      </c>
      <c r="J31" s="16" t="inlineStr">
        <is>
          <t>Y</t>
        </is>
      </c>
      <c r="K31" s="15" t="inlineStr"/>
    </row>
    <row r="32" ht="22" customHeight="1">
      <c r="B32" s="8" t="inlineStr">
        <is>
          <t>EXT/2025/028</t>
        </is>
      </c>
      <c r="C32" s="9" t="inlineStr"/>
      <c r="D32" s="9" t="inlineStr"/>
      <c r="E32" s="10" t="inlineStr">
        <is>
          <t>Debate</t>
        </is>
      </c>
      <c r="F32" s="10" t="inlineStr"/>
      <c r="G32" s="9" t="inlineStr"/>
      <c r="H32" s="10" t="inlineStr"/>
      <c r="I32" s="8" t="inlineStr">
        <is>
          <t>Best Performer</t>
        </is>
      </c>
      <c r="J32" s="10" t="inlineStr">
        <is>
          <t>Y</t>
        </is>
      </c>
      <c r="K32" s="9" t="inlineStr"/>
    </row>
    <row r="33" ht="22" customHeight="1"/>
    <row r="34" ht="24" customHeight="1">
      <c r="B34" s="35" t="inlineStr">
        <is>
          <t>EXTERNAL COMPETITION SUMMARY</t>
        </is>
      </c>
    </row>
    <row r="35" ht="22" customHeight="1">
      <c r="B35" s="43" t="inlineStr">
        <is>
          <t>Total Competitions Participated</t>
        </is>
      </c>
      <c r="F35" s="37">
        <f>COUNTA(B5:B32)</f>
        <v/>
      </c>
    </row>
    <row r="36" ht="22" customHeight="1">
      <c r="B36" s="26" t="inlineStr">
        <is>
          <t>1st Prizes Won</t>
        </is>
      </c>
      <c r="F36" s="38">
        <f>COUNTIF(I5:I32,"1st Prize")</f>
        <v/>
      </c>
    </row>
    <row r="37" ht="22" customHeight="1">
      <c r="B37" s="43" t="inlineStr">
        <is>
          <t>2nd Prizes Won</t>
        </is>
      </c>
      <c r="F37" s="37">
        <f>COUNTIF(I5:I32,"2nd Prize")</f>
        <v/>
      </c>
    </row>
    <row r="38" ht="22" customHeight="1">
      <c r="B38" s="26" t="inlineStr">
        <is>
          <t>3rd Prizes Won</t>
        </is>
      </c>
      <c r="F38" s="38">
        <f>COUNTIF(I5:I32,"3rd Prize")</f>
        <v/>
      </c>
    </row>
    <row r="39" ht="22" customHeight="1">
      <c r="B39" s="43" t="inlineStr">
        <is>
          <t>Total Students Represented</t>
        </is>
      </c>
      <c r="F39" s="37">
        <f>IFERROR(SUM(H5:H32),"")</f>
        <v/>
      </c>
    </row>
    <row r="40">
      <c r="B40" s="26" t="inlineStr">
        <is>
          <t>Best Performing Category</t>
        </is>
      </c>
      <c r="F40" s="38" t="inlineStr"/>
    </row>
  </sheetData>
  <mergeCells count="15">
    <mergeCell ref="B36:E36"/>
    <mergeCell ref="B40:E40"/>
    <mergeCell ref="F38:K38"/>
    <mergeCell ref="B35:E35"/>
    <mergeCell ref="F36:K36"/>
    <mergeCell ref="B37:E37"/>
    <mergeCell ref="B38:E38"/>
    <mergeCell ref="F40:K40"/>
    <mergeCell ref="B39:E39"/>
    <mergeCell ref="F35:K35"/>
    <mergeCell ref="B2:K2"/>
    <mergeCell ref="B34:K34"/>
    <mergeCell ref="F39:K39"/>
    <mergeCell ref="B3:K3"/>
    <mergeCell ref="F37:K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EVT-04: INTRA-INSTITUTIONAL COMPETITION &amp; CULTURAL FEST REGISTER</t>
        </is>
      </c>
    </row>
    <row r="3" ht="25" customHeight="1">
      <c r="B3" s="2" t="inlineStr">
        <is>
          <t>Fest Name: _______  Dates: _______  ACLHC Coordinator: ___________________  A.Y.: _______</t>
        </is>
      </c>
    </row>
    <row r="4" ht="25" customHeight="1">
      <c r="B4" s="13" t="inlineStr">
        <is>
          <t>Event
Ref.</t>
        </is>
      </c>
      <c r="C4" s="13" t="inlineStr">
        <is>
          <t>Event / Competition Title</t>
        </is>
      </c>
      <c r="D4" s="13" t="inlineStr">
        <is>
          <t>Category</t>
        </is>
      </c>
      <c r="E4" s="13" t="inlineStr">
        <is>
          <t>Date</t>
        </is>
      </c>
      <c r="F4" s="13" t="inlineStr">
        <is>
          <t>Venue</t>
        </is>
      </c>
      <c r="G4" s="13" t="inlineStr">
        <is>
          <t>Teams /
Entries</t>
        </is>
      </c>
      <c r="H4" s="13" t="inlineStr">
        <is>
          <t>Participants</t>
        </is>
      </c>
      <c r="I4" s="13" t="inlineStr">
        <is>
          <t>Winner</t>
        </is>
      </c>
      <c r="J4" s="13" t="inlineStr">
        <is>
          <t>Runner-up</t>
        </is>
      </c>
      <c r="K4" s="13" t="inlineStr">
        <is>
          <t>Judge(s)</t>
        </is>
      </c>
    </row>
    <row r="5" ht="22" customHeight="1">
      <c r="B5" s="14" t="inlineStr">
        <is>
          <t>INTRA/001</t>
        </is>
      </c>
      <c r="C5" s="15" t="inlineStr"/>
      <c r="D5" s="16" t="inlineStr">
        <is>
          <t>Fine Arts — Painting</t>
        </is>
      </c>
      <c r="E5" s="16" t="inlineStr"/>
      <c r="F5" s="16" t="inlineStr"/>
      <c r="G5" s="16" t="inlineStr"/>
      <c r="H5" s="16" t="inlineStr"/>
      <c r="I5" s="15" t="inlineStr"/>
      <c r="J5" s="15" t="inlineStr"/>
      <c r="K5" s="15" t="inlineStr"/>
    </row>
    <row r="6" ht="22" customHeight="1">
      <c r="B6" s="8" t="inlineStr">
        <is>
          <t>INTRA/002</t>
        </is>
      </c>
      <c r="C6" s="9" t="inlineStr"/>
      <c r="D6" s="10" t="inlineStr">
        <is>
          <t>Photography</t>
        </is>
      </c>
      <c r="E6" s="10" t="inlineStr"/>
      <c r="F6" s="10" t="inlineStr"/>
      <c r="G6" s="10" t="inlineStr"/>
      <c r="H6" s="10" t="inlineStr"/>
      <c r="I6" s="9" t="inlineStr"/>
      <c r="J6" s="9" t="inlineStr"/>
      <c r="K6" s="9" t="inlineStr"/>
    </row>
    <row r="7" ht="22" customHeight="1">
      <c r="B7" s="14" t="inlineStr">
        <is>
          <t>INTRA/003</t>
        </is>
      </c>
      <c r="C7" s="15" t="inlineStr"/>
      <c r="D7" s="16" t="inlineStr">
        <is>
          <t>Singing (Solo)</t>
        </is>
      </c>
      <c r="E7" s="16" t="inlineStr"/>
      <c r="F7" s="16" t="inlineStr"/>
      <c r="G7" s="16" t="inlineStr"/>
      <c r="H7" s="16" t="inlineStr"/>
      <c r="I7" s="15" t="inlineStr"/>
      <c r="J7" s="15" t="inlineStr"/>
      <c r="K7" s="15" t="inlineStr"/>
    </row>
    <row r="8" ht="22" customHeight="1">
      <c r="B8" s="8" t="inlineStr">
        <is>
          <t>INTRA/004</t>
        </is>
      </c>
      <c r="C8" s="9" t="inlineStr"/>
      <c r="D8" s="10" t="inlineStr">
        <is>
          <t>Singing (Group)</t>
        </is>
      </c>
      <c r="E8" s="10" t="inlineStr"/>
      <c r="F8" s="10" t="inlineStr"/>
      <c r="G8" s="10" t="inlineStr"/>
      <c r="H8" s="10" t="inlineStr"/>
      <c r="I8" s="9" t="inlineStr"/>
      <c r="J8" s="9" t="inlineStr"/>
      <c r="K8" s="9" t="inlineStr"/>
    </row>
    <row r="9" ht="22" customHeight="1">
      <c r="B9" s="14" t="inlineStr">
        <is>
          <t>INTRA/005</t>
        </is>
      </c>
      <c r="C9" s="15" t="inlineStr"/>
      <c r="D9" s="16" t="inlineStr">
        <is>
          <t>Dance (Solo)</t>
        </is>
      </c>
      <c r="E9" s="16" t="inlineStr"/>
      <c r="F9" s="16" t="inlineStr"/>
      <c r="G9" s="16" t="inlineStr"/>
      <c r="H9" s="16" t="inlineStr"/>
      <c r="I9" s="15" t="inlineStr"/>
      <c r="J9" s="15" t="inlineStr"/>
      <c r="K9" s="15" t="inlineStr"/>
    </row>
    <row r="10" ht="22" customHeight="1">
      <c r="B10" s="8" t="inlineStr">
        <is>
          <t>INTRA/006</t>
        </is>
      </c>
      <c r="C10" s="9" t="inlineStr"/>
      <c r="D10" s="10" t="inlineStr">
        <is>
          <t>Dance (Group)</t>
        </is>
      </c>
      <c r="E10" s="10" t="inlineStr"/>
      <c r="F10" s="10" t="inlineStr"/>
      <c r="G10" s="10" t="inlineStr"/>
      <c r="H10" s="10" t="inlineStr"/>
      <c r="I10" s="9" t="inlineStr"/>
      <c r="J10" s="9" t="inlineStr"/>
      <c r="K10" s="9" t="inlineStr"/>
    </row>
    <row r="11" ht="22" customHeight="1">
      <c r="B11" s="14" t="inlineStr">
        <is>
          <t>INTRA/007</t>
        </is>
      </c>
      <c r="C11" s="15" t="inlineStr"/>
      <c r="D11" s="16" t="inlineStr">
        <is>
          <t>Theatre / Skit</t>
        </is>
      </c>
      <c r="E11" s="16" t="inlineStr"/>
      <c r="F11" s="16" t="inlineStr"/>
      <c r="G11" s="16" t="inlineStr"/>
      <c r="H11" s="16" t="inlineStr"/>
      <c r="I11" s="15" t="inlineStr"/>
      <c r="J11" s="15" t="inlineStr"/>
      <c r="K11" s="15" t="inlineStr"/>
    </row>
    <row r="12" ht="22" customHeight="1">
      <c r="B12" s="8" t="inlineStr">
        <is>
          <t>INTRA/008</t>
        </is>
      </c>
      <c r="C12" s="9" t="inlineStr"/>
      <c r="D12" s="10" t="inlineStr">
        <is>
          <t>Debate</t>
        </is>
      </c>
      <c r="E12" s="10" t="inlineStr"/>
      <c r="F12" s="10" t="inlineStr"/>
      <c r="G12" s="10" t="inlineStr"/>
      <c r="H12" s="10" t="inlineStr"/>
      <c r="I12" s="9" t="inlineStr"/>
      <c r="J12" s="9" t="inlineStr"/>
      <c r="K12" s="9" t="inlineStr"/>
    </row>
    <row r="13" ht="22" customHeight="1">
      <c r="B13" s="14" t="inlineStr">
        <is>
          <t>INTRA/009</t>
        </is>
      </c>
      <c r="C13" s="15" t="inlineStr"/>
      <c r="D13" s="16" t="inlineStr">
        <is>
          <t>Elocution</t>
        </is>
      </c>
      <c r="E13" s="16" t="inlineStr"/>
      <c r="F13" s="16" t="inlineStr"/>
      <c r="G13" s="16" t="inlineStr"/>
      <c r="H13" s="16" t="inlineStr"/>
      <c r="I13" s="15" t="inlineStr"/>
      <c r="J13" s="15" t="inlineStr"/>
      <c r="K13" s="15" t="inlineStr"/>
    </row>
    <row r="14" ht="22" customHeight="1">
      <c r="B14" s="8" t="inlineStr">
        <is>
          <t>INTRA/010</t>
        </is>
      </c>
      <c r="C14" s="9" t="inlineStr"/>
      <c r="D14" s="10" t="inlineStr">
        <is>
          <t>Creative Writing</t>
        </is>
      </c>
      <c r="E14" s="10" t="inlineStr"/>
      <c r="F14" s="10" t="inlineStr"/>
      <c r="G14" s="10" t="inlineStr"/>
      <c r="H14" s="10" t="inlineStr"/>
      <c r="I14" s="9" t="inlineStr"/>
      <c r="J14" s="9" t="inlineStr"/>
      <c r="K14" s="9" t="inlineStr"/>
    </row>
    <row r="15" ht="22" customHeight="1">
      <c r="B15" s="14" t="inlineStr">
        <is>
          <t>INTRA/011</t>
        </is>
      </c>
      <c r="C15" s="15" t="inlineStr"/>
      <c r="D15" s="16" t="inlineStr">
        <is>
          <t>Quiz</t>
        </is>
      </c>
      <c r="E15" s="16" t="inlineStr"/>
      <c r="F15" s="16" t="inlineStr"/>
      <c r="G15" s="16" t="inlineStr"/>
      <c r="H15" s="16" t="inlineStr"/>
      <c r="I15" s="15" t="inlineStr"/>
      <c r="J15" s="15" t="inlineStr"/>
      <c r="K15" s="15" t="inlineStr"/>
    </row>
    <row r="16" ht="22" customHeight="1">
      <c r="B16" s="8" t="inlineStr">
        <is>
          <t>INTRA/012</t>
        </is>
      </c>
      <c r="C16" s="9" t="inlineStr"/>
      <c r="D16" s="10" t="inlineStr">
        <is>
          <t>Film Making</t>
        </is>
      </c>
      <c r="E16" s="10" t="inlineStr"/>
      <c r="F16" s="10" t="inlineStr"/>
      <c r="G16" s="10" t="inlineStr"/>
      <c r="H16" s="10" t="inlineStr"/>
      <c r="I16" s="9" t="inlineStr"/>
      <c r="J16" s="9" t="inlineStr"/>
      <c r="K16" s="9" t="inlineStr"/>
    </row>
    <row r="17" ht="22" customHeight="1">
      <c r="B17" s="14" t="inlineStr">
        <is>
          <t>INTRA/013</t>
        </is>
      </c>
      <c r="C17" s="15" t="inlineStr"/>
      <c r="D17" s="16" t="inlineStr">
        <is>
          <t>Craft / Design</t>
        </is>
      </c>
      <c r="E17" s="16" t="inlineStr"/>
      <c r="F17" s="16" t="inlineStr"/>
      <c r="G17" s="16" t="inlineStr"/>
      <c r="H17" s="16" t="inlineStr"/>
      <c r="I17" s="15" t="inlineStr"/>
      <c r="J17" s="15" t="inlineStr"/>
      <c r="K17" s="15" t="inlineStr"/>
    </row>
    <row r="18" ht="22" customHeight="1">
      <c r="B18" s="8" t="inlineStr">
        <is>
          <t>INTRA/014</t>
        </is>
      </c>
      <c r="C18" s="9" t="inlineStr"/>
      <c r="D18" s="10" t="inlineStr">
        <is>
          <t>Fashion Show</t>
        </is>
      </c>
      <c r="E18" s="10" t="inlineStr"/>
      <c r="F18" s="10" t="inlineStr"/>
      <c r="G18" s="10" t="inlineStr"/>
      <c r="H18" s="10" t="inlineStr"/>
      <c r="I18" s="9" t="inlineStr"/>
      <c r="J18" s="9" t="inlineStr"/>
      <c r="K18" s="9" t="inlineStr"/>
    </row>
    <row r="19" ht="22" customHeight="1">
      <c r="B19" s="14" t="inlineStr">
        <is>
          <t>INTRA/015</t>
        </is>
      </c>
      <c r="C19" s="15" t="inlineStr"/>
      <c r="D19" s="16" t="inlineStr">
        <is>
          <t>Stand-up Comedy</t>
        </is>
      </c>
      <c r="E19" s="16" t="inlineStr"/>
      <c r="F19" s="16" t="inlineStr"/>
      <c r="G19" s="16" t="inlineStr"/>
      <c r="H19" s="16" t="inlineStr"/>
      <c r="I19" s="15" t="inlineStr"/>
      <c r="J19" s="15" t="inlineStr"/>
      <c r="K19" s="15" t="inlineStr"/>
    </row>
    <row r="20" ht="22" customHeight="1">
      <c r="B20" s="8" t="inlineStr">
        <is>
          <t>INTRA/016</t>
        </is>
      </c>
      <c r="C20" s="9" t="inlineStr"/>
      <c r="D20" s="10" t="inlineStr">
        <is>
          <t>Photography Contest</t>
        </is>
      </c>
      <c r="E20" s="10" t="inlineStr"/>
      <c r="F20" s="10" t="inlineStr"/>
      <c r="G20" s="10" t="inlineStr"/>
      <c r="H20" s="10" t="inlineStr"/>
      <c r="I20" s="9" t="inlineStr"/>
      <c r="J20" s="9" t="inlineStr"/>
      <c r="K20" s="9" t="inlineStr"/>
    </row>
    <row r="21" ht="22" customHeight="1">
      <c r="B21" s="14" t="inlineStr">
        <is>
          <t>INTRA/017</t>
        </is>
      </c>
      <c r="C21" s="15" t="inlineStr"/>
      <c r="D21" s="16" t="inlineStr">
        <is>
          <t>Cultural Fest</t>
        </is>
      </c>
      <c r="E21" s="16" t="inlineStr"/>
      <c r="F21" s="16" t="inlineStr"/>
      <c r="G21" s="16" t="inlineStr"/>
      <c r="H21" s="16" t="inlineStr"/>
      <c r="I21" s="15" t="inlineStr"/>
      <c r="J21" s="15" t="inlineStr"/>
      <c r="K21" s="15" t="inlineStr"/>
    </row>
    <row r="22" ht="22" customHeight="1">
      <c r="B22" s="8" t="inlineStr">
        <is>
          <t>INTRA/018</t>
        </is>
      </c>
      <c r="C22" s="9" t="inlineStr"/>
      <c r="D22" s="10" t="inlineStr">
        <is>
          <t>Open Mic</t>
        </is>
      </c>
      <c r="E22" s="10" t="inlineStr"/>
      <c r="F22" s="10" t="inlineStr"/>
      <c r="G22" s="10" t="inlineStr"/>
      <c r="H22" s="10" t="inlineStr"/>
      <c r="I22" s="9" t="inlineStr"/>
      <c r="J22" s="9" t="inlineStr"/>
      <c r="K22" s="9" t="inlineStr"/>
    </row>
    <row r="23" ht="22" customHeight="1">
      <c r="B23" s="14" t="inlineStr">
        <is>
          <t>INTRA/019</t>
        </is>
      </c>
      <c r="C23" s="15" t="inlineStr"/>
      <c r="D23" s="16" t="inlineStr">
        <is>
          <t>Model UN</t>
        </is>
      </c>
      <c r="E23" s="16" t="inlineStr"/>
      <c r="F23" s="16" t="inlineStr"/>
      <c r="G23" s="16" t="inlineStr"/>
      <c r="H23" s="16" t="inlineStr"/>
      <c r="I23" s="15" t="inlineStr"/>
      <c r="J23" s="15" t="inlineStr"/>
      <c r="K23" s="15" t="inlineStr"/>
    </row>
    <row r="24" ht="22" customHeight="1">
      <c r="B24" s="8" t="inlineStr">
        <is>
          <t>INTRA/020</t>
        </is>
      </c>
      <c r="C24" s="9" t="inlineStr"/>
      <c r="D24" s="10" t="inlineStr">
        <is>
          <t>Other</t>
        </is>
      </c>
      <c r="E24" s="10" t="inlineStr"/>
      <c r="F24" s="10" t="inlineStr"/>
      <c r="G24" s="10" t="inlineStr"/>
      <c r="H24" s="10" t="inlineStr"/>
      <c r="I24" s="9" t="inlineStr"/>
      <c r="J24" s="9" t="inlineStr"/>
      <c r="K24" s="9" t="inlineStr"/>
    </row>
    <row r="25" ht="22" customHeight="1">
      <c r="B25" s="14" t="inlineStr">
        <is>
          <t>INTRA/021</t>
        </is>
      </c>
      <c r="C25" s="15" t="inlineStr"/>
      <c r="D25" s="16" t="inlineStr">
        <is>
          <t>Fine Arts — Painting</t>
        </is>
      </c>
      <c r="E25" s="16" t="inlineStr"/>
      <c r="F25" s="16" t="inlineStr"/>
      <c r="G25" s="16" t="inlineStr"/>
      <c r="H25" s="16" t="inlineStr"/>
      <c r="I25" s="15" t="inlineStr"/>
      <c r="J25" s="15" t="inlineStr"/>
      <c r="K25" s="15" t="inlineStr"/>
    </row>
    <row r="26" ht="22" customHeight="1">
      <c r="B26" s="8" t="inlineStr">
        <is>
          <t>INTRA/022</t>
        </is>
      </c>
      <c r="C26" s="9" t="inlineStr"/>
      <c r="D26" s="10" t="inlineStr">
        <is>
          <t>Photography</t>
        </is>
      </c>
      <c r="E26" s="10" t="inlineStr"/>
      <c r="F26" s="10" t="inlineStr"/>
      <c r="G26" s="10" t="inlineStr"/>
      <c r="H26" s="10" t="inlineStr"/>
      <c r="I26" s="9" t="inlineStr"/>
      <c r="J26" s="9" t="inlineStr"/>
      <c r="K26" s="9" t="inlineStr"/>
    </row>
    <row r="27" ht="22" customHeight="1">
      <c r="B27" s="14" t="inlineStr">
        <is>
          <t>INTRA/023</t>
        </is>
      </c>
      <c r="C27" s="15" t="inlineStr"/>
      <c r="D27" s="16" t="inlineStr">
        <is>
          <t>Singing (Solo)</t>
        </is>
      </c>
      <c r="E27" s="16" t="inlineStr"/>
      <c r="F27" s="16" t="inlineStr"/>
      <c r="G27" s="16" t="inlineStr"/>
      <c r="H27" s="16" t="inlineStr"/>
      <c r="I27" s="15" t="inlineStr"/>
      <c r="J27" s="15" t="inlineStr"/>
      <c r="K27" s="15" t="inlineStr"/>
    </row>
    <row r="28" ht="22" customHeight="1">
      <c r="B28" s="8" t="inlineStr">
        <is>
          <t>INTRA/024</t>
        </is>
      </c>
      <c r="C28" s="9" t="inlineStr"/>
      <c r="D28" s="10" t="inlineStr">
        <is>
          <t>Singing (Group)</t>
        </is>
      </c>
      <c r="E28" s="10" t="inlineStr"/>
      <c r="F28" s="10" t="inlineStr"/>
      <c r="G28" s="10" t="inlineStr"/>
      <c r="H28" s="10" t="inlineStr"/>
      <c r="I28" s="9" t="inlineStr"/>
      <c r="J28" s="9" t="inlineStr"/>
      <c r="K28" s="9" t="inlineStr"/>
    </row>
    <row r="29" ht="22" customHeight="1">
      <c r="B29" s="14" t="inlineStr">
        <is>
          <t>INTRA/025</t>
        </is>
      </c>
      <c r="C29" s="15" t="inlineStr"/>
      <c r="D29" s="16" t="inlineStr">
        <is>
          <t>Dance (Solo)</t>
        </is>
      </c>
      <c r="E29" s="16" t="inlineStr"/>
      <c r="F29" s="16" t="inlineStr"/>
      <c r="G29" s="16" t="inlineStr"/>
      <c r="H29" s="16" t="inlineStr"/>
      <c r="I29" s="15" t="inlineStr"/>
      <c r="J29" s="15" t="inlineStr"/>
      <c r="K29" s="15" t="inlineStr"/>
    </row>
    <row r="30" ht="22" customHeight="1">
      <c r="B30" s="8" t="inlineStr">
        <is>
          <t>INTRA/026</t>
        </is>
      </c>
      <c r="C30" s="9" t="inlineStr"/>
      <c r="D30" s="10" t="inlineStr">
        <is>
          <t>Dance (Group)</t>
        </is>
      </c>
      <c r="E30" s="10" t="inlineStr"/>
      <c r="F30" s="10" t="inlineStr"/>
      <c r="G30" s="10" t="inlineStr"/>
      <c r="H30" s="10" t="inlineStr"/>
      <c r="I30" s="9" t="inlineStr"/>
      <c r="J30" s="9" t="inlineStr"/>
      <c r="K30" s="9" t="inlineStr"/>
    </row>
    <row r="31" ht="22" customHeight="1"/>
    <row r="32" ht="24" customHeight="1">
      <c r="B32" s="35" t="inlineStr">
        <is>
          <t>INTRA-FEST SUMMARY</t>
        </is>
      </c>
    </row>
    <row r="33" ht="22" customHeight="1">
      <c r="B33" s="31" t="inlineStr">
        <is>
          <t>Category</t>
        </is>
      </c>
      <c r="C33" s="31" t="inlineStr">
        <is>
          <t>Events
Held</t>
        </is>
      </c>
      <c r="D33" s="31" t="inlineStr">
        <is>
          <t>Total
Participants</t>
        </is>
      </c>
      <c r="E33" s="31" t="inlineStr">
        <is>
          <t>Male</t>
        </is>
      </c>
      <c r="F33" s="31" t="inlineStr">
        <is>
          <t>Female</t>
        </is>
      </c>
      <c r="G33" s="31" t="inlineStr">
        <is>
          <t>Depts.
Participated</t>
        </is>
      </c>
      <c r="H33" s="31" t="inlineStr">
        <is>
          <t>Best Dept.
/ Club</t>
        </is>
      </c>
    </row>
    <row r="34" ht="22" customHeight="1">
      <c r="B34" s="33" t="inlineStr">
        <is>
          <t>Fine Arts &amp; Photography</t>
        </is>
      </c>
      <c r="C34" s="34" t="inlineStr"/>
      <c r="D34" s="34" t="inlineStr"/>
      <c r="E34" s="34" t="inlineStr"/>
      <c r="F34" s="34" t="inlineStr"/>
      <c r="G34" s="34" t="inlineStr"/>
      <c r="H34" s="33" t="inlineStr"/>
      <c r="I34" s="39" t="n"/>
      <c r="J34" s="39" t="n"/>
      <c r="K34" s="39" t="n"/>
    </row>
    <row r="35" ht="22" customHeight="1">
      <c r="B35" s="9" t="inlineStr">
        <is>
          <t>Music &amp; Dance</t>
        </is>
      </c>
      <c r="C35" s="10" t="inlineStr"/>
      <c r="D35" s="10" t="inlineStr"/>
      <c r="E35" s="10" t="inlineStr"/>
      <c r="F35" s="10" t="inlineStr"/>
      <c r="G35" s="10" t="inlineStr"/>
      <c r="H35" s="9" t="inlineStr"/>
      <c r="I35" s="40" t="n"/>
      <c r="J35" s="40" t="n"/>
      <c r="K35" s="40" t="n"/>
    </row>
    <row r="36">
      <c r="B36" s="33" t="inlineStr">
        <is>
          <t>Theatre &amp; Drama</t>
        </is>
      </c>
      <c r="C36" s="34" t="inlineStr"/>
      <c r="D36" s="34" t="inlineStr"/>
      <c r="E36" s="34" t="inlineStr"/>
      <c r="F36" s="34" t="inlineStr"/>
      <c r="G36" s="34" t="inlineStr"/>
      <c r="H36" s="33" t="inlineStr"/>
      <c r="I36" s="39" t="n"/>
      <c r="J36" s="39" t="n"/>
      <c r="K36" s="39" t="n"/>
    </row>
    <row r="37">
      <c r="B37" s="9" t="inlineStr">
        <is>
          <t>Literary &amp; Quiz</t>
        </is>
      </c>
      <c r="C37" s="10" t="inlineStr"/>
      <c r="D37" s="10" t="inlineStr"/>
      <c r="E37" s="10" t="inlineStr"/>
      <c r="F37" s="10" t="inlineStr"/>
      <c r="G37" s="10" t="inlineStr"/>
      <c r="H37" s="9" t="inlineStr"/>
      <c r="I37" s="40" t="n"/>
      <c r="J37" s="40" t="n"/>
      <c r="K37" s="40" t="n"/>
    </row>
    <row r="38">
      <c r="B38" s="33" t="inlineStr">
        <is>
          <t>Tech &amp; Design</t>
        </is>
      </c>
      <c r="C38" s="34" t="inlineStr"/>
      <c r="D38" s="34" t="inlineStr"/>
      <c r="E38" s="34" t="inlineStr"/>
      <c r="F38" s="34" t="inlineStr"/>
      <c r="G38" s="34" t="inlineStr"/>
      <c r="H38" s="33" t="inlineStr"/>
      <c r="I38" s="39" t="n"/>
      <c r="J38" s="39" t="n"/>
      <c r="K38" s="39" t="n"/>
    </row>
    <row r="39">
      <c r="B39" s="24" t="inlineStr">
        <is>
          <t>TOTAL</t>
        </is>
      </c>
      <c r="C39" s="41" t="inlineStr"/>
      <c r="D39" s="41" t="inlineStr"/>
      <c r="E39" s="41" t="inlineStr"/>
      <c r="F39" s="41" t="inlineStr"/>
      <c r="G39" s="41" t="inlineStr"/>
      <c r="H39" s="24" t="inlineStr"/>
      <c r="I39" s="42" t="n"/>
      <c r="J39" s="42" t="n"/>
      <c r="K39" s="42" t="n"/>
    </row>
  </sheetData>
  <mergeCells count="3">
    <mergeCell ref="B32:K32"/>
    <mergeCell ref="B3:K3"/>
    <mergeCell ref="B2:K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8" t="inlineStr">
        <is>
          <t>EVT-07: EVENT BUDGET &amp; EXPENDITURE REGISTER (₹)</t>
        </is>
      </c>
    </row>
    <row r="3" ht="25" customHeight="1">
      <c r="B3" s="2" t="inlineStr">
        <is>
          <t>Event Name: _______  Event Ref.: _______  Date: _______  ACLHC Coordinator: ___________________</t>
        </is>
      </c>
    </row>
    <row r="4" ht="24" customHeight="1">
      <c r="B4" s="51" t="inlineStr">
        <is>
          <t>INCOME / REVENUE</t>
        </is>
      </c>
    </row>
    <row r="5" ht="24" customHeight="1">
      <c r="B5" s="52" t="inlineStr">
        <is>
          <t>Sl.</t>
        </is>
      </c>
      <c r="C5" s="52" t="inlineStr">
        <is>
          <t>Source of Revenue</t>
        </is>
      </c>
      <c r="D5" s="52" t="inlineStr">
        <is>
          <t>Estimated
(₹)</t>
        </is>
      </c>
      <c r="E5" s="52" t="inlineStr">
        <is>
          <t>Actual
(₹)</t>
        </is>
      </c>
      <c r="F5" s="52" t="inlineStr">
        <is>
          <t>Variance
(₹)</t>
        </is>
      </c>
      <c r="G5" s="52" t="inlineStr">
        <is>
          <t>Remarks</t>
        </is>
      </c>
    </row>
    <row r="6" ht="24" customHeight="1">
      <c r="B6" s="53" t="n">
        <v>1</v>
      </c>
      <c r="C6" s="54" t="inlineStr">
        <is>
          <t>Institutional Budget Allocation</t>
        </is>
      </c>
      <c r="D6" s="55" t="inlineStr"/>
      <c r="E6" s="55" t="inlineStr"/>
      <c r="F6" s="55">
        <f>IFERROR(D6-E6,"")</f>
        <v/>
      </c>
      <c r="G6" s="54" t="inlineStr"/>
      <c r="H6" s="56" t="n"/>
    </row>
    <row r="7" ht="24" customHeight="1">
      <c r="B7" s="8" t="n">
        <v>2</v>
      </c>
      <c r="C7" s="9" t="inlineStr">
        <is>
          <t>Student Entry Fees / Tickets</t>
        </is>
      </c>
      <c r="D7" s="10" t="inlineStr"/>
      <c r="E7" s="10" t="inlineStr"/>
      <c r="F7" s="10">
        <f>IFERROR(D7-E7,"")</f>
        <v/>
      </c>
      <c r="G7" s="9" t="inlineStr"/>
      <c r="H7" s="40" t="n"/>
    </row>
    <row r="8" ht="24" customHeight="1">
      <c r="B8" s="53" t="n">
        <v>3</v>
      </c>
      <c r="C8" s="54" t="inlineStr">
        <is>
          <t>Stall Charges</t>
        </is>
      </c>
      <c r="D8" s="55" t="inlineStr"/>
      <c r="E8" s="55" t="inlineStr"/>
      <c r="F8" s="55">
        <f>IFERROR(D8-E8,"")</f>
        <v/>
      </c>
      <c r="G8" s="54" t="inlineStr"/>
      <c r="H8" s="56" t="n"/>
    </row>
    <row r="9" ht="24" customHeight="1">
      <c r="B9" s="8" t="n">
        <v>4</v>
      </c>
      <c r="C9" s="9" t="inlineStr">
        <is>
          <t>Sponsorship — Cash</t>
        </is>
      </c>
      <c r="D9" s="10" t="inlineStr"/>
      <c r="E9" s="10" t="inlineStr"/>
      <c r="F9" s="10">
        <f>IFERROR(D9-E9,"")</f>
        <v/>
      </c>
      <c r="G9" s="9" t="inlineStr"/>
      <c r="H9" s="40" t="n"/>
    </row>
    <row r="10" ht="24" customHeight="1">
      <c r="B10" s="53" t="n">
        <v>5</v>
      </c>
      <c r="C10" s="54" t="inlineStr">
        <is>
          <t>Sponsorship — In-kind (value)</t>
        </is>
      </c>
      <c r="D10" s="55" t="inlineStr"/>
      <c r="E10" s="55" t="inlineStr"/>
      <c r="F10" s="55">
        <f>IFERROR(D10-E10,"")</f>
        <v/>
      </c>
      <c r="G10" s="54" t="inlineStr"/>
      <c r="H10" s="56" t="n"/>
    </row>
    <row r="11" ht="24" customHeight="1">
      <c r="B11" s="8" t="n">
        <v>6</v>
      </c>
      <c r="C11" s="9" t="inlineStr">
        <is>
          <t>Alumni Contribution</t>
        </is>
      </c>
      <c r="D11" s="10" t="inlineStr"/>
      <c r="E11" s="10" t="inlineStr"/>
      <c r="F11" s="10">
        <f>IFERROR(D11-E11,"")</f>
        <v/>
      </c>
      <c r="G11" s="9" t="inlineStr"/>
      <c r="H11" s="40" t="n"/>
    </row>
    <row r="12" ht="24" customHeight="1">
      <c r="B12" s="53" t="n">
        <v>7</v>
      </c>
      <c r="C12" s="54" t="inlineStr">
        <is>
          <t>External Registration Fees</t>
        </is>
      </c>
      <c r="D12" s="55" t="inlineStr"/>
      <c r="E12" s="55" t="inlineStr"/>
      <c r="F12" s="55">
        <f>IFERROR(D12-E12,"")</f>
        <v/>
      </c>
      <c r="G12" s="54" t="inlineStr"/>
      <c r="H12" s="56" t="n"/>
    </row>
    <row r="13" ht="24" customHeight="1">
      <c r="B13" s="8" t="n">
        <v>8</v>
      </c>
      <c r="C13" s="9" t="inlineStr">
        <is>
          <t>Other Income</t>
        </is>
      </c>
      <c r="D13" s="10" t="inlineStr"/>
      <c r="E13" s="10" t="inlineStr"/>
      <c r="F13" s="10">
        <f>IFERROR(D13-E13,"")</f>
        <v/>
      </c>
      <c r="G13" s="9" t="inlineStr"/>
      <c r="H13" s="40" t="n"/>
    </row>
    <row r="14" ht="24" customHeight="1"/>
    <row r="15" ht="26" customHeight="1">
      <c r="B15" s="57" t="inlineStr">
        <is>
          <t>TOTAL INCOME</t>
        </is>
      </c>
      <c r="C15" s="58" t="n"/>
      <c r="D15" s="59">
        <f>IFERROR(SUM(D6:D13),"")</f>
        <v/>
      </c>
      <c r="E15" s="59">
        <f>IFERROR(SUM(E6:E13),"")</f>
        <v/>
      </c>
      <c r="F15" s="59">
        <f>IFERROR(SUM(F6:F13),"")</f>
        <v/>
      </c>
    </row>
    <row r="16" ht="24" customHeight="1"/>
    <row r="17" ht="24" customHeight="1">
      <c r="B17" s="49" t="inlineStr">
        <is>
          <t>EXPENDITURE</t>
        </is>
      </c>
    </row>
    <row r="18" ht="24" customHeight="1">
      <c r="B18" s="60" t="inlineStr">
        <is>
          <t>Sl.</t>
        </is>
      </c>
      <c r="C18" s="60" t="inlineStr">
        <is>
          <t>Expense Head</t>
        </is>
      </c>
      <c r="D18" s="60" t="inlineStr">
        <is>
          <t>Estimated
(₹)</t>
        </is>
      </c>
      <c r="E18" s="60" t="inlineStr">
        <is>
          <t>Actual
(₹)</t>
        </is>
      </c>
      <c r="F18" s="60" t="inlineStr">
        <is>
          <t>Variance
(₹)</t>
        </is>
      </c>
      <c r="G18" s="60" t="inlineStr">
        <is>
          <t>Vendor / Bill No.</t>
        </is>
      </c>
    </row>
    <row r="19" ht="24" customHeight="1">
      <c r="B19" s="61" t="n">
        <v>1</v>
      </c>
      <c r="C19" s="62" t="inlineStr">
        <is>
          <t>Venue / Hall Charges</t>
        </is>
      </c>
      <c r="D19" s="63" t="inlineStr"/>
      <c r="E19" s="63" t="inlineStr"/>
      <c r="F19" s="63">
        <f>IFERROR(D19-E19,"")</f>
        <v/>
      </c>
      <c r="G19" s="62" t="inlineStr"/>
      <c r="H19" s="64" t="n"/>
    </row>
    <row r="20" ht="24" customHeight="1">
      <c r="B20" s="8" t="n">
        <v>2</v>
      </c>
      <c r="C20" s="9" t="inlineStr">
        <is>
          <t>Stage / Decoration</t>
        </is>
      </c>
      <c r="D20" s="10" t="inlineStr"/>
      <c r="E20" s="10" t="inlineStr"/>
      <c r="F20" s="10">
        <f>IFERROR(D20-E20,"")</f>
        <v/>
      </c>
      <c r="G20" s="9" t="inlineStr"/>
      <c r="H20" s="40" t="n"/>
    </row>
    <row r="21" ht="24" customHeight="1">
      <c r="B21" s="61" t="n">
        <v>3</v>
      </c>
      <c r="C21" s="62" t="inlineStr">
        <is>
          <t>Sound &amp; Lighting System</t>
        </is>
      </c>
      <c r="D21" s="63" t="inlineStr"/>
      <c r="E21" s="63" t="inlineStr"/>
      <c r="F21" s="63">
        <f>IFERROR(D21-E21,"")</f>
        <v/>
      </c>
      <c r="G21" s="62" t="inlineStr"/>
      <c r="H21" s="64" t="n"/>
    </row>
    <row r="22" ht="24" customHeight="1">
      <c r="B22" s="8" t="n">
        <v>4</v>
      </c>
      <c r="C22" s="9" t="inlineStr">
        <is>
          <t>Instruments / Props</t>
        </is>
      </c>
      <c r="D22" s="10" t="inlineStr"/>
      <c r="E22" s="10" t="inlineStr"/>
      <c r="F22" s="10">
        <f>IFERROR(D22-E22,"")</f>
        <v/>
      </c>
      <c r="G22" s="9" t="inlineStr"/>
      <c r="H22" s="40" t="n"/>
    </row>
    <row r="23" ht="24" customHeight="1">
      <c r="B23" s="61" t="n">
        <v>5</v>
      </c>
      <c r="C23" s="62" t="inlineStr">
        <is>
          <t>Costumes / Uniforms</t>
        </is>
      </c>
      <c r="D23" s="63" t="inlineStr"/>
      <c r="E23" s="63" t="inlineStr"/>
      <c r="F23" s="63">
        <f>IFERROR(D23-E23,"")</f>
        <v/>
      </c>
      <c r="G23" s="62" t="inlineStr"/>
      <c r="H23" s="64" t="n"/>
    </row>
    <row r="24" ht="24" customHeight="1">
      <c r="B24" s="8" t="n">
        <v>6</v>
      </c>
      <c r="C24" s="9" t="inlineStr">
        <is>
          <t>Prizes / Trophies / Certificates</t>
        </is>
      </c>
      <c r="D24" s="10" t="inlineStr"/>
      <c r="E24" s="10" t="inlineStr"/>
      <c r="F24" s="10">
        <f>IFERROR(D24-E24,"")</f>
        <v/>
      </c>
      <c r="G24" s="9" t="inlineStr"/>
      <c r="H24" s="40" t="n"/>
    </row>
    <row r="25" ht="24" customHeight="1">
      <c r="B25" s="61" t="n">
        <v>7</v>
      </c>
      <c r="C25" s="62" t="inlineStr">
        <is>
          <t>Guest Artiste / Judge Fees</t>
        </is>
      </c>
      <c r="D25" s="63" t="inlineStr"/>
      <c r="E25" s="63" t="inlineStr"/>
      <c r="F25" s="63">
        <f>IFERROR(D25-E25,"")</f>
        <v/>
      </c>
      <c r="G25" s="62" t="inlineStr"/>
      <c r="H25" s="64" t="n"/>
    </row>
    <row r="26" ht="24" customHeight="1">
      <c r="B26" s="8" t="n">
        <v>8</v>
      </c>
      <c r="C26" s="9" t="inlineStr">
        <is>
          <t>Photography / Videography</t>
        </is>
      </c>
      <c r="D26" s="10" t="inlineStr"/>
      <c r="E26" s="10" t="inlineStr"/>
      <c r="F26" s="10">
        <f>IFERROR(D26-E26,"")</f>
        <v/>
      </c>
      <c r="G26" s="9" t="inlineStr"/>
      <c r="H26" s="40" t="n"/>
    </row>
    <row r="27" ht="24" customHeight="1">
      <c r="B27" s="61" t="n">
        <v>9</v>
      </c>
      <c r="C27" s="62" t="inlineStr">
        <is>
          <t>Printing (Banners, Posters, Tickets)</t>
        </is>
      </c>
      <c r="D27" s="63" t="inlineStr"/>
      <c r="E27" s="63" t="inlineStr"/>
      <c r="F27" s="63">
        <f>IFERROR(D27-E27,"")</f>
        <v/>
      </c>
      <c r="G27" s="62" t="inlineStr"/>
      <c r="H27" s="64" t="n"/>
    </row>
    <row r="28" ht="24" customHeight="1">
      <c r="B28" s="8" t="n">
        <v>10</v>
      </c>
      <c r="C28" s="9" t="inlineStr">
        <is>
          <t>Catering / Refreshments</t>
        </is>
      </c>
      <c r="D28" s="10" t="inlineStr"/>
      <c r="E28" s="10" t="inlineStr"/>
      <c r="F28" s="10">
        <f>IFERROR(D28-E28,"")</f>
        <v/>
      </c>
      <c r="G28" s="9" t="inlineStr"/>
      <c r="H28" s="40" t="n"/>
    </row>
    <row r="29" ht="24" customHeight="1">
      <c r="B29" s="61" t="n">
        <v>11</v>
      </c>
      <c r="C29" s="62" t="inlineStr">
        <is>
          <t>Transport (Outstation)</t>
        </is>
      </c>
      <c r="D29" s="63" t="inlineStr"/>
      <c r="E29" s="63" t="inlineStr"/>
      <c r="F29" s="63">
        <f>IFERROR(D29-E29,"")</f>
        <v/>
      </c>
      <c r="G29" s="62" t="inlineStr"/>
      <c r="H29" s="64" t="n"/>
    </row>
    <row r="30" ht="24" customHeight="1">
      <c r="B30" s="8" t="n">
        <v>12</v>
      </c>
      <c r="C30" s="9" t="inlineStr">
        <is>
          <t>Accommodation (if any)</t>
        </is>
      </c>
      <c r="D30" s="10" t="inlineStr"/>
      <c r="E30" s="10" t="inlineStr"/>
      <c r="F30" s="10">
        <f>IFERROR(D30-E30,"")</f>
        <v/>
      </c>
      <c r="G30" s="9" t="inlineStr"/>
      <c r="H30" s="40" t="n"/>
    </row>
    <row r="31" ht="24" customHeight="1">
      <c r="B31" s="61" t="n">
        <v>13</v>
      </c>
      <c r="C31" s="62" t="inlineStr">
        <is>
          <t>Stationery &amp; Miscellaneous</t>
        </is>
      </c>
      <c r="D31" s="63" t="inlineStr"/>
      <c r="E31" s="63" t="inlineStr"/>
      <c r="F31" s="63">
        <f>IFERROR(D31-E31,"")</f>
        <v/>
      </c>
      <c r="G31" s="62" t="inlineStr"/>
      <c r="H31" s="64" t="n"/>
    </row>
    <row r="32" ht="24" customHeight="1">
      <c r="B32" s="8" t="n">
        <v>14</v>
      </c>
      <c r="C32" s="9" t="inlineStr">
        <is>
          <t>Contingency</t>
        </is>
      </c>
      <c r="D32" s="10" t="inlineStr"/>
      <c r="E32" s="10" t="inlineStr"/>
      <c r="F32" s="10">
        <f>IFERROR(D32-E32,"")</f>
        <v/>
      </c>
      <c r="G32" s="9" t="inlineStr"/>
      <c r="H32" s="40" t="n"/>
    </row>
    <row r="33" ht="24" customHeight="1"/>
    <row r="34" ht="26" customHeight="1">
      <c r="B34" s="65" t="inlineStr">
        <is>
          <t>TOTAL EXPENDITURE</t>
        </is>
      </c>
      <c r="C34" s="66" t="n"/>
      <c r="D34" s="59">
        <f>IFERROR(SUM(D19:D32),"")</f>
        <v/>
      </c>
      <c r="E34" s="59">
        <f>IFERROR(SUM(E19:E32),"")</f>
        <v/>
      </c>
      <c r="F34" s="59">
        <f>IFERROR(SUM(F19:F32),"")</f>
        <v/>
      </c>
    </row>
    <row r="35" ht="24" customHeight="1"/>
    <row r="36" ht="24" customHeight="1">
      <c r="B36" s="20" t="inlineStr">
        <is>
          <t>SURPLUS / DEFICIT SUMMARY</t>
        </is>
      </c>
    </row>
    <row r="37" ht="28" customHeight="1">
      <c r="B37" s="43" t="inlineStr">
        <is>
          <t>Total Income (₹)</t>
        </is>
      </c>
      <c r="E37" s="67">
        <f>IFERROR(E15,"")</f>
        <v/>
      </c>
    </row>
    <row r="38" ht="28" customHeight="1">
      <c r="B38" s="26" t="inlineStr">
        <is>
          <t>Total Expenditure (₹)</t>
        </is>
      </c>
      <c r="E38" s="67">
        <f>IFERROR(E34,"")</f>
        <v/>
      </c>
    </row>
    <row r="39" ht="28" customHeight="1">
      <c r="B39" s="43" t="inlineStr">
        <is>
          <t>Surplus / (Deficit) (₹)</t>
        </is>
      </c>
      <c r="E39" s="67">
        <f>IFERROR(E37-E38,"")</f>
        <v/>
      </c>
    </row>
    <row r="40" ht="24" customHeight="1"/>
    <row r="41" ht="24" customHeight="1"/>
  </sheetData>
  <mergeCells count="12">
    <mergeCell ref="B36:H36"/>
    <mergeCell ref="B37:D37"/>
    <mergeCell ref="B17:H17"/>
    <mergeCell ref="E39:H39"/>
    <mergeCell ref="B4:H4"/>
    <mergeCell ref="C15"/>
    <mergeCell ref="E38:H38"/>
    <mergeCell ref="B2:H2"/>
    <mergeCell ref="B39:D39"/>
    <mergeCell ref="B3:H3"/>
    <mergeCell ref="B38:D38"/>
    <mergeCell ref="E37:H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E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8" t="inlineStr">
        <is>
          <t>EVT-09: EVENT POST-REPORT &amp; DOCUMENTATION FORM</t>
        </is>
      </c>
    </row>
    <row r="3" ht="25" customHeight="1">
      <c r="B3" s="2" t="inlineStr">
        <is>
          <t>Event Ref.: _______  Event Name: _______  Date(s): _______  Submitted by: _______  Date: _______</t>
        </is>
      </c>
    </row>
    <row r="4" ht="24" customHeight="1">
      <c r="B4" s="20" t="inlineStr">
        <is>
          <t>SECTION A — EVENT OUTCOME SUMMARY</t>
        </is>
      </c>
    </row>
    <row r="5" ht="26" customHeight="1">
      <c r="B5" s="45" t="inlineStr">
        <is>
          <t>Actual Date(s) of Event:</t>
        </is>
      </c>
      <c r="C5" s="9" t="n"/>
    </row>
    <row r="6" ht="26" customHeight="1">
      <c r="B6" s="45" t="inlineStr">
        <is>
          <t>Actual Venue:</t>
        </is>
      </c>
      <c r="C6" s="9" t="n"/>
    </row>
    <row r="7" ht="26" customHeight="1">
      <c r="B7" s="45" t="inlineStr">
        <is>
          <t>Total Participants:</t>
        </is>
      </c>
      <c r="C7" s="9" t="n"/>
    </row>
    <row r="8" ht="26" customHeight="1">
      <c r="B8" s="45" t="inlineStr">
        <is>
          <t>Footfall (Audience / Visitors):</t>
        </is>
      </c>
      <c r="C8" s="9" t="n"/>
    </row>
    <row r="9" ht="26" customHeight="1">
      <c r="B9" s="45" t="inlineStr">
        <is>
          <t>Events / Competitions Conducted:</t>
        </is>
      </c>
      <c r="C9" s="9" t="n"/>
    </row>
    <row r="10" ht="26" customHeight="1">
      <c r="B10" s="45" t="inlineStr">
        <is>
          <t>External Guests / Judges Present:</t>
        </is>
      </c>
      <c r="C10" s="9" t="n"/>
    </row>
    <row r="11" ht="26" customHeight="1">
      <c r="B11" s="45" t="inlineStr">
        <is>
          <t>Sponsors / Partners (actual):</t>
        </is>
      </c>
      <c r="C11" s="9" t="n"/>
    </row>
    <row r="12" ht="26" customHeight="1">
      <c r="B12" s="45" t="inlineStr">
        <is>
          <t>Was the event held as planned?</t>
        </is>
      </c>
      <c r="C12" s="46" t="inlineStr">
        <is>
          <t>[ ] Yes, as planned   [ ] Yes, with minor changes   [ ] Significant deviations — explain below</t>
        </is>
      </c>
    </row>
    <row r="13" ht="28" customHeight="1"/>
    <row r="14" ht="24" customHeight="1">
      <c r="B14" s="49" t="inlineStr">
        <is>
          <t>SECTION B — HIGHLIGHTS &amp; KEY ACHIEVEMENTS</t>
        </is>
      </c>
    </row>
    <row r="15" ht="26" customHeight="1">
      <c r="B15" s="68" t="inlineStr">
        <is>
          <t>Top Performances / Winning Entries:</t>
        </is>
      </c>
      <c r="C15" s="9" t="n"/>
    </row>
    <row r="16" ht="26" customHeight="1">
      <c r="B16" s="68" t="inlineStr">
        <is>
          <t>Awards Won (if external event):</t>
        </is>
      </c>
      <c r="C16" s="9" t="n"/>
    </row>
    <row r="17" ht="26" customHeight="1">
      <c r="B17" s="68" t="inlineStr">
        <is>
          <t>Notable Guest Contributions:</t>
        </is>
      </c>
      <c r="C17" s="9" t="n"/>
    </row>
    <row r="18" ht="26" customHeight="1">
      <c r="B18" s="68" t="inlineStr">
        <is>
          <t>Media Coverage Obtained:</t>
        </is>
      </c>
      <c r="C18" s="9" t="n"/>
    </row>
    <row r="19" ht="26" customHeight="1">
      <c r="B19" s="68" t="inlineStr">
        <is>
          <t>Audience Response / Rating:</t>
        </is>
      </c>
      <c r="C19" s="46" t="inlineStr">
        <is>
          <t>[ ] Excellent  [ ] Good  [ ] Average  [ ] Below Expectations</t>
        </is>
      </c>
    </row>
    <row r="20" ht="28" customHeight="1"/>
    <row r="21" ht="24" customHeight="1">
      <c r="B21" s="21" t="inlineStr">
        <is>
          <t>SECTION C — BUDGET ACTUALS</t>
        </is>
      </c>
    </row>
    <row r="22" ht="26" customHeight="1">
      <c r="B22" s="48" t="inlineStr">
        <is>
          <t>Actual Total Income (₹):</t>
        </is>
      </c>
      <c r="C22" s="9" t="n"/>
    </row>
    <row r="23" ht="26" customHeight="1">
      <c r="B23" s="48" t="inlineStr">
        <is>
          <t>Actual Total Expenditure (₹):</t>
        </is>
      </c>
      <c r="C23" s="9" t="n"/>
    </row>
    <row r="24" ht="26" customHeight="1">
      <c r="B24" s="48" t="inlineStr">
        <is>
          <t>Surplus / (Deficit) (₹):</t>
        </is>
      </c>
      <c r="C24" s="9" t="n"/>
    </row>
    <row r="25" ht="26" customHeight="1">
      <c r="B25" s="48" t="inlineStr">
        <is>
          <t>Unexpended funds returned to Finance:</t>
        </is>
      </c>
      <c r="C25" s="46" t="inlineStr">
        <is>
          <t>[ ] Yes   [ ] No — Reason: _______</t>
        </is>
      </c>
    </row>
    <row r="26" ht="28" customHeight="1"/>
    <row r="27" ht="24" customHeight="1">
      <c r="B27" s="35" t="inlineStr">
        <is>
          <t>SECTION D — DOCUMENTATION CHECKLIST</t>
        </is>
      </c>
    </row>
    <row r="28" ht="22" customHeight="1">
      <c r="B28" s="69" t="inlineStr">
        <is>
          <t>[ ]  Event report narrative (1–2 pages) attached</t>
        </is>
      </c>
    </row>
    <row r="29" ht="22" customHeight="1">
      <c r="B29" s="70" t="inlineStr">
        <is>
          <t>[ ]  Participant / attendance list attached</t>
        </is>
      </c>
    </row>
    <row r="30" ht="22" customHeight="1">
      <c r="B30" s="69" t="inlineStr">
        <is>
          <t>[ ]  Photo documentation (min. 20 photos) uploaded / attached</t>
        </is>
      </c>
    </row>
    <row r="31" ht="22" customHeight="1">
      <c r="B31" s="70" t="inlineStr">
        <is>
          <t>[ ]  Video highlights (if available) uploaded</t>
        </is>
      </c>
    </row>
    <row r="32" ht="22" customHeight="1">
      <c r="B32" s="69" t="inlineStr">
        <is>
          <t>[ ]  Award / certificate copies enclosed</t>
        </is>
      </c>
    </row>
    <row r="33" ht="22" customHeight="1">
      <c r="B33" s="70" t="inlineStr">
        <is>
          <t>[ ]  Media clippings / press coverage attached</t>
        </is>
      </c>
    </row>
    <row r="34" ht="22" customHeight="1">
      <c r="B34" s="69" t="inlineStr">
        <is>
          <t>[ ]  Feedback forms collected from participants</t>
        </is>
      </c>
    </row>
    <row r="35" ht="22" customHeight="1">
      <c r="B35" s="70" t="inlineStr">
        <is>
          <t>[ ]  Financial bills / vouchers submitted to Finance</t>
        </is>
      </c>
    </row>
    <row r="36" ht="22" customHeight="1">
      <c r="B36" s="69" t="inlineStr">
        <is>
          <t>[ ]  Post-event social media posts done</t>
        </is>
      </c>
    </row>
    <row r="37" ht="28" customHeight="1"/>
    <row r="38" ht="24" customHeight="1">
      <c r="B38" s="20" t="inlineStr">
        <is>
          <t>SECTION E — LEARNINGS &amp; SUGGESTIONS</t>
        </is>
      </c>
    </row>
    <row r="39" ht="22" customHeight="1">
      <c r="B39" s="71" t="inlineStr">
        <is>
          <t>What went well:</t>
        </is>
      </c>
    </row>
    <row r="40" ht="50" customHeight="1">
      <c r="B40" s="72" t="inlineStr"/>
    </row>
    <row r="41" ht="22" customHeight="1"/>
    <row r="42" ht="22" customHeight="1">
      <c r="B42" s="71" t="inlineStr">
        <is>
          <t>What could be improved:</t>
        </is>
      </c>
    </row>
    <row r="43" ht="50" customHeight="1">
      <c r="B43" s="72" t="inlineStr"/>
    </row>
    <row r="44" ht="28" customHeight="1"/>
    <row r="45" ht="22" customHeight="1">
      <c r="B45" s="71" t="inlineStr">
        <is>
          <t>Suggestions for next edition:</t>
        </is>
      </c>
    </row>
    <row r="46" ht="50" customHeight="1">
      <c r="B46" s="72" t="inlineStr"/>
    </row>
    <row r="47" ht="28" customHeight="1"/>
    <row r="48">
      <c r="B48" s="30" t="inlineStr">
        <is>
          <t>Club Head: ___________________    Faculty Advisor: ___________________    ACLHC Coordinator: ___________________    Date: ___________________</t>
        </is>
      </c>
    </row>
  </sheetData>
  <mergeCells count="42">
    <mergeCell ref="C16:E16"/>
    <mergeCell ref="B40:E40"/>
    <mergeCell ref="B43:E44"/>
    <mergeCell ref="C22:E22"/>
    <mergeCell ref="B30:E30"/>
    <mergeCell ref="C9:E9"/>
    <mergeCell ref="B46:E47"/>
    <mergeCell ref="B33:E33"/>
    <mergeCell ref="C12:E12"/>
    <mergeCell ref="B36:E36"/>
    <mergeCell ref="B32:E32"/>
    <mergeCell ref="B45:E45"/>
    <mergeCell ref="B41:E41"/>
    <mergeCell ref="C11:E11"/>
    <mergeCell ref="B35:E35"/>
    <mergeCell ref="B4:E4"/>
    <mergeCell ref="C23:E23"/>
    <mergeCell ref="C8:E8"/>
    <mergeCell ref="C17:E17"/>
    <mergeCell ref="B3:E3"/>
    <mergeCell ref="C7:E7"/>
    <mergeCell ref="B31:E31"/>
    <mergeCell ref="B27:E27"/>
    <mergeCell ref="C19:E19"/>
    <mergeCell ref="B21:E21"/>
    <mergeCell ref="B48:E48"/>
    <mergeCell ref="C18:E18"/>
    <mergeCell ref="B39:E39"/>
    <mergeCell ref="B2:E2"/>
    <mergeCell ref="B42:E42"/>
    <mergeCell ref="C15:E15"/>
    <mergeCell ref="B40:E41"/>
    <mergeCell ref="B14:E14"/>
    <mergeCell ref="C6:E6"/>
    <mergeCell ref="C24:E24"/>
    <mergeCell ref="C5:E5"/>
    <mergeCell ref="B38:E38"/>
    <mergeCell ref="B29:E29"/>
    <mergeCell ref="B34:E34"/>
    <mergeCell ref="B28:E28"/>
    <mergeCell ref="C25:E25"/>
    <mergeCell ref="C10:E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K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8" t="inlineStr">
        <is>
          <t>ARTS-01 TO 11: CONSOLIDATED CLUB ACTIVITY LOG — ALL CLUBS</t>
        </is>
      </c>
    </row>
    <row r="3" ht="25" customHeight="1">
      <c r="B3" s="2" t="inlineStr">
        <is>
          <t>A.Y.: _______  ACLHC Coordinator: ___________________  Updated: Quarterly</t>
        </is>
      </c>
    </row>
    <row r="4" ht="25" customHeight="1">
      <c r="B4" s="13" t="inlineStr">
        <is>
          <t>Activity
Ref.</t>
        </is>
      </c>
      <c r="C4" s="13" t="inlineStr">
        <is>
          <t>Club Name</t>
        </is>
      </c>
      <c r="D4" s="13" t="inlineStr">
        <is>
          <t>Activity / Event</t>
        </is>
      </c>
      <c r="E4" s="13" t="inlineStr">
        <is>
          <t>Date</t>
        </is>
      </c>
      <c r="F4" s="13" t="inlineStr">
        <is>
          <t>Mode</t>
        </is>
      </c>
      <c r="G4" s="13" t="inlineStr">
        <is>
          <t>Participants</t>
        </is>
      </c>
      <c r="H4" s="13" t="inlineStr">
        <is>
          <t>Audience
/ Reach</t>
        </is>
      </c>
      <c r="I4" s="13" t="inlineStr">
        <is>
          <t>Award /
Outcome</t>
        </is>
      </c>
      <c r="J4" s="13" t="inlineStr">
        <is>
          <t>Internal /
External</t>
        </is>
      </c>
      <c r="K4" s="13" t="inlineStr">
        <is>
          <t>Status</t>
        </is>
      </c>
    </row>
    <row r="5" ht="22" customHeight="1">
      <c r="B5" s="14" t="inlineStr">
        <is>
          <t>ACT/2024/0001</t>
        </is>
      </c>
      <c r="C5" s="15" t="inlineStr">
        <is>
          <t>Fine Arts &amp; Painting Club</t>
        </is>
      </c>
      <c r="D5" s="16" t="inlineStr">
        <is>
          <t>Competition (Internal)</t>
        </is>
      </c>
      <c r="E5" s="16" t="inlineStr"/>
      <c r="F5" s="16" t="inlineStr">
        <is>
          <t>Physical</t>
        </is>
      </c>
      <c r="G5" s="16" t="inlineStr"/>
      <c r="H5" s="16" t="inlineStr"/>
      <c r="I5" s="15" t="inlineStr"/>
      <c r="J5" s="16" t="inlineStr">
        <is>
          <t>Internal</t>
        </is>
      </c>
      <c r="K5" s="16" t="inlineStr">
        <is>
          <t>Completed</t>
        </is>
      </c>
    </row>
    <row r="6" ht="22" customHeight="1">
      <c r="B6" s="8" t="inlineStr">
        <is>
          <t>ACT/2024/0002</t>
        </is>
      </c>
      <c r="C6" s="9" t="inlineStr">
        <is>
          <t>Photography &amp; Cinematography Club</t>
        </is>
      </c>
      <c r="D6" s="10" t="inlineStr">
        <is>
          <t>Competition (External)</t>
        </is>
      </c>
      <c r="E6" s="10" t="inlineStr"/>
      <c r="F6" s="10" t="inlineStr">
        <is>
          <t>Online</t>
        </is>
      </c>
      <c r="G6" s="10" t="inlineStr"/>
      <c r="H6" s="10" t="inlineStr"/>
      <c r="I6" s="9" t="inlineStr"/>
      <c r="J6" s="10" t="inlineStr">
        <is>
          <t>Internal</t>
        </is>
      </c>
      <c r="K6" s="10" t="inlineStr">
        <is>
          <t>Completed</t>
        </is>
      </c>
    </row>
    <row r="7" ht="22" customHeight="1">
      <c r="B7" s="14" t="inlineStr">
        <is>
          <t>ACT/2024/0003</t>
        </is>
      </c>
      <c r="C7" s="15" t="inlineStr">
        <is>
          <t>Music Club (Vocal &amp; Instrumental)</t>
        </is>
      </c>
      <c r="D7" s="16" t="inlineStr">
        <is>
          <t>Performance</t>
        </is>
      </c>
      <c r="E7" s="16" t="inlineStr"/>
      <c r="F7" s="16" t="inlineStr">
        <is>
          <t>Hybrid</t>
        </is>
      </c>
      <c r="G7" s="16" t="inlineStr"/>
      <c r="H7" s="16" t="inlineStr"/>
      <c r="I7" s="15" t="inlineStr"/>
      <c r="J7" s="16" t="inlineStr">
        <is>
          <t>External</t>
        </is>
      </c>
      <c r="K7" s="16" t="inlineStr">
        <is>
          <t>Completed</t>
        </is>
      </c>
    </row>
    <row r="8" ht="22" customHeight="1">
      <c r="B8" s="8" t="inlineStr">
        <is>
          <t>ACT/2024/0004</t>
        </is>
      </c>
      <c r="C8" s="9" t="inlineStr">
        <is>
          <t>Western Music / Band Club</t>
        </is>
      </c>
      <c r="D8" s="10" t="inlineStr">
        <is>
          <t>Exhibition</t>
        </is>
      </c>
      <c r="E8" s="10" t="inlineStr"/>
      <c r="F8" s="10" t="inlineStr">
        <is>
          <t>Physical</t>
        </is>
      </c>
      <c r="G8" s="10" t="inlineStr"/>
      <c r="H8" s="10" t="inlineStr"/>
      <c r="I8" s="9" t="inlineStr"/>
      <c r="J8" s="10" t="inlineStr">
        <is>
          <t>Internal</t>
        </is>
      </c>
      <c r="K8" s="10" t="inlineStr">
        <is>
          <t>Completed</t>
        </is>
      </c>
    </row>
    <row r="9" ht="22" customHeight="1">
      <c r="B9" s="14" t="inlineStr">
        <is>
          <t>ACT/2024/0005</t>
        </is>
      </c>
      <c r="C9" s="15" t="inlineStr">
        <is>
          <t>Classical Dance Club</t>
        </is>
      </c>
      <c r="D9" s="16" t="inlineStr">
        <is>
          <t>Workshop</t>
        </is>
      </c>
      <c r="E9" s="16" t="inlineStr"/>
      <c r="F9" s="16" t="inlineStr">
        <is>
          <t>Online</t>
        </is>
      </c>
      <c r="G9" s="16" t="inlineStr"/>
      <c r="H9" s="16" t="inlineStr"/>
      <c r="I9" s="15" t="inlineStr"/>
      <c r="J9" s="16" t="inlineStr">
        <is>
          <t>Internal</t>
        </is>
      </c>
      <c r="K9" s="16" t="inlineStr">
        <is>
          <t>Completed</t>
        </is>
      </c>
    </row>
    <row r="10" ht="22" customHeight="1">
      <c r="B10" s="8" t="inlineStr">
        <is>
          <t>ACT/2024/0006</t>
        </is>
      </c>
      <c r="C10" s="9" t="inlineStr">
        <is>
          <t>Folk &amp; Contemporary Dance Club</t>
        </is>
      </c>
      <c r="D10" s="10" t="inlineStr">
        <is>
          <t>Training Session</t>
        </is>
      </c>
      <c r="E10" s="10" t="inlineStr"/>
      <c r="F10" s="10" t="inlineStr">
        <is>
          <t>Hybrid</t>
        </is>
      </c>
      <c r="G10" s="10" t="inlineStr"/>
      <c r="H10" s="10" t="inlineStr"/>
      <c r="I10" s="9" t="inlineStr"/>
      <c r="J10" s="10" t="inlineStr">
        <is>
          <t>External</t>
        </is>
      </c>
      <c r="K10" s="10" t="inlineStr">
        <is>
          <t>Completed</t>
        </is>
      </c>
    </row>
    <row r="11" ht="22" customHeight="1">
      <c r="B11" s="14" t="inlineStr">
        <is>
          <t>ACT/2024/0007</t>
        </is>
      </c>
      <c r="C11" s="15" t="inlineStr">
        <is>
          <t>Theatre &amp; Drama Club</t>
        </is>
      </c>
      <c r="D11" s="16" t="inlineStr">
        <is>
          <t>Guest Lecture</t>
        </is>
      </c>
      <c r="E11" s="16" t="inlineStr"/>
      <c r="F11" s="16" t="inlineStr">
        <is>
          <t>Physical</t>
        </is>
      </c>
      <c r="G11" s="16" t="inlineStr"/>
      <c r="H11" s="16" t="inlineStr"/>
      <c r="I11" s="15" t="inlineStr"/>
      <c r="J11" s="16" t="inlineStr">
        <is>
          <t>Internal</t>
        </is>
      </c>
      <c r="K11" s="16" t="inlineStr">
        <is>
          <t>Completed</t>
        </is>
      </c>
    </row>
    <row r="12" ht="22" customHeight="1">
      <c r="B12" s="8" t="inlineStr">
        <is>
          <t>ACT/2024/0008</t>
        </is>
      </c>
      <c r="C12" s="9" t="inlineStr">
        <is>
          <t>Street Play Club</t>
        </is>
      </c>
      <c r="D12" s="10" t="inlineStr">
        <is>
          <t>Screening / Show</t>
        </is>
      </c>
      <c r="E12" s="10" t="inlineStr"/>
      <c r="F12" s="10" t="inlineStr">
        <is>
          <t>Online</t>
        </is>
      </c>
      <c r="G12" s="10" t="inlineStr"/>
      <c r="H12" s="10" t="inlineStr"/>
      <c r="I12" s="9" t="inlineStr"/>
      <c r="J12" s="10" t="inlineStr">
        <is>
          <t>Internal</t>
        </is>
      </c>
      <c r="K12" s="10" t="inlineStr">
        <is>
          <t>Completed</t>
        </is>
      </c>
    </row>
    <row r="13" ht="22" customHeight="1">
      <c r="B13" s="14" t="inlineStr">
        <is>
          <t>ACT/2024/0009</t>
        </is>
      </c>
      <c r="C13" s="15" t="inlineStr">
        <is>
          <t>Debate &amp; Elocution Club</t>
        </is>
      </c>
      <c r="D13" s="16" t="inlineStr">
        <is>
          <t>Publication</t>
        </is>
      </c>
      <c r="E13" s="16" t="inlineStr"/>
      <c r="F13" s="16" t="inlineStr">
        <is>
          <t>Hybrid</t>
        </is>
      </c>
      <c r="G13" s="16" t="inlineStr"/>
      <c r="H13" s="16" t="inlineStr"/>
      <c r="I13" s="15" t="inlineStr"/>
      <c r="J13" s="16" t="inlineStr">
        <is>
          <t>External</t>
        </is>
      </c>
      <c r="K13" s="16" t="inlineStr">
        <is>
          <t>Completed</t>
        </is>
      </c>
    </row>
    <row r="14" ht="22" customHeight="1">
      <c r="B14" s="8" t="inlineStr">
        <is>
          <t>ACT/2024/0010</t>
        </is>
      </c>
      <c r="C14" s="9" t="inlineStr">
        <is>
          <t>Model United Nations (MUN) Club</t>
        </is>
      </c>
      <c r="D14" s="10" t="inlineStr">
        <is>
          <t>Awareness Campaign</t>
        </is>
      </c>
      <c r="E14" s="10" t="inlineStr"/>
      <c r="F14" s="10" t="inlineStr">
        <is>
          <t>Physical</t>
        </is>
      </c>
      <c r="G14" s="10" t="inlineStr"/>
      <c r="H14" s="10" t="inlineStr"/>
      <c r="I14" s="9" t="inlineStr"/>
      <c r="J14" s="10" t="inlineStr">
        <is>
          <t>Internal</t>
        </is>
      </c>
      <c r="K14" s="10" t="inlineStr">
        <is>
          <t>Completed</t>
        </is>
      </c>
    </row>
    <row r="15" ht="22" customHeight="1">
      <c r="B15" s="14" t="inlineStr">
        <is>
          <t>ACT/2024/0011</t>
        </is>
      </c>
      <c r="C15" s="15" t="inlineStr">
        <is>
          <t>Quiz Club</t>
        </is>
      </c>
      <c r="D15" s="16" t="inlineStr">
        <is>
          <t>Outreach</t>
        </is>
      </c>
      <c r="E15" s="16" t="inlineStr"/>
      <c r="F15" s="16" t="inlineStr">
        <is>
          <t>Online</t>
        </is>
      </c>
      <c r="G15" s="16" t="inlineStr"/>
      <c r="H15" s="16" t="inlineStr"/>
      <c r="I15" s="15" t="inlineStr"/>
      <c r="J15" s="16" t="inlineStr">
        <is>
          <t>Internal</t>
        </is>
      </c>
      <c r="K15" s="16" t="inlineStr">
        <is>
          <t>Completed</t>
        </is>
      </c>
    </row>
    <row r="16" ht="22" customHeight="1">
      <c r="B16" s="8" t="inlineStr">
        <is>
          <t>ACT/2024/0012</t>
        </is>
      </c>
      <c r="C16" s="9" t="inlineStr">
        <is>
          <t>Creative Writing &amp; Poetry Club</t>
        </is>
      </c>
      <c r="D16" s="10" t="inlineStr">
        <is>
          <t>Celebration</t>
        </is>
      </c>
      <c r="E16" s="10" t="inlineStr"/>
      <c r="F16" s="10" t="inlineStr">
        <is>
          <t>Hybrid</t>
        </is>
      </c>
      <c r="G16" s="10" t="inlineStr"/>
      <c r="H16" s="10" t="inlineStr"/>
      <c r="I16" s="9" t="inlineStr"/>
      <c r="J16" s="10" t="inlineStr">
        <is>
          <t>External</t>
        </is>
      </c>
      <c r="K16" s="10" t="inlineStr">
        <is>
          <t>Completed</t>
        </is>
      </c>
    </row>
    <row r="17" ht="22" customHeight="1">
      <c r="B17" s="14" t="inlineStr">
        <is>
          <t>ACT/2024/0013</t>
        </is>
      </c>
      <c r="C17" s="15" t="inlineStr">
        <is>
          <t>Literary Magazine Club</t>
        </is>
      </c>
      <c r="D17" s="16" t="inlineStr">
        <is>
          <t>Competition (Internal)</t>
        </is>
      </c>
      <c r="E17" s="16" t="inlineStr"/>
      <c r="F17" s="16" t="inlineStr">
        <is>
          <t>Physical</t>
        </is>
      </c>
      <c r="G17" s="16" t="inlineStr"/>
      <c r="H17" s="16" t="inlineStr"/>
      <c r="I17" s="15" t="inlineStr"/>
      <c r="J17" s="16" t="inlineStr">
        <is>
          <t>Internal</t>
        </is>
      </c>
      <c r="K17" s="16" t="inlineStr">
        <is>
          <t>Completed</t>
        </is>
      </c>
    </row>
    <row r="18" ht="22" customHeight="1">
      <c r="B18" s="8" t="inlineStr">
        <is>
          <t>ACT/2024/0014</t>
        </is>
      </c>
      <c r="C18" s="9" t="inlineStr">
        <is>
          <t>Film Making &amp; Screening Club</t>
        </is>
      </c>
      <c r="D18" s="10" t="inlineStr">
        <is>
          <t>Competition (External)</t>
        </is>
      </c>
      <c r="E18" s="10" t="inlineStr"/>
      <c r="F18" s="10" t="inlineStr">
        <is>
          <t>Online</t>
        </is>
      </c>
      <c r="G18" s="10" t="inlineStr"/>
      <c r="H18" s="10" t="inlineStr"/>
      <c r="I18" s="9" t="inlineStr"/>
      <c r="J18" s="10" t="inlineStr">
        <is>
          <t>Internal</t>
        </is>
      </c>
      <c r="K18" s="10" t="inlineStr">
        <is>
          <t>Completed</t>
        </is>
      </c>
    </row>
    <row r="19" ht="22" customHeight="1">
      <c r="B19" s="14" t="inlineStr">
        <is>
          <t>ACT/2024/0015</t>
        </is>
      </c>
      <c r="C19" s="15" t="inlineStr">
        <is>
          <t>Craft, Origami &amp; Pottery Club</t>
        </is>
      </c>
      <c r="D19" s="16" t="inlineStr">
        <is>
          <t>Performance</t>
        </is>
      </c>
      <c r="E19" s="16" t="inlineStr"/>
      <c r="F19" s="16" t="inlineStr">
        <is>
          <t>Hybrid</t>
        </is>
      </c>
      <c r="G19" s="16" t="inlineStr"/>
      <c r="H19" s="16" t="inlineStr"/>
      <c r="I19" s="15" t="inlineStr"/>
      <c r="J19" s="16" t="inlineStr">
        <is>
          <t>External</t>
        </is>
      </c>
      <c r="K19" s="16" t="inlineStr">
        <is>
          <t>Completed</t>
        </is>
      </c>
    </row>
    <row r="20" ht="22" customHeight="1">
      <c r="B20" s="8" t="inlineStr">
        <is>
          <t>ACT/2024/0016</t>
        </is>
      </c>
      <c r="C20" s="9" t="inlineStr">
        <is>
          <t>Graphic Design &amp; Digital Arts Club</t>
        </is>
      </c>
      <c r="D20" s="10" t="inlineStr">
        <is>
          <t>Exhibition</t>
        </is>
      </c>
      <c r="E20" s="10" t="inlineStr"/>
      <c r="F20" s="10" t="inlineStr">
        <is>
          <t>Physical</t>
        </is>
      </c>
      <c r="G20" s="10" t="inlineStr"/>
      <c r="H20" s="10" t="inlineStr"/>
      <c r="I20" s="9" t="inlineStr"/>
      <c r="J20" s="10" t="inlineStr">
        <is>
          <t>Internal</t>
        </is>
      </c>
      <c r="K20" s="10" t="inlineStr">
        <is>
          <t>Completed</t>
        </is>
      </c>
    </row>
    <row r="21" ht="22" customHeight="1">
      <c r="B21" s="14" t="inlineStr">
        <is>
          <t>ACT/2024/0017</t>
        </is>
      </c>
      <c r="C21" s="15" t="inlineStr">
        <is>
          <t>Language Club (Hindi / Regional)</t>
        </is>
      </c>
      <c r="D21" s="16" t="inlineStr">
        <is>
          <t>Workshop</t>
        </is>
      </c>
      <c r="E21" s="16" t="inlineStr"/>
      <c r="F21" s="16" t="inlineStr">
        <is>
          <t>Online</t>
        </is>
      </c>
      <c r="G21" s="16" t="inlineStr"/>
      <c r="H21" s="16" t="inlineStr"/>
      <c r="I21" s="15" t="inlineStr"/>
      <c r="J21" s="16" t="inlineStr">
        <is>
          <t>Internal</t>
        </is>
      </c>
      <c r="K21" s="16" t="inlineStr">
        <is>
          <t>Completed</t>
        </is>
      </c>
    </row>
    <row r="22" ht="22" customHeight="1">
      <c r="B22" s="8" t="inlineStr">
        <is>
          <t>ACT/2024/0018</t>
        </is>
      </c>
      <c r="C22" s="9" t="inlineStr">
        <is>
          <t>Folk Heritage &amp; Culture Club</t>
        </is>
      </c>
      <c r="D22" s="10" t="inlineStr">
        <is>
          <t>Training Session</t>
        </is>
      </c>
      <c r="E22" s="10" t="inlineStr"/>
      <c r="F22" s="10" t="inlineStr">
        <is>
          <t>Hybrid</t>
        </is>
      </c>
      <c r="G22" s="10" t="inlineStr"/>
      <c r="H22" s="10" t="inlineStr"/>
      <c r="I22" s="9" t="inlineStr"/>
      <c r="J22" s="10" t="inlineStr">
        <is>
          <t>External</t>
        </is>
      </c>
      <c r="K22" s="10" t="inlineStr">
        <is>
          <t>Completed</t>
        </is>
      </c>
    </row>
    <row r="23" ht="22" customHeight="1">
      <c r="B23" s="14" t="inlineStr">
        <is>
          <t>ACT/2024/0019</t>
        </is>
      </c>
      <c r="C23" s="15" t="inlineStr">
        <is>
          <t>Science Fiction &amp; Hobby Club</t>
        </is>
      </c>
      <c r="D23" s="16" t="inlineStr">
        <is>
          <t>Guest Lecture</t>
        </is>
      </c>
      <c r="E23" s="16" t="inlineStr"/>
      <c r="F23" s="16" t="inlineStr">
        <is>
          <t>Physical</t>
        </is>
      </c>
      <c r="G23" s="16" t="inlineStr"/>
      <c r="H23" s="16" t="inlineStr"/>
      <c r="I23" s="15" t="inlineStr"/>
      <c r="J23" s="16" t="inlineStr">
        <is>
          <t>Internal</t>
        </is>
      </c>
      <c r="K23" s="16" t="inlineStr">
        <is>
          <t>Completed</t>
        </is>
      </c>
    </row>
    <row r="24" ht="22" customHeight="1">
      <c r="B24" s="8" t="inlineStr">
        <is>
          <t>ACT/2024/0020</t>
        </is>
      </c>
      <c r="C24" s="9" t="inlineStr">
        <is>
          <t>Robotics &amp; Tech Hobby Club</t>
        </is>
      </c>
      <c r="D24" s="10" t="inlineStr">
        <is>
          <t>Screening / Show</t>
        </is>
      </c>
      <c r="E24" s="10" t="inlineStr"/>
      <c r="F24" s="10" t="inlineStr">
        <is>
          <t>Online</t>
        </is>
      </c>
      <c r="G24" s="10" t="inlineStr"/>
      <c r="H24" s="10" t="inlineStr"/>
      <c r="I24" s="9" t="inlineStr"/>
      <c r="J24" s="10" t="inlineStr">
        <is>
          <t>Internal</t>
        </is>
      </c>
      <c r="K24" s="10" t="inlineStr">
        <is>
          <t>Completed</t>
        </is>
      </c>
    </row>
    <row r="25" ht="22" customHeight="1">
      <c r="B25" s="14" t="inlineStr">
        <is>
          <t>ACT/2025/0021</t>
        </is>
      </c>
      <c r="C25" s="15" t="inlineStr">
        <is>
          <t>Nature &amp; Environment Club</t>
        </is>
      </c>
      <c r="D25" s="16" t="inlineStr">
        <is>
          <t>Publication</t>
        </is>
      </c>
      <c r="E25" s="16" t="inlineStr"/>
      <c r="F25" s="16" t="inlineStr">
        <is>
          <t>Hybrid</t>
        </is>
      </c>
      <c r="G25" s="16" t="inlineStr"/>
      <c r="H25" s="16" t="inlineStr"/>
      <c r="I25" s="15" t="inlineStr"/>
      <c r="J25" s="16" t="inlineStr">
        <is>
          <t>External</t>
        </is>
      </c>
      <c r="K25" s="16" t="inlineStr">
        <is>
          <t>Completed</t>
        </is>
      </c>
    </row>
    <row r="26" ht="22" customHeight="1">
      <c r="B26" s="8" t="inlineStr">
        <is>
          <t>ACT/2025/0022</t>
        </is>
      </c>
      <c r="C26" s="9" t="inlineStr">
        <is>
          <t>Social Responsibility Club</t>
        </is>
      </c>
      <c r="D26" s="10" t="inlineStr">
        <is>
          <t>Awareness Campaign</t>
        </is>
      </c>
      <c r="E26" s="10" t="inlineStr"/>
      <c r="F26" s="10" t="inlineStr">
        <is>
          <t>Physical</t>
        </is>
      </c>
      <c r="G26" s="10" t="inlineStr"/>
      <c r="H26" s="10" t="inlineStr"/>
      <c r="I26" s="9" t="inlineStr"/>
      <c r="J26" s="10" t="inlineStr">
        <is>
          <t>Internal</t>
        </is>
      </c>
      <c r="K26" s="10" t="inlineStr">
        <is>
          <t>Completed</t>
        </is>
      </c>
    </row>
    <row r="27" ht="22" customHeight="1">
      <c r="B27" s="14" t="inlineStr">
        <is>
          <t>ACT/2025/0023</t>
        </is>
      </c>
      <c r="C27" s="15" t="inlineStr">
        <is>
          <t>Fine Arts &amp; Painting Club</t>
        </is>
      </c>
      <c r="D27" s="16" t="inlineStr">
        <is>
          <t>Outreach</t>
        </is>
      </c>
      <c r="E27" s="16" t="inlineStr"/>
      <c r="F27" s="16" t="inlineStr">
        <is>
          <t>Online</t>
        </is>
      </c>
      <c r="G27" s="16" t="inlineStr"/>
      <c r="H27" s="16" t="inlineStr"/>
      <c r="I27" s="15" t="inlineStr"/>
      <c r="J27" s="16" t="inlineStr">
        <is>
          <t>Internal</t>
        </is>
      </c>
      <c r="K27" s="16" t="inlineStr">
        <is>
          <t>Completed</t>
        </is>
      </c>
    </row>
    <row r="28" ht="22" customHeight="1">
      <c r="B28" s="8" t="inlineStr">
        <is>
          <t>ACT/2025/0024</t>
        </is>
      </c>
      <c r="C28" s="9" t="inlineStr">
        <is>
          <t>Photography &amp; Cinematography Club</t>
        </is>
      </c>
      <c r="D28" s="10" t="inlineStr">
        <is>
          <t>Celebration</t>
        </is>
      </c>
      <c r="E28" s="10" t="inlineStr"/>
      <c r="F28" s="10" t="inlineStr">
        <is>
          <t>Hybrid</t>
        </is>
      </c>
      <c r="G28" s="10" t="inlineStr"/>
      <c r="H28" s="10" t="inlineStr"/>
      <c r="I28" s="9" t="inlineStr"/>
      <c r="J28" s="10" t="inlineStr">
        <is>
          <t>External</t>
        </is>
      </c>
      <c r="K28" s="10" t="inlineStr">
        <is>
          <t>Completed</t>
        </is>
      </c>
    </row>
    <row r="29" ht="22" customHeight="1">
      <c r="B29" s="14" t="inlineStr">
        <is>
          <t>ACT/2025/0025</t>
        </is>
      </c>
      <c r="C29" s="15" t="inlineStr">
        <is>
          <t>Music Club (Vocal &amp; Instrumental)</t>
        </is>
      </c>
      <c r="D29" s="16" t="inlineStr">
        <is>
          <t>Competition (Internal)</t>
        </is>
      </c>
      <c r="E29" s="16" t="inlineStr"/>
      <c r="F29" s="16" t="inlineStr">
        <is>
          <t>Physical</t>
        </is>
      </c>
      <c r="G29" s="16" t="inlineStr"/>
      <c r="H29" s="16" t="inlineStr"/>
      <c r="I29" s="15" t="inlineStr"/>
      <c r="J29" s="16" t="inlineStr">
        <is>
          <t>Internal</t>
        </is>
      </c>
      <c r="K29" s="16" t="inlineStr">
        <is>
          <t>Completed</t>
        </is>
      </c>
    </row>
    <row r="30" ht="22" customHeight="1">
      <c r="B30" s="8" t="inlineStr">
        <is>
          <t>ACT/2025/0026</t>
        </is>
      </c>
      <c r="C30" s="9" t="inlineStr">
        <is>
          <t>Western Music / Band Club</t>
        </is>
      </c>
      <c r="D30" s="10" t="inlineStr">
        <is>
          <t>Competition (External)</t>
        </is>
      </c>
      <c r="E30" s="10" t="inlineStr"/>
      <c r="F30" s="10" t="inlineStr">
        <is>
          <t>Online</t>
        </is>
      </c>
      <c r="G30" s="10" t="inlineStr"/>
      <c r="H30" s="10" t="inlineStr"/>
      <c r="I30" s="9" t="inlineStr"/>
      <c r="J30" s="10" t="inlineStr">
        <is>
          <t>Internal</t>
        </is>
      </c>
      <c r="K30" s="10" t="inlineStr">
        <is>
          <t>Completed</t>
        </is>
      </c>
    </row>
    <row r="31" ht="22" customHeight="1">
      <c r="B31" s="14" t="inlineStr">
        <is>
          <t>ACT/2025/0027</t>
        </is>
      </c>
      <c r="C31" s="15" t="inlineStr">
        <is>
          <t>Classical Dance Club</t>
        </is>
      </c>
      <c r="D31" s="16" t="inlineStr">
        <is>
          <t>Performance</t>
        </is>
      </c>
      <c r="E31" s="16" t="inlineStr"/>
      <c r="F31" s="16" t="inlineStr">
        <is>
          <t>Hybrid</t>
        </is>
      </c>
      <c r="G31" s="16" t="inlineStr"/>
      <c r="H31" s="16" t="inlineStr"/>
      <c r="I31" s="15" t="inlineStr"/>
      <c r="J31" s="16" t="inlineStr">
        <is>
          <t>External</t>
        </is>
      </c>
      <c r="K31" s="16" t="inlineStr">
        <is>
          <t>Completed</t>
        </is>
      </c>
    </row>
    <row r="32" ht="22" customHeight="1">
      <c r="B32" s="8" t="inlineStr">
        <is>
          <t>ACT/2025/0028</t>
        </is>
      </c>
      <c r="C32" s="9" t="inlineStr">
        <is>
          <t>Folk &amp; Contemporary Dance Club</t>
        </is>
      </c>
      <c r="D32" s="10" t="inlineStr">
        <is>
          <t>Exhibition</t>
        </is>
      </c>
      <c r="E32" s="10" t="inlineStr"/>
      <c r="F32" s="10" t="inlineStr">
        <is>
          <t>Physical</t>
        </is>
      </c>
      <c r="G32" s="10" t="inlineStr"/>
      <c r="H32" s="10" t="inlineStr"/>
      <c r="I32" s="9" t="inlineStr"/>
      <c r="J32" s="10" t="inlineStr">
        <is>
          <t>Internal</t>
        </is>
      </c>
      <c r="K32" s="10" t="inlineStr">
        <is>
          <t>Completed</t>
        </is>
      </c>
    </row>
    <row r="33" ht="22" customHeight="1">
      <c r="B33" s="14" t="inlineStr">
        <is>
          <t>ACT/2025/0029</t>
        </is>
      </c>
      <c r="C33" s="15" t="inlineStr">
        <is>
          <t>Theatre &amp; Drama Club</t>
        </is>
      </c>
      <c r="D33" s="16" t="inlineStr">
        <is>
          <t>Workshop</t>
        </is>
      </c>
      <c r="E33" s="16" t="inlineStr"/>
      <c r="F33" s="16" t="inlineStr">
        <is>
          <t>Online</t>
        </is>
      </c>
      <c r="G33" s="16" t="inlineStr"/>
      <c r="H33" s="16" t="inlineStr"/>
      <c r="I33" s="15" t="inlineStr"/>
      <c r="J33" s="16" t="inlineStr">
        <is>
          <t>Internal</t>
        </is>
      </c>
      <c r="K33" s="16" t="inlineStr">
        <is>
          <t>Completed</t>
        </is>
      </c>
    </row>
    <row r="34" ht="22" customHeight="1">
      <c r="B34" s="8" t="inlineStr">
        <is>
          <t>ACT/2025/0030</t>
        </is>
      </c>
      <c r="C34" s="9" t="inlineStr">
        <is>
          <t>Street Play Club</t>
        </is>
      </c>
      <c r="D34" s="10" t="inlineStr">
        <is>
          <t>Training Session</t>
        </is>
      </c>
      <c r="E34" s="10" t="inlineStr"/>
      <c r="F34" s="10" t="inlineStr">
        <is>
          <t>Hybrid</t>
        </is>
      </c>
      <c r="G34" s="10" t="inlineStr"/>
      <c r="H34" s="10" t="inlineStr"/>
      <c r="I34" s="9" t="inlineStr"/>
      <c r="J34" s="10" t="inlineStr">
        <is>
          <t>External</t>
        </is>
      </c>
      <c r="K34" s="10" t="inlineStr">
        <is>
          <t>Completed</t>
        </is>
      </c>
    </row>
    <row r="35" ht="22" customHeight="1">
      <c r="B35" s="14" t="inlineStr">
        <is>
          <t>ACT/2025/0031</t>
        </is>
      </c>
      <c r="C35" s="15" t="inlineStr">
        <is>
          <t>Debate &amp; Elocution Club</t>
        </is>
      </c>
      <c r="D35" s="16" t="inlineStr">
        <is>
          <t>Guest Lecture</t>
        </is>
      </c>
      <c r="E35" s="16" t="inlineStr"/>
      <c r="F35" s="16" t="inlineStr">
        <is>
          <t>Physical</t>
        </is>
      </c>
      <c r="G35" s="16" t="inlineStr"/>
      <c r="H35" s="16" t="inlineStr"/>
      <c r="I35" s="15" t="inlineStr"/>
      <c r="J35" s="16" t="inlineStr">
        <is>
          <t>Internal</t>
        </is>
      </c>
      <c r="K35" s="16" t="inlineStr">
        <is>
          <t>Completed</t>
        </is>
      </c>
    </row>
    <row r="36" ht="22" customHeight="1">
      <c r="B36" s="8" t="inlineStr">
        <is>
          <t>ACT/2025/0032</t>
        </is>
      </c>
      <c r="C36" s="9" t="inlineStr">
        <is>
          <t>Model United Nations (MUN) Club</t>
        </is>
      </c>
      <c r="D36" s="10" t="inlineStr">
        <is>
          <t>Screening / Show</t>
        </is>
      </c>
      <c r="E36" s="10" t="inlineStr"/>
      <c r="F36" s="10" t="inlineStr">
        <is>
          <t>Online</t>
        </is>
      </c>
      <c r="G36" s="10" t="inlineStr"/>
      <c r="H36" s="10" t="inlineStr"/>
      <c r="I36" s="9" t="inlineStr"/>
      <c r="J36" s="10" t="inlineStr">
        <is>
          <t>Internal</t>
        </is>
      </c>
      <c r="K36" s="10" t="inlineStr">
        <is>
          <t>Completed</t>
        </is>
      </c>
    </row>
    <row r="37" ht="22" customHeight="1">
      <c r="B37" s="14" t="inlineStr">
        <is>
          <t>ACT/2025/0033</t>
        </is>
      </c>
      <c r="C37" s="15" t="inlineStr">
        <is>
          <t>Quiz Club</t>
        </is>
      </c>
      <c r="D37" s="16" t="inlineStr">
        <is>
          <t>Publication</t>
        </is>
      </c>
      <c r="E37" s="16" t="inlineStr"/>
      <c r="F37" s="16" t="inlineStr">
        <is>
          <t>Hybrid</t>
        </is>
      </c>
      <c r="G37" s="16" t="inlineStr"/>
      <c r="H37" s="16" t="inlineStr"/>
      <c r="I37" s="15" t="inlineStr"/>
      <c r="J37" s="16" t="inlineStr">
        <is>
          <t>External</t>
        </is>
      </c>
      <c r="K37" s="16" t="inlineStr">
        <is>
          <t>Completed</t>
        </is>
      </c>
    </row>
    <row r="38" ht="22" customHeight="1">
      <c r="B38" s="8" t="inlineStr">
        <is>
          <t>ACT/2025/0034</t>
        </is>
      </c>
      <c r="C38" s="9" t="inlineStr">
        <is>
          <t>Creative Writing &amp; Poetry Club</t>
        </is>
      </c>
      <c r="D38" s="10" t="inlineStr">
        <is>
          <t>Awareness Campaign</t>
        </is>
      </c>
      <c r="E38" s="10" t="inlineStr"/>
      <c r="F38" s="10" t="inlineStr">
        <is>
          <t>Physical</t>
        </is>
      </c>
      <c r="G38" s="10" t="inlineStr"/>
      <c r="H38" s="10" t="inlineStr"/>
      <c r="I38" s="9" t="inlineStr"/>
      <c r="J38" s="10" t="inlineStr">
        <is>
          <t>Internal</t>
        </is>
      </c>
      <c r="K38" s="10" t="inlineStr">
        <is>
          <t>Completed</t>
        </is>
      </c>
    </row>
    <row r="39" ht="22" customHeight="1">
      <c r="B39" s="14" t="inlineStr">
        <is>
          <t>ACT/2025/0035</t>
        </is>
      </c>
      <c r="C39" s="15" t="inlineStr">
        <is>
          <t>Literary Magazine Club</t>
        </is>
      </c>
      <c r="D39" s="16" t="inlineStr">
        <is>
          <t>Outreach</t>
        </is>
      </c>
      <c r="E39" s="16" t="inlineStr"/>
      <c r="F39" s="16" t="inlineStr">
        <is>
          <t>Online</t>
        </is>
      </c>
      <c r="G39" s="16" t="inlineStr"/>
      <c r="H39" s="16" t="inlineStr"/>
      <c r="I39" s="15" t="inlineStr"/>
      <c r="J39" s="16" t="inlineStr">
        <is>
          <t>Internal</t>
        </is>
      </c>
      <c r="K39" s="16" t="inlineStr">
        <is>
          <t>Completed</t>
        </is>
      </c>
    </row>
    <row r="40" ht="22" customHeight="1">
      <c r="B40" s="8" t="inlineStr">
        <is>
          <t>ACT/2025/0036</t>
        </is>
      </c>
      <c r="C40" s="9" t="inlineStr">
        <is>
          <t>Film Making &amp; Screening Club</t>
        </is>
      </c>
      <c r="D40" s="10" t="inlineStr">
        <is>
          <t>Celebration</t>
        </is>
      </c>
      <c r="E40" s="10" t="inlineStr"/>
      <c r="F40" s="10" t="inlineStr">
        <is>
          <t>Hybrid</t>
        </is>
      </c>
      <c r="G40" s="10" t="inlineStr"/>
      <c r="H40" s="10" t="inlineStr"/>
      <c r="I40" s="9" t="inlineStr"/>
      <c r="J40" s="10" t="inlineStr">
        <is>
          <t>External</t>
        </is>
      </c>
      <c r="K40" s="10" t="inlineStr">
        <is>
          <t>Completed</t>
        </is>
      </c>
    </row>
    <row r="41" ht="22" customHeight="1">
      <c r="B41" s="14" t="inlineStr">
        <is>
          <t>ACT/2025/0037</t>
        </is>
      </c>
      <c r="C41" s="15" t="inlineStr">
        <is>
          <t>Craft, Origami &amp; Pottery Club</t>
        </is>
      </c>
      <c r="D41" s="16" t="inlineStr">
        <is>
          <t>Competition (Internal)</t>
        </is>
      </c>
      <c r="E41" s="16" t="inlineStr"/>
      <c r="F41" s="16" t="inlineStr">
        <is>
          <t>Physical</t>
        </is>
      </c>
      <c r="G41" s="16" t="inlineStr"/>
      <c r="H41" s="16" t="inlineStr"/>
      <c r="I41" s="15" t="inlineStr"/>
      <c r="J41" s="16" t="inlineStr">
        <is>
          <t>Internal</t>
        </is>
      </c>
      <c r="K41" s="16" t="inlineStr">
        <is>
          <t>Completed</t>
        </is>
      </c>
    </row>
    <row r="42" ht="22" customHeight="1">
      <c r="B42" s="8" t="inlineStr">
        <is>
          <t>ACT/2025/0038</t>
        </is>
      </c>
      <c r="C42" s="9" t="inlineStr">
        <is>
          <t>Graphic Design &amp; Digital Arts Club</t>
        </is>
      </c>
      <c r="D42" s="10" t="inlineStr">
        <is>
          <t>Competition (External)</t>
        </is>
      </c>
      <c r="E42" s="10" t="inlineStr"/>
      <c r="F42" s="10" t="inlineStr">
        <is>
          <t>Online</t>
        </is>
      </c>
      <c r="G42" s="10" t="inlineStr"/>
      <c r="H42" s="10" t="inlineStr"/>
      <c r="I42" s="9" t="inlineStr"/>
      <c r="J42" s="10" t="inlineStr">
        <is>
          <t>Internal</t>
        </is>
      </c>
      <c r="K42" s="10" t="inlineStr">
        <is>
          <t>Completed</t>
        </is>
      </c>
    </row>
    <row r="43" ht="22" customHeight="1">
      <c r="B43" s="14" t="inlineStr">
        <is>
          <t>ACT/2025/0039</t>
        </is>
      </c>
      <c r="C43" s="15" t="inlineStr">
        <is>
          <t>Language Club (Hindi / Regional)</t>
        </is>
      </c>
      <c r="D43" s="16" t="inlineStr">
        <is>
          <t>Performance</t>
        </is>
      </c>
      <c r="E43" s="16" t="inlineStr"/>
      <c r="F43" s="16" t="inlineStr">
        <is>
          <t>Hybrid</t>
        </is>
      </c>
      <c r="G43" s="16" t="inlineStr"/>
      <c r="H43" s="16" t="inlineStr"/>
      <c r="I43" s="15" t="inlineStr"/>
      <c r="J43" s="16" t="inlineStr">
        <is>
          <t>External</t>
        </is>
      </c>
      <c r="K43" s="16" t="inlineStr">
        <is>
          <t>Completed</t>
        </is>
      </c>
    </row>
    <row r="44" ht="22" customHeight="1">
      <c r="B44" s="8" t="inlineStr">
        <is>
          <t>ACT/2025/0040</t>
        </is>
      </c>
      <c r="C44" s="9" t="inlineStr">
        <is>
          <t>Folk Heritage &amp; Culture Club</t>
        </is>
      </c>
      <c r="D44" s="10" t="inlineStr">
        <is>
          <t>Exhibition</t>
        </is>
      </c>
      <c r="E44" s="10" t="inlineStr"/>
      <c r="F44" s="10" t="inlineStr">
        <is>
          <t>Physical</t>
        </is>
      </c>
      <c r="G44" s="10" t="inlineStr"/>
      <c r="H44" s="10" t="inlineStr"/>
      <c r="I44" s="9" t="inlineStr"/>
      <c r="J44" s="10" t="inlineStr">
        <is>
          <t>Internal</t>
        </is>
      </c>
      <c r="K44" s="10" t="inlineStr">
        <is>
          <t>Completed</t>
        </is>
      </c>
    </row>
    <row r="45" ht="22" customHeight="1"/>
    <row r="46" ht="24" customHeight="1">
      <c r="B46" s="35" t="inlineStr">
        <is>
          <t>ANNUAL ACTIVITY SUMMARY — BY CLUB CATEGORY</t>
        </is>
      </c>
    </row>
    <row r="47" ht="22" customHeight="1">
      <c r="B47" s="31" t="inlineStr">
        <is>
          <t>Club Category</t>
        </is>
      </c>
      <c r="C47" s="31" t="inlineStr">
        <is>
          <t>Internal Events</t>
        </is>
      </c>
      <c r="D47" s="31" t="inlineStr">
        <is>
          <t>External Competitions</t>
        </is>
      </c>
      <c r="E47" s="31" t="inlineStr">
        <is>
          <t>Workshops</t>
        </is>
      </c>
      <c r="F47" s="31" t="inlineStr">
        <is>
          <t>Total Activities</t>
        </is>
      </c>
      <c r="G47" s="31" t="inlineStr">
        <is>
          <t>Total Participants</t>
        </is>
      </c>
      <c r="H47" s="31" t="inlineStr">
        <is>
          <t>Awards Won</t>
        </is>
      </c>
      <c r="I47" s="31" t="inlineStr">
        <is>
          <t>Best Activity</t>
        </is>
      </c>
    </row>
    <row r="48" ht="22" customHeight="1">
      <c r="B48" s="33" t="inlineStr">
        <is>
          <t>Fine Arts &amp; Photography</t>
        </is>
      </c>
      <c r="C48" s="34" t="inlineStr"/>
      <c r="D48" s="34" t="inlineStr"/>
      <c r="E48" s="34" t="inlineStr"/>
      <c r="F48" s="34" t="inlineStr"/>
      <c r="G48" s="34" t="inlineStr"/>
      <c r="H48" s="34" t="inlineStr"/>
      <c r="I48" s="33" t="inlineStr"/>
      <c r="J48" s="39" t="n"/>
      <c r="K48" s="39" t="n"/>
    </row>
    <row r="49" ht="22" customHeight="1">
      <c r="B49" s="9" t="inlineStr">
        <is>
          <t>Music &amp; Dance</t>
        </is>
      </c>
      <c r="C49" s="10" t="inlineStr"/>
      <c r="D49" s="10" t="inlineStr"/>
      <c r="E49" s="10" t="inlineStr"/>
      <c r="F49" s="10" t="inlineStr"/>
      <c r="G49" s="10" t="inlineStr"/>
      <c r="H49" s="10" t="inlineStr"/>
      <c r="I49" s="9" t="inlineStr"/>
      <c r="J49" s="40" t="n"/>
      <c r="K49" s="40" t="n"/>
    </row>
    <row r="50" ht="22" customHeight="1">
      <c r="B50" s="33" t="inlineStr">
        <is>
          <t>Theatre &amp; Drama</t>
        </is>
      </c>
      <c r="C50" s="34" t="inlineStr"/>
      <c r="D50" s="34" t="inlineStr"/>
      <c r="E50" s="34" t="inlineStr"/>
      <c r="F50" s="34" t="inlineStr"/>
      <c r="G50" s="34" t="inlineStr"/>
      <c r="H50" s="34" t="inlineStr"/>
      <c r="I50" s="33" t="inlineStr"/>
      <c r="J50" s="39" t="n"/>
      <c r="K50" s="39" t="n"/>
    </row>
    <row r="51" ht="22" customHeight="1">
      <c r="B51" s="9" t="inlineStr">
        <is>
          <t>Literary &amp; Debate</t>
        </is>
      </c>
      <c r="C51" s="10" t="inlineStr"/>
      <c r="D51" s="10" t="inlineStr"/>
      <c r="E51" s="10" t="inlineStr"/>
      <c r="F51" s="10" t="inlineStr"/>
      <c r="G51" s="10" t="inlineStr"/>
      <c r="H51" s="10" t="inlineStr"/>
      <c r="I51" s="9" t="inlineStr"/>
      <c r="J51" s="40" t="n"/>
      <c r="K51" s="40" t="n"/>
    </row>
    <row r="52">
      <c r="B52" s="33" t="inlineStr">
        <is>
          <t>Quiz &amp; Media</t>
        </is>
      </c>
      <c r="C52" s="34" t="inlineStr"/>
      <c r="D52" s="34" t="inlineStr"/>
      <c r="E52" s="34" t="inlineStr"/>
      <c r="F52" s="34" t="inlineStr"/>
      <c r="G52" s="34" t="inlineStr"/>
      <c r="H52" s="34" t="inlineStr"/>
      <c r="I52" s="33" t="inlineStr"/>
      <c r="J52" s="39" t="n"/>
      <c r="K52" s="39" t="n"/>
    </row>
    <row r="53">
      <c r="B53" s="9" t="inlineStr">
        <is>
          <t>Craft, Design &amp; Film</t>
        </is>
      </c>
      <c r="C53" s="10" t="inlineStr"/>
      <c r="D53" s="10" t="inlineStr"/>
      <c r="E53" s="10" t="inlineStr"/>
      <c r="F53" s="10" t="inlineStr"/>
      <c r="G53" s="10" t="inlineStr"/>
      <c r="H53" s="10" t="inlineStr"/>
      <c r="I53" s="9" t="inlineStr"/>
      <c r="J53" s="40" t="n"/>
      <c r="K53" s="40" t="n"/>
    </row>
    <row r="54">
      <c r="B54" s="33" t="inlineStr">
        <is>
          <t>Other Clubs</t>
        </is>
      </c>
      <c r="C54" s="34" t="inlineStr"/>
      <c r="D54" s="34" t="inlineStr"/>
      <c r="E54" s="34" t="inlineStr"/>
      <c r="F54" s="34" t="inlineStr"/>
      <c r="G54" s="34" t="inlineStr"/>
      <c r="H54" s="34" t="inlineStr"/>
      <c r="I54" s="33" t="inlineStr"/>
      <c r="J54" s="39" t="n"/>
      <c r="K54" s="39" t="n"/>
    </row>
    <row r="55">
      <c r="B55" s="24" t="inlineStr">
        <is>
          <t>TOTAL</t>
        </is>
      </c>
      <c r="C55" s="41" t="inlineStr"/>
      <c r="D55" s="41" t="inlineStr"/>
      <c r="E55" s="41" t="inlineStr"/>
      <c r="F55" s="41" t="inlineStr"/>
      <c r="G55" s="41" t="inlineStr"/>
      <c r="H55" s="41" t="inlineStr"/>
      <c r="I55" s="24" t="inlineStr"/>
      <c r="J55" s="42" t="n"/>
      <c r="K55" s="42" t="n"/>
    </row>
  </sheetData>
  <mergeCells count="3">
    <mergeCell ref="B46:K46"/>
    <mergeCell ref="B3:K3"/>
    <mergeCell ref="B2:K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K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ACH-01: STUDENT ARTS &amp; CULTURAL ACHIEVEMENT REGISTER</t>
        </is>
      </c>
    </row>
    <row r="3" ht="25" customHeight="1">
      <c r="B3" s="2" t="inlineStr">
        <is>
          <t>A.Y.: _______  ACLHC Coordinator: ___________________  NAAC Ref.: Criterion V.3 / NIRF</t>
        </is>
      </c>
    </row>
    <row r="4" ht="25" customHeight="1">
      <c r="B4" s="13" t="inlineStr">
        <is>
          <t>Achievement
Ref.</t>
        </is>
      </c>
      <c r="C4" s="13" t="inlineStr">
        <is>
          <t>Student Name</t>
        </is>
      </c>
      <c r="D4" s="13" t="inlineStr">
        <is>
          <t>Roll No. /
Programme</t>
        </is>
      </c>
      <c r="E4" s="13" t="inlineStr">
        <is>
          <t>Club /
Domain</t>
        </is>
      </c>
      <c r="F4" s="13" t="inlineStr">
        <is>
          <t>Event / Competition
Name</t>
        </is>
      </c>
      <c r="G4" s="13" t="inlineStr">
        <is>
          <t>Level</t>
        </is>
      </c>
      <c r="H4" s="13" t="inlineStr">
        <is>
          <t>Position /
Award</t>
        </is>
      </c>
      <c r="I4" s="13" t="inlineStr">
        <is>
          <t>Date</t>
        </is>
      </c>
      <c r="J4" s="13" t="inlineStr">
        <is>
          <t>Organiser</t>
        </is>
      </c>
      <c r="K4" s="13" t="inlineStr">
        <is>
          <t>Certificate
Available</t>
        </is>
      </c>
    </row>
    <row r="5" ht="22" customHeight="1">
      <c r="B5" s="14" t="inlineStr">
        <is>
          <t>ACH/2024/0001</t>
        </is>
      </c>
      <c r="C5" s="15" t="inlineStr"/>
      <c r="D5" s="16" t="inlineStr"/>
      <c r="E5" s="16" t="inlineStr">
        <is>
          <t>Fine Arts — Painting</t>
        </is>
      </c>
      <c r="F5" s="15" t="inlineStr"/>
      <c r="G5" s="16" t="inlineStr">
        <is>
          <t>Institutional</t>
        </is>
      </c>
      <c r="H5" s="14" t="inlineStr">
        <is>
          <t>1st Prize</t>
        </is>
      </c>
      <c r="I5" s="16" t="inlineStr"/>
      <c r="J5" s="15" t="inlineStr"/>
      <c r="K5" s="16" t="inlineStr">
        <is>
          <t>Y</t>
        </is>
      </c>
    </row>
    <row r="6" ht="22" customHeight="1">
      <c r="B6" s="8" t="inlineStr">
        <is>
          <t>ACH/2024/0002</t>
        </is>
      </c>
      <c r="C6" s="9" t="inlineStr"/>
      <c r="D6" s="10" t="inlineStr"/>
      <c r="E6" s="10" t="inlineStr">
        <is>
          <t>Photography</t>
        </is>
      </c>
      <c r="F6" s="9" t="inlineStr"/>
      <c r="G6" s="10" t="inlineStr">
        <is>
          <t>Inter-College</t>
        </is>
      </c>
      <c r="H6" s="8" t="inlineStr">
        <is>
          <t>2nd Prize</t>
        </is>
      </c>
      <c r="I6" s="10" t="inlineStr"/>
      <c r="J6" s="9" t="inlineStr"/>
      <c r="K6" s="10" t="inlineStr">
        <is>
          <t>Y</t>
        </is>
      </c>
    </row>
    <row r="7" ht="22" customHeight="1">
      <c r="B7" s="14" t="inlineStr">
        <is>
          <t>ACH/2024/0003</t>
        </is>
      </c>
      <c r="C7" s="15" t="inlineStr"/>
      <c r="D7" s="16" t="inlineStr"/>
      <c r="E7" s="16" t="inlineStr">
        <is>
          <t>Singing (Solo)</t>
        </is>
      </c>
      <c r="F7" s="15" t="inlineStr"/>
      <c r="G7" s="16" t="inlineStr">
        <is>
          <t>University Zone</t>
        </is>
      </c>
      <c r="H7" s="14" t="inlineStr">
        <is>
          <t>3rd Prize</t>
        </is>
      </c>
      <c r="I7" s="16" t="inlineStr"/>
      <c r="J7" s="15" t="inlineStr"/>
      <c r="K7" s="16" t="inlineStr">
        <is>
          <t>Y</t>
        </is>
      </c>
    </row>
    <row r="8" ht="22" customHeight="1">
      <c r="B8" s="8" t="inlineStr">
        <is>
          <t>ACH/2024/0004</t>
        </is>
      </c>
      <c r="C8" s="9" t="inlineStr"/>
      <c r="D8" s="10" t="inlineStr"/>
      <c r="E8" s="10" t="inlineStr">
        <is>
          <t>Singing (Group)</t>
        </is>
      </c>
      <c r="F8" s="9" t="inlineStr"/>
      <c r="G8" s="10" t="inlineStr">
        <is>
          <t>State</t>
        </is>
      </c>
      <c r="H8" s="8" t="inlineStr">
        <is>
          <t>Consolation Prize</t>
        </is>
      </c>
      <c r="I8" s="10" t="inlineStr"/>
      <c r="J8" s="9" t="inlineStr"/>
      <c r="K8" s="10" t="inlineStr">
        <is>
          <t>Y</t>
        </is>
      </c>
    </row>
    <row r="9" ht="22" customHeight="1">
      <c r="B9" s="14" t="inlineStr">
        <is>
          <t>ACH/2024/0005</t>
        </is>
      </c>
      <c r="C9" s="15" t="inlineStr"/>
      <c r="D9" s="16" t="inlineStr"/>
      <c r="E9" s="16" t="inlineStr">
        <is>
          <t>Dance (Solo)</t>
        </is>
      </c>
      <c r="F9" s="15" t="inlineStr"/>
      <c r="G9" s="16" t="inlineStr">
        <is>
          <t>National</t>
        </is>
      </c>
      <c r="H9" s="14" t="inlineStr">
        <is>
          <t>Finalist</t>
        </is>
      </c>
      <c r="I9" s="16" t="inlineStr"/>
      <c r="J9" s="15" t="inlineStr"/>
      <c r="K9" s="16" t="inlineStr">
        <is>
          <t>Y</t>
        </is>
      </c>
    </row>
    <row r="10" ht="22" customHeight="1">
      <c r="B10" s="8" t="inlineStr">
        <is>
          <t>ACH/2024/0006</t>
        </is>
      </c>
      <c r="C10" s="9" t="inlineStr"/>
      <c r="D10" s="10" t="inlineStr"/>
      <c r="E10" s="10" t="inlineStr">
        <is>
          <t>Dance (Group)</t>
        </is>
      </c>
      <c r="F10" s="9" t="inlineStr"/>
      <c r="G10" s="10" t="inlineStr">
        <is>
          <t>International</t>
        </is>
      </c>
      <c r="H10" s="8" t="inlineStr">
        <is>
          <t>Semi-Finalist</t>
        </is>
      </c>
      <c r="I10" s="10" t="inlineStr"/>
      <c r="J10" s="9" t="inlineStr"/>
      <c r="K10" s="10" t="inlineStr">
        <is>
          <t>Y</t>
        </is>
      </c>
    </row>
    <row r="11" ht="22" customHeight="1">
      <c r="B11" s="14" t="inlineStr">
        <is>
          <t>ACH/2024/0007</t>
        </is>
      </c>
      <c r="C11" s="15" t="inlineStr"/>
      <c r="D11" s="16" t="inlineStr"/>
      <c r="E11" s="16" t="inlineStr">
        <is>
          <t>Theatre / Skit</t>
        </is>
      </c>
      <c r="F11" s="15" t="inlineStr"/>
      <c r="G11" s="16" t="inlineStr">
        <is>
          <t>Online / Virtual</t>
        </is>
      </c>
      <c r="H11" s="14" t="inlineStr">
        <is>
          <t>Participation</t>
        </is>
      </c>
      <c r="I11" s="16" t="inlineStr"/>
      <c r="J11" s="15" t="inlineStr"/>
      <c r="K11" s="16" t="inlineStr">
        <is>
          <t>Y</t>
        </is>
      </c>
    </row>
    <row r="12" ht="22" customHeight="1">
      <c r="B12" s="8" t="inlineStr">
        <is>
          <t>ACH/2024/0008</t>
        </is>
      </c>
      <c r="C12" s="9" t="inlineStr"/>
      <c r="D12" s="10" t="inlineStr"/>
      <c r="E12" s="10" t="inlineStr">
        <is>
          <t>Debate</t>
        </is>
      </c>
      <c r="F12" s="9" t="inlineStr"/>
      <c r="G12" s="10" t="inlineStr">
        <is>
          <t>Institutional</t>
        </is>
      </c>
      <c r="H12" s="8" t="inlineStr">
        <is>
          <t>Best Performer</t>
        </is>
      </c>
      <c r="I12" s="10" t="inlineStr"/>
      <c r="J12" s="9" t="inlineStr"/>
      <c r="K12" s="10" t="inlineStr">
        <is>
          <t>Y</t>
        </is>
      </c>
    </row>
    <row r="13" ht="22" customHeight="1">
      <c r="B13" s="14" t="inlineStr">
        <is>
          <t>ACH/2024/0009</t>
        </is>
      </c>
      <c r="C13" s="15" t="inlineStr"/>
      <c r="D13" s="16" t="inlineStr"/>
      <c r="E13" s="16" t="inlineStr">
        <is>
          <t>Elocution</t>
        </is>
      </c>
      <c r="F13" s="15" t="inlineStr"/>
      <c r="G13" s="16" t="inlineStr">
        <is>
          <t>Inter-College</t>
        </is>
      </c>
      <c r="H13" s="14" t="inlineStr">
        <is>
          <t>Best Dressed</t>
        </is>
      </c>
      <c r="I13" s="16" t="inlineStr"/>
      <c r="J13" s="15" t="inlineStr"/>
      <c r="K13" s="16" t="inlineStr">
        <is>
          <t>Y</t>
        </is>
      </c>
    </row>
    <row r="14" ht="22" customHeight="1">
      <c r="B14" s="8" t="inlineStr">
        <is>
          <t>ACH/2024/0010</t>
        </is>
      </c>
      <c r="C14" s="9" t="inlineStr"/>
      <c r="D14" s="10" t="inlineStr"/>
      <c r="E14" s="10" t="inlineStr">
        <is>
          <t>Creative Writing</t>
        </is>
      </c>
      <c r="F14" s="9" t="inlineStr"/>
      <c r="G14" s="10" t="inlineStr">
        <is>
          <t>University Zone</t>
        </is>
      </c>
      <c r="H14" s="8" t="inlineStr">
        <is>
          <t>Special Award</t>
        </is>
      </c>
      <c r="I14" s="10" t="inlineStr"/>
      <c r="J14" s="9" t="inlineStr"/>
      <c r="K14" s="10" t="inlineStr">
        <is>
          <t>Y</t>
        </is>
      </c>
    </row>
    <row r="15" ht="22" customHeight="1">
      <c r="B15" s="14" t="inlineStr">
        <is>
          <t>ACH/2024/0011</t>
        </is>
      </c>
      <c r="C15" s="15" t="inlineStr"/>
      <c r="D15" s="16" t="inlineStr"/>
      <c r="E15" s="16" t="inlineStr">
        <is>
          <t>Quiz</t>
        </is>
      </c>
      <c r="F15" s="15" t="inlineStr"/>
      <c r="G15" s="16" t="inlineStr">
        <is>
          <t>State</t>
        </is>
      </c>
      <c r="H15" s="14" t="inlineStr">
        <is>
          <t>1st Prize</t>
        </is>
      </c>
      <c r="I15" s="16" t="inlineStr"/>
      <c r="J15" s="15" t="inlineStr"/>
      <c r="K15" s="16" t="inlineStr">
        <is>
          <t>Y</t>
        </is>
      </c>
    </row>
    <row r="16" ht="22" customHeight="1">
      <c r="B16" s="8" t="inlineStr">
        <is>
          <t>ACH/2024/0012</t>
        </is>
      </c>
      <c r="C16" s="9" t="inlineStr"/>
      <c r="D16" s="10" t="inlineStr"/>
      <c r="E16" s="10" t="inlineStr">
        <is>
          <t>Film Making</t>
        </is>
      </c>
      <c r="F16" s="9" t="inlineStr"/>
      <c r="G16" s="10" t="inlineStr">
        <is>
          <t>National</t>
        </is>
      </c>
      <c r="H16" s="8" t="inlineStr">
        <is>
          <t>2nd Prize</t>
        </is>
      </c>
      <c r="I16" s="10" t="inlineStr"/>
      <c r="J16" s="9" t="inlineStr"/>
      <c r="K16" s="10" t="inlineStr">
        <is>
          <t>Y</t>
        </is>
      </c>
    </row>
    <row r="17" ht="22" customHeight="1">
      <c r="B17" s="14" t="inlineStr">
        <is>
          <t>ACH/2024/0013</t>
        </is>
      </c>
      <c r="C17" s="15" t="inlineStr"/>
      <c r="D17" s="16" t="inlineStr"/>
      <c r="E17" s="16" t="inlineStr">
        <is>
          <t>Craft / Design</t>
        </is>
      </c>
      <c r="F17" s="15" t="inlineStr"/>
      <c r="G17" s="16" t="inlineStr">
        <is>
          <t>International</t>
        </is>
      </c>
      <c r="H17" s="14" t="inlineStr">
        <is>
          <t>3rd Prize</t>
        </is>
      </c>
      <c r="I17" s="16" t="inlineStr"/>
      <c r="J17" s="15" t="inlineStr"/>
      <c r="K17" s="16" t="inlineStr">
        <is>
          <t>Y</t>
        </is>
      </c>
    </row>
    <row r="18" ht="22" customHeight="1">
      <c r="B18" s="8" t="inlineStr">
        <is>
          <t>ACH/2024/0014</t>
        </is>
      </c>
      <c r="C18" s="9" t="inlineStr"/>
      <c r="D18" s="10" t="inlineStr"/>
      <c r="E18" s="10" t="inlineStr">
        <is>
          <t>Fashion Show</t>
        </is>
      </c>
      <c r="F18" s="9" t="inlineStr"/>
      <c r="G18" s="10" t="inlineStr">
        <is>
          <t>Online / Virtual</t>
        </is>
      </c>
      <c r="H18" s="8" t="inlineStr">
        <is>
          <t>Consolation Prize</t>
        </is>
      </c>
      <c r="I18" s="10" t="inlineStr"/>
      <c r="J18" s="9" t="inlineStr"/>
      <c r="K18" s="10" t="inlineStr">
        <is>
          <t>Y</t>
        </is>
      </c>
    </row>
    <row r="19" ht="22" customHeight="1">
      <c r="B19" s="14" t="inlineStr">
        <is>
          <t>ACH/2025/0015</t>
        </is>
      </c>
      <c r="C19" s="15" t="inlineStr"/>
      <c r="D19" s="16" t="inlineStr"/>
      <c r="E19" s="16" t="inlineStr">
        <is>
          <t>Stand-up Comedy</t>
        </is>
      </c>
      <c r="F19" s="15" t="inlineStr"/>
      <c r="G19" s="16" t="inlineStr">
        <is>
          <t>Institutional</t>
        </is>
      </c>
      <c r="H19" s="14" t="inlineStr">
        <is>
          <t>Finalist</t>
        </is>
      </c>
      <c r="I19" s="16" t="inlineStr"/>
      <c r="J19" s="15" t="inlineStr"/>
      <c r="K19" s="16" t="inlineStr">
        <is>
          <t>Y</t>
        </is>
      </c>
    </row>
    <row r="20" ht="22" customHeight="1">
      <c r="B20" s="8" t="inlineStr">
        <is>
          <t>ACH/2025/0016</t>
        </is>
      </c>
      <c r="C20" s="9" t="inlineStr"/>
      <c r="D20" s="10" t="inlineStr"/>
      <c r="E20" s="10" t="inlineStr">
        <is>
          <t>Photography Contest</t>
        </is>
      </c>
      <c r="F20" s="9" t="inlineStr"/>
      <c r="G20" s="10" t="inlineStr">
        <is>
          <t>Inter-College</t>
        </is>
      </c>
      <c r="H20" s="8" t="inlineStr">
        <is>
          <t>Semi-Finalist</t>
        </is>
      </c>
      <c r="I20" s="10" t="inlineStr"/>
      <c r="J20" s="9" t="inlineStr"/>
      <c r="K20" s="10" t="inlineStr">
        <is>
          <t>Y</t>
        </is>
      </c>
    </row>
    <row r="21" ht="22" customHeight="1">
      <c r="B21" s="14" t="inlineStr">
        <is>
          <t>ACH/2025/0017</t>
        </is>
      </c>
      <c r="C21" s="15" t="inlineStr"/>
      <c r="D21" s="16" t="inlineStr"/>
      <c r="E21" s="16" t="inlineStr">
        <is>
          <t>Cultural Fest</t>
        </is>
      </c>
      <c r="F21" s="15" t="inlineStr"/>
      <c r="G21" s="16" t="inlineStr">
        <is>
          <t>University Zone</t>
        </is>
      </c>
      <c r="H21" s="14" t="inlineStr">
        <is>
          <t>Participation</t>
        </is>
      </c>
      <c r="I21" s="16" t="inlineStr"/>
      <c r="J21" s="15" t="inlineStr"/>
      <c r="K21" s="16" t="inlineStr">
        <is>
          <t>Y</t>
        </is>
      </c>
    </row>
    <row r="22" ht="22" customHeight="1">
      <c r="B22" s="8" t="inlineStr">
        <is>
          <t>ACH/2025/0018</t>
        </is>
      </c>
      <c r="C22" s="9" t="inlineStr"/>
      <c r="D22" s="10" t="inlineStr"/>
      <c r="E22" s="10" t="inlineStr">
        <is>
          <t>Open Mic</t>
        </is>
      </c>
      <c r="F22" s="9" t="inlineStr"/>
      <c r="G22" s="10" t="inlineStr">
        <is>
          <t>State</t>
        </is>
      </c>
      <c r="H22" s="8" t="inlineStr">
        <is>
          <t>Best Performer</t>
        </is>
      </c>
      <c r="I22" s="10" t="inlineStr"/>
      <c r="J22" s="9" t="inlineStr"/>
      <c r="K22" s="10" t="inlineStr">
        <is>
          <t>Y</t>
        </is>
      </c>
    </row>
    <row r="23" ht="22" customHeight="1">
      <c r="B23" s="14" t="inlineStr">
        <is>
          <t>ACH/2025/0019</t>
        </is>
      </c>
      <c r="C23" s="15" t="inlineStr"/>
      <c r="D23" s="16" t="inlineStr"/>
      <c r="E23" s="16" t="inlineStr">
        <is>
          <t>Model UN</t>
        </is>
      </c>
      <c r="F23" s="15" t="inlineStr"/>
      <c r="G23" s="16" t="inlineStr">
        <is>
          <t>National</t>
        </is>
      </c>
      <c r="H23" s="14" t="inlineStr">
        <is>
          <t>Best Dressed</t>
        </is>
      </c>
      <c r="I23" s="16" t="inlineStr"/>
      <c r="J23" s="15" t="inlineStr"/>
      <c r="K23" s="16" t="inlineStr">
        <is>
          <t>Y</t>
        </is>
      </c>
    </row>
    <row r="24" ht="22" customHeight="1">
      <c r="B24" s="8" t="inlineStr">
        <is>
          <t>ACH/2025/0020</t>
        </is>
      </c>
      <c r="C24" s="9" t="inlineStr"/>
      <c r="D24" s="10" t="inlineStr"/>
      <c r="E24" s="10" t="inlineStr">
        <is>
          <t>Other</t>
        </is>
      </c>
      <c r="F24" s="9" t="inlineStr"/>
      <c r="G24" s="10" t="inlineStr">
        <is>
          <t>International</t>
        </is>
      </c>
      <c r="H24" s="8" t="inlineStr">
        <is>
          <t>Special Award</t>
        </is>
      </c>
      <c r="I24" s="10" t="inlineStr"/>
      <c r="J24" s="9" t="inlineStr"/>
      <c r="K24" s="10" t="inlineStr">
        <is>
          <t>Y</t>
        </is>
      </c>
    </row>
    <row r="25" ht="22" customHeight="1">
      <c r="B25" s="14" t="inlineStr">
        <is>
          <t>ACH/2025/0021</t>
        </is>
      </c>
      <c r="C25" s="15" t="inlineStr"/>
      <c r="D25" s="16" t="inlineStr"/>
      <c r="E25" s="16" t="inlineStr">
        <is>
          <t>Fine Arts — Painting</t>
        </is>
      </c>
      <c r="F25" s="15" t="inlineStr"/>
      <c r="G25" s="16" t="inlineStr">
        <is>
          <t>Online / Virtual</t>
        </is>
      </c>
      <c r="H25" s="14" t="inlineStr">
        <is>
          <t>1st Prize</t>
        </is>
      </c>
      <c r="I25" s="16" t="inlineStr"/>
      <c r="J25" s="15" t="inlineStr"/>
      <c r="K25" s="16" t="inlineStr">
        <is>
          <t>Y</t>
        </is>
      </c>
    </row>
    <row r="26" ht="22" customHeight="1">
      <c r="B26" s="8" t="inlineStr">
        <is>
          <t>ACH/2025/0022</t>
        </is>
      </c>
      <c r="C26" s="9" t="inlineStr"/>
      <c r="D26" s="10" t="inlineStr"/>
      <c r="E26" s="10" t="inlineStr">
        <is>
          <t>Photography</t>
        </is>
      </c>
      <c r="F26" s="9" t="inlineStr"/>
      <c r="G26" s="10" t="inlineStr">
        <is>
          <t>Institutional</t>
        </is>
      </c>
      <c r="H26" s="8" t="inlineStr">
        <is>
          <t>2nd Prize</t>
        </is>
      </c>
      <c r="I26" s="10" t="inlineStr"/>
      <c r="J26" s="9" t="inlineStr"/>
      <c r="K26" s="10" t="inlineStr">
        <is>
          <t>Y</t>
        </is>
      </c>
    </row>
    <row r="27" ht="22" customHeight="1">
      <c r="B27" s="14" t="inlineStr">
        <is>
          <t>ACH/2025/0023</t>
        </is>
      </c>
      <c r="C27" s="15" t="inlineStr"/>
      <c r="D27" s="16" t="inlineStr"/>
      <c r="E27" s="16" t="inlineStr">
        <is>
          <t>Singing (Solo)</t>
        </is>
      </c>
      <c r="F27" s="15" t="inlineStr"/>
      <c r="G27" s="16" t="inlineStr">
        <is>
          <t>Inter-College</t>
        </is>
      </c>
      <c r="H27" s="14" t="inlineStr">
        <is>
          <t>3rd Prize</t>
        </is>
      </c>
      <c r="I27" s="16" t="inlineStr"/>
      <c r="J27" s="15" t="inlineStr"/>
      <c r="K27" s="16" t="inlineStr">
        <is>
          <t>Y</t>
        </is>
      </c>
    </row>
    <row r="28" ht="22" customHeight="1">
      <c r="B28" s="8" t="inlineStr">
        <is>
          <t>ACH/2025/0024</t>
        </is>
      </c>
      <c r="C28" s="9" t="inlineStr"/>
      <c r="D28" s="10" t="inlineStr"/>
      <c r="E28" s="10" t="inlineStr">
        <is>
          <t>Singing (Group)</t>
        </is>
      </c>
      <c r="F28" s="9" t="inlineStr"/>
      <c r="G28" s="10" t="inlineStr">
        <is>
          <t>University Zone</t>
        </is>
      </c>
      <c r="H28" s="8" t="inlineStr">
        <is>
          <t>Consolation Prize</t>
        </is>
      </c>
      <c r="I28" s="10" t="inlineStr"/>
      <c r="J28" s="9" t="inlineStr"/>
      <c r="K28" s="10" t="inlineStr">
        <is>
          <t>Y</t>
        </is>
      </c>
    </row>
    <row r="29" ht="22" customHeight="1">
      <c r="B29" s="14" t="inlineStr">
        <is>
          <t>ACH/2025/0025</t>
        </is>
      </c>
      <c r="C29" s="15" t="inlineStr"/>
      <c r="D29" s="16" t="inlineStr"/>
      <c r="E29" s="16" t="inlineStr">
        <is>
          <t>Dance (Solo)</t>
        </is>
      </c>
      <c r="F29" s="15" t="inlineStr"/>
      <c r="G29" s="16" t="inlineStr">
        <is>
          <t>State</t>
        </is>
      </c>
      <c r="H29" s="14" t="inlineStr">
        <is>
          <t>Finalist</t>
        </is>
      </c>
      <c r="I29" s="16" t="inlineStr"/>
      <c r="J29" s="15" t="inlineStr"/>
      <c r="K29" s="16" t="inlineStr">
        <is>
          <t>Y</t>
        </is>
      </c>
    </row>
    <row r="30" ht="22" customHeight="1">
      <c r="B30" s="8" t="inlineStr">
        <is>
          <t>ACH/2025/0026</t>
        </is>
      </c>
      <c r="C30" s="9" t="inlineStr"/>
      <c r="D30" s="10" t="inlineStr"/>
      <c r="E30" s="10" t="inlineStr">
        <is>
          <t>Dance (Group)</t>
        </is>
      </c>
      <c r="F30" s="9" t="inlineStr"/>
      <c r="G30" s="10" t="inlineStr">
        <is>
          <t>National</t>
        </is>
      </c>
      <c r="H30" s="8" t="inlineStr">
        <is>
          <t>Semi-Finalist</t>
        </is>
      </c>
      <c r="I30" s="10" t="inlineStr"/>
      <c r="J30" s="9" t="inlineStr"/>
      <c r="K30" s="10" t="inlineStr">
        <is>
          <t>Y</t>
        </is>
      </c>
    </row>
    <row r="31" ht="22" customHeight="1">
      <c r="B31" s="14" t="inlineStr">
        <is>
          <t>ACH/2025/0027</t>
        </is>
      </c>
      <c r="C31" s="15" t="inlineStr"/>
      <c r="D31" s="16" t="inlineStr"/>
      <c r="E31" s="16" t="inlineStr">
        <is>
          <t>Theatre / Skit</t>
        </is>
      </c>
      <c r="F31" s="15" t="inlineStr"/>
      <c r="G31" s="16" t="inlineStr">
        <is>
          <t>International</t>
        </is>
      </c>
      <c r="H31" s="14" t="inlineStr">
        <is>
          <t>Participation</t>
        </is>
      </c>
      <c r="I31" s="16" t="inlineStr"/>
      <c r="J31" s="15" t="inlineStr"/>
      <c r="K31" s="16" t="inlineStr">
        <is>
          <t>Y</t>
        </is>
      </c>
    </row>
    <row r="32" ht="22" customHeight="1">
      <c r="B32" s="8" t="inlineStr">
        <is>
          <t>ACH/2025/0028</t>
        </is>
      </c>
      <c r="C32" s="9" t="inlineStr"/>
      <c r="D32" s="10" t="inlineStr"/>
      <c r="E32" s="10" t="inlineStr">
        <is>
          <t>Debate</t>
        </is>
      </c>
      <c r="F32" s="9" t="inlineStr"/>
      <c r="G32" s="10" t="inlineStr">
        <is>
          <t>Online / Virtual</t>
        </is>
      </c>
      <c r="H32" s="8" t="inlineStr">
        <is>
          <t>Best Performer</t>
        </is>
      </c>
      <c r="I32" s="10" t="inlineStr"/>
      <c r="J32" s="9" t="inlineStr"/>
      <c r="K32" s="10" t="inlineStr">
        <is>
          <t>Y</t>
        </is>
      </c>
    </row>
    <row r="33" ht="22" customHeight="1"/>
    <row r="34" ht="24" customHeight="1">
      <c r="B34" s="35" t="inlineStr">
        <is>
          <t>ACHIEVEMENT SUMMARY</t>
        </is>
      </c>
    </row>
    <row r="35" ht="22" customHeight="1">
      <c r="B35" s="43" t="inlineStr">
        <is>
          <t>Total Awards / Positions</t>
        </is>
      </c>
      <c r="F35" s="37">
        <f>COUNTA(B5:B32)</f>
        <v/>
      </c>
    </row>
    <row r="36" ht="22" customHeight="1">
      <c r="B36" s="26" t="inlineStr">
        <is>
          <t>1st Prizes</t>
        </is>
      </c>
      <c r="F36" s="38">
        <f>COUNTIF(H5:H32,"1st Prize")</f>
        <v/>
      </c>
    </row>
    <row r="37" ht="22" customHeight="1">
      <c r="B37" s="43" t="inlineStr">
        <is>
          <t>2nd Prizes</t>
        </is>
      </c>
      <c r="F37" s="37">
        <f>COUNTIF(H5:H32,"2nd Prize")</f>
        <v/>
      </c>
    </row>
    <row r="38">
      <c r="B38" s="26" t="inlineStr">
        <is>
          <t>3rd Prizes</t>
        </is>
      </c>
      <c r="F38" s="38">
        <f>COUNTIF(H5:H32,"3rd Prize")</f>
        <v/>
      </c>
    </row>
    <row r="39">
      <c r="B39" s="43" t="inlineStr">
        <is>
          <t>National Level+ Awards</t>
        </is>
      </c>
      <c r="F39" s="37">
        <f>COUNTIF(G5:G32,"National")</f>
        <v/>
      </c>
    </row>
    <row r="40">
      <c r="B40" s="26" t="inlineStr">
        <is>
          <t>Students Recognised</t>
        </is>
      </c>
      <c r="F40" s="38" t="inlineStr"/>
    </row>
  </sheetData>
  <mergeCells count="15">
    <mergeCell ref="B36:E36"/>
    <mergeCell ref="B40:E40"/>
    <mergeCell ref="F38:K38"/>
    <mergeCell ref="B35:E35"/>
    <mergeCell ref="F36:K36"/>
    <mergeCell ref="B37:E37"/>
    <mergeCell ref="B38:E38"/>
    <mergeCell ref="F40:K40"/>
    <mergeCell ref="B39:E39"/>
    <mergeCell ref="F35:K35"/>
    <mergeCell ref="B2:K2"/>
    <mergeCell ref="B34:K34"/>
    <mergeCell ref="F39:K39"/>
    <mergeCell ref="B3:K3"/>
    <mergeCell ref="F37:K3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TRN-01 / TRN-02: CULTURAL TRAINING, WORKSHOP &amp; MASTERCLASS REGISTER</t>
        </is>
      </c>
    </row>
    <row r="3" ht="25" customHeight="1">
      <c r="B3" s="2" t="inlineStr">
        <is>
          <t>A.Y.: _______  ACLHC Coordinator: ___________________</t>
        </is>
      </c>
    </row>
    <row r="4" ht="25" customHeight="1">
      <c r="B4" s="13" t="inlineStr">
        <is>
          <t>Session
Ref.</t>
        </is>
      </c>
      <c r="C4" s="13" t="inlineStr">
        <is>
          <t>Workshop / Training Title</t>
        </is>
      </c>
      <c r="D4" s="13" t="inlineStr">
        <is>
          <t>Domain</t>
        </is>
      </c>
      <c r="E4" s="13" t="inlineStr">
        <is>
          <t>Trainer /
Resource Person</t>
        </is>
      </c>
      <c r="F4" s="13" t="inlineStr">
        <is>
          <t>Date(s)</t>
        </is>
      </c>
      <c r="G4" s="13" t="inlineStr">
        <is>
          <t>Duration
(hrs)</t>
        </is>
      </c>
      <c r="H4" s="13" t="inlineStr">
        <is>
          <t>Students
Enrolled</t>
        </is>
      </c>
      <c r="I4" s="13" t="inlineStr">
        <is>
          <t>Students
Completed</t>
        </is>
      </c>
      <c r="J4" s="13" t="inlineStr">
        <is>
          <t>Feedback
Score (/5)</t>
        </is>
      </c>
    </row>
    <row r="5" ht="22" customHeight="1">
      <c r="B5" s="14" t="inlineStr">
        <is>
          <t>TRN/001</t>
        </is>
      </c>
      <c r="C5" s="15" t="inlineStr"/>
      <c r="D5" s="16" t="inlineStr">
        <is>
          <t>Classical Dance — Bharatanatyam / Kathak</t>
        </is>
      </c>
      <c r="E5" s="15" t="inlineStr"/>
      <c r="F5" s="16" t="inlineStr"/>
      <c r="G5" s="16" t="inlineStr"/>
      <c r="H5" s="16" t="inlineStr"/>
      <c r="I5" s="16" t="inlineStr"/>
      <c r="J5" s="16" t="inlineStr"/>
    </row>
    <row r="6" ht="22" customHeight="1">
      <c r="B6" s="8" t="inlineStr">
        <is>
          <t>TRN/002</t>
        </is>
      </c>
      <c r="C6" s="9" t="inlineStr"/>
      <c r="D6" s="10" t="inlineStr">
        <is>
          <t>Folk Dance</t>
        </is>
      </c>
      <c r="E6" s="9" t="inlineStr"/>
      <c r="F6" s="10" t="inlineStr"/>
      <c r="G6" s="10" t="inlineStr"/>
      <c r="H6" s="10" t="inlineStr"/>
      <c r="I6" s="10" t="inlineStr"/>
      <c r="J6" s="10" t="inlineStr"/>
    </row>
    <row r="7" ht="22" customHeight="1">
      <c r="B7" s="14" t="inlineStr">
        <is>
          <t>TRN/003</t>
        </is>
      </c>
      <c r="C7" s="15" t="inlineStr"/>
      <c r="D7" s="16" t="inlineStr">
        <is>
          <t>Western Dance / Choreography</t>
        </is>
      </c>
      <c r="E7" s="15" t="inlineStr"/>
      <c r="F7" s="16" t="inlineStr"/>
      <c r="G7" s="16" t="inlineStr"/>
      <c r="H7" s="16" t="inlineStr"/>
      <c r="I7" s="16" t="inlineStr"/>
      <c r="J7" s="16" t="inlineStr"/>
    </row>
    <row r="8" ht="22" customHeight="1">
      <c r="B8" s="8" t="inlineStr">
        <is>
          <t>TRN/004</t>
        </is>
      </c>
      <c r="C8" s="9" t="inlineStr"/>
      <c r="D8" s="10" t="inlineStr">
        <is>
          <t>Vocal Music — Hindustani</t>
        </is>
      </c>
      <c r="E8" s="9" t="inlineStr"/>
      <c r="F8" s="10" t="inlineStr"/>
      <c r="G8" s="10" t="inlineStr"/>
      <c r="H8" s="10" t="inlineStr"/>
      <c r="I8" s="10" t="inlineStr"/>
      <c r="J8" s="10" t="inlineStr"/>
    </row>
    <row r="9" ht="22" customHeight="1">
      <c r="B9" s="14" t="inlineStr">
        <is>
          <t>TRN/005</t>
        </is>
      </c>
      <c r="C9" s="15" t="inlineStr"/>
      <c r="D9" s="16" t="inlineStr">
        <is>
          <t>Vocal Music — Carnatic</t>
        </is>
      </c>
      <c r="E9" s="15" t="inlineStr"/>
      <c r="F9" s="16" t="inlineStr"/>
      <c r="G9" s="16" t="inlineStr"/>
      <c r="H9" s="16" t="inlineStr"/>
      <c r="I9" s="16" t="inlineStr"/>
      <c r="J9" s="16" t="inlineStr"/>
    </row>
    <row r="10" ht="22" customHeight="1">
      <c r="B10" s="8" t="inlineStr">
        <is>
          <t>TRN/006</t>
        </is>
      </c>
      <c r="C10" s="9" t="inlineStr"/>
      <c r="D10" s="10" t="inlineStr">
        <is>
          <t>Guitar / Keyboard</t>
        </is>
      </c>
      <c r="E10" s="9" t="inlineStr"/>
      <c r="F10" s="10" t="inlineStr"/>
      <c r="G10" s="10" t="inlineStr"/>
      <c r="H10" s="10" t="inlineStr"/>
      <c r="I10" s="10" t="inlineStr"/>
      <c r="J10" s="10" t="inlineStr"/>
    </row>
    <row r="11" ht="22" customHeight="1">
      <c r="B11" s="14" t="inlineStr">
        <is>
          <t>TRN/007</t>
        </is>
      </c>
      <c r="C11" s="15" t="inlineStr"/>
      <c r="D11" s="16" t="inlineStr">
        <is>
          <t>Percussion</t>
        </is>
      </c>
      <c r="E11" s="15" t="inlineStr"/>
      <c r="F11" s="16" t="inlineStr"/>
      <c r="G11" s="16" t="inlineStr"/>
      <c r="H11" s="16" t="inlineStr"/>
      <c r="I11" s="16" t="inlineStr"/>
      <c r="J11" s="16" t="inlineStr"/>
    </row>
    <row r="12" ht="22" customHeight="1">
      <c r="B12" s="8" t="inlineStr">
        <is>
          <t>TRN/008</t>
        </is>
      </c>
      <c r="C12" s="9" t="inlineStr"/>
      <c r="D12" s="10" t="inlineStr">
        <is>
          <t>Theatre Acting — Method</t>
        </is>
      </c>
      <c r="E12" s="9" t="inlineStr"/>
      <c r="F12" s="10" t="inlineStr"/>
      <c r="G12" s="10" t="inlineStr"/>
      <c r="H12" s="10" t="inlineStr"/>
      <c r="I12" s="10" t="inlineStr"/>
      <c r="J12" s="10" t="inlineStr"/>
    </row>
    <row r="13" ht="22" customHeight="1">
      <c r="B13" s="14" t="inlineStr">
        <is>
          <t>TRN/009</t>
        </is>
      </c>
      <c r="C13" s="15" t="inlineStr"/>
      <c r="D13" s="16" t="inlineStr">
        <is>
          <t>Improvisation &amp; Street Theatre</t>
        </is>
      </c>
      <c r="E13" s="15" t="inlineStr"/>
      <c r="F13" s="16" t="inlineStr"/>
      <c r="G13" s="16" t="inlineStr"/>
      <c r="H13" s="16" t="inlineStr"/>
      <c r="I13" s="16" t="inlineStr"/>
      <c r="J13" s="16" t="inlineStr"/>
    </row>
    <row r="14" ht="22" customHeight="1">
      <c r="B14" s="8" t="inlineStr">
        <is>
          <t>TRN/010</t>
        </is>
      </c>
      <c r="C14" s="9" t="inlineStr"/>
      <c r="D14" s="10" t="inlineStr">
        <is>
          <t>Photography — DSLR Basics</t>
        </is>
      </c>
      <c r="E14" s="9" t="inlineStr"/>
      <c r="F14" s="10" t="inlineStr"/>
      <c r="G14" s="10" t="inlineStr"/>
      <c r="H14" s="10" t="inlineStr"/>
      <c r="I14" s="10" t="inlineStr"/>
      <c r="J14" s="10" t="inlineStr"/>
    </row>
    <row r="15" ht="22" customHeight="1">
      <c r="B15" s="14" t="inlineStr">
        <is>
          <t>TRN/011</t>
        </is>
      </c>
      <c r="C15" s="15" t="inlineStr"/>
      <c r="D15" s="16" t="inlineStr">
        <is>
          <t>Photo Editing — Lightroom / Photoshop</t>
        </is>
      </c>
      <c r="E15" s="15" t="inlineStr"/>
      <c r="F15" s="16" t="inlineStr"/>
      <c r="G15" s="16" t="inlineStr"/>
      <c r="H15" s="16" t="inlineStr"/>
      <c r="I15" s="16" t="inlineStr"/>
      <c r="J15" s="16" t="inlineStr"/>
    </row>
    <row r="16" ht="22" customHeight="1">
      <c r="B16" s="8" t="inlineStr">
        <is>
          <t>TRN/012</t>
        </is>
      </c>
      <c r="C16" s="9" t="inlineStr"/>
      <c r="D16" s="10" t="inlineStr">
        <is>
          <t>Creative Writing</t>
        </is>
      </c>
      <c r="E16" s="9" t="inlineStr"/>
      <c r="F16" s="10" t="inlineStr"/>
      <c r="G16" s="10" t="inlineStr"/>
      <c r="H16" s="10" t="inlineStr"/>
      <c r="I16" s="10" t="inlineStr"/>
      <c r="J16" s="10" t="inlineStr"/>
    </row>
    <row r="17" ht="22" customHeight="1">
      <c r="B17" s="14" t="inlineStr">
        <is>
          <t>TRN/013</t>
        </is>
      </c>
      <c r="C17" s="15" t="inlineStr"/>
      <c r="D17" s="16" t="inlineStr">
        <is>
          <t>Debate Techniques</t>
        </is>
      </c>
      <c r="E17" s="15" t="inlineStr"/>
      <c r="F17" s="16" t="inlineStr"/>
      <c r="G17" s="16" t="inlineStr"/>
      <c r="H17" s="16" t="inlineStr"/>
      <c r="I17" s="16" t="inlineStr"/>
      <c r="J17" s="16" t="inlineStr"/>
    </row>
    <row r="18" ht="22" customHeight="1">
      <c r="B18" s="8" t="inlineStr">
        <is>
          <t>TRN/014</t>
        </is>
      </c>
      <c r="C18" s="9" t="inlineStr"/>
      <c r="D18" s="10" t="inlineStr">
        <is>
          <t>Public Speaking &amp; Oratory</t>
        </is>
      </c>
      <c r="E18" s="9" t="inlineStr"/>
      <c r="F18" s="10" t="inlineStr"/>
      <c r="G18" s="10" t="inlineStr"/>
      <c r="H18" s="10" t="inlineStr"/>
      <c r="I18" s="10" t="inlineStr"/>
      <c r="J18" s="10" t="inlineStr"/>
    </row>
    <row r="19" ht="22" customHeight="1">
      <c r="B19" s="14" t="inlineStr">
        <is>
          <t>TRN/015</t>
        </is>
      </c>
      <c r="C19" s="15" t="inlineStr"/>
      <c r="D19" s="16" t="inlineStr">
        <is>
          <t>Film Making — Basics</t>
        </is>
      </c>
      <c r="E19" s="15" t="inlineStr"/>
      <c r="F19" s="16" t="inlineStr"/>
      <c r="G19" s="16" t="inlineStr"/>
      <c r="H19" s="16" t="inlineStr"/>
      <c r="I19" s="16" t="inlineStr"/>
      <c r="J19" s="16" t="inlineStr"/>
    </row>
    <row r="20" ht="22" customHeight="1">
      <c r="B20" s="8" t="inlineStr">
        <is>
          <t>TRN/016</t>
        </is>
      </c>
      <c r="C20" s="9" t="inlineStr"/>
      <c r="D20" s="10" t="inlineStr">
        <is>
          <t>Documentary Making</t>
        </is>
      </c>
      <c r="E20" s="9" t="inlineStr"/>
      <c r="F20" s="10" t="inlineStr"/>
      <c r="G20" s="10" t="inlineStr"/>
      <c r="H20" s="10" t="inlineStr"/>
      <c r="I20" s="10" t="inlineStr"/>
      <c r="J20" s="10" t="inlineStr"/>
    </row>
    <row r="21" ht="22" customHeight="1">
      <c r="B21" s="14" t="inlineStr">
        <is>
          <t>TRN/017</t>
        </is>
      </c>
      <c r="C21" s="15" t="inlineStr"/>
      <c r="D21" s="16" t="inlineStr">
        <is>
          <t>Pottery / Ceramics</t>
        </is>
      </c>
      <c r="E21" s="15" t="inlineStr"/>
      <c r="F21" s="16" t="inlineStr"/>
      <c r="G21" s="16" t="inlineStr"/>
      <c r="H21" s="16" t="inlineStr"/>
      <c r="I21" s="16" t="inlineStr"/>
      <c r="J21" s="16" t="inlineStr"/>
    </row>
    <row r="22" ht="22" customHeight="1">
      <c r="B22" s="8" t="inlineStr">
        <is>
          <t>TRN/018</t>
        </is>
      </c>
      <c r="C22" s="9" t="inlineStr"/>
      <c r="D22" s="10" t="inlineStr">
        <is>
          <t>Origami &amp; Paper Craft</t>
        </is>
      </c>
      <c r="E22" s="9" t="inlineStr"/>
      <c r="F22" s="10" t="inlineStr"/>
      <c r="G22" s="10" t="inlineStr"/>
      <c r="H22" s="10" t="inlineStr"/>
      <c r="I22" s="10" t="inlineStr"/>
      <c r="J22" s="10" t="inlineStr"/>
    </row>
    <row r="23" ht="22" customHeight="1">
      <c r="B23" s="14" t="inlineStr">
        <is>
          <t>TRN/019</t>
        </is>
      </c>
      <c r="C23" s="15" t="inlineStr"/>
      <c r="D23" s="16" t="inlineStr">
        <is>
          <t>Digital Illustration</t>
        </is>
      </c>
      <c r="E23" s="15" t="inlineStr"/>
      <c r="F23" s="16" t="inlineStr"/>
      <c r="G23" s="16" t="inlineStr"/>
      <c r="H23" s="16" t="inlineStr"/>
      <c r="I23" s="16" t="inlineStr"/>
      <c r="J23" s="16" t="inlineStr"/>
    </row>
    <row r="24" ht="22" customHeight="1">
      <c r="B24" s="8" t="inlineStr">
        <is>
          <t>TRN/020</t>
        </is>
      </c>
      <c r="C24" s="9" t="inlineStr"/>
      <c r="D24" s="10" t="inlineStr">
        <is>
          <t>Graphic Design</t>
        </is>
      </c>
      <c r="E24" s="9" t="inlineStr"/>
      <c r="F24" s="10" t="inlineStr"/>
      <c r="G24" s="10" t="inlineStr"/>
      <c r="H24" s="10" t="inlineStr"/>
      <c r="I24" s="10" t="inlineStr"/>
      <c r="J24" s="10" t="inlineStr"/>
    </row>
    <row r="25" ht="22" customHeight="1">
      <c r="B25" s="14" t="inlineStr">
        <is>
          <t>TRN/021</t>
        </is>
      </c>
      <c r="C25" s="15" t="inlineStr"/>
      <c r="D25" s="16" t="inlineStr">
        <is>
          <t>Classical Dance — Bharatanatyam / Kathak</t>
        </is>
      </c>
      <c r="E25" s="15" t="inlineStr"/>
      <c r="F25" s="16" t="inlineStr"/>
      <c r="G25" s="16" t="inlineStr"/>
      <c r="H25" s="16" t="inlineStr"/>
      <c r="I25" s="16" t="inlineStr"/>
      <c r="J25" s="16" t="inlineStr"/>
    </row>
    <row r="26" ht="22" customHeight="1">
      <c r="B26" s="8" t="inlineStr">
        <is>
          <t>TRN/022</t>
        </is>
      </c>
      <c r="C26" s="9" t="inlineStr"/>
      <c r="D26" s="10" t="inlineStr">
        <is>
          <t>Folk Dance</t>
        </is>
      </c>
      <c r="E26" s="9" t="inlineStr"/>
      <c r="F26" s="10" t="inlineStr"/>
      <c r="G26" s="10" t="inlineStr"/>
      <c r="H26" s="10" t="inlineStr"/>
      <c r="I26" s="10" t="inlineStr"/>
      <c r="J26" s="10" t="inlineStr"/>
    </row>
    <row r="27" ht="22" customHeight="1">
      <c r="B27" s="14" t="inlineStr">
        <is>
          <t>TRN/023</t>
        </is>
      </c>
      <c r="C27" s="15" t="inlineStr"/>
      <c r="D27" s="16" t="inlineStr">
        <is>
          <t>Western Dance / Choreography</t>
        </is>
      </c>
      <c r="E27" s="15" t="inlineStr"/>
      <c r="F27" s="16" t="inlineStr"/>
      <c r="G27" s="16" t="inlineStr"/>
      <c r="H27" s="16" t="inlineStr"/>
      <c r="I27" s="16" t="inlineStr"/>
      <c r="J27" s="16" t="inlineStr"/>
    </row>
    <row r="28" ht="22" customHeight="1">
      <c r="B28" s="8" t="inlineStr">
        <is>
          <t>TRN/024</t>
        </is>
      </c>
      <c r="C28" s="9" t="inlineStr"/>
      <c r="D28" s="10" t="inlineStr">
        <is>
          <t>Vocal Music — Hindustani</t>
        </is>
      </c>
      <c r="E28" s="9" t="inlineStr"/>
      <c r="F28" s="10" t="inlineStr"/>
      <c r="G28" s="10" t="inlineStr"/>
      <c r="H28" s="10" t="inlineStr"/>
      <c r="I28" s="10" t="inlineStr"/>
      <c r="J28" s="10" t="inlineStr"/>
    </row>
    <row r="29" ht="22" customHeight="1"/>
    <row r="30" ht="24" customHeight="1">
      <c r="B30" s="35" t="inlineStr">
        <is>
          <t>TRAINING IMPACT SUMMARY</t>
        </is>
      </c>
    </row>
    <row r="31" ht="22" customHeight="1">
      <c r="B31" s="43" t="inlineStr">
        <is>
          <t>Total Training / Workshop Sessions</t>
        </is>
      </c>
      <c r="F31" s="37">
        <f>COUNTA(B5:B28)</f>
        <v/>
      </c>
    </row>
    <row r="32" ht="22" customHeight="1">
      <c r="B32" s="26" t="inlineStr">
        <is>
          <t>Total Hours of Training</t>
        </is>
      </c>
      <c r="F32" s="38">
        <f>IFERROR(SUM(G5:G28),"")</f>
        <v/>
      </c>
    </row>
    <row r="33" ht="22" customHeight="1">
      <c r="B33" s="43" t="inlineStr">
        <is>
          <t>Total Students Trained</t>
        </is>
      </c>
      <c r="F33" s="37">
        <f>IFERROR(SUM(H5:H28),"")</f>
        <v/>
      </c>
    </row>
    <row r="34" ht="22" customHeight="1">
      <c r="B34" s="26" t="inlineStr">
        <is>
          <t>Average Completion Rate (%)</t>
        </is>
      </c>
      <c r="F34" s="38">
        <f>IFERROR(ROUND(AVERAGE(I5:I28)/AVERAGE(H5:H28)*100,1),"")</f>
        <v/>
      </c>
    </row>
    <row r="35" ht="22" customHeight="1">
      <c r="B35" s="43" t="inlineStr">
        <is>
          <t>Average Feedback Score (/5)</t>
        </is>
      </c>
      <c r="F35" s="37">
        <f>IFERROR(ROUND(AVERAGE(J5:J28),2),"")</f>
        <v/>
      </c>
    </row>
    <row r="36">
      <c r="B36" s="26" t="inlineStr">
        <is>
          <t>External Trainers Engaged</t>
        </is>
      </c>
      <c r="F36" s="38" t="inlineStr"/>
    </row>
  </sheetData>
  <mergeCells count="15">
    <mergeCell ref="B31:E31"/>
    <mergeCell ref="B36:E36"/>
    <mergeCell ref="B3:J3"/>
    <mergeCell ref="B35:E35"/>
    <mergeCell ref="F35:J35"/>
    <mergeCell ref="F34:J34"/>
    <mergeCell ref="F36:J36"/>
    <mergeCell ref="B33:E33"/>
    <mergeCell ref="F33:J33"/>
    <mergeCell ref="F31:J31"/>
    <mergeCell ref="B34:E34"/>
    <mergeCell ref="F32:J32"/>
    <mergeCell ref="B30:J30"/>
    <mergeCell ref="B2:J2"/>
    <mergeCell ref="B32:E3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8" t="inlineStr">
        <is>
          <t>ACLHC-20: STUDENT ARTS &amp; CULTURAL LIFE SATISFACTION SURVEY</t>
        </is>
      </c>
    </row>
    <row r="3" ht="25" customHeight="1">
      <c r="B3" s="2" t="inlineStr">
        <is>
          <t>A.Y.: _______  Respondents: _______  Date: _______  NAAC Ref.: Criterion V.3</t>
        </is>
      </c>
    </row>
    <row r="4" ht="22" customHeight="1">
      <c r="B4" s="73" t="inlineStr">
        <is>
          <t>Scale: 1 = Very Poor  |  2 = Poor  |  3 = Average  |  4 = Good  |  5 = Excellent</t>
        </is>
      </c>
    </row>
    <row r="5" ht="24" customHeight="1">
      <c r="B5" s="20" t="inlineStr">
        <is>
          <t>A. CLUB DIVERSITY &amp; ACCESSIBILITY</t>
        </is>
      </c>
    </row>
    <row r="6" ht="22" customHeight="1">
      <c r="B6" s="13" t="inlineStr">
        <is>
          <t>Q.</t>
        </is>
      </c>
      <c r="C6" s="13" t="inlineStr">
        <is>
          <t>Survey Statement</t>
        </is>
      </c>
      <c r="D6" s="13" t="inlineStr">
        <is>
          <t>Excellent
(5)</t>
        </is>
      </c>
      <c r="E6" s="13" t="inlineStr">
        <is>
          <t>Good
(4)</t>
        </is>
      </c>
      <c r="F6" s="13" t="inlineStr">
        <is>
          <t>Average
(3)</t>
        </is>
      </c>
      <c r="G6" s="13" t="inlineStr">
        <is>
          <t>Poor
(2)</t>
        </is>
      </c>
      <c r="H6" s="13" t="inlineStr">
        <is>
          <t>Very Poor
(1)</t>
        </is>
      </c>
      <c r="I6" s="13" t="inlineStr">
        <is>
          <t>Avg Score</t>
        </is>
      </c>
    </row>
    <row r="7" ht="22" customHeight="1">
      <c r="B7" s="14" t="inlineStr">
        <is>
          <t>Q1</t>
        </is>
      </c>
      <c r="C7" s="15" t="inlineStr">
        <is>
          <t>Variety of clubs available catering to different interests</t>
        </is>
      </c>
      <c r="D7" s="16" t="inlineStr"/>
      <c r="E7" s="16" t="inlineStr"/>
      <c r="F7" s="16" t="inlineStr"/>
      <c r="G7" s="16" t="inlineStr"/>
      <c r="H7" s="16" t="inlineStr"/>
      <c r="I7" s="44">
        <f>IFERROR(ROUND((D7*5+E7*4+F7*3+G7*2+H7)/SUM(D7:H7),2),"")</f>
        <v/>
      </c>
    </row>
    <row r="8" ht="22" customHeight="1">
      <c r="B8" s="8" t="inlineStr">
        <is>
          <t>Q2</t>
        </is>
      </c>
      <c r="C8" s="9" t="inlineStr">
        <is>
          <t>Ease of joining a club of your choice</t>
        </is>
      </c>
      <c r="D8" s="10" t="inlineStr"/>
      <c r="E8" s="10" t="inlineStr"/>
      <c r="F8" s="10" t="inlineStr"/>
      <c r="G8" s="10" t="inlineStr"/>
      <c r="H8" s="10" t="inlineStr"/>
      <c r="I8" s="38">
        <f>IFERROR(ROUND((D8*5+E8*4+F8*3+G8*2+H8)/SUM(D8:H8),2),"")</f>
        <v/>
      </c>
    </row>
    <row r="9" ht="22" customHeight="1">
      <c r="B9" s="14" t="inlineStr">
        <is>
          <t>Q3</t>
        </is>
      </c>
      <c r="C9" s="15" t="inlineStr">
        <is>
          <t>Inclusivity — all students feel welcome to participate</t>
        </is>
      </c>
      <c r="D9" s="16" t="inlineStr"/>
      <c r="E9" s="16" t="inlineStr"/>
      <c r="F9" s="16" t="inlineStr"/>
      <c r="G9" s="16" t="inlineStr"/>
      <c r="H9" s="16" t="inlineStr"/>
      <c r="I9" s="44">
        <f>IFERROR(ROUND((D9*5+E9*4+F9*3+G9*2+H9)/SUM(D9:H9),2),"")</f>
        <v/>
      </c>
    </row>
    <row r="10" ht="22" customHeight="1">
      <c r="B10" s="8" t="inlineStr">
        <is>
          <t>Q4</t>
        </is>
      </c>
      <c r="C10" s="9" t="inlineStr">
        <is>
          <t>Awareness of club activities and events among students</t>
        </is>
      </c>
      <c r="D10" s="10" t="inlineStr"/>
      <c r="E10" s="10" t="inlineStr"/>
      <c r="F10" s="10" t="inlineStr"/>
      <c r="G10" s="10" t="inlineStr"/>
      <c r="H10" s="10" t="inlineStr"/>
      <c r="I10" s="38">
        <f>IFERROR(ROUND((D10*5+E10*4+F10*3+G10*2+H10)/SUM(D10:H10),2),"")</f>
        <v/>
      </c>
    </row>
    <row r="11" ht="22" customHeight="1">
      <c r="B11" s="14" t="inlineStr">
        <is>
          <t>Q5</t>
        </is>
      </c>
      <c r="C11" s="15" t="inlineStr">
        <is>
          <t>Number of clubs relative to student interest</t>
        </is>
      </c>
      <c r="D11" s="16" t="inlineStr"/>
      <c r="E11" s="16" t="inlineStr"/>
      <c r="F11" s="16" t="inlineStr"/>
      <c r="G11" s="16" t="inlineStr"/>
      <c r="H11" s="16" t="inlineStr"/>
      <c r="I11" s="44">
        <f>IFERROR(ROUND((D11*5+E11*4+F11*3+G11*2+H11)/SUM(D11:H11),2),"")</f>
        <v/>
      </c>
    </row>
    <row r="12" ht="22" customHeight="1"/>
    <row r="13" ht="24" customHeight="1">
      <c r="B13" s="49" t="inlineStr">
        <is>
          <t>B. EVENTS &amp; COMPETITIONS</t>
        </is>
      </c>
    </row>
    <row r="14" ht="22" customHeight="1">
      <c r="B14" s="60" t="inlineStr">
        <is>
          <t>Q.</t>
        </is>
      </c>
      <c r="C14" s="60" t="inlineStr">
        <is>
          <t>Survey Statement</t>
        </is>
      </c>
      <c r="D14" s="60" t="inlineStr">
        <is>
          <t>Excellent
(5)</t>
        </is>
      </c>
      <c r="E14" s="60" t="inlineStr">
        <is>
          <t>Good
(4)</t>
        </is>
      </c>
      <c r="F14" s="60" t="inlineStr">
        <is>
          <t>Average
(3)</t>
        </is>
      </c>
      <c r="G14" s="60" t="inlineStr">
        <is>
          <t>Poor
(2)</t>
        </is>
      </c>
      <c r="H14" s="60" t="inlineStr">
        <is>
          <t>Very Poor
(1)</t>
        </is>
      </c>
      <c r="I14" s="60" t="inlineStr">
        <is>
          <t>Avg Score</t>
        </is>
      </c>
    </row>
    <row r="15" ht="22" customHeight="1">
      <c r="B15" s="61" t="inlineStr">
        <is>
          <t>Q6</t>
        </is>
      </c>
      <c r="C15" s="62" t="inlineStr">
        <is>
          <t>Number and quality of intra-college cultural events</t>
        </is>
      </c>
      <c r="D15" s="63" t="inlineStr"/>
      <c r="E15" s="63" t="inlineStr"/>
      <c r="F15" s="63" t="inlineStr"/>
      <c r="G15" s="63" t="inlineStr"/>
      <c r="H15" s="63" t="inlineStr"/>
      <c r="I15" s="74">
        <f>IFERROR(ROUND((D15*5+E15*4+F15*3+G15*2+H15)/SUM(D15:H15),2),"")</f>
        <v/>
      </c>
    </row>
    <row r="16" ht="22" customHeight="1">
      <c r="B16" s="8" t="inlineStr">
        <is>
          <t>Q7</t>
        </is>
      </c>
      <c r="C16" s="9" t="inlineStr">
        <is>
          <t>Opportunities to participate in inter-college competitions</t>
        </is>
      </c>
      <c r="D16" s="10" t="inlineStr"/>
      <c r="E16" s="10" t="inlineStr"/>
      <c r="F16" s="10" t="inlineStr"/>
      <c r="G16" s="10" t="inlineStr"/>
      <c r="H16" s="10" t="inlineStr"/>
      <c r="I16" s="38">
        <f>IFERROR(ROUND((D16*5+E16*4+F16*3+G16*2+H16)/SUM(D16:H16),2),"")</f>
        <v/>
      </c>
    </row>
    <row r="17" ht="22" customHeight="1">
      <c r="B17" s="61" t="inlineStr">
        <is>
          <t>Q8</t>
        </is>
      </c>
      <c r="C17" s="62" t="inlineStr">
        <is>
          <t>Fairness and quality of judging in internal competitions</t>
        </is>
      </c>
      <c r="D17" s="63" t="inlineStr"/>
      <c r="E17" s="63" t="inlineStr"/>
      <c r="F17" s="63" t="inlineStr"/>
      <c r="G17" s="63" t="inlineStr"/>
      <c r="H17" s="63" t="inlineStr"/>
      <c r="I17" s="74">
        <f>IFERROR(ROUND((D17*5+E17*4+F17*3+G17*2+H17)/SUM(D17:H17),2),"")</f>
        <v/>
      </c>
    </row>
    <row r="18" ht="22" customHeight="1">
      <c r="B18" s="8" t="inlineStr">
        <is>
          <t>Q9</t>
        </is>
      </c>
      <c r="C18" s="9" t="inlineStr">
        <is>
          <t>Organisation quality of the annual cultural fest</t>
        </is>
      </c>
      <c r="D18" s="10" t="inlineStr"/>
      <c r="E18" s="10" t="inlineStr"/>
      <c r="F18" s="10" t="inlineStr"/>
      <c r="G18" s="10" t="inlineStr"/>
      <c r="H18" s="10" t="inlineStr"/>
      <c r="I18" s="38">
        <f>IFERROR(ROUND((D18*5+E18*4+F18*3+G18*2+H18)/SUM(D18:H18),2),"")</f>
        <v/>
      </c>
    </row>
    <row r="19" ht="22" customHeight="1">
      <c r="B19" s="61" t="inlineStr">
        <is>
          <t>Q10</t>
        </is>
      </c>
      <c r="C19" s="62" t="inlineStr">
        <is>
          <t>Variety of events covering different art forms</t>
        </is>
      </c>
      <c r="D19" s="63" t="inlineStr"/>
      <c r="E19" s="63" t="inlineStr"/>
      <c r="F19" s="63" t="inlineStr"/>
      <c r="G19" s="63" t="inlineStr"/>
      <c r="H19" s="63" t="inlineStr"/>
      <c r="I19" s="74">
        <f>IFERROR(ROUND((D19*5+E19*4+F19*3+G19*2+H19)/SUM(D19:H19),2),"")</f>
        <v/>
      </c>
    </row>
    <row r="20" ht="22" customHeight="1"/>
    <row r="21" ht="24" customHeight="1">
      <c r="B21" s="35" t="inlineStr">
        <is>
          <t>C. TRAINING &amp; SKILL DEVELOPMENT</t>
        </is>
      </c>
    </row>
    <row r="22" ht="22" customHeight="1">
      <c r="B22" s="31" t="inlineStr">
        <is>
          <t>Q.</t>
        </is>
      </c>
      <c r="C22" s="31" t="inlineStr">
        <is>
          <t>Survey Statement</t>
        </is>
      </c>
      <c r="D22" s="31" t="inlineStr">
        <is>
          <t>Excellent
(5)</t>
        </is>
      </c>
      <c r="E22" s="31" t="inlineStr">
        <is>
          <t>Good
(4)</t>
        </is>
      </c>
      <c r="F22" s="31" t="inlineStr">
        <is>
          <t>Average
(3)</t>
        </is>
      </c>
      <c r="G22" s="31" t="inlineStr">
        <is>
          <t>Poor
(2)</t>
        </is>
      </c>
      <c r="H22" s="31" t="inlineStr">
        <is>
          <t>Very Poor
(1)</t>
        </is>
      </c>
      <c r="I22" s="31" t="inlineStr">
        <is>
          <t>Avg Score</t>
        </is>
      </c>
    </row>
    <row r="23" ht="22" customHeight="1">
      <c r="B23" s="32" t="inlineStr">
        <is>
          <t>Q11</t>
        </is>
      </c>
      <c r="C23" s="33" t="inlineStr">
        <is>
          <t>Quality of workshops and training sessions offered</t>
        </is>
      </c>
      <c r="D23" s="34" t="inlineStr"/>
      <c r="E23" s="34" t="inlineStr"/>
      <c r="F23" s="34" t="inlineStr"/>
      <c r="G23" s="34" t="inlineStr"/>
      <c r="H23" s="34" t="inlineStr"/>
      <c r="I23" s="75">
        <f>IFERROR(ROUND((D23*5+E23*4+F23*3+G23*2+H23)/SUM(D23:H23),2),"")</f>
        <v/>
      </c>
    </row>
    <row r="24" ht="22" customHeight="1">
      <c r="B24" s="8" t="inlineStr">
        <is>
          <t>Q12</t>
        </is>
      </c>
      <c r="C24" s="9" t="inlineStr">
        <is>
          <t>Relevance of training to student interests</t>
        </is>
      </c>
      <c r="D24" s="10" t="inlineStr"/>
      <c r="E24" s="10" t="inlineStr"/>
      <c r="F24" s="10" t="inlineStr"/>
      <c r="G24" s="10" t="inlineStr"/>
      <c r="H24" s="10" t="inlineStr"/>
      <c r="I24" s="38">
        <f>IFERROR(ROUND((D24*5+E24*4+F24*3+G24*2+H24)/SUM(D24:H24),2),"")</f>
        <v/>
      </c>
    </row>
    <row r="25" ht="22" customHeight="1">
      <c r="B25" s="32" t="inlineStr">
        <is>
          <t>Q13</t>
        </is>
      </c>
      <c r="C25" s="33" t="inlineStr">
        <is>
          <t>Availability of skilled trainers and resource persons</t>
        </is>
      </c>
      <c r="D25" s="34" t="inlineStr"/>
      <c r="E25" s="34" t="inlineStr"/>
      <c r="F25" s="34" t="inlineStr"/>
      <c r="G25" s="34" t="inlineStr"/>
      <c r="H25" s="34" t="inlineStr"/>
      <c r="I25" s="75">
        <f>IFERROR(ROUND((D25*5+E25*4+F25*3+G25*2+H25)/SUM(D25:H25),2),"")</f>
        <v/>
      </c>
    </row>
    <row r="26" ht="22" customHeight="1">
      <c r="B26" s="8" t="inlineStr">
        <is>
          <t>Q14</t>
        </is>
      </c>
      <c r="C26" s="9" t="inlineStr">
        <is>
          <t>Frequency of training and practice sessions</t>
        </is>
      </c>
      <c r="D26" s="10" t="inlineStr"/>
      <c r="E26" s="10" t="inlineStr"/>
      <c r="F26" s="10" t="inlineStr"/>
      <c r="G26" s="10" t="inlineStr"/>
      <c r="H26" s="10" t="inlineStr"/>
      <c r="I26" s="38">
        <f>IFERROR(ROUND((D26*5+E26*4+F26*3+G26*2+H26)/SUM(D26:H26),2),"")</f>
        <v/>
      </c>
    </row>
    <row r="27" ht="22" customHeight="1">
      <c r="B27" s="32" t="inlineStr">
        <is>
          <t>Q15</t>
        </is>
      </c>
      <c r="C27" s="33" t="inlineStr">
        <is>
          <t>Improvement in skills after joining a club</t>
        </is>
      </c>
      <c r="D27" s="34" t="inlineStr"/>
      <c r="E27" s="34" t="inlineStr"/>
      <c r="F27" s="34" t="inlineStr"/>
      <c r="G27" s="34" t="inlineStr"/>
      <c r="H27" s="34" t="inlineStr"/>
      <c r="I27" s="75">
        <f>IFERROR(ROUND((D27*5+E27*4+F27*3+G27*2+H27)/SUM(D27:H27),2),"")</f>
        <v/>
      </c>
    </row>
    <row r="28" ht="22" customHeight="1"/>
    <row r="29" ht="24" customHeight="1">
      <c r="B29" s="21" t="inlineStr">
        <is>
          <t>D. INFRASTRUCTURE &amp; SUPPORT</t>
        </is>
      </c>
    </row>
    <row r="30" ht="22" customHeight="1">
      <c r="B30" s="22" t="inlineStr">
        <is>
          <t>Q.</t>
        </is>
      </c>
      <c r="C30" s="22" t="inlineStr">
        <is>
          <t>Survey Statement</t>
        </is>
      </c>
      <c r="D30" s="22" t="inlineStr">
        <is>
          <t>Excellent
(5)</t>
        </is>
      </c>
      <c r="E30" s="22" t="inlineStr">
        <is>
          <t>Good
(4)</t>
        </is>
      </c>
      <c r="F30" s="22" t="inlineStr">
        <is>
          <t>Average
(3)</t>
        </is>
      </c>
      <c r="G30" s="22" t="inlineStr">
        <is>
          <t>Poor
(2)</t>
        </is>
      </c>
      <c r="H30" s="22" t="inlineStr">
        <is>
          <t>Very Poor
(1)</t>
        </is>
      </c>
      <c r="I30" s="22" t="inlineStr">
        <is>
          <t>Avg Score</t>
        </is>
      </c>
    </row>
    <row r="31" ht="22" customHeight="1">
      <c r="B31" s="41" t="inlineStr">
        <is>
          <t>Q16</t>
        </is>
      </c>
      <c r="C31" s="76" t="inlineStr">
        <is>
          <t>Availability of rehearsal space / practice rooms</t>
        </is>
      </c>
      <c r="D31" s="23" t="inlineStr"/>
      <c r="E31" s="23" t="inlineStr"/>
      <c r="F31" s="23" t="inlineStr"/>
      <c r="G31" s="23" t="inlineStr"/>
      <c r="H31" s="23" t="inlineStr"/>
      <c r="I31" s="77">
        <f>IFERROR(ROUND((D31*5+E31*4+F31*3+G31*2+H31)/SUM(D31:H31),2),"")</f>
        <v/>
      </c>
    </row>
    <row r="32" ht="22" customHeight="1">
      <c r="B32" s="8" t="inlineStr">
        <is>
          <t>Q17</t>
        </is>
      </c>
      <c r="C32" s="9" t="inlineStr">
        <is>
          <t>Quality and adequacy of instruments / equipment provided</t>
        </is>
      </c>
      <c r="D32" s="10" t="inlineStr"/>
      <c r="E32" s="10" t="inlineStr"/>
      <c r="F32" s="10" t="inlineStr"/>
      <c r="G32" s="10" t="inlineStr"/>
      <c r="H32" s="10" t="inlineStr"/>
      <c r="I32" s="38">
        <f>IFERROR(ROUND((D32*5+E32*4+F32*3+G32*2+H32)/SUM(D32:H32),2),"")</f>
        <v/>
      </c>
    </row>
    <row r="33" ht="22" customHeight="1">
      <c r="B33" s="41" t="inlineStr">
        <is>
          <t>Q18</t>
        </is>
      </c>
      <c r="C33" s="76" t="inlineStr">
        <is>
          <t>Budget support from institution for club activities</t>
        </is>
      </c>
      <c r="D33" s="23" t="inlineStr"/>
      <c r="E33" s="23" t="inlineStr"/>
      <c r="F33" s="23" t="inlineStr"/>
      <c r="G33" s="23" t="inlineStr"/>
      <c r="H33" s="23" t="inlineStr"/>
      <c r="I33" s="77">
        <f>IFERROR(ROUND((D33*5+E33*4+F33*3+G33*2+H33)/SUM(D33:H33),2),"")</f>
        <v/>
      </c>
    </row>
    <row r="34" ht="22" customHeight="1">
      <c r="B34" s="8" t="inlineStr">
        <is>
          <t>Q19</t>
        </is>
      </c>
      <c r="C34" s="9" t="inlineStr">
        <is>
          <t>Faculty advisor support and guidance</t>
        </is>
      </c>
      <c r="D34" s="10" t="inlineStr"/>
      <c r="E34" s="10" t="inlineStr"/>
      <c r="F34" s="10" t="inlineStr"/>
      <c r="G34" s="10" t="inlineStr"/>
      <c r="H34" s="10" t="inlineStr"/>
      <c r="I34" s="38">
        <f>IFERROR(ROUND((D34*5+E34*4+F34*3+G34*2+H34)/SUM(D34:H34),2),"")</f>
        <v/>
      </c>
    </row>
    <row r="35" ht="22" customHeight="1">
      <c r="B35" s="41" t="inlineStr">
        <is>
          <t>Q20</t>
        </is>
      </c>
      <c r="C35" s="76" t="inlineStr">
        <is>
          <t>Administrative support for event planning</t>
        </is>
      </c>
      <c r="D35" s="23" t="inlineStr"/>
      <c r="E35" s="23" t="inlineStr"/>
      <c r="F35" s="23" t="inlineStr"/>
      <c r="G35" s="23" t="inlineStr"/>
      <c r="H35" s="23" t="inlineStr"/>
      <c r="I35" s="77">
        <f>IFERROR(ROUND((D35*5+E35*4+F35*3+G35*2+H35)/SUM(D35:H35),2),"")</f>
        <v/>
      </c>
    </row>
    <row r="36" ht="22" customHeight="1"/>
    <row r="37" ht="24" customHeight="1">
      <c r="B37" s="78" t="inlineStr">
        <is>
          <t>E. RECOGNITION &amp; CAREER IMPACT</t>
        </is>
      </c>
    </row>
    <row r="38" ht="22" customHeight="1">
      <c r="B38" s="79" t="inlineStr">
        <is>
          <t>Q.</t>
        </is>
      </c>
      <c r="C38" s="79" t="inlineStr">
        <is>
          <t>Survey Statement</t>
        </is>
      </c>
      <c r="D38" s="79" t="inlineStr">
        <is>
          <t>Excellent
(5)</t>
        </is>
      </c>
      <c r="E38" s="79" t="inlineStr">
        <is>
          <t>Good
(4)</t>
        </is>
      </c>
      <c r="F38" s="79" t="inlineStr">
        <is>
          <t>Average
(3)</t>
        </is>
      </c>
      <c r="G38" s="79" t="inlineStr">
        <is>
          <t>Poor
(2)</t>
        </is>
      </c>
      <c r="H38" s="79" t="inlineStr">
        <is>
          <t>Very Poor
(1)</t>
        </is>
      </c>
      <c r="I38" s="79" t="inlineStr">
        <is>
          <t>Avg Score</t>
        </is>
      </c>
    </row>
    <row r="39" ht="22" customHeight="1">
      <c r="B39" s="80" t="inlineStr">
        <is>
          <t>Q21</t>
        </is>
      </c>
      <c r="C39" s="81" t="inlineStr">
        <is>
          <t>Recognition of cultural achievements by the institution</t>
        </is>
      </c>
      <c r="D39" s="82" t="inlineStr"/>
      <c r="E39" s="82" t="inlineStr"/>
      <c r="F39" s="82" t="inlineStr"/>
      <c r="G39" s="82" t="inlineStr"/>
      <c r="H39" s="82" t="inlineStr"/>
      <c r="I39" s="83">
        <f>IFERROR(ROUND((D39*5+E39*4+F39*3+G39*2+H39)/SUM(D39:H39),2),"")</f>
        <v/>
      </c>
    </row>
    <row r="40" ht="22" customHeight="1">
      <c r="B40" s="8" t="inlineStr">
        <is>
          <t>Q22</t>
        </is>
      </c>
      <c r="C40" s="9" t="inlineStr">
        <is>
          <t>Cultural achievements reflected in academic credits</t>
        </is>
      </c>
      <c r="D40" s="10" t="inlineStr"/>
      <c r="E40" s="10" t="inlineStr"/>
      <c r="F40" s="10" t="inlineStr"/>
      <c r="G40" s="10" t="inlineStr"/>
      <c r="H40" s="10" t="inlineStr"/>
      <c r="I40" s="38">
        <f>IFERROR(ROUND((D40*5+E40*4+F40*3+G40*2+H40)/SUM(D40:H40),2),"")</f>
        <v/>
      </c>
    </row>
    <row r="41" ht="22" customHeight="1">
      <c r="B41" s="80" t="inlineStr">
        <is>
          <t>Q23</t>
        </is>
      </c>
      <c r="C41" s="81" t="inlineStr">
        <is>
          <t>Exposure to external platforms and competitions</t>
        </is>
      </c>
      <c r="D41" s="82" t="inlineStr"/>
      <c r="E41" s="82" t="inlineStr"/>
      <c r="F41" s="82" t="inlineStr"/>
      <c r="G41" s="82" t="inlineStr"/>
      <c r="H41" s="82" t="inlineStr"/>
      <c r="I41" s="83">
        <f>IFERROR(ROUND((D41*5+E41*4+F41*3+G41*2+H41)/SUM(D41:H41),2),"")</f>
        <v/>
      </c>
    </row>
    <row r="42" ht="22" customHeight="1">
      <c r="B42" s="8" t="inlineStr">
        <is>
          <t>Q24</t>
        </is>
      </c>
      <c r="C42" s="9" t="inlineStr">
        <is>
          <t>Cultural activities contributing to personal growth</t>
        </is>
      </c>
      <c r="D42" s="10" t="inlineStr"/>
      <c r="E42" s="10" t="inlineStr"/>
      <c r="F42" s="10" t="inlineStr"/>
      <c r="G42" s="10" t="inlineStr"/>
      <c r="H42" s="10" t="inlineStr"/>
      <c r="I42" s="38">
        <f>IFERROR(ROUND((D42*5+E42*4+F42*3+G42*2+H42)/SUM(D42:H42),2),"")</f>
        <v/>
      </c>
    </row>
    <row r="43" ht="22" customHeight="1">
      <c r="B43" s="80" t="inlineStr">
        <is>
          <t>Q25</t>
        </is>
      </c>
      <c r="C43" s="81" t="inlineStr">
        <is>
          <t>Overall quality of arts / cultural life on campus</t>
        </is>
      </c>
      <c r="D43" s="82" t="inlineStr"/>
      <c r="E43" s="82" t="inlineStr"/>
      <c r="F43" s="82" t="inlineStr"/>
      <c r="G43" s="82" t="inlineStr"/>
      <c r="H43" s="82" t="inlineStr"/>
      <c r="I43" s="83">
        <f>IFERROR(ROUND((D43*5+E43*4+F43*3+G43*2+H43)/SUM(D43:H43),2),"")</f>
        <v/>
      </c>
    </row>
    <row r="44" ht="22" customHeight="1"/>
    <row r="45" ht="24" customHeight="1">
      <c r="B45" s="28" t="inlineStr">
        <is>
          <t>SURVEY SUMMARY &amp; ACTION PLAN</t>
        </is>
      </c>
    </row>
    <row r="46" ht="22" customHeight="1">
      <c r="B46" s="29" t="inlineStr">
        <is>
          <t>Section</t>
        </is>
      </c>
      <c r="C46" s="29" t="inlineStr">
        <is>
          <t>Avg Score (/5)</t>
        </is>
      </c>
      <c r="D46" s="29" t="inlineStr">
        <is>
          <t>Satisfaction %</t>
        </is>
      </c>
      <c r="E46" s="29" t="inlineStr">
        <is>
          <t>Benchmark
(≥3.5)</t>
        </is>
      </c>
      <c r="F46" s="29" t="inlineStr">
        <is>
          <t>Gap</t>
        </is>
      </c>
      <c r="G46" s="29" t="inlineStr">
        <is>
          <t>Status</t>
        </is>
      </c>
      <c r="H46" s="29" t="inlineStr">
        <is>
          <t>Priority Action</t>
        </is>
      </c>
    </row>
    <row r="47" ht="22" customHeight="1">
      <c r="B47" s="43" t="inlineStr">
        <is>
          <t>CLUB DIVERSITY &amp; ACCESSIBILITY</t>
        </is>
      </c>
      <c r="C47" s="16" t="inlineStr"/>
      <c r="D47" s="16">
        <f>IFERROR(ROUND(C47/5*100,1),"")</f>
        <v/>
      </c>
      <c r="E47" s="16" t="n">
        <v>3.5</v>
      </c>
      <c r="F47" s="16">
        <f>IFERROR(ROUND(C47-E47,2),"")</f>
        <v/>
      </c>
      <c r="G47" s="16">
        <f>IFERROR(IF(C47&gt;=3.5,"Satisfactory","Needs Attention"),"")</f>
        <v/>
      </c>
      <c r="H47" s="15" t="inlineStr"/>
      <c r="I47" s="84" t="n"/>
    </row>
    <row r="48" ht="22" customHeight="1">
      <c r="B48" s="26" t="inlineStr">
        <is>
          <t>EVENTS &amp; COMPETITIONS</t>
        </is>
      </c>
      <c r="C48" s="10" t="inlineStr"/>
      <c r="D48" s="10">
        <f>IFERROR(ROUND(C48/5*100,1),"")</f>
        <v/>
      </c>
      <c r="E48" s="10" t="n">
        <v>3.5</v>
      </c>
      <c r="F48" s="10">
        <f>IFERROR(ROUND(C48-E48,2),"")</f>
        <v/>
      </c>
      <c r="G48" s="10">
        <f>IFERROR(IF(C48&gt;=3.5,"Satisfactory","Needs Attention"),"")</f>
        <v/>
      </c>
      <c r="H48" s="9" t="inlineStr"/>
      <c r="I48" s="40" t="n"/>
    </row>
    <row r="49" ht="22" customHeight="1">
      <c r="B49" s="43" t="inlineStr">
        <is>
          <t>TRAINING &amp; SKILL DEVELOPMENT</t>
        </is>
      </c>
      <c r="C49" s="16" t="inlineStr"/>
      <c r="D49" s="16">
        <f>IFERROR(ROUND(C49/5*100,1),"")</f>
        <v/>
      </c>
      <c r="E49" s="16" t="n">
        <v>3.5</v>
      </c>
      <c r="F49" s="16">
        <f>IFERROR(ROUND(C49-E49,2),"")</f>
        <v/>
      </c>
      <c r="G49" s="16">
        <f>IFERROR(IF(C49&gt;=3.5,"Satisfactory","Needs Attention"),"")</f>
        <v/>
      </c>
      <c r="H49" s="15" t="inlineStr"/>
      <c r="I49" s="84" t="n"/>
    </row>
    <row r="50" ht="22" customHeight="1">
      <c r="B50" s="26" t="inlineStr">
        <is>
          <t>INFRASTRUCTURE &amp; SUPPORT</t>
        </is>
      </c>
      <c r="C50" s="10" t="inlineStr"/>
      <c r="D50" s="10">
        <f>IFERROR(ROUND(C50/5*100,1),"")</f>
        <v/>
      </c>
      <c r="E50" s="10" t="n">
        <v>3.5</v>
      </c>
      <c r="F50" s="10">
        <f>IFERROR(ROUND(C50-E50,2),"")</f>
        <v/>
      </c>
      <c r="G50" s="10">
        <f>IFERROR(IF(C50&gt;=3.5,"Satisfactory","Needs Attention"),"")</f>
        <v/>
      </c>
      <c r="H50" s="9" t="inlineStr"/>
      <c r="I50" s="40" t="n"/>
    </row>
    <row r="51" ht="22" customHeight="1">
      <c r="B51" s="43" t="inlineStr">
        <is>
          <t>RECOGNITION &amp; CAREER IMPACT</t>
        </is>
      </c>
      <c r="C51" s="16" t="inlineStr"/>
      <c r="D51" s="16">
        <f>IFERROR(ROUND(C51/5*100,1),"")</f>
        <v/>
      </c>
      <c r="E51" s="16" t="n">
        <v>3.5</v>
      </c>
      <c r="F51" s="16">
        <f>IFERROR(ROUND(C51-E51,2),"")</f>
        <v/>
      </c>
      <c r="G51" s="16">
        <f>IFERROR(IF(C51&gt;=3.5,"Satisfactory","Needs Attention"),"")</f>
        <v/>
      </c>
      <c r="H51" s="15" t="inlineStr"/>
      <c r="I51" s="84" t="n"/>
    </row>
    <row r="52" ht="22" customHeight="1"/>
    <row r="53" ht="22" customHeight="1"/>
  </sheetData>
  <mergeCells count="9">
    <mergeCell ref="B13:I13"/>
    <mergeCell ref="B21:I21"/>
    <mergeCell ref="B29:I29"/>
    <mergeCell ref="B2:I2"/>
    <mergeCell ref="B3:I3"/>
    <mergeCell ref="B5:I5"/>
    <mergeCell ref="B37:I37"/>
    <mergeCell ref="B45:I45"/>
    <mergeCell ref="B4:I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ACLHC-30: ARTS, CULTURAL, LITERARY &amp; HOBBY CLUBS KPI DASHBOARD</t>
        </is>
      </c>
    </row>
    <row r="3" ht="25" customHeight="1">
      <c r="B3" s="2" t="inlineStr">
        <is>
          <t>A.Y.: _______  Quarter: Q1/Q2/Q3/Q4  ACLHC Coordinator: ___________________  Date: _______</t>
        </is>
      </c>
    </row>
    <row r="4" ht="24" customHeight="1">
      <c r="B4" s="20" t="inlineStr">
        <is>
          <t>CLUB ECOSYSTEM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Annual Target</t>
        </is>
      </c>
      <c r="F5" s="13" t="inlineStr">
        <is>
          <t>Prev. Year Actual</t>
        </is>
      </c>
      <c r="G5" s="13" t="inlineStr">
        <is>
          <t>Current Year 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Total active clubs recognised by ACLHC</t>
        </is>
      </c>
      <c r="D6" s="16" t="inlineStr">
        <is>
          <t>No.</t>
        </is>
      </c>
      <c r="E6" s="16" t="inlineStr">
        <is>
          <t>≥15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Total student club membership</t>
        </is>
      </c>
      <c r="D7" s="10" t="inlineStr">
        <is>
          <t>No. / % of enrolled</t>
        </is>
      </c>
      <c r="E7" s="10" t="inlineStr">
        <is>
          <t>≥40% of students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New clubs registered this year</t>
        </is>
      </c>
      <c r="D8" s="16" t="inlineStr">
        <is>
          <t>No.</t>
        </is>
      </c>
      <c r="E8" s="16" t="inlineStr">
        <is>
          <t>≥2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Clubs with at least 6 activities per year</t>
        </is>
      </c>
      <c r="D9" s="10" t="inlineStr">
        <is>
          <t>No. of clubs</t>
        </is>
      </c>
      <c r="E9" s="10" t="inlineStr">
        <is>
          <t>≥80% of clubs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Clubs with annual activity plan submitted</t>
        </is>
      </c>
      <c r="D10" s="16" t="inlineStr">
        <is>
          <t>% of clubs</t>
        </is>
      </c>
      <c r="E10" s="16" t="inlineStr">
        <is>
          <t>100%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Faculty advisor coverage (clubs with advisor)</t>
        </is>
      </c>
      <c r="D11" s="10" t="inlineStr">
        <is>
          <t>% of clubs</t>
        </is>
      </c>
      <c r="E11" s="10" t="inlineStr">
        <is>
          <t>100%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/>
    <row r="13" ht="24" customHeight="1">
      <c r="B13" s="49" t="inlineStr">
        <is>
          <t>EVENTS &amp; COMPETITIONS KPIs</t>
        </is>
      </c>
    </row>
    <row r="14" ht="22" customHeight="1">
      <c r="B14" s="60" t="inlineStr">
        <is>
          <t>Sl.</t>
        </is>
      </c>
      <c r="C14" s="60" t="inlineStr">
        <is>
          <t>Key Performance Indicator</t>
        </is>
      </c>
      <c r="D14" s="60" t="inlineStr">
        <is>
          <t>Unit</t>
        </is>
      </c>
      <c r="E14" s="60" t="inlineStr">
        <is>
          <t>Annual Target</t>
        </is>
      </c>
      <c r="F14" s="60" t="inlineStr">
        <is>
          <t>Prev. Year Actual</t>
        </is>
      </c>
      <c r="G14" s="60" t="inlineStr">
        <is>
          <t>Current Year Actual</t>
        </is>
      </c>
      <c r="H14" s="60" t="inlineStr">
        <is>
          <t>Status</t>
        </is>
      </c>
      <c r="I14" s="60" t="inlineStr">
        <is>
          <t>Action Required</t>
        </is>
      </c>
    </row>
    <row r="15" ht="22" customHeight="1">
      <c r="B15" s="61" t="n">
        <v>1</v>
      </c>
      <c r="C15" s="62" t="inlineStr">
        <is>
          <t>Intra-college cultural events / competitions</t>
        </is>
      </c>
      <c r="D15" s="63" t="inlineStr">
        <is>
          <t>No. per year</t>
        </is>
      </c>
      <c r="E15" s="63" t="inlineStr">
        <is>
          <t>≥20</t>
        </is>
      </c>
      <c r="F15" s="63" t="inlineStr"/>
      <c r="G15" s="63" t="inlineStr"/>
      <c r="H15" s="63" t="inlineStr">
        <is>
          <t>On Track</t>
        </is>
      </c>
      <c r="I15" s="62" t="inlineStr"/>
    </row>
    <row r="16" ht="22" customHeight="1">
      <c r="B16" s="8" t="n">
        <v>2</v>
      </c>
      <c r="C16" s="9" t="inlineStr">
        <is>
          <t>External competitions participated</t>
        </is>
      </c>
      <c r="D16" s="10" t="inlineStr">
        <is>
          <t>No. per year</t>
        </is>
      </c>
      <c r="E16" s="10" t="inlineStr">
        <is>
          <t>≥15</t>
        </is>
      </c>
      <c r="F16" s="10" t="inlineStr"/>
      <c r="G16" s="10" t="inlineStr"/>
      <c r="H16" s="10" t="inlineStr">
        <is>
          <t>On Track</t>
        </is>
      </c>
      <c r="I16" s="9" t="inlineStr"/>
    </row>
    <row r="17" ht="22" customHeight="1">
      <c r="B17" s="61" t="n">
        <v>3</v>
      </c>
      <c r="C17" s="62" t="inlineStr">
        <is>
          <t>Awards / positions won (external)</t>
        </is>
      </c>
      <c r="D17" s="63" t="inlineStr">
        <is>
          <t>No. per year</t>
        </is>
      </c>
      <c r="E17" s="63" t="inlineStr">
        <is>
          <t>≥5</t>
        </is>
      </c>
      <c r="F17" s="63" t="inlineStr"/>
      <c r="G17" s="63" t="inlineStr"/>
      <c r="H17" s="63" t="inlineStr">
        <is>
          <t>On Track</t>
        </is>
      </c>
      <c r="I17" s="62" t="inlineStr"/>
    </row>
    <row r="18" ht="22" customHeight="1">
      <c r="B18" s="8" t="n">
        <v>4</v>
      </c>
      <c r="C18" s="9" t="inlineStr">
        <is>
          <t>Annual cultural fest conducted</t>
        </is>
      </c>
      <c r="D18" s="10" t="inlineStr">
        <is>
          <t>Y/N</t>
        </is>
      </c>
      <c r="E18" s="10" t="inlineStr">
        <is>
          <t>Yes annually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61" t="n">
        <v>5</v>
      </c>
      <c r="C19" s="62" t="inlineStr">
        <is>
          <t>Guest artist / expert sessions</t>
        </is>
      </c>
      <c r="D19" s="63" t="inlineStr">
        <is>
          <t>No. per year</t>
        </is>
      </c>
      <c r="E19" s="63" t="inlineStr">
        <is>
          <t>≥4</t>
        </is>
      </c>
      <c r="F19" s="63" t="inlineStr"/>
      <c r="G19" s="63" t="inlineStr"/>
      <c r="H19" s="63" t="inlineStr">
        <is>
          <t>On Track</t>
        </is>
      </c>
      <c r="I19" s="62" t="inlineStr"/>
    </row>
    <row r="20" ht="22" customHeight="1">
      <c r="B20" s="8" t="n">
        <v>6</v>
      </c>
      <c r="C20" s="9" t="inlineStr">
        <is>
          <t>Students participating in external events</t>
        </is>
      </c>
      <c r="D20" s="10" t="inlineStr">
        <is>
          <t>No. per year</t>
        </is>
      </c>
      <c r="E20" s="10" t="inlineStr">
        <is>
          <t>≥50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>
      <c r="B21" s="61" t="n">
        <v>7</v>
      </c>
      <c r="C21" s="62" t="inlineStr">
        <is>
          <t>Events with post-report submitted</t>
        </is>
      </c>
      <c r="D21" s="63" t="inlineStr">
        <is>
          <t>% of events</t>
        </is>
      </c>
      <c r="E21" s="63" t="inlineStr">
        <is>
          <t>100%</t>
        </is>
      </c>
      <c r="F21" s="63" t="inlineStr"/>
      <c r="G21" s="63" t="inlineStr"/>
      <c r="H21" s="63" t="inlineStr">
        <is>
          <t>On Track</t>
        </is>
      </c>
      <c r="I21" s="62" t="inlineStr"/>
    </row>
    <row r="22" ht="22" customHeight="1"/>
    <row r="23" ht="24" customHeight="1">
      <c r="B23" s="35" t="inlineStr">
        <is>
          <t>TRAINING &amp; SKILL DEVELOPMENT KPIs</t>
        </is>
      </c>
    </row>
    <row r="24" ht="22" customHeight="1">
      <c r="B24" s="31" t="inlineStr">
        <is>
          <t>Sl.</t>
        </is>
      </c>
      <c r="C24" s="31" t="inlineStr">
        <is>
          <t>Key Performance Indicator</t>
        </is>
      </c>
      <c r="D24" s="31" t="inlineStr">
        <is>
          <t>Unit</t>
        </is>
      </c>
      <c r="E24" s="31" t="inlineStr">
        <is>
          <t>Annual Target</t>
        </is>
      </c>
      <c r="F24" s="31" t="inlineStr">
        <is>
          <t>Prev. Year Actual</t>
        </is>
      </c>
      <c r="G24" s="31" t="inlineStr">
        <is>
          <t>Current Year Actual</t>
        </is>
      </c>
      <c r="H24" s="31" t="inlineStr">
        <is>
          <t>Status</t>
        </is>
      </c>
      <c r="I24" s="31" t="inlineStr">
        <is>
          <t>Action Required</t>
        </is>
      </c>
    </row>
    <row r="25" ht="22" customHeight="1">
      <c r="B25" s="32" t="n">
        <v>1</v>
      </c>
      <c r="C25" s="33" t="inlineStr">
        <is>
          <t>Workshops / masterclasses conducted</t>
        </is>
      </c>
      <c r="D25" s="34" t="inlineStr">
        <is>
          <t>No. per year</t>
        </is>
      </c>
      <c r="E25" s="34" t="inlineStr">
        <is>
          <t>≥12</t>
        </is>
      </c>
      <c r="F25" s="34" t="inlineStr"/>
      <c r="G25" s="34" t="inlineStr"/>
      <c r="H25" s="34" t="inlineStr">
        <is>
          <t>On Track</t>
        </is>
      </c>
      <c r="I25" s="33" t="inlineStr"/>
    </row>
    <row r="26" ht="22" customHeight="1">
      <c r="B26" s="8" t="n">
        <v>2</v>
      </c>
      <c r="C26" s="9" t="inlineStr">
        <is>
          <t>Total training hours delivered</t>
        </is>
      </c>
      <c r="D26" s="10" t="inlineStr">
        <is>
          <t>Hours</t>
        </is>
      </c>
      <c r="E26" s="10" t="inlineStr">
        <is>
          <t>≥100</t>
        </is>
      </c>
      <c r="F26" s="10" t="inlineStr"/>
      <c r="G26" s="10" t="inlineStr"/>
      <c r="H26" s="10" t="inlineStr">
        <is>
          <t>On Track</t>
        </is>
      </c>
      <c r="I26" s="9" t="inlineStr"/>
    </row>
    <row r="27" ht="22" customHeight="1">
      <c r="B27" s="32" t="n">
        <v>3</v>
      </c>
      <c r="C27" s="33" t="inlineStr">
        <is>
          <t>Students trained (% of enrolled)</t>
        </is>
      </c>
      <c r="D27" s="34" t="inlineStr">
        <is>
          <t>% of students</t>
        </is>
      </c>
      <c r="E27" s="34" t="inlineStr">
        <is>
          <t>≥30%</t>
        </is>
      </c>
      <c r="F27" s="34" t="inlineStr"/>
      <c r="G27" s="34" t="inlineStr"/>
      <c r="H27" s="34" t="inlineStr">
        <is>
          <t>On Track</t>
        </is>
      </c>
      <c r="I27" s="33" t="inlineStr"/>
    </row>
    <row r="28" ht="22" customHeight="1">
      <c r="B28" s="8" t="n">
        <v>4</v>
      </c>
      <c r="C28" s="9" t="inlineStr">
        <is>
          <t>Average workshop feedback score (/5)</t>
        </is>
      </c>
      <c r="D28" s="10" t="inlineStr">
        <is>
          <t>Score</t>
        </is>
      </c>
      <c r="E28" s="10" t="inlineStr">
        <is>
          <t>≥3.5</t>
        </is>
      </c>
      <c r="F28" s="10" t="inlineStr"/>
      <c r="G28" s="10" t="inlineStr"/>
      <c r="H28" s="10" t="inlineStr">
        <is>
          <t>On Track</t>
        </is>
      </c>
      <c r="I28" s="9" t="inlineStr"/>
    </row>
    <row r="29" ht="22" customHeight="1">
      <c r="B29" s="32" t="n">
        <v>5</v>
      </c>
      <c r="C29" s="33" t="inlineStr">
        <is>
          <t>External trainers / artists engaged</t>
        </is>
      </c>
      <c r="D29" s="34" t="inlineStr">
        <is>
          <t>No.</t>
        </is>
      </c>
      <c r="E29" s="34" t="inlineStr">
        <is>
          <t>≥8</t>
        </is>
      </c>
      <c r="F29" s="34" t="inlineStr"/>
      <c r="G29" s="34" t="inlineStr"/>
      <c r="H29" s="34" t="inlineStr">
        <is>
          <t>On Track</t>
        </is>
      </c>
      <c r="I29" s="33" t="inlineStr"/>
    </row>
    <row r="30" ht="22" customHeight="1"/>
    <row r="31" ht="24" customHeight="1">
      <c r="B31" s="21" t="inlineStr">
        <is>
          <t>ACHIEVEMENTS &amp; RECOGNITION KPIs</t>
        </is>
      </c>
    </row>
    <row r="32" ht="22" customHeight="1">
      <c r="B32" s="22" t="inlineStr">
        <is>
          <t>Sl.</t>
        </is>
      </c>
      <c r="C32" s="22" t="inlineStr">
        <is>
          <t>Key Performance Indicator</t>
        </is>
      </c>
      <c r="D32" s="22" t="inlineStr">
        <is>
          <t>Unit</t>
        </is>
      </c>
      <c r="E32" s="22" t="inlineStr">
        <is>
          <t>Annual Target</t>
        </is>
      </c>
      <c r="F32" s="22" t="inlineStr">
        <is>
          <t>Prev. Year Actual</t>
        </is>
      </c>
      <c r="G32" s="22" t="inlineStr">
        <is>
          <t>Current Year Actual</t>
        </is>
      </c>
      <c r="H32" s="22" t="inlineStr">
        <is>
          <t>Status</t>
        </is>
      </c>
      <c r="I32" s="22" t="inlineStr">
        <is>
          <t>Action Required</t>
        </is>
      </c>
    </row>
    <row r="33" ht="22" customHeight="1">
      <c r="B33" s="41" t="n">
        <v>1</v>
      </c>
      <c r="C33" s="76" t="inlineStr">
        <is>
          <t>Individual student cultural achievements</t>
        </is>
      </c>
      <c r="D33" s="23" t="inlineStr">
        <is>
          <t>No. per year</t>
        </is>
      </c>
      <c r="E33" s="23" t="inlineStr">
        <is>
          <t>≥30</t>
        </is>
      </c>
      <c r="F33" s="23" t="inlineStr"/>
      <c r="G33" s="23" t="inlineStr"/>
      <c r="H33" s="23" t="inlineStr">
        <is>
          <t>On Track</t>
        </is>
      </c>
      <c r="I33" s="76" t="inlineStr"/>
    </row>
    <row r="34" ht="22" customHeight="1">
      <c r="B34" s="8" t="n">
        <v>2</v>
      </c>
      <c r="C34" s="9" t="inlineStr">
        <is>
          <t>National/international level awards</t>
        </is>
      </c>
      <c r="D34" s="10" t="inlineStr">
        <is>
          <t>No.</t>
        </is>
      </c>
      <c r="E34" s="10" t="inlineStr">
        <is>
          <t>≥2</t>
        </is>
      </c>
      <c r="F34" s="10" t="inlineStr"/>
      <c r="G34" s="10" t="inlineStr"/>
      <c r="H34" s="10" t="inlineStr">
        <is>
          <t>On Track</t>
        </is>
      </c>
      <c r="I34" s="9" t="inlineStr"/>
    </row>
    <row r="35" ht="22" customHeight="1">
      <c r="B35" s="41" t="n">
        <v>3</v>
      </c>
      <c r="C35" s="76" t="inlineStr">
        <is>
          <t>Students with co-curricular credits (arts)</t>
        </is>
      </c>
      <c r="D35" s="23" t="inlineStr">
        <is>
          <t>No.</t>
        </is>
      </c>
      <c r="E35" s="23" t="inlineStr">
        <is>
          <t>Increasing</t>
        </is>
      </c>
      <c r="F35" s="23" t="inlineStr"/>
      <c r="G35" s="23" t="inlineStr"/>
      <c r="H35" s="23" t="inlineStr">
        <is>
          <t>On Track</t>
        </is>
      </c>
      <c r="I35" s="76" t="inlineStr"/>
    </row>
    <row r="36" ht="22" customHeight="1">
      <c r="B36" s="8" t="n">
        <v>4</v>
      </c>
      <c r="C36" s="9" t="inlineStr">
        <is>
          <t>NAAC cultural data compiled</t>
        </is>
      </c>
      <c r="D36" s="10" t="inlineStr">
        <is>
          <t>Y/N</t>
        </is>
      </c>
      <c r="E36" s="10" t="inlineStr">
        <is>
          <t>Yes annually</t>
        </is>
      </c>
      <c r="F36" s="10" t="inlineStr"/>
      <c r="G36" s="10" t="inlineStr"/>
      <c r="H36" s="10" t="inlineStr">
        <is>
          <t>On Track</t>
        </is>
      </c>
      <c r="I36" s="9" t="inlineStr"/>
    </row>
    <row r="37" ht="22" customHeight="1">
      <c r="B37" s="41" t="n">
        <v>5</v>
      </c>
      <c r="C37" s="76" t="inlineStr">
        <is>
          <t>NIRF cultural activities data submitted</t>
        </is>
      </c>
      <c r="D37" s="23" t="inlineStr">
        <is>
          <t>Y/N</t>
        </is>
      </c>
      <c r="E37" s="23" t="inlineStr">
        <is>
          <t>Yes annually</t>
        </is>
      </c>
      <c r="F37" s="23" t="inlineStr"/>
      <c r="G37" s="23" t="inlineStr"/>
      <c r="H37" s="23" t="inlineStr">
        <is>
          <t>On Track</t>
        </is>
      </c>
      <c r="I37" s="76" t="inlineStr"/>
    </row>
    <row r="38" ht="22" customHeight="1"/>
    <row r="39" ht="24" customHeight="1">
      <c r="B39" s="78" t="inlineStr">
        <is>
          <t>QUALITY &amp; SATISFACTION KPIs</t>
        </is>
      </c>
    </row>
    <row r="40" ht="22" customHeight="1">
      <c r="B40" s="79" t="inlineStr">
        <is>
          <t>Sl.</t>
        </is>
      </c>
      <c r="C40" s="79" t="inlineStr">
        <is>
          <t>Key Performance Indicator</t>
        </is>
      </c>
      <c r="D40" s="79" t="inlineStr">
        <is>
          <t>Unit</t>
        </is>
      </c>
      <c r="E40" s="79" t="inlineStr">
        <is>
          <t>Annual Target</t>
        </is>
      </c>
      <c r="F40" s="79" t="inlineStr">
        <is>
          <t>Prev. Year Actual</t>
        </is>
      </c>
      <c r="G40" s="79" t="inlineStr">
        <is>
          <t>Current Year Actual</t>
        </is>
      </c>
      <c r="H40" s="79" t="inlineStr">
        <is>
          <t>Status</t>
        </is>
      </c>
      <c r="I40" s="79" t="inlineStr">
        <is>
          <t>Action Required</t>
        </is>
      </c>
    </row>
    <row r="41" ht="22" customHeight="1">
      <c r="B41" s="80" t="n">
        <v>1</v>
      </c>
      <c r="C41" s="81" t="inlineStr">
        <is>
          <t>Student satisfaction score — arts/culture (/5)</t>
        </is>
      </c>
      <c r="D41" s="82" t="inlineStr">
        <is>
          <t>Score</t>
        </is>
      </c>
      <c r="E41" s="82" t="inlineStr">
        <is>
          <t>≥3.5</t>
        </is>
      </c>
      <c r="F41" s="82" t="inlineStr"/>
      <c r="G41" s="82" t="inlineStr"/>
      <c r="H41" s="82" t="inlineStr">
        <is>
          <t>On Track</t>
        </is>
      </c>
      <c r="I41" s="81" t="inlineStr"/>
    </row>
    <row r="42" ht="22" customHeight="1">
      <c r="B42" s="8" t="n">
        <v>2</v>
      </c>
      <c r="C42" s="9" t="inlineStr">
        <is>
          <t>Event budget utilisation (% of allocated)</t>
        </is>
      </c>
      <c r="D42" s="10" t="inlineStr">
        <is>
          <t>% utilised</t>
        </is>
      </c>
      <c r="E42" s="10" t="inlineStr">
        <is>
          <t>85–100%</t>
        </is>
      </c>
      <c r="F42" s="10" t="inlineStr"/>
      <c r="G42" s="10" t="inlineStr"/>
      <c r="H42" s="10" t="inlineStr">
        <is>
          <t>On Track</t>
        </is>
      </c>
      <c r="I42" s="9" t="inlineStr"/>
    </row>
    <row r="43" ht="22" customHeight="1">
      <c r="B43" s="80" t="n">
        <v>3</v>
      </c>
      <c r="C43" s="81" t="inlineStr">
        <is>
          <t>Sponsorship mobilised (₹L)</t>
        </is>
      </c>
      <c r="D43" s="82" t="inlineStr">
        <is>
          <t>₹L</t>
        </is>
      </c>
      <c r="E43" s="82" t="inlineStr">
        <is>
          <t>Increasing</t>
        </is>
      </c>
      <c r="F43" s="82" t="inlineStr"/>
      <c r="G43" s="82" t="inlineStr"/>
      <c r="H43" s="82" t="inlineStr">
        <is>
          <t>On Track</t>
        </is>
      </c>
      <c r="I43" s="81" t="inlineStr"/>
    </row>
    <row r="44" ht="22" customHeight="1">
      <c r="B44" s="8" t="n">
        <v>4</v>
      </c>
      <c r="C44" s="9" t="inlineStr">
        <is>
          <t>Social media reach of events</t>
        </is>
      </c>
      <c r="D44" s="10" t="inlineStr">
        <is>
          <t>Followers / views</t>
        </is>
      </c>
      <c r="E44" s="10" t="inlineStr">
        <is>
          <t>Growing</t>
        </is>
      </c>
      <c r="F44" s="10" t="inlineStr"/>
      <c r="G44" s="10" t="inlineStr"/>
      <c r="H44" s="10" t="inlineStr">
        <is>
          <t>On Track</t>
        </is>
      </c>
      <c r="I44" s="9" t="inlineStr"/>
    </row>
    <row r="45" ht="22" customHeight="1">
      <c r="B45" s="80" t="n">
        <v>5</v>
      </c>
      <c r="C45" s="81" t="inlineStr">
        <is>
          <t>Documentation completeness (photos/reports)</t>
        </is>
      </c>
      <c r="D45" s="82" t="inlineStr">
        <is>
          <t>% events documented</t>
        </is>
      </c>
      <c r="E45" s="82" t="inlineStr">
        <is>
          <t>100%</t>
        </is>
      </c>
      <c r="F45" s="82" t="inlineStr"/>
      <c r="G45" s="82" t="inlineStr"/>
      <c r="H45" s="82" t="inlineStr">
        <is>
          <t>On Track</t>
        </is>
      </c>
      <c r="I45" s="81" t="inlineStr"/>
    </row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7">
    <mergeCell ref="B13:I13"/>
    <mergeCell ref="B39:I39"/>
    <mergeCell ref="B2:I2"/>
    <mergeCell ref="B3:I3"/>
    <mergeCell ref="B31:I31"/>
    <mergeCell ref="B23:I23"/>
    <mergeCell ref="B4:I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8" t="inlineStr">
        <is>
          <t>ACLHC-31: ARTS, CULTURAL, LITERARY &amp; HOBBY CLUBS ANNUAL REPORT</t>
        </is>
      </c>
    </row>
    <row r="3" ht="25" customHeight="1">
      <c r="B3" s="2" t="inlineStr">
        <is>
          <t>A.Y.: _______  ACLHC Coordinator: ___________________  Submitted to: Management / IQAC / NAAC  Date: _______</t>
        </is>
      </c>
    </row>
    <row r="4" ht="24" customHeight="1">
      <c r="B4" s="20" t="inlineStr">
        <is>
          <t>SECTION 1 — CLUBS &amp; MEMBERSHIP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Total active clubs</t>
        </is>
      </c>
      <c r="D6" s="16" t="inlineStr">
        <is>
          <t>No.</t>
        </is>
      </c>
      <c r="E6" s="16" t="inlineStr"/>
      <c r="F6" s="16" t="inlineStr"/>
      <c r="G6" s="16">
        <f>IFERROR(ROUND((E6-F6)/IF(F6=0,1,F6)*100,1),"")</f>
        <v/>
      </c>
      <c r="H6" s="16" t="inlineStr"/>
    </row>
    <row r="7" ht="22" customHeight="1">
      <c r="B7" s="8" t="n">
        <v>2</v>
      </c>
      <c r="C7" s="9" t="inlineStr">
        <is>
          <t>Total student club members</t>
        </is>
      </c>
      <c r="D7" s="10" t="inlineStr">
        <is>
          <t>No.</t>
        </is>
      </c>
      <c r="E7" s="10" t="inlineStr"/>
      <c r="F7" s="10" t="inlineStr"/>
      <c r="G7" s="10">
        <f>IFERROR(ROUND((E7-F7)/IF(F7=0,1,F7)*100,1),"")</f>
        <v/>
      </c>
      <c r="H7" s="10" t="inlineStr"/>
    </row>
    <row r="8" ht="22" customHeight="1">
      <c r="B8" s="14" t="n">
        <v>3</v>
      </c>
      <c r="C8" s="15" t="inlineStr">
        <is>
          <t>New clubs formed this year</t>
        </is>
      </c>
      <c r="D8" s="16" t="inlineStr">
        <is>
          <t>No.</t>
        </is>
      </c>
      <c r="E8" s="16" t="inlineStr"/>
      <c r="F8" s="16" t="inlineStr"/>
      <c r="G8" s="16">
        <f>IFERROR(ROUND((E8-F8)/IF(F8=0,1,F8)*100,1),"")</f>
        <v/>
      </c>
      <c r="H8" s="16" t="inlineStr"/>
    </row>
    <row r="9" ht="22" customHeight="1">
      <c r="B9" s="8" t="n">
        <v>4</v>
      </c>
      <c r="C9" s="9" t="inlineStr">
        <is>
          <t>Student membership as % of enrolled</t>
        </is>
      </c>
      <c r="D9" s="10" t="inlineStr">
        <is>
          <t>% enrolled</t>
        </is>
      </c>
      <c r="E9" s="10" t="inlineStr"/>
      <c r="F9" s="10" t="inlineStr"/>
      <c r="G9" s="10">
        <f>IFERROR(ROUND((E9-F9)/IF(F9=0,1,F9)*100,1),"")</f>
        <v/>
      </c>
      <c r="H9" s="10" t="inlineStr"/>
    </row>
    <row r="10" ht="22" customHeight="1">
      <c r="B10" s="14" t="n">
        <v>5</v>
      </c>
      <c r="C10" s="15" t="inlineStr">
        <is>
          <t>Clubs with ≥6 activities</t>
        </is>
      </c>
      <c r="D10" s="16" t="inlineStr">
        <is>
          <t>No.</t>
        </is>
      </c>
      <c r="E10" s="16" t="inlineStr"/>
      <c r="F10" s="16" t="inlineStr"/>
      <c r="G10" s="16">
        <f>IFERROR(ROUND((E10-F10)/IF(F10=0,1,F10)*100,1),"")</f>
        <v/>
      </c>
      <c r="H10" s="16" t="inlineStr"/>
    </row>
    <row r="11" ht="22" customHeight="1">
      <c r="B11" s="8" t="n">
        <v>6</v>
      </c>
      <c r="C11" s="9" t="inlineStr">
        <is>
          <t>Clubs with female majority membership</t>
        </is>
      </c>
      <c r="D11" s="10" t="inlineStr">
        <is>
          <t>No.</t>
        </is>
      </c>
      <c r="E11" s="10" t="inlineStr"/>
      <c r="F11" s="10" t="inlineStr"/>
      <c r="G11" s="10">
        <f>IFERROR(ROUND((E11-F11)/IF(F11=0,1,F11)*100,1),"")</f>
        <v/>
      </c>
      <c r="H11" s="10" t="inlineStr"/>
    </row>
    <row r="12" ht="22" customHeight="1"/>
    <row r="13" ht="24" customHeight="1">
      <c r="B13" s="49" t="inlineStr">
        <is>
          <t>SECTION 2 — EVENTS &amp; COMPETITIONS</t>
        </is>
      </c>
    </row>
    <row r="14" ht="22" customHeight="1">
      <c r="B14" s="60" t="inlineStr">
        <is>
          <t>Sl.</t>
        </is>
      </c>
      <c r="C14" s="60" t="inlineStr">
        <is>
          <t>Performance Metric</t>
        </is>
      </c>
      <c r="D14" s="60" t="inlineStr">
        <is>
          <t>Unit</t>
        </is>
      </c>
      <c r="E14" s="60" t="inlineStr">
        <is>
          <t>Current A.Y.</t>
        </is>
      </c>
      <c r="F14" s="60" t="inlineStr">
        <is>
          <t>Previous A.Y.</t>
        </is>
      </c>
      <c r="G14" s="60" t="inlineStr">
        <is>
          <t>Growth %</t>
        </is>
      </c>
      <c r="H14" s="60" t="inlineStr">
        <is>
          <t>Target Next Year</t>
        </is>
      </c>
    </row>
    <row r="15" ht="22" customHeight="1">
      <c r="B15" s="61" t="n">
        <v>1</v>
      </c>
      <c r="C15" s="62" t="inlineStr">
        <is>
          <t>Intra-college events / competitions</t>
        </is>
      </c>
      <c r="D15" s="63" t="inlineStr">
        <is>
          <t>No.</t>
        </is>
      </c>
      <c r="E15" s="63" t="inlineStr"/>
      <c r="F15" s="63" t="inlineStr"/>
      <c r="G15" s="63">
        <f>IFERROR(ROUND((E15-F15)/IF(F15=0,1,F15)*100,1),"")</f>
        <v/>
      </c>
      <c r="H15" s="63" t="inlineStr"/>
    </row>
    <row r="16" ht="22" customHeight="1">
      <c r="B16" s="8" t="n">
        <v>2</v>
      </c>
      <c r="C16" s="9" t="inlineStr">
        <is>
          <t>External competitions participated</t>
        </is>
      </c>
      <c r="D16" s="10" t="inlineStr">
        <is>
          <t>No.</t>
        </is>
      </c>
      <c r="E16" s="10" t="inlineStr"/>
      <c r="F16" s="10" t="inlineStr"/>
      <c r="G16" s="10">
        <f>IFERROR(ROUND((E16-F16)/IF(F16=0,1,F16)*100,1),"")</f>
        <v/>
      </c>
      <c r="H16" s="10" t="inlineStr"/>
    </row>
    <row r="17" ht="22" customHeight="1">
      <c r="B17" s="61" t="n">
        <v>3</v>
      </c>
      <c r="C17" s="62" t="inlineStr">
        <is>
          <t>Awards / positions won (total)</t>
        </is>
      </c>
      <c r="D17" s="63" t="inlineStr">
        <is>
          <t>No.</t>
        </is>
      </c>
      <c r="E17" s="63" t="inlineStr"/>
      <c r="F17" s="63" t="inlineStr"/>
      <c r="G17" s="63">
        <f>IFERROR(ROUND((E17-F17)/IF(F17=0,1,F17)*100,1),"")</f>
        <v/>
      </c>
      <c r="H17" s="63" t="inlineStr"/>
    </row>
    <row r="18" ht="22" customHeight="1">
      <c r="B18" s="8" t="n">
        <v>4</v>
      </c>
      <c r="C18" s="9" t="inlineStr">
        <is>
          <t>Students in external competitions</t>
        </is>
      </c>
      <c r="D18" s="10" t="inlineStr">
        <is>
          <t>No.</t>
        </is>
      </c>
      <c r="E18" s="10" t="inlineStr"/>
      <c r="F18" s="10" t="inlineStr"/>
      <c r="G18" s="10">
        <f>IFERROR(ROUND((E18-F18)/IF(F18=0,1,F18)*100,1),"")</f>
        <v/>
      </c>
      <c r="H18" s="10" t="inlineStr"/>
    </row>
    <row r="19" ht="22" customHeight="1">
      <c r="B19" s="61" t="n">
        <v>5</v>
      </c>
      <c r="C19" s="62" t="inlineStr">
        <is>
          <t>Annual cultural fest held</t>
        </is>
      </c>
      <c r="D19" s="63" t="inlineStr">
        <is>
          <t>Y/N</t>
        </is>
      </c>
      <c r="E19" s="63" t="inlineStr"/>
      <c r="F19" s="63" t="inlineStr"/>
      <c r="G19" s="63">
        <f>IFERROR(ROUND((E19-F19)/IF(F19=0,1,F19)*100,1),"")</f>
        <v/>
      </c>
      <c r="H19" s="63" t="inlineStr"/>
    </row>
    <row r="20" ht="22" customHeight="1">
      <c r="B20" s="8" t="n">
        <v>6</v>
      </c>
      <c r="C20" s="9" t="inlineStr">
        <is>
          <t>Guest artists / experts engaged</t>
        </is>
      </c>
      <c r="D20" s="10" t="inlineStr">
        <is>
          <t>No.</t>
        </is>
      </c>
      <c r="E20" s="10" t="inlineStr"/>
      <c r="F20" s="10" t="inlineStr"/>
      <c r="G20" s="10">
        <f>IFERROR(ROUND((E20-F20)/IF(F20=0,1,F20)*100,1),"")</f>
        <v/>
      </c>
      <c r="H20" s="10" t="inlineStr"/>
    </row>
    <row r="21" ht="22" customHeight="1"/>
    <row r="22" ht="24" customHeight="1">
      <c r="B22" s="35" t="inlineStr">
        <is>
          <t>SECTION 3 — TRAINING &amp; WORKSHOPS</t>
        </is>
      </c>
    </row>
    <row r="23" ht="22" customHeight="1">
      <c r="B23" s="31" t="inlineStr">
        <is>
          <t>Sl.</t>
        </is>
      </c>
      <c r="C23" s="31" t="inlineStr">
        <is>
          <t>Performance Metric</t>
        </is>
      </c>
      <c r="D23" s="31" t="inlineStr">
        <is>
          <t>Unit</t>
        </is>
      </c>
      <c r="E23" s="31" t="inlineStr">
        <is>
          <t>Current A.Y.</t>
        </is>
      </c>
      <c r="F23" s="31" t="inlineStr">
        <is>
          <t>Previous A.Y.</t>
        </is>
      </c>
      <c r="G23" s="31" t="inlineStr">
        <is>
          <t>Growth %</t>
        </is>
      </c>
      <c r="H23" s="31" t="inlineStr">
        <is>
          <t>Target Next Year</t>
        </is>
      </c>
    </row>
    <row r="24" ht="22" customHeight="1">
      <c r="B24" s="32" t="n">
        <v>1</v>
      </c>
      <c r="C24" s="33" t="inlineStr">
        <is>
          <t>Workshops / masterclasses conducted</t>
        </is>
      </c>
      <c r="D24" s="34" t="inlineStr">
        <is>
          <t>No.</t>
        </is>
      </c>
      <c r="E24" s="34" t="inlineStr"/>
      <c r="F24" s="34" t="inlineStr"/>
      <c r="G24" s="34">
        <f>IFERROR(ROUND((E24-F24)/IF(F24=0,1,F24)*100,1),"")</f>
        <v/>
      </c>
      <c r="H24" s="34" t="inlineStr"/>
    </row>
    <row r="25" ht="22" customHeight="1">
      <c r="B25" s="8" t="n">
        <v>2</v>
      </c>
      <c r="C25" s="9" t="inlineStr">
        <is>
          <t>Total training hours</t>
        </is>
      </c>
      <c r="D25" s="10" t="inlineStr">
        <is>
          <t>Hours</t>
        </is>
      </c>
      <c r="E25" s="10" t="inlineStr"/>
      <c r="F25" s="10" t="inlineStr"/>
      <c r="G25" s="10">
        <f>IFERROR(ROUND((E25-F25)/IF(F25=0,1,F25)*100,1),"")</f>
        <v/>
      </c>
      <c r="H25" s="10" t="inlineStr"/>
    </row>
    <row r="26" ht="22" customHeight="1">
      <c r="B26" s="32" t="n">
        <v>3</v>
      </c>
      <c r="C26" s="33" t="inlineStr">
        <is>
          <t>Students trained</t>
        </is>
      </c>
      <c r="D26" s="34" t="inlineStr">
        <is>
          <t>No.</t>
        </is>
      </c>
      <c r="E26" s="34" t="inlineStr"/>
      <c r="F26" s="34" t="inlineStr"/>
      <c r="G26" s="34">
        <f>IFERROR(ROUND((E26-F26)/IF(F26=0,1,F26)*100,1),"")</f>
        <v/>
      </c>
      <c r="H26" s="34" t="inlineStr"/>
    </row>
    <row r="27" ht="22" customHeight="1">
      <c r="B27" s="8" t="n">
        <v>4</v>
      </c>
      <c r="C27" s="9" t="inlineStr">
        <is>
          <t>External trainers engaged</t>
        </is>
      </c>
      <c r="D27" s="10" t="inlineStr">
        <is>
          <t>No.</t>
        </is>
      </c>
      <c r="E27" s="10" t="inlineStr"/>
      <c r="F27" s="10" t="inlineStr"/>
      <c r="G27" s="10">
        <f>IFERROR(ROUND((E27-F27)/IF(F27=0,1,F27)*100,1),"")</f>
        <v/>
      </c>
      <c r="H27" s="10" t="inlineStr"/>
    </row>
    <row r="28" ht="22" customHeight="1">
      <c r="B28" s="32" t="n">
        <v>5</v>
      </c>
      <c r="C28" s="33" t="inlineStr">
        <is>
          <t>Average workshop feedback score</t>
        </is>
      </c>
      <c r="D28" s="34" t="inlineStr">
        <is>
          <t>Score /5</t>
        </is>
      </c>
      <c r="E28" s="34" t="inlineStr"/>
      <c r="F28" s="34" t="inlineStr"/>
      <c r="G28" s="34">
        <f>IFERROR(ROUND((E28-F28)/IF(F28=0,1,F28)*100,1),"")</f>
        <v/>
      </c>
      <c r="H28" s="34" t="inlineStr"/>
    </row>
    <row r="29" ht="22" customHeight="1">
      <c r="B29" s="8" t="n">
        <v>6</v>
      </c>
      <c r="C29" s="9" t="inlineStr">
        <is>
          <t>Students earning co-curricular credits</t>
        </is>
      </c>
      <c r="D29" s="10" t="inlineStr">
        <is>
          <t>No.</t>
        </is>
      </c>
      <c r="E29" s="10" t="inlineStr"/>
      <c r="F29" s="10" t="inlineStr"/>
      <c r="G29" s="10">
        <f>IFERROR(ROUND((E29-F29)/IF(F29=0,1,F29)*100,1),"")</f>
        <v/>
      </c>
      <c r="H29" s="10" t="inlineStr"/>
    </row>
    <row r="30" ht="22" customHeight="1"/>
    <row r="31" ht="24" customHeight="1">
      <c r="B31" s="21" t="inlineStr">
        <is>
          <t>SECTION 4 — ACHIEVEMENTS</t>
        </is>
      </c>
    </row>
    <row r="32" ht="22" customHeight="1">
      <c r="B32" s="22" t="inlineStr">
        <is>
          <t>Sl.</t>
        </is>
      </c>
      <c r="C32" s="22" t="inlineStr">
        <is>
          <t>Performance Metric</t>
        </is>
      </c>
      <c r="D32" s="22" t="inlineStr">
        <is>
          <t>Unit</t>
        </is>
      </c>
      <c r="E32" s="22" t="inlineStr">
        <is>
          <t>Current A.Y.</t>
        </is>
      </c>
      <c r="F32" s="22" t="inlineStr">
        <is>
          <t>Previous A.Y.</t>
        </is>
      </c>
      <c r="G32" s="22" t="inlineStr">
        <is>
          <t>Growth %</t>
        </is>
      </c>
      <c r="H32" s="22" t="inlineStr">
        <is>
          <t>Target Next Year</t>
        </is>
      </c>
    </row>
    <row r="33" ht="22" customHeight="1">
      <c r="B33" s="41" t="n">
        <v>1</v>
      </c>
      <c r="C33" s="76" t="inlineStr">
        <is>
          <t>Individual achievements recorded</t>
        </is>
      </c>
      <c r="D33" s="23" t="inlineStr">
        <is>
          <t>No.</t>
        </is>
      </c>
      <c r="E33" s="23" t="inlineStr"/>
      <c r="F33" s="23" t="inlineStr"/>
      <c r="G33" s="23">
        <f>IFERROR(ROUND((E33-F33)/IF(F33=0,1,F33)*100,1),"")</f>
        <v/>
      </c>
      <c r="H33" s="23" t="inlineStr"/>
    </row>
    <row r="34" ht="22" customHeight="1">
      <c r="B34" s="8" t="n">
        <v>2</v>
      </c>
      <c r="C34" s="9" t="inlineStr">
        <is>
          <t>1st prizes (any level)</t>
        </is>
      </c>
      <c r="D34" s="10" t="inlineStr">
        <is>
          <t>No.</t>
        </is>
      </c>
      <c r="E34" s="10" t="inlineStr"/>
      <c r="F34" s="10" t="inlineStr"/>
      <c r="G34" s="10">
        <f>IFERROR(ROUND((E34-F34)/IF(F34=0,1,F34)*100,1),"")</f>
        <v/>
      </c>
      <c r="H34" s="10" t="inlineStr"/>
    </row>
    <row r="35" ht="22" customHeight="1">
      <c r="B35" s="41" t="n">
        <v>3</v>
      </c>
      <c r="C35" s="76" t="inlineStr">
        <is>
          <t>National level+ representations</t>
        </is>
      </c>
      <c r="D35" s="23" t="inlineStr">
        <is>
          <t>No.</t>
        </is>
      </c>
      <c r="E35" s="23" t="inlineStr"/>
      <c r="F35" s="23" t="inlineStr"/>
      <c r="G35" s="23">
        <f>IFERROR(ROUND((E35-F35)/IF(F35=0,1,F35)*100,1),"")</f>
        <v/>
      </c>
      <c r="H35" s="23" t="inlineStr"/>
    </row>
    <row r="36" ht="22" customHeight="1">
      <c r="B36" s="8" t="n">
        <v>4</v>
      </c>
      <c r="C36" s="9" t="inlineStr">
        <is>
          <t>Cultural scholarships awarded</t>
        </is>
      </c>
      <c r="D36" s="10" t="inlineStr">
        <is>
          <t>No.</t>
        </is>
      </c>
      <c r="E36" s="10" t="inlineStr"/>
      <c r="F36" s="10" t="inlineStr"/>
      <c r="G36" s="10">
        <f>IFERROR(ROUND((E36-F36)/IF(F36=0,1,F36)*100,1),"")</f>
        <v/>
      </c>
      <c r="H36" s="10" t="inlineStr"/>
    </row>
    <row r="37" ht="22" customHeight="1">
      <c r="B37" s="41" t="n">
        <v>5</v>
      </c>
      <c r="C37" s="76" t="inlineStr">
        <is>
          <t>Club-level institutional awards</t>
        </is>
      </c>
      <c r="D37" s="23" t="inlineStr">
        <is>
          <t>No.</t>
        </is>
      </c>
      <c r="E37" s="23" t="inlineStr"/>
      <c r="F37" s="23" t="inlineStr"/>
      <c r="G37" s="23">
        <f>IFERROR(ROUND((E37-F37)/IF(F37=0,1,F37)*100,1),"")</f>
        <v/>
      </c>
      <c r="H37" s="23" t="inlineStr"/>
    </row>
    <row r="38" ht="22" customHeight="1">
      <c r="B38" s="8" t="n">
        <v>6</v>
      </c>
      <c r="C38" s="9" t="inlineStr">
        <is>
          <t>Alumni cultural engagement activities</t>
        </is>
      </c>
      <c r="D38" s="10" t="inlineStr">
        <is>
          <t>No.</t>
        </is>
      </c>
      <c r="E38" s="10" t="inlineStr"/>
      <c r="F38" s="10" t="inlineStr"/>
      <c r="G38" s="10">
        <f>IFERROR(ROUND((E38-F38)/IF(F38=0,1,F38)*100,1),"")</f>
        <v/>
      </c>
      <c r="H38" s="10" t="inlineStr"/>
    </row>
    <row r="39" ht="22" customHeight="1"/>
    <row r="40" ht="24" customHeight="1">
      <c r="B40" s="78" t="inlineStr">
        <is>
          <t>SECTION 5 — BUDGET &amp; QUALITY</t>
        </is>
      </c>
    </row>
    <row r="41" ht="22" customHeight="1">
      <c r="B41" s="79" t="inlineStr">
        <is>
          <t>Sl.</t>
        </is>
      </c>
      <c r="C41" s="79" t="inlineStr">
        <is>
          <t>Performance Metric</t>
        </is>
      </c>
      <c r="D41" s="79" t="inlineStr">
        <is>
          <t>Unit</t>
        </is>
      </c>
      <c r="E41" s="79" t="inlineStr">
        <is>
          <t>Current A.Y.</t>
        </is>
      </c>
      <c r="F41" s="79" t="inlineStr">
        <is>
          <t>Previous A.Y.</t>
        </is>
      </c>
      <c r="G41" s="79" t="inlineStr">
        <is>
          <t>Growth %</t>
        </is>
      </c>
      <c r="H41" s="79" t="inlineStr">
        <is>
          <t>Target Next Year</t>
        </is>
      </c>
    </row>
    <row r="42" ht="22" customHeight="1">
      <c r="B42" s="80" t="n">
        <v>1</v>
      </c>
      <c r="C42" s="81" t="inlineStr">
        <is>
          <t>Total cultural activities budget utilised (₹L)</t>
        </is>
      </c>
      <c r="D42" s="82" t="inlineStr">
        <is>
          <t>₹L</t>
        </is>
      </c>
      <c r="E42" s="82" t="inlineStr"/>
      <c r="F42" s="82" t="inlineStr"/>
      <c r="G42" s="82">
        <f>IFERROR(ROUND((E42-F42)/IF(F42=0,1,F42)*100,1),"")</f>
        <v/>
      </c>
      <c r="H42" s="82" t="inlineStr"/>
    </row>
    <row r="43" ht="22" customHeight="1">
      <c r="B43" s="8" t="n">
        <v>2</v>
      </c>
      <c r="C43" s="9" t="inlineStr">
        <is>
          <t>Sponsorship mobilised (₹L)</t>
        </is>
      </c>
      <c r="D43" s="10" t="inlineStr">
        <is>
          <t>₹L</t>
        </is>
      </c>
      <c r="E43" s="10" t="inlineStr"/>
      <c r="F43" s="10" t="inlineStr"/>
      <c r="G43" s="10">
        <f>IFERROR(ROUND((E43-F43)/IF(F43=0,1,F43)*100,1),"")</f>
        <v/>
      </c>
      <c r="H43" s="10" t="inlineStr"/>
    </row>
    <row r="44" ht="22" customHeight="1">
      <c r="B44" s="80" t="n">
        <v>3</v>
      </c>
      <c r="C44" s="81" t="inlineStr">
        <is>
          <t>Student satisfaction score (/5)</t>
        </is>
      </c>
      <c r="D44" s="82" t="inlineStr">
        <is>
          <t>Score</t>
        </is>
      </c>
      <c r="E44" s="82" t="inlineStr"/>
      <c r="F44" s="82" t="inlineStr"/>
      <c r="G44" s="82">
        <f>IFERROR(ROUND((E44-F44)/IF(F44=0,1,F44)*100,1),"")</f>
        <v/>
      </c>
      <c r="H44" s="82" t="inlineStr"/>
    </row>
    <row r="45" ht="22" customHeight="1">
      <c r="B45" s="8" t="n">
        <v>4</v>
      </c>
      <c r="C45" s="9" t="inlineStr">
        <is>
          <t>Events with post-documentation</t>
        </is>
      </c>
      <c r="D45" s="10" t="inlineStr">
        <is>
          <t>% of events</t>
        </is>
      </c>
      <c r="E45" s="10" t="inlineStr"/>
      <c r="F45" s="10" t="inlineStr"/>
      <c r="G45" s="10">
        <f>IFERROR(ROUND((E45-F45)/IF(F45=0,1,F45)*100,1),"")</f>
        <v/>
      </c>
      <c r="H45" s="10" t="inlineStr"/>
    </row>
    <row r="46" ht="22" customHeight="1">
      <c r="B46" s="80" t="n">
        <v>5</v>
      </c>
      <c r="C46" s="81" t="inlineStr">
        <is>
          <t>NAAC / NIRF data submitted</t>
        </is>
      </c>
      <c r="D46" s="82" t="inlineStr">
        <is>
          <t>Y/N</t>
        </is>
      </c>
      <c r="E46" s="82" t="inlineStr"/>
      <c r="F46" s="82" t="inlineStr"/>
      <c r="G46" s="82">
        <f>IFERROR(ROUND((E46-F46)/IF(F46=0,1,F46)*100,1),"")</f>
        <v/>
      </c>
      <c r="H46" s="82" t="inlineStr"/>
    </row>
    <row r="47" ht="22" customHeight="1">
      <c r="B47" s="8" t="n">
        <v>6</v>
      </c>
      <c r="C47" s="9" t="inlineStr">
        <is>
          <t>Social media follower growth (%)</t>
        </is>
      </c>
      <c r="D47" s="10" t="inlineStr">
        <is>
          <t>% growth</t>
        </is>
      </c>
      <c r="E47" s="10" t="inlineStr"/>
      <c r="F47" s="10" t="inlineStr"/>
      <c r="G47" s="10">
        <f>IFERROR(ROUND((E47-F47)/IF(F47=0,1,F47)*100,1),"")</f>
        <v/>
      </c>
      <c r="H47" s="10" t="inlineStr"/>
    </row>
    <row r="48" ht="22" customHeight="1"/>
    <row r="49" ht="20" customHeight="1">
      <c r="B49" s="17" t="inlineStr">
        <is>
          <t>Annual Report submitted to: Management, IQAC (AQAR Criterion V.3 — Student Activities), NAAC SSR (Criterion V), NIRF (Teaching-Learning — Co-curricular), Governing Body. Photos and event reports to be archived.</t>
        </is>
      </c>
    </row>
    <row r="50" ht="22" customHeight="1">
      <c r="B50" s="30" t="inlineStr">
        <is>
          <t>ACLHC Coordinator: ___________________    Chairperson: ___________________    IQAC Coordinator: ___________________    Date: ___________________</t>
        </is>
      </c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</sheetData>
  <mergeCells count="9">
    <mergeCell ref="B22:H22"/>
    <mergeCell ref="B50:H50"/>
    <mergeCell ref="B40:H40"/>
    <mergeCell ref="B13:H13"/>
    <mergeCell ref="B49:H49"/>
    <mergeCell ref="B4:H4"/>
    <mergeCell ref="B2:H2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2026-04-24T12:19:49Z</dcterms:created>
  <dcterms:modified xmlns:dcterms="http://purl.org/dc/terms/" xmlns:xsi="http://www.w3.org/2001/XMLSchema-instance" xsi:type="dcterms:W3CDTF">2026-04-24T12:19:50Z</dcterms:modified>
</cp:coreProperties>
</file>